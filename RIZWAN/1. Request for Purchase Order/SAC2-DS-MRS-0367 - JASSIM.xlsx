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9D1B3F4-BFD5-43AF-BA95-2D58A85CF890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MRS!$A$1:$L$260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page'!$A$1:$H$253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4" i="4" l="1"/>
  <c r="F204" i="4"/>
  <c r="E204" i="4"/>
  <c r="D204" i="4"/>
  <c r="B204" i="4"/>
  <c r="J418" i="2"/>
  <c r="I418" i="2"/>
  <c r="H418" i="2"/>
  <c r="G418" i="2"/>
  <c r="D418" i="2"/>
  <c r="B418" i="2"/>
  <c r="A418" i="2"/>
  <c r="J417" i="2"/>
  <c r="I417" i="2"/>
  <c r="H417" i="2"/>
  <c r="G417" i="2"/>
  <c r="D417" i="2"/>
  <c r="B417" i="2"/>
  <c r="A417" i="2"/>
  <c r="J416" i="2"/>
  <c r="I416" i="2"/>
  <c r="H416" i="2"/>
  <c r="G416" i="2"/>
  <c r="D416" i="2"/>
  <c r="B416" i="2"/>
  <c r="A416" i="2"/>
  <c r="J415" i="2"/>
  <c r="I415" i="2"/>
  <c r="H415" i="2"/>
  <c r="G415" i="2"/>
  <c r="D415" i="2"/>
  <c r="B415" i="2"/>
  <c r="A415" i="2"/>
  <c r="J414" i="2"/>
  <c r="I414" i="2"/>
  <c r="H414" i="2"/>
  <c r="G414" i="2"/>
  <c r="D414" i="2"/>
  <c r="B414" i="2"/>
  <c r="A414" i="2"/>
  <c r="J413" i="2"/>
  <c r="I413" i="2"/>
  <c r="H413" i="2"/>
  <c r="G413" i="2"/>
  <c r="D413" i="2"/>
  <c r="B413" i="2"/>
  <c r="A413" i="2"/>
  <c r="J412" i="2"/>
  <c r="I412" i="2"/>
  <c r="H412" i="2"/>
  <c r="G412" i="2"/>
  <c r="D412" i="2"/>
  <c r="B412" i="2"/>
  <c r="A412" i="2"/>
  <c r="J411" i="2"/>
  <c r="I411" i="2"/>
  <c r="H411" i="2"/>
  <c r="G411" i="2"/>
  <c r="D411" i="2"/>
  <c r="B411" i="2"/>
  <c r="A411" i="2"/>
  <c r="J410" i="2"/>
  <c r="I410" i="2"/>
  <c r="H410" i="2"/>
  <c r="G410" i="2"/>
  <c r="D410" i="2"/>
  <c r="B410" i="2"/>
  <c r="A410" i="2"/>
  <c r="J409" i="2"/>
  <c r="I409" i="2"/>
  <c r="H409" i="2"/>
  <c r="G409" i="2"/>
  <c r="D409" i="2"/>
  <c r="B409" i="2"/>
  <c r="A409" i="2"/>
  <c r="J408" i="2"/>
  <c r="I408" i="2"/>
  <c r="H408" i="2"/>
  <c r="G408" i="2"/>
  <c r="D408" i="2"/>
  <c r="B408" i="2"/>
  <c r="A408" i="2"/>
  <c r="J407" i="2"/>
  <c r="I407" i="2"/>
  <c r="H407" i="2"/>
  <c r="G407" i="2"/>
  <c r="D407" i="2"/>
  <c r="B407" i="2"/>
  <c r="A407" i="2"/>
  <c r="J406" i="2"/>
  <c r="I406" i="2"/>
  <c r="H406" i="2"/>
  <c r="G406" i="2"/>
  <c r="D406" i="2"/>
  <c r="B406" i="2"/>
  <c r="A406" i="2"/>
  <c r="J405" i="2"/>
  <c r="I405" i="2"/>
  <c r="H405" i="2"/>
  <c r="G405" i="2"/>
  <c r="D405" i="2"/>
  <c r="B405" i="2"/>
  <c r="A405" i="2"/>
  <c r="J404" i="2"/>
  <c r="I404" i="2"/>
  <c r="H404" i="2"/>
  <c r="G404" i="2"/>
  <c r="D404" i="2"/>
  <c r="B404" i="2"/>
  <c r="A404" i="2"/>
  <c r="J403" i="2"/>
  <c r="I403" i="2"/>
  <c r="H403" i="2"/>
  <c r="G403" i="2"/>
  <c r="D403" i="2"/>
  <c r="B403" i="2"/>
  <c r="A403" i="2"/>
  <c r="J402" i="2"/>
  <c r="I402" i="2"/>
  <c r="H402" i="2"/>
  <c r="G402" i="2"/>
  <c r="D402" i="2"/>
  <c r="B402" i="2"/>
  <c r="A402" i="2"/>
  <c r="J401" i="2"/>
  <c r="I401" i="2"/>
  <c r="H401" i="2"/>
  <c r="G401" i="2"/>
  <c r="D401" i="2"/>
  <c r="B401" i="2"/>
  <c r="A401" i="2"/>
  <c r="J400" i="2"/>
  <c r="I400" i="2"/>
  <c r="H400" i="2"/>
  <c r="G400" i="2"/>
  <c r="D400" i="2"/>
  <c r="B400" i="2"/>
  <c r="A400" i="2"/>
  <c r="J399" i="2"/>
  <c r="I399" i="2"/>
  <c r="H399" i="2"/>
  <c r="G399" i="2"/>
  <c r="D399" i="2"/>
  <c r="B399" i="2"/>
  <c r="A399" i="2"/>
  <c r="J398" i="2"/>
  <c r="I398" i="2"/>
  <c r="H398" i="2"/>
  <c r="G398" i="2"/>
  <c r="D398" i="2"/>
  <c r="B398" i="2"/>
  <c r="A398" i="2"/>
  <c r="J397" i="2"/>
  <c r="I397" i="2"/>
  <c r="H397" i="2"/>
  <c r="G397" i="2"/>
  <c r="D397" i="2"/>
  <c r="B397" i="2"/>
  <c r="A397" i="2"/>
  <c r="J396" i="2"/>
  <c r="I396" i="2"/>
  <c r="H396" i="2"/>
  <c r="G396" i="2"/>
  <c r="D396" i="2"/>
  <c r="B396" i="2"/>
  <c r="A396" i="2"/>
  <c r="J395" i="2"/>
  <c r="I395" i="2"/>
  <c r="H395" i="2"/>
  <c r="G395" i="2"/>
  <c r="D395" i="2"/>
  <c r="B395" i="2"/>
  <c r="A395" i="2"/>
  <c r="J394" i="2"/>
  <c r="I394" i="2"/>
  <c r="H394" i="2"/>
  <c r="G394" i="2"/>
  <c r="D394" i="2"/>
  <c r="B394" i="2"/>
  <c r="A394" i="2"/>
  <c r="J393" i="2"/>
  <c r="I393" i="2"/>
  <c r="H393" i="2"/>
  <c r="G393" i="2"/>
  <c r="D393" i="2"/>
  <c r="B393" i="2"/>
  <c r="A393" i="2"/>
  <c r="J392" i="2"/>
  <c r="I392" i="2"/>
  <c r="H392" i="2"/>
  <c r="G392" i="2"/>
  <c r="D392" i="2"/>
  <c r="B392" i="2"/>
  <c r="A392" i="2"/>
  <c r="J391" i="2"/>
  <c r="I391" i="2"/>
  <c r="H391" i="2"/>
  <c r="G391" i="2"/>
  <c r="D391" i="2"/>
  <c r="B391" i="2"/>
  <c r="A391" i="2"/>
  <c r="J390" i="2"/>
  <c r="I390" i="2"/>
  <c r="H390" i="2"/>
  <c r="G390" i="2"/>
  <c r="D390" i="2"/>
  <c r="B390" i="2"/>
  <c r="A390" i="2"/>
  <c r="J389" i="2"/>
  <c r="I389" i="2"/>
  <c r="H389" i="2"/>
  <c r="G389" i="2"/>
  <c r="D389" i="2"/>
  <c r="B389" i="2"/>
  <c r="A389" i="2"/>
  <c r="J388" i="2"/>
  <c r="I388" i="2"/>
  <c r="H388" i="2"/>
  <c r="G388" i="2"/>
  <c r="D388" i="2"/>
  <c r="B388" i="2"/>
  <c r="A388" i="2"/>
  <c r="J387" i="2"/>
  <c r="I387" i="2"/>
  <c r="H387" i="2"/>
  <c r="G387" i="2"/>
  <c r="D387" i="2"/>
  <c r="B387" i="2"/>
  <c r="A387" i="2"/>
  <c r="J386" i="2"/>
  <c r="I386" i="2"/>
  <c r="H386" i="2"/>
  <c r="G386" i="2"/>
  <c r="D386" i="2"/>
  <c r="B386" i="2"/>
  <c r="A386" i="2"/>
  <c r="J385" i="2"/>
  <c r="I385" i="2"/>
  <c r="H385" i="2"/>
  <c r="G385" i="2"/>
  <c r="D385" i="2"/>
  <c r="B385" i="2"/>
  <c r="A385" i="2"/>
  <c r="J384" i="2"/>
  <c r="I384" i="2"/>
  <c r="H384" i="2"/>
  <c r="G384" i="2"/>
  <c r="D384" i="2"/>
  <c r="B384" i="2"/>
  <c r="A384" i="2"/>
  <c r="J383" i="2"/>
  <c r="I383" i="2"/>
  <c r="H383" i="2"/>
  <c r="G383" i="2"/>
  <c r="D383" i="2"/>
  <c r="B383" i="2"/>
  <c r="A383" i="2"/>
  <c r="J382" i="2"/>
  <c r="I382" i="2"/>
  <c r="H382" i="2"/>
  <c r="G382" i="2"/>
  <c r="D382" i="2"/>
  <c r="B382" i="2"/>
  <c r="A382" i="2"/>
  <c r="J381" i="2"/>
  <c r="I381" i="2"/>
  <c r="H381" i="2"/>
  <c r="G381" i="2"/>
  <c r="D381" i="2"/>
  <c r="B381" i="2"/>
  <c r="A381" i="2"/>
  <c r="J380" i="2"/>
  <c r="I380" i="2"/>
  <c r="H380" i="2"/>
  <c r="G380" i="2"/>
  <c r="D380" i="2"/>
  <c r="B380" i="2"/>
  <c r="A380" i="2"/>
  <c r="J379" i="2"/>
  <c r="I379" i="2"/>
  <c r="H379" i="2"/>
  <c r="G379" i="2"/>
  <c r="D379" i="2"/>
  <c r="B379" i="2"/>
  <c r="A379" i="2"/>
  <c r="J378" i="2"/>
  <c r="I378" i="2"/>
  <c r="H378" i="2"/>
  <c r="G378" i="2"/>
  <c r="D378" i="2"/>
  <c r="B378" i="2"/>
  <c r="A378" i="2"/>
  <c r="J377" i="2"/>
  <c r="I377" i="2"/>
  <c r="H377" i="2"/>
  <c r="G377" i="2"/>
  <c r="D377" i="2"/>
  <c r="B377" i="2"/>
  <c r="A377" i="2"/>
  <c r="J376" i="2"/>
  <c r="I376" i="2"/>
  <c r="H376" i="2"/>
  <c r="G376" i="2"/>
  <c r="D376" i="2"/>
  <c r="B376" i="2"/>
  <c r="A376" i="2"/>
  <c r="J375" i="2"/>
  <c r="I375" i="2"/>
  <c r="H375" i="2"/>
  <c r="G375" i="2"/>
  <c r="D375" i="2"/>
  <c r="B375" i="2"/>
  <c r="A375" i="2"/>
  <c r="J374" i="2"/>
  <c r="I374" i="2"/>
  <c r="H374" i="2"/>
  <c r="G374" i="2"/>
  <c r="D374" i="2"/>
  <c r="B374" i="2"/>
  <c r="A374" i="2"/>
  <c r="J373" i="2"/>
  <c r="I373" i="2"/>
  <c r="H373" i="2"/>
  <c r="G373" i="2"/>
  <c r="D373" i="2"/>
  <c r="B373" i="2"/>
  <c r="A373" i="2"/>
  <c r="J372" i="2"/>
  <c r="I372" i="2"/>
  <c r="H372" i="2"/>
  <c r="G372" i="2"/>
  <c r="D372" i="2"/>
  <c r="B372" i="2"/>
  <c r="A372" i="2"/>
  <c r="J371" i="2"/>
  <c r="I371" i="2"/>
  <c r="H371" i="2"/>
  <c r="G371" i="2"/>
  <c r="D371" i="2"/>
  <c r="B371" i="2"/>
  <c r="A371" i="2"/>
  <c r="J370" i="2"/>
  <c r="I370" i="2"/>
  <c r="H370" i="2"/>
  <c r="G370" i="2"/>
  <c r="D370" i="2"/>
  <c r="B370" i="2"/>
  <c r="A370" i="2"/>
  <c r="J369" i="2"/>
  <c r="I369" i="2"/>
  <c r="H369" i="2"/>
  <c r="G369" i="2"/>
  <c r="D369" i="2"/>
  <c r="B369" i="2"/>
  <c r="A369" i="2"/>
  <c r="J368" i="2"/>
  <c r="I368" i="2"/>
  <c r="H368" i="2"/>
  <c r="G368" i="2"/>
  <c r="D368" i="2"/>
  <c r="B368" i="2"/>
  <c r="A368" i="2"/>
  <c r="J367" i="2"/>
  <c r="I367" i="2"/>
  <c r="H367" i="2"/>
  <c r="G367" i="2"/>
  <c r="D367" i="2"/>
  <c r="B367" i="2"/>
  <c r="A367" i="2"/>
  <c r="J366" i="2"/>
  <c r="I366" i="2"/>
  <c r="H366" i="2"/>
  <c r="G366" i="2"/>
  <c r="D366" i="2"/>
  <c r="B366" i="2"/>
  <c r="A366" i="2"/>
  <c r="J365" i="2"/>
  <c r="I365" i="2"/>
  <c r="H365" i="2"/>
  <c r="G365" i="2"/>
  <c r="D365" i="2"/>
  <c r="B365" i="2"/>
  <c r="A365" i="2"/>
  <c r="J364" i="2"/>
  <c r="I364" i="2"/>
  <c r="H364" i="2"/>
  <c r="G364" i="2"/>
  <c r="D364" i="2"/>
  <c r="B364" i="2"/>
  <c r="A364" i="2"/>
  <c r="J363" i="2"/>
  <c r="I363" i="2"/>
  <c r="H363" i="2"/>
  <c r="G363" i="2"/>
  <c r="D363" i="2"/>
  <c r="B363" i="2"/>
  <c r="A363" i="2"/>
  <c r="J362" i="2"/>
  <c r="I362" i="2"/>
  <c r="H362" i="2"/>
  <c r="G362" i="2"/>
  <c r="D362" i="2"/>
  <c r="B362" i="2"/>
  <c r="A362" i="2"/>
  <c r="J361" i="2"/>
  <c r="I361" i="2"/>
  <c r="H361" i="2"/>
  <c r="G361" i="2"/>
  <c r="D361" i="2"/>
  <c r="B361" i="2"/>
  <c r="A361" i="2"/>
  <c r="J360" i="2"/>
  <c r="I360" i="2"/>
  <c r="H360" i="2"/>
  <c r="G360" i="2"/>
  <c r="D360" i="2"/>
  <c r="B360" i="2"/>
  <c r="A360" i="2"/>
  <c r="J359" i="2"/>
  <c r="I359" i="2"/>
  <c r="H359" i="2"/>
  <c r="G359" i="2"/>
  <c r="D359" i="2"/>
  <c r="B359" i="2"/>
  <c r="A359" i="2"/>
  <c r="J358" i="2"/>
  <c r="I358" i="2"/>
  <c r="H358" i="2"/>
  <c r="G358" i="2"/>
  <c r="D358" i="2"/>
  <c r="B358" i="2"/>
  <c r="A358" i="2"/>
  <c r="J357" i="2"/>
  <c r="I357" i="2"/>
  <c r="H357" i="2"/>
  <c r="G357" i="2"/>
  <c r="D357" i="2"/>
  <c r="B357" i="2"/>
  <c r="A357" i="2"/>
  <c r="J356" i="2"/>
  <c r="I356" i="2"/>
  <c r="H356" i="2"/>
  <c r="G356" i="2"/>
  <c r="D356" i="2"/>
  <c r="B356" i="2"/>
  <c r="A356" i="2"/>
  <c r="J355" i="2"/>
  <c r="I355" i="2"/>
  <c r="H355" i="2"/>
  <c r="G355" i="2"/>
  <c r="D355" i="2"/>
  <c r="B355" i="2"/>
  <c r="A355" i="2"/>
  <c r="J354" i="2"/>
  <c r="I354" i="2"/>
  <c r="H354" i="2"/>
  <c r="G354" i="2"/>
  <c r="D354" i="2"/>
  <c r="B354" i="2"/>
  <c r="A354" i="2"/>
  <c r="J353" i="2"/>
  <c r="I353" i="2"/>
  <c r="H353" i="2"/>
  <c r="G353" i="2"/>
  <c r="D353" i="2"/>
  <c r="B353" i="2"/>
  <c r="A353" i="2"/>
  <c r="J352" i="2"/>
  <c r="I352" i="2"/>
  <c r="H352" i="2"/>
  <c r="G352" i="2"/>
  <c r="D352" i="2"/>
  <c r="B352" i="2"/>
  <c r="A352" i="2"/>
  <c r="J351" i="2"/>
  <c r="I351" i="2"/>
  <c r="H351" i="2"/>
  <c r="G351" i="2"/>
  <c r="D351" i="2"/>
  <c r="B351" i="2"/>
  <c r="A351" i="2"/>
  <c r="J350" i="2"/>
  <c r="I350" i="2"/>
  <c r="H350" i="2"/>
  <c r="G350" i="2"/>
  <c r="D350" i="2"/>
  <c r="B350" i="2"/>
  <c r="A350" i="2"/>
  <c r="J349" i="2"/>
  <c r="I349" i="2"/>
  <c r="H349" i="2"/>
  <c r="G349" i="2"/>
  <c r="D349" i="2"/>
  <c r="B349" i="2"/>
  <c r="A349" i="2"/>
  <c r="J348" i="2"/>
  <c r="I348" i="2"/>
  <c r="H348" i="2"/>
  <c r="G348" i="2"/>
  <c r="D348" i="2"/>
  <c r="B348" i="2"/>
  <c r="A348" i="2"/>
  <c r="J347" i="2"/>
  <c r="I347" i="2"/>
  <c r="H347" i="2"/>
  <c r="G347" i="2"/>
  <c r="D347" i="2"/>
  <c r="B347" i="2"/>
  <c r="A347" i="2"/>
  <c r="J346" i="2"/>
  <c r="I346" i="2"/>
  <c r="H346" i="2"/>
  <c r="G346" i="2"/>
  <c r="D346" i="2"/>
  <c r="B346" i="2"/>
  <c r="A346" i="2"/>
  <c r="J345" i="2"/>
  <c r="I345" i="2"/>
  <c r="H345" i="2"/>
  <c r="G345" i="2"/>
  <c r="D345" i="2"/>
  <c r="B345" i="2"/>
  <c r="A345" i="2"/>
  <c r="J344" i="2"/>
  <c r="I344" i="2"/>
  <c r="H344" i="2"/>
  <c r="G344" i="2"/>
  <c r="D344" i="2"/>
  <c r="B344" i="2"/>
  <c r="A344" i="2"/>
  <c r="J343" i="2"/>
  <c r="I343" i="2"/>
  <c r="H343" i="2"/>
  <c r="G343" i="2"/>
  <c r="D343" i="2"/>
  <c r="B343" i="2"/>
  <c r="A343" i="2"/>
  <c r="J342" i="2"/>
  <c r="I342" i="2"/>
  <c r="H342" i="2"/>
  <c r="G342" i="2"/>
  <c r="D342" i="2"/>
  <c r="B342" i="2"/>
  <c r="A342" i="2"/>
  <c r="J341" i="2"/>
  <c r="I341" i="2"/>
  <c r="H341" i="2"/>
  <c r="G341" i="2"/>
  <c r="D341" i="2"/>
  <c r="B341" i="2"/>
  <c r="A341" i="2"/>
  <c r="J340" i="2"/>
  <c r="I340" i="2"/>
  <c r="H340" i="2"/>
  <c r="G340" i="2"/>
  <c r="D340" i="2"/>
  <c r="B340" i="2"/>
  <c r="A340" i="2"/>
  <c r="J339" i="2"/>
  <c r="I339" i="2"/>
  <c r="H339" i="2"/>
  <c r="G339" i="2"/>
  <c r="D339" i="2"/>
  <c r="B339" i="2"/>
  <c r="A339" i="2"/>
  <c r="J338" i="2"/>
  <c r="I338" i="2"/>
  <c r="H338" i="2"/>
  <c r="G338" i="2"/>
  <c r="D338" i="2"/>
  <c r="B338" i="2"/>
  <c r="A338" i="2"/>
  <c r="J337" i="2"/>
  <c r="I337" i="2"/>
  <c r="H337" i="2"/>
  <c r="G337" i="2"/>
  <c r="D337" i="2"/>
  <c r="B337" i="2"/>
  <c r="A337" i="2"/>
  <c r="J336" i="2"/>
  <c r="I336" i="2"/>
  <c r="H336" i="2"/>
  <c r="G336" i="2"/>
  <c r="D336" i="2"/>
  <c r="B336" i="2"/>
  <c r="A336" i="2"/>
  <c r="J335" i="2"/>
  <c r="I335" i="2"/>
  <c r="H335" i="2"/>
  <c r="G335" i="2"/>
  <c r="D335" i="2"/>
  <c r="B335" i="2"/>
  <c r="A335" i="2"/>
  <c r="J334" i="2"/>
  <c r="I334" i="2"/>
  <c r="H334" i="2"/>
  <c r="G334" i="2"/>
  <c r="D334" i="2"/>
  <c r="B334" i="2"/>
  <c r="A334" i="2"/>
  <c r="J333" i="2"/>
  <c r="I333" i="2"/>
  <c r="H333" i="2"/>
  <c r="G333" i="2"/>
  <c r="D333" i="2"/>
  <c r="B333" i="2"/>
  <c r="A333" i="2"/>
  <c r="J332" i="2"/>
  <c r="I332" i="2"/>
  <c r="H332" i="2"/>
  <c r="G332" i="2"/>
  <c r="D332" i="2"/>
  <c r="B332" i="2"/>
  <c r="A332" i="2"/>
  <c r="J331" i="2"/>
  <c r="I331" i="2"/>
  <c r="H331" i="2"/>
  <c r="G331" i="2"/>
  <c r="D331" i="2"/>
  <c r="B331" i="2"/>
  <c r="A331" i="2"/>
  <c r="J330" i="2"/>
  <c r="I330" i="2"/>
  <c r="H330" i="2"/>
  <c r="G330" i="2"/>
  <c r="D330" i="2"/>
  <c r="B330" i="2"/>
  <c r="A330" i="2"/>
  <c r="J329" i="2"/>
  <c r="I329" i="2"/>
  <c r="H329" i="2"/>
  <c r="G329" i="2"/>
  <c r="D329" i="2"/>
  <c r="B329" i="2"/>
  <c r="A329" i="2"/>
  <c r="J328" i="2"/>
  <c r="I328" i="2"/>
  <c r="H328" i="2"/>
  <c r="G328" i="2"/>
  <c r="D328" i="2"/>
  <c r="B328" i="2"/>
  <c r="A328" i="2"/>
  <c r="J327" i="2"/>
  <c r="I327" i="2"/>
  <c r="H327" i="2"/>
  <c r="G327" i="2"/>
  <c r="D327" i="2"/>
  <c r="B327" i="2"/>
  <c r="A327" i="2"/>
  <c r="J326" i="2"/>
  <c r="I326" i="2"/>
  <c r="H326" i="2"/>
  <c r="G326" i="2"/>
  <c r="D326" i="2"/>
  <c r="B326" i="2"/>
  <c r="A326" i="2"/>
  <c r="J325" i="2"/>
  <c r="I325" i="2"/>
  <c r="H325" i="2"/>
  <c r="G325" i="2"/>
  <c r="D325" i="2"/>
  <c r="B325" i="2"/>
  <c r="A325" i="2"/>
  <c r="J324" i="2"/>
  <c r="I324" i="2"/>
  <c r="H324" i="2"/>
  <c r="G324" i="2"/>
  <c r="D324" i="2"/>
  <c r="B324" i="2"/>
  <c r="A324" i="2"/>
  <c r="J323" i="2"/>
  <c r="I323" i="2"/>
  <c r="H323" i="2"/>
  <c r="G323" i="2"/>
  <c r="D323" i="2"/>
  <c r="B323" i="2"/>
  <c r="A323" i="2"/>
  <c r="J322" i="2"/>
  <c r="I322" i="2"/>
  <c r="H322" i="2"/>
  <c r="G322" i="2"/>
  <c r="D322" i="2"/>
  <c r="B322" i="2"/>
  <c r="A322" i="2"/>
  <c r="J321" i="2"/>
  <c r="I321" i="2"/>
  <c r="H321" i="2"/>
  <c r="G321" i="2"/>
  <c r="D321" i="2"/>
  <c r="B321" i="2"/>
  <c r="A321" i="2"/>
  <c r="J320" i="2"/>
  <c r="I320" i="2"/>
  <c r="H320" i="2"/>
  <c r="G320" i="2"/>
  <c r="D320" i="2"/>
  <c r="B320" i="2"/>
  <c r="A320" i="2"/>
  <c r="J319" i="2"/>
  <c r="I319" i="2"/>
  <c r="H319" i="2"/>
  <c r="G319" i="2"/>
  <c r="D319" i="2"/>
  <c r="B319" i="2"/>
  <c r="A319" i="2"/>
  <c r="J318" i="2"/>
  <c r="I318" i="2"/>
  <c r="H318" i="2"/>
  <c r="G318" i="2"/>
  <c r="D318" i="2"/>
  <c r="B318" i="2"/>
  <c r="A318" i="2"/>
  <c r="J317" i="2"/>
  <c r="I317" i="2"/>
  <c r="H317" i="2"/>
  <c r="G317" i="2"/>
  <c r="D317" i="2"/>
  <c r="B317" i="2"/>
  <c r="A317" i="2"/>
  <c r="J316" i="2"/>
  <c r="I316" i="2"/>
  <c r="H316" i="2"/>
  <c r="G316" i="2"/>
  <c r="D316" i="2"/>
  <c r="B316" i="2"/>
  <c r="A316" i="2"/>
  <c r="J315" i="2"/>
  <c r="I315" i="2"/>
  <c r="H315" i="2"/>
  <c r="G315" i="2"/>
  <c r="D315" i="2"/>
  <c r="B315" i="2"/>
  <c r="A315" i="2"/>
  <c r="J314" i="2"/>
  <c r="I314" i="2"/>
  <c r="H314" i="2"/>
  <c r="G314" i="2"/>
  <c r="D314" i="2"/>
  <c r="B314" i="2"/>
  <c r="A314" i="2"/>
  <c r="J313" i="2"/>
  <c r="I313" i="2"/>
  <c r="H313" i="2"/>
  <c r="G313" i="2"/>
  <c r="D313" i="2"/>
  <c r="B313" i="2"/>
  <c r="A313" i="2"/>
  <c r="J312" i="2"/>
  <c r="I312" i="2"/>
  <c r="H312" i="2"/>
  <c r="G312" i="2"/>
  <c r="D312" i="2"/>
  <c r="B312" i="2"/>
  <c r="A312" i="2"/>
  <c r="J311" i="2"/>
  <c r="I311" i="2"/>
  <c r="H311" i="2"/>
  <c r="G311" i="2"/>
  <c r="D311" i="2"/>
  <c r="B311" i="2"/>
  <c r="A311" i="2"/>
  <c r="J310" i="2"/>
  <c r="I310" i="2"/>
  <c r="H310" i="2"/>
  <c r="G310" i="2"/>
  <c r="D310" i="2"/>
  <c r="B310" i="2"/>
  <c r="A310" i="2"/>
  <c r="J309" i="2"/>
  <c r="I309" i="2"/>
  <c r="H309" i="2"/>
  <c r="G309" i="2"/>
  <c r="D309" i="2"/>
  <c r="B309" i="2"/>
  <c r="A309" i="2"/>
  <c r="J308" i="2"/>
  <c r="I308" i="2"/>
  <c r="H308" i="2"/>
  <c r="G308" i="2"/>
  <c r="D308" i="2"/>
  <c r="B308" i="2"/>
  <c r="A308" i="2"/>
  <c r="J307" i="2"/>
  <c r="I307" i="2"/>
  <c r="H307" i="2"/>
  <c r="G307" i="2"/>
  <c r="D307" i="2"/>
  <c r="B307" i="2"/>
  <c r="A307" i="2"/>
  <c r="J306" i="2"/>
  <c r="I306" i="2"/>
  <c r="H306" i="2"/>
  <c r="G306" i="2"/>
  <c r="D306" i="2"/>
  <c r="B306" i="2"/>
  <c r="A306" i="2"/>
  <c r="J305" i="2"/>
  <c r="I305" i="2"/>
  <c r="H305" i="2"/>
  <c r="G305" i="2"/>
  <c r="D305" i="2"/>
  <c r="B305" i="2"/>
  <c r="A305" i="2"/>
  <c r="J304" i="2"/>
  <c r="I304" i="2"/>
  <c r="H304" i="2"/>
  <c r="G304" i="2"/>
  <c r="D304" i="2"/>
  <c r="B304" i="2"/>
  <c r="A304" i="2"/>
  <c r="J303" i="2"/>
  <c r="I303" i="2"/>
  <c r="H303" i="2"/>
  <c r="G303" i="2"/>
  <c r="D303" i="2"/>
  <c r="B303" i="2"/>
  <c r="A303" i="2"/>
  <c r="J302" i="2"/>
  <c r="I302" i="2"/>
  <c r="H302" i="2"/>
  <c r="G302" i="2"/>
  <c r="D302" i="2"/>
  <c r="B302" i="2"/>
  <c r="A302" i="2"/>
  <c r="J301" i="2"/>
  <c r="I301" i="2"/>
  <c r="H301" i="2"/>
  <c r="G301" i="2"/>
  <c r="D301" i="2"/>
  <c r="B301" i="2"/>
  <c r="A301" i="2"/>
  <c r="J300" i="2"/>
  <c r="I300" i="2"/>
  <c r="H300" i="2"/>
  <c r="G300" i="2"/>
  <c r="D300" i="2"/>
  <c r="B300" i="2"/>
  <c r="A300" i="2"/>
  <c r="J299" i="2"/>
  <c r="I299" i="2"/>
  <c r="H299" i="2"/>
  <c r="G299" i="2"/>
  <c r="D299" i="2"/>
  <c r="B299" i="2"/>
  <c r="A299" i="2"/>
  <c r="J298" i="2"/>
  <c r="I298" i="2"/>
  <c r="H298" i="2"/>
  <c r="G298" i="2"/>
  <c r="D298" i="2"/>
  <c r="B298" i="2"/>
  <c r="A298" i="2"/>
  <c r="J297" i="2"/>
  <c r="I297" i="2"/>
  <c r="H297" i="2"/>
  <c r="G297" i="2"/>
  <c r="D297" i="2"/>
  <c r="B297" i="2"/>
  <c r="A297" i="2"/>
  <c r="J296" i="2"/>
  <c r="I296" i="2"/>
  <c r="H296" i="2"/>
  <c r="G296" i="2"/>
  <c r="D296" i="2"/>
  <c r="B296" i="2"/>
  <c r="A296" i="2"/>
  <c r="J295" i="2"/>
  <c r="I295" i="2"/>
  <c r="H295" i="2"/>
  <c r="G295" i="2"/>
  <c r="D295" i="2"/>
  <c r="B295" i="2"/>
  <c r="A295" i="2"/>
  <c r="J294" i="2"/>
  <c r="I294" i="2"/>
  <c r="H294" i="2"/>
  <c r="G294" i="2"/>
  <c r="D294" i="2"/>
  <c r="B294" i="2"/>
  <c r="A294" i="2"/>
  <c r="J293" i="2"/>
  <c r="I293" i="2"/>
  <c r="H293" i="2"/>
  <c r="G293" i="2"/>
  <c r="D293" i="2"/>
  <c r="B293" i="2"/>
  <c r="A293" i="2"/>
  <c r="J292" i="2"/>
  <c r="I292" i="2"/>
  <c r="H292" i="2"/>
  <c r="G292" i="2"/>
  <c r="D292" i="2"/>
  <c r="B292" i="2"/>
  <c r="A292" i="2"/>
  <c r="J291" i="2"/>
  <c r="I291" i="2"/>
  <c r="H291" i="2"/>
  <c r="G291" i="2"/>
  <c r="D291" i="2"/>
  <c r="B291" i="2"/>
  <c r="A291" i="2"/>
  <c r="J290" i="2"/>
  <c r="I290" i="2"/>
  <c r="H290" i="2"/>
  <c r="G290" i="2"/>
  <c r="D290" i="2"/>
  <c r="B290" i="2"/>
  <c r="A290" i="2"/>
  <c r="J289" i="2"/>
  <c r="I289" i="2"/>
  <c r="H289" i="2"/>
  <c r="G289" i="2"/>
  <c r="D289" i="2"/>
  <c r="B289" i="2"/>
  <c r="A289" i="2"/>
  <c r="J288" i="2"/>
  <c r="I288" i="2"/>
  <c r="H288" i="2"/>
  <c r="G288" i="2"/>
  <c r="D288" i="2"/>
  <c r="B288" i="2"/>
  <c r="A288" i="2"/>
  <c r="J287" i="2"/>
  <c r="I287" i="2"/>
  <c r="H287" i="2"/>
  <c r="G287" i="2"/>
  <c r="D287" i="2"/>
  <c r="B287" i="2"/>
  <c r="A287" i="2"/>
  <c r="J286" i="2"/>
  <c r="I286" i="2"/>
  <c r="H286" i="2"/>
  <c r="G286" i="2"/>
  <c r="D286" i="2"/>
  <c r="B286" i="2"/>
  <c r="A286" i="2"/>
  <c r="J285" i="2"/>
  <c r="I285" i="2"/>
  <c r="H285" i="2"/>
  <c r="G285" i="2"/>
  <c r="D285" i="2"/>
  <c r="B285" i="2"/>
  <c r="A285" i="2"/>
  <c r="J284" i="2"/>
  <c r="I284" i="2"/>
  <c r="H284" i="2"/>
  <c r="G284" i="2"/>
  <c r="D284" i="2"/>
  <c r="B284" i="2"/>
  <c r="A284" i="2"/>
  <c r="J283" i="2"/>
  <c r="I283" i="2"/>
  <c r="H283" i="2"/>
  <c r="G283" i="2"/>
  <c r="D283" i="2"/>
  <c r="B283" i="2"/>
  <c r="A283" i="2"/>
  <c r="J282" i="2"/>
  <c r="I282" i="2"/>
  <c r="H282" i="2"/>
  <c r="G282" i="2"/>
  <c r="D282" i="2"/>
  <c r="B282" i="2"/>
  <c r="A282" i="2"/>
  <c r="J281" i="2"/>
  <c r="I281" i="2"/>
  <c r="H281" i="2"/>
  <c r="G281" i="2"/>
  <c r="D281" i="2"/>
  <c r="B281" i="2"/>
  <c r="A281" i="2"/>
  <c r="J280" i="2"/>
  <c r="I280" i="2"/>
  <c r="H280" i="2"/>
  <c r="G280" i="2"/>
  <c r="D280" i="2"/>
  <c r="B280" i="2"/>
  <c r="A280" i="2"/>
  <c r="J279" i="2"/>
  <c r="I279" i="2"/>
  <c r="H279" i="2"/>
  <c r="G279" i="2"/>
  <c r="D279" i="2"/>
  <c r="B279" i="2"/>
  <c r="A279" i="2"/>
  <c r="J278" i="2"/>
  <c r="I278" i="2"/>
  <c r="H278" i="2"/>
  <c r="G278" i="2"/>
  <c r="D278" i="2"/>
  <c r="B278" i="2"/>
  <c r="A278" i="2"/>
  <c r="J277" i="2"/>
  <c r="I277" i="2"/>
  <c r="H277" i="2"/>
  <c r="G277" i="2"/>
  <c r="D277" i="2"/>
  <c r="B277" i="2"/>
  <c r="A277" i="2"/>
  <c r="J276" i="2"/>
  <c r="I276" i="2"/>
  <c r="H276" i="2"/>
  <c r="G276" i="2"/>
  <c r="D276" i="2"/>
  <c r="B276" i="2"/>
  <c r="A276" i="2"/>
  <c r="J275" i="2"/>
  <c r="I275" i="2"/>
  <c r="H275" i="2"/>
  <c r="G275" i="2"/>
  <c r="D275" i="2"/>
  <c r="B275" i="2"/>
  <c r="A275" i="2"/>
  <c r="J274" i="2"/>
  <c r="I274" i="2"/>
  <c r="H274" i="2"/>
  <c r="G274" i="2"/>
  <c r="D274" i="2"/>
  <c r="B274" i="2"/>
  <c r="A274" i="2"/>
  <c r="J273" i="2"/>
  <c r="I273" i="2"/>
  <c r="H273" i="2"/>
  <c r="G273" i="2"/>
  <c r="D273" i="2"/>
  <c r="B273" i="2"/>
  <c r="A273" i="2"/>
  <c r="J272" i="2"/>
  <c r="I272" i="2"/>
  <c r="H272" i="2"/>
  <c r="G272" i="2"/>
  <c r="D272" i="2"/>
  <c r="B272" i="2"/>
  <c r="A272" i="2"/>
  <c r="J271" i="2"/>
  <c r="I271" i="2"/>
  <c r="H271" i="2"/>
  <c r="G271" i="2"/>
  <c r="D271" i="2"/>
  <c r="B271" i="2"/>
  <c r="A271" i="2"/>
  <c r="J270" i="2"/>
  <c r="I270" i="2"/>
  <c r="H270" i="2"/>
  <c r="G270" i="2"/>
  <c r="D270" i="2"/>
  <c r="B270" i="2"/>
  <c r="A270" i="2"/>
  <c r="J269" i="2"/>
  <c r="I269" i="2"/>
  <c r="H269" i="2"/>
  <c r="G269" i="2"/>
  <c r="D269" i="2"/>
  <c r="B269" i="2"/>
  <c r="A269" i="2"/>
  <c r="J268" i="2"/>
  <c r="I268" i="2"/>
  <c r="H268" i="2"/>
  <c r="G268" i="2"/>
  <c r="D268" i="2"/>
  <c r="B268" i="2"/>
  <c r="A268" i="2"/>
  <c r="J267" i="2"/>
  <c r="I267" i="2"/>
  <c r="H267" i="2"/>
  <c r="G267" i="2"/>
  <c r="D267" i="2"/>
  <c r="B267" i="2"/>
  <c r="A267" i="2"/>
  <c r="J266" i="2"/>
  <c r="I266" i="2"/>
  <c r="H266" i="2"/>
  <c r="G266" i="2"/>
  <c r="D266" i="2"/>
  <c r="B266" i="2"/>
  <c r="A266" i="2"/>
  <c r="J265" i="2"/>
  <c r="I265" i="2"/>
  <c r="H265" i="2"/>
  <c r="G265" i="2"/>
  <c r="D265" i="2"/>
  <c r="B265" i="2"/>
  <c r="A265" i="2"/>
  <c r="J264" i="2"/>
  <c r="I264" i="2"/>
  <c r="H264" i="2"/>
  <c r="G264" i="2"/>
  <c r="D264" i="2"/>
  <c r="B264" i="2"/>
  <c r="A264" i="2"/>
  <c r="J263" i="2"/>
  <c r="I263" i="2"/>
  <c r="H263" i="2"/>
  <c r="G263" i="2"/>
  <c r="D263" i="2"/>
  <c r="B263" i="2"/>
  <c r="A263" i="2"/>
  <c r="J262" i="2"/>
  <c r="I262" i="2"/>
  <c r="H262" i="2"/>
  <c r="G262" i="2"/>
  <c r="D262" i="2"/>
  <c r="B262" i="2"/>
  <c r="A262" i="2"/>
  <c r="J261" i="2"/>
  <c r="I261" i="2"/>
  <c r="H261" i="2"/>
  <c r="G261" i="2"/>
  <c r="D261" i="2"/>
  <c r="B261" i="2"/>
  <c r="A261" i="2"/>
  <c r="J260" i="2"/>
  <c r="I260" i="2"/>
  <c r="H260" i="2"/>
  <c r="G260" i="2"/>
  <c r="D260" i="2"/>
  <c r="B260" i="2"/>
  <c r="A260" i="2"/>
  <c r="J259" i="2"/>
  <c r="I259" i="2"/>
  <c r="H259" i="2"/>
  <c r="G259" i="2"/>
  <c r="D259" i="2"/>
  <c r="B259" i="2"/>
  <c r="A259" i="2"/>
  <c r="J258" i="2"/>
  <c r="I258" i="2"/>
  <c r="H258" i="2"/>
  <c r="G258" i="2"/>
  <c r="D258" i="2"/>
  <c r="B258" i="2"/>
  <c r="A258" i="2"/>
  <c r="J257" i="2"/>
  <c r="I257" i="2"/>
  <c r="H257" i="2"/>
  <c r="G257" i="2"/>
  <c r="D257" i="2"/>
  <c r="B257" i="2"/>
  <c r="A257" i="2"/>
  <c r="J256" i="2"/>
  <c r="I256" i="2"/>
  <c r="H256" i="2"/>
  <c r="G256" i="2"/>
  <c r="D256" i="2"/>
  <c r="B256" i="2"/>
  <c r="A256" i="2"/>
  <c r="J255" i="2"/>
  <c r="I255" i="2"/>
  <c r="H255" i="2"/>
  <c r="G255" i="2"/>
  <c r="D255" i="2"/>
  <c r="B255" i="2"/>
  <c r="A255" i="2"/>
  <c r="J254" i="2"/>
  <c r="I254" i="2"/>
  <c r="H254" i="2"/>
  <c r="G254" i="2"/>
  <c r="D254" i="2"/>
  <c r="B254" i="2"/>
  <c r="A254" i="2"/>
  <c r="J253" i="2"/>
  <c r="I253" i="2"/>
  <c r="H253" i="2"/>
  <c r="G253" i="2"/>
  <c r="D253" i="2"/>
  <c r="B253" i="2"/>
  <c r="A253" i="2"/>
  <c r="J252" i="2"/>
  <c r="I252" i="2"/>
  <c r="H252" i="2"/>
  <c r="G252" i="2"/>
  <c r="D252" i="2"/>
  <c r="B252" i="2"/>
  <c r="A252" i="2"/>
  <c r="J251" i="2"/>
  <c r="I251" i="2"/>
  <c r="H251" i="2"/>
  <c r="G251" i="2"/>
  <c r="D251" i="2"/>
  <c r="B251" i="2"/>
  <c r="A251" i="2"/>
  <c r="J250" i="2"/>
  <c r="I250" i="2"/>
  <c r="H250" i="2"/>
  <c r="G250" i="2"/>
  <c r="D250" i="2"/>
  <c r="B250" i="2"/>
  <c r="A250" i="2"/>
  <c r="J249" i="2"/>
  <c r="I249" i="2"/>
  <c r="H249" i="2"/>
  <c r="G249" i="2"/>
  <c r="D249" i="2"/>
  <c r="B249" i="2"/>
  <c r="A249" i="2"/>
  <c r="J248" i="2"/>
  <c r="I248" i="2"/>
  <c r="H248" i="2"/>
  <c r="G248" i="2"/>
  <c r="D248" i="2"/>
  <c r="B248" i="2"/>
  <c r="A248" i="2"/>
  <c r="J247" i="2"/>
  <c r="I247" i="2"/>
  <c r="H247" i="2"/>
  <c r="G247" i="2"/>
  <c r="D247" i="2"/>
  <c r="B247" i="2"/>
  <c r="A247" i="2"/>
  <c r="J246" i="2"/>
  <c r="I246" i="2"/>
  <c r="H246" i="2"/>
  <c r="G246" i="2"/>
  <c r="D246" i="2"/>
  <c r="B246" i="2"/>
  <c r="A246" i="2"/>
  <c r="J245" i="2"/>
  <c r="G245" i="4" s="1"/>
  <c r="I245" i="2"/>
  <c r="H245" i="2"/>
  <c r="G245" i="2"/>
  <c r="D245" i="2"/>
  <c r="B245" i="2"/>
  <c r="A245" i="2"/>
  <c r="J244" i="2"/>
  <c r="I244" i="2"/>
  <c r="H244" i="2"/>
  <c r="G244" i="2"/>
  <c r="D244" i="2"/>
  <c r="B244" i="2"/>
  <c r="A244" i="2"/>
  <c r="J243" i="2"/>
  <c r="I243" i="2"/>
  <c r="H243" i="2"/>
  <c r="G243" i="2"/>
  <c r="D243" i="2"/>
  <c r="B243" i="2"/>
  <c r="A243" i="2"/>
  <c r="J242" i="2"/>
  <c r="I242" i="2"/>
  <c r="H242" i="2"/>
  <c r="G242" i="2"/>
  <c r="D242" i="2"/>
  <c r="B242" i="2"/>
  <c r="A242" i="2"/>
  <c r="J241" i="2"/>
  <c r="I241" i="2"/>
  <c r="H241" i="2"/>
  <c r="G241" i="2"/>
  <c r="D241" i="2"/>
  <c r="B241" i="2"/>
  <c r="A241" i="2"/>
  <c r="J240" i="2"/>
  <c r="I240" i="2"/>
  <c r="F240" i="4" s="1"/>
  <c r="H240" i="2"/>
  <c r="G240" i="2"/>
  <c r="D240" i="2"/>
  <c r="B240" i="2"/>
  <c r="A240" i="2"/>
  <c r="J239" i="2"/>
  <c r="I239" i="2"/>
  <c r="H239" i="2"/>
  <c r="G239" i="2"/>
  <c r="D239" i="2"/>
  <c r="B239" i="2"/>
  <c r="A239" i="2"/>
  <c r="J238" i="2"/>
  <c r="I238" i="2"/>
  <c r="H238" i="2"/>
  <c r="G238" i="2"/>
  <c r="D238" i="2"/>
  <c r="B238" i="2"/>
  <c r="A238" i="2"/>
  <c r="J237" i="2"/>
  <c r="I237" i="2"/>
  <c r="H237" i="2"/>
  <c r="G237" i="2"/>
  <c r="D237" i="2"/>
  <c r="B237" i="2"/>
  <c r="A237" i="2"/>
  <c r="J236" i="2"/>
  <c r="I236" i="2"/>
  <c r="H236" i="2"/>
  <c r="G236" i="2"/>
  <c r="D236" i="2"/>
  <c r="B236" i="2"/>
  <c r="A236" i="2"/>
  <c r="J235" i="2"/>
  <c r="G235" i="4" s="1"/>
  <c r="I235" i="2"/>
  <c r="H235" i="2"/>
  <c r="G235" i="2"/>
  <c r="D235" i="2"/>
  <c r="B235" i="2"/>
  <c r="A235" i="2"/>
  <c r="J234" i="2"/>
  <c r="I234" i="2"/>
  <c r="H234" i="2"/>
  <c r="G234" i="2"/>
  <c r="D234" i="2"/>
  <c r="B234" i="2"/>
  <c r="A234" i="2"/>
  <c r="J233" i="2"/>
  <c r="G233" i="4" s="1"/>
  <c r="I233" i="2"/>
  <c r="H233" i="2"/>
  <c r="G233" i="2"/>
  <c r="D233" i="2"/>
  <c r="B233" i="2"/>
  <c r="A233" i="2"/>
  <c r="J232" i="2"/>
  <c r="I232" i="2"/>
  <c r="H232" i="2"/>
  <c r="G232" i="2"/>
  <c r="D232" i="2"/>
  <c r="B232" i="2"/>
  <c r="A232" i="2"/>
  <c r="J231" i="2"/>
  <c r="I231" i="2"/>
  <c r="H231" i="2"/>
  <c r="G231" i="2"/>
  <c r="D231" i="2"/>
  <c r="B231" i="2"/>
  <c r="A231" i="2"/>
  <c r="J230" i="2"/>
  <c r="I230" i="2"/>
  <c r="H230" i="2"/>
  <c r="G230" i="2"/>
  <c r="D230" i="2"/>
  <c r="B230" i="2"/>
  <c r="A230" i="2"/>
  <c r="J229" i="2"/>
  <c r="I229" i="2"/>
  <c r="H229" i="2"/>
  <c r="G229" i="2"/>
  <c r="D229" i="2"/>
  <c r="B229" i="2"/>
  <c r="A229" i="2"/>
  <c r="J228" i="2"/>
  <c r="I228" i="2"/>
  <c r="F228" i="4" s="1"/>
  <c r="H228" i="2"/>
  <c r="G228" i="2"/>
  <c r="D228" i="2"/>
  <c r="B228" i="2"/>
  <c r="A228" i="2"/>
  <c r="J227" i="2"/>
  <c r="I227" i="2"/>
  <c r="H227" i="2"/>
  <c r="G227" i="2"/>
  <c r="D227" i="2"/>
  <c r="B227" i="2"/>
  <c r="A227" i="2"/>
  <c r="J226" i="2"/>
  <c r="I226" i="2"/>
  <c r="H226" i="2"/>
  <c r="G226" i="2"/>
  <c r="D226" i="2"/>
  <c r="B226" i="2"/>
  <c r="A226" i="2"/>
  <c r="J225" i="2"/>
  <c r="I225" i="2"/>
  <c r="H225" i="2"/>
  <c r="G225" i="2"/>
  <c r="D225" i="2"/>
  <c r="B225" i="2"/>
  <c r="A225" i="2"/>
  <c r="J224" i="2"/>
  <c r="I224" i="2"/>
  <c r="H224" i="2"/>
  <c r="G224" i="2"/>
  <c r="D224" i="2"/>
  <c r="B224" i="2"/>
  <c r="A224" i="2"/>
  <c r="J223" i="2"/>
  <c r="G223" i="4" s="1"/>
  <c r="I223" i="2"/>
  <c r="H223" i="2"/>
  <c r="G223" i="2"/>
  <c r="D223" i="2"/>
  <c r="B223" i="2"/>
  <c r="A223" i="2"/>
  <c r="J222" i="2"/>
  <c r="I222" i="2"/>
  <c r="H222" i="2"/>
  <c r="G222" i="2"/>
  <c r="D222" i="2"/>
  <c r="B222" i="2"/>
  <c r="A222" i="2"/>
  <c r="J221" i="2"/>
  <c r="G221" i="4" s="1"/>
  <c r="I221" i="2"/>
  <c r="H221" i="2"/>
  <c r="G221" i="2"/>
  <c r="D221" i="2"/>
  <c r="B221" i="2"/>
  <c r="A221" i="2"/>
  <c r="J220" i="2"/>
  <c r="I220" i="2"/>
  <c r="H220" i="2"/>
  <c r="G220" i="2"/>
  <c r="D220" i="2"/>
  <c r="B220" i="2"/>
  <c r="A220" i="2"/>
  <c r="J219" i="2"/>
  <c r="I219" i="2"/>
  <c r="H219" i="2"/>
  <c r="G219" i="2"/>
  <c r="D219" i="2"/>
  <c r="B219" i="2"/>
  <c r="A219" i="2"/>
  <c r="J218" i="2"/>
  <c r="I218" i="2"/>
  <c r="H218" i="2"/>
  <c r="G218" i="2"/>
  <c r="D218" i="2"/>
  <c r="B218" i="2"/>
  <c r="A218" i="2"/>
  <c r="J217" i="2"/>
  <c r="I217" i="2"/>
  <c r="H217" i="2"/>
  <c r="G217" i="2"/>
  <c r="D217" i="2"/>
  <c r="B217" i="2"/>
  <c r="A217" i="2"/>
  <c r="J216" i="2"/>
  <c r="I216" i="2"/>
  <c r="F216" i="4" s="1"/>
  <c r="H216" i="2"/>
  <c r="G216" i="2"/>
  <c r="D216" i="2"/>
  <c r="B216" i="2"/>
  <c r="A216" i="2"/>
  <c r="J215" i="2"/>
  <c r="I215" i="2"/>
  <c r="H215" i="2"/>
  <c r="G215" i="2"/>
  <c r="D215" i="2"/>
  <c r="B215" i="2"/>
  <c r="A215" i="2"/>
  <c r="J214" i="2"/>
  <c r="I214" i="2"/>
  <c r="H214" i="2"/>
  <c r="G214" i="2"/>
  <c r="D214" i="2"/>
  <c r="B214" i="2"/>
  <c r="A214" i="2"/>
  <c r="J213" i="2"/>
  <c r="I213" i="2"/>
  <c r="H213" i="2"/>
  <c r="G213" i="2"/>
  <c r="D213" i="2"/>
  <c r="B213" i="2"/>
  <c r="A213" i="2"/>
  <c r="J212" i="2"/>
  <c r="I212" i="2"/>
  <c r="H212" i="2"/>
  <c r="G212" i="2"/>
  <c r="D212" i="2"/>
  <c r="B212" i="2"/>
  <c r="A212" i="2"/>
  <c r="J211" i="2"/>
  <c r="G211" i="4" s="1"/>
  <c r="I211" i="2"/>
  <c r="H211" i="2"/>
  <c r="G211" i="2"/>
  <c r="D211" i="2"/>
  <c r="B211" i="2"/>
  <c r="A211" i="2"/>
  <c r="J210" i="2"/>
  <c r="I210" i="2"/>
  <c r="H210" i="2"/>
  <c r="G210" i="2"/>
  <c r="D210" i="2"/>
  <c r="B210" i="2"/>
  <c r="A210" i="2"/>
  <c r="J209" i="2"/>
  <c r="G209" i="4" s="1"/>
  <c r="I209" i="2"/>
  <c r="H209" i="2"/>
  <c r="G209" i="2"/>
  <c r="D209" i="2"/>
  <c r="B209" i="2"/>
  <c r="A209" i="2"/>
  <c r="J208" i="2"/>
  <c r="I208" i="2"/>
  <c r="H208" i="2"/>
  <c r="G208" i="2"/>
  <c r="D208" i="2"/>
  <c r="B208" i="2"/>
  <c r="A208" i="2"/>
  <c r="J207" i="2"/>
  <c r="I207" i="2"/>
  <c r="H207" i="2"/>
  <c r="G207" i="2"/>
  <c r="D207" i="2"/>
  <c r="B207" i="2"/>
  <c r="A207" i="2"/>
  <c r="J206" i="2"/>
  <c r="I206" i="2"/>
  <c r="H206" i="2"/>
  <c r="G206" i="2"/>
  <c r="D206" i="2"/>
  <c r="B206" i="2"/>
  <c r="A206" i="2"/>
  <c r="J205" i="2"/>
  <c r="I205" i="2"/>
  <c r="H205" i="2"/>
  <c r="G205" i="2"/>
  <c r="D205" i="2"/>
  <c r="B205" i="2"/>
  <c r="A205" i="2"/>
  <c r="J204" i="2"/>
  <c r="I204" i="2"/>
  <c r="H204" i="2"/>
  <c r="G204" i="2"/>
  <c r="D204" i="2"/>
  <c r="B204" i="2"/>
  <c r="A204" i="2"/>
  <c r="J203" i="2"/>
  <c r="I203" i="2"/>
  <c r="H203" i="2"/>
  <c r="G203" i="2"/>
  <c r="D203" i="2"/>
  <c r="B203" i="2"/>
  <c r="A203" i="2"/>
  <c r="J202" i="2"/>
  <c r="I202" i="2"/>
  <c r="H202" i="2"/>
  <c r="G202" i="2"/>
  <c r="D202" i="2"/>
  <c r="B202" i="2"/>
  <c r="A202" i="2"/>
  <c r="J201" i="2"/>
  <c r="I201" i="2"/>
  <c r="H201" i="2"/>
  <c r="G201" i="2"/>
  <c r="D201" i="2"/>
  <c r="B201" i="2"/>
  <c r="A201" i="2"/>
  <c r="J200" i="2"/>
  <c r="I200" i="2"/>
  <c r="H200" i="2"/>
  <c r="G200" i="2"/>
  <c r="D200" i="2"/>
  <c r="B200" i="2"/>
  <c r="A200" i="2"/>
  <c r="J199" i="2"/>
  <c r="G199" i="4" s="1"/>
  <c r="I199" i="2"/>
  <c r="H199" i="2"/>
  <c r="G199" i="2"/>
  <c r="D199" i="2"/>
  <c r="B199" i="2"/>
  <c r="A199" i="2"/>
  <c r="J198" i="2"/>
  <c r="I198" i="2"/>
  <c r="H198" i="2"/>
  <c r="G198" i="2"/>
  <c r="D198" i="2"/>
  <c r="B198" i="2"/>
  <c r="A198" i="2"/>
  <c r="J197" i="2"/>
  <c r="G197" i="4" s="1"/>
  <c r="I197" i="2"/>
  <c r="H197" i="2"/>
  <c r="G197" i="2"/>
  <c r="D197" i="2"/>
  <c r="B197" i="2"/>
  <c r="A197" i="2"/>
  <c r="J196" i="2"/>
  <c r="I196" i="2"/>
  <c r="H196" i="2"/>
  <c r="G196" i="2"/>
  <c r="D196" i="2"/>
  <c r="B196" i="2"/>
  <c r="A196" i="2"/>
  <c r="J195" i="2"/>
  <c r="I195" i="2"/>
  <c r="H195" i="2"/>
  <c r="G195" i="2"/>
  <c r="D195" i="2"/>
  <c r="B195" i="2"/>
  <c r="A195" i="2"/>
  <c r="J194" i="2"/>
  <c r="I194" i="2"/>
  <c r="F194" i="4" s="1"/>
  <c r="H194" i="2"/>
  <c r="G194" i="2"/>
  <c r="D194" i="2"/>
  <c r="B194" i="2"/>
  <c r="A194" i="2"/>
  <c r="J193" i="2"/>
  <c r="I193" i="2"/>
  <c r="H193" i="2"/>
  <c r="G193" i="2"/>
  <c r="D193" i="2"/>
  <c r="B193" i="2"/>
  <c r="A193" i="2"/>
  <c r="J192" i="2"/>
  <c r="I192" i="2"/>
  <c r="F192" i="4" s="1"/>
  <c r="H192" i="2"/>
  <c r="G192" i="2"/>
  <c r="D192" i="2"/>
  <c r="B192" i="2"/>
  <c r="A192" i="2"/>
  <c r="J191" i="2"/>
  <c r="I191" i="2"/>
  <c r="H191" i="2"/>
  <c r="G191" i="2"/>
  <c r="D191" i="2"/>
  <c r="B191" i="2"/>
  <c r="A191" i="2"/>
  <c r="J190" i="2"/>
  <c r="I190" i="2"/>
  <c r="H190" i="2"/>
  <c r="G190" i="2"/>
  <c r="D190" i="2"/>
  <c r="B190" i="2"/>
  <c r="A190" i="2"/>
  <c r="J189" i="2"/>
  <c r="I189" i="2"/>
  <c r="H189" i="2"/>
  <c r="G189" i="2"/>
  <c r="D189" i="2"/>
  <c r="B189" i="2"/>
  <c r="A189" i="2"/>
  <c r="J188" i="2"/>
  <c r="I188" i="2"/>
  <c r="H188" i="2"/>
  <c r="G188" i="2"/>
  <c r="D188" i="2"/>
  <c r="B188" i="2"/>
  <c r="A188" i="2"/>
  <c r="J187" i="2"/>
  <c r="I187" i="2"/>
  <c r="H187" i="2"/>
  <c r="G187" i="2"/>
  <c r="D187" i="2"/>
  <c r="B187" i="2"/>
  <c r="A187" i="2"/>
  <c r="J186" i="2"/>
  <c r="I186" i="2"/>
  <c r="H186" i="2"/>
  <c r="G186" i="2"/>
  <c r="D186" i="2"/>
  <c r="B186" i="2"/>
  <c r="A186" i="2"/>
  <c r="J185" i="2"/>
  <c r="G185" i="4" s="1"/>
  <c r="I185" i="2"/>
  <c r="H185" i="2"/>
  <c r="G185" i="2"/>
  <c r="D185" i="2"/>
  <c r="B185" i="2"/>
  <c r="A185" i="2"/>
  <c r="J184" i="2"/>
  <c r="I184" i="2"/>
  <c r="H184" i="2"/>
  <c r="G184" i="2"/>
  <c r="D184" i="2"/>
  <c r="B184" i="2"/>
  <c r="A184" i="2"/>
  <c r="J183" i="2"/>
  <c r="I183" i="2"/>
  <c r="H183" i="2"/>
  <c r="G183" i="2"/>
  <c r="D183" i="2"/>
  <c r="B183" i="2"/>
  <c r="A183" i="2"/>
  <c r="J182" i="2"/>
  <c r="I182" i="2"/>
  <c r="F182" i="4" s="1"/>
  <c r="H182" i="2"/>
  <c r="G182" i="2"/>
  <c r="D182" i="2"/>
  <c r="B182" i="2"/>
  <c r="A182" i="2"/>
  <c r="J181" i="2"/>
  <c r="I181" i="2"/>
  <c r="H181" i="2"/>
  <c r="G181" i="2"/>
  <c r="D181" i="2"/>
  <c r="B181" i="2"/>
  <c r="A181" i="2"/>
  <c r="J180" i="2"/>
  <c r="I180" i="2"/>
  <c r="F180" i="4" s="1"/>
  <c r="H180" i="2"/>
  <c r="G180" i="2"/>
  <c r="D180" i="2"/>
  <c r="B180" i="2"/>
  <c r="A180" i="2"/>
  <c r="J179" i="2"/>
  <c r="I179" i="2"/>
  <c r="H179" i="2"/>
  <c r="G179" i="2"/>
  <c r="D179" i="2"/>
  <c r="B179" i="2"/>
  <c r="A179" i="2"/>
  <c r="J178" i="2"/>
  <c r="I178" i="2"/>
  <c r="H178" i="2"/>
  <c r="G178" i="2"/>
  <c r="D178" i="2"/>
  <c r="B178" i="2"/>
  <c r="A178" i="2"/>
  <c r="J177" i="2"/>
  <c r="I177" i="2"/>
  <c r="H177" i="2"/>
  <c r="G177" i="2"/>
  <c r="D177" i="2"/>
  <c r="B177" i="2"/>
  <c r="A177" i="2"/>
  <c r="J176" i="2"/>
  <c r="I176" i="2"/>
  <c r="H176" i="2"/>
  <c r="G176" i="2"/>
  <c r="D176" i="2"/>
  <c r="B176" i="2"/>
  <c r="A176" i="2"/>
  <c r="J175" i="2"/>
  <c r="G175" i="4" s="1"/>
  <c r="I175" i="2"/>
  <c r="H175" i="2"/>
  <c r="G175" i="2"/>
  <c r="D175" i="2"/>
  <c r="B175" i="2"/>
  <c r="A175" i="2"/>
  <c r="J174" i="2"/>
  <c r="I174" i="2"/>
  <c r="H174" i="2"/>
  <c r="G174" i="2"/>
  <c r="D174" i="2"/>
  <c r="B174" i="2"/>
  <c r="A174" i="2"/>
  <c r="J173" i="2"/>
  <c r="G173" i="4" s="1"/>
  <c r="I173" i="2"/>
  <c r="H173" i="2"/>
  <c r="G173" i="2"/>
  <c r="D173" i="2"/>
  <c r="B173" i="2"/>
  <c r="A173" i="2"/>
  <c r="J172" i="2"/>
  <c r="I172" i="2"/>
  <c r="H172" i="2"/>
  <c r="G172" i="2"/>
  <c r="D172" i="2"/>
  <c r="B172" i="2"/>
  <c r="A172" i="2"/>
  <c r="J171" i="2"/>
  <c r="I171" i="2"/>
  <c r="H171" i="2"/>
  <c r="G171" i="2"/>
  <c r="D171" i="2"/>
  <c r="B171" i="2"/>
  <c r="A171" i="2"/>
  <c r="J170" i="2"/>
  <c r="I170" i="2"/>
  <c r="F170" i="4" s="1"/>
  <c r="H170" i="2"/>
  <c r="G170" i="2"/>
  <c r="D170" i="2"/>
  <c r="B170" i="2"/>
  <c r="A170" i="2"/>
  <c r="J169" i="2"/>
  <c r="I169" i="2"/>
  <c r="H169" i="2"/>
  <c r="G169" i="2"/>
  <c r="D169" i="2"/>
  <c r="B169" i="2"/>
  <c r="A169" i="2"/>
  <c r="J168" i="2"/>
  <c r="I168" i="2"/>
  <c r="H168" i="2"/>
  <c r="G168" i="2"/>
  <c r="D168" i="2"/>
  <c r="B168" i="2"/>
  <c r="A168" i="2"/>
  <c r="J167" i="2"/>
  <c r="I167" i="2"/>
  <c r="H167" i="2"/>
  <c r="G167" i="2"/>
  <c r="D167" i="2"/>
  <c r="B167" i="2"/>
  <c r="A167" i="2"/>
  <c r="J166" i="2"/>
  <c r="I166" i="2"/>
  <c r="H166" i="2"/>
  <c r="G166" i="2"/>
  <c r="D166" i="2"/>
  <c r="B166" i="2"/>
  <c r="A166" i="2"/>
  <c r="J165" i="2"/>
  <c r="I165" i="2"/>
  <c r="H165" i="2"/>
  <c r="G165" i="2"/>
  <c r="D165" i="2"/>
  <c r="B165" i="2"/>
  <c r="A165" i="2"/>
  <c r="J164" i="2"/>
  <c r="I164" i="2"/>
  <c r="H164" i="2"/>
  <c r="G164" i="2"/>
  <c r="D164" i="2"/>
  <c r="B164" i="2"/>
  <c r="A164" i="2"/>
  <c r="J163" i="2"/>
  <c r="G163" i="4" s="1"/>
  <c r="I163" i="2"/>
  <c r="H163" i="2"/>
  <c r="G163" i="2"/>
  <c r="D163" i="2"/>
  <c r="B163" i="2"/>
  <c r="A163" i="2"/>
  <c r="J162" i="2"/>
  <c r="I162" i="2"/>
  <c r="H162" i="2"/>
  <c r="G162" i="2"/>
  <c r="D162" i="2"/>
  <c r="B162" i="2"/>
  <c r="A162" i="2"/>
  <c r="J161" i="2"/>
  <c r="G161" i="4" s="1"/>
  <c r="I161" i="2"/>
  <c r="H161" i="2"/>
  <c r="G161" i="2"/>
  <c r="D161" i="2"/>
  <c r="B161" i="2"/>
  <c r="A161" i="2"/>
  <c r="J160" i="2"/>
  <c r="I160" i="2"/>
  <c r="H160" i="2"/>
  <c r="G160" i="2"/>
  <c r="D160" i="2"/>
  <c r="B160" i="2"/>
  <c r="A160" i="2"/>
  <c r="J159" i="2"/>
  <c r="I159" i="2"/>
  <c r="H159" i="2"/>
  <c r="G159" i="2"/>
  <c r="D159" i="2"/>
  <c r="B159" i="2"/>
  <c r="A159" i="2"/>
  <c r="J158" i="2"/>
  <c r="I158" i="2"/>
  <c r="F158" i="4" s="1"/>
  <c r="H158" i="2"/>
  <c r="G158" i="2"/>
  <c r="D158" i="2"/>
  <c r="B158" i="2"/>
  <c r="A158" i="2"/>
  <c r="J157" i="2"/>
  <c r="I157" i="2"/>
  <c r="H157" i="2"/>
  <c r="G157" i="2"/>
  <c r="D157" i="2"/>
  <c r="B157" i="2"/>
  <c r="A157" i="2"/>
  <c r="J156" i="2"/>
  <c r="I156" i="2"/>
  <c r="F156" i="4" s="1"/>
  <c r="H156" i="2"/>
  <c r="G156" i="2"/>
  <c r="D156" i="2"/>
  <c r="B156" i="2"/>
  <c r="A156" i="2"/>
  <c r="J155" i="2"/>
  <c r="I155" i="2"/>
  <c r="H155" i="2"/>
  <c r="G155" i="2"/>
  <c r="D155" i="2"/>
  <c r="B155" i="2"/>
  <c r="A155" i="2"/>
  <c r="J154" i="2"/>
  <c r="I154" i="2"/>
  <c r="H154" i="2"/>
  <c r="G154" i="2"/>
  <c r="D154" i="2"/>
  <c r="B154" i="2"/>
  <c r="A154" i="2"/>
  <c r="J153" i="2"/>
  <c r="I153" i="2"/>
  <c r="H153" i="2"/>
  <c r="G153" i="2"/>
  <c r="D153" i="2"/>
  <c r="B153" i="2"/>
  <c r="A153" i="2"/>
  <c r="J152" i="2"/>
  <c r="I152" i="2"/>
  <c r="H152" i="2"/>
  <c r="G152" i="2"/>
  <c r="D152" i="2"/>
  <c r="B152" i="2"/>
  <c r="A152" i="2"/>
  <c r="J151" i="2"/>
  <c r="G151" i="4" s="1"/>
  <c r="I151" i="2"/>
  <c r="H151" i="2"/>
  <c r="G151" i="2"/>
  <c r="D151" i="2"/>
  <c r="B151" i="2"/>
  <c r="A151" i="2"/>
  <c r="J150" i="2"/>
  <c r="I150" i="2"/>
  <c r="H150" i="2"/>
  <c r="G150" i="2"/>
  <c r="D150" i="2"/>
  <c r="B150" i="2"/>
  <c r="A150" i="2"/>
  <c r="J149" i="2"/>
  <c r="G149" i="4" s="1"/>
  <c r="I149" i="2"/>
  <c r="H149" i="2"/>
  <c r="G149" i="2"/>
  <c r="D149" i="2"/>
  <c r="B149" i="2"/>
  <c r="A149" i="2"/>
  <c r="J148" i="2"/>
  <c r="I148" i="2"/>
  <c r="H148" i="2"/>
  <c r="G148" i="2"/>
  <c r="D148" i="2"/>
  <c r="B148" i="2"/>
  <c r="A148" i="2"/>
  <c r="J147" i="2"/>
  <c r="I147" i="2"/>
  <c r="H147" i="2"/>
  <c r="G147" i="2"/>
  <c r="D147" i="2"/>
  <c r="B147" i="2"/>
  <c r="A147" i="2"/>
  <c r="J146" i="2"/>
  <c r="I146" i="2"/>
  <c r="F146" i="4" s="1"/>
  <c r="H146" i="2"/>
  <c r="G146" i="2"/>
  <c r="D146" i="2"/>
  <c r="B146" i="2"/>
  <c r="A146" i="2"/>
  <c r="J145" i="2"/>
  <c r="I145" i="2"/>
  <c r="H145" i="2"/>
  <c r="G145" i="2"/>
  <c r="D145" i="2"/>
  <c r="B145" i="2"/>
  <c r="A145" i="2"/>
  <c r="J144" i="2"/>
  <c r="I144" i="2"/>
  <c r="F144" i="4" s="1"/>
  <c r="H144" i="2"/>
  <c r="G144" i="2"/>
  <c r="D144" i="2"/>
  <c r="B144" i="2"/>
  <c r="A144" i="2"/>
  <c r="J143" i="2"/>
  <c r="I143" i="2"/>
  <c r="H143" i="2"/>
  <c r="G143" i="2"/>
  <c r="D143" i="2"/>
  <c r="B143" i="2"/>
  <c r="A143" i="2"/>
  <c r="J142" i="2"/>
  <c r="I142" i="2"/>
  <c r="H142" i="2"/>
  <c r="G142" i="2"/>
  <c r="D142" i="2"/>
  <c r="B142" i="2"/>
  <c r="A142" i="2"/>
  <c r="J141" i="2"/>
  <c r="I141" i="2"/>
  <c r="H141" i="2"/>
  <c r="G141" i="2"/>
  <c r="D141" i="2"/>
  <c r="B141" i="2"/>
  <c r="A141" i="2"/>
  <c r="J140" i="2"/>
  <c r="I140" i="2"/>
  <c r="H140" i="2"/>
  <c r="G140" i="2"/>
  <c r="D140" i="2"/>
  <c r="B140" i="2"/>
  <c r="A140" i="2"/>
  <c r="J139" i="2"/>
  <c r="G139" i="4" s="1"/>
  <c r="I139" i="2"/>
  <c r="H139" i="2"/>
  <c r="G139" i="2"/>
  <c r="D139" i="2"/>
  <c r="B139" i="2"/>
  <c r="A139" i="2"/>
  <c r="J138" i="2"/>
  <c r="I138" i="2"/>
  <c r="H138" i="2"/>
  <c r="G138" i="2"/>
  <c r="D138" i="2"/>
  <c r="B138" i="2"/>
  <c r="A138" i="2"/>
  <c r="J137" i="2"/>
  <c r="G137" i="4" s="1"/>
  <c r="I137" i="2"/>
  <c r="H137" i="2"/>
  <c r="G137" i="2"/>
  <c r="D137" i="2"/>
  <c r="B137" i="2"/>
  <c r="A137" i="2"/>
  <c r="J136" i="2"/>
  <c r="I136" i="2"/>
  <c r="H136" i="2"/>
  <c r="G136" i="2"/>
  <c r="D136" i="2"/>
  <c r="B136" i="2"/>
  <c r="A136" i="2"/>
  <c r="J135" i="2"/>
  <c r="I135" i="2"/>
  <c r="H135" i="2"/>
  <c r="G135" i="2"/>
  <c r="D135" i="2"/>
  <c r="B135" i="2"/>
  <c r="A135" i="2"/>
  <c r="J134" i="2"/>
  <c r="I134" i="2"/>
  <c r="F134" i="4" s="1"/>
  <c r="H134" i="2"/>
  <c r="G134" i="2"/>
  <c r="D134" i="2"/>
  <c r="B134" i="2"/>
  <c r="A134" i="2"/>
  <c r="J133" i="2"/>
  <c r="I133" i="2"/>
  <c r="H133" i="2"/>
  <c r="G133" i="2"/>
  <c r="D133" i="2"/>
  <c r="B133" i="2"/>
  <c r="A133" i="2"/>
  <c r="J132" i="2"/>
  <c r="I132" i="2"/>
  <c r="F132" i="4" s="1"/>
  <c r="H132" i="2"/>
  <c r="G132" i="2"/>
  <c r="D132" i="2"/>
  <c r="B132" i="2"/>
  <c r="A132" i="2"/>
  <c r="J131" i="2"/>
  <c r="I131" i="2"/>
  <c r="H131" i="2"/>
  <c r="G131" i="2"/>
  <c r="D131" i="2"/>
  <c r="B131" i="2"/>
  <c r="A131" i="2"/>
  <c r="J130" i="2"/>
  <c r="I130" i="2"/>
  <c r="H130" i="2"/>
  <c r="G130" i="2"/>
  <c r="D130" i="2"/>
  <c r="B130" i="2"/>
  <c r="A130" i="2"/>
  <c r="J129" i="2"/>
  <c r="I129" i="2"/>
  <c r="H129" i="2"/>
  <c r="G129" i="2"/>
  <c r="D129" i="2"/>
  <c r="B129" i="2"/>
  <c r="A129" i="2"/>
  <c r="J128" i="2"/>
  <c r="I128" i="2"/>
  <c r="H128" i="2"/>
  <c r="G128" i="2"/>
  <c r="D128" i="2"/>
  <c r="B128" i="2"/>
  <c r="A128" i="2"/>
  <c r="J127" i="2"/>
  <c r="I127" i="2"/>
  <c r="H127" i="2"/>
  <c r="G127" i="2"/>
  <c r="D127" i="2"/>
  <c r="B127" i="2"/>
  <c r="A127" i="2"/>
  <c r="J126" i="2"/>
  <c r="I126" i="2"/>
  <c r="H126" i="2"/>
  <c r="G126" i="2"/>
  <c r="D126" i="2"/>
  <c r="B126" i="2"/>
  <c r="A126" i="2"/>
  <c r="J125" i="2"/>
  <c r="G125" i="4" s="1"/>
  <c r="I125" i="2"/>
  <c r="H125" i="2"/>
  <c r="G125" i="2"/>
  <c r="D125" i="2"/>
  <c r="B125" i="2"/>
  <c r="A125" i="2"/>
  <c r="J124" i="2"/>
  <c r="I124" i="2"/>
  <c r="H124" i="2"/>
  <c r="G124" i="2"/>
  <c r="D124" i="2"/>
  <c r="B124" i="2"/>
  <c r="A124" i="2"/>
  <c r="J123" i="2"/>
  <c r="I123" i="2"/>
  <c r="H123" i="2"/>
  <c r="G123" i="2"/>
  <c r="D123" i="2"/>
  <c r="B123" i="2"/>
  <c r="A123" i="2"/>
  <c r="J122" i="2"/>
  <c r="I122" i="2"/>
  <c r="F122" i="4" s="1"/>
  <c r="H122" i="2"/>
  <c r="G122" i="2"/>
  <c r="D122" i="2"/>
  <c r="B122" i="2"/>
  <c r="A122" i="2"/>
  <c r="J121" i="2"/>
  <c r="I121" i="2"/>
  <c r="H121" i="2"/>
  <c r="G121" i="2"/>
  <c r="D121" i="2"/>
  <c r="B121" i="2"/>
  <c r="A121" i="2"/>
  <c r="J120" i="2"/>
  <c r="I120" i="2"/>
  <c r="F120" i="4" s="1"/>
  <c r="H120" i="2"/>
  <c r="G120" i="2"/>
  <c r="D120" i="2"/>
  <c r="B120" i="2"/>
  <c r="A120" i="2"/>
  <c r="J119" i="2"/>
  <c r="I119" i="2"/>
  <c r="H119" i="2"/>
  <c r="G119" i="2"/>
  <c r="D119" i="2"/>
  <c r="B119" i="2"/>
  <c r="A119" i="2"/>
  <c r="J118" i="2"/>
  <c r="I118" i="2"/>
  <c r="H118" i="2"/>
  <c r="G118" i="2"/>
  <c r="D118" i="2"/>
  <c r="B118" i="2"/>
  <c r="A118" i="2"/>
  <c r="J117" i="2"/>
  <c r="I117" i="2"/>
  <c r="H117" i="2"/>
  <c r="G117" i="2"/>
  <c r="D117" i="2"/>
  <c r="B117" i="2"/>
  <c r="A117" i="2"/>
  <c r="J116" i="2"/>
  <c r="I116" i="2"/>
  <c r="H116" i="2"/>
  <c r="G116" i="2"/>
  <c r="D116" i="2"/>
  <c r="B116" i="2"/>
  <c r="A116" i="2"/>
  <c r="J115" i="2"/>
  <c r="I115" i="2"/>
  <c r="H115" i="2"/>
  <c r="G115" i="2"/>
  <c r="D115" i="2"/>
  <c r="B115" i="2"/>
  <c r="A115" i="2"/>
  <c r="J114" i="2"/>
  <c r="I114" i="2"/>
  <c r="H114" i="2"/>
  <c r="G114" i="2"/>
  <c r="D114" i="2"/>
  <c r="B114" i="2"/>
  <c r="A114" i="2"/>
  <c r="J113" i="2"/>
  <c r="G113" i="4" s="1"/>
  <c r="I113" i="2"/>
  <c r="H113" i="2"/>
  <c r="G113" i="2"/>
  <c r="D113" i="2"/>
  <c r="B113" i="2"/>
  <c r="A113" i="2"/>
  <c r="J112" i="2"/>
  <c r="I112" i="2"/>
  <c r="H112" i="2"/>
  <c r="G112" i="2"/>
  <c r="D112" i="2"/>
  <c r="B112" i="2"/>
  <c r="A112" i="2"/>
  <c r="J111" i="2"/>
  <c r="I111" i="2"/>
  <c r="H111" i="2"/>
  <c r="G111" i="2"/>
  <c r="D111" i="2"/>
  <c r="B111" i="2"/>
  <c r="A111" i="2"/>
  <c r="J110" i="2"/>
  <c r="I110" i="2"/>
  <c r="F110" i="4" s="1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F108" i="4" s="1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G103" i="4" s="1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G101" i="4" s="1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F98" i="4" s="1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G91" i="4" s="1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G89" i="4" s="1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F86" i="4" s="1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F84" i="4" s="1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G79" i="4" s="1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G77" i="4" s="1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F74" i="4" s="1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F72" i="4" s="1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G67" i="4" s="1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G65" i="4" s="1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F62" i="4" s="1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F60" i="4" s="1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J56" i="2"/>
  <c r="I56" i="2"/>
  <c r="H56" i="2"/>
  <c r="G56" i="2"/>
  <c r="D56" i="2"/>
  <c r="B56" i="2"/>
  <c r="A56" i="2"/>
  <c r="J55" i="2"/>
  <c r="I55" i="2"/>
  <c r="H55" i="2"/>
  <c r="G55" i="2"/>
  <c r="D55" i="2"/>
  <c r="B55" i="2"/>
  <c r="A55" i="2"/>
  <c r="J54" i="2"/>
  <c r="I54" i="2"/>
  <c r="H54" i="2"/>
  <c r="G54" i="2"/>
  <c r="D54" i="2"/>
  <c r="B54" i="2"/>
  <c r="A54" i="2"/>
  <c r="J53" i="2"/>
  <c r="G53" i="4" s="1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I50" i="2"/>
  <c r="F50" i="4" s="1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F48" i="4" s="1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A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A43" i="2"/>
  <c r="J42" i="2"/>
  <c r="I42" i="2"/>
  <c r="H42" i="2"/>
  <c r="G42" i="2"/>
  <c r="D42" i="2"/>
  <c r="B42" i="2"/>
  <c r="A42" i="2"/>
  <c r="J41" i="2"/>
  <c r="G41" i="4" s="1"/>
  <c r="I41" i="2"/>
  <c r="H41" i="2"/>
  <c r="G41" i="2"/>
  <c r="D41" i="2"/>
  <c r="B41" i="2"/>
  <c r="A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F38" i="4" s="1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F36" i="4" s="1"/>
  <c r="H36" i="2"/>
  <c r="G36" i="2"/>
  <c r="D36" i="2"/>
  <c r="B36" i="2"/>
  <c r="A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G31" i="4" s="1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G29" i="4" s="1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F26" i="4" s="1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D21" i="2"/>
  <c r="B21" i="2"/>
  <c r="A21" i="2"/>
  <c r="J20" i="2"/>
  <c r="I20" i="2"/>
  <c r="H20" i="2"/>
  <c r="G20" i="2"/>
  <c r="D20" i="2"/>
  <c r="B20" i="2"/>
  <c r="A20" i="2"/>
  <c r="J19" i="2"/>
  <c r="I19" i="2"/>
  <c r="H19" i="2"/>
  <c r="G19" i="2"/>
  <c r="D19" i="2"/>
  <c r="B19" i="2"/>
  <c r="A19" i="2"/>
  <c r="J18" i="2"/>
  <c r="I18" i="2"/>
  <c r="H18" i="2"/>
  <c r="G18" i="2"/>
  <c r="D18" i="2"/>
  <c r="B18" i="2"/>
  <c r="A18" i="2"/>
  <c r="J17" i="2"/>
  <c r="G17" i="4" s="1"/>
  <c r="I17" i="2"/>
  <c r="H17" i="2"/>
  <c r="G17" i="2"/>
  <c r="D17" i="2"/>
  <c r="B17" i="2"/>
  <c r="A17" i="2"/>
  <c r="J16" i="2"/>
  <c r="I16" i="2"/>
  <c r="H16" i="2"/>
  <c r="G16" i="2"/>
  <c r="D16" i="2"/>
  <c r="B16" i="2"/>
  <c r="A16" i="2"/>
  <c r="J15" i="2"/>
  <c r="I15" i="2"/>
  <c r="H15" i="2"/>
  <c r="G15" i="2"/>
  <c r="D15" i="2"/>
  <c r="B15" i="2"/>
  <c r="A15" i="2"/>
  <c r="J14" i="2"/>
  <c r="I14" i="2"/>
  <c r="F14" i="4" s="1"/>
  <c r="H14" i="2"/>
  <c r="G14" i="2"/>
  <c r="D14" i="2"/>
  <c r="B14" i="2"/>
  <c r="A14" i="2"/>
  <c r="J13" i="2"/>
  <c r="I13" i="2"/>
  <c r="H13" i="2"/>
  <c r="G13" i="2"/>
  <c r="D13" i="2"/>
  <c r="B13" i="2"/>
  <c r="A13" i="2"/>
  <c r="J12" i="2"/>
  <c r="I12" i="2"/>
  <c r="H12" i="2"/>
  <c r="G12" i="2"/>
  <c r="D12" i="2"/>
  <c r="B12" i="2"/>
  <c r="A12" i="2"/>
  <c r="J11" i="2"/>
  <c r="I11" i="2"/>
  <c r="H11" i="2"/>
  <c r="G11" i="2"/>
  <c r="D11" i="2"/>
  <c r="B11" i="2"/>
  <c r="A11" i="2"/>
  <c r="J10" i="2"/>
  <c r="I10" i="2"/>
  <c r="H10" i="2"/>
  <c r="G10" i="2"/>
  <c r="D10" i="2"/>
  <c r="B10" i="2"/>
  <c r="A10" i="2"/>
  <c r="J9" i="2"/>
  <c r="I9" i="2"/>
  <c r="H9" i="2"/>
  <c r="G9" i="2"/>
  <c r="D9" i="2"/>
  <c r="B9" i="2"/>
  <c r="A9" i="2"/>
  <c r="J8" i="2"/>
  <c r="I8" i="2"/>
  <c r="H8" i="2"/>
  <c r="G8" i="2"/>
  <c r="D8" i="2"/>
  <c r="B8" i="2"/>
  <c r="A8" i="2"/>
  <c r="J7" i="2"/>
  <c r="I7" i="2"/>
  <c r="H7" i="2"/>
  <c r="G7" i="2"/>
  <c r="D7" i="2"/>
  <c r="B7" i="2"/>
  <c r="A7" i="2"/>
  <c r="G246" i="4"/>
  <c r="F246" i="4"/>
  <c r="F245" i="4"/>
  <c r="G244" i="4"/>
  <c r="F244" i="4"/>
  <c r="G243" i="4"/>
  <c r="F243" i="4"/>
  <c r="G242" i="4"/>
  <c r="F242" i="4"/>
  <c r="G241" i="4"/>
  <c r="F241" i="4"/>
  <c r="G240" i="4"/>
  <c r="G239" i="4"/>
  <c r="F239" i="4"/>
  <c r="G238" i="4"/>
  <c r="F238" i="4"/>
  <c r="G237" i="4"/>
  <c r="F237" i="4"/>
  <c r="G236" i="4"/>
  <c r="F236" i="4"/>
  <c r="F235" i="4"/>
  <c r="G234" i="4"/>
  <c r="F234" i="4"/>
  <c r="F233" i="4"/>
  <c r="G232" i="4"/>
  <c r="F232" i="4"/>
  <c r="G231" i="4"/>
  <c r="F231" i="4"/>
  <c r="G230" i="4"/>
  <c r="F230" i="4"/>
  <c r="G229" i="4"/>
  <c r="F229" i="4"/>
  <c r="G228" i="4"/>
  <c r="G227" i="4"/>
  <c r="F227" i="4"/>
  <c r="G226" i="4"/>
  <c r="F226" i="4"/>
  <c r="G225" i="4"/>
  <c r="F225" i="4"/>
  <c r="G224" i="4"/>
  <c r="F224" i="4"/>
  <c r="F223" i="4"/>
  <c r="G222" i="4"/>
  <c r="F222" i="4"/>
  <c r="F221" i="4"/>
  <c r="G220" i="4"/>
  <c r="F220" i="4"/>
  <c r="G219" i="4"/>
  <c r="F219" i="4"/>
  <c r="G218" i="4"/>
  <c r="F218" i="4"/>
  <c r="G217" i="4"/>
  <c r="F217" i="4"/>
  <c r="G216" i="4"/>
  <c r="G215" i="4"/>
  <c r="F215" i="4"/>
  <c r="G214" i="4"/>
  <c r="F214" i="4"/>
  <c r="G213" i="4"/>
  <c r="F213" i="4"/>
  <c r="G212" i="4"/>
  <c r="F212" i="4"/>
  <c r="F211" i="4"/>
  <c r="G210" i="4"/>
  <c r="F210" i="4"/>
  <c r="F209" i="4"/>
  <c r="G208" i="4"/>
  <c r="F208" i="4"/>
  <c r="G207" i="4"/>
  <c r="F207" i="4"/>
  <c r="G206" i="4"/>
  <c r="F206" i="4"/>
  <c r="G205" i="4"/>
  <c r="F205" i="4"/>
  <c r="G203" i="4"/>
  <c r="F203" i="4"/>
  <c r="G202" i="4"/>
  <c r="F202" i="4"/>
  <c r="G201" i="4"/>
  <c r="F201" i="4"/>
  <c r="G200" i="4"/>
  <c r="F200" i="4"/>
  <c r="F199" i="4"/>
  <c r="G187" i="4"/>
  <c r="G127" i="4"/>
  <c r="G115" i="4"/>
  <c r="G55" i="4"/>
  <c r="G43" i="4"/>
  <c r="E245" i="4"/>
  <c r="D245" i="4"/>
  <c r="B245" i="4"/>
  <c r="E244" i="4"/>
  <c r="D244" i="4"/>
  <c r="B244" i="4"/>
  <c r="E243" i="4"/>
  <c r="D243" i="4"/>
  <c r="B243" i="4"/>
  <c r="E242" i="4"/>
  <c r="D242" i="4"/>
  <c r="B242" i="4"/>
  <c r="E241" i="4"/>
  <c r="D241" i="4"/>
  <c r="B241" i="4"/>
  <c r="E240" i="4"/>
  <c r="D240" i="4"/>
  <c r="B240" i="4"/>
  <c r="E239" i="4"/>
  <c r="D239" i="4"/>
  <c r="B239" i="4"/>
  <c r="E238" i="4"/>
  <c r="D238" i="4"/>
  <c r="B238" i="4"/>
  <c r="E237" i="4"/>
  <c r="D237" i="4"/>
  <c r="B237" i="4"/>
  <c r="E236" i="4"/>
  <c r="D236" i="4"/>
  <c r="B236" i="4"/>
  <c r="E235" i="4"/>
  <c r="D235" i="4"/>
  <c r="B235" i="4"/>
  <c r="E234" i="4"/>
  <c r="D234" i="4"/>
  <c r="B234" i="4"/>
  <c r="E233" i="4"/>
  <c r="D233" i="4"/>
  <c r="B233" i="4"/>
  <c r="E232" i="4"/>
  <c r="D232" i="4"/>
  <c r="B232" i="4"/>
  <c r="E231" i="4"/>
  <c r="D231" i="4"/>
  <c r="B231" i="4"/>
  <c r="E230" i="4"/>
  <c r="D230" i="4"/>
  <c r="B230" i="4"/>
  <c r="E229" i="4"/>
  <c r="D229" i="4"/>
  <c r="B229" i="4"/>
  <c r="E228" i="4"/>
  <c r="D228" i="4"/>
  <c r="B228" i="4"/>
  <c r="E227" i="4"/>
  <c r="D227" i="4"/>
  <c r="B227" i="4"/>
  <c r="E226" i="4"/>
  <c r="D226" i="4"/>
  <c r="B226" i="4"/>
  <c r="E225" i="4"/>
  <c r="D225" i="4"/>
  <c r="B225" i="4"/>
  <c r="E224" i="4"/>
  <c r="D224" i="4"/>
  <c r="B224" i="4"/>
  <c r="E223" i="4"/>
  <c r="D223" i="4"/>
  <c r="B223" i="4"/>
  <c r="E222" i="4"/>
  <c r="D222" i="4"/>
  <c r="B222" i="4"/>
  <c r="E221" i="4"/>
  <c r="D221" i="4"/>
  <c r="B221" i="4"/>
  <c r="E220" i="4"/>
  <c r="D220" i="4"/>
  <c r="B220" i="4"/>
  <c r="E219" i="4"/>
  <c r="D219" i="4"/>
  <c r="B219" i="4"/>
  <c r="E218" i="4"/>
  <c r="D218" i="4"/>
  <c r="B218" i="4"/>
  <c r="E217" i="4"/>
  <c r="D217" i="4"/>
  <c r="B217" i="4"/>
  <c r="E216" i="4"/>
  <c r="D216" i="4"/>
  <c r="B216" i="4"/>
  <c r="E215" i="4"/>
  <c r="D215" i="4"/>
  <c r="B215" i="4"/>
  <c r="E214" i="4"/>
  <c r="D214" i="4"/>
  <c r="B214" i="4"/>
  <c r="E213" i="4"/>
  <c r="D213" i="4"/>
  <c r="B213" i="4"/>
  <c r="E212" i="4"/>
  <c r="D212" i="4"/>
  <c r="B212" i="4"/>
  <c r="E211" i="4"/>
  <c r="D211" i="4"/>
  <c r="B211" i="4"/>
  <c r="E210" i="4"/>
  <c r="D210" i="4"/>
  <c r="B210" i="4"/>
  <c r="E209" i="4"/>
  <c r="D209" i="4"/>
  <c r="B209" i="4"/>
  <c r="E208" i="4"/>
  <c r="D208" i="4"/>
  <c r="B208" i="4"/>
  <c r="E207" i="4"/>
  <c r="D207" i="4"/>
  <c r="B207" i="4"/>
  <c r="E206" i="4"/>
  <c r="D206" i="4"/>
  <c r="B206" i="4"/>
  <c r="E205" i="4"/>
  <c r="D205" i="4"/>
  <c r="B205" i="4"/>
  <c r="E203" i="4"/>
  <c r="D203" i="4"/>
  <c r="B203" i="4"/>
  <c r="E202" i="4"/>
  <c r="D202" i="4"/>
  <c r="B202" i="4"/>
  <c r="E201" i="4"/>
  <c r="D201" i="4"/>
  <c r="B201" i="4"/>
  <c r="E200" i="4"/>
  <c r="D200" i="4"/>
  <c r="B200" i="4"/>
  <c r="E199" i="4"/>
  <c r="D199" i="4"/>
  <c r="B199" i="4"/>
  <c r="G198" i="4"/>
  <c r="F198" i="4"/>
  <c r="E198" i="4"/>
  <c r="D198" i="4"/>
  <c r="B198" i="4"/>
  <c r="F197" i="4"/>
  <c r="E197" i="4"/>
  <c r="D197" i="4"/>
  <c r="B197" i="4"/>
  <c r="G196" i="4"/>
  <c r="F196" i="4"/>
  <c r="E196" i="4"/>
  <c r="D196" i="4"/>
  <c r="B196" i="4"/>
  <c r="G195" i="4"/>
  <c r="F195" i="4"/>
  <c r="E195" i="4"/>
  <c r="D195" i="4"/>
  <c r="B195" i="4"/>
  <c r="G194" i="4"/>
  <c r="E194" i="4"/>
  <c r="D194" i="4"/>
  <c r="B194" i="4"/>
  <c r="G193" i="4"/>
  <c r="F193" i="4"/>
  <c r="E193" i="4"/>
  <c r="D193" i="4"/>
  <c r="B193" i="4"/>
  <c r="G192" i="4"/>
  <c r="E192" i="4"/>
  <c r="D192" i="4"/>
  <c r="B192" i="4"/>
  <c r="G191" i="4"/>
  <c r="F191" i="4"/>
  <c r="E191" i="4"/>
  <c r="D191" i="4"/>
  <c r="B191" i="4"/>
  <c r="G190" i="4"/>
  <c r="F190" i="4"/>
  <c r="E190" i="4"/>
  <c r="D190" i="4"/>
  <c r="B190" i="4"/>
  <c r="G189" i="4"/>
  <c r="F189" i="4"/>
  <c r="E189" i="4"/>
  <c r="D189" i="4"/>
  <c r="B189" i="4"/>
  <c r="G188" i="4"/>
  <c r="F188" i="4"/>
  <c r="E188" i="4"/>
  <c r="D188" i="4"/>
  <c r="B188" i="4"/>
  <c r="F187" i="4"/>
  <c r="E187" i="4"/>
  <c r="D187" i="4"/>
  <c r="B187" i="4"/>
  <c r="G186" i="4"/>
  <c r="F186" i="4"/>
  <c r="E186" i="4"/>
  <c r="D186" i="4"/>
  <c r="B186" i="4"/>
  <c r="F185" i="4"/>
  <c r="E185" i="4"/>
  <c r="D185" i="4"/>
  <c r="B185" i="4"/>
  <c r="G184" i="4"/>
  <c r="F184" i="4"/>
  <c r="E184" i="4"/>
  <c r="D184" i="4"/>
  <c r="B184" i="4"/>
  <c r="G183" i="4"/>
  <c r="F183" i="4"/>
  <c r="E183" i="4"/>
  <c r="D183" i="4"/>
  <c r="B183" i="4"/>
  <c r="G182" i="4"/>
  <c r="E182" i="4"/>
  <c r="D182" i="4"/>
  <c r="B182" i="4"/>
  <c r="G181" i="4"/>
  <c r="F181" i="4"/>
  <c r="E181" i="4"/>
  <c r="D181" i="4"/>
  <c r="B181" i="4"/>
  <c r="G180" i="4"/>
  <c r="E180" i="4"/>
  <c r="D180" i="4"/>
  <c r="B180" i="4"/>
  <c r="G179" i="4"/>
  <c r="F179" i="4"/>
  <c r="E179" i="4"/>
  <c r="D179" i="4"/>
  <c r="B179" i="4"/>
  <c r="G178" i="4"/>
  <c r="F178" i="4"/>
  <c r="E178" i="4"/>
  <c r="D178" i="4"/>
  <c r="B178" i="4"/>
  <c r="G177" i="4"/>
  <c r="F177" i="4"/>
  <c r="E177" i="4"/>
  <c r="D177" i="4"/>
  <c r="B177" i="4"/>
  <c r="G176" i="4"/>
  <c r="F176" i="4"/>
  <c r="E176" i="4"/>
  <c r="D176" i="4"/>
  <c r="B176" i="4"/>
  <c r="F175" i="4"/>
  <c r="E175" i="4"/>
  <c r="D175" i="4"/>
  <c r="B175" i="4"/>
  <c r="G174" i="4"/>
  <c r="F174" i="4"/>
  <c r="E174" i="4"/>
  <c r="D174" i="4"/>
  <c r="B174" i="4"/>
  <c r="F173" i="4"/>
  <c r="E173" i="4"/>
  <c r="D173" i="4"/>
  <c r="B173" i="4"/>
  <c r="G172" i="4"/>
  <c r="F172" i="4"/>
  <c r="E172" i="4"/>
  <c r="D172" i="4"/>
  <c r="B172" i="4"/>
  <c r="G171" i="4"/>
  <c r="F171" i="4"/>
  <c r="E171" i="4"/>
  <c r="D171" i="4"/>
  <c r="B171" i="4"/>
  <c r="G170" i="4"/>
  <c r="E170" i="4"/>
  <c r="D170" i="4"/>
  <c r="B170" i="4"/>
  <c r="G169" i="4"/>
  <c r="F169" i="4"/>
  <c r="E169" i="4"/>
  <c r="D169" i="4"/>
  <c r="B169" i="4"/>
  <c r="G168" i="4"/>
  <c r="F168" i="4"/>
  <c r="E168" i="4"/>
  <c r="D168" i="4"/>
  <c r="B168" i="4"/>
  <c r="G167" i="4"/>
  <c r="F167" i="4"/>
  <c r="E167" i="4"/>
  <c r="D167" i="4"/>
  <c r="B167" i="4"/>
  <c r="G166" i="4"/>
  <c r="F166" i="4"/>
  <c r="E166" i="4"/>
  <c r="D166" i="4"/>
  <c r="B166" i="4"/>
  <c r="G165" i="4"/>
  <c r="F165" i="4"/>
  <c r="E165" i="4"/>
  <c r="D165" i="4"/>
  <c r="B165" i="4"/>
  <c r="G164" i="4"/>
  <c r="F164" i="4"/>
  <c r="E164" i="4"/>
  <c r="D164" i="4"/>
  <c r="B164" i="4"/>
  <c r="F163" i="4"/>
  <c r="E163" i="4"/>
  <c r="D163" i="4"/>
  <c r="B163" i="4"/>
  <c r="G162" i="4"/>
  <c r="F162" i="4"/>
  <c r="E162" i="4"/>
  <c r="D162" i="4"/>
  <c r="B162" i="4"/>
  <c r="F161" i="4"/>
  <c r="E161" i="4"/>
  <c r="D161" i="4"/>
  <c r="B161" i="4"/>
  <c r="G160" i="4"/>
  <c r="F160" i="4"/>
  <c r="E160" i="4"/>
  <c r="D160" i="4"/>
  <c r="B160" i="4"/>
  <c r="G159" i="4"/>
  <c r="F159" i="4"/>
  <c r="E159" i="4"/>
  <c r="D159" i="4"/>
  <c r="B159" i="4"/>
  <c r="G158" i="4"/>
  <c r="E158" i="4"/>
  <c r="D158" i="4"/>
  <c r="B158" i="4"/>
  <c r="G157" i="4"/>
  <c r="F157" i="4"/>
  <c r="E157" i="4"/>
  <c r="D157" i="4"/>
  <c r="B157" i="4"/>
  <c r="G156" i="4"/>
  <c r="E156" i="4"/>
  <c r="D156" i="4"/>
  <c r="B156" i="4"/>
  <c r="G155" i="4"/>
  <c r="F155" i="4"/>
  <c r="E155" i="4"/>
  <c r="D155" i="4"/>
  <c r="B155" i="4"/>
  <c r="G154" i="4"/>
  <c r="F154" i="4"/>
  <c r="E154" i="4"/>
  <c r="D154" i="4"/>
  <c r="B154" i="4"/>
  <c r="G153" i="4"/>
  <c r="F153" i="4"/>
  <c r="E153" i="4"/>
  <c r="D153" i="4"/>
  <c r="B153" i="4"/>
  <c r="G152" i="4"/>
  <c r="F152" i="4"/>
  <c r="E152" i="4"/>
  <c r="D152" i="4"/>
  <c r="B152" i="4"/>
  <c r="F151" i="4"/>
  <c r="E151" i="4"/>
  <c r="D151" i="4"/>
  <c r="B151" i="4"/>
  <c r="G150" i="4"/>
  <c r="F150" i="4"/>
  <c r="E150" i="4"/>
  <c r="D150" i="4"/>
  <c r="B150" i="4"/>
  <c r="F149" i="4"/>
  <c r="E149" i="4"/>
  <c r="D149" i="4"/>
  <c r="B149" i="4"/>
  <c r="G148" i="4"/>
  <c r="F148" i="4"/>
  <c r="E148" i="4"/>
  <c r="D148" i="4"/>
  <c r="B148" i="4"/>
  <c r="G147" i="4"/>
  <c r="F147" i="4"/>
  <c r="E147" i="4"/>
  <c r="D147" i="4"/>
  <c r="B147" i="4"/>
  <c r="G146" i="4"/>
  <c r="E146" i="4"/>
  <c r="D146" i="4"/>
  <c r="B146" i="4"/>
  <c r="G145" i="4"/>
  <c r="F145" i="4"/>
  <c r="E145" i="4"/>
  <c r="D145" i="4"/>
  <c r="B145" i="4"/>
  <c r="G144" i="4"/>
  <c r="E144" i="4"/>
  <c r="D144" i="4"/>
  <c r="B144" i="4"/>
  <c r="G143" i="4"/>
  <c r="F143" i="4"/>
  <c r="E143" i="4"/>
  <c r="D143" i="4"/>
  <c r="B143" i="4"/>
  <c r="G142" i="4"/>
  <c r="F142" i="4"/>
  <c r="E142" i="4"/>
  <c r="D142" i="4"/>
  <c r="B142" i="4"/>
  <c r="G141" i="4"/>
  <c r="F141" i="4"/>
  <c r="E141" i="4"/>
  <c r="D141" i="4"/>
  <c r="B141" i="4"/>
  <c r="G140" i="4"/>
  <c r="F140" i="4"/>
  <c r="E140" i="4"/>
  <c r="D140" i="4"/>
  <c r="B140" i="4"/>
  <c r="F139" i="4"/>
  <c r="E139" i="4"/>
  <c r="D139" i="4"/>
  <c r="B139" i="4"/>
  <c r="G138" i="4"/>
  <c r="F138" i="4"/>
  <c r="E138" i="4"/>
  <c r="D138" i="4"/>
  <c r="B138" i="4"/>
  <c r="F137" i="4"/>
  <c r="E137" i="4"/>
  <c r="D137" i="4"/>
  <c r="B137" i="4"/>
  <c r="G136" i="4"/>
  <c r="F136" i="4"/>
  <c r="E136" i="4"/>
  <c r="D136" i="4"/>
  <c r="B136" i="4"/>
  <c r="G135" i="4"/>
  <c r="F135" i="4"/>
  <c r="E135" i="4"/>
  <c r="D135" i="4"/>
  <c r="B135" i="4"/>
  <c r="G134" i="4"/>
  <c r="E134" i="4"/>
  <c r="D134" i="4"/>
  <c r="B134" i="4"/>
  <c r="G133" i="4"/>
  <c r="F133" i="4"/>
  <c r="E133" i="4"/>
  <c r="D133" i="4"/>
  <c r="B133" i="4"/>
  <c r="G132" i="4"/>
  <c r="E132" i="4"/>
  <c r="D132" i="4"/>
  <c r="B132" i="4"/>
  <c r="G131" i="4"/>
  <c r="F131" i="4"/>
  <c r="E131" i="4"/>
  <c r="D131" i="4"/>
  <c r="B131" i="4"/>
  <c r="G130" i="4"/>
  <c r="F130" i="4"/>
  <c r="E130" i="4"/>
  <c r="D130" i="4"/>
  <c r="B130" i="4"/>
  <c r="G129" i="4"/>
  <c r="F129" i="4"/>
  <c r="E129" i="4"/>
  <c r="D129" i="4"/>
  <c r="B129" i="4"/>
  <c r="G128" i="4"/>
  <c r="F128" i="4"/>
  <c r="E128" i="4"/>
  <c r="D128" i="4"/>
  <c r="B128" i="4"/>
  <c r="F127" i="4"/>
  <c r="E127" i="4"/>
  <c r="D127" i="4"/>
  <c r="B127" i="4"/>
  <c r="G126" i="4"/>
  <c r="F126" i="4"/>
  <c r="E126" i="4"/>
  <c r="D126" i="4"/>
  <c r="B126" i="4"/>
  <c r="F125" i="4"/>
  <c r="E125" i="4"/>
  <c r="D125" i="4"/>
  <c r="B125" i="4"/>
  <c r="G124" i="4"/>
  <c r="F124" i="4"/>
  <c r="E124" i="4"/>
  <c r="D124" i="4"/>
  <c r="B124" i="4"/>
  <c r="G123" i="4"/>
  <c r="F123" i="4"/>
  <c r="E123" i="4"/>
  <c r="D123" i="4"/>
  <c r="B123" i="4"/>
  <c r="G122" i="4"/>
  <c r="E122" i="4"/>
  <c r="D122" i="4"/>
  <c r="B122" i="4"/>
  <c r="G121" i="4"/>
  <c r="F121" i="4"/>
  <c r="E121" i="4"/>
  <c r="D121" i="4"/>
  <c r="B121" i="4"/>
  <c r="G120" i="4"/>
  <c r="E120" i="4"/>
  <c r="D120" i="4"/>
  <c r="B120" i="4"/>
  <c r="G119" i="4"/>
  <c r="F119" i="4"/>
  <c r="E119" i="4"/>
  <c r="D119" i="4"/>
  <c r="B119" i="4"/>
  <c r="G118" i="4"/>
  <c r="F118" i="4"/>
  <c r="E118" i="4"/>
  <c r="D118" i="4"/>
  <c r="B118" i="4"/>
  <c r="G117" i="4"/>
  <c r="F117" i="4"/>
  <c r="E117" i="4"/>
  <c r="D117" i="4"/>
  <c r="B117" i="4"/>
  <c r="G116" i="4"/>
  <c r="F116" i="4"/>
  <c r="E116" i="4"/>
  <c r="D116" i="4"/>
  <c r="B116" i="4"/>
  <c r="F115" i="4"/>
  <c r="E115" i="4"/>
  <c r="D115" i="4"/>
  <c r="B115" i="4"/>
  <c r="G114" i="4"/>
  <c r="F114" i="4"/>
  <c r="E114" i="4"/>
  <c r="D114" i="4"/>
  <c r="B114" i="4"/>
  <c r="F113" i="4"/>
  <c r="E113" i="4"/>
  <c r="D113" i="4"/>
  <c r="B113" i="4"/>
  <c r="G112" i="4"/>
  <c r="F112" i="4"/>
  <c r="E112" i="4"/>
  <c r="D112" i="4"/>
  <c r="B112" i="4"/>
  <c r="G111" i="4"/>
  <c r="F111" i="4"/>
  <c r="E111" i="4"/>
  <c r="D111" i="4"/>
  <c r="B111" i="4"/>
  <c r="G110" i="4"/>
  <c r="E110" i="4"/>
  <c r="D110" i="4"/>
  <c r="B110" i="4"/>
  <c r="G109" i="4"/>
  <c r="F109" i="4"/>
  <c r="E109" i="4"/>
  <c r="D109" i="4"/>
  <c r="B109" i="4"/>
  <c r="G108" i="4"/>
  <c r="E108" i="4"/>
  <c r="D108" i="4"/>
  <c r="B108" i="4"/>
  <c r="G107" i="4"/>
  <c r="F107" i="4"/>
  <c r="E107" i="4"/>
  <c r="D107" i="4"/>
  <c r="B107" i="4"/>
  <c r="G106" i="4"/>
  <c r="F106" i="4"/>
  <c r="E106" i="4"/>
  <c r="D106" i="4"/>
  <c r="B106" i="4"/>
  <c r="G105" i="4"/>
  <c r="F105" i="4"/>
  <c r="E105" i="4"/>
  <c r="D105" i="4"/>
  <c r="B105" i="4"/>
  <c r="G104" i="4"/>
  <c r="F104" i="4"/>
  <c r="E104" i="4"/>
  <c r="D104" i="4"/>
  <c r="B104" i="4"/>
  <c r="F103" i="4"/>
  <c r="E103" i="4"/>
  <c r="D103" i="4"/>
  <c r="B103" i="4"/>
  <c r="G102" i="4"/>
  <c r="F102" i="4"/>
  <c r="E102" i="4"/>
  <c r="D102" i="4"/>
  <c r="B102" i="4"/>
  <c r="F101" i="4"/>
  <c r="E101" i="4"/>
  <c r="D101" i="4"/>
  <c r="B101" i="4"/>
  <c r="G100" i="4"/>
  <c r="F100" i="4"/>
  <c r="E100" i="4"/>
  <c r="D100" i="4"/>
  <c r="B100" i="4"/>
  <c r="G99" i="4"/>
  <c r="F99" i="4"/>
  <c r="E99" i="4"/>
  <c r="D99" i="4"/>
  <c r="B99" i="4"/>
  <c r="G98" i="4"/>
  <c r="E98" i="4"/>
  <c r="D98" i="4"/>
  <c r="B98" i="4"/>
  <c r="G97" i="4"/>
  <c r="F97" i="4"/>
  <c r="E97" i="4"/>
  <c r="D97" i="4"/>
  <c r="B97" i="4"/>
  <c r="G96" i="4"/>
  <c r="F96" i="4"/>
  <c r="E96" i="4"/>
  <c r="D96" i="4"/>
  <c r="B96" i="4"/>
  <c r="G95" i="4"/>
  <c r="F95" i="4"/>
  <c r="E95" i="4"/>
  <c r="D95" i="4"/>
  <c r="B95" i="4"/>
  <c r="G94" i="4"/>
  <c r="F94" i="4"/>
  <c r="E94" i="4"/>
  <c r="D94" i="4"/>
  <c r="B94" i="4"/>
  <c r="G93" i="4"/>
  <c r="F93" i="4"/>
  <c r="E93" i="4"/>
  <c r="D93" i="4"/>
  <c r="B93" i="4"/>
  <c r="G92" i="4"/>
  <c r="F92" i="4"/>
  <c r="E92" i="4"/>
  <c r="D92" i="4"/>
  <c r="B92" i="4"/>
  <c r="F91" i="4"/>
  <c r="E91" i="4"/>
  <c r="D91" i="4"/>
  <c r="B91" i="4"/>
  <c r="G90" i="4"/>
  <c r="F90" i="4"/>
  <c r="E90" i="4"/>
  <c r="D90" i="4"/>
  <c r="B90" i="4"/>
  <c r="F89" i="4"/>
  <c r="E89" i="4"/>
  <c r="D89" i="4"/>
  <c r="B89" i="4"/>
  <c r="G88" i="4"/>
  <c r="F88" i="4"/>
  <c r="E88" i="4"/>
  <c r="D88" i="4"/>
  <c r="B88" i="4"/>
  <c r="G87" i="4"/>
  <c r="F87" i="4"/>
  <c r="E87" i="4"/>
  <c r="D87" i="4"/>
  <c r="B87" i="4"/>
  <c r="G86" i="4"/>
  <c r="E86" i="4"/>
  <c r="D86" i="4"/>
  <c r="B86" i="4"/>
  <c r="G85" i="4"/>
  <c r="F85" i="4"/>
  <c r="E85" i="4"/>
  <c r="D85" i="4"/>
  <c r="B85" i="4"/>
  <c r="G84" i="4"/>
  <c r="E84" i="4"/>
  <c r="D84" i="4"/>
  <c r="B84" i="4"/>
  <c r="G83" i="4"/>
  <c r="F83" i="4"/>
  <c r="E83" i="4"/>
  <c r="D83" i="4"/>
  <c r="B83" i="4"/>
  <c r="G82" i="4"/>
  <c r="F82" i="4"/>
  <c r="E82" i="4"/>
  <c r="D82" i="4"/>
  <c r="B82" i="4"/>
  <c r="G81" i="4"/>
  <c r="F81" i="4"/>
  <c r="E81" i="4"/>
  <c r="D81" i="4"/>
  <c r="B81" i="4"/>
  <c r="G80" i="4"/>
  <c r="F80" i="4"/>
  <c r="E80" i="4"/>
  <c r="D80" i="4"/>
  <c r="B80" i="4"/>
  <c r="F79" i="4"/>
  <c r="E79" i="4"/>
  <c r="D79" i="4"/>
  <c r="B79" i="4"/>
  <c r="G78" i="4"/>
  <c r="F78" i="4"/>
  <c r="E78" i="4"/>
  <c r="D78" i="4"/>
  <c r="B78" i="4"/>
  <c r="F77" i="4"/>
  <c r="E77" i="4"/>
  <c r="D77" i="4"/>
  <c r="B77" i="4"/>
  <c r="G76" i="4"/>
  <c r="F76" i="4"/>
  <c r="E76" i="4"/>
  <c r="D76" i="4"/>
  <c r="B76" i="4"/>
  <c r="G75" i="4"/>
  <c r="F75" i="4"/>
  <c r="E75" i="4"/>
  <c r="D75" i="4"/>
  <c r="B75" i="4"/>
  <c r="G74" i="4"/>
  <c r="E74" i="4"/>
  <c r="D74" i="4"/>
  <c r="B74" i="4"/>
  <c r="G73" i="4"/>
  <c r="F73" i="4"/>
  <c r="E73" i="4"/>
  <c r="D73" i="4"/>
  <c r="B73" i="4"/>
  <c r="G72" i="4"/>
  <c r="E72" i="4"/>
  <c r="D72" i="4"/>
  <c r="B72" i="4"/>
  <c r="G71" i="4"/>
  <c r="F71" i="4"/>
  <c r="E71" i="4"/>
  <c r="D71" i="4"/>
  <c r="B71" i="4"/>
  <c r="G70" i="4"/>
  <c r="F70" i="4"/>
  <c r="E70" i="4"/>
  <c r="D70" i="4"/>
  <c r="B70" i="4"/>
  <c r="G69" i="4"/>
  <c r="F69" i="4"/>
  <c r="E69" i="4"/>
  <c r="D69" i="4"/>
  <c r="B69" i="4"/>
  <c r="G68" i="4"/>
  <c r="F68" i="4"/>
  <c r="E68" i="4"/>
  <c r="D68" i="4"/>
  <c r="B68" i="4"/>
  <c r="F67" i="4"/>
  <c r="E67" i="4"/>
  <c r="D67" i="4"/>
  <c r="B67" i="4"/>
  <c r="G66" i="4"/>
  <c r="F66" i="4"/>
  <c r="E66" i="4"/>
  <c r="D66" i="4"/>
  <c r="B66" i="4"/>
  <c r="F65" i="4"/>
  <c r="E65" i="4"/>
  <c r="D65" i="4"/>
  <c r="B65" i="4"/>
  <c r="G64" i="4"/>
  <c r="F64" i="4"/>
  <c r="E64" i="4"/>
  <c r="D64" i="4"/>
  <c r="B64" i="4"/>
  <c r="G63" i="4"/>
  <c r="F63" i="4"/>
  <c r="E63" i="4"/>
  <c r="D63" i="4"/>
  <c r="B63" i="4"/>
  <c r="G62" i="4"/>
  <c r="E62" i="4"/>
  <c r="D62" i="4"/>
  <c r="B62" i="4"/>
  <c r="G61" i="4"/>
  <c r="F61" i="4"/>
  <c r="E61" i="4"/>
  <c r="D61" i="4"/>
  <c r="B61" i="4"/>
  <c r="G60" i="4"/>
  <c r="E60" i="4"/>
  <c r="D60" i="4"/>
  <c r="B60" i="4"/>
  <c r="G59" i="4"/>
  <c r="F59" i="4"/>
  <c r="E59" i="4"/>
  <c r="D59" i="4"/>
  <c r="B59" i="4"/>
  <c r="G58" i="4"/>
  <c r="F58" i="4"/>
  <c r="E58" i="4"/>
  <c r="D58" i="4"/>
  <c r="B58" i="4"/>
  <c r="G57" i="4"/>
  <c r="F57" i="4"/>
  <c r="E57" i="4"/>
  <c r="D57" i="4"/>
  <c r="B57" i="4"/>
  <c r="G56" i="4"/>
  <c r="F56" i="4"/>
  <c r="E56" i="4"/>
  <c r="D56" i="4"/>
  <c r="B56" i="4"/>
  <c r="F55" i="4"/>
  <c r="E55" i="4"/>
  <c r="D55" i="4"/>
  <c r="B55" i="4"/>
  <c r="G54" i="4"/>
  <c r="F54" i="4"/>
  <c r="E54" i="4"/>
  <c r="D54" i="4"/>
  <c r="B54" i="4"/>
  <c r="F53" i="4"/>
  <c r="E53" i="4"/>
  <c r="D53" i="4"/>
  <c r="B53" i="4"/>
  <c r="G52" i="4"/>
  <c r="F52" i="4"/>
  <c r="E52" i="4"/>
  <c r="D52" i="4"/>
  <c r="B52" i="4"/>
  <c r="G51" i="4"/>
  <c r="F51" i="4"/>
  <c r="E51" i="4"/>
  <c r="D51" i="4"/>
  <c r="B51" i="4"/>
  <c r="G50" i="4"/>
  <c r="E50" i="4"/>
  <c r="D50" i="4"/>
  <c r="B50" i="4"/>
  <c r="G49" i="4"/>
  <c r="F49" i="4"/>
  <c r="E49" i="4"/>
  <c r="D49" i="4"/>
  <c r="B49" i="4"/>
  <c r="G48" i="4"/>
  <c r="E48" i="4"/>
  <c r="D48" i="4"/>
  <c r="B48" i="4"/>
  <c r="G47" i="4"/>
  <c r="F47" i="4"/>
  <c r="E47" i="4"/>
  <c r="D47" i="4"/>
  <c r="B47" i="4"/>
  <c r="G46" i="4"/>
  <c r="F46" i="4"/>
  <c r="E46" i="4"/>
  <c r="D46" i="4"/>
  <c r="B46" i="4"/>
  <c r="G45" i="4"/>
  <c r="F45" i="4"/>
  <c r="E45" i="4"/>
  <c r="D45" i="4"/>
  <c r="B45" i="4"/>
  <c r="G44" i="4"/>
  <c r="F44" i="4"/>
  <c r="E44" i="4"/>
  <c r="D44" i="4"/>
  <c r="B44" i="4"/>
  <c r="F43" i="4"/>
  <c r="E43" i="4"/>
  <c r="D43" i="4"/>
  <c r="B43" i="4"/>
  <c r="G42" i="4"/>
  <c r="F42" i="4"/>
  <c r="E42" i="4"/>
  <c r="D42" i="4"/>
  <c r="B42" i="4"/>
  <c r="F41" i="4"/>
  <c r="E41" i="4"/>
  <c r="D41" i="4"/>
  <c r="B41" i="4"/>
  <c r="G40" i="4"/>
  <c r="F40" i="4"/>
  <c r="E40" i="4"/>
  <c r="D40" i="4"/>
  <c r="B40" i="4"/>
  <c r="G39" i="4"/>
  <c r="F39" i="4"/>
  <c r="E39" i="4"/>
  <c r="D39" i="4"/>
  <c r="B39" i="4"/>
  <c r="G38" i="4"/>
  <c r="E38" i="4"/>
  <c r="D38" i="4"/>
  <c r="B38" i="4"/>
  <c r="G37" i="4"/>
  <c r="F37" i="4"/>
  <c r="E37" i="4"/>
  <c r="D37" i="4"/>
  <c r="B37" i="4"/>
  <c r="G36" i="4"/>
  <c r="E36" i="4"/>
  <c r="D36" i="4"/>
  <c r="B36" i="4"/>
  <c r="G35" i="4"/>
  <c r="F35" i="4"/>
  <c r="E35" i="4"/>
  <c r="D35" i="4"/>
  <c r="B35" i="4"/>
  <c r="G34" i="4"/>
  <c r="F34" i="4"/>
  <c r="E34" i="4"/>
  <c r="D34" i="4"/>
  <c r="B34" i="4"/>
  <c r="G33" i="4"/>
  <c r="F33" i="4"/>
  <c r="E33" i="4"/>
  <c r="D33" i="4"/>
  <c r="B33" i="4"/>
  <c r="G32" i="4"/>
  <c r="F32" i="4"/>
  <c r="E32" i="4"/>
  <c r="D32" i="4"/>
  <c r="B32" i="4"/>
  <c r="F31" i="4"/>
  <c r="E31" i="4"/>
  <c r="D31" i="4"/>
  <c r="B31" i="4"/>
  <c r="G30" i="4"/>
  <c r="F30" i="4"/>
  <c r="E30" i="4"/>
  <c r="D30" i="4"/>
  <c r="B30" i="4"/>
  <c r="F29" i="4"/>
  <c r="E29" i="4"/>
  <c r="D29" i="4"/>
  <c r="B29" i="4"/>
  <c r="G28" i="4"/>
  <c r="F28" i="4"/>
  <c r="E28" i="4"/>
  <c r="D28" i="4"/>
  <c r="B28" i="4"/>
  <c r="G27" i="4"/>
  <c r="F27" i="4"/>
  <c r="E27" i="4"/>
  <c r="D27" i="4"/>
  <c r="B27" i="4"/>
  <c r="G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G21" i="4"/>
  <c r="F21" i="4"/>
  <c r="E21" i="4"/>
  <c r="D21" i="4"/>
  <c r="B21" i="4"/>
  <c r="G20" i="4"/>
  <c r="F20" i="4"/>
  <c r="E20" i="4"/>
  <c r="D20" i="4"/>
  <c r="B20" i="4"/>
  <c r="G19" i="4"/>
  <c r="F19" i="4"/>
  <c r="E19" i="4"/>
  <c r="D19" i="4"/>
  <c r="B19" i="4"/>
  <c r="G18" i="4"/>
  <c r="F18" i="4"/>
  <c r="E18" i="4"/>
  <c r="D18" i="4"/>
  <c r="B18" i="4"/>
  <c r="F17" i="4"/>
  <c r="E17" i="4"/>
  <c r="D17" i="4"/>
  <c r="B17" i="4"/>
  <c r="G16" i="4"/>
  <c r="F16" i="4"/>
  <c r="E16" i="4"/>
  <c r="D16" i="4"/>
  <c r="B16" i="4"/>
  <c r="G15" i="4"/>
  <c r="F15" i="4"/>
  <c r="E15" i="4"/>
  <c r="D15" i="4"/>
  <c r="B15" i="4"/>
  <c r="G14" i="4"/>
  <c r="E14" i="4"/>
  <c r="D14" i="4"/>
  <c r="B14" i="4"/>
  <c r="G13" i="4"/>
  <c r="F13" i="4"/>
  <c r="E13" i="4"/>
  <c r="D13" i="4"/>
  <c r="B13" i="4"/>
  <c r="G12" i="4"/>
  <c r="F12" i="4"/>
  <c r="E12" i="4"/>
  <c r="D12" i="4"/>
  <c r="B12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J251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A245" i="1" l="1"/>
  <c r="A244" i="1"/>
  <c r="A243" i="1"/>
  <c r="A242" i="1"/>
  <c r="A241" i="1"/>
  <c r="A240" i="1"/>
  <c r="A239" i="1"/>
  <c r="A238" i="1"/>
  <c r="A237" i="1"/>
  <c r="A236" i="1"/>
  <c r="A235" i="1"/>
  <c r="A106" i="1"/>
  <c r="A105" i="1"/>
  <c r="A104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E7" i="4"/>
  <c r="D7" i="4"/>
  <c r="B7" i="4"/>
  <c r="B6" i="4"/>
  <c r="F7" i="4"/>
  <c r="H6" i="2"/>
  <c r="G6" i="2"/>
  <c r="D6" i="2"/>
  <c r="B6" i="2"/>
  <c r="E6" i="4"/>
  <c r="D6" i="4"/>
  <c r="A247" i="1"/>
  <c r="A248" i="1"/>
  <c r="A249" i="1"/>
  <c r="A250" i="1"/>
  <c r="J250" i="1"/>
  <c r="J249" i="1"/>
  <c r="J248" i="1"/>
  <c r="J7" i="1"/>
  <c r="G7" i="4" s="1"/>
  <c r="J6" i="1"/>
  <c r="J6" i="2" s="1"/>
  <c r="K67" i="3" l="1"/>
  <c r="E3" i="1"/>
  <c r="K10" i="3" l="1"/>
  <c r="A250" i="4" l="1"/>
  <c r="I6" i="2"/>
  <c r="F6" i="4" s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6" i="1"/>
  <c r="A6" i="2" s="1"/>
  <c r="G6" i="4" l="1"/>
  <c r="G247" i="4" s="1"/>
  <c r="F29" i="3" s="1"/>
  <c r="G248" i="4" l="1"/>
  <c r="F30" i="3" s="1"/>
  <c r="G249" i="4" l="1"/>
  <c r="F31" i="3" s="1"/>
</calcChain>
</file>

<file path=xl/sharedStrings.xml><?xml version="1.0" encoding="utf-8"?>
<sst xmlns="http://schemas.openxmlformats.org/spreadsheetml/2006/main" count="633" uniqueCount="372">
  <si>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</si>
  <si>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</si>
  <si>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</si>
  <si>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</si>
  <si>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</si>
  <si>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</si>
  <si>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</si>
  <si>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</si>
  <si>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</si>
  <si>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</si>
  <si>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</si>
  <si>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</si>
  <si>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</si>
  <si>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</si>
  <si>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</si>
  <si>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</si>
  <si>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</si>
  <si>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</si>
  <si>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</si>
  <si>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</si>
  <si>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</si>
  <si>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</si>
  <si>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</si>
  <si>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</si>
  <si>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</si>
  <si>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</si>
  <si>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</si>
  <si>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</si>
  <si>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</si>
  <si>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</si>
  <si>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</si>
  <si>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</si>
  <si>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</si>
  <si>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</si>
  <si>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</si>
  <si>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</si>
  <si>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</si>
  <si>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</si>
  <si>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</si>
  <si>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</si>
  <si>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</si>
  <si>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</si>
  <si>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</si>
  <si>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</si>
  <si>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</si>
  <si>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</si>
  <si>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</si>
  <si>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</si>
  <si>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</si>
  <si>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</si>
  <si>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</si>
  <si>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</si>
  <si>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</si>
  <si>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</si>
  <si>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</si>
  <si>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</si>
  <si>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</si>
  <si>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</si>
  <si>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</si>
  <si>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</si>
  <si>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</si>
  <si>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</si>
  <si>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</si>
  <si>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</si>
  <si>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</si>
  <si>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</si>
  <si>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</si>
  <si>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</si>
  <si>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</si>
  <si>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</si>
  <si>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</si>
  <si>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</si>
  <si>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</si>
  <si>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</si>
  <si>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</si>
  <si>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</si>
  <si>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</si>
  <si>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</si>
  <si>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</si>
  <si>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</si>
  <si>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</si>
  <si>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</si>
  <si>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</si>
  <si>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</si>
  <si>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</si>
  <si>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</si>
  <si>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</si>
  <si>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</si>
  <si>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</si>
  <si>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</si>
  <si>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</si>
  <si>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</si>
  <si>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</si>
  <si>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</si>
  <si>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</si>
  <si>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</si>
  <si>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</si>
  <si>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</si>
  <si>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</si>
  <si>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</si>
  <si>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</si>
  <si>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</si>
  <si>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</si>
  <si>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</si>
  <si>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</si>
  <si>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</si>
  <si>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</si>
  <si>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</si>
  <si>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</si>
  <si>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</si>
  <si>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</si>
  <si>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</si>
  <si>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</si>
  <si>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</si>
  <si>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</si>
  <si>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</si>
  <si>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</si>
  <si>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</si>
  <si>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</si>
  <si>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</si>
  <si>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</si>
  <si>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</si>
  <si>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</si>
  <si>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</si>
  <si>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Welding Rods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</si>
  <si>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-MRS-0367</t>
    </r>
  </si>
  <si>
    <t>Fire Drum Red Color 200Ltr</t>
  </si>
  <si>
    <t>Mechanical Pipe Bender 16-36mm with Air Freight</t>
  </si>
  <si>
    <t>Cup Brush S/S Crimped M10x75mm</t>
  </si>
  <si>
    <t>Gear Oil SAE VG-150 20Ltr</t>
  </si>
  <si>
    <t>Rubber Hammer 2Lbs</t>
  </si>
  <si>
    <t>AC Gas R32 (Refrigerant)</t>
  </si>
  <si>
    <t>Thermocol Sheet White 1x2mtr x 50mm thickness</t>
  </si>
  <si>
    <t>Digital Clamp Meter 600V AC/DC 1000A TRMS C180 Tekneka</t>
  </si>
  <si>
    <t>Tube Bender 6/8/10mm 3in1 180deg</t>
  </si>
  <si>
    <t>Cordless Impact Driver 18V 2.0Ah and Charger DCF887-D2 Dewalt</t>
  </si>
  <si>
    <t>Corrugated Sheet White 0.32mmx1mtrx3mtr</t>
  </si>
  <si>
    <t>Magnetic Nut Socket 10mm</t>
  </si>
  <si>
    <t>Screwdriver Bit Star Head 50mm</t>
  </si>
  <si>
    <t>Portable Dry Oven 5kg 220V with Temp Controller</t>
  </si>
  <si>
    <t>PVC Coated Orange Fire Blanket 1x50mtr</t>
  </si>
  <si>
    <t>Tig Torch Head with Handle</t>
  </si>
  <si>
    <t>Shim Plate SS304 12"x50"x0.05mm</t>
  </si>
  <si>
    <t>Shim Plate SS304 12"x50"x0.1mm</t>
  </si>
  <si>
    <t>Shim Plate SS304 12"x50"x0.15mm</t>
  </si>
  <si>
    <t>Shim Plate SS304 12"x50"x0.2mm</t>
  </si>
  <si>
    <t>Shim Plate SS304 12"x50"x0.3mm</t>
  </si>
  <si>
    <t>Shim Plate SS304 12"x50"x0.5mm</t>
  </si>
  <si>
    <t>Shim Plate SS304 12"x50"x1mm</t>
  </si>
  <si>
    <t>Shim Plate SS304 12"x50"x1.5mm</t>
  </si>
  <si>
    <t>Shim Plate SS304 12"x50"x2mm</t>
  </si>
  <si>
    <t>Shim Plate SS304 12"x50"x3mm</t>
  </si>
  <si>
    <t>Total Station IM-52 Sokkia Complete Set</t>
  </si>
  <si>
    <t xml:space="preserve">Digital Theodolite DT2A Complete Set </t>
  </si>
  <si>
    <t>Auto Level B40A Sokkia Complete Set</t>
  </si>
  <si>
    <t>Aluminum Levelling Staff 5mtr with Bubble &amp; Soft Case Wide Type</t>
  </si>
  <si>
    <t>Aluminum Levelling Staff 7mtr with Soft Case</t>
  </si>
  <si>
    <t>Tripod Stand ATS10 Heavy Duty</t>
  </si>
  <si>
    <t>Digital Multimeter Fluke 15B+</t>
  </si>
  <si>
    <t>Feeler Gauge S/S 0.02-1mm 150mm</t>
  </si>
  <si>
    <t>Die Grinder 6mm 220V with Paddle Switch GD0600 Makita</t>
  </si>
  <si>
    <t>Angle Grinder 4" 220V with Paddle Switch DWE4002-B5 Dewalt</t>
  </si>
  <si>
    <t>Air Blower 650W GBL650E Bosch</t>
  </si>
  <si>
    <t>Diamond Grinding Wheel 4"</t>
  </si>
  <si>
    <t>Ear Plug with Corded</t>
  </si>
  <si>
    <t>Dust Mask N95 Venus</t>
  </si>
  <si>
    <t>Pyrometer Infrared Thermometer</t>
  </si>
  <si>
    <t>Dial Indicator 0-5mm/0.01mm 2044A Mitutoyo</t>
  </si>
  <si>
    <t>Dial Indicator 0-10mm/0.01mm 2046A Mitutoyo</t>
  </si>
  <si>
    <t>Sand Paper Roll 4"</t>
  </si>
  <si>
    <t>Chipping Pointed Chisel 18x600mm SDS Max Bosch</t>
  </si>
  <si>
    <t>Chipping Pointed Chisel 18x400mm SDS Max Bosch</t>
  </si>
  <si>
    <t>Renolin B Oil RENOLIN B ISO 46-20ltr</t>
  </si>
  <si>
    <t>PVC Clear Hose 3/4"</t>
  </si>
  <si>
    <t>Hacksaw Frame 12"</t>
  </si>
  <si>
    <t>Hacksaw Blade C/S 12"</t>
  </si>
  <si>
    <t>Ordinary Plywood 4'x8'x6mm Indonesia</t>
  </si>
  <si>
    <t>Window A/C 1.5Ton Super General</t>
  </si>
  <si>
    <t>Spray Paint Blue Asmaco</t>
  </si>
  <si>
    <t>Zinc Spray Paint</t>
  </si>
  <si>
    <t>Flap Disc S/S 4" 80 Grit</t>
  </si>
  <si>
    <t>Teflon Tape 19mm x 40yard</t>
  </si>
  <si>
    <t>VD-40 Spray</t>
  </si>
  <si>
    <t>Plastic Sandbag Heavy Duty (Gunny Sack) 50kg</t>
  </si>
  <si>
    <t>Welding Glass Dark #10</t>
  </si>
  <si>
    <t>Welding Glass Dark #11</t>
  </si>
  <si>
    <t>Welding Glass Dark #12</t>
  </si>
  <si>
    <t>Welding Cable Connector 50-70mm2 Male &amp; Female</t>
  </si>
  <si>
    <t>Tig Collet Body 350A 3.2mm</t>
  </si>
  <si>
    <t>Tig Collet Body 350A 2.4mm</t>
  </si>
  <si>
    <t>Tig Collet Pin 350A 2.4mm</t>
  </si>
  <si>
    <t>Tig Torch Back Cap Long (57Y02)</t>
  </si>
  <si>
    <t>Tig Torch Back Cap Short (57Y04)</t>
  </si>
  <si>
    <t>Tungsten Electrode 2.4mm</t>
  </si>
  <si>
    <t>Double Ear Clamp S/S 11-13mm</t>
  </si>
  <si>
    <t>Argon Regulator Connector Nut &amp; Nipple 9/16"-1/4"</t>
  </si>
  <si>
    <t>Plastic Whistle</t>
  </si>
  <si>
    <t>PVC Cable Trunking 16x20mm</t>
  </si>
  <si>
    <t>Welding Earth Clamp Brass G-Type 300A</t>
  </si>
  <si>
    <t>Adjustable Wrench 12"</t>
  </si>
  <si>
    <t>Drill Bit HSS Cobalt (S/S) 6mm</t>
  </si>
  <si>
    <t>Drill Bit HSS Cobalt (S/S) 8mm</t>
  </si>
  <si>
    <t>Drill Bit HSS Cobalt (S/S) 10mm</t>
  </si>
  <si>
    <t>Electric Exhaust Fan 12"x12"</t>
  </si>
  <si>
    <t>Confined Space Tripod-Whinch 20mtr 135kg PN800+PN801 Karam with TPI Certificate</t>
  </si>
  <si>
    <t>Retractable Fall Arrest Blocks with GI Rope 60ft Karam PCGS 60FT with TPI Certificate</t>
  </si>
  <si>
    <t>Wall Exhaust Fan 220V 295x135x295mm</t>
  </si>
  <si>
    <t>Battery 1.5V AA</t>
  </si>
  <si>
    <t>Battery 1.5V C</t>
  </si>
  <si>
    <t>Aluminum Foil Insulation 1x50mtr x 10mm thickness</t>
  </si>
  <si>
    <t>LED Torch Light Rechargeable GFL4658Z Geepas</t>
  </si>
  <si>
    <t>Inverter ARC Welding Machine 200A ARC200 Jasic</t>
  </si>
  <si>
    <t>Parts Switch SA (N261500) for DWE4002-B5 Dewalt</t>
  </si>
  <si>
    <t>Parts Handle Side (562211-00) for DWE4002-B5 Dewalt</t>
  </si>
  <si>
    <t>Smoke Detector</t>
  </si>
  <si>
    <t>Split A/C 2Ton Heat &amp; Cooling Inverter Zamil</t>
  </si>
  <si>
    <t>A/C Copper Tube Set 5/8"x15mtr</t>
  </si>
  <si>
    <t>A/C Copper Tube Set 1/4"x15mtr</t>
  </si>
  <si>
    <t>Insulation Copper Pipe 5/8" x 15mtr</t>
  </si>
  <si>
    <t>Insulation Copper Pipe 1/4" x 15mtr</t>
  </si>
  <si>
    <t>Insulation Tape Black 2"</t>
  </si>
  <si>
    <t>Thread Dies 1/2"-3/4" NPT 89101 Asada</t>
  </si>
  <si>
    <t>Thread Dies 1"-2" NPT 89102 Asada</t>
  </si>
  <si>
    <t>Thread Dies 2-1/2"-4" NPT for Asada</t>
  </si>
  <si>
    <t>Combination Spanner 16mm</t>
  </si>
  <si>
    <t>Combination Spanner 17mm</t>
  </si>
  <si>
    <t>Combination Spanner 19mm</t>
  </si>
  <si>
    <t>Combination Spanner 21mm</t>
  </si>
  <si>
    <t>Combination Spanner 22mm</t>
  </si>
  <si>
    <t>Combination Spanner 24mm</t>
  </si>
  <si>
    <t>Combination Spanner 25mm</t>
  </si>
  <si>
    <t>Combination Spanner 27mm</t>
  </si>
  <si>
    <t>Combination Spanner 30mm</t>
  </si>
  <si>
    <t>Combination Spanner 32mm</t>
  </si>
  <si>
    <t>Combination Spanner 34mm</t>
  </si>
  <si>
    <t>Combination Spanner 36mm</t>
  </si>
  <si>
    <t>Combination Spanner 41mm</t>
  </si>
  <si>
    <t>Combination Spanner 46mm</t>
  </si>
  <si>
    <t>Combination Spanner Set 6-32mm Open Type</t>
  </si>
  <si>
    <t>Electronic Torque Control Wrench (From Japan)
Model : STC12TE, TONE Japan
Torque : 600-1200Nm, 1" SQ DR.
Power : 220-230V, Weight : 17kg</t>
  </si>
  <si>
    <t>L-Shaped Reaction Bar for GSR122E/STC12TE
#150LH110, TONE Japan</t>
  </si>
  <si>
    <t>Right Angle 12"</t>
  </si>
  <si>
    <t>Right Angle 24"</t>
  </si>
  <si>
    <t>Board Head Bull Pin 1-1/16"(27mm) Heat Treated Alloy Steel</t>
  </si>
  <si>
    <t>Alignment Pry Bar 24mm dia x 1000mm length</t>
  </si>
  <si>
    <t>Cordless Angle Grinder 5" PD SW with 2-Batt+Charger DCG408NT Dewalt</t>
  </si>
  <si>
    <t>Drill Bit HSS Cobalt (S/S) 4mm</t>
  </si>
  <si>
    <t>Drill Bit HSS Cobalt (S/S) 13mm</t>
  </si>
  <si>
    <t>Impact Socket S/S 3/8"dr x 6mm Short</t>
  </si>
  <si>
    <t>Allen Key Hex Set 1.5-10mm</t>
  </si>
  <si>
    <t>Single Gas Detector H2S 500PPM T40 II Rattler ISC</t>
  </si>
  <si>
    <t>Multi Gas Detector Max XT with Pump Honeywell</t>
  </si>
  <si>
    <t>AC Gas Refilling Hose  Red/Blue for R410A</t>
  </si>
  <si>
    <t>Air Blower 220V HPT002 Hyundai</t>
  </si>
  <si>
    <t>Allen Key Star Set  T9-T40</t>
  </si>
  <si>
    <t xml:space="preserve">Angle Grinder 7" 220V with Paddle Switch DWE493-B5 Dewalt </t>
  </si>
  <si>
    <t>Argon Flow Meter</t>
  </si>
  <si>
    <t>Argon Hose Black 1/4" WP20 Bar 300PSI 100Mtr</t>
  </si>
  <si>
    <t>Argon Regulator Set UL Listed</t>
  </si>
  <si>
    <t>Pilot Pin 6.35x103mm</t>
  </si>
  <si>
    <t>Pilot Pin 7.98x106mm</t>
  </si>
  <si>
    <t>Center Punch 6"X150mm</t>
  </si>
  <si>
    <t>Ceramic Nozzle 250A #5 10N49</t>
  </si>
  <si>
    <t>Ceramic Nozzle 250A #6 10N48</t>
  </si>
  <si>
    <t>Ceramic Nozzle 250A #7 10N47</t>
  </si>
  <si>
    <t>Ceramic Nozzle 250A #8 10N46</t>
  </si>
  <si>
    <t>Ceramic Nozzle 500A #5</t>
  </si>
  <si>
    <t>Ceramic Nozzle 500A #6</t>
  </si>
  <si>
    <t>Ceramic Nozzle 500A #7</t>
  </si>
  <si>
    <t>Ceramic Nozzle 500A #8</t>
  </si>
  <si>
    <t>Injectable Mortar HIT-RE 500 V4/500 Hilti</t>
  </si>
  <si>
    <t>Concrete Drill Bit 16mmx210mm</t>
  </si>
  <si>
    <t>Concrete Drill Bit 6mmx100mm</t>
  </si>
  <si>
    <t>Cordless Impact Drill 18V GSB183-LI Bosch with 2-batt. and Charger</t>
  </si>
  <si>
    <t>Demolition Hammer SDS Max 1500W GSH 7VC Bosch</t>
  </si>
  <si>
    <t>Hammer Drill Machine SDS Plus 800W GBH2-26 Bosch</t>
  </si>
  <si>
    <t>Cordless Jigsaw 18V LXT XVJ03Z Makita with 2-batt. and Charger</t>
  </si>
  <si>
    <t>Digital Vernier Caliper 150mm</t>
  </si>
  <si>
    <t>Drill Machine 13mm in Steel HP1604K Makita</t>
  </si>
  <si>
    <t>Earthing Cable 10mm2 x 90mtr</t>
  </si>
  <si>
    <t>Power Cable CU/XLPE/PVC 4Cx35mm2</t>
  </si>
  <si>
    <t>Safety Flag with Handle Red 450x400mm</t>
  </si>
  <si>
    <t>Safety Flag with Handle Green 450x400mm</t>
  </si>
  <si>
    <t>Gas Lens Body Jumbo 2.4mm (45V64)</t>
  </si>
  <si>
    <t>Gas Lens Insulator 18CG (Heat Shield 54N63)</t>
  </si>
  <si>
    <t>Gas Lens Insulator Cup Gasket (54N01)</t>
  </si>
  <si>
    <t>Hi-Lo Welding Gauge</t>
  </si>
  <si>
    <t>Impact Socket Adapter 1/2"(M) x 3/4"(F)</t>
  </si>
  <si>
    <t>Impact Socket Adapter 3/4"(M) x 1/2"(F)</t>
  </si>
  <si>
    <t>Impact Socket Adapter 3/8"(M) x 1/2"(F)</t>
  </si>
  <si>
    <t>Impact Socket Adapter 1/4"(M) x 3/8"(F)</t>
  </si>
  <si>
    <t>Impact Socket Adapter 3/4"(M) x 1"(F)</t>
  </si>
  <si>
    <t>Loctite 567 50ml</t>
  </si>
  <si>
    <t>Digital Multimeter DC1000V AC750V M120 Tekneka</t>
  </si>
  <si>
    <t>Neon Line Tester</t>
  </si>
  <si>
    <t>Pipe Wrench 10"</t>
  </si>
  <si>
    <t>Pipe Wrench 24"</t>
  </si>
  <si>
    <t>Pipe Wrench 36"</t>
  </si>
  <si>
    <t>Industrial Ventilation Fan 12" 220V</t>
  </si>
  <si>
    <t>Sponge Foam Sheet 900x1900x100mm</t>
  </si>
  <si>
    <t>CS Square Tube 20x20x2mm, 6mtr</t>
  </si>
  <si>
    <t>CS Angle 50x50x6mm, 6mtr</t>
  </si>
  <si>
    <t>CS Plate 4'x8'x2mm</t>
  </si>
  <si>
    <t>Low Chloride Paint Marker Blue</t>
  </si>
  <si>
    <t>Permanent Marker Pen Twin Tip Blue 1.0x0.5mm</t>
  </si>
  <si>
    <t>WD-40 330ml</t>
  </si>
  <si>
    <t>Sand Paper Roll #100 2"x50mtr</t>
  </si>
  <si>
    <t>Tig Collet Pin 250A 2.4mm</t>
  </si>
  <si>
    <t>Tig Torch Switch</t>
  </si>
  <si>
    <t>Tungsten Electrode 3.2mm</t>
  </si>
  <si>
    <t>Ceramic Nozzle 350A #5</t>
  </si>
  <si>
    <t>Ceramic Nozzle 350A #6</t>
  </si>
  <si>
    <t>Ceramic Nozzle 350A #7</t>
  </si>
  <si>
    <t>Ceramic Nozzle 350A #8</t>
  </si>
  <si>
    <t>Respirator Cartridge Filter 3M 6001</t>
  </si>
  <si>
    <t>Argon Hose Quick Connector 15x6mm</t>
  </si>
  <si>
    <t>Split Level 300mm</t>
  </si>
  <si>
    <t>Magnetic Split Level 230mm</t>
  </si>
  <si>
    <t>Weld Purge Oxygen Monitor PurgEye100</t>
  </si>
  <si>
    <t>Rubber Hammer 1Lbs</t>
  </si>
  <si>
    <t>Low Chloride Mighty Marker High Purity MM-06 Yellow 1mm (Air from USA)</t>
  </si>
  <si>
    <t>Laser Pointer with Carabiner Hook</t>
  </si>
  <si>
    <t>Combination Spanner 50mm</t>
  </si>
  <si>
    <t>Scaffolding Ratchet Wrench 22x24mm</t>
  </si>
  <si>
    <t>Scaffolding Ratchet Wrench 24x27mm</t>
  </si>
  <si>
    <t>Scaffolding Ratchet Wrench 46x50mm</t>
  </si>
  <si>
    <t>Ring Hammer Wrench 27mm</t>
  </si>
  <si>
    <t>Ring Hammer Wrench 32mm</t>
  </si>
  <si>
    <t>Ring Hammer Wrench 41mm</t>
  </si>
  <si>
    <t>Ring Hammer Wrench 50mm</t>
  </si>
  <si>
    <t>Claw Hammer 450g</t>
  </si>
  <si>
    <t>Sledge Hammer 2LB</t>
  </si>
  <si>
    <t>Sledge Hammer 4LB</t>
  </si>
  <si>
    <t>Disposable Coverall 2XL</t>
  </si>
  <si>
    <t>Combination Spanner 10mm</t>
  </si>
  <si>
    <t>Adjustable Wrench 8"</t>
  </si>
  <si>
    <t>Pressure Gauge Full SS 4" Dial 1/2" NPT 0-11bar</t>
  </si>
  <si>
    <t>Pressure Gauge Full SS 4" Dial 1/2" NPT 0-20bar</t>
  </si>
  <si>
    <t>Pressure Gauge Full SS 4" Dial 1/2" NPT 0-40bar</t>
  </si>
  <si>
    <t>Pressure Gauge Full SS 4" Dial 1/2" NPT 0-200bar</t>
  </si>
  <si>
    <t>Pressure Gauge Full SS 4" Dial 1/2" NPT 0-280bar</t>
  </si>
  <si>
    <t>Tig Torch Remote Cable 3Cx0.75x90mtr</t>
  </si>
  <si>
    <t>AC Gas R410A 11.6kg</t>
  </si>
  <si>
    <t>PVC Cable Trunking 16x25mm</t>
  </si>
  <si>
    <t>Infrared Thermometer Extech IR267</t>
  </si>
  <si>
    <t>Tig Torch Cable &amp; Hose Connector G5/8"-18NPT+5mm</t>
  </si>
  <si>
    <t>Contact Adhesive Pattex 650ml</t>
  </si>
  <si>
    <t>Cordless Air Blower 18V with 2-Batt+Charger DCV100D2 Dewalt</t>
  </si>
  <si>
    <t>Cordless Hammer Drill 18V 2-Batt+Charger DCD776D2T-GB Dewalt</t>
  </si>
  <si>
    <t>PVC Cable Trunking 25x25mm, 3mtr</t>
  </si>
  <si>
    <t>Flap Wheel S/S 25x20x6mm</t>
  </si>
  <si>
    <t>Cup Brush C/S Crimped M10x75mm</t>
  </si>
  <si>
    <t>Paint Marker Black Snowman Japan</t>
  </si>
  <si>
    <t>Paint Marker White Snowman Japan</t>
  </si>
  <si>
    <t>Masking Tape 2"x25yard</t>
  </si>
  <si>
    <t>Masking Tape 1"x25yard</t>
  </si>
  <si>
    <t>Warning Tape 3" Red/White</t>
  </si>
  <si>
    <t>Duct Tape 2"x25yard</t>
  </si>
  <si>
    <t>Electric Insulation Tape Black</t>
  </si>
  <si>
    <t>Electric Insulation Tape Red</t>
  </si>
  <si>
    <t>Electric Insulation Tape Blue</t>
  </si>
  <si>
    <t>Spray Paint Red</t>
  </si>
  <si>
    <t>Cordless Jigsaw 18V 5Ah DCS334P2-GB Dewalt with 2-batt and Charger</t>
  </si>
  <si>
    <t>Jigsaw Blade 105mm for Wood</t>
  </si>
  <si>
    <t>Latex Half Coated Gloves Orange Crinkled</t>
  </si>
  <si>
    <t>Manila Rope 18mm x 100mtr</t>
  </si>
  <si>
    <t>Nos</t>
  </si>
  <si>
    <t>Set</t>
  </si>
  <si>
    <t>Roll</t>
  </si>
  <si>
    <t>Pair</t>
  </si>
  <si>
    <t>Pkt</t>
  </si>
  <si>
    <t>Q-20263213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</si>
</sst>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47" xfId="0" applyFont="1" applyFill="1" applyBorder="1" applyAlignment="1">
      <alignment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252</xdr:row>
          <xdr:rowOff>20054</xdr:rowOff>
        </xdr:from>
        <xdr:to>
          <xdr:col>12</xdr:col>
          <xdr:colOff>499</xdr:colOff>
          <xdr:row>259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53:$S$259" spid="_x0000_s13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669619</xdr:colOff>
      <xdr:row>9</xdr:row>
      <xdr:rowOff>1262567</xdr:rowOff>
    </xdr:from>
    <xdr:ext cx="1408616" cy="1094960"/>
    <xdr:pic>
      <xdr:nvPicPr>
        <xdr:cNvPr id="13" name="Picture 19">
          <a:extLst>
            <a:ext uri="{FF2B5EF4-FFF2-40B4-BE49-F238E27FC236}">
              <a16:creationId xmlns:a16="http://schemas.microsoft.com/office/drawing/2014/main" id="{66E6F2EB-20AA-48A9-B6A1-7B1686CE9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4312" y="6917409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10</xdr:row>
      <xdr:rowOff>1316994</xdr:rowOff>
    </xdr:from>
    <xdr:ext cx="1408616" cy="1094960"/>
    <xdr:pic>
      <xdr:nvPicPr>
        <xdr:cNvPr id="14" name="Picture 19">
          <a:extLst>
            <a:ext uri="{FF2B5EF4-FFF2-40B4-BE49-F238E27FC236}">
              <a16:creationId xmlns:a16="http://schemas.microsoft.com/office/drawing/2014/main" id="{9C6CBE18-2E1E-41C6-8579-7DAAB1EC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4312" y="8305336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287"/>
  <sheetViews>
    <sheetView showGridLines="0" view="pageBreakPreview" topLeftCell="A15" zoomScale="95" zoomScaleNormal="95" zoomScaleSheetLayoutView="95" workbookViewId="0">
      <selection activeCell="H21" sqref="H21"/>
    </sheetView>
  </sheetViews>
  <sheetFormatPr defaultColWidth="9" defaultRowHeight="21" customHeight="1"/>
  <cols>
    <col min="1" max="1" width="5.7109375" style="2" customWidth="1"/>
    <col min="2" max="2" width="8.140625" style="2" customWidth="1"/>
    <col min="3" max="3" width="45" style="2" customWidth="1"/>
    <col min="4" max="4" width="19.28515625" style="2" customWidth="1"/>
    <col min="5" max="5" width="10.85546875" style="2" customWidth="1"/>
    <col min="6" max="6" width="17.140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54" t="s">
        <v>87</v>
      </c>
      <c r="K1" s="155"/>
      <c r="L1" s="156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57" t="s">
        <v>94</v>
      </c>
      <c r="K2" s="158"/>
      <c r="L2" s="159"/>
    </row>
    <row r="3" spans="1:18" ht="20.100000000000001" customHeight="1">
      <c r="A3" s="3" t="s">
        <v>125</v>
      </c>
      <c r="B3" s="93"/>
      <c r="C3" s="93"/>
      <c r="D3" s="93"/>
      <c r="E3" s="160">
        <f>+L3</f>
        <v>46217</v>
      </c>
      <c r="F3" s="160"/>
      <c r="G3" s="160"/>
      <c r="H3" s="160"/>
      <c r="I3" s="160"/>
      <c r="J3" s="93"/>
      <c r="K3" s="93"/>
      <c r="L3" s="105">
        <v>46217</v>
      </c>
      <c r="M3" s="4"/>
    </row>
    <row r="4" spans="1:18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61" t="s">
        <v>6</v>
      </c>
      <c r="I4" s="161" t="s">
        <v>91</v>
      </c>
      <c r="J4" s="163" t="s">
        <v>92</v>
      </c>
      <c r="K4" s="161" t="s">
        <v>0</v>
      </c>
      <c r="L4" s="164" t="s">
        <v>7</v>
      </c>
    </row>
    <row r="5" spans="1:18" ht="15.95" customHeight="1">
      <c r="A5" s="163"/>
      <c r="B5" s="164"/>
      <c r="C5" s="164"/>
      <c r="D5" s="168"/>
      <c r="E5" s="169"/>
      <c r="F5" s="170"/>
      <c r="G5" s="172"/>
      <c r="H5" s="162"/>
      <c r="I5" s="162"/>
      <c r="J5" s="163"/>
      <c r="K5" s="162"/>
      <c r="L5" s="164"/>
    </row>
    <row r="6" spans="1:18" ht="35.25" customHeight="1">
      <c r="A6" s="5">
        <f t="shared" ref="A6:A69" si="0">ROW(A1)</f>
        <v>1</v>
      </c>
      <c r="B6" s="149" t="s">
        <v>126</v>
      </c>
      <c r="C6" s="150"/>
      <c r="D6" s="125"/>
      <c r="E6" s="126"/>
      <c r="F6" s="127"/>
      <c r="G6" s="112" t="s">
        <v>366</v>
      </c>
      <c r="H6" s="112">
        <v>8</v>
      </c>
      <c r="I6" s="113">
        <v>145</v>
      </c>
      <c r="J6" s="100">
        <f>H6*I6</f>
        <v>1160</v>
      </c>
      <c r="K6" s="101" t="s">
        <v>98</v>
      </c>
      <c r="L6" s="102" t="s">
        <v>106</v>
      </c>
      <c r="R6" s="98"/>
    </row>
    <row r="7" spans="1:18" ht="35.25" customHeight="1">
      <c r="A7" s="5">
        <f t="shared" si="0"/>
        <v>2</v>
      </c>
      <c r="B7" s="149" t="s">
        <v>127</v>
      </c>
      <c r="C7" s="150"/>
      <c r="D7" s="125"/>
      <c r="E7" s="126"/>
      <c r="F7" s="127"/>
      <c r="G7" s="112" t="s">
        <v>367</v>
      </c>
      <c r="H7" s="112">
        <v>2</v>
      </c>
      <c r="I7" s="113">
        <v>7600</v>
      </c>
      <c r="J7" s="100">
        <f t="shared" ref="J7:J250" si="1">H7*I7</f>
        <v>15200</v>
      </c>
      <c r="K7" s="101"/>
      <c r="L7" s="102"/>
      <c r="R7" s="98"/>
    </row>
    <row r="8" spans="1:18" ht="35.25" customHeight="1">
      <c r="A8" s="5">
        <f t="shared" si="0"/>
        <v>3</v>
      </c>
      <c r="B8" s="149" t="s">
        <v>128</v>
      </c>
      <c r="C8" s="150"/>
      <c r="D8" s="120"/>
      <c r="E8" s="121"/>
      <c r="F8" s="122"/>
      <c r="G8" s="112" t="s">
        <v>366</v>
      </c>
      <c r="H8" s="112">
        <v>2000</v>
      </c>
      <c r="I8" s="113">
        <v>18.5</v>
      </c>
      <c r="J8" s="100">
        <f t="shared" si="1"/>
        <v>37000</v>
      </c>
      <c r="K8" s="101"/>
      <c r="L8" s="102"/>
      <c r="R8" s="98"/>
    </row>
    <row r="9" spans="1:18" ht="35.25" customHeight="1">
      <c r="A9" s="5">
        <f t="shared" si="0"/>
        <v>4</v>
      </c>
      <c r="B9" s="149" t="s">
        <v>129</v>
      </c>
      <c r="C9" s="150"/>
      <c r="D9" s="120"/>
      <c r="E9" s="121"/>
      <c r="F9" s="122"/>
      <c r="G9" s="112" t="s">
        <v>367</v>
      </c>
      <c r="H9" s="112">
        <v>1</v>
      </c>
      <c r="I9" s="113">
        <v>408</v>
      </c>
      <c r="J9" s="100">
        <f t="shared" si="1"/>
        <v>408</v>
      </c>
      <c r="K9" s="101"/>
      <c r="L9" s="102"/>
      <c r="R9" s="98"/>
    </row>
    <row r="10" spans="1:18" ht="35.25" customHeight="1">
      <c r="A10" s="5">
        <f t="shared" si="0"/>
        <v>5</v>
      </c>
      <c r="B10" s="149" t="s">
        <v>130</v>
      </c>
      <c r="C10" s="150"/>
      <c r="D10" s="120"/>
      <c r="E10" s="121"/>
      <c r="F10" s="122"/>
      <c r="G10" s="112" t="s">
        <v>366</v>
      </c>
      <c r="H10" s="112">
        <v>23</v>
      </c>
      <c r="I10" s="113">
        <v>29</v>
      </c>
      <c r="J10" s="100">
        <f t="shared" si="1"/>
        <v>667</v>
      </c>
      <c r="K10" s="101"/>
      <c r="L10" s="102"/>
      <c r="R10" s="98"/>
    </row>
    <row r="11" spans="1:18" ht="35.25" customHeight="1">
      <c r="A11" s="5">
        <f t="shared" si="0"/>
        <v>6</v>
      </c>
      <c r="B11" s="149" t="s">
        <v>131</v>
      </c>
      <c r="C11" s="150"/>
      <c r="D11" s="120"/>
      <c r="E11" s="121"/>
      <c r="F11" s="122"/>
      <c r="G11" s="112" t="s">
        <v>366</v>
      </c>
      <c r="H11" s="112">
        <v>1</v>
      </c>
      <c r="I11" s="113">
        <v>575</v>
      </c>
      <c r="J11" s="100">
        <f t="shared" si="1"/>
        <v>575</v>
      </c>
      <c r="K11" s="101"/>
      <c r="L11" s="102"/>
      <c r="R11" s="98"/>
    </row>
    <row r="12" spans="1:18" ht="35.25" customHeight="1">
      <c r="A12" s="5">
        <f t="shared" si="0"/>
        <v>7</v>
      </c>
      <c r="B12" s="149" t="s">
        <v>132</v>
      </c>
      <c r="C12" s="150"/>
      <c r="D12" s="120"/>
      <c r="E12" s="121"/>
      <c r="F12" s="122"/>
      <c r="G12" s="112" t="s">
        <v>368</v>
      </c>
      <c r="H12" s="112">
        <v>4</v>
      </c>
      <c r="I12" s="113">
        <v>25</v>
      </c>
      <c r="J12" s="100">
        <f t="shared" si="1"/>
        <v>100</v>
      </c>
      <c r="K12" s="101"/>
      <c r="L12" s="102"/>
      <c r="R12" s="98"/>
    </row>
    <row r="13" spans="1:18" ht="35.25" customHeight="1">
      <c r="A13" s="5">
        <f t="shared" si="0"/>
        <v>8</v>
      </c>
      <c r="B13" s="149" t="s">
        <v>133</v>
      </c>
      <c r="C13" s="150"/>
      <c r="D13" s="120"/>
      <c r="E13" s="121"/>
      <c r="F13" s="122"/>
      <c r="G13" s="112" t="s">
        <v>366</v>
      </c>
      <c r="H13" s="112">
        <v>1</v>
      </c>
      <c r="I13" s="113">
        <v>470</v>
      </c>
      <c r="J13" s="100">
        <f t="shared" si="1"/>
        <v>470</v>
      </c>
      <c r="K13" s="101"/>
      <c r="L13" s="102"/>
      <c r="R13" s="98"/>
    </row>
    <row r="14" spans="1:18" ht="35.25" customHeight="1">
      <c r="A14" s="5">
        <f t="shared" si="0"/>
        <v>9</v>
      </c>
      <c r="B14" s="149" t="s">
        <v>134</v>
      </c>
      <c r="C14" s="150"/>
      <c r="D14" s="120"/>
      <c r="E14" s="121"/>
      <c r="F14" s="122"/>
      <c r="G14" s="112" t="s">
        <v>366</v>
      </c>
      <c r="H14" s="112">
        <v>1</v>
      </c>
      <c r="I14" s="113">
        <v>56</v>
      </c>
      <c r="J14" s="100">
        <f t="shared" si="1"/>
        <v>56</v>
      </c>
      <c r="K14" s="101"/>
      <c r="L14" s="102"/>
      <c r="R14" s="98"/>
    </row>
    <row r="15" spans="1:18" ht="35.25" customHeight="1">
      <c r="A15" s="5">
        <f t="shared" si="0"/>
        <v>10</v>
      </c>
      <c r="B15" s="149" t="s">
        <v>135</v>
      </c>
      <c r="C15" s="150"/>
      <c r="D15" s="120"/>
      <c r="E15" s="121"/>
      <c r="F15" s="122"/>
      <c r="G15" s="112" t="s">
        <v>366</v>
      </c>
      <c r="H15" s="112">
        <v>1</v>
      </c>
      <c r="I15" s="113">
        <v>1225</v>
      </c>
      <c r="J15" s="100">
        <f t="shared" si="1"/>
        <v>1225</v>
      </c>
      <c r="K15" s="101"/>
      <c r="L15" s="102"/>
      <c r="R15" s="98"/>
    </row>
    <row r="16" spans="1:18" ht="35.25" customHeight="1">
      <c r="A16" s="5">
        <f t="shared" si="0"/>
        <v>11</v>
      </c>
      <c r="B16" s="149" t="s">
        <v>136</v>
      </c>
      <c r="C16" s="150"/>
      <c r="D16" s="120"/>
      <c r="E16" s="121"/>
      <c r="F16" s="122"/>
      <c r="G16" s="112" t="s">
        <v>366</v>
      </c>
      <c r="H16" s="112">
        <v>50</v>
      </c>
      <c r="I16" s="113">
        <v>51</v>
      </c>
      <c r="J16" s="100">
        <f t="shared" si="1"/>
        <v>2550</v>
      </c>
      <c r="K16" s="101"/>
      <c r="L16" s="102"/>
      <c r="R16" s="98"/>
    </row>
    <row r="17" spans="1:18" ht="35.25" customHeight="1">
      <c r="A17" s="5">
        <f t="shared" si="0"/>
        <v>12</v>
      </c>
      <c r="B17" s="149" t="s">
        <v>137</v>
      </c>
      <c r="C17" s="150"/>
      <c r="D17" s="120"/>
      <c r="E17" s="121"/>
      <c r="F17" s="122"/>
      <c r="G17" s="112" t="s">
        <v>366</v>
      </c>
      <c r="H17" s="112">
        <v>5</v>
      </c>
      <c r="I17" s="113">
        <v>6.5</v>
      </c>
      <c r="J17" s="100">
        <f t="shared" si="1"/>
        <v>32.5</v>
      </c>
      <c r="K17" s="101"/>
      <c r="L17" s="102"/>
      <c r="R17" s="98"/>
    </row>
    <row r="18" spans="1:18" ht="35.25" customHeight="1">
      <c r="A18" s="5">
        <f t="shared" si="0"/>
        <v>13</v>
      </c>
      <c r="B18" s="149" t="s">
        <v>138</v>
      </c>
      <c r="C18" s="150"/>
      <c r="D18" s="120"/>
      <c r="E18" s="121"/>
      <c r="F18" s="122"/>
      <c r="G18" s="112" t="s">
        <v>366</v>
      </c>
      <c r="H18" s="112">
        <v>5</v>
      </c>
      <c r="I18" s="113">
        <v>2</v>
      </c>
      <c r="J18" s="100">
        <f t="shared" si="1"/>
        <v>10</v>
      </c>
      <c r="K18" s="101"/>
      <c r="L18" s="102"/>
      <c r="R18" s="98"/>
    </row>
    <row r="19" spans="1:18" ht="35.25" customHeight="1">
      <c r="A19" s="5">
        <f t="shared" si="0"/>
        <v>14</v>
      </c>
      <c r="B19" s="149" t="s">
        <v>139</v>
      </c>
      <c r="C19" s="150"/>
      <c r="D19" s="120"/>
      <c r="E19" s="121"/>
      <c r="F19" s="122"/>
      <c r="G19" s="112" t="s">
        <v>366</v>
      </c>
      <c r="H19" s="112">
        <v>30</v>
      </c>
      <c r="I19" s="113">
        <v>189</v>
      </c>
      <c r="J19" s="100">
        <f t="shared" si="1"/>
        <v>5670</v>
      </c>
      <c r="K19" s="101"/>
      <c r="L19" s="102"/>
      <c r="R19" s="98"/>
    </row>
    <row r="20" spans="1:18" ht="35.25" customHeight="1">
      <c r="A20" s="5">
        <f t="shared" si="0"/>
        <v>15</v>
      </c>
      <c r="B20" s="149" t="s">
        <v>140</v>
      </c>
      <c r="C20" s="150"/>
      <c r="D20" s="120"/>
      <c r="E20" s="121"/>
      <c r="F20" s="122"/>
      <c r="G20" s="112" t="s">
        <v>366</v>
      </c>
      <c r="H20" s="112">
        <v>65</v>
      </c>
      <c r="I20" s="113">
        <v>450</v>
      </c>
      <c r="J20" s="100">
        <f t="shared" si="1"/>
        <v>29250</v>
      </c>
      <c r="K20" s="101"/>
      <c r="L20" s="102"/>
      <c r="R20" s="98"/>
    </row>
    <row r="21" spans="1:18" ht="35.25" customHeight="1">
      <c r="A21" s="5">
        <f t="shared" si="0"/>
        <v>16</v>
      </c>
      <c r="B21" s="149" t="s">
        <v>141</v>
      </c>
      <c r="C21" s="150"/>
      <c r="D21" s="120"/>
      <c r="E21" s="121"/>
      <c r="F21" s="122"/>
      <c r="G21" s="112" t="s">
        <v>366</v>
      </c>
      <c r="H21" s="112">
        <v>250</v>
      </c>
      <c r="I21" s="113">
        <v>38</v>
      </c>
      <c r="J21" s="100">
        <f t="shared" si="1"/>
        <v>9500</v>
      </c>
      <c r="K21" s="101"/>
      <c r="L21" s="102"/>
      <c r="R21" s="98"/>
    </row>
    <row r="22" spans="1:18" ht="35.25" customHeight="1">
      <c r="A22" s="5">
        <f t="shared" si="0"/>
        <v>17</v>
      </c>
      <c r="B22" s="149" t="s">
        <v>142</v>
      </c>
      <c r="C22" s="150"/>
      <c r="D22" s="120"/>
      <c r="E22" s="121"/>
      <c r="F22" s="122"/>
      <c r="G22" s="112" t="s">
        <v>366</v>
      </c>
      <c r="H22" s="112">
        <v>1</v>
      </c>
      <c r="I22" s="113">
        <v>218</v>
      </c>
      <c r="J22" s="100">
        <f t="shared" si="1"/>
        <v>218</v>
      </c>
      <c r="K22" s="101"/>
      <c r="L22" s="102"/>
      <c r="R22" s="98"/>
    </row>
    <row r="23" spans="1:18" ht="35.25" customHeight="1">
      <c r="A23" s="5">
        <f t="shared" si="0"/>
        <v>18</v>
      </c>
      <c r="B23" s="149" t="s">
        <v>143</v>
      </c>
      <c r="C23" s="150"/>
      <c r="D23" s="120"/>
      <c r="E23" s="121"/>
      <c r="F23" s="122"/>
      <c r="G23" s="112" t="s">
        <v>367</v>
      </c>
      <c r="H23" s="112">
        <v>1</v>
      </c>
      <c r="I23" s="113">
        <v>236</v>
      </c>
      <c r="J23" s="100">
        <f t="shared" si="1"/>
        <v>236</v>
      </c>
      <c r="K23" s="101"/>
      <c r="L23" s="102"/>
      <c r="R23" s="98"/>
    </row>
    <row r="24" spans="1:18" ht="35.25" customHeight="1">
      <c r="A24" s="5">
        <f t="shared" si="0"/>
        <v>19</v>
      </c>
      <c r="B24" s="149" t="s">
        <v>144</v>
      </c>
      <c r="C24" s="150"/>
      <c r="D24" s="120"/>
      <c r="E24" s="121"/>
      <c r="F24" s="122"/>
      <c r="G24" s="112" t="s">
        <v>367</v>
      </c>
      <c r="H24" s="112">
        <v>1</v>
      </c>
      <c r="I24" s="113">
        <v>236</v>
      </c>
      <c r="J24" s="100">
        <f t="shared" si="1"/>
        <v>236</v>
      </c>
      <c r="K24" s="101"/>
      <c r="L24" s="102"/>
      <c r="R24" s="98"/>
    </row>
    <row r="25" spans="1:18" ht="35.25" customHeight="1">
      <c r="A25" s="5">
        <f t="shared" si="0"/>
        <v>20</v>
      </c>
      <c r="B25" s="149" t="s">
        <v>145</v>
      </c>
      <c r="C25" s="150"/>
      <c r="D25" s="120"/>
      <c r="E25" s="121"/>
      <c r="F25" s="122"/>
      <c r="G25" s="112" t="s">
        <v>368</v>
      </c>
      <c r="H25" s="112">
        <v>1</v>
      </c>
      <c r="I25" s="113">
        <v>238</v>
      </c>
      <c r="J25" s="100">
        <f t="shared" si="1"/>
        <v>238</v>
      </c>
      <c r="K25" s="101"/>
      <c r="L25" s="102"/>
      <c r="R25" s="98"/>
    </row>
    <row r="26" spans="1:18" ht="35.25" customHeight="1">
      <c r="A26" s="5">
        <f t="shared" si="0"/>
        <v>21</v>
      </c>
      <c r="B26" s="149" t="s">
        <v>146</v>
      </c>
      <c r="C26" s="150"/>
      <c r="D26" s="120"/>
      <c r="E26" s="121"/>
      <c r="F26" s="122"/>
      <c r="G26" s="112" t="s">
        <v>366</v>
      </c>
      <c r="H26" s="112">
        <v>1</v>
      </c>
      <c r="I26" s="113">
        <v>240</v>
      </c>
      <c r="J26" s="100">
        <f t="shared" si="1"/>
        <v>240</v>
      </c>
      <c r="K26" s="101"/>
      <c r="L26" s="102"/>
      <c r="R26" s="98"/>
    </row>
    <row r="27" spans="1:18" ht="35.25" customHeight="1">
      <c r="A27" s="5">
        <f t="shared" si="0"/>
        <v>22</v>
      </c>
      <c r="B27" s="149" t="s">
        <v>147</v>
      </c>
      <c r="C27" s="150"/>
      <c r="D27" s="120"/>
      <c r="E27" s="121"/>
      <c r="F27" s="122"/>
      <c r="G27" s="112" t="s">
        <v>366</v>
      </c>
      <c r="H27" s="112">
        <v>1</v>
      </c>
      <c r="I27" s="113">
        <v>260</v>
      </c>
      <c r="J27" s="100">
        <f t="shared" si="1"/>
        <v>260</v>
      </c>
      <c r="K27" s="101"/>
      <c r="L27" s="102"/>
      <c r="R27" s="98"/>
    </row>
    <row r="28" spans="1:18" ht="35.25" customHeight="1">
      <c r="A28" s="5">
        <f t="shared" si="0"/>
        <v>23</v>
      </c>
      <c r="B28" s="149" t="s">
        <v>148</v>
      </c>
      <c r="C28" s="150"/>
      <c r="D28" s="120"/>
      <c r="E28" s="121"/>
      <c r="F28" s="122"/>
      <c r="G28" s="112" t="s">
        <v>369</v>
      </c>
      <c r="H28" s="112">
        <v>1</v>
      </c>
      <c r="I28" s="113">
        <v>293</v>
      </c>
      <c r="J28" s="100">
        <f t="shared" si="1"/>
        <v>293</v>
      </c>
      <c r="K28" s="101"/>
      <c r="L28" s="102"/>
      <c r="R28" s="98"/>
    </row>
    <row r="29" spans="1:18" ht="35.25" customHeight="1">
      <c r="A29" s="5">
        <f t="shared" si="0"/>
        <v>24</v>
      </c>
      <c r="B29" s="149" t="s">
        <v>149</v>
      </c>
      <c r="C29" s="150"/>
      <c r="D29" s="120"/>
      <c r="E29" s="121"/>
      <c r="F29" s="122"/>
      <c r="G29" s="112" t="s">
        <v>366</v>
      </c>
      <c r="H29" s="112">
        <v>1</v>
      </c>
      <c r="I29" s="113">
        <v>325</v>
      </c>
      <c r="J29" s="100">
        <f t="shared" si="1"/>
        <v>325</v>
      </c>
      <c r="K29" s="101"/>
      <c r="L29" s="102"/>
      <c r="R29" s="98"/>
    </row>
    <row r="30" spans="1:18" ht="35.25" customHeight="1">
      <c r="A30" s="5">
        <f t="shared" si="0"/>
        <v>25</v>
      </c>
      <c r="B30" s="149" t="s">
        <v>150</v>
      </c>
      <c r="C30" s="150"/>
      <c r="D30" s="120"/>
      <c r="E30" s="121"/>
      <c r="F30" s="122"/>
      <c r="G30" s="112" t="s">
        <v>366</v>
      </c>
      <c r="H30" s="112">
        <v>1</v>
      </c>
      <c r="I30" s="113">
        <v>358</v>
      </c>
      <c r="J30" s="100">
        <f t="shared" si="1"/>
        <v>358</v>
      </c>
      <c r="K30" s="101"/>
      <c r="L30" s="102"/>
      <c r="R30" s="98"/>
    </row>
    <row r="31" spans="1:18" ht="35.25" customHeight="1">
      <c r="A31" s="5">
        <f t="shared" si="0"/>
        <v>26</v>
      </c>
      <c r="B31" s="149" t="s">
        <v>151</v>
      </c>
      <c r="C31" s="150"/>
      <c r="D31" s="120"/>
      <c r="E31" s="121"/>
      <c r="F31" s="122"/>
      <c r="G31" s="112" t="s">
        <v>366</v>
      </c>
      <c r="H31" s="112">
        <v>1</v>
      </c>
      <c r="I31" s="113">
        <v>390</v>
      </c>
      <c r="J31" s="100">
        <f t="shared" si="1"/>
        <v>390</v>
      </c>
      <c r="K31" s="101"/>
      <c r="L31" s="102"/>
      <c r="R31" s="98"/>
    </row>
    <row r="32" spans="1:18" ht="35.25" customHeight="1">
      <c r="A32" s="5">
        <f t="shared" si="0"/>
        <v>27</v>
      </c>
      <c r="B32" s="149" t="s">
        <v>152</v>
      </c>
      <c r="C32" s="150"/>
      <c r="D32" s="120"/>
      <c r="E32" s="121"/>
      <c r="F32" s="122"/>
      <c r="G32" s="112" t="s">
        <v>366</v>
      </c>
      <c r="H32" s="112">
        <v>3</v>
      </c>
      <c r="I32" s="113">
        <v>26400</v>
      </c>
      <c r="J32" s="100">
        <f t="shared" si="1"/>
        <v>79200</v>
      </c>
      <c r="K32" s="101"/>
      <c r="L32" s="102"/>
      <c r="R32" s="98"/>
    </row>
    <row r="33" spans="1:18" ht="35.25" customHeight="1">
      <c r="A33" s="5">
        <f t="shared" si="0"/>
        <v>28</v>
      </c>
      <c r="B33" s="149" t="s">
        <v>153</v>
      </c>
      <c r="C33" s="150"/>
      <c r="D33" s="120"/>
      <c r="E33" s="121"/>
      <c r="F33" s="122"/>
      <c r="G33" s="112" t="s">
        <v>368</v>
      </c>
      <c r="H33" s="112">
        <v>3</v>
      </c>
      <c r="I33" s="113">
        <v>9100</v>
      </c>
      <c r="J33" s="100">
        <f t="shared" si="1"/>
        <v>27300</v>
      </c>
      <c r="K33" s="101"/>
      <c r="L33" s="102"/>
      <c r="R33" s="98"/>
    </row>
    <row r="34" spans="1:18" ht="35.25" customHeight="1">
      <c r="A34" s="5">
        <f t="shared" si="0"/>
        <v>29</v>
      </c>
      <c r="B34" s="149" t="s">
        <v>154</v>
      </c>
      <c r="C34" s="150"/>
      <c r="D34" s="120"/>
      <c r="E34" s="121"/>
      <c r="F34" s="122"/>
      <c r="G34" s="112" t="s">
        <v>366</v>
      </c>
      <c r="H34" s="112">
        <v>5</v>
      </c>
      <c r="I34" s="113">
        <v>2040</v>
      </c>
      <c r="J34" s="100">
        <f t="shared" si="1"/>
        <v>10200</v>
      </c>
      <c r="K34" s="101"/>
      <c r="L34" s="102"/>
      <c r="R34" s="98"/>
    </row>
    <row r="35" spans="1:18" ht="35.25" customHeight="1">
      <c r="A35" s="5">
        <f t="shared" si="0"/>
        <v>30</v>
      </c>
      <c r="B35" s="149" t="s">
        <v>155</v>
      </c>
      <c r="C35" s="150"/>
      <c r="D35" s="120"/>
      <c r="E35" s="121"/>
      <c r="F35" s="122"/>
      <c r="G35" s="112" t="s">
        <v>366</v>
      </c>
      <c r="H35" s="112">
        <v>1</v>
      </c>
      <c r="I35" s="113">
        <v>390</v>
      </c>
      <c r="J35" s="100">
        <f t="shared" si="1"/>
        <v>390</v>
      </c>
      <c r="K35" s="101"/>
      <c r="L35" s="102"/>
      <c r="R35" s="98"/>
    </row>
    <row r="36" spans="1:18" ht="35.25" customHeight="1">
      <c r="A36" s="5">
        <f t="shared" si="0"/>
        <v>31</v>
      </c>
      <c r="B36" s="149" t="s">
        <v>156</v>
      </c>
      <c r="C36" s="150"/>
      <c r="D36" s="120"/>
      <c r="E36" s="121"/>
      <c r="F36" s="122"/>
      <c r="G36" s="112" t="s">
        <v>366</v>
      </c>
      <c r="H36" s="112">
        <v>1</v>
      </c>
      <c r="I36" s="113">
        <v>400</v>
      </c>
      <c r="J36" s="100">
        <f t="shared" si="1"/>
        <v>400</v>
      </c>
      <c r="K36" s="101"/>
      <c r="L36" s="102"/>
      <c r="R36" s="98"/>
    </row>
    <row r="37" spans="1:18" ht="35.25" customHeight="1">
      <c r="A37" s="5">
        <f t="shared" si="0"/>
        <v>32</v>
      </c>
      <c r="B37" s="149" t="s">
        <v>157</v>
      </c>
      <c r="C37" s="150"/>
      <c r="D37" s="120"/>
      <c r="E37" s="121"/>
      <c r="F37" s="122"/>
      <c r="G37" s="112" t="s">
        <v>366</v>
      </c>
      <c r="H37" s="112">
        <v>1</v>
      </c>
      <c r="I37" s="113">
        <v>780</v>
      </c>
      <c r="J37" s="100">
        <f t="shared" si="1"/>
        <v>780</v>
      </c>
      <c r="K37" s="101"/>
      <c r="L37" s="102"/>
      <c r="R37" s="98"/>
    </row>
    <row r="38" spans="1:18" ht="35.25" customHeight="1">
      <c r="A38" s="5">
        <f t="shared" si="0"/>
        <v>33</v>
      </c>
      <c r="B38" s="149" t="s">
        <v>158</v>
      </c>
      <c r="C38" s="150"/>
      <c r="D38" s="120"/>
      <c r="E38" s="121"/>
      <c r="F38" s="122"/>
      <c r="G38" s="112" t="s">
        <v>366</v>
      </c>
      <c r="H38" s="112">
        <v>1</v>
      </c>
      <c r="I38" s="113">
        <v>630</v>
      </c>
      <c r="J38" s="100">
        <f t="shared" si="1"/>
        <v>630</v>
      </c>
      <c r="K38" s="101"/>
      <c r="L38" s="102"/>
      <c r="R38" s="98"/>
    </row>
    <row r="39" spans="1:18" ht="35.25" customHeight="1">
      <c r="A39" s="5">
        <f t="shared" si="0"/>
        <v>34</v>
      </c>
      <c r="B39" s="149" t="s">
        <v>159</v>
      </c>
      <c r="C39" s="150"/>
      <c r="D39" s="120"/>
      <c r="E39" s="121"/>
      <c r="F39" s="122"/>
      <c r="G39" s="112" t="s">
        <v>366</v>
      </c>
      <c r="H39" s="112">
        <v>3</v>
      </c>
      <c r="I39" s="113">
        <v>65</v>
      </c>
      <c r="J39" s="100">
        <f t="shared" si="1"/>
        <v>195</v>
      </c>
      <c r="K39" s="101"/>
      <c r="L39" s="102"/>
      <c r="R39" s="98"/>
    </row>
    <row r="40" spans="1:18" ht="35.25" customHeight="1">
      <c r="A40" s="5">
        <f t="shared" si="0"/>
        <v>35</v>
      </c>
      <c r="B40" s="149" t="s">
        <v>160</v>
      </c>
      <c r="C40" s="150"/>
      <c r="D40" s="120"/>
      <c r="E40" s="121"/>
      <c r="F40" s="122"/>
      <c r="G40" s="112" t="s">
        <v>366</v>
      </c>
      <c r="H40" s="112">
        <v>32</v>
      </c>
      <c r="I40" s="113">
        <v>440</v>
      </c>
      <c r="J40" s="100">
        <f t="shared" si="1"/>
        <v>14080</v>
      </c>
      <c r="K40" s="101"/>
      <c r="L40" s="102"/>
      <c r="R40" s="98"/>
    </row>
    <row r="41" spans="1:18" ht="35.25" customHeight="1">
      <c r="A41" s="5">
        <f t="shared" si="0"/>
        <v>36</v>
      </c>
      <c r="B41" s="149" t="s">
        <v>161</v>
      </c>
      <c r="C41" s="150"/>
      <c r="D41" s="120"/>
      <c r="E41" s="121"/>
      <c r="F41" s="122"/>
      <c r="G41" s="112" t="s">
        <v>366</v>
      </c>
      <c r="H41" s="112">
        <v>66</v>
      </c>
      <c r="I41" s="113">
        <v>320</v>
      </c>
      <c r="J41" s="100">
        <f t="shared" si="1"/>
        <v>21120</v>
      </c>
      <c r="K41" s="101"/>
      <c r="L41" s="102"/>
      <c r="R41" s="98"/>
    </row>
    <row r="42" spans="1:18" ht="35.25" customHeight="1">
      <c r="A42" s="5">
        <f t="shared" si="0"/>
        <v>37</v>
      </c>
      <c r="B42" s="149" t="s">
        <v>162</v>
      </c>
      <c r="C42" s="150"/>
      <c r="D42" s="120"/>
      <c r="E42" s="121"/>
      <c r="F42" s="122"/>
      <c r="G42" s="112" t="s">
        <v>366</v>
      </c>
      <c r="H42" s="112">
        <v>12</v>
      </c>
      <c r="I42" s="113">
        <v>271</v>
      </c>
      <c r="J42" s="100">
        <f t="shared" si="1"/>
        <v>3252</v>
      </c>
      <c r="K42" s="101"/>
      <c r="L42" s="102"/>
      <c r="R42" s="98"/>
    </row>
    <row r="43" spans="1:18" ht="35.25" customHeight="1">
      <c r="A43" s="5">
        <f t="shared" si="0"/>
        <v>38</v>
      </c>
      <c r="B43" s="149" t="s">
        <v>163</v>
      </c>
      <c r="C43" s="150"/>
      <c r="D43" s="120"/>
      <c r="E43" s="121"/>
      <c r="F43" s="122"/>
      <c r="G43" s="112" t="s">
        <v>366</v>
      </c>
      <c r="H43" s="112">
        <v>10</v>
      </c>
      <c r="I43" s="113">
        <v>29</v>
      </c>
      <c r="J43" s="100">
        <f t="shared" si="1"/>
        <v>290</v>
      </c>
      <c r="K43" s="101"/>
      <c r="L43" s="102"/>
      <c r="R43" s="98"/>
    </row>
    <row r="44" spans="1:18" ht="35.25" customHeight="1">
      <c r="A44" s="5">
        <f t="shared" si="0"/>
        <v>39</v>
      </c>
      <c r="B44" s="149" t="s">
        <v>164</v>
      </c>
      <c r="C44" s="150"/>
      <c r="D44" s="120"/>
      <c r="E44" s="121"/>
      <c r="F44" s="122"/>
      <c r="G44" s="112" t="s">
        <v>366</v>
      </c>
      <c r="H44" s="112">
        <v>3100</v>
      </c>
      <c r="I44" s="113">
        <v>0.55000000000000004</v>
      </c>
      <c r="J44" s="100">
        <f t="shared" si="1"/>
        <v>1705.0000000000002</v>
      </c>
      <c r="K44" s="101"/>
      <c r="L44" s="102"/>
      <c r="R44" s="98"/>
    </row>
    <row r="45" spans="1:18" ht="35.25" customHeight="1">
      <c r="A45" s="5">
        <f t="shared" si="0"/>
        <v>40</v>
      </c>
      <c r="B45" s="149" t="s">
        <v>165</v>
      </c>
      <c r="C45" s="150"/>
      <c r="D45" s="120"/>
      <c r="E45" s="121"/>
      <c r="F45" s="122"/>
      <c r="G45" s="112" t="s">
        <v>366</v>
      </c>
      <c r="H45" s="112">
        <v>4000</v>
      </c>
      <c r="I45" s="113">
        <v>1.5</v>
      </c>
      <c r="J45" s="100">
        <f t="shared" si="1"/>
        <v>6000</v>
      </c>
      <c r="K45" s="101"/>
      <c r="L45" s="102"/>
      <c r="R45" s="98"/>
    </row>
    <row r="46" spans="1:18" ht="35.25" customHeight="1">
      <c r="A46" s="5">
        <f t="shared" si="0"/>
        <v>41</v>
      </c>
      <c r="B46" s="149" t="s">
        <v>166</v>
      </c>
      <c r="C46" s="150"/>
      <c r="D46" s="120"/>
      <c r="E46" s="121"/>
      <c r="F46" s="122"/>
      <c r="G46" s="112" t="s">
        <v>366</v>
      </c>
      <c r="H46" s="112">
        <v>2</v>
      </c>
      <c r="I46" s="113">
        <v>95</v>
      </c>
      <c r="J46" s="100">
        <f t="shared" si="1"/>
        <v>190</v>
      </c>
      <c r="K46" s="101"/>
      <c r="L46" s="102"/>
      <c r="R46" s="98"/>
    </row>
    <row r="47" spans="1:18" ht="35.25" customHeight="1">
      <c r="A47" s="5">
        <f t="shared" si="0"/>
        <v>42</v>
      </c>
      <c r="B47" s="149" t="s">
        <v>167</v>
      </c>
      <c r="C47" s="150"/>
      <c r="D47" s="120"/>
      <c r="E47" s="121"/>
      <c r="F47" s="122"/>
      <c r="G47" s="112" t="s">
        <v>366</v>
      </c>
      <c r="H47" s="112">
        <v>4</v>
      </c>
      <c r="I47" s="113">
        <v>360</v>
      </c>
      <c r="J47" s="100">
        <f t="shared" si="1"/>
        <v>1440</v>
      </c>
      <c r="K47" s="101"/>
      <c r="L47" s="102"/>
      <c r="R47" s="98"/>
    </row>
    <row r="48" spans="1:18" ht="35.25" customHeight="1">
      <c r="A48" s="5">
        <f t="shared" si="0"/>
        <v>43</v>
      </c>
      <c r="B48" s="149" t="s">
        <v>168</v>
      </c>
      <c r="C48" s="150"/>
      <c r="D48" s="120"/>
      <c r="E48" s="121"/>
      <c r="F48" s="122"/>
      <c r="G48" s="112" t="s">
        <v>366</v>
      </c>
      <c r="H48" s="112">
        <v>4</v>
      </c>
      <c r="I48" s="113">
        <v>235</v>
      </c>
      <c r="J48" s="100">
        <f t="shared" si="1"/>
        <v>940</v>
      </c>
      <c r="K48" s="101"/>
      <c r="L48" s="102"/>
      <c r="R48" s="98"/>
    </row>
    <row r="49" spans="1:18" ht="35.25" customHeight="1">
      <c r="A49" s="5">
        <f t="shared" si="0"/>
        <v>44</v>
      </c>
      <c r="B49" s="149" t="s">
        <v>169</v>
      </c>
      <c r="C49" s="150"/>
      <c r="D49" s="120"/>
      <c r="E49" s="121"/>
      <c r="F49" s="122"/>
      <c r="G49" s="112" t="s">
        <v>366</v>
      </c>
      <c r="H49" s="112">
        <v>3</v>
      </c>
      <c r="I49" s="113">
        <v>85</v>
      </c>
      <c r="J49" s="100">
        <f t="shared" si="1"/>
        <v>255</v>
      </c>
      <c r="K49" s="101"/>
      <c r="L49" s="102"/>
      <c r="R49" s="98"/>
    </row>
    <row r="50" spans="1:18" ht="35.25" customHeight="1">
      <c r="A50" s="5">
        <f t="shared" si="0"/>
        <v>45</v>
      </c>
      <c r="B50" s="149" t="s">
        <v>170</v>
      </c>
      <c r="C50" s="150"/>
      <c r="D50" s="120"/>
      <c r="E50" s="121"/>
      <c r="F50" s="122"/>
      <c r="G50" s="112" t="s">
        <v>366</v>
      </c>
      <c r="H50" s="112">
        <v>20</v>
      </c>
      <c r="I50" s="113">
        <v>114</v>
      </c>
      <c r="J50" s="100">
        <f t="shared" si="1"/>
        <v>2280</v>
      </c>
      <c r="K50" s="101"/>
      <c r="L50" s="102"/>
      <c r="R50" s="98"/>
    </row>
    <row r="51" spans="1:18" ht="35.25" customHeight="1">
      <c r="A51" s="5">
        <f t="shared" si="0"/>
        <v>46</v>
      </c>
      <c r="B51" s="149" t="s">
        <v>171</v>
      </c>
      <c r="C51" s="150"/>
      <c r="D51" s="120"/>
      <c r="E51" s="121"/>
      <c r="F51" s="122"/>
      <c r="G51" s="112" t="s">
        <v>366</v>
      </c>
      <c r="H51" s="112">
        <v>10</v>
      </c>
      <c r="I51" s="113">
        <v>46</v>
      </c>
      <c r="J51" s="100">
        <f t="shared" si="1"/>
        <v>460</v>
      </c>
      <c r="K51" s="101"/>
      <c r="L51" s="102"/>
      <c r="R51" s="98"/>
    </row>
    <row r="52" spans="1:18" ht="35.25" customHeight="1">
      <c r="A52" s="5">
        <f t="shared" si="0"/>
        <v>47</v>
      </c>
      <c r="B52" s="149" t="s">
        <v>172</v>
      </c>
      <c r="C52" s="150"/>
      <c r="D52" s="120"/>
      <c r="E52" s="121"/>
      <c r="F52" s="122"/>
      <c r="G52" s="112" t="s">
        <v>367</v>
      </c>
      <c r="H52" s="112">
        <v>6</v>
      </c>
      <c r="I52" s="113">
        <v>350</v>
      </c>
      <c r="J52" s="100">
        <f t="shared" si="1"/>
        <v>2100</v>
      </c>
      <c r="K52" s="101"/>
      <c r="L52" s="102"/>
      <c r="R52" s="98"/>
    </row>
    <row r="53" spans="1:18" ht="35.25" customHeight="1">
      <c r="A53" s="5">
        <f t="shared" si="0"/>
        <v>48</v>
      </c>
      <c r="B53" s="149" t="s">
        <v>173</v>
      </c>
      <c r="C53" s="150"/>
      <c r="D53" s="120"/>
      <c r="E53" s="121"/>
      <c r="F53" s="122"/>
      <c r="G53" s="112" t="s">
        <v>366</v>
      </c>
      <c r="H53" s="112">
        <v>6</v>
      </c>
      <c r="I53" s="113">
        <v>8</v>
      </c>
      <c r="J53" s="100">
        <f t="shared" si="1"/>
        <v>48</v>
      </c>
      <c r="K53" s="101"/>
      <c r="L53" s="102"/>
      <c r="R53" s="98"/>
    </row>
    <row r="54" spans="1:18" ht="35.25" customHeight="1">
      <c r="A54" s="5">
        <f t="shared" si="0"/>
        <v>49</v>
      </c>
      <c r="B54" s="149" t="s">
        <v>174</v>
      </c>
      <c r="C54" s="150"/>
      <c r="D54" s="120"/>
      <c r="E54" s="121"/>
      <c r="F54" s="122"/>
      <c r="G54" s="112" t="s">
        <v>366</v>
      </c>
      <c r="H54" s="112">
        <v>5</v>
      </c>
      <c r="I54" s="113">
        <v>11</v>
      </c>
      <c r="J54" s="100">
        <f t="shared" si="1"/>
        <v>55</v>
      </c>
      <c r="K54" s="101"/>
      <c r="L54" s="102"/>
      <c r="R54" s="98"/>
    </row>
    <row r="55" spans="1:18" ht="35.25" customHeight="1">
      <c r="A55" s="5">
        <f t="shared" si="0"/>
        <v>50</v>
      </c>
      <c r="B55" s="149" t="s">
        <v>175</v>
      </c>
      <c r="C55" s="150"/>
      <c r="D55" s="125"/>
      <c r="E55" s="126"/>
      <c r="F55" s="127"/>
      <c r="G55" s="112" t="s">
        <v>366</v>
      </c>
      <c r="H55" s="112">
        <v>4</v>
      </c>
      <c r="I55" s="113">
        <v>1</v>
      </c>
      <c r="J55" s="100">
        <f t="shared" si="1"/>
        <v>4</v>
      </c>
      <c r="K55" s="101"/>
      <c r="L55" s="102"/>
      <c r="R55" s="98"/>
    </row>
    <row r="56" spans="1:18" ht="35.25" customHeight="1">
      <c r="A56" s="5">
        <f t="shared" si="0"/>
        <v>51</v>
      </c>
      <c r="B56" s="149" t="s">
        <v>176</v>
      </c>
      <c r="C56" s="150"/>
      <c r="D56" s="125"/>
      <c r="E56" s="126"/>
      <c r="F56" s="127"/>
      <c r="G56" s="112" t="s">
        <v>366</v>
      </c>
      <c r="H56" s="112">
        <v>120</v>
      </c>
      <c r="I56" s="113">
        <v>56</v>
      </c>
      <c r="J56" s="100">
        <f t="shared" si="1"/>
        <v>6720</v>
      </c>
      <c r="K56" s="101"/>
      <c r="L56" s="102"/>
      <c r="R56" s="98"/>
    </row>
    <row r="57" spans="1:18" ht="35.25" customHeight="1">
      <c r="A57" s="5">
        <f t="shared" si="0"/>
        <v>52</v>
      </c>
      <c r="B57" s="149" t="s">
        <v>177</v>
      </c>
      <c r="C57" s="150"/>
      <c r="D57" s="125"/>
      <c r="E57" s="126"/>
      <c r="F57" s="127"/>
      <c r="G57" s="112" t="s">
        <v>370</v>
      </c>
      <c r="H57" s="112">
        <v>4</v>
      </c>
      <c r="I57" s="113">
        <v>1365</v>
      </c>
      <c r="J57" s="100">
        <f t="shared" si="1"/>
        <v>5460</v>
      </c>
      <c r="K57" s="101"/>
      <c r="L57" s="102"/>
      <c r="R57" s="98"/>
    </row>
    <row r="58" spans="1:18" ht="35.25" customHeight="1">
      <c r="A58" s="5">
        <f t="shared" si="0"/>
        <v>53</v>
      </c>
      <c r="B58" s="149" t="s">
        <v>178</v>
      </c>
      <c r="C58" s="150"/>
      <c r="D58" s="120"/>
      <c r="E58" s="121"/>
      <c r="F58" s="122"/>
      <c r="G58" s="112" t="s">
        <v>366</v>
      </c>
      <c r="H58" s="112">
        <v>12</v>
      </c>
      <c r="I58" s="113">
        <v>4</v>
      </c>
      <c r="J58" s="100">
        <f t="shared" si="1"/>
        <v>48</v>
      </c>
      <c r="K58" s="101"/>
      <c r="L58" s="102"/>
      <c r="R58" s="98"/>
    </row>
    <row r="59" spans="1:18" ht="35.25" customHeight="1">
      <c r="A59" s="5">
        <f t="shared" si="0"/>
        <v>54</v>
      </c>
      <c r="B59" s="149" t="s">
        <v>179</v>
      </c>
      <c r="C59" s="150"/>
      <c r="D59" s="120"/>
      <c r="E59" s="121"/>
      <c r="F59" s="122"/>
      <c r="G59" s="112" t="s">
        <v>366</v>
      </c>
      <c r="H59" s="112">
        <v>84</v>
      </c>
      <c r="I59" s="113">
        <v>35</v>
      </c>
      <c r="J59" s="100">
        <f t="shared" si="1"/>
        <v>2940</v>
      </c>
      <c r="K59" s="101"/>
      <c r="L59" s="102"/>
      <c r="R59" s="98"/>
    </row>
    <row r="60" spans="1:18" ht="35.25" customHeight="1">
      <c r="A60" s="5">
        <f t="shared" si="0"/>
        <v>55</v>
      </c>
      <c r="B60" s="149" t="s">
        <v>180</v>
      </c>
      <c r="C60" s="150"/>
      <c r="D60" s="120"/>
      <c r="E60" s="121"/>
      <c r="F60" s="122"/>
      <c r="G60" s="112" t="s">
        <v>366</v>
      </c>
      <c r="H60" s="112">
        <v>4300</v>
      </c>
      <c r="I60" s="113">
        <v>4.3</v>
      </c>
      <c r="J60" s="100">
        <f t="shared" si="1"/>
        <v>18490</v>
      </c>
      <c r="K60" s="101"/>
      <c r="L60" s="102"/>
      <c r="R60" s="98"/>
    </row>
    <row r="61" spans="1:18" ht="35.25" customHeight="1">
      <c r="A61" s="5">
        <f t="shared" si="0"/>
        <v>56</v>
      </c>
      <c r="B61" s="149" t="s">
        <v>181</v>
      </c>
      <c r="C61" s="150"/>
      <c r="D61" s="120"/>
      <c r="E61" s="121"/>
      <c r="F61" s="122"/>
      <c r="G61" s="112" t="s">
        <v>366</v>
      </c>
      <c r="H61" s="112">
        <v>1500</v>
      </c>
      <c r="I61" s="113">
        <v>1.8</v>
      </c>
      <c r="J61" s="100">
        <f t="shared" si="1"/>
        <v>2700</v>
      </c>
      <c r="K61" s="101"/>
      <c r="L61" s="102"/>
      <c r="R61" s="98"/>
    </row>
    <row r="62" spans="1:18" ht="35.25" customHeight="1">
      <c r="A62" s="5">
        <f t="shared" si="0"/>
        <v>57</v>
      </c>
      <c r="B62" s="149" t="s">
        <v>182</v>
      </c>
      <c r="C62" s="150"/>
      <c r="D62" s="120"/>
      <c r="E62" s="121"/>
      <c r="F62" s="122"/>
      <c r="G62" s="112" t="s">
        <v>366</v>
      </c>
      <c r="H62" s="112">
        <v>240</v>
      </c>
      <c r="I62" s="113">
        <v>5</v>
      </c>
      <c r="J62" s="100">
        <f t="shared" si="1"/>
        <v>1200</v>
      </c>
      <c r="K62" s="101"/>
      <c r="L62" s="102"/>
      <c r="R62" s="98"/>
    </row>
    <row r="63" spans="1:18" ht="35.25" customHeight="1">
      <c r="A63" s="5">
        <f t="shared" si="0"/>
        <v>58</v>
      </c>
      <c r="B63" s="149" t="s">
        <v>183</v>
      </c>
      <c r="C63" s="150"/>
      <c r="D63" s="120"/>
      <c r="E63" s="121"/>
      <c r="F63" s="122"/>
      <c r="G63" s="112" t="s">
        <v>366</v>
      </c>
      <c r="H63" s="112">
        <v>1500</v>
      </c>
      <c r="I63" s="113">
        <v>2.8</v>
      </c>
      <c r="J63" s="100">
        <f t="shared" si="1"/>
        <v>4200</v>
      </c>
      <c r="K63" s="101"/>
      <c r="L63" s="102"/>
      <c r="R63" s="98"/>
    </row>
    <row r="64" spans="1:18" ht="35.25" customHeight="1">
      <c r="A64" s="5">
        <f t="shared" si="0"/>
        <v>59</v>
      </c>
      <c r="B64" s="149" t="s">
        <v>184</v>
      </c>
      <c r="C64" s="150"/>
      <c r="D64" s="120"/>
      <c r="E64" s="121"/>
      <c r="F64" s="122"/>
      <c r="G64" s="112" t="s">
        <v>366</v>
      </c>
      <c r="H64" s="112">
        <v>100</v>
      </c>
      <c r="I64" s="113">
        <v>0.95</v>
      </c>
      <c r="J64" s="100">
        <f t="shared" si="1"/>
        <v>95</v>
      </c>
      <c r="K64" s="101"/>
      <c r="L64" s="102"/>
      <c r="R64" s="98"/>
    </row>
    <row r="65" spans="1:18" ht="35.25" customHeight="1">
      <c r="A65" s="5">
        <f t="shared" si="0"/>
        <v>60</v>
      </c>
      <c r="B65" s="149" t="s">
        <v>185</v>
      </c>
      <c r="C65" s="150"/>
      <c r="D65" s="120"/>
      <c r="E65" s="121"/>
      <c r="F65" s="122"/>
      <c r="G65" s="112" t="s">
        <v>366</v>
      </c>
      <c r="H65" s="112">
        <v>150</v>
      </c>
      <c r="I65" s="113">
        <v>0.95</v>
      </c>
      <c r="J65" s="100">
        <f t="shared" si="1"/>
        <v>142.5</v>
      </c>
      <c r="K65" s="101"/>
      <c r="L65" s="102"/>
      <c r="R65" s="98"/>
    </row>
    <row r="66" spans="1:18" ht="35.25" customHeight="1">
      <c r="A66" s="5">
        <f t="shared" si="0"/>
        <v>61</v>
      </c>
      <c r="B66" s="149" t="s">
        <v>186</v>
      </c>
      <c r="C66" s="150"/>
      <c r="D66" s="120"/>
      <c r="E66" s="121"/>
      <c r="F66" s="122"/>
      <c r="G66" s="112" t="s">
        <v>366</v>
      </c>
      <c r="H66" s="112">
        <v>100</v>
      </c>
      <c r="I66" s="113">
        <v>0.95</v>
      </c>
      <c r="J66" s="100">
        <f t="shared" si="1"/>
        <v>95</v>
      </c>
      <c r="K66" s="101"/>
      <c r="L66" s="102"/>
      <c r="R66" s="98"/>
    </row>
    <row r="67" spans="1:18" ht="35.25" customHeight="1">
      <c r="A67" s="5">
        <f t="shared" si="0"/>
        <v>62</v>
      </c>
      <c r="B67" s="149" t="s">
        <v>187</v>
      </c>
      <c r="C67" s="150"/>
      <c r="D67" s="120"/>
      <c r="E67" s="121"/>
      <c r="F67" s="122"/>
      <c r="G67" s="112" t="s">
        <v>366</v>
      </c>
      <c r="H67" s="112">
        <v>50</v>
      </c>
      <c r="I67" s="113">
        <v>18</v>
      </c>
      <c r="J67" s="100">
        <f t="shared" si="1"/>
        <v>900</v>
      </c>
      <c r="K67" s="101"/>
      <c r="L67" s="102"/>
      <c r="R67" s="98"/>
    </row>
    <row r="68" spans="1:18" ht="35.25" customHeight="1">
      <c r="A68" s="5">
        <f t="shared" si="0"/>
        <v>63</v>
      </c>
      <c r="B68" s="149" t="s">
        <v>188</v>
      </c>
      <c r="C68" s="150"/>
      <c r="D68" s="120"/>
      <c r="E68" s="121"/>
      <c r="F68" s="122"/>
      <c r="G68" s="112" t="s">
        <v>366</v>
      </c>
      <c r="H68" s="112">
        <v>100</v>
      </c>
      <c r="I68" s="113">
        <v>13</v>
      </c>
      <c r="J68" s="100">
        <f t="shared" si="1"/>
        <v>1300</v>
      </c>
      <c r="K68" s="101"/>
      <c r="L68" s="102"/>
      <c r="R68" s="98"/>
    </row>
    <row r="69" spans="1:18" ht="35.25" customHeight="1">
      <c r="A69" s="5">
        <f t="shared" si="0"/>
        <v>64</v>
      </c>
      <c r="B69" s="149" t="s">
        <v>189</v>
      </c>
      <c r="C69" s="150"/>
      <c r="D69" s="120"/>
      <c r="E69" s="121"/>
      <c r="F69" s="122"/>
      <c r="G69" s="112" t="s">
        <v>366</v>
      </c>
      <c r="H69" s="112">
        <v>200</v>
      </c>
      <c r="I69" s="113">
        <v>13</v>
      </c>
      <c r="J69" s="100">
        <f t="shared" si="1"/>
        <v>2600</v>
      </c>
      <c r="K69" s="101"/>
      <c r="L69" s="102"/>
      <c r="R69" s="98"/>
    </row>
    <row r="70" spans="1:18" ht="35.25" customHeight="1">
      <c r="A70" s="5">
        <f t="shared" ref="A70:A133" si="2">ROW(A65)</f>
        <v>65</v>
      </c>
      <c r="B70" s="149" t="s">
        <v>190</v>
      </c>
      <c r="C70" s="150"/>
      <c r="D70" s="120"/>
      <c r="E70" s="121"/>
      <c r="F70" s="122"/>
      <c r="G70" s="112" t="s">
        <v>366</v>
      </c>
      <c r="H70" s="112">
        <v>200</v>
      </c>
      <c r="I70" s="113">
        <v>5.9</v>
      </c>
      <c r="J70" s="100">
        <f t="shared" si="1"/>
        <v>1180</v>
      </c>
      <c r="K70" s="101"/>
      <c r="L70" s="102"/>
      <c r="R70" s="98"/>
    </row>
    <row r="71" spans="1:18" ht="35.25" customHeight="1">
      <c r="A71" s="5">
        <f t="shared" si="2"/>
        <v>66</v>
      </c>
      <c r="B71" s="149" t="s">
        <v>191</v>
      </c>
      <c r="C71" s="150"/>
      <c r="D71" s="120"/>
      <c r="E71" s="121"/>
      <c r="F71" s="122"/>
      <c r="G71" s="112" t="s">
        <v>366</v>
      </c>
      <c r="H71" s="112">
        <v>100</v>
      </c>
      <c r="I71" s="113">
        <v>4.2</v>
      </c>
      <c r="J71" s="100">
        <f t="shared" si="1"/>
        <v>420</v>
      </c>
      <c r="K71" s="101"/>
      <c r="L71" s="102"/>
      <c r="R71" s="98"/>
    </row>
    <row r="72" spans="1:18" ht="35.25" customHeight="1">
      <c r="A72" s="5">
        <f t="shared" si="2"/>
        <v>67</v>
      </c>
      <c r="B72" s="149" t="s">
        <v>192</v>
      </c>
      <c r="C72" s="150"/>
      <c r="D72" s="120"/>
      <c r="E72" s="121"/>
      <c r="F72" s="122"/>
      <c r="G72" s="112" t="s">
        <v>366</v>
      </c>
      <c r="H72" s="112">
        <v>200</v>
      </c>
      <c r="I72" s="113">
        <v>3.5</v>
      </c>
      <c r="J72" s="100">
        <f t="shared" si="1"/>
        <v>700</v>
      </c>
      <c r="K72" s="101"/>
      <c r="L72" s="102"/>
      <c r="R72" s="98"/>
    </row>
    <row r="73" spans="1:18" ht="35.25" customHeight="1">
      <c r="A73" s="5">
        <f t="shared" si="2"/>
        <v>68</v>
      </c>
      <c r="B73" s="149" t="s">
        <v>193</v>
      </c>
      <c r="C73" s="150"/>
      <c r="D73" s="120"/>
      <c r="E73" s="121"/>
      <c r="F73" s="122"/>
      <c r="G73" s="112" t="s">
        <v>366</v>
      </c>
      <c r="H73" s="112">
        <v>800</v>
      </c>
      <c r="I73" s="113">
        <v>21</v>
      </c>
      <c r="J73" s="100">
        <f t="shared" si="1"/>
        <v>16800</v>
      </c>
      <c r="K73" s="101"/>
      <c r="L73" s="102"/>
      <c r="R73" s="98"/>
    </row>
    <row r="74" spans="1:18" ht="35.25" customHeight="1">
      <c r="A74" s="5">
        <f t="shared" si="2"/>
        <v>69</v>
      </c>
      <c r="B74" s="149" t="s">
        <v>194</v>
      </c>
      <c r="C74" s="150"/>
      <c r="D74" s="120"/>
      <c r="E74" s="121"/>
      <c r="F74" s="122"/>
      <c r="G74" s="112" t="s">
        <v>366</v>
      </c>
      <c r="H74" s="112">
        <v>200</v>
      </c>
      <c r="I74" s="113">
        <v>5.6</v>
      </c>
      <c r="J74" s="100">
        <f t="shared" si="1"/>
        <v>1120</v>
      </c>
      <c r="K74" s="101"/>
      <c r="L74" s="102"/>
      <c r="R74" s="98"/>
    </row>
    <row r="75" spans="1:18" ht="35.25" customHeight="1">
      <c r="A75" s="5">
        <f t="shared" si="2"/>
        <v>70</v>
      </c>
      <c r="B75" s="149" t="s">
        <v>195</v>
      </c>
      <c r="C75" s="150"/>
      <c r="D75" s="120"/>
      <c r="E75" s="121"/>
      <c r="F75" s="122"/>
      <c r="G75" s="112" t="s">
        <v>366</v>
      </c>
      <c r="H75" s="112">
        <v>400</v>
      </c>
      <c r="I75" s="113">
        <v>9.8000000000000007</v>
      </c>
      <c r="J75" s="100">
        <f t="shared" si="1"/>
        <v>3920.0000000000005</v>
      </c>
      <c r="K75" s="101"/>
      <c r="L75" s="102"/>
      <c r="R75" s="98"/>
    </row>
    <row r="76" spans="1:18" ht="35.25" customHeight="1">
      <c r="A76" s="5">
        <f t="shared" si="2"/>
        <v>71</v>
      </c>
      <c r="B76" s="149" t="s">
        <v>196</v>
      </c>
      <c r="C76" s="150"/>
      <c r="D76" s="120"/>
      <c r="E76" s="121"/>
      <c r="F76" s="122"/>
      <c r="G76" s="112" t="s">
        <v>366</v>
      </c>
      <c r="H76" s="112">
        <v>9</v>
      </c>
      <c r="I76" s="113">
        <v>5.2</v>
      </c>
      <c r="J76" s="100">
        <f t="shared" si="1"/>
        <v>46.800000000000004</v>
      </c>
      <c r="K76" s="101"/>
      <c r="L76" s="102"/>
      <c r="R76" s="98"/>
    </row>
    <row r="77" spans="1:18" ht="35.25" customHeight="1">
      <c r="A77" s="5">
        <f t="shared" si="2"/>
        <v>72</v>
      </c>
      <c r="B77" s="149" t="s">
        <v>197</v>
      </c>
      <c r="C77" s="150"/>
      <c r="D77" s="120"/>
      <c r="E77" s="121"/>
      <c r="F77" s="122"/>
      <c r="G77" s="112" t="s">
        <v>366</v>
      </c>
      <c r="H77" s="112">
        <v>20</v>
      </c>
      <c r="I77" s="113">
        <v>8</v>
      </c>
      <c r="J77" s="100">
        <f t="shared" si="1"/>
        <v>160</v>
      </c>
      <c r="K77" s="101"/>
      <c r="L77" s="102"/>
      <c r="R77" s="98"/>
    </row>
    <row r="78" spans="1:18" ht="35.25" customHeight="1">
      <c r="A78" s="5">
        <f t="shared" si="2"/>
        <v>73</v>
      </c>
      <c r="B78" s="149" t="s">
        <v>198</v>
      </c>
      <c r="C78" s="150"/>
      <c r="D78" s="120"/>
      <c r="E78" s="121"/>
      <c r="F78" s="122"/>
      <c r="G78" s="112" t="s">
        <v>366</v>
      </c>
      <c r="H78" s="112">
        <v>20</v>
      </c>
      <c r="I78" s="113">
        <v>95</v>
      </c>
      <c r="J78" s="100">
        <f t="shared" si="1"/>
        <v>1900</v>
      </c>
      <c r="K78" s="101"/>
      <c r="L78" s="102"/>
      <c r="R78" s="98"/>
    </row>
    <row r="79" spans="1:18" ht="35.25" customHeight="1">
      <c r="A79" s="5">
        <f t="shared" si="2"/>
        <v>74</v>
      </c>
      <c r="B79" s="149" t="s">
        <v>199</v>
      </c>
      <c r="C79" s="150"/>
      <c r="D79" s="120"/>
      <c r="E79" s="121"/>
      <c r="F79" s="122"/>
      <c r="G79" s="112" t="s">
        <v>366</v>
      </c>
      <c r="H79" s="112">
        <v>60</v>
      </c>
      <c r="I79" s="113">
        <v>19</v>
      </c>
      <c r="J79" s="100">
        <f t="shared" si="1"/>
        <v>1140</v>
      </c>
      <c r="K79" s="101"/>
      <c r="L79" s="102"/>
      <c r="R79" s="98"/>
    </row>
    <row r="80" spans="1:18" ht="35.25" customHeight="1">
      <c r="A80" s="5">
        <f t="shared" si="2"/>
        <v>75</v>
      </c>
      <c r="B80" s="149" t="s">
        <v>200</v>
      </c>
      <c r="C80" s="150"/>
      <c r="D80" s="120"/>
      <c r="E80" s="121"/>
      <c r="F80" s="122"/>
      <c r="G80" s="112" t="s">
        <v>366</v>
      </c>
      <c r="H80" s="112">
        <v>220</v>
      </c>
      <c r="I80" s="113">
        <v>5.5</v>
      </c>
      <c r="J80" s="100">
        <f t="shared" si="1"/>
        <v>1210</v>
      </c>
      <c r="K80" s="101"/>
      <c r="L80" s="102"/>
      <c r="R80" s="98"/>
    </row>
    <row r="81" spans="1:18" ht="35.25" customHeight="1">
      <c r="A81" s="5">
        <f t="shared" si="2"/>
        <v>76</v>
      </c>
      <c r="B81" s="149" t="s">
        <v>201</v>
      </c>
      <c r="C81" s="150"/>
      <c r="D81" s="120"/>
      <c r="E81" s="121"/>
      <c r="F81" s="122"/>
      <c r="G81" s="112" t="s">
        <v>369</v>
      </c>
      <c r="H81" s="112">
        <v>20</v>
      </c>
      <c r="I81" s="113">
        <v>9</v>
      </c>
      <c r="J81" s="100">
        <f t="shared" si="1"/>
        <v>180</v>
      </c>
      <c r="K81" s="101"/>
      <c r="L81" s="102"/>
      <c r="R81" s="98"/>
    </row>
    <row r="82" spans="1:18" ht="35.25" customHeight="1">
      <c r="A82" s="5">
        <f t="shared" si="2"/>
        <v>77</v>
      </c>
      <c r="B82" s="149" t="s">
        <v>202</v>
      </c>
      <c r="C82" s="150"/>
      <c r="D82" s="120"/>
      <c r="E82" s="121"/>
      <c r="F82" s="122"/>
      <c r="G82" s="112" t="s">
        <v>366</v>
      </c>
      <c r="H82" s="112">
        <v>20</v>
      </c>
      <c r="I82" s="113">
        <v>13</v>
      </c>
      <c r="J82" s="100">
        <f t="shared" si="1"/>
        <v>260</v>
      </c>
      <c r="K82" s="101"/>
      <c r="L82" s="102"/>
      <c r="R82" s="98"/>
    </row>
    <row r="83" spans="1:18" ht="35.25" customHeight="1">
      <c r="A83" s="5">
        <f t="shared" si="2"/>
        <v>78</v>
      </c>
      <c r="B83" s="149" t="s">
        <v>203</v>
      </c>
      <c r="C83" s="150"/>
      <c r="D83" s="120"/>
      <c r="E83" s="121"/>
      <c r="F83" s="122"/>
      <c r="G83" s="112" t="s">
        <v>366</v>
      </c>
      <c r="H83" s="112">
        <v>5</v>
      </c>
      <c r="I83" s="113">
        <v>58</v>
      </c>
      <c r="J83" s="100">
        <f t="shared" si="1"/>
        <v>290</v>
      </c>
      <c r="K83" s="101"/>
      <c r="L83" s="102"/>
      <c r="R83" s="98"/>
    </row>
    <row r="84" spans="1:18" ht="35.25" customHeight="1">
      <c r="A84" s="5">
        <f t="shared" si="2"/>
        <v>79</v>
      </c>
      <c r="B84" s="149" t="s">
        <v>204</v>
      </c>
      <c r="C84" s="150"/>
      <c r="D84" s="120"/>
      <c r="E84" s="121"/>
      <c r="F84" s="122"/>
      <c r="G84" s="112" t="s">
        <v>366</v>
      </c>
      <c r="H84" s="112">
        <v>2</v>
      </c>
      <c r="I84" s="113">
        <v>3100</v>
      </c>
      <c r="J84" s="100">
        <f t="shared" si="1"/>
        <v>6200</v>
      </c>
      <c r="K84" s="101"/>
      <c r="L84" s="102"/>
      <c r="R84" s="98"/>
    </row>
    <row r="85" spans="1:18" ht="35.25" customHeight="1">
      <c r="A85" s="5">
        <f t="shared" si="2"/>
        <v>80</v>
      </c>
      <c r="B85" s="149" t="s">
        <v>205</v>
      </c>
      <c r="C85" s="150"/>
      <c r="D85" s="120"/>
      <c r="E85" s="121"/>
      <c r="F85" s="122"/>
      <c r="G85" s="112" t="s">
        <v>366</v>
      </c>
      <c r="H85" s="112">
        <v>8</v>
      </c>
      <c r="I85" s="113">
        <v>1865</v>
      </c>
      <c r="J85" s="100">
        <f t="shared" si="1"/>
        <v>14920</v>
      </c>
      <c r="K85" s="101"/>
      <c r="L85" s="102"/>
      <c r="R85" s="98"/>
    </row>
    <row r="86" spans="1:18" ht="35.25" customHeight="1">
      <c r="A86" s="5">
        <f t="shared" si="2"/>
        <v>81</v>
      </c>
      <c r="B86" s="149" t="s">
        <v>206</v>
      </c>
      <c r="C86" s="150"/>
      <c r="D86" s="120"/>
      <c r="E86" s="121"/>
      <c r="F86" s="122"/>
      <c r="G86" s="112" t="s">
        <v>366</v>
      </c>
      <c r="H86" s="112">
        <v>5</v>
      </c>
      <c r="I86" s="113">
        <v>58</v>
      </c>
      <c r="J86" s="100">
        <f t="shared" si="1"/>
        <v>290</v>
      </c>
      <c r="K86" s="101"/>
      <c r="L86" s="102"/>
      <c r="R86" s="98"/>
    </row>
    <row r="87" spans="1:18" ht="35.25" customHeight="1">
      <c r="A87" s="5">
        <f t="shared" si="2"/>
        <v>82</v>
      </c>
      <c r="B87" s="149" t="s">
        <v>207</v>
      </c>
      <c r="C87" s="150"/>
      <c r="D87" s="120"/>
      <c r="E87" s="121"/>
      <c r="F87" s="122"/>
      <c r="G87" s="112" t="s">
        <v>366</v>
      </c>
      <c r="H87" s="112">
        <v>48</v>
      </c>
      <c r="I87" s="113">
        <v>1.5</v>
      </c>
      <c r="J87" s="100">
        <f t="shared" si="1"/>
        <v>72</v>
      </c>
      <c r="K87" s="101"/>
      <c r="L87" s="102"/>
      <c r="R87" s="98"/>
    </row>
    <row r="88" spans="1:18" ht="35.25" customHeight="1">
      <c r="A88" s="5">
        <f t="shared" si="2"/>
        <v>83</v>
      </c>
      <c r="B88" s="149" t="s">
        <v>208</v>
      </c>
      <c r="C88" s="150"/>
      <c r="D88" s="120"/>
      <c r="E88" s="121"/>
      <c r="F88" s="122"/>
      <c r="G88" s="112" t="s">
        <v>366</v>
      </c>
      <c r="H88" s="112">
        <v>48</v>
      </c>
      <c r="I88" s="113">
        <v>4.5</v>
      </c>
      <c r="J88" s="100">
        <f t="shared" si="1"/>
        <v>216</v>
      </c>
      <c r="K88" s="101"/>
      <c r="L88" s="102"/>
      <c r="R88" s="98"/>
    </row>
    <row r="89" spans="1:18" ht="35.25" customHeight="1">
      <c r="A89" s="5">
        <f t="shared" si="2"/>
        <v>84</v>
      </c>
      <c r="B89" s="149" t="s">
        <v>209</v>
      </c>
      <c r="C89" s="150"/>
      <c r="D89" s="120"/>
      <c r="E89" s="121"/>
      <c r="F89" s="122"/>
      <c r="G89" s="112" t="s">
        <v>366</v>
      </c>
      <c r="H89" s="112">
        <v>4</v>
      </c>
      <c r="I89" s="113">
        <v>270</v>
      </c>
      <c r="J89" s="100">
        <f t="shared" si="1"/>
        <v>1080</v>
      </c>
      <c r="K89" s="101"/>
      <c r="L89" s="102"/>
      <c r="R89" s="98"/>
    </row>
    <row r="90" spans="1:18" ht="35.25" customHeight="1">
      <c r="A90" s="5">
        <f t="shared" si="2"/>
        <v>85</v>
      </c>
      <c r="B90" s="149" t="s">
        <v>210</v>
      </c>
      <c r="C90" s="150"/>
      <c r="D90" s="120"/>
      <c r="E90" s="121"/>
      <c r="F90" s="122"/>
      <c r="G90" s="112" t="s">
        <v>366</v>
      </c>
      <c r="H90" s="112">
        <v>66</v>
      </c>
      <c r="I90" s="113">
        <v>48</v>
      </c>
      <c r="J90" s="100">
        <f t="shared" si="1"/>
        <v>3168</v>
      </c>
      <c r="K90" s="101"/>
      <c r="L90" s="102"/>
      <c r="R90" s="98"/>
    </row>
    <row r="91" spans="1:18" ht="35.25" customHeight="1">
      <c r="A91" s="5">
        <f t="shared" si="2"/>
        <v>86</v>
      </c>
      <c r="B91" s="149" t="s">
        <v>211</v>
      </c>
      <c r="C91" s="150"/>
      <c r="D91" s="120"/>
      <c r="E91" s="121"/>
      <c r="F91" s="122"/>
      <c r="G91" s="112" t="s">
        <v>366</v>
      </c>
      <c r="H91" s="112">
        <v>5</v>
      </c>
      <c r="I91" s="113">
        <v>1600</v>
      </c>
      <c r="J91" s="100">
        <f t="shared" si="1"/>
        <v>8000</v>
      </c>
      <c r="K91" s="101"/>
      <c r="L91" s="102"/>
      <c r="R91" s="98"/>
    </row>
    <row r="92" spans="1:18" ht="35.25" customHeight="1">
      <c r="A92" s="5">
        <f t="shared" si="2"/>
        <v>87</v>
      </c>
      <c r="B92" s="149" t="s">
        <v>212</v>
      </c>
      <c r="C92" s="150"/>
      <c r="D92" s="120"/>
      <c r="E92" s="121"/>
      <c r="F92" s="122"/>
      <c r="G92" s="112" t="s">
        <v>366</v>
      </c>
      <c r="H92" s="112">
        <v>50</v>
      </c>
      <c r="I92" s="113">
        <v>18.600000000000001</v>
      </c>
      <c r="J92" s="100">
        <f t="shared" si="1"/>
        <v>930.00000000000011</v>
      </c>
      <c r="K92" s="101"/>
      <c r="L92" s="102"/>
      <c r="R92" s="98"/>
    </row>
    <row r="93" spans="1:18" ht="35.25" customHeight="1">
      <c r="A93" s="5">
        <f t="shared" si="2"/>
        <v>88</v>
      </c>
      <c r="B93" s="149" t="s">
        <v>213</v>
      </c>
      <c r="C93" s="150"/>
      <c r="D93" s="120"/>
      <c r="E93" s="121"/>
      <c r="F93" s="122"/>
      <c r="G93" s="112" t="s">
        <v>366</v>
      </c>
      <c r="H93" s="112">
        <v>20</v>
      </c>
      <c r="I93" s="113">
        <v>11</v>
      </c>
      <c r="J93" s="100">
        <f t="shared" si="1"/>
        <v>220</v>
      </c>
      <c r="K93" s="101"/>
      <c r="L93" s="102"/>
      <c r="R93" s="98"/>
    </row>
    <row r="94" spans="1:18" ht="35.25" customHeight="1">
      <c r="A94" s="5">
        <f t="shared" si="2"/>
        <v>89</v>
      </c>
      <c r="B94" s="149" t="s">
        <v>214</v>
      </c>
      <c r="C94" s="150"/>
      <c r="D94" s="120"/>
      <c r="E94" s="121"/>
      <c r="F94" s="122"/>
      <c r="G94" s="112" t="s">
        <v>367</v>
      </c>
      <c r="H94" s="112">
        <v>15</v>
      </c>
      <c r="I94" s="113">
        <v>20</v>
      </c>
      <c r="J94" s="100">
        <f t="shared" si="1"/>
        <v>300</v>
      </c>
      <c r="K94" s="101"/>
      <c r="L94" s="102"/>
      <c r="R94" s="98"/>
    </row>
    <row r="95" spans="1:18" ht="35.25" customHeight="1">
      <c r="A95" s="5">
        <f t="shared" si="2"/>
        <v>90</v>
      </c>
      <c r="B95" s="149" t="s">
        <v>215</v>
      </c>
      <c r="C95" s="150"/>
      <c r="D95" s="120"/>
      <c r="E95" s="121"/>
      <c r="F95" s="122"/>
      <c r="G95" s="112" t="s">
        <v>366</v>
      </c>
      <c r="H95" s="112">
        <v>1</v>
      </c>
      <c r="I95" s="113">
        <v>2700</v>
      </c>
      <c r="J95" s="100">
        <f t="shared" si="1"/>
        <v>2700</v>
      </c>
      <c r="K95" s="101"/>
      <c r="L95" s="102"/>
      <c r="R95" s="98"/>
    </row>
    <row r="96" spans="1:18" ht="35.25" customHeight="1">
      <c r="A96" s="5">
        <f t="shared" si="2"/>
        <v>91</v>
      </c>
      <c r="B96" s="149" t="s">
        <v>216</v>
      </c>
      <c r="C96" s="150"/>
      <c r="D96" s="120"/>
      <c r="E96" s="121"/>
      <c r="F96" s="122"/>
      <c r="G96" s="112" t="s">
        <v>366</v>
      </c>
      <c r="H96" s="112">
        <v>1</v>
      </c>
      <c r="I96" s="113">
        <v>430</v>
      </c>
      <c r="J96" s="100">
        <f t="shared" si="1"/>
        <v>430</v>
      </c>
      <c r="K96" s="101"/>
      <c r="L96" s="102"/>
      <c r="R96" s="98"/>
    </row>
    <row r="97" spans="1:18" ht="35.25" customHeight="1">
      <c r="A97" s="5">
        <f t="shared" si="2"/>
        <v>92</v>
      </c>
      <c r="B97" s="149" t="s">
        <v>217</v>
      </c>
      <c r="C97" s="150"/>
      <c r="D97" s="120"/>
      <c r="E97" s="121"/>
      <c r="F97" s="122"/>
      <c r="G97" s="112" t="s">
        <v>366</v>
      </c>
      <c r="H97" s="112">
        <v>1</v>
      </c>
      <c r="I97" s="113">
        <v>143</v>
      </c>
      <c r="J97" s="100">
        <f t="shared" si="1"/>
        <v>143</v>
      </c>
      <c r="K97" s="101"/>
      <c r="L97" s="102"/>
      <c r="R97" s="98"/>
    </row>
    <row r="98" spans="1:18" ht="35.25" customHeight="1">
      <c r="A98" s="5">
        <f t="shared" si="2"/>
        <v>93</v>
      </c>
      <c r="B98" s="149" t="s">
        <v>218</v>
      </c>
      <c r="C98" s="150"/>
      <c r="D98" s="120"/>
      <c r="E98" s="121"/>
      <c r="F98" s="122"/>
      <c r="G98" s="112" t="s">
        <v>366</v>
      </c>
      <c r="H98" s="112">
        <v>1</v>
      </c>
      <c r="I98" s="113">
        <v>18</v>
      </c>
      <c r="J98" s="100">
        <f t="shared" si="1"/>
        <v>18</v>
      </c>
      <c r="K98" s="101"/>
      <c r="L98" s="102"/>
      <c r="R98" s="98"/>
    </row>
    <row r="99" spans="1:18" ht="35.25" customHeight="1">
      <c r="A99" s="5">
        <f t="shared" si="2"/>
        <v>94</v>
      </c>
      <c r="B99" s="149" t="s">
        <v>219</v>
      </c>
      <c r="C99" s="150"/>
      <c r="D99" s="120"/>
      <c r="E99" s="121"/>
      <c r="F99" s="122"/>
      <c r="G99" s="112" t="s">
        <v>366</v>
      </c>
      <c r="H99" s="112">
        <v>6</v>
      </c>
      <c r="I99" s="113">
        <v>12</v>
      </c>
      <c r="J99" s="100">
        <f t="shared" si="1"/>
        <v>72</v>
      </c>
      <c r="K99" s="101"/>
      <c r="L99" s="102"/>
      <c r="R99" s="98"/>
    </row>
    <row r="100" spans="1:18" ht="35.25" customHeight="1">
      <c r="A100" s="5">
        <f t="shared" si="2"/>
        <v>95</v>
      </c>
      <c r="B100" s="149" t="s">
        <v>220</v>
      </c>
      <c r="C100" s="150"/>
      <c r="D100" s="120"/>
      <c r="E100" s="121"/>
      <c r="F100" s="122"/>
      <c r="G100" s="112" t="s">
        <v>366</v>
      </c>
      <c r="H100" s="112">
        <v>6</v>
      </c>
      <c r="I100" s="113">
        <v>3.5</v>
      </c>
      <c r="J100" s="100">
        <f t="shared" si="1"/>
        <v>21</v>
      </c>
      <c r="K100" s="101"/>
      <c r="L100" s="102"/>
      <c r="R100" s="98"/>
    </row>
    <row r="101" spans="1:18" ht="35.25" customHeight="1">
      <c r="A101" s="5">
        <f t="shared" si="2"/>
        <v>96</v>
      </c>
      <c r="B101" s="149" t="s">
        <v>221</v>
      </c>
      <c r="C101" s="150"/>
      <c r="D101" s="120"/>
      <c r="E101" s="121"/>
      <c r="F101" s="122"/>
      <c r="G101" s="112" t="s">
        <v>366</v>
      </c>
      <c r="H101" s="112">
        <v>14</v>
      </c>
      <c r="I101" s="113">
        <v>673</v>
      </c>
      <c r="J101" s="100">
        <f t="shared" si="1"/>
        <v>9422</v>
      </c>
      <c r="K101" s="101"/>
      <c r="L101" s="102"/>
      <c r="R101" s="98"/>
    </row>
    <row r="102" spans="1:18" ht="35.25" customHeight="1">
      <c r="A102" s="5">
        <f t="shared" si="2"/>
        <v>97</v>
      </c>
      <c r="B102" s="149" t="s">
        <v>222</v>
      </c>
      <c r="C102" s="150"/>
      <c r="D102" s="120"/>
      <c r="E102" s="121"/>
      <c r="F102" s="122"/>
      <c r="G102" s="112" t="s">
        <v>366</v>
      </c>
      <c r="H102" s="112">
        <v>10</v>
      </c>
      <c r="I102" s="113">
        <v>715</v>
      </c>
      <c r="J102" s="100">
        <f t="shared" si="1"/>
        <v>7150</v>
      </c>
      <c r="K102" s="101"/>
      <c r="L102" s="102"/>
      <c r="R102" s="98"/>
    </row>
    <row r="103" spans="1:18" ht="35.25" customHeight="1">
      <c r="A103" s="5">
        <f t="shared" si="2"/>
        <v>98</v>
      </c>
      <c r="B103" s="149" t="s">
        <v>223</v>
      </c>
      <c r="C103" s="150"/>
      <c r="D103" s="120"/>
      <c r="E103" s="121"/>
      <c r="F103" s="122"/>
      <c r="G103" s="112" t="s">
        <v>366</v>
      </c>
      <c r="H103" s="112">
        <v>5</v>
      </c>
      <c r="I103" s="113">
        <v>972</v>
      </c>
      <c r="J103" s="100">
        <f t="shared" si="1"/>
        <v>4860</v>
      </c>
      <c r="K103" s="101"/>
      <c r="L103" s="102"/>
      <c r="R103" s="98"/>
    </row>
    <row r="104" spans="1:18" ht="35.25" customHeight="1">
      <c r="A104" s="5">
        <f t="shared" si="2"/>
        <v>99</v>
      </c>
      <c r="B104" s="149" t="s">
        <v>224</v>
      </c>
      <c r="C104" s="150"/>
      <c r="D104" s="120"/>
      <c r="E104" s="121"/>
      <c r="F104" s="122"/>
      <c r="G104" s="112" t="s">
        <v>366</v>
      </c>
      <c r="H104" s="112">
        <v>10</v>
      </c>
      <c r="I104" s="113">
        <v>12</v>
      </c>
      <c r="J104" s="100">
        <f t="shared" si="1"/>
        <v>120</v>
      </c>
      <c r="K104" s="101"/>
      <c r="L104" s="102"/>
      <c r="R104" s="98"/>
    </row>
    <row r="105" spans="1:18" ht="35.25" customHeight="1">
      <c r="A105" s="5">
        <f t="shared" si="2"/>
        <v>100</v>
      </c>
      <c r="B105" s="149" t="s">
        <v>225</v>
      </c>
      <c r="C105" s="150"/>
      <c r="D105" s="120"/>
      <c r="E105" s="121"/>
      <c r="F105" s="122"/>
      <c r="G105" s="112" t="s">
        <v>366</v>
      </c>
      <c r="H105" s="112">
        <v>6</v>
      </c>
      <c r="I105" s="113">
        <v>14</v>
      </c>
      <c r="J105" s="100">
        <f t="shared" si="1"/>
        <v>84</v>
      </c>
      <c r="K105" s="101"/>
      <c r="L105" s="102"/>
      <c r="R105" s="98"/>
    </row>
    <row r="106" spans="1:18" ht="35.25" customHeight="1">
      <c r="A106" s="5">
        <f t="shared" si="2"/>
        <v>101</v>
      </c>
      <c r="B106" s="149" t="s">
        <v>226</v>
      </c>
      <c r="C106" s="150"/>
      <c r="D106" s="120"/>
      <c r="E106" s="121"/>
      <c r="F106" s="122"/>
      <c r="G106" s="112" t="s">
        <v>366</v>
      </c>
      <c r="H106" s="112">
        <v>6</v>
      </c>
      <c r="I106" s="113">
        <v>16</v>
      </c>
      <c r="J106" s="100">
        <f t="shared" si="1"/>
        <v>96</v>
      </c>
      <c r="K106" s="101"/>
      <c r="L106" s="102"/>
      <c r="R106" s="98"/>
    </row>
    <row r="107" spans="1:18" ht="35.25" customHeight="1">
      <c r="A107" s="5">
        <f t="shared" si="2"/>
        <v>102</v>
      </c>
      <c r="B107" s="149" t="s">
        <v>227</v>
      </c>
      <c r="C107" s="150"/>
      <c r="D107" s="120"/>
      <c r="E107" s="121"/>
      <c r="F107" s="122"/>
      <c r="G107" s="112" t="s">
        <v>366</v>
      </c>
      <c r="H107" s="112">
        <v>6</v>
      </c>
      <c r="I107" s="113">
        <v>18</v>
      </c>
      <c r="J107" s="100">
        <f t="shared" si="1"/>
        <v>108</v>
      </c>
      <c r="K107" s="101"/>
      <c r="L107" s="102"/>
      <c r="R107" s="98"/>
    </row>
    <row r="108" spans="1:18" ht="35.25" customHeight="1">
      <c r="A108" s="5">
        <f t="shared" si="2"/>
        <v>103</v>
      </c>
      <c r="B108" s="149" t="s">
        <v>228</v>
      </c>
      <c r="C108" s="150"/>
      <c r="D108" s="120"/>
      <c r="E108" s="121"/>
      <c r="F108" s="122"/>
      <c r="G108" s="112" t="s">
        <v>366</v>
      </c>
      <c r="H108" s="112">
        <v>70</v>
      </c>
      <c r="I108" s="113">
        <v>19</v>
      </c>
      <c r="J108" s="100">
        <f t="shared" si="1"/>
        <v>1330</v>
      </c>
      <c r="K108" s="101"/>
      <c r="L108" s="102"/>
      <c r="R108" s="98"/>
    </row>
    <row r="109" spans="1:18" ht="35.25" customHeight="1">
      <c r="A109" s="5">
        <f t="shared" si="2"/>
        <v>104</v>
      </c>
      <c r="B109" s="149" t="s">
        <v>229</v>
      </c>
      <c r="C109" s="150"/>
      <c r="D109" s="120"/>
      <c r="E109" s="121"/>
      <c r="F109" s="122"/>
      <c r="G109" s="112" t="s">
        <v>366</v>
      </c>
      <c r="H109" s="112">
        <v>20</v>
      </c>
      <c r="I109" s="113">
        <v>21</v>
      </c>
      <c r="J109" s="100">
        <f t="shared" si="1"/>
        <v>420</v>
      </c>
      <c r="K109" s="101"/>
      <c r="L109" s="102"/>
      <c r="R109" s="98"/>
    </row>
    <row r="110" spans="1:18" ht="35.25" customHeight="1">
      <c r="A110" s="5">
        <f t="shared" si="2"/>
        <v>105</v>
      </c>
      <c r="B110" s="149" t="s">
        <v>230</v>
      </c>
      <c r="C110" s="150"/>
      <c r="D110" s="120"/>
      <c r="E110" s="121"/>
      <c r="F110" s="122"/>
      <c r="G110" s="112" t="s">
        <v>366</v>
      </c>
      <c r="H110" s="112">
        <v>10</v>
      </c>
      <c r="I110" s="113">
        <v>23</v>
      </c>
      <c r="J110" s="100">
        <f t="shared" si="1"/>
        <v>230</v>
      </c>
      <c r="K110" s="101"/>
      <c r="L110" s="102"/>
      <c r="R110" s="98"/>
    </row>
    <row r="111" spans="1:18" ht="35.25" customHeight="1">
      <c r="A111" s="5">
        <f t="shared" si="2"/>
        <v>106</v>
      </c>
      <c r="B111" s="149" t="s">
        <v>231</v>
      </c>
      <c r="C111" s="150"/>
      <c r="D111" s="120"/>
      <c r="E111" s="121"/>
      <c r="F111" s="122"/>
      <c r="G111" s="112" t="s">
        <v>366</v>
      </c>
      <c r="H111" s="112">
        <v>20</v>
      </c>
      <c r="I111" s="113">
        <v>25</v>
      </c>
      <c r="J111" s="100">
        <f t="shared" si="1"/>
        <v>500</v>
      </c>
      <c r="K111" s="101"/>
      <c r="L111" s="102"/>
      <c r="R111" s="98"/>
    </row>
    <row r="112" spans="1:18" ht="35.25" customHeight="1">
      <c r="A112" s="5">
        <f t="shared" si="2"/>
        <v>107</v>
      </c>
      <c r="B112" s="149" t="s">
        <v>232</v>
      </c>
      <c r="C112" s="150"/>
      <c r="D112" s="120"/>
      <c r="E112" s="121"/>
      <c r="F112" s="122"/>
      <c r="G112" s="112" t="s">
        <v>366</v>
      </c>
      <c r="H112" s="112">
        <v>10</v>
      </c>
      <c r="I112" s="113">
        <v>28</v>
      </c>
      <c r="J112" s="100">
        <f t="shared" si="1"/>
        <v>280</v>
      </c>
      <c r="K112" s="101"/>
      <c r="L112" s="102"/>
      <c r="R112" s="98"/>
    </row>
    <row r="113" spans="1:18" ht="35.25" customHeight="1">
      <c r="A113" s="5">
        <f t="shared" si="2"/>
        <v>108</v>
      </c>
      <c r="B113" s="149" t="s">
        <v>233</v>
      </c>
      <c r="C113" s="150"/>
      <c r="D113" s="120"/>
      <c r="E113" s="121"/>
      <c r="F113" s="122"/>
      <c r="G113" s="112" t="s">
        <v>366</v>
      </c>
      <c r="H113" s="112">
        <v>20</v>
      </c>
      <c r="I113" s="113">
        <v>30</v>
      </c>
      <c r="J113" s="100">
        <f t="shared" si="1"/>
        <v>600</v>
      </c>
      <c r="K113" s="101"/>
      <c r="L113" s="102"/>
      <c r="R113" s="98"/>
    </row>
    <row r="114" spans="1:18" ht="35.25" customHeight="1">
      <c r="A114" s="5">
        <f t="shared" si="2"/>
        <v>109</v>
      </c>
      <c r="B114" s="149" t="s">
        <v>234</v>
      </c>
      <c r="C114" s="150"/>
      <c r="D114" s="120"/>
      <c r="E114" s="121"/>
      <c r="F114" s="122"/>
      <c r="G114" s="112" t="s">
        <v>366</v>
      </c>
      <c r="H114" s="112">
        <v>10</v>
      </c>
      <c r="I114" s="113">
        <v>45</v>
      </c>
      <c r="J114" s="100">
        <f t="shared" si="1"/>
        <v>450</v>
      </c>
      <c r="K114" s="101"/>
      <c r="L114" s="102"/>
      <c r="R114" s="98"/>
    </row>
    <row r="115" spans="1:18" ht="35.25" customHeight="1">
      <c r="A115" s="5">
        <f t="shared" si="2"/>
        <v>110</v>
      </c>
      <c r="B115" s="149" t="s">
        <v>235</v>
      </c>
      <c r="C115" s="150"/>
      <c r="D115" s="120"/>
      <c r="E115" s="121"/>
      <c r="F115" s="122"/>
      <c r="G115" s="112" t="s">
        <v>366</v>
      </c>
      <c r="H115" s="112">
        <v>20</v>
      </c>
      <c r="I115" s="113">
        <v>48</v>
      </c>
      <c r="J115" s="100">
        <f t="shared" si="1"/>
        <v>960</v>
      </c>
      <c r="K115" s="101"/>
      <c r="L115" s="102"/>
      <c r="R115" s="98"/>
    </row>
    <row r="116" spans="1:18" ht="35.25" customHeight="1">
      <c r="A116" s="5">
        <f t="shared" si="2"/>
        <v>111</v>
      </c>
      <c r="B116" s="149" t="s">
        <v>236</v>
      </c>
      <c r="C116" s="150"/>
      <c r="D116" s="120"/>
      <c r="E116" s="121"/>
      <c r="F116" s="122"/>
      <c r="G116" s="112" t="s">
        <v>366</v>
      </c>
      <c r="H116" s="112">
        <v>28</v>
      </c>
      <c r="I116" s="113">
        <v>59</v>
      </c>
      <c r="J116" s="100">
        <f t="shared" si="1"/>
        <v>1652</v>
      </c>
      <c r="K116" s="101"/>
      <c r="L116" s="102"/>
      <c r="R116" s="98"/>
    </row>
    <row r="117" spans="1:18" ht="35.25" customHeight="1">
      <c r="A117" s="5">
        <f t="shared" si="2"/>
        <v>112</v>
      </c>
      <c r="B117" s="149" t="s">
        <v>237</v>
      </c>
      <c r="C117" s="150"/>
      <c r="D117" s="120"/>
      <c r="E117" s="121"/>
      <c r="F117" s="122"/>
      <c r="G117" s="112" t="s">
        <v>366</v>
      </c>
      <c r="H117" s="112">
        <v>20</v>
      </c>
      <c r="I117" s="113">
        <v>63</v>
      </c>
      <c r="J117" s="100">
        <f t="shared" si="1"/>
        <v>1260</v>
      </c>
      <c r="K117" s="101"/>
      <c r="L117" s="102"/>
      <c r="R117" s="98"/>
    </row>
    <row r="118" spans="1:18" ht="35.25" customHeight="1">
      <c r="A118" s="5">
        <f t="shared" si="2"/>
        <v>113</v>
      </c>
      <c r="B118" s="149" t="s">
        <v>238</v>
      </c>
      <c r="C118" s="150"/>
      <c r="D118" s="120"/>
      <c r="E118" s="121"/>
      <c r="F118" s="122"/>
      <c r="G118" s="112" t="s">
        <v>366</v>
      </c>
      <c r="H118" s="112">
        <v>5</v>
      </c>
      <c r="I118" s="113">
        <v>230</v>
      </c>
      <c r="J118" s="100">
        <f t="shared" si="1"/>
        <v>1150</v>
      </c>
      <c r="K118" s="101"/>
      <c r="L118" s="102"/>
      <c r="R118" s="98"/>
    </row>
    <row r="119" spans="1:18" ht="35.25" customHeight="1">
      <c r="A119" s="5">
        <f t="shared" si="2"/>
        <v>114</v>
      </c>
      <c r="B119" s="149" t="s">
        <v>239</v>
      </c>
      <c r="C119" s="150"/>
      <c r="D119" s="120"/>
      <c r="E119" s="121"/>
      <c r="F119" s="122"/>
      <c r="G119" s="112" t="s">
        <v>366</v>
      </c>
      <c r="H119" s="112">
        <v>2</v>
      </c>
      <c r="I119" s="113">
        <v>16000</v>
      </c>
      <c r="J119" s="100">
        <f t="shared" si="1"/>
        <v>32000</v>
      </c>
      <c r="K119" s="101"/>
      <c r="L119" s="102"/>
      <c r="R119" s="98"/>
    </row>
    <row r="120" spans="1:18" ht="35.25" customHeight="1">
      <c r="A120" s="5">
        <f t="shared" si="2"/>
        <v>115</v>
      </c>
      <c r="B120" s="149" t="s">
        <v>240</v>
      </c>
      <c r="C120" s="150"/>
      <c r="D120" s="120"/>
      <c r="E120" s="121"/>
      <c r="F120" s="122"/>
      <c r="G120" s="112" t="s">
        <v>369</v>
      </c>
      <c r="H120" s="112">
        <v>10</v>
      </c>
      <c r="I120" s="113">
        <v>423</v>
      </c>
      <c r="J120" s="100">
        <f t="shared" si="1"/>
        <v>4230</v>
      </c>
      <c r="K120" s="101"/>
      <c r="L120" s="102"/>
      <c r="R120" s="98"/>
    </row>
    <row r="121" spans="1:18" ht="35.25" customHeight="1">
      <c r="A121" s="5">
        <f t="shared" si="2"/>
        <v>116</v>
      </c>
      <c r="B121" s="149" t="s">
        <v>241</v>
      </c>
      <c r="C121" s="150"/>
      <c r="D121" s="120"/>
      <c r="E121" s="121"/>
      <c r="F121" s="122"/>
      <c r="G121" s="112" t="s">
        <v>366</v>
      </c>
      <c r="H121" s="112">
        <v>6</v>
      </c>
      <c r="I121" s="113">
        <v>7</v>
      </c>
      <c r="J121" s="100">
        <f t="shared" si="1"/>
        <v>42</v>
      </c>
      <c r="K121" s="101"/>
      <c r="L121" s="102"/>
      <c r="R121" s="98"/>
    </row>
    <row r="122" spans="1:18" ht="35.25" customHeight="1">
      <c r="A122" s="5">
        <f t="shared" si="2"/>
        <v>117</v>
      </c>
      <c r="B122" s="149" t="s">
        <v>242</v>
      </c>
      <c r="C122" s="150"/>
      <c r="D122" s="120"/>
      <c r="E122" s="121"/>
      <c r="F122" s="122"/>
      <c r="G122" s="112" t="s">
        <v>366</v>
      </c>
      <c r="H122" s="112">
        <v>6</v>
      </c>
      <c r="I122" s="113">
        <v>12</v>
      </c>
      <c r="J122" s="100">
        <f t="shared" si="1"/>
        <v>72</v>
      </c>
      <c r="K122" s="101"/>
      <c r="L122" s="102"/>
      <c r="R122" s="98"/>
    </row>
    <row r="123" spans="1:18" ht="35.25" customHeight="1">
      <c r="A123" s="5">
        <f t="shared" si="2"/>
        <v>118</v>
      </c>
      <c r="B123" s="149" t="s">
        <v>243</v>
      </c>
      <c r="C123" s="150"/>
      <c r="D123" s="120"/>
      <c r="E123" s="121"/>
      <c r="F123" s="122"/>
      <c r="G123" s="112" t="s">
        <v>366</v>
      </c>
      <c r="H123" s="112">
        <v>4</v>
      </c>
      <c r="I123" s="113">
        <v>210</v>
      </c>
      <c r="J123" s="100">
        <f t="shared" si="1"/>
        <v>840</v>
      </c>
      <c r="K123" s="101"/>
      <c r="L123" s="102"/>
      <c r="R123" s="98"/>
    </row>
    <row r="124" spans="1:18" ht="35.25" customHeight="1">
      <c r="A124" s="5">
        <f t="shared" si="2"/>
        <v>119</v>
      </c>
      <c r="B124" s="149" t="s">
        <v>244</v>
      </c>
      <c r="C124" s="150"/>
      <c r="D124" s="120"/>
      <c r="E124" s="121"/>
      <c r="F124" s="122"/>
      <c r="G124" s="112" t="s">
        <v>366</v>
      </c>
      <c r="H124" s="112">
        <v>6</v>
      </c>
      <c r="I124" s="113">
        <v>256</v>
      </c>
      <c r="J124" s="100">
        <f t="shared" si="1"/>
        <v>1536</v>
      </c>
      <c r="K124" s="101"/>
      <c r="L124" s="102"/>
      <c r="R124" s="98"/>
    </row>
    <row r="125" spans="1:18" ht="35.25" customHeight="1">
      <c r="A125" s="5">
        <f t="shared" si="2"/>
        <v>120</v>
      </c>
      <c r="B125" s="149" t="s">
        <v>245</v>
      </c>
      <c r="C125" s="150"/>
      <c r="D125" s="120"/>
      <c r="E125" s="121"/>
      <c r="F125" s="122"/>
      <c r="G125" s="112" t="s">
        <v>366</v>
      </c>
      <c r="H125" s="112">
        <v>13</v>
      </c>
      <c r="I125" s="113">
        <v>1842</v>
      </c>
      <c r="J125" s="100">
        <f t="shared" si="1"/>
        <v>23946</v>
      </c>
      <c r="K125" s="101"/>
      <c r="L125" s="102"/>
      <c r="R125" s="98"/>
    </row>
    <row r="126" spans="1:18" ht="35.25" customHeight="1">
      <c r="A126" s="5">
        <f t="shared" si="2"/>
        <v>121</v>
      </c>
      <c r="B126" s="149" t="s">
        <v>246</v>
      </c>
      <c r="C126" s="150"/>
      <c r="D126" s="120"/>
      <c r="E126" s="121"/>
      <c r="F126" s="122"/>
      <c r="G126" s="112" t="s">
        <v>366</v>
      </c>
      <c r="H126" s="112">
        <v>30</v>
      </c>
      <c r="I126" s="113">
        <v>3.4</v>
      </c>
      <c r="J126" s="100">
        <f t="shared" si="1"/>
        <v>102</v>
      </c>
      <c r="K126" s="101"/>
      <c r="L126" s="102"/>
      <c r="R126" s="98"/>
    </row>
    <row r="127" spans="1:18" ht="35.25" customHeight="1">
      <c r="A127" s="5">
        <f t="shared" si="2"/>
        <v>122</v>
      </c>
      <c r="B127" s="149" t="s">
        <v>247</v>
      </c>
      <c r="C127" s="150"/>
      <c r="D127" s="120"/>
      <c r="E127" s="121"/>
      <c r="F127" s="122"/>
      <c r="G127" s="112" t="s">
        <v>366</v>
      </c>
      <c r="H127" s="112">
        <v>50</v>
      </c>
      <c r="I127" s="113">
        <v>26</v>
      </c>
      <c r="J127" s="100">
        <f t="shared" si="1"/>
        <v>1300</v>
      </c>
      <c r="K127" s="101"/>
      <c r="L127" s="102"/>
      <c r="R127" s="98"/>
    </row>
    <row r="128" spans="1:18" ht="35.25" customHeight="1">
      <c r="A128" s="5">
        <f t="shared" si="2"/>
        <v>123</v>
      </c>
      <c r="B128" s="149" t="s">
        <v>248</v>
      </c>
      <c r="C128" s="150"/>
      <c r="D128" s="120"/>
      <c r="E128" s="121"/>
      <c r="F128" s="122"/>
      <c r="G128" s="112" t="s">
        <v>366</v>
      </c>
      <c r="H128" s="112">
        <v>10</v>
      </c>
      <c r="I128" s="113">
        <v>12</v>
      </c>
      <c r="J128" s="100">
        <f t="shared" si="1"/>
        <v>120</v>
      </c>
      <c r="K128" s="101"/>
      <c r="L128" s="102"/>
      <c r="R128" s="98"/>
    </row>
    <row r="129" spans="1:18" ht="35.25" customHeight="1">
      <c r="A129" s="5">
        <f t="shared" si="2"/>
        <v>124</v>
      </c>
      <c r="B129" s="149" t="s">
        <v>249</v>
      </c>
      <c r="C129" s="150"/>
      <c r="D129" s="120"/>
      <c r="E129" s="121"/>
      <c r="F129" s="122"/>
      <c r="G129" s="112" t="s">
        <v>366</v>
      </c>
      <c r="H129" s="112">
        <v>15</v>
      </c>
      <c r="I129" s="113">
        <v>11</v>
      </c>
      <c r="J129" s="100">
        <f t="shared" si="1"/>
        <v>165</v>
      </c>
      <c r="K129" s="101"/>
      <c r="L129" s="102"/>
      <c r="R129" s="98"/>
    </row>
    <row r="130" spans="1:18" ht="35.25" customHeight="1">
      <c r="A130" s="5">
        <f t="shared" si="2"/>
        <v>125</v>
      </c>
      <c r="B130" s="149" t="s">
        <v>250</v>
      </c>
      <c r="C130" s="150"/>
      <c r="D130" s="120"/>
      <c r="E130" s="121"/>
      <c r="F130" s="122"/>
      <c r="G130" s="112" t="s">
        <v>366</v>
      </c>
      <c r="H130" s="112">
        <v>13</v>
      </c>
      <c r="I130" s="113">
        <v>390</v>
      </c>
      <c r="J130" s="100">
        <f t="shared" si="1"/>
        <v>5070</v>
      </c>
      <c r="K130" s="101"/>
      <c r="L130" s="102"/>
      <c r="R130" s="98"/>
    </row>
    <row r="131" spans="1:18" ht="35.25" customHeight="1">
      <c r="A131" s="5">
        <f t="shared" si="2"/>
        <v>126</v>
      </c>
      <c r="B131" s="149" t="s">
        <v>251</v>
      </c>
      <c r="C131" s="150"/>
      <c r="D131" s="120"/>
      <c r="E131" s="121"/>
      <c r="F131" s="122"/>
      <c r="G131" s="112" t="s">
        <v>366</v>
      </c>
      <c r="H131" s="112">
        <v>12</v>
      </c>
      <c r="I131" s="113">
        <v>2820</v>
      </c>
      <c r="J131" s="100">
        <f t="shared" si="1"/>
        <v>33840</v>
      </c>
      <c r="K131" s="101"/>
      <c r="L131" s="102"/>
      <c r="R131" s="98"/>
    </row>
    <row r="132" spans="1:18" ht="35.25" customHeight="1">
      <c r="A132" s="5">
        <f t="shared" si="2"/>
        <v>127</v>
      </c>
      <c r="B132" s="149" t="s">
        <v>252</v>
      </c>
      <c r="C132" s="150"/>
      <c r="D132" s="120"/>
      <c r="E132" s="121"/>
      <c r="F132" s="122"/>
      <c r="G132" s="112" t="s">
        <v>366</v>
      </c>
      <c r="H132" s="112">
        <v>1</v>
      </c>
      <c r="I132" s="113">
        <v>86</v>
      </c>
      <c r="J132" s="100">
        <f t="shared" si="1"/>
        <v>86</v>
      </c>
      <c r="K132" s="101"/>
      <c r="L132" s="102"/>
      <c r="R132" s="98"/>
    </row>
    <row r="133" spans="1:18" ht="35.25" customHeight="1">
      <c r="A133" s="5">
        <f t="shared" si="2"/>
        <v>128</v>
      </c>
      <c r="B133" s="149" t="s">
        <v>253</v>
      </c>
      <c r="C133" s="150"/>
      <c r="D133" s="120"/>
      <c r="E133" s="121"/>
      <c r="F133" s="122"/>
      <c r="G133" s="112" t="s">
        <v>366</v>
      </c>
      <c r="H133" s="112">
        <v>50</v>
      </c>
      <c r="I133" s="113">
        <v>175</v>
      </c>
      <c r="J133" s="100">
        <f t="shared" si="1"/>
        <v>8750</v>
      </c>
      <c r="K133" s="101"/>
      <c r="L133" s="102"/>
      <c r="R133" s="98"/>
    </row>
    <row r="134" spans="1:18" ht="35.25" customHeight="1">
      <c r="A134" s="5">
        <f t="shared" ref="A134:A197" si="3">ROW(A129)</f>
        <v>129</v>
      </c>
      <c r="B134" s="149" t="s">
        <v>254</v>
      </c>
      <c r="C134" s="150"/>
      <c r="D134" s="120"/>
      <c r="E134" s="121"/>
      <c r="F134" s="122"/>
      <c r="G134" s="112" t="s">
        <v>366</v>
      </c>
      <c r="H134" s="112">
        <v>5</v>
      </c>
      <c r="I134" s="113">
        <v>13.4</v>
      </c>
      <c r="J134" s="100">
        <f t="shared" si="1"/>
        <v>67</v>
      </c>
      <c r="K134" s="101"/>
      <c r="L134" s="102"/>
      <c r="R134" s="98"/>
    </row>
    <row r="135" spans="1:18" ht="35.25" customHeight="1">
      <c r="A135" s="5">
        <f t="shared" si="3"/>
        <v>130</v>
      </c>
      <c r="B135" s="149" t="s">
        <v>255</v>
      </c>
      <c r="C135" s="150"/>
      <c r="D135" s="120"/>
      <c r="E135" s="121"/>
      <c r="F135" s="122"/>
      <c r="G135" s="112" t="s">
        <v>366</v>
      </c>
      <c r="H135" s="112">
        <v>10</v>
      </c>
      <c r="I135" s="113">
        <v>560</v>
      </c>
      <c r="J135" s="100">
        <f t="shared" si="1"/>
        <v>5600</v>
      </c>
      <c r="K135" s="101"/>
      <c r="L135" s="102"/>
      <c r="R135" s="98"/>
    </row>
    <row r="136" spans="1:18" ht="35.25" customHeight="1">
      <c r="A136" s="5">
        <f t="shared" si="3"/>
        <v>131</v>
      </c>
      <c r="B136" s="149" t="s">
        <v>256</v>
      </c>
      <c r="C136" s="150"/>
      <c r="D136" s="120"/>
      <c r="E136" s="121"/>
      <c r="F136" s="122"/>
      <c r="G136" s="112" t="s">
        <v>366</v>
      </c>
      <c r="H136" s="112">
        <v>100</v>
      </c>
      <c r="I136" s="113">
        <v>78</v>
      </c>
      <c r="J136" s="100">
        <f t="shared" si="1"/>
        <v>7800</v>
      </c>
      <c r="K136" s="101"/>
      <c r="L136" s="102"/>
      <c r="R136" s="98"/>
    </row>
    <row r="137" spans="1:18" ht="35.25" customHeight="1">
      <c r="A137" s="5">
        <f t="shared" si="3"/>
        <v>132</v>
      </c>
      <c r="B137" s="149" t="s">
        <v>257</v>
      </c>
      <c r="C137" s="150"/>
      <c r="D137" s="120"/>
      <c r="E137" s="121"/>
      <c r="F137" s="122"/>
      <c r="G137" s="112" t="s">
        <v>366</v>
      </c>
      <c r="H137" s="112">
        <v>30</v>
      </c>
      <c r="I137" s="113">
        <v>345</v>
      </c>
      <c r="J137" s="100">
        <f t="shared" si="1"/>
        <v>10350</v>
      </c>
      <c r="K137" s="101"/>
      <c r="L137" s="102"/>
      <c r="R137" s="98"/>
    </row>
    <row r="138" spans="1:18" ht="35.25" customHeight="1">
      <c r="A138" s="5">
        <f t="shared" si="3"/>
        <v>133</v>
      </c>
      <c r="B138" s="149" t="s">
        <v>258</v>
      </c>
      <c r="C138" s="150"/>
      <c r="D138" s="120"/>
      <c r="E138" s="121"/>
      <c r="F138" s="122"/>
      <c r="G138" s="112" t="s">
        <v>366</v>
      </c>
      <c r="H138" s="112">
        <v>50</v>
      </c>
      <c r="I138" s="113">
        <v>150</v>
      </c>
      <c r="J138" s="100">
        <f t="shared" si="1"/>
        <v>7500</v>
      </c>
      <c r="K138" s="101"/>
      <c r="L138" s="102"/>
      <c r="R138" s="98"/>
    </row>
    <row r="139" spans="1:18" ht="35.25" customHeight="1">
      <c r="A139" s="5">
        <f t="shared" si="3"/>
        <v>134</v>
      </c>
      <c r="B139" s="149" t="s">
        <v>259</v>
      </c>
      <c r="C139" s="150"/>
      <c r="D139" s="120"/>
      <c r="E139" s="121"/>
      <c r="F139" s="122"/>
      <c r="G139" s="112" t="s">
        <v>366</v>
      </c>
      <c r="H139" s="112">
        <v>10</v>
      </c>
      <c r="I139" s="113">
        <v>22</v>
      </c>
      <c r="J139" s="100">
        <f t="shared" si="1"/>
        <v>220</v>
      </c>
      <c r="K139" s="101"/>
      <c r="L139" s="102"/>
      <c r="R139" s="98"/>
    </row>
    <row r="140" spans="1:18" ht="35.25" customHeight="1">
      <c r="A140" s="5">
        <f t="shared" si="3"/>
        <v>135</v>
      </c>
      <c r="B140" s="149" t="s">
        <v>260</v>
      </c>
      <c r="C140" s="150"/>
      <c r="D140" s="120"/>
      <c r="E140" s="121"/>
      <c r="F140" s="122"/>
      <c r="G140" s="112" t="s">
        <v>366</v>
      </c>
      <c r="H140" s="112">
        <v>10</v>
      </c>
      <c r="I140" s="113">
        <v>24</v>
      </c>
      <c r="J140" s="100">
        <f t="shared" si="1"/>
        <v>240</v>
      </c>
      <c r="K140" s="101"/>
      <c r="L140" s="102"/>
      <c r="R140" s="98"/>
    </row>
    <row r="141" spans="1:18" ht="35.25" customHeight="1">
      <c r="A141" s="5">
        <f t="shared" si="3"/>
        <v>136</v>
      </c>
      <c r="B141" s="149" t="s">
        <v>261</v>
      </c>
      <c r="C141" s="150"/>
      <c r="D141" s="120"/>
      <c r="E141" s="121"/>
      <c r="F141" s="122"/>
      <c r="G141" s="112" t="s">
        <v>366</v>
      </c>
      <c r="H141" s="112">
        <v>20</v>
      </c>
      <c r="I141" s="113">
        <v>16</v>
      </c>
      <c r="J141" s="100">
        <f t="shared" si="1"/>
        <v>320</v>
      </c>
      <c r="K141" s="101"/>
      <c r="L141" s="102"/>
      <c r="R141" s="98"/>
    </row>
    <row r="142" spans="1:18" ht="35.25" customHeight="1">
      <c r="A142" s="5">
        <f t="shared" si="3"/>
        <v>137</v>
      </c>
      <c r="B142" s="149" t="s">
        <v>262</v>
      </c>
      <c r="C142" s="150"/>
      <c r="D142" s="120"/>
      <c r="E142" s="121"/>
      <c r="F142" s="122"/>
      <c r="G142" s="112" t="s">
        <v>366</v>
      </c>
      <c r="H142" s="112">
        <v>100</v>
      </c>
      <c r="I142" s="113">
        <v>2.2000000000000002</v>
      </c>
      <c r="J142" s="100">
        <f t="shared" si="1"/>
        <v>220.00000000000003</v>
      </c>
      <c r="K142" s="101"/>
      <c r="L142" s="102"/>
      <c r="R142" s="98"/>
    </row>
    <row r="143" spans="1:18" ht="35.25" customHeight="1">
      <c r="A143" s="5">
        <f t="shared" si="3"/>
        <v>138</v>
      </c>
      <c r="B143" s="149" t="s">
        <v>263</v>
      </c>
      <c r="C143" s="150"/>
      <c r="D143" s="120"/>
      <c r="E143" s="121"/>
      <c r="F143" s="122"/>
      <c r="G143" s="112" t="s">
        <v>366</v>
      </c>
      <c r="H143" s="112">
        <v>100</v>
      </c>
      <c r="I143" s="113">
        <v>2.2000000000000002</v>
      </c>
      <c r="J143" s="100">
        <f t="shared" si="1"/>
        <v>220.00000000000003</v>
      </c>
      <c r="K143" s="101"/>
      <c r="L143" s="102"/>
      <c r="R143" s="98"/>
    </row>
    <row r="144" spans="1:18" ht="35.25" customHeight="1">
      <c r="A144" s="5">
        <f t="shared" si="3"/>
        <v>139</v>
      </c>
      <c r="B144" s="149" t="s">
        <v>264</v>
      </c>
      <c r="C144" s="150"/>
      <c r="D144" s="120"/>
      <c r="E144" s="121"/>
      <c r="F144" s="122"/>
      <c r="G144" s="112" t="s">
        <v>366</v>
      </c>
      <c r="H144" s="112">
        <v>100</v>
      </c>
      <c r="I144" s="113">
        <v>2.2000000000000002</v>
      </c>
      <c r="J144" s="100">
        <f t="shared" si="1"/>
        <v>220.00000000000003</v>
      </c>
      <c r="K144" s="101"/>
      <c r="L144" s="102"/>
      <c r="R144" s="98"/>
    </row>
    <row r="145" spans="1:18" ht="35.25" customHeight="1">
      <c r="A145" s="5">
        <f t="shared" si="3"/>
        <v>140</v>
      </c>
      <c r="B145" s="149" t="s">
        <v>265</v>
      </c>
      <c r="C145" s="150"/>
      <c r="D145" s="120"/>
      <c r="E145" s="121"/>
      <c r="F145" s="122"/>
      <c r="G145" s="112" t="s">
        <v>366</v>
      </c>
      <c r="H145" s="112">
        <v>100</v>
      </c>
      <c r="I145" s="113">
        <v>2.2000000000000002</v>
      </c>
      <c r="J145" s="100">
        <f t="shared" si="1"/>
        <v>220.00000000000003</v>
      </c>
      <c r="K145" s="101"/>
      <c r="L145" s="102"/>
      <c r="R145" s="98"/>
    </row>
    <row r="146" spans="1:18" ht="35.25" customHeight="1">
      <c r="A146" s="5">
        <f t="shared" si="3"/>
        <v>141</v>
      </c>
      <c r="B146" s="149" t="s">
        <v>266</v>
      </c>
      <c r="C146" s="150"/>
      <c r="D146" s="120"/>
      <c r="E146" s="121"/>
      <c r="F146" s="122"/>
      <c r="G146" s="112" t="s">
        <v>366</v>
      </c>
      <c r="H146" s="112">
        <v>100</v>
      </c>
      <c r="I146" s="113">
        <v>12</v>
      </c>
      <c r="J146" s="100">
        <f t="shared" si="1"/>
        <v>1200</v>
      </c>
      <c r="K146" s="101"/>
      <c r="L146" s="102"/>
      <c r="R146" s="98"/>
    </row>
    <row r="147" spans="1:18" ht="35.25" customHeight="1">
      <c r="A147" s="5">
        <f t="shared" si="3"/>
        <v>142</v>
      </c>
      <c r="B147" s="149" t="s">
        <v>267</v>
      </c>
      <c r="C147" s="150"/>
      <c r="D147" s="120"/>
      <c r="E147" s="121"/>
      <c r="F147" s="122"/>
      <c r="G147" s="112" t="s">
        <v>366</v>
      </c>
      <c r="H147" s="112">
        <v>100</v>
      </c>
      <c r="I147" s="113">
        <v>12</v>
      </c>
      <c r="J147" s="100">
        <f t="shared" si="1"/>
        <v>1200</v>
      </c>
      <c r="K147" s="101"/>
      <c r="L147" s="102"/>
      <c r="R147" s="98"/>
    </row>
    <row r="148" spans="1:18" ht="35.25" customHeight="1">
      <c r="A148" s="5">
        <f t="shared" si="3"/>
        <v>143</v>
      </c>
      <c r="B148" s="149" t="s">
        <v>268</v>
      </c>
      <c r="C148" s="150"/>
      <c r="D148" s="120"/>
      <c r="E148" s="121"/>
      <c r="F148" s="122"/>
      <c r="G148" s="112" t="s">
        <v>366</v>
      </c>
      <c r="H148" s="112">
        <v>100</v>
      </c>
      <c r="I148" s="113">
        <v>12</v>
      </c>
      <c r="J148" s="100">
        <f t="shared" si="1"/>
        <v>1200</v>
      </c>
      <c r="K148" s="101"/>
      <c r="L148" s="102"/>
      <c r="R148" s="98"/>
    </row>
    <row r="149" spans="1:18" ht="35.25" customHeight="1">
      <c r="A149" s="5">
        <f t="shared" si="3"/>
        <v>144</v>
      </c>
      <c r="B149" s="149" t="s">
        <v>269</v>
      </c>
      <c r="C149" s="150"/>
      <c r="D149" s="120"/>
      <c r="E149" s="121"/>
      <c r="F149" s="122"/>
      <c r="G149" s="112" t="s">
        <v>366</v>
      </c>
      <c r="H149" s="112">
        <v>100</v>
      </c>
      <c r="I149" s="113">
        <v>12</v>
      </c>
      <c r="J149" s="100">
        <f t="shared" si="1"/>
        <v>1200</v>
      </c>
      <c r="K149" s="101"/>
      <c r="L149" s="102"/>
      <c r="R149" s="98"/>
    </row>
    <row r="150" spans="1:18" ht="35.25" customHeight="1">
      <c r="A150" s="5">
        <f t="shared" si="3"/>
        <v>145</v>
      </c>
      <c r="B150" s="149" t="s">
        <v>270</v>
      </c>
      <c r="C150" s="150"/>
      <c r="D150" s="120"/>
      <c r="E150" s="121"/>
      <c r="F150" s="122"/>
      <c r="G150" s="112" t="s">
        <v>366</v>
      </c>
      <c r="H150" s="112">
        <v>100</v>
      </c>
      <c r="I150" s="113">
        <v>258</v>
      </c>
      <c r="J150" s="100">
        <f t="shared" si="1"/>
        <v>25800</v>
      </c>
      <c r="K150" s="101"/>
      <c r="L150" s="102"/>
      <c r="R150" s="98"/>
    </row>
    <row r="151" spans="1:18" ht="35.25" customHeight="1">
      <c r="A151" s="5">
        <f t="shared" si="3"/>
        <v>146</v>
      </c>
      <c r="B151" s="149" t="s">
        <v>271</v>
      </c>
      <c r="C151" s="150"/>
      <c r="D151" s="120"/>
      <c r="E151" s="121"/>
      <c r="F151" s="122"/>
      <c r="G151" s="112" t="s">
        <v>366</v>
      </c>
      <c r="H151" s="112">
        <v>10</v>
      </c>
      <c r="I151" s="113">
        <v>9.5</v>
      </c>
      <c r="J151" s="100">
        <f t="shared" si="1"/>
        <v>95</v>
      </c>
      <c r="K151" s="101"/>
      <c r="L151" s="102"/>
      <c r="R151" s="98"/>
    </row>
    <row r="152" spans="1:18" ht="35.25" customHeight="1">
      <c r="A152" s="5">
        <f t="shared" si="3"/>
        <v>147</v>
      </c>
      <c r="B152" s="149" t="s">
        <v>272</v>
      </c>
      <c r="C152" s="150"/>
      <c r="D152" s="120"/>
      <c r="E152" s="121"/>
      <c r="F152" s="122"/>
      <c r="G152" s="112" t="s">
        <v>366</v>
      </c>
      <c r="H152" s="112">
        <v>10</v>
      </c>
      <c r="I152" s="113">
        <v>3.3</v>
      </c>
      <c r="J152" s="100">
        <f t="shared" si="1"/>
        <v>33</v>
      </c>
      <c r="K152" s="101"/>
      <c r="L152" s="102"/>
      <c r="R152" s="98"/>
    </row>
    <row r="153" spans="1:18" ht="35.25" customHeight="1">
      <c r="A153" s="5">
        <f t="shared" si="3"/>
        <v>148</v>
      </c>
      <c r="B153" s="149" t="s">
        <v>273</v>
      </c>
      <c r="C153" s="150"/>
      <c r="D153" s="120"/>
      <c r="E153" s="121"/>
      <c r="F153" s="122"/>
      <c r="G153" s="112" t="s">
        <v>366</v>
      </c>
      <c r="H153" s="112">
        <v>5</v>
      </c>
      <c r="I153" s="113">
        <v>815</v>
      </c>
      <c r="J153" s="100">
        <f t="shared" si="1"/>
        <v>4075</v>
      </c>
      <c r="K153" s="101"/>
      <c r="L153" s="102"/>
      <c r="R153" s="98"/>
    </row>
    <row r="154" spans="1:18" ht="35.25" customHeight="1">
      <c r="A154" s="5">
        <f t="shared" si="3"/>
        <v>149</v>
      </c>
      <c r="B154" s="149" t="s">
        <v>274</v>
      </c>
      <c r="C154" s="150"/>
      <c r="D154" s="120"/>
      <c r="E154" s="121"/>
      <c r="F154" s="122"/>
      <c r="G154" s="112" t="s">
        <v>366</v>
      </c>
      <c r="H154" s="112">
        <v>2</v>
      </c>
      <c r="I154" s="113">
        <v>3594</v>
      </c>
      <c r="J154" s="100">
        <f t="shared" si="1"/>
        <v>7188</v>
      </c>
      <c r="K154" s="101"/>
      <c r="L154" s="102"/>
      <c r="R154" s="98"/>
    </row>
    <row r="155" spans="1:18" ht="35.25" customHeight="1">
      <c r="A155" s="5">
        <f t="shared" si="3"/>
        <v>150</v>
      </c>
      <c r="B155" s="149" t="s">
        <v>275</v>
      </c>
      <c r="C155" s="150"/>
      <c r="D155" s="120"/>
      <c r="E155" s="121"/>
      <c r="F155" s="122"/>
      <c r="G155" s="112" t="s">
        <v>366</v>
      </c>
      <c r="H155" s="112">
        <v>5</v>
      </c>
      <c r="I155" s="113">
        <v>1180</v>
      </c>
      <c r="J155" s="100">
        <f t="shared" si="1"/>
        <v>5900</v>
      </c>
      <c r="K155" s="101"/>
      <c r="L155" s="102"/>
      <c r="R155" s="98"/>
    </row>
    <row r="156" spans="1:18" ht="35.25" customHeight="1">
      <c r="A156" s="5">
        <f t="shared" si="3"/>
        <v>151</v>
      </c>
      <c r="B156" s="149" t="s">
        <v>276</v>
      </c>
      <c r="C156" s="150"/>
      <c r="D156" s="120"/>
      <c r="E156" s="121"/>
      <c r="F156" s="122"/>
      <c r="G156" s="112" t="s">
        <v>366</v>
      </c>
      <c r="H156" s="112">
        <v>1</v>
      </c>
      <c r="I156" s="113">
        <v>2250</v>
      </c>
      <c r="J156" s="100">
        <f t="shared" si="1"/>
        <v>2250</v>
      </c>
      <c r="K156" s="101"/>
      <c r="L156" s="102"/>
      <c r="R156" s="98"/>
    </row>
    <row r="157" spans="1:18" ht="35.25" customHeight="1">
      <c r="A157" s="5">
        <f t="shared" si="3"/>
        <v>152</v>
      </c>
      <c r="B157" s="149" t="s">
        <v>277</v>
      </c>
      <c r="C157" s="150"/>
      <c r="D157" s="120"/>
      <c r="E157" s="121"/>
      <c r="F157" s="122"/>
      <c r="G157" s="112" t="s">
        <v>366</v>
      </c>
      <c r="H157" s="112">
        <v>2</v>
      </c>
      <c r="I157" s="113">
        <v>135</v>
      </c>
      <c r="J157" s="100">
        <f t="shared" si="1"/>
        <v>270</v>
      </c>
      <c r="K157" s="101"/>
      <c r="L157" s="102"/>
      <c r="R157" s="98"/>
    </row>
    <row r="158" spans="1:18" ht="35.25" customHeight="1">
      <c r="A158" s="5">
        <f t="shared" si="3"/>
        <v>153</v>
      </c>
      <c r="B158" s="149" t="s">
        <v>278</v>
      </c>
      <c r="C158" s="150"/>
      <c r="D158" s="120"/>
      <c r="E158" s="121"/>
      <c r="F158" s="122"/>
      <c r="G158" s="112" t="s">
        <v>366</v>
      </c>
      <c r="H158" s="112">
        <v>10</v>
      </c>
      <c r="I158" s="113">
        <v>438</v>
      </c>
      <c r="J158" s="100">
        <f t="shared" si="1"/>
        <v>4380</v>
      </c>
      <c r="K158" s="101"/>
      <c r="L158" s="102"/>
      <c r="R158" s="98"/>
    </row>
    <row r="159" spans="1:18" ht="35.25" customHeight="1">
      <c r="A159" s="5">
        <f t="shared" si="3"/>
        <v>154</v>
      </c>
      <c r="B159" s="149" t="s">
        <v>279</v>
      </c>
      <c r="C159" s="150"/>
      <c r="D159" s="120"/>
      <c r="E159" s="121"/>
      <c r="F159" s="122"/>
      <c r="G159" s="112" t="s">
        <v>366</v>
      </c>
      <c r="H159" s="112">
        <v>2</v>
      </c>
      <c r="I159" s="113">
        <v>790</v>
      </c>
      <c r="J159" s="100">
        <f t="shared" si="1"/>
        <v>1580</v>
      </c>
      <c r="K159" s="101"/>
      <c r="L159" s="102"/>
      <c r="R159" s="98"/>
    </row>
    <row r="160" spans="1:18" ht="35.25" customHeight="1">
      <c r="A160" s="5">
        <f t="shared" si="3"/>
        <v>155</v>
      </c>
      <c r="B160" s="149" t="s">
        <v>280</v>
      </c>
      <c r="C160" s="150"/>
      <c r="D160" s="120"/>
      <c r="E160" s="121"/>
      <c r="F160" s="122"/>
      <c r="G160" s="112" t="s">
        <v>369</v>
      </c>
      <c r="H160" s="112">
        <v>200</v>
      </c>
      <c r="I160" s="113">
        <v>94</v>
      </c>
      <c r="J160" s="100">
        <f t="shared" si="1"/>
        <v>18800</v>
      </c>
      <c r="K160" s="101"/>
      <c r="L160" s="102"/>
      <c r="R160" s="98"/>
    </row>
    <row r="161" spans="1:18" ht="35.25" customHeight="1">
      <c r="A161" s="5">
        <f t="shared" si="3"/>
        <v>156</v>
      </c>
      <c r="B161" s="149" t="s">
        <v>281</v>
      </c>
      <c r="C161" s="150"/>
      <c r="D161" s="120"/>
      <c r="E161" s="121"/>
      <c r="F161" s="122"/>
      <c r="G161" s="112" t="s">
        <v>367</v>
      </c>
      <c r="H161" s="112">
        <v>10</v>
      </c>
      <c r="I161" s="113">
        <v>8.5</v>
      </c>
      <c r="J161" s="100">
        <f t="shared" si="1"/>
        <v>85</v>
      </c>
      <c r="K161" s="101"/>
      <c r="L161" s="102"/>
      <c r="R161" s="98"/>
    </row>
    <row r="162" spans="1:18" ht="35.25" customHeight="1">
      <c r="A162" s="5">
        <f t="shared" si="3"/>
        <v>157</v>
      </c>
      <c r="B162" s="149" t="s">
        <v>282</v>
      </c>
      <c r="C162" s="150"/>
      <c r="D162" s="120"/>
      <c r="E162" s="121"/>
      <c r="F162" s="122"/>
      <c r="G162" s="112" t="s">
        <v>366</v>
      </c>
      <c r="H162" s="112">
        <v>10</v>
      </c>
      <c r="I162" s="113">
        <v>8.5</v>
      </c>
      <c r="J162" s="100">
        <f t="shared" si="1"/>
        <v>85</v>
      </c>
      <c r="K162" s="101"/>
      <c r="L162" s="102"/>
      <c r="R162" s="98"/>
    </row>
    <row r="163" spans="1:18" ht="35.25" customHeight="1">
      <c r="A163" s="5">
        <f t="shared" si="3"/>
        <v>158</v>
      </c>
      <c r="B163" s="149" t="s">
        <v>283</v>
      </c>
      <c r="C163" s="150"/>
      <c r="D163" s="120"/>
      <c r="E163" s="121"/>
      <c r="F163" s="122"/>
      <c r="G163" s="112" t="s">
        <v>366</v>
      </c>
      <c r="H163" s="112">
        <v>200</v>
      </c>
      <c r="I163" s="113">
        <v>28</v>
      </c>
      <c r="J163" s="100">
        <f t="shared" si="1"/>
        <v>5600</v>
      </c>
      <c r="K163" s="101"/>
      <c r="L163" s="102"/>
      <c r="R163" s="98"/>
    </row>
    <row r="164" spans="1:18" ht="35.25" customHeight="1">
      <c r="A164" s="5">
        <f t="shared" si="3"/>
        <v>159</v>
      </c>
      <c r="B164" s="149" t="s">
        <v>284</v>
      </c>
      <c r="C164" s="150"/>
      <c r="D164" s="120"/>
      <c r="E164" s="121"/>
      <c r="F164" s="122"/>
      <c r="G164" s="112" t="s">
        <v>366</v>
      </c>
      <c r="H164" s="112">
        <v>150</v>
      </c>
      <c r="I164" s="113">
        <v>16</v>
      </c>
      <c r="J164" s="100">
        <f t="shared" si="1"/>
        <v>2400</v>
      </c>
      <c r="K164" s="101"/>
      <c r="L164" s="102"/>
      <c r="R164" s="98"/>
    </row>
    <row r="165" spans="1:18" ht="35.25" customHeight="1">
      <c r="A165" s="5">
        <f t="shared" si="3"/>
        <v>160</v>
      </c>
      <c r="B165" s="149" t="s">
        <v>285</v>
      </c>
      <c r="C165" s="150"/>
      <c r="D165" s="120"/>
      <c r="E165" s="121"/>
      <c r="F165" s="122"/>
      <c r="G165" s="112" t="s">
        <v>366</v>
      </c>
      <c r="H165" s="112">
        <v>100</v>
      </c>
      <c r="I165" s="113">
        <v>16.5</v>
      </c>
      <c r="J165" s="100">
        <f t="shared" si="1"/>
        <v>1650</v>
      </c>
      <c r="K165" s="101"/>
      <c r="L165" s="102"/>
      <c r="R165" s="98"/>
    </row>
    <row r="166" spans="1:18" ht="35.25" customHeight="1">
      <c r="A166" s="5">
        <f t="shared" si="3"/>
        <v>161</v>
      </c>
      <c r="B166" s="149" t="s">
        <v>286</v>
      </c>
      <c r="C166" s="150"/>
      <c r="D166" s="120"/>
      <c r="E166" s="121"/>
      <c r="F166" s="122"/>
      <c r="G166" s="112" t="s">
        <v>366</v>
      </c>
      <c r="H166" s="112">
        <v>10</v>
      </c>
      <c r="I166" s="113">
        <v>163</v>
      </c>
      <c r="J166" s="100">
        <f t="shared" si="1"/>
        <v>1630</v>
      </c>
      <c r="K166" s="101"/>
      <c r="L166" s="102"/>
      <c r="R166" s="98"/>
    </row>
    <row r="167" spans="1:18" ht="35.25" customHeight="1">
      <c r="A167" s="5">
        <f t="shared" si="3"/>
        <v>162</v>
      </c>
      <c r="B167" s="149" t="s">
        <v>287</v>
      </c>
      <c r="C167" s="150"/>
      <c r="D167" s="120"/>
      <c r="E167" s="121"/>
      <c r="F167" s="122"/>
      <c r="G167" s="112" t="s">
        <v>366</v>
      </c>
      <c r="H167" s="112">
        <v>10</v>
      </c>
      <c r="I167" s="113">
        <v>38</v>
      </c>
      <c r="J167" s="100">
        <f t="shared" si="1"/>
        <v>380</v>
      </c>
      <c r="K167" s="101"/>
      <c r="L167" s="102"/>
      <c r="R167" s="98"/>
    </row>
    <row r="168" spans="1:18" ht="35.25" customHeight="1">
      <c r="A168" s="5">
        <f t="shared" si="3"/>
        <v>163</v>
      </c>
      <c r="B168" s="149" t="s">
        <v>288</v>
      </c>
      <c r="C168" s="150"/>
      <c r="D168" s="120"/>
      <c r="E168" s="121"/>
      <c r="F168" s="122"/>
      <c r="G168" s="112" t="s">
        <v>366</v>
      </c>
      <c r="H168" s="112">
        <v>5</v>
      </c>
      <c r="I168" s="113">
        <v>42</v>
      </c>
      <c r="J168" s="100">
        <f t="shared" si="1"/>
        <v>210</v>
      </c>
      <c r="K168" s="101"/>
      <c r="L168" s="102"/>
      <c r="R168" s="98"/>
    </row>
    <row r="169" spans="1:18" ht="35.25" customHeight="1">
      <c r="A169" s="5">
        <f t="shared" si="3"/>
        <v>164</v>
      </c>
      <c r="B169" s="149" t="s">
        <v>289</v>
      </c>
      <c r="C169" s="150"/>
      <c r="D169" s="120"/>
      <c r="E169" s="121"/>
      <c r="F169" s="122"/>
      <c r="G169" s="112" t="s">
        <v>366</v>
      </c>
      <c r="H169" s="112">
        <v>5</v>
      </c>
      <c r="I169" s="113">
        <v>20</v>
      </c>
      <c r="J169" s="100">
        <f t="shared" si="1"/>
        <v>100</v>
      </c>
      <c r="K169" s="101"/>
      <c r="L169" s="102"/>
      <c r="R169" s="98"/>
    </row>
    <row r="170" spans="1:18" ht="35.25" customHeight="1">
      <c r="A170" s="5">
        <f t="shared" si="3"/>
        <v>165</v>
      </c>
      <c r="B170" s="149" t="s">
        <v>290</v>
      </c>
      <c r="C170" s="150"/>
      <c r="D170" s="120"/>
      <c r="E170" s="121"/>
      <c r="F170" s="122"/>
      <c r="G170" s="112" t="s">
        <v>366</v>
      </c>
      <c r="H170" s="112">
        <v>5</v>
      </c>
      <c r="I170" s="113">
        <v>20</v>
      </c>
      <c r="J170" s="100">
        <f t="shared" si="1"/>
        <v>100</v>
      </c>
      <c r="K170" s="101"/>
      <c r="L170" s="102"/>
      <c r="R170" s="98"/>
    </row>
    <row r="171" spans="1:18" ht="35.25" customHeight="1">
      <c r="A171" s="5">
        <f t="shared" si="3"/>
        <v>166</v>
      </c>
      <c r="B171" s="149" t="s">
        <v>291</v>
      </c>
      <c r="C171" s="150"/>
      <c r="D171" s="120"/>
      <c r="E171" s="121"/>
      <c r="F171" s="122"/>
      <c r="G171" s="112" t="s">
        <v>369</v>
      </c>
      <c r="H171" s="112">
        <v>5</v>
      </c>
      <c r="I171" s="113">
        <v>45</v>
      </c>
      <c r="J171" s="100">
        <f t="shared" si="1"/>
        <v>225</v>
      </c>
      <c r="K171" s="101"/>
      <c r="L171" s="102"/>
      <c r="R171" s="98"/>
    </row>
    <row r="172" spans="1:18" ht="35.25" customHeight="1">
      <c r="A172" s="5">
        <f t="shared" si="3"/>
        <v>167</v>
      </c>
      <c r="B172" s="149" t="s">
        <v>292</v>
      </c>
      <c r="C172" s="150"/>
      <c r="D172" s="120"/>
      <c r="E172" s="121"/>
      <c r="F172" s="122"/>
      <c r="G172" s="112" t="s">
        <v>366</v>
      </c>
      <c r="H172" s="112">
        <v>150</v>
      </c>
      <c r="I172" s="113">
        <v>98</v>
      </c>
      <c r="J172" s="100">
        <f t="shared" si="1"/>
        <v>14700</v>
      </c>
      <c r="K172" s="101"/>
      <c r="L172" s="102"/>
      <c r="R172" s="98"/>
    </row>
    <row r="173" spans="1:18" ht="35.25" customHeight="1">
      <c r="A173" s="5">
        <f t="shared" si="3"/>
        <v>168</v>
      </c>
      <c r="B173" s="149" t="s">
        <v>293</v>
      </c>
      <c r="C173" s="150"/>
      <c r="D173" s="120"/>
      <c r="E173" s="121"/>
      <c r="F173" s="122"/>
      <c r="G173" s="112" t="s">
        <v>368</v>
      </c>
      <c r="H173" s="112">
        <v>1</v>
      </c>
      <c r="I173" s="113">
        <v>124</v>
      </c>
      <c r="J173" s="100">
        <f t="shared" si="1"/>
        <v>124</v>
      </c>
      <c r="K173" s="101"/>
      <c r="L173" s="102"/>
      <c r="R173" s="98"/>
    </row>
    <row r="174" spans="1:18" ht="35.25" customHeight="1">
      <c r="A174" s="5">
        <f t="shared" si="3"/>
        <v>169</v>
      </c>
      <c r="B174" s="149" t="s">
        <v>294</v>
      </c>
      <c r="C174" s="150"/>
      <c r="D174" s="120"/>
      <c r="E174" s="121"/>
      <c r="F174" s="122"/>
      <c r="G174" s="112" t="s">
        <v>366</v>
      </c>
      <c r="H174" s="112">
        <v>13</v>
      </c>
      <c r="I174" s="113">
        <v>2.5</v>
      </c>
      <c r="J174" s="100">
        <f t="shared" si="1"/>
        <v>32.5</v>
      </c>
      <c r="K174" s="101"/>
      <c r="L174" s="102"/>
      <c r="R174" s="98"/>
    </row>
    <row r="175" spans="1:18" ht="35.25" customHeight="1">
      <c r="A175" s="5">
        <f t="shared" si="3"/>
        <v>170</v>
      </c>
      <c r="B175" s="149" t="s">
        <v>295</v>
      </c>
      <c r="C175" s="150"/>
      <c r="D175" s="120"/>
      <c r="E175" s="121"/>
      <c r="F175" s="122"/>
      <c r="G175" s="112" t="s">
        <v>366</v>
      </c>
      <c r="H175" s="112">
        <v>5</v>
      </c>
      <c r="I175" s="113">
        <v>27</v>
      </c>
      <c r="J175" s="100">
        <f t="shared" si="1"/>
        <v>135</v>
      </c>
      <c r="K175" s="101"/>
      <c r="L175" s="102"/>
      <c r="R175" s="98"/>
    </row>
    <row r="176" spans="1:18" ht="35.25" customHeight="1">
      <c r="A176" s="5">
        <f t="shared" si="3"/>
        <v>171</v>
      </c>
      <c r="B176" s="149" t="s">
        <v>296</v>
      </c>
      <c r="C176" s="150"/>
      <c r="D176" s="120"/>
      <c r="E176" s="121"/>
      <c r="F176" s="122"/>
      <c r="G176" s="112" t="s">
        <v>366</v>
      </c>
      <c r="H176" s="112">
        <v>10</v>
      </c>
      <c r="I176" s="113">
        <v>53</v>
      </c>
      <c r="J176" s="100">
        <f t="shared" si="1"/>
        <v>530</v>
      </c>
      <c r="K176" s="101"/>
      <c r="L176" s="102"/>
      <c r="R176" s="98"/>
    </row>
    <row r="177" spans="1:18" ht="35.25" customHeight="1">
      <c r="A177" s="5">
        <f t="shared" si="3"/>
        <v>172</v>
      </c>
      <c r="B177" s="149" t="s">
        <v>297</v>
      </c>
      <c r="C177" s="150"/>
      <c r="D177" s="120"/>
      <c r="E177" s="121"/>
      <c r="F177" s="122"/>
      <c r="G177" s="112" t="s">
        <v>366</v>
      </c>
      <c r="H177" s="112">
        <v>5</v>
      </c>
      <c r="I177" s="113">
        <v>110</v>
      </c>
      <c r="J177" s="100">
        <f t="shared" si="1"/>
        <v>550</v>
      </c>
      <c r="K177" s="101"/>
      <c r="L177" s="102"/>
      <c r="R177" s="98"/>
    </row>
    <row r="178" spans="1:18" ht="35.25" customHeight="1">
      <c r="A178" s="5">
        <f t="shared" si="3"/>
        <v>173</v>
      </c>
      <c r="B178" s="149" t="s">
        <v>298</v>
      </c>
      <c r="C178" s="150"/>
      <c r="D178" s="120"/>
      <c r="E178" s="121"/>
      <c r="F178" s="122"/>
      <c r="G178" s="112" t="s">
        <v>366</v>
      </c>
      <c r="H178" s="112">
        <v>5</v>
      </c>
      <c r="I178" s="113">
        <v>390</v>
      </c>
      <c r="J178" s="100">
        <f t="shared" si="1"/>
        <v>1950</v>
      </c>
      <c r="K178" s="101"/>
      <c r="L178" s="102"/>
      <c r="R178" s="98"/>
    </row>
    <row r="179" spans="1:18" ht="35.25" customHeight="1">
      <c r="A179" s="5">
        <f t="shared" si="3"/>
        <v>174</v>
      </c>
      <c r="B179" s="149" t="s">
        <v>299</v>
      </c>
      <c r="C179" s="150"/>
      <c r="D179" s="120"/>
      <c r="E179" s="121"/>
      <c r="F179" s="122"/>
      <c r="G179" s="112" t="s">
        <v>366</v>
      </c>
      <c r="H179" s="112">
        <v>15</v>
      </c>
      <c r="I179" s="113">
        <v>97</v>
      </c>
      <c r="J179" s="100">
        <f t="shared" si="1"/>
        <v>1455</v>
      </c>
      <c r="K179" s="101"/>
      <c r="L179" s="102"/>
      <c r="R179" s="98"/>
    </row>
    <row r="180" spans="1:18" ht="35.25" customHeight="1">
      <c r="A180" s="5">
        <f t="shared" si="3"/>
        <v>175</v>
      </c>
      <c r="B180" s="149" t="s">
        <v>300</v>
      </c>
      <c r="C180" s="150"/>
      <c r="D180" s="120"/>
      <c r="E180" s="121"/>
      <c r="F180" s="122"/>
      <c r="G180" s="112" t="s">
        <v>366</v>
      </c>
      <c r="H180" s="112">
        <v>100</v>
      </c>
      <c r="I180" s="113">
        <v>30.5</v>
      </c>
      <c r="J180" s="100">
        <f t="shared" si="1"/>
        <v>3050</v>
      </c>
      <c r="K180" s="101"/>
      <c r="L180" s="102"/>
      <c r="R180" s="98"/>
    </row>
    <row r="181" spans="1:18" ht="35.25" customHeight="1">
      <c r="A181" s="5">
        <f t="shared" si="3"/>
        <v>176</v>
      </c>
      <c r="B181" s="149" t="s">
        <v>301</v>
      </c>
      <c r="C181" s="150"/>
      <c r="D181" s="120"/>
      <c r="E181" s="121"/>
      <c r="F181" s="122"/>
      <c r="G181" s="112" t="s">
        <v>366</v>
      </c>
      <c r="H181" s="112">
        <v>30</v>
      </c>
      <c r="I181" s="113">
        <v>87</v>
      </c>
      <c r="J181" s="100">
        <f t="shared" si="1"/>
        <v>2610</v>
      </c>
      <c r="K181" s="101"/>
      <c r="L181" s="102"/>
      <c r="R181" s="98"/>
    </row>
    <row r="182" spans="1:18" ht="35.25" customHeight="1">
      <c r="A182" s="5">
        <f t="shared" si="3"/>
        <v>177</v>
      </c>
      <c r="B182" s="149" t="s">
        <v>302</v>
      </c>
      <c r="C182" s="150"/>
      <c r="D182" s="120"/>
      <c r="E182" s="121"/>
      <c r="F182" s="122"/>
      <c r="G182" s="112" t="s">
        <v>366</v>
      </c>
      <c r="H182" s="112">
        <v>6</v>
      </c>
      <c r="I182" s="113">
        <v>177</v>
      </c>
      <c r="J182" s="100">
        <f t="shared" si="1"/>
        <v>1062</v>
      </c>
      <c r="K182" s="101"/>
      <c r="L182" s="102"/>
      <c r="R182" s="98"/>
    </row>
    <row r="183" spans="1:18" ht="35.25" customHeight="1">
      <c r="A183" s="5">
        <f t="shared" si="3"/>
        <v>178</v>
      </c>
      <c r="B183" s="149" t="s">
        <v>303</v>
      </c>
      <c r="C183" s="150"/>
      <c r="D183" s="120"/>
      <c r="E183" s="121"/>
      <c r="F183" s="122"/>
      <c r="G183" s="112" t="s">
        <v>366</v>
      </c>
      <c r="H183" s="112">
        <v>300</v>
      </c>
      <c r="I183" s="113">
        <v>13.8</v>
      </c>
      <c r="J183" s="100">
        <f t="shared" si="1"/>
        <v>4140</v>
      </c>
      <c r="K183" s="101"/>
      <c r="L183" s="102"/>
      <c r="R183" s="98"/>
    </row>
    <row r="184" spans="1:18" ht="35.25" customHeight="1">
      <c r="A184" s="5">
        <f t="shared" si="3"/>
        <v>179</v>
      </c>
      <c r="B184" s="149" t="s">
        <v>304</v>
      </c>
      <c r="C184" s="150"/>
      <c r="D184" s="120"/>
      <c r="E184" s="121"/>
      <c r="F184" s="122"/>
      <c r="G184" s="112" t="s">
        <v>366</v>
      </c>
      <c r="H184" s="112">
        <v>180</v>
      </c>
      <c r="I184" s="113">
        <v>1.84</v>
      </c>
      <c r="J184" s="100">
        <f t="shared" si="1"/>
        <v>331.2</v>
      </c>
      <c r="K184" s="101"/>
      <c r="L184" s="102"/>
      <c r="R184" s="98"/>
    </row>
    <row r="185" spans="1:18" ht="35.25" customHeight="1">
      <c r="A185" s="5">
        <f t="shared" si="3"/>
        <v>180</v>
      </c>
      <c r="B185" s="149" t="s">
        <v>305</v>
      </c>
      <c r="C185" s="150"/>
      <c r="D185" s="120"/>
      <c r="E185" s="121"/>
      <c r="F185" s="122"/>
      <c r="G185" s="112" t="s">
        <v>366</v>
      </c>
      <c r="H185" s="112">
        <v>800</v>
      </c>
      <c r="I185" s="113">
        <v>18.5</v>
      </c>
      <c r="J185" s="100">
        <f t="shared" si="1"/>
        <v>14800</v>
      </c>
      <c r="K185" s="101"/>
      <c r="L185" s="102"/>
      <c r="R185" s="98"/>
    </row>
    <row r="186" spans="1:18" ht="35.25" customHeight="1">
      <c r="A186" s="5">
        <f t="shared" si="3"/>
        <v>181</v>
      </c>
      <c r="B186" s="149" t="s">
        <v>306</v>
      </c>
      <c r="C186" s="150"/>
      <c r="D186" s="120"/>
      <c r="E186" s="121"/>
      <c r="F186" s="122"/>
      <c r="G186" s="112" t="s">
        <v>366</v>
      </c>
      <c r="H186" s="112">
        <v>5</v>
      </c>
      <c r="I186" s="113">
        <v>63</v>
      </c>
      <c r="J186" s="100">
        <f t="shared" si="1"/>
        <v>315</v>
      </c>
      <c r="K186" s="101"/>
      <c r="L186" s="102"/>
      <c r="R186" s="98"/>
    </row>
    <row r="187" spans="1:18" ht="35.25" customHeight="1">
      <c r="A187" s="5">
        <f t="shared" si="3"/>
        <v>182</v>
      </c>
      <c r="B187" s="149" t="s">
        <v>307</v>
      </c>
      <c r="C187" s="150"/>
      <c r="D187" s="120"/>
      <c r="E187" s="121"/>
      <c r="F187" s="122"/>
      <c r="G187" s="112" t="s">
        <v>366</v>
      </c>
      <c r="H187" s="112">
        <v>100</v>
      </c>
      <c r="I187" s="113">
        <v>5.9</v>
      </c>
      <c r="J187" s="100">
        <f t="shared" si="1"/>
        <v>590</v>
      </c>
      <c r="K187" s="101"/>
      <c r="L187" s="102"/>
      <c r="R187" s="98"/>
    </row>
    <row r="188" spans="1:18" ht="35.25" customHeight="1">
      <c r="A188" s="5">
        <f t="shared" si="3"/>
        <v>183</v>
      </c>
      <c r="B188" s="149" t="s">
        <v>308</v>
      </c>
      <c r="C188" s="150"/>
      <c r="D188" s="120"/>
      <c r="E188" s="121"/>
      <c r="F188" s="122"/>
      <c r="G188" s="112" t="s">
        <v>366</v>
      </c>
      <c r="H188" s="112">
        <v>200</v>
      </c>
      <c r="I188" s="113">
        <v>12</v>
      </c>
      <c r="J188" s="100">
        <f t="shared" si="1"/>
        <v>2400</v>
      </c>
      <c r="K188" s="101"/>
      <c r="L188" s="102"/>
      <c r="R188" s="98"/>
    </row>
    <row r="189" spans="1:18" ht="35.25" customHeight="1">
      <c r="A189" s="5">
        <f t="shared" si="3"/>
        <v>184</v>
      </c>
      <c r="B189" s="149" t="s">
        <v>309</v>
      </c>
      <c r="C189" s="150"/>
      <c r="D189" s="120"/>
      <c r="E189" s="121"/>
      <c r="F189" s="122"/>
      <c r="G189" s="112" t="s">
        <v>366</v>
      </c>
      <c r="H189" s="112">
        <v>300</v>
      </c>
      <c r="I189" s="113">
        <v>25</v>
      </c>
      <c r="J189" s="100">
        <f t="shared" si="1"/>
        <v>7500</v>
      </c>
      <c r="K189" s="101"/>
      <c r="L189" s="102"/>
      <c r="R189" s="98"/>
    </row>
    <row r="190" spans="1:18" ht="35.25" customHeight="1">
      <c r="A190" s="5">
        <f t="shared" si="3"/>
        <v>185</v>
      </c>
      <c r="B190" s="149" t="s">
        <v>310</v>
      </c>
      <c r="C190" s="150"/>
      <c r="D190" s="120"/>
      <c r="E190" s="121"/>
      <c r="F190" s="122"/>
      <c r="G190" s="112" t="s">
        <v>366</v>
      </c>
      <c r="H190" s="112">
        <v>200</v>
      </c>
      <c r="I190" s="113">
        <v>12</v>
      </c>
      <c r="J190" s="100">
        <f t="shared" si="1"/>
        <v>2400</v>
      </c>
      <c r="K190" s="101"/>
      <c r="L190" s="102"/>
      <c r="R190" s="98"/>
    </row>
    <row r="191" spans="1:18" ht="35.25" customHeight="1">
      <c r="A191" s="5">
        <f t="shared" si="3"/>
        <v>186</v>
      </c>
      <c r="B191" s="149" t="s">
        <v>311</v>
      </c>
      <c r="C191" s="150"/>
      <c r="D191" s="120"/>
      <c r="E191" s="121"/>
      <c r="F191" s="122"/>
      <c r="G191" s="112" t="s">
        <v>366</v>
      </c>
      <c r="H191" s="112">
        <v>300</v>
      </c>
      <c r="I191" s="113">
        <v>12</v>
      </c>
      <c r="J191" s="100">
        <f t="shared" si="1"/>
        <v>3600</v>
      </c>
      <c r="K191" s="101"/>
      <c r="L191" s="102"/>
      <c r="R191" s="98"/>
    </row>
    <row r="192" spans="1:18" ht="35.25" customHeight="1">
      <c r="A192" s="5">
        <f t="shared" si="3"/>
        <v>187</v>
      </c>
      <c r="B192" s="149" t="s">
        <v>312</v>
      </c>
      <c r="C192" s="150"/>
      <c r="D192" s="120"/>
      <c r="E192" s="121"/>
      <c r="F192" s="122"/>
      <c r="G192" s="112" t="s">
        <v>366</v>
      </c>
      <c r="H192" s="112">
        <v>150</v>
      </c>
      <c r="I192" s="113">
        <v>12</v>
      </c>
      <c r="J192" s="100">
        <f t="shared" si="1"/>
        <v>1800</v>
      </c>
      <c r="K192" s="101"/>
      <c r="L192" s="102"/>
      <c r="R192" s="98"/>
    </row>
    <row r="193" spans="1:18" ht="35.25" customHeight="1">
      <c r="A193" s="5">
        <f t="shared" si="3"/>
        <v>188</v>
      </c>
      <c r="B193" s="149" t="s">
        <v>313</v>
      </c>
      <c r="C193" s="150"/>
      <c r="D193" s="120"/>
      <c r="E193" s="121"/>
      <c r="F193" s="122"/>
      <c r="G193" s="112" t="s">
        <v>366</v>
      </c>
      <c r="H193" s="112">
        <v>200</v>
      </c>
      <c r="I193" s="113">
        <v>12</v>
      </c>
      <c r="J193" s="100">
        <f t="shared" si="1"/>
        <v>2400</v>
      </c>
      <c r="K193" s="101"/>
      <c r="L193" s="102"/>
      <c r="R193" s="98"/>
    </row>
    <row r="194" spans="1:18" ht="35.25" customHeight="1">
      <c r="A194" s="5">
        <f t="shared" si="3"/>
        <v>189</v>
      </c>
      <c r="B194" s="149" t="s">
        <v>314</v>
      </c>
      <c r="C194" s="150"/>
      <c r="D194" s="120"/>
      <c r="E194" s="121"/>
      <c r="F194" s="122"/>
      <c r="G194" s="112" t="s">
        <v>366</v>
      </c>
      <c r="H194" s="112">
        <v>75</v>
      </c>
      <c r="I194" s="113">
        <v>47.5</v>
      </c>
      <c r="J194" s="100">
        <f t="shared" si="1"/>
        <v>3562.5</v>
      </c>
      <c r="K194" s="101"/>
      <c r="L194" s="102"/>
      <c r="R194" s="98"/>
    </row>
    <row r="195" spans="1:18" ht="35.25" customHeight="1">
      <c r="A195" s="5">
        <f t="shared" si="3"/>
        <v>190</v>
      </c>
      <c r="B195" s="149" t="s">
        <v>315</v>
      </c>
      <c r="C195" s="150"/>
      <c r="D195" s="120"/>
      <c r="E195" s="121"/>
      <c r="F195" s="122"/>
      <c r="G195" s="112" t="s">
        <v>366</v>
      </c>
      <c r="H195" s="112">
        <v>500</v>
      </c>
      <c r="I195" s="113">
        <v>28</v>
      </c>
      <c r="J195" s="100">
        <f t="shared" si="1"/>
        <v>14000</v>
      </c>
      <c r="K195" s="101"/>
      <c r="L195" s="102"/>
      <c r="R195" s="98"/>
    </row>
    <row r="196" spans="1:18" ht="35.25" customHeight="1">
      <c r="A196" s="5">
        <f t="shared" si="3"/>
        <v>191</v>
      </c>
      <c r="B196" s="149" t="s">
        <v>316</v>
      </c>
      <c r="C196" s="150"/>
      <c r="D196" s="120"/>
      <c r="E196" s="121"/>
      <c r="F196" s="122"/>
      <c r="G196" s="112" t="s">
        <v>366</v>
      </c>
      <c r="H196" s="112">
        <v>35</v>
      </c>
      <c r="I196" s="113">
        <v>18</v>
      </c>
      <c r="J196" s="100">
        <f t="shared" si="1"/>
        <v>630</v>
      </c>
      <c r="K196" s="101"/>
      <c r="L196" s="102"/>
      <c r="R196" s="98"/>
    </row>
    <row r="197" spans="1:18" ht="35.25" customHeight="1">
      <c r="A197" s="5">
        <f t="shared" si="3"/>
        <v>192</v>
      </c>
      <c r="B197" s="149" t="s">
        <v>317</v>
      </c>
      <c r="C197" s="150"/>
      <c r="D197" s="120"/>
      <c r="E197" s="121"/>
      <c r="F197" s="122"/>
      <c r="G197" s="112" t="s">
        <v>366</v>
      </c>
      <c r="H197" s="112">
        <v>25</v>
      </c>
      <c r="I197" s="113">
        <v>9.5</v>
      </c>
      <c r="J197" s="100">
        <f t="shared" si="1"/>
        <v>237.5</v>
      </c>
      <c r="K197" s="101"/>
      <c r="L197" s="102"/>
      <c r="R197" s="98"/>
    </row>
    <row r="198" spans="1:18" ht="35.25" customHeight="1">
      <c r="A198" s="5">
        <f t="shared" ref="A198:A245" si="4">ROW(A193)</f>
        <v>193</v>
      </c>
      <c r="B198" s="149" t="s">
        <v>318</v>
      </c>
      <c r="C198" s="150"/>
      <c r="D198" s="120"/>
      <c r="E198" s="121"/>
      <c r="F198" s="122"/>
      <c r="G198" s="112" t="s">
        <v>366</v>
      </c>
      <c r="H198" s="112">
        <v>4</v>
      </c>
      <c r="I198" s="113">
        <v>3200</v>
      </c>
      <c r="J198" s="100">
        <f t="shared" si="1"/>
        <v>12800</v>
      </c>
      <c r="K198" s="101"/>
      <c r="L198" s="102"/>
      <c r="R198" s="98"/>
    </row>
    <row r="199" spans="1:18" ht="35.25" customHeight="1">
      <c r="A199" s="5">
        <f t="shared" si="4"/>
        <v>194</v>
      </c>
      <c r="B199" s="149" t="s">
        <v>319</v>
      </c>
      <c r="C199" s="150"/>
      <c r="D199" s="120"/>
      <c r="E199" s="121"/>
      <c r="F199" s="122"/>
      <c r="G199" s="112" t="s">
        <v>366</v>
      </c>
      <c r="H199" s="112">
        <v>2</v>
      </c>
      <c r="I199" s="113">
        <v>21</v>
      </c>
      <c r="J199" s="100">
        <f t="shared" si="1"/>
        <v>42</v>
      </c>
      <c r="K199" s="101"/>
      <c r="L199" s="102"/>
      <c r="R199" s="98"/>
    </row>
    <row r="200" spans="1:18" ht="35.25" customHeight="1">
      <c r="A200" s="5">
        <f t="shared" si="4"/>
        <v>195</v>
      </c>
      <c r="B200" s="149" t="s">
        <v>320</v>
      </c>
      <c r="C200" s="150"/>
      <c r="D200" s="120"/>
      <c r="E200" s="121"/>
      <c r="F200" s="122"/>
      <c r="G200" s="112" t="s">
        <v>366</v>
      </c>
      <c r="H200" s="112">
        <v>36</v>
      </c>
      <c r="I200" s="113">
        <v>65</v>
      </c>
      <c r="J200" s="100">
        <f t="shared" si="1"/>
        <v>2340</v>
      </c>
      <c r="K200" s="101"/>
      <c r="L200" s="102"/>
      <c r="R200" s="98"/>
    </row>
    <row r="201" spans="1:18" ht="35.25" customHeight="1">
      <c r="A201" s="5">
        <f t="shared" si="4"/>
        <v>196</v>
      </c>
      <c r="B201" s="149" t="s">
        <v>321</v>
      </c>
      <c r="C201" s="150"/>
      <c r="D201" s="120"/>
      <c r="E201" s="121"/>
      <c r="F201" s="122"/>
      <c r="G201" s="112" t="s">
        <v>367</v>
      </c>
      <c r="H201" s="112">
        <v>4</v>
      </c>
      <c r="I201" s="113">
        <v>12</v>
      </c>
      <c r="J201" s="100">
        <f t="shared" si="1"/>
        <v>48</v>
      </c>
      <c r="K201" s="101"/>
      <c r="L201" s="102"/>
      <c r="R201" s="98"/>
    </row>
    <row r="202" spans="1:18" ht="35.25" customHeight="1">
      <c r="A202" s="5">
        <f t="shared" si="4"/>
        <v>197</v>
      </c>
      <c r="B202" s="149" t="s">
        <v>322</v>
      </c>
      <c r="C202" s="150"/>
      <c r="D202" s="120"/>
      <c r="E202" s="121"/>
      <c r="F202" s="122"/>
      <c r="G202" s="112" t="s">
        <v>366</v>
      </c>
      <c r="H202" s="112">
        <v>10</v>
      </c>
      <c r="I202" s="113">
        <v>92</v>
      </c>
      <c r="J202" s="100">
        <f t="shared" si="1"/>
        <v>920</v>
      </c>
      <c r="K202" s="101"/>
      <c r="L202" s="102"/>
      <c r="R202" s="98"/>
    </row>
    <row r="203" spans="1:18" ht="35.25" customHeight="1">
      <c r="A203" s="5">
        <f t="shared" si="4"/>
        <v>198</v>
      </c>
      <c r="B203" s="149" t="s">
        <v>323</v>
      </c>
      <c r="C203" s="150"/>
      <c r="D203" s="120"/>
      <c r="E203" s="121"/>
      <c r="F203" s="122"/>
      <c r="G203" s="112" t="s">
        <v>366</v>
      </c>
      <c r="H203" s="112">
        <v>10</v>
      </c>
      <c r="I203" s="113">
        <v>38</v>
      </c>
      <c r="J203" s="100">
        <f t="shared" si="1"/>
        <v>380</v>
      </c>
      <c r="K203" s="101"/>
      <c r="L203" s="102"/>
      <c r="R203" s="98"/>
    </row>
    <row r="204" spans="1:18" ht="35.25" customHeight="1">
      <c r="A204" s="5">
        <f t="shared" si="4"/>
        <v>199</v>
      </c>
      <c r="B204" s="149" t="s">
        <v>324</v>
      </c>
      <c r="C204" s="150"/>
      <c r="D204" s="120"/>
      <c r="E204" s="121"/>
      <c r="F204" s="122"/>
      <c r="G204" s="112" t="s">
        <v>366</v>
      </c>
      <c r="H204" s="112">
        <v>10</v>
      </c>
      <c r="I204" s="113">
        <v>44</v>
      </c>
      <c r="J204" s="100">
        <f t="shared" si="1"/>
        <v>440</v>
      </c>
      <c r="K204" s="101"/>
      <c r="L204" s="102"/>
      <c r="R204" s="98"/>
    </row>
    <row r="205" spans="1:18" ht="35.25" customHeight="1">
      <c r="A205" s="5">
        <f t="shared" si="4"/>
        <v>200</v>
      </c>
      <c r="B205" s="149" t="s">
        <v>325</v>
      </c>
      <c r="C205" s="150"/>
      <c r="D205" s="120"/>
      <c r="E205" s="121"/>
      <c r="F205" s="122"/>
      <c r="G205" s="112" t="s">
        <v>366</v>
      </c>
      <c r="H205" s="112">
        <v>5</v>
      </c>
      <c r="I205" s="113">
        <v>275</v>
      </c>
      <c r="J205" s="100">
        <f t="shared" si="1"/>
        <v>1375</v>
      </c>
      <c r="K205" s="101"/>
      <c r="L205" s="102"/>
      <c r="R205" s="98"/>
    </row>
    <row r="206" spans="1:18" ht="35.25" customHeight="1">
      <c r="A206" s="5">
        <f t="shared" si="4"/>
        <v>201</v>
      </c>
      <c r="B206" s="149" t="s">
        <v>326</v>
      </c>
      <c r="C206" s="150"/>
      <c r="D206" s="120"/>
      <c r="E206" s="121"/>
      <c r="F206" s="122"/>
      <c r="G206" s="112" t="s">
        <v>369</v>
      </c>
      <c r="H206" s="112">
        <v>10</v>
      </c>
      <c r="I206" s="113">
        <v>32</v>
      </c>
      <c r="J206" s="100">
        <f t="shared" si="1"/>
        <v>320</v>
      </c>
      <c r="K206" s="101"/>
      <c r="L206" s="102"/>
      <c r="R206" s="98"/>
    </row>
    <row r="207" spans="1:18" ht="35.25" customHeight="1">
      <c r="A207" s="5">
        <f t="shared" si="4"/>
        <v>202</v>
      </c>
      <c r="B207" s="149" t="s">
        <v>327</v>
      </c>
      <c r="C207" s="150"/>
      <c r="D207" s="120"/>
      <c r="E207" s="121"/>
      <c r="F207" s="122"/>
      <c r="G207" s="112" t="s">
        <v>366</v>
      </c>
      <c r="H207" s="112">
        <v>10</v>
      </c>
      <c r="I207" s="113">
        <v>38.5</v>
      </c>
      <c r="J207" s="100">
        <f t="shared" si="1"/>
        <v>385</v>
      </c>
      <c r="K207" s="101"/>
      <c r="L207" s="102"/>
      <c r="R207" s="98"/>
    </row>
    <row r="208" spans="1:18" ht="35.25" customHeight="1">
      <c r="A208" s="5">
        <f t="shared" si="4"/>
        <v>203</v>
      </c>
      <c r="B208" s="149" t="s">
        <v>328</v>
      </c>
      <c r="C208" s="150"/>
      <c r="D208" s="120"/>
      <c r="E208" s="121"/>
      <c r="F208" s="122"/>
      <c r="G208" s="112" t="s">
        <v>368</v>
      </c>
      <c r="H208" s="112">
        <v>6</v>
      </c>
      <c r="I208" s="113">
        <v>60</v>
      </c>
      <c r="J208" s="100">
        <f t="shared" si="1"/>
        <v>360</v>
      </c>
      <c r="K208" s="101"/>
      <c r="L208" s="102"/>
      <c r="R208" s="98"/>
    </row>
    <row r="209" spans="1:18" ht="35.25" customHeight="1">
      <c r="A209" s="5">
        <f t="shared" si="4"/>
        <v>204</v>
      </c>
      <c r="B209" s="149" t="s">
        <v>329</v>
      </c>
      <c r="C209" s="150"/>
      <c r="D209" s="120"/>
      <c r="E209" s="121"/>
      <c r="F209" s="122"/>
      <c r="G209" s="112" t="s">
        <v>366</v>
      </c>
      <c r="H209" s="112">
        <v>6</v>
      </c>
      <c r="I209" s="113">
        <v>110</v>
      </c>
      <c r="J209" s="100">
        <f t="shared" si="1"/>
        <v>660</v>
      </c>
      <c r="K209" s="101"/>
      <c r="L209" s="102"/>
      <c r="R209" s="98"/>
    </row>
    <row r="210" spans="1:18" ht="35.25" customHeight="1">
      <c r="A210" s="5">
        <f t="shared" si="4"/>
        <v>205</v>
      </c>
      <c r="B210" s="149" t="s">
        <v>330</v>
      </c>
      <c r="C210" s="150"/>
      <c r="D210" s="120"/>
      <c r="E210" s="121"/>
      <c r="F210" s="122"/>
      <c r="G210" s="112" t="s">
        <v>366</v>
      </c>
      <c r="H210" s="112">
        <v>4</v>
      </c>
      <c r="I210" s="113">
        <v>18</v>
      </c>
      <c r="J210" s="100">
        <f t="shared" si="1"/>
        <v>72</v>
      </c>
      <c r="K210" s="101"/>
      <c r="L210" s="102"/>
      <c r="R210" s="98"/>
    </row>
    <row r="211" spans="1:18" ht="35.25" customHeight="1">
      <c r="A211" s="5">
        <f t="shared" si="4"/>
        <v>206</v>
      </c>
      <c r="B211" s="149" t="s">
        <v>331</v>
      </c>
      <c r="C211" s="150"/>
      <c r="D211" s="120"/>
      <c r="E211" s="121"/>
      <c r="F211" s="122"/>
      <c r="G211" s="112" t="s">
        <v>366</v>
      </c>
      <c r="H211" s="112">
        <v>10</v>
      </c>
      <c r="I211" s="113">
        <v>25</v>
      </c>
      <c r="J211" s="100">
        <f t="shared" si="1"/>
        <v>250</v>
      </c>
      <c r="K211" s="101"/>
      <c r="L211" s="102"/>
      <c r="R211" s="98"/>
    </row>
    <row r="212" spans="1:18" ht="35.25" customHeight="1">
      <c r="A212" s="5">
        <f t="shared" si="4"/>
        <v>207</v>
      </c>
      <c r="B212" s="149" t="s">
        <v>332</v>
      </c>
      <c r="C212" s="150"/>
      <c r="D212" s="120"/>
      <c r="E212" s="121"/>
      <c r="F212" s="122"/>
      <c r="G212" s="112" t="s">
        <v>366</v>
      </c>
      <c r="H212" s="112">
        <v>6</v>
      </c>
      <c r="I212" s="113">
        <v>35</v>
      </c>
      <c r="J212" s="100">
        <f t="shared" si="1"/>
        <v>210</v>
      </c>
      <c r="K212" s="101"/>
      <c r="L212" s="102"/>
      <c r="R212" s="98"/>
    </row>
    <row r="213" spans="1:18" ht="35.25" customHeight="1">
      <c r="A213" s="5">
        <f t="shared" si="4"/>
        <v>208</v>
      </c>
      <c r="B213" s="149" t="s">
        <v>333</v>
      </c>
      <c r="C213" s="150"/>
      <c r="D213" s="120"/>
      <c r="E213" s="121"/>
      <c r="F213" s="122"/>
      <c r="G213" s="112" t="s">
        <v>366</v>
      </c>
      <c r="H213" s="112">
        <v>100</v>
      </c>
      <c r="I213" s="113">
        <v>4</v>
      </c>
      <c r="J213" s="100">
        <f t="shared" si="1"/>
        <v>400</v>
      </c>
      <c r="K213" s="101"/>
      <c r="L213" s="102"/>
      <c r="R213" s="98"/>
    </row>
    <row r="214" spans="1:18" ht="35.25" customHeight="1">
      <c r="A214" s="5">
        <f t="shared" si="4"/>
        <v>209</v>
      </c>
      <c r="B214" s="149" t="s">
        <v>334</v>
      </c>
      <c r="C214" s="150"/>
      <c r="D214" s="120"/>
      <c r="E214" s="121"/>
      <c r="F214" s="122"/>
      <c r="G214" s="112" t="s">
        <v>366</v>
      </c>
      <c r="H214" s="112">
        <v>30</v>
      </c>
      <c r="I214" s="113">
        <v>6</v>
      </c>
      <c r="J214" s="100">
        <f t="shared" si="1"/>
        <v>180</v>
      </c>
      <c r="K214" s="101"/>
      <c r="L214" s="102"/>
      <c r="R214" s="98"/>
    </row>
    <row r="215" spans="1:18" ht="35.25" customHeight="1">
      <c r="A215" s="5">
        <f t="shared" si="4"/>
        <v>210</v>
      </c>
      <c r="B215" s="149" t="s">
        <v>335</v>
      </c>
      <c r="C215" s="150"/>
      <c r="D215" s="120"/>
      <c r="E215" s="121"/>
      <c r="F215" s="122"/>
      <c r="G215" s="112" t="s">
        <v>366</v>
      </c>
      <c r="H215" s="112">
        <v>36</v>
      </c>
      <c r="I215" s="113">
        <v>10.5</v>
      </c>
      <c r="J215" s="100">
        <f t="shared" si="1"/>
        <v>378</v>
      </c>
      <c r="K215" s="101"/>
      <c r="L215" s="102"/>
      <c r="R215" s="98"/>
    </row>
    <row r="216" spans="1:18" ht="35.25" customHeight="1">
      <c r="A216" s="5">
        <f t="shared" si="4"/>
        <v>211</v>
      </c>
      <c r="B216" s="149" t="s">
        <v>336</v>
      </c>
      <c r="C216" s="150"/>
      <c r="D216" s="120"/>
      <c r="E216" s="121"/>
      <c r="F216" s="122"/>
      <c r="G216" s="112" t="s">
        <v>366</v>
      </c>
      <c r="H216" s="112">
        <v>6</v>
      </c>
      <c r="I216" s="113">
        <v>230</v>
      </c>
      <c r="J216" s="100">
        <f t="shared" si="1"/>
        <v>1380</v>
      </c>
      <c r="K216" s="101"/>
      <c r="L216" s="102"/>
      <c r="R216" s="98"/>
    </row>
    <row r="217" spans="1:18" ht="35.25" customHeight="1">
      <c r="A217" s="5">
        <f t="shared" si="4"/>
        <v>212</v>
      </c>
      <c r="B217" s="149" t="s">
        <v>337</v>
      </c>
      <c r="C217" s="150"/>
      <c r="D217" s="120"/>
      <c r="E217" s="121"/>
      <c r="F217" s="122"/>
      <c r="G217" s="112" t="s">
        <v>366</v>
      </c>
      <c r="H217" s="112">
        <v>4</v>
      </c>
      <c r="I217" s="113">
        <v>230</v>
      </c>
      <c r="J217" s="100">
        <f t="shared" si="1"/>
        <v>920</v>
      </c>
      <c r="K217" s="101"/>
      <c r="L217" s="102"/>
      <c r="R217" s="98"/>
    </row>
    <row r="218" spans="1:18" ht="35.25" customHeight="1">
      <c r="A218" s="5">
        <f t="shared" si="4"/>
        <v>213</v>
      </c>
      <c r="B218" s="149" t="s">
        <v>338</v>
      </c>
      <c r="C218" s="150"/>
      <c r="D218" s="120"/>
      <c r="E218" s="121"/>
      <c r="F218" s="122"/>
      <c r="G218" s="112" t="s">
        <v>366</v>
      </c>
      <c r="H218" s="112">
        <v>3</v>
      </c>
      <c r="I218" s="113">
        <v>230</v>
      </c>
      <c r="J218" s="100">
        <f t="shared" si="1"/>
        <v>690</v>
      </c>
      <c r="K218" s="101"/>
      <c r="L218" s="102"/>
      <c r="R218" s="98"/>
    </row>
    <row r="219" spans="1:18" ht="35.25" customHeight="1">
      <c r="A219" s="5">
        <f t="shared" si="4"/>
        <v>214</v>
      </c>
      <c r="B219" s="149" t="s">
        <v>339</v>
      </c>
      <c r="C219" s="150"/>
      <c r="D219" s="120"/>
      <c r="E219" s="121"/>
      <c r="F219" s="122"/>
      <c r="G219" s="112" t="s">
        <v>367</v>
      </c>
      <c r="H219" s="112">
        <v>10</v>
      </c>
      <c r="I219" s="113">
        <v>230</v>
      </c>
      <c r="J219" s="100">
        <f t="shared" si="1"/>
        <v>2300</v>
      </c>
      <c r="K219" s="101"/>
      <c r="L219" s="102"/>
      <c r="R219" s="98"/>
    </row>
    <row r="220" spans="1:18" ht="35.25" customHeight="1">
      <c r="A220" s="5">
        <f t="shared" si="4"/>
        <v>215</v>
      </c>
      <c r="B220" s="149" t="s">
        <v>340</v>
      </c>
      <c r="C220" s="150"/>
      <c r="D220" s="120"/>
      <c r="E220" s="121"/>
      <c r="F220" s="122"/>
      <c r="G220" s="112" t="s">
        <v>366</v>
      </c>
      <c r="H220" s="112">
        <v>6</v>
      </c>
      <c r="I220" s="113">
        <v>265</v>
      </c>
      <c r="J220" s="100">
        <f t="shared" si="1"/>
        <v>1590</v>
      </c>
      <c r="K220" s="101"/>
      <c r="L220" s="102"/>
      <c r="R220" s="98"/>
    </row>
    <row r="221" spans="1:18" ht="35.25" customHeight="1">
      <c r="A221" s="5">
        <f t="shared" si="4"/>
        <v>216</v>
      </c>
      <c r="B221" s="149" t="s">
        <v>341</v>
      </c>
      <c r="C221" s="150"/>
      <c r="D221" s="120"/>
      <c r="E221" s="121"/>
      <c r="F221" s="122"/>
      <c r="G221" s="112" t="s">
        <v>366</v>
      </c>
      <c r="H221" s="112">
        <v>10</v>
      </c>
      <c r="I221" s="113">
        <v>298</v>
      </c>
      <c r="J221" s="100">
        <f t="shared" si="1"/>
        <v>2980</v>
      </c>
      <c r="K221" s="101"/>
      <c r="L221" s="102"/>
      <c r="R221" s="98"/>
    </row>
    <row r="222" spans="1:18" ht="35.25" customHeight="1">
      <c r="A222" s="5">
        <f t="shared" si="4"/>
        <v>217</v>
      </c>
      <c r="B222" s="149" t="s">
        <v>342</v>
      </c>
      <c r="C222" s="150"/>
      <c r="D222" s="120"/>
      <c r="E222" s="121"/>
      <c r="F222" s="122"/>
      <c r="G222" s="112" t="s">
        <v>366</v>
      </c>
      <c r="H222" s="112">
        <v>2</v>
      </c>
      <c r="I222" s="113">
        <v>612</v>
      </c>
      <c r="J222" s="100">
        <f t="shared" si="1"/>
        <v>1224</v>
      </c>
      <c r="K222" s="101"/>
      <c r="L222" s="102"/>
      <c r="R222" s="98"/>
    </row>
    <row r="223" spans="1:18" ht="35.25" customHeight="1">
      <c r="A223" s="5">
        <f t="shared" si="4"/>
        <v>218</v>
      </c>
      <c r="B223" s="149" t="s">
        <v>343</v>
      </c>
      <c r="C223" s="150"/>
      <c r="D223" s="120"/>
      <c r="E223" s="121"/>
      <c r="F223" s="122"/>
      <c r="G223" s="112" t="s">
        <v>366</v>
      </c>
      <c r="H223" s="112">
        <v>40</v>
      </c>
      <c r="I223" s="113">
        <v>5.4</v>
      </c>
      <c r="J223" s="100">
        <f t="shared" si="1"/>
        <v>216</v>
      </c>
      <c r="K223" s="101"/>
      <c r="L223" s="102"/>
      <c r="R223" s="98"/>
    </row>
    <row r="224" spans="1:18" ht="35.25" customHeight="1">
      <c r="A224" s="5">
        <f t="shared" si="4"/>
        <v>219</v>
      </c>
      <c r="B224" s="149" t="s">
        <v>344</v>
      </c>
      <c r="C224" s="150"/>
      <c r="D224" s="120"/>
      <c r="E224" s="121"/>
      <c r="F224" s="122"/>
      <c r="G224" s="112" t="s">
        <v>366</v>
      </c>
      <c r="H224" s="112">
        <v>1</v>
      </c>
      <c r="I224" s="113">
        <v>480</v>
      </c>
      <c r="J224" s="100">
        <f t="shared" si="1"/>
        <v>480</v>
      </c>
      <c r="K224" s="101"/>
      <c r="L224" s="102"/>
      <c r="R224" s="98"/>
    </row>
    <row r="225" spans="1:18" ht="35.25" customHeight="1">
      <c r="A225" s="5">
        <f t="shared" si="4"/>
        <v>220</v>
      </c>
      <c r="B225" s="149" t="s">
        <v>345</v>
      </c>
      <c r="C225" s="150"/>
      <c r="D225" s="120"/>
      <c r="E225" s="121"/>
      <c r="F225" s="122"/>
      <c r="G225" s="112" t="s">
        <v>366</v>
      </c>
      <c r="H225" s="112">
        <v>300</v>
      </c>
      <c r="I225" s="113">
        <v>36</v>
      </c>
      <c r="J225" s="100">
        <f t="shared" si="1"/>
        <v>10800</v>
      </c>
      <c r="K225" s="101"/>
      <c r="L225" s="102"/>
      <c r="R225" s="98"/>
    </row>
    <row r="226" spans="1:18" ht="35.25" customHeight="1">
      <c r="A226" s="5">
        <f t="shared" si="4"/>
        <v>221</v>
      </c>
      <c r="B226" s="149" t="s">
        <v>346</v>
      </c>
      <c r="C226" s="150"/>
      <c r="D226" s="120"/>
      <c r="E226" s="121"/>
      <c r="F226" s="122"/>
      <c r="G226" s="112" t="s">
        <v>366</v>
      </c>
      <c r="H226" s="112">
        <v>24</v>
      </c>
      <c r="I226" s="113">
        <v>39</v>
      </c>
      <c r="J226" s="100">
        <f t="shared" si="1"/>
        <v>936</v>
      </c>
      <c r="K226" s="101"/>
      <c r="L226" s="102"/>
      <c r="R226" s="98"/>
    </row>
    <row r="227" spans="1:18" ht="35.25" customHeight="1">
      <c r="A227" s="5">
        <f t="shared" si="4"/>
        <v>222</v>
      </c>
      <c r="B227" s="149" t="s">
        <v>347</v>
      </c>
      <c r="C227" s="150"/>
      <c r="D227" s="120"/>
      <c r="E227" s="121"/>
      <c r="F227" s="122"/>
      <c r="G227" s="112" t="s">
        <v>366</v>
      </c>
      <c r="H227" s="112">
        <v>11</v>
      </c>
      <c r="I227" s="113">
        <v>927</v>
      </c>
      <c r="J227" s="100">
        <f t="shared" si="1"/>
        <v>10197</v>
      </c>
      <c r="K227" s="101"/>
      <c r="L227" s="102"/>
      <c r="R227" s="98"/>
    </row>
    <row r="228" spans="1:18" ht="35.25" customHeight="1">
      <c r="A228" s="5">
        <f t="shared" si="4"/>
        <v>223</v>
      </c>
      <c r="B228" s="149" t="s">
        <v>348</v>
      </c>
      <c r="C228" s="150"/>
      <c r="D228" s="120"/>
      <c r="E228" s="121"/>
      <c r="F228" s="122"/>
      <c r="G228" s="112" t="s">
        <v>366</v>
      </c>
      <c r="H228" s="112">
        <v>2</v>
      </c>
      <c r="I228" s="113">
        <v>830</v>
      </c>
      <c r="J228" s="100">
        <f t="shared" si="1"/>
        <v>1660</v>
      </c>
      <c r="K228" s="101"/>
      <c r="L228" s="102"/>
      <c r="R228" s="98"/>
    </row>
    <row r="229" spans="1:18" ht="35.25" customHeight="1">
      <c r="A229" s="5">
        <f t="shared" si="4"/>
        <v>224</v>
      </c>
      <c r="B229" s="149" t="s">
        <v>349</v>
      </c>
      <c r="C229" s="150"/>
      <c r="D229" s="120"/>
      <c r="E229" s="121"/>
      <c r="F229" s="122"/>
      <c r="G229" s="112" t="s">
        <v>366</v>
      </c>
      <c r="H229" s="112">
        <v>16</v>
      </c>
      <c r="I229" s="113">
        <v>11</v>
      </c>
      <c r="J229" s="100">
        <f t="shared" si="1"/>
        <v>176</v>
      </c>
      <c r="K229" s="101"/>
      <c r="L229" s="102"/>
      <c r="R229" s="98"/>
    </row>
    <row r="230" spans="1:18" ht="35.25" customHeight="1">
      <c r="A230" s="5">
        <f t="shared" si="4"/>
        <v>225</v>
      </c>
      <c r="B230" s="149" t="s">
        <v>350</v>
      </c>
      <c r="C230" s="150"/>
      <c r="D230" s="120"/>
      <c r="E230" s="121"/>
      <c r="F230" s="122"/>
      <c r="G230" s="112" t="s">
        <v>366</v>
      </c>
      <c r="H230" s="112">
        <v>500</v>
      </c>
      <c r="I230" s="113">
        <v>7.8</v>
      </c>
      <c r="J230" s="100">
        <f t="shared" si="1"/>
        <v>3900</v>
      </c>
      <c r="K230" s="101"/>
      <c r="L230" s="102"/>
      <c r="R230" s="98"/>
    </row>
    <row r="231" spans="1:18" ht="35.25" customHeight="1">
      <c r="A231" s="5">
        <f t="shared" si="4"/>
        <v>226</v>
      </c>
      <c r="B231" s="149" t="s">
        <v>351</v>
      </c>
      <c r="C231" s="150"/>
      <c r="D231" s="120"/>
      <c r="E231" s="121"/>
      <c r="F231" s="122"/>
      <c r="G231" s="112" t="s">
        <v>366</v>
      </c>
      <c r="H231" s="112">
        <v>200</v>
      </c>
      <c r="I231" s="113">
        <v>9.5</v>
      </c>
      <c r="J231" s="100">
        <f t="shared" si="1"/>
        <v>1900</v>
      </c>
      <c r="K231" s="101"/>
      <c r="L231" s="102"/>
      <c r="R231" s="98"/>
    </row>
    <row r="232" spans="1:18" ht="35.25" customHeight="1">
      <c r="A232" s="5">
        <f t="shared" si="4"/>
        <v>227</v>
      </c>
      <c r="B232" s="149" t="s">
        <v>352</v>
      </c>
      <c r="C232" s="150"/>
      <c r="D232" s="120"/>
      <c r="E232" s="121"/>
      <c r="F232" s="122"/>
      <c r="G232" s="112" t="s">
        <v>366</v>
      </c>
      <c r="H232" s="112">
        <v>480</v>
      </c>
      <c r="I232" s="113">
        <v>4.9000000000000004</v>
      </c>
      <c r="J232" s="100">
        <f t="shared" si="1"/>
        <v>2352</v>
      </c>
      <c r="K232" s="101"/>
      <c r="L232" s="102"/>
      <c r="R232" s="98"/>
    </row>
    <row r="233" spans="1:18" ht="35.25" customHeight="1">
      <c r="A233" s="5">
        <f t="shared" si="4"/>
        <v>228</v>
      </c>
      <c r="B233" s="149" t="s">
        <v>353</v>
      </c>
      <c r="C233" s="150"/>
      <c r="D233" s="120"/>
      <c r="E233" s="121"/>
      <c r="F233" s="122"/>
      <c r="G233" s="112" t="s">
        <v>366</v>
      </c>
      <c r="H233" s="112">
        <v>240</v>
      </c>
      <c r="I233" s="113">
        <v>4.9000000000000004</v>
      </c>
      <c r="J233" s="100">
        <f t="shared" si="1"/>
        <v>1176</v>
      </c>
      <c r="K233" s="101"/>
      <c r="L233" s="102"/>
      <c r="R233" s="98"/>
    </row>
    <row r="234" spans="1:18" ht="35.25" customHeight="1">
      <c r="A234" s="5">
        <f t="shared" si="4"/>
        <v>229</v>
      </c>
      <c r="B234" s="149" t="s">
        <v>354</v>
      </c>
      <c r="C234" s="150"/>
      <c r="D234" s="120"/>
      <c r="E234" s="121"/>
      <c r="F234" s="122"/>
      <c r="G234" s="112" t="s">
        <v>367</v>
      </c>
      <c r="H234" s="112">
        <v>680</v>
      </c>
      <c r="I234" s="113">
        <v>2.15</v>
      </c>
      <c r="J234" s="100">
        <f t="shared" si="1"/>
        <v>1462</v>
      </c>
      <c r="K234" s="101"/>
      <c r="L234" s="102"/>
      <c r="R234" s="98"/>
    </row>
    <row r="235" spans="1:18" ht="35.25" customHeight="1">
      <c r="A235" s="5">
        <f t="shared" si="4"/>
        <v>230</v>
      </c>
      <c r="B235" s="149" t="s">
        <v>355</v>
      </c>
      <c r="C235" s="150"/>
      <c r="D235" s="120"/>
      <c r="E235" s="121"/>
      <c r="F235" s="122"/>
      <c r="G235" s="112" t="s">
        <v>366</v>
      </c>
      <c r="H235" s="112">
        <v>120</v>
      </c>
      <c r="I235" s="113">
        <v>2</v>
      </c>
      <c r="J235" s="100">
        <f t="shared" si="1"/>
        <v>240</v>
      </c>
      <c r="K235" s="101"/>
      <c r="L235" s="102"/>
      <c r="R235" s="98"/>
    </row>
    <row r="236" spans="1:18" ht="35.25" customHeight="1">
      <c r="A236" s="5">
        <f t="shared" si="4"/>
        <v>231</v>
      </c>
      <c r="B236" s="149" t="s">
        <v>356</v>
      </c>
      <c r="C236" s="150"/>
      <c r="D236" s="120"/>
      <c r="E236" s="121"/>
      <c r="F236" s="122"/>
      <c r="G236" s="112" t="s">
        <v>366</v>
      </c>
      <c r="H236" s="112">
        <v>96</v>
      </c>
      <c r="I236" s="113">
        <v>3.5</v>
      </c>
      <c r="J236" s="100">
        <f t="shared" si="1"/>
        <v>336</v>
      </c>
      <c r="K236" s="101"/>
      <c r="L236" s="102"/>
      <c r="R236" s="98"/>
    </row>
    <row r="237" spans="1:18" ht="35.25" customHeight="1">
      <c r="A237" s="5">
        <f t="shared" si="4"/>
        <v>232</v>
      </c>
      <c r="B237" s="149" t="s">
        <v>357</v>
      </c>
      <c r="C237" s="150"/>
      <c r="D237" s="120"/>
      <c r="E237" s="121"/>
      <c r="F237" s="122"/>
      <c r="G237" s="112" t="s">
        <v>366</v>
      </c>
      <c r="H237" s="112">
        <v>280</v>
      </c>
      <c r="I237" s="113">
        <v>2.7</v>
      </c>
      <c r="J237" s="100">
        <f t="shared" si="1"/>
        <v>756</v>
      </c>
      <c r="K237" s="101"/>
      <c r="L237" s="102"/>
      <c r="R237" s="98"/>
    </row>
    <row r="238" spans="1:18" ht="35.25" customHeight="1">
      <c r="A238" s="5">
        <f t="shared" si="4"/>
        <v>233</v>
      </c>
      <c r="B238" s="149" t="s">
        <v>358</v>
      </c>
      <c r="C238" s="150"/>
      <c r="D238" s="120"/>
      <c r="E238" s="121"/>
      <c r="F238" s="122"/>
      <c r="G238" s="112" t="s">
        <v>366</v>
      </c>
      <c r="H238" s="112">
        <v>100</v>
      </c>
      <c r="I238" s="113">
        <v>2.2000000000000002</v>
      </c>
      <c r="J238" s="100">
        <f t="shared" si="1"/>
        <v>220.00000000000003</v>
      </c>
      <c r="K238" s="101"/>
      <c r="L238" s="102"/>
      <c r="R238" s="98"/>
    </row>
    <row r="239" spans="1:18" ht="35.25" customHeight="1">
      <c r="A239" s="5">
        <f t="shared" si="4"/>
        <v>234</v>
      </c>
      <c r="B239" s="149" t="s">
        <v>359</v>
      </c>
      <c r="C239" s="150"/>
      <c r="D239" s="120"/>
      <c r="E239" s="121"/>
      <c r="F239" s="122"/>
      <c r="G239" s="112" t="s">
        <v>366</v>
      </c>
      <c r="H239" s="112">
        <v>100</v>
      </c>
      <c r="I239" s="113">
        <v>2.2000000000000002</v>
      </c>
      <c r="J239" s="100">
        <f t="shared" si="1"/>
        <v>220.00000000000003</v>
      </c>
      <c r="K239" s="101"/>
      <c r="L239" s="102"/>
      <c r="R239" s="98"/>
    </row>
    <row r="240" spans="1:18" ht="35.25" customHeight="1">
      <c r="A240" s="5">
        <f t="shared" si="4"/>
        <v>235</v>
      </c>
      <c r="B240" s="149" t="s">
        <v>360</v>
      </c>
      <c r="C240" s="150"/>
      <c r="D240" s="120"/>
      <c r="E240" s="121"/>
      <c r="F240" s="122"/>
      <c r="G240" s="112" t="s">
        <v>366</v>
      </c>
      <c r="H240" s="112">
        <v>150</v>
      </c>
      <c r="I240" s="113">
        <v>2.2000000000000002</v>
      </c>
      <c r="J240" s="100">
        <f t="shared" si="1"/>
        <v>330</v>
      </c>
      <c r="K240" s="101"/>
      <c r="L240" s="102"/>
      <c r="R240" s="98"/>
    </row>
    <row r="241" spans="1:19" ht="35.25" customHeight="1">
      <c r="A241" s="5">
        <f t="shared" si="4"/>
        <v>236</v>
      </c>
      <c r="B241" s="149" t="s">
        <v>361</v>
      </c>
      <c r="C241" s="150"/>
      <c r="D241" s="120"/>
      <c r="E241" s="121"/>
      <c r="F241" s="122"/>
      <c r="G241" s="112" t="s">
        <v>366</v>
      </c>
      <c r="H241" s="112">
        <v>24</v>
      </c>
      <c r="I241" s="113">
        <v>4</v>
      </c>
      <c r="J241" s="100">
        <f t="shared" si="1"/>
        <v>96</v>
      </c>
      <c r="K241" s="101"/>
      <c r="L241" s="102"/>
      <c r="R241" s="98"/>
    </row>
    <row r="242" spans="1:19" ht="35.25" customHeight="1">
      <c r="A242" s="5">
        <f t="shared" si="4"/>
        <v>237</v>
      </c>
      <c r="B242" s="149" t="s">
        <v>362</v>
      </c>
      <c r="C242" s="150"/>
      <c r="D242" s="120"/>
      <c r="E242" s="121"/>
      <c r="F242" s="122"/>
      <c r="G242" s="112" t="s">
        <v>366</v>
      </c>
      <c r="H242" s="112">
        <v>1</v>
      </c>
      <c r="I242" s="113">
        <v>2360</v>
      </c>
      <c r="J242" s="100">
        <f t="shared" si="1"/>
        <v>2360</v>
      </c>
      <c r="K242" s="101"/>
      <c r="L242" s="102"/>
      <c r="R242" s="98"/>
    </row>
    <row r="243" spans="1:19" ht="35.25" customHeight="1">
      <c r="A243" s="5">
        <f t="shared" si="4"/>
        <v>238</v>
      </c>
      <c r="B243" s="149" t="s">
        <v>363</v>
      </c>
      <c r="C243" s="150"/>
      <c r="D243" s="120"/>
      <c r="E243" s="121"/>
      <c r="F243" s="122"/>
      <c r="G243" s="112" t="s">
        <v>366</v>
      </c>
      <c r="H243" s="112">
        <v>10</v>
      </c>
      <c r="I243" s="113">
        <v>3.5</v>
      </c>
      <c r="J243" s="100">
        <f t="shared" si="1"/>
        <v>35</v>
      </c>
      <c r="K243" s="101"/>
      <c r="L243" s="102"/>
      <c r="R243" s="98"/>
    </row>
    <row r="244" spans="1:19" ht="35.25" customHeight="1">
      <c r="A244" s="5">
        <f t="shared" si="4"/>
        <v>239</v>
      </c>
      <c r="B244" s="149" t="s">
        <v>364</v>
      </c>
      <c r="C244" s="150"/>
      <c r="D244" s="120"/>
      <c r="E244" s="121"/>
      <c r="F244" s="122"/>
      <c r="G244" s="112" t="s">
        <v>366</v>
      </c>
      <c r="H244" s="112">
        <v>4500</v>
      </c>
      <c r="I244" s="113">
        <v>1.35</v>
      </c>
      <c r="J244" s="100">
        <f t="shared" si="1"/>
        <v>6075</v>
      </c>
      <c r="K244" s="101"/>
      <c r="L244" s="102"/>
      <c r="R244" s="98"/>
    </row>
    <row r="245" spans="1:19" ht="35.25" customHeight="1">
      <c r="A245" s="5">
        <f t="shared" si="4"/>
        <v>240</v>
      </c>
      <c r="B245" s="149" t="s">
        <v>365</v>
      </c>
      <c r="C245" s="150"/>
      <c r="D245" s="120"/>
      <c r="E245" s="121"/>
      <c r="F245" s="122"/>
      <c r="G245" s="112" t="s">
        <v>366</v>
      </c>
      <c r="H245" s="112">
        <v>12</v>
      </c>
      <c r="I245" s="113">
        <v>384</v>
      </c>
      <c r="J245" s="100">
        <f t="shared" si="1"/>
        <v>4608</v>
      </c>
      <c r="K245" s="101"/>
      <c r="L245" s="102"/>
      <c r="R245" s="98"/>
    </row>
    <row r="246" spans="1:19" ht="35.25" customHeight="1">
      <c r="A246" s="5"/>
      <c r="B246" s="123"/>
      <c r="C246" s="124"/>
      <c r="D246" s="125"/>
      <c r="E246" s="126"/>
      <c r="F246" s="127"/>
      <c r="G246" s="112"/>
      <c r="H246" s="112"/>
      <c r="I246" s="113"/>
      <c r="J246" s="100"/>
      <c r="K246" s="101"/>
      <c r="L246" s="102"/>
      <c r="R246" s="98"/>
    </row>
    <row r="247" spans="1:19" ht="23.25" hidden="1" customHeight="1">
      <c r="A247" s="5">
        <f>ROW(A7)</f>
        <v>7</v>
      </c>
      <c r="B247" s="149"/>
      <c r="C247" s="150"/>
      <c r="D247" s="151"/>
      <c r="E247" s="152"/>
      <c r="F247" s="153"/>
      <c r="G247" s="112"/>
      <c r="H247" s="112"/>
      <c r="I247" s="113"/>
      <c r="J247" s="100"/>
      <c r="K247" s="101"/>
      <c r="L247" s="102"/>
      <c r="R247" s="98"/>
    </row>
    <row r="248" spans="1:19" ht="23.25" hidden="1" customHeight="1">
      <c r="A248" s="5">
        <f>ROW(A55)</f>
        <v>55</v>
      </c>
      <c r="B248" s="149"/>
      <c r="C248" s="150"/>
      <c r="D248" s="151"/>
      <c r="E248" s="152"/>
      <c r="F248" s="180"/>
      <c r="G248" s="112"/>
      <c r="H248" s="112"/>
      <c r="I248" s="113"/>
      <c r="J248" s="100">
        <f t="shared" si="1"/>
        <v>0</v>
      </c>
      <c r="K248" s="101"/>
      <c r="L248" s="102"/>
      <c r="R248" s="98"/>
    </row>
    <row r="249" spans="1:19" ht="23.25" hidden="1" customHeight="1">
      <c r="A249" s="5">
        <f>ROW(A56)</f>
        <v>56</v>
      </c>
      <c r="B249" s="149"/>
      <c r="C249" s="150"/>
      <c r="D249" s="151"/>
      <c r="E249" s="152"/>
      <c r="F249" s="180"/>
      <c r="G249" s="112"/>
      <c r="H249" s="112"/>
      <c r="I249" s="113"/>
      <c r="J249" s="100">
        <f t="shared" si="1"/>
        <v>0</v>
      </c>
      <c r="K249" s="101"/>
      <c r="L249" s="102"/>
      <c r="R249" s="98"/>
    </row>
    <row r="250" spans="1:19" ht="23.25" hidden="1" customHeight="1">
      <c r="A250" s="5">
        <f>ROW(A57)</f>
        <v>57</v>
      </c>
      <c r="B250" s="149"/>
      <c r="C250" s="150"/>
      <c r="D250" s="151"/>
      <c r="E250" s="152"/>
      <c r="F250" s="180"/>
      <c r="G250" s="112"/>
      <c r="H250" s="112"/>
      <c r="I250" s="113"/>
      <c r="J250" s="100">
        <f t="shared" si="1"/>
        <v>0</v>
      </c>
      <c r="K250" s="101"/>
      <c r="L250" s="102"/>
      <c r="R250" s="98"/>
    </row>
    <row r="251" spans="1:19" ht="23.25" customHeight="1">
      <c r="A251" s="173" t="s">
        <v>8</v>
      </c>
      <c r="B251" s="174"/>
      <c r="C251" s="103"/>
      <c r="D251" s="109"/>
      <c r="E251" s="109"/>
      <c r="F251" s="109"/>
      <c r="G251" s="110"/>
      <c r="H251" s="110"/>
      <c r="I251" s="111" t="s">
        <v>9</v>
      </c>
      <c r="J251" s="100">
        <f>SUM(J6:J246)</f>
        <v>826442.5</v>
      </c>
      <c r="K251" s="100"/>
      <c r="L251" s="104"/>
    </row>
    <row r="252" spans="1:19" ht="20.100000000000001" customHeight="1">
      <c r="A252" s="6" t="s">
        <v>10</v>
      </c>
      <c r="B252" s="7"/>
      <c r="C252" s="7"/>
      <c r="D252" s="7"/>
      <c r="E252" s="7"/>
      <c r="F252" s="7"/>
      <c r="G252" s="7"/>
      <c r="H252" s="7"/>
      <c r="I252" s="7"/>
      <c r="J252" s="7"/>
      <c r="K252" s="8"/>
      <c r="L252" s="9"/>
    </row>
    <row r="253" spans="1:19" ht="18" customHeight="1">
      <c r="A253" s="10"/>
      <c r="J253" s="1"/>
      <c r="K253" s="1"/>
      <c r="O253" s="11"/>
      <c r="P253" s="11"/>
      <c r="R253" s="175" t="s">
        <v>11</v>
      </c>
      <c r="S253" s="13" t="s">
        <v>12</v>
      </c>
    </row>
    <row r="254" spans="1:19" ht="48.75" customHeight="1">
      <c r="R254" s="176"/>
      <c r="S254" s="15"/>
    </row>
    <row r="255" spans="1:19" ht="17.100000000000001" customHeight="1">
      <c r="O255" s="11"/>
      <c r="P255" s="11"/>
      <c r="R255" s="177"/>
      <c r="S255" s="15" t="s">
        <v>13</v>
      </c>
    </row>
    <row r="256" spans="1:19" ht="15" customHeight="1">
      <c r="O256" s="17" t="s">
        <v>14</v>
      </c>
      <c r="P256" s="178" t="s">
        <v>15</v>
      </c>
    </row>
    <row r="257" spans="15:19" ht="18" customHeight="1">
      <c r="O257" s="18" t="s">
        <v>16</v>
      </c>
      <c r="P257" s="179"/>
      <c r="R257" s="175" t="s">
        <v>17</v>
      </c>
      <c r="S257" s="12" t="s">
        <v>12</v>
      </c>
    </row>
    <row r="258" spans="15:19" ht="50.1" customHeight="1">
      <c r="O258" s="14"/>
      <c r="P258" s="14"/>
      <c r="R258" s="176"/>
      <c r="S258" s="19"/>
    </row>
    <row r="259" spans="15:19" ht="17.100000000000001" customHeight="1">
      <c r="O259" s="16" t="s">
        <v>13</v>
      </c>
      <c r="P259" s="16" t="s">
        <v>13</v>
      </c>
      <c r="R259" s="177"/>
      <c r="S259" s="15" t="s">
        <v>13</v>
      </c>
    </row>
    <row r="260" spans="15:19" ht="9.9499999999999993" customHeight="1"/>
    <row r="261" spans="15:19" ht="19.899999999999999" customHeight="1"/>
    <row r="262" spans="15:19" ht="17.45" customHeight="1">
      <c r="O262" s="181"/>
      <c r="P262" s="181"/>
    </row>
    <row r="263" spans="15:19" ht="19.899999999999999" customHeight="1">
      <c r="O263" s="181"/>
      <c r="P263" s="181"/>
    </row>
    <row r="264" spans="15:19" ht="14.25">
      <c r="O264" s="11"/>
      <c r="P264" s="11"/>
    </row>
    <row r="265" spans="15:19" ht="65.099999999999994" customHeight="1"/>
    <row r="266" spans="15:19" ht="14.25">
      <c r="O266" s="11"/>
      <c r="P266" s="11"/>
    </row>
    <row r="267" spans="15:19" ht="19.899999999999999" customHeight="1"/>
    <row r="268" spans="15:19" ht="14.25"/>
    <row r="269" spans="15:19" ht="19.899999999999999" customHeight="1"/>
    <row r="270" spans="15:19" ht="14.25"/>
    <row r="271" spans="15:19" ht="19.899999999999999" customHeight="1"/>
    <row r="272" spans="15:19" ht="19.899999999999999" customHeight="1"/>
    <row r="273" spans="15:19" ht="64.900000000000006" customHeight="1"/>
    <row r="275" spans="15:19" ht="19.899999999999999" customHeight="1"/>
    <row r="276" spans="15:19" ht="19.899999999999999" customHeight="1"/>
    <row r="277" spans="15:19" ht="64.900000000000006" customHeight="1"/>
    <row r="281" spans="15:19" ht="21" customHeight="1">
      <c r="O281" s="178" t="s">
        <v>18</v>
      </c>
      <c r="P281" s="178" t="s">
        <v>18</v>
      </c>
      <c r="S281" s="178" t="s">
        <v>12</v>
      </c>
    </row>
    <row r="282" spans="15:19" ht="21" customHeight="1">
      <c r="O282" s="179"/>
      <c r="P282" s="179"/>
      <c r="S282" s="177"/>
    </row>
    <row r="283" spans="15:19" ht="64.900000000000006" customHeight="1">
      <c r="O283" s="14"/>
      <c r="P283" s="14"/>
      <c r="S283" s="15"/>
    </row>
    <row r="284" spans="15:19" ht="7.15" customHeight="1"/>
    <row r="285" spans="15:19" ht="21" customHeight="1">
      <c r="O285" s="178" t="s">
        <v>18</v>
      </c>
      <c r="P285" s="178" t="s">
        <v>18</v>
      </c>
      <c r="S285" s="178" t="s">
        <v>19</v>
      </c>
    </row>
    <row r="286" spans="15:19" ht="21" customHeight="1">
      <c r="O286" s="179"/>
      <c r="P286" s="179"/>
      <c r="S286" s="177"/>
    </row>
    <row r="287" spans="15:19" ht="64.900000000000006" customHeight="1">
      <c r="O287" s="14"/>
      <c r="P287" s="14"/>
      <c r="S287" s="14"/>
    </row>
  </sheetData>
  <mergeCells count="272">
    <mergeCell ref="S281:S282"/>
    <mergeCell ref="O285:O286"/>
    <mergeCell ref="P285:P286"/>
    <mergeCell ref="S285:S286"/>
    <mergeCell ref="O262:O263"/>
    <mergeCell ref="P262:P263"/>
    <mergeCell ref="O281:O282"/>
    <mergeCell ref="P281:P282"/>
    <mergeCell ref="A4:A5"/>
    <mergeCell ref="B4:C5"/>
    <mergeCell ref="D4:F5"/>
    <mergeCell ref="G4:G5"/>
    <mergeCell ref="H4:H5"/>
    <mergeCell ref="A251:B251"/>
    <mergeCell ref="R253:R255"/>
    <mergeCell ref="P256:P257"/>
    <mergeCell ref="R257:R259"/>
    <mergeCell ref="B56:C56"/>
    <mergeCell ref="B248:C248"/>
    <mergeCell ref="D248:F248"/>
    <mergeCell ref="B249:C249"/>
    <mergeCell ref="D249:F249"/>
    <mergeCell ref="B250:C250"/>
    <mergeCell ref="D250:F250"/>
    <mergeCell ref="B57:C57"/>
    <mergeCell ref="B9:C9"/>
    <mergeCell ref="B10:C10"/>
    <mergeCell ref="B11:C11"/>
    <mergeCell ref="B12:C12"/>
    <mergeCell ref="B13:C13"/>
    <mergeCell ref="B247:C247"/>
    <mergeCell ref="D247:F247"/>
    <mergeCell ref="J1:L1"/>
    <mergeCell ref="J2:L2"/>
    <mergeCell ref="E3:I3"/>
    <mergeCell ref="I4:I5"/>
    <mergeCell ref="J4:J5"/>
    <mergeCell ref="K4:K5"/>
    <mergeCell ref="L4:L5"/>
    <mergeCell ref="B6:C6"/>
    <mergeCell ref="B7:C7"/>
    <mergeCell ref="B55:C55"/>
    <mergeCell ref="B8:C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62:C62"/>
    <mergeCell ref="B63:C63"/>
    <mergeCell ref="B64:C64"/>
    <mergeCell ref="B65:C65"/>
    <mergeCell ref="B66:C66"/>
    <mergeCell ref="B54:C54"/>
    <mergeCell ref="B58:C58"/>
    <mergeCell ref="B59:C59"/>
    <mergeCell ref="B60:C60"/>
    <mergeCell ref="B61:C6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42:C242"/>
    <mergeCell ref="B243:C243"/>
    <mergeCell ref="B244:C244"/>
    <mergeCell ref="B245:C245"/>
    <mergeCell ref="B237:C237"/>
    <mergeCell ref="B238:C238"/>
    <mergeCell ref="B239:C239"/>
    <mergeCell ref="B240:C240"/>
    <mergeCell ref="B241:C241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418"/>
  <sheetViews>
    <sheetView showGridLines="0" zoomScale="95" zoomScaleNormal="95" zoomScaleSheetLayoutView="70" workbookViewId="0">
      <pane ySplit="5" topLeftCell="A131" activePane="bottomLeft" state="frozen"/>
      <selection activeCell="D30" sqref="D30"/>
      <selection pane="bottomLeft" activeCell="H134" sqref="H134"/>
    </sheetView>
  </sheetViews>
  <sheetFormatPr defaultColWidth="9" defaultRowHeight="21" customHeight="1"/>
  <cols>
    <col min="1" max="1" width="5.4257812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54" t="str">
        <f>+MRS!J1</f>
        <v>DAESHIN PLANT</v>
      </c>
      <c r="K1" s="156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57" t="str">
        <f>+MRS!J2</f>
        <v>Subcontract name (SAC2-SC-IK-SMP-01)</v>
      </c>
      <c r="K2" s="159"/>
    </row>
    <row r="3" spans="1:18" ht="24.95" customHeight="1">
      <c r="A3" s="3" t="str">
        <f>+MRS!A3</f>
        <v xml:space="preserve">  MRS No : SAC2-DS-MRS-0367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46217</v>
      </c>
    </row>
    <row r="4" spans="1:18" ht="15.95" customHeight="1">
      <c r="A4" s="187" t="s">
        <v>2</v>
      </c>
      <c r="B4" s="188" t="s">
        <v>20</v>
      </c>
      <c r="C4" s="188"/>
      <c r="D4" s="187" t="s">
        <v>4</v>
      </c>
      <c r="E4" s="187"/>
      <c r="F4" s="187"/>
      <c r="G4" s="188" t="s">
        <v>5</v>
      </c>
      <c r="H4" s="187" t="s">
        <v>88</v>
      </c>
      <c r="I4" s="187" t="s">
        <v>21</v>
      </c>
      <c r="J4" s="187" t="s">
        <v>22</v>
      </c>
      <c r="K4" s="188" t="s">
        <v>7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105" customHeight="1">
      <c r="A6" s="21">
        <f>+MRS!A6</f>
        <v>1</v>
      </c>
      <c r="B6" s="182" t="str">
        <f>MRS!B6</f>
        <v>Fire Drum Red Color 200Ltr</v>
      </c>
      <c r="C6" s="183"/>
      <c r="D6" s="184">
        <f>MRS!D6</f>
        <v>0</v>
      </c>
      <c r="E6" s="185"/>
      <c r="F6" s="186"/>
      <c r="G6" s="95" t="str">
        <f>MRS!G6</f>
        <v>Nos</v>
      </c>
      <c r="H6" s="95">
        <f>MRS!H6</f>
        <v>8</v>
      </c>
      <c r="I6" s="96">
        <f>MRS!I6</f>
        <v>145</v>
      </c>
      <c r="J6" s="96">
        <f>MRS!J6</f>
        <v>1160</v>
      </c>
      <c r="K6" s="97"/>
      <c r="O6" s="98"/>
      <c r="P6" s="98"/>
      <c r="R6" s="98"/>
    </row>
    <row r="7" spans="1:18" ht="105" customHeight="1">
      <c r="A7" s="21">
        <f>+MRS!A7</f>
        <v>2</v>
      </c>
      <c r="B7" s="182" t="str">
        <f>MRS!B7</f>
        <v>Mechanical Pipe Bender 16-36mm with Air Freight</v>
      </c>
      <c r="C7" s="183"/>
      <c r="D7" s="184">
        <f>MRS!D7</f>
        <v>0</v>
      </c>
      <c r="E7" s="185"/>
      <c r="F7" s="186"/>
      <c r="G7" s="95" t="str">
        <f>MRS!G7</f>
        <v>Set</v>
      </c>
      <c r="H7" s="95">
        <f>MRS!H7</f>
        <v>2</v>
      </c>
      <c r="I7" s="96">
        <f>MRS!I7</f>
        <v>7600</v>
      </c>
      <c r="J7" s="96">
        <f>MRS!J7</f>
        <v>15200</v>
      </c>
      <c r="K7" s="97"/>
      <c r="O7" s="98"/>
      <c r="P7" s="98"/>
      <c r="R7" s="98"/>
    </row>
    <row r="8" spans="1:18" ht="105" customHeight="1">
      <c r="A8" s="21">
        <f>+MRS!A8</f>
        <v>3</v>
      </c>
      <c r="B8" s="182" t="str">
        <f>MRS!B8</f>
        <v>Cup Brush S/S Crimped M10x75mm</v>
      </c>
      <c r="C8" s="183"/>
      <c r="D8" s="184">
        <f>MRS!D8</f>
        <v>0</v>
      </c>
      <c r="E8" s="185"/>
      <c r="F8" s="186"/>
      <c r="G8" s="95" t="str">
        <f>MRS!G8</f>
        <v>Nos</v>
      </c>
      <c r="H8" s="95">
        <f>MRS!H8</f>
        <v>2000</v>
      </c>
      <c r="I8" s="96">
        <f>MRS!I8</f>
        <v>18.5</v>
      </c>
      <c r="J8" s="96">
        <f>MRS!J8</f>
        <v>37000</v>
      </c>
      <c r="K8" s="97"/>
      <c r="O8" s="98"/>
      <c r="P8" s="98"/>
      <c r="R8" s="98"/>
    </row>
    <row r="9" spans="1:18" ht="105" customHeight="1">
      <c r="A9" s="21">
        <f>+MRS!A9</f>
        <v>4</v>
      </c>
      <c r="B9" s="182" t="str">
        <f>MRS!B9</f>
        <v>Gear Oil SAE VG-150 20Ltr</v>
      </c>
      <c r="C9" s="183"/>
      <c r="D9" s="184">
        <f>MRS!D9</f>
        <v>0</v>
      </c>
      <c r="E9" s="185"/>
      <c r="F9" s="186"/>
      <c r="G9" s="95" t="str">
        <f>MRS!G9</f>
        <v>Set</v>
      </c>
      <c r="H9" s="95">
        <f>MRS!H9</f>
        <v>1</v>
      </c>
      <c r="I9" s="96">
        <f>MRS!I9</f>
        <v>408</v>
      </c>
      <c r="J9" s="96">
        <f>MRS!J9</f>
        <v>408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82" t="str">
        <f>MRS!B10</f>
        <v>Rubber Hammer 2Lbs</v>
      </c>
      <c r="C10" s="183"/>
      <c r="D10" s="184">
        <f>MRS!D10</f>
        <v>0</v>
      </c>
      <c r="E10" s="185"/>
      <c r="F10" s="186"/>
      <c r="G10" s="95" t="str">
        <f>MRS!G10</f>
        <v>Nos</v>
      </c>
      <c r="H10" s="95">
        <f>MRS!H10</f>
        <v>23</v>
      </c>
      <c r="I10" s="96">
        <f>MRS!I10</f>
        <v>29</v>
      </c>
      <c r="J10" s="96">
        <f>MRS!J10</f>
        <v>667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82" t="str">
        <f>MRS!B11</f>
        <v>AC Gas R32 (Refrigerant)</v>
      </c>
      <c r="C11" s="183"/>
      <c r="D11" s="184">
        <f>MRS!D11</f>
        <v>0</v>
      </c>
      <c r="E11" s="185"/>
      <c r="F11" s="186"/>
      <c r="G11" s="95" t="str">
        <f>MRS!G11</f>
        <v>Nos</v>
      </c>
      <c r="H11" s="95">
        <f>MRS!H11</f>
        <v>1</v>
      </c>
      <c r="I11" s="96">
        <f>MRS!I11</f>
        <v>575</v>
      </c>
      <c r="J11" s="96">
        <f>MRS!J11</f>
        <v>575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82" t="str">
        <f>MRS!B12</f>
        <v>Thermocol Sheet White 1x2mtr x 50mm thickness</v>
      </c>
      <c r="C12" s="183"/>
      <c r="D12" s="184">
        <f>MRS!D12</f>
        <v>0</v>
      </c>
      <c r="E12" s="185"/>
      <c r="F12" s="186"/>
      <c r="G12" s="95" t="str">
        <f>MRS!G12</f>
        <v>Roll</v>
      </c>
      <c r="H12" s="95">
        <f>MRS!H12</f>
        <v>4</v>
      </c>
      <c r="I12" s="96">
        <f>MRS!I12</f>
        <v>25</v>
      </c>
      <c r="J12" s="96">
        <f>MRS!J12</f>
        <v>100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82" t="str">
        <f>MRS!B13</f>
        <v>Digital Clamp Meter 600V AC/DC 1000A TRMS C180 Tekneka</v>
      </c>
      <c r="C13" s="183"/>
      <c r="D13" s="184">
        <f>MRS!D13</f>
        <v>0</v>
      </c>
      <c r="E13" s="185"/>
      <c r="F13" s="186"/>
      <c r="G13" s="95" t="str">
        <f>MRS!G13</f>
        <v>Nos</v>
      </c>
      <c r="H13" s="95">
        <f>MRS!H13</f>
        <v>1</v>
      </c>
      <c r="I13" s="96">
        <f>MRS!I13</f>
        <v>470</v>
      </c>
      <c r="J13" s="96">
        <f>MRS!J13</f>
        <v>470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82" t="str">
        <f>MRS!B14</f>
        <v>Tube Bender 6/8/10mm 3in1 180deg</v>
      </c>
      <c r="C14" s="183"/>
      <c r="D14" s="184">
        <f>MRS!D14</f>
        <v>0</v>
      </c>
      <c r="E14" s="185"/>
      <c r="F14" s="186"/>
      <c r="G14" s="95" t="str">
        <f>MRS!G14</f>
        <v>Nos</v>
      </c>
      <c r="H14" s="95">
        <f>MRS!H14</f>
        <v>1</v>
      </c>
      <c r="I14" s="96">
        <f>MRS!I14</f>
        <v>56</v>
      </c>
      <c r="J14" s="96">
        <f>MRS!J14</f>
        <v>56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82" t="str">
        <f>MRS!B15</f>
        <v>Cordless Impact Driver 18V 2.0Ah and Charger DCF887-D2 Dewalt</v>
      </c>
      <c r="C15" s="183"/>
      <c r="D15" s="184">
        <f>MRS!D15</f>
        <v>0</v>
      </c>
      <c r="E15" s="185"/>
      <c r="F15" s="186"/>
      <c r="G15" s="95" t="str">
        <f>MRS!G15</f>
        <v>Nos</v>
      </c>
      <c r="H15" s="95">
        <f>MRS!H15</f>
        <v>1</v>
      </c>
      <c r="I15" s="96">
        <f>MRS!I15</f>
        <v>1225</v>
      </c>
      <c r="J15" s="96">
        <f>MRS!J15</f>
        <v>1225</v>
      </c>
      <c r="K15" s="97"/>
      <c r="O15" s="98"/>
      <c r="P15" s="98"/>
      <c r="R15" s="98"/>
    </row>
    <row r="16" spans="1:18" ht="105" customHeight="1">
      <c r="A16" s="21">
        <f>+MRS!A16</f>
        <v>11</v>
      </c>
      <c r="B16" s="182" t="str">
        <f>MRS!B16</f>
        <v>Corrugated Sheet White 0.32mmx1mtrx3mtr</v>
      </c>
      <c r="C16" s="183"/>
      <c r="D16" s="184">
        <f>MRS!D16</f>
        <v>0</v>
      </c>
      <c r="E16" s="185"/>
      <c r="F16" s="186"/>
      <c r="G16" s="95" t="str">
        <f>MRS!G16</f>
        <v>Nos</v>
      </c>
      <c r="H16" s="95">
        <f>MRS!H16</f>
        <v>50</v>
      </c>
      <c r="I16" s="96">
        <f>MRS!I16</f>
        <v>51</v>
      </c>
      <c r="J16" s="96">
        <f>MRS!J16</f>
        <v>2550</v>
      </c>
      <c r="K16" s="97"/>
      <c r="O16" s="98"/>
      <c r="P16" s="98"/>
      <c r="R16" s="98"/>
    </row>
    <row r="17" spans="1:18" ht="105" customHeight="1">
      <c r="A17" s="21">
        <f>+MRS!A17</f>
        <v>12</v>
      </c>
      <c r="B17" s="182" t="str">
        <f>MRS!B17</f>
        <v>Magnetic Nut Socket 10mm</v>
      </c>
      <c r="C17" s="183"/>
      <c r="D17" s="184">
        <f>MRS!D17</f>
        <v>0</v>
      </c>
      <c r="E17" s="185"/>
      <c r="F17" s="186"/>
      <c r="G17" s="95" t="str">
        <f>MRS!G17</f>
        <v>Nos</v>
      </c>
      <c r="H17" s="95">
        <f>MRS!H17</f>
        <v>5</v>
      </c>
      <c r="I17" s="96">
        <f>MRS!I17</f>
        <v>6.5</v>
      </c>
      <c r="J17" s="96">
        <f>MRS!J17</f>
        <v>32.5</v>
      </c>
      <c r="K17" s="97"/>
      <c r="O17" s="98"/>
      <c r="P17" s="98"/>
      <c r="R17" s="98"/>
    </row>
    <row r="18" spans="1:18" ht="105" customHeight="1">
      <c r="A18" s="21">
        <f>+MRS!A18</f>
        <v>13</v>
      </c>
      <c r="B18" s="182" t="str">
        <f>MRS!B18</f>
        <v>Screwdriver Bit Star Head 50mm</v>
      </c>
      <c r="C18" s="183"/>
      <c r="D18" s="184">
        <f>MRS!D18</f>
        <v>0</v>
      </c>
      <c r="E18" s="185"/>
      <c r="F18" s="186"/>
      <c r="G18" s="95" t="str">
        <f>MRS!G18</f>
        <v>Nos</v>
      </c>
      <c r="H18" s="95">
        <f>MRS!H18</f>
        <v>5</v>
      </c>
      <c r="I18" s="96">
        <f>MRS!I18</f>
        <v>2</v>
      </c>
      <c r="J18" s="96">
        <f>MRS!J18</f>
        <v>10</v>
      </c>
      <c r="K18" s="97"/>
      <c r="O18" s="98"/>
      <c r="P18" s="98"/>
      <c r="R18" s="98"/>
    </row>
    <row r="19" spans="1:18" ht="105" customHeight="1">
      <c r="A19" s="21">
        <f>+MRS!A19</f>
        <v>14</v>
      </c>
      <c r="B19" s="182" t="str">
        <f>MRS!B19</f>
        <v>Portable Dry Oven 5kg 220V with Temp Controller</v>
      </c>
      <c r="C19" s="183"/>
      <c r="D19" s="184">
        <f>MRS!D19</f>
        <v>0</v>
      </c>
      <c r="E19" s="185"/>
      <c r="F19" s="186"/>
      <c r="G19" s="95" t="str">
        <f>MRS!G19</f>
        <v>Nos</v>
      </c>
      <c r="H19" s="95">
        <f>MRS!H19</f>
        <v>30</v>
      </c>
      <c r="I19" s="96">
        <f>MRS!I19</f>
        <v>189</v>
      </c>
      <c r="J19" s="96">
        <f>MRS!J19</f>
        <v>5670</v>
      </c>
      <c r="K19" s="97"/>
      <c r="O19" s="98"/>
      <c r="P19" s="98"/>
      <c r="R19" s="98"/>
    </row>
    <row r="20" spans="1:18" ht="105" customHeight="1">
      <c r="A20" s="21">
        <f>+MRS!A20</f>
        <v>15</v>
      </c>
      <c r="B20" s="182" t="str">
        <f>MRS!B20</f>
        <v>PVC Coated Orange Fire Blanket 1x50mtr</v>
      </c>
      <c r="C20" s="183"/>
      <c r="D20" s="184">
        <f>MRS!D20</f>
        <v>0</v>
      </c>
      <c r="E20" s="185"/>
      <c r="F20" s="186"/>
      <c r="G20" s="95" t="str">
        <f>MRS!G20</f>
        <v>Nos</v>
      </c>
      <c r="H20" s="95">
        <f>MRS!H20</f>
        <v>65</v>
      </c>
      <c r="I20" s="96">
        <f>MRS!I20</f>
        <v>450</v>
      </c>
      <c r="J20" s="96">
        <f>MRS!J20</f>
        <v>29250</v>
      </c>
      <c r="K20" s="97"/>
      <c r="O20" s="98"/>
      <c r="P20" s="98"/>
      <c r="R20" s="98"/>
    </row>
    <row r="21" spans="1:18" ht="105" customHeight="1">
      <c r="A21" s="21">
        <f>+MRS!A21</f>
        <v>16</v>
      </c>
      <c r="B21" s="182" t="str">
        <f>MRS!B21</f>
        <v>Tig Torch Head with Handle</v>
      </c>
      <c r="C21" s="183"/>
      <c r="D21" s="184">
        <f>MRS!D21</f>
        <v>0</v>
      </c>
      <c r="E21" s="185"/>
      <c r="F21" s="186"/>
      <c r="G21" s="95" t="str">
        <f>MRS!G21</f>
        <v>Nos</v>
      </c>
      <c r="H21" s="95">
        <f>MRS!H21</f>
        <v>250</v>
      </c>
      <c r="I21" s="96">
        <f>MRS!I21</f>
        <v>38</v>
      </c>
      <c r="J21" s="96">
        <f>MRS!J21</f>
        <v>9500</v>
      </c>
      <c r="K21" s="97"/>
      <c r="O21" s="98"/>
      <c r="P21" s="98"/>
      <c r="R21" s="98"/>
    </row>
    <row r="22" spans="1:18" ht="105" customHeight="1">
      <c r="A22" s="21">
        <f>+MRS!A22</f>
        <v>17</v>
      </c>
      <c r="B22" s="182" t="str">
        <f>MRS!B22</f>
        <v>Shim Plate SS304 12"x50"x0.05mm</v>
      </c>
      <c r="C22" s="183"/>
      <c r="D22" s="184">
        <f>MRS!D22</f>
        <v>0</v>
      </c>
      <c r="E22" s="185"/>
      <c r="F22" s="186"/>
      <c r="G22" s="95" t="str">
        <f>MRS!G22</f>
        <v>Nos</v>
      </c>
      <c r="H22" s="95">
        <f>MRS!H22</f>
        <v>1</v>
      </c>
      <c r="I22" s="96">
        <f>MRS!I22</f>
        <v>218</v>
      </c>
      <c r="J22" s="96">
        <f>MRS!J22</f>
        <v>218</v>
      </c>
      <c r="K22" s="97"/>
      <c r="O22" s="98"/>
      <c r="P22" s="98"/>
      <c r="R22" s="98"/>
    </row>
    <row r="23" spans="1:18" ht="105" customHeight="1">
      <c r="A23" s="21">
        <f>+MRS!A23</f>
        <v>18</v>
      </c>
      <c r="B23" s="182" t="str">
        <f>MRS!B23</f>
        <v>Shim Plate SS304 12"x50"x0.1mm</v>
      </c>
      <c r="C23" s="183"/>
      <c r="D23" s="184">
        <f>MRS!D23</f>
        <v>0</v>
      </c>
      <c r="E23" s="185"/>
      <c r="F23" s="186"/>
      <c r="G23" s="95" t="str">
        <f>MRS!G23</f>
        <v>Set</v>
      </c>
      <c r="H23" s="95">
        <f>MRS!H23</f>
        <v>1</v>
      </c>
      <c r="I23" s="96">
        <f>MRS!I23</f>
        <v>236</v>
      </c>
      <c r="J23" s="96">
        <f>MRS!J23</f>
        <v>236</v>
      </c>
      <c r="K23" s="97"/>
      <c r="O23" s="98"/>
      <c r="P23" s="98"/>
      <c r="R23" s="98"/>
    </row>
    <row r="24" spans="1:18" ht="105" customHeight="1">
      <c r="A24" s="21">
        <f>+MRS!A24</f>
        <v>19</v>
      </c>
      <c r="B24" s="182" t="str">
        <f>MRS!B24</f>
        <v>Shim Plate SS304 12"x50"x0.15mm</v>
      </c>
      <c r="C24" s="183"/>
      <c r="D24" s="184">
        <f>MRS!D24</f>
        <v>0</v>
      </c>
      <c r="E24" s="185"/>
      <c r="F24" s="186"/>
      <c r="G24" s="95" t="str">
        <f>MRS!G24</f>
        <v>Set</v>
      </c>
      <c r="H24" s="95">
        <f>MRS!H24</f>
        <v>1</v>
      </c>
      <c r="I24" s="96">
        <f>MRS!I24</f>
        <v>236</v>
      </c>
      <c r="J24" s="96">
        <f>MRS!J24</f>
        <v>236</v>
      </c>
      <c r="K24" s="97"/>
      <c r="O24" s="98"/>
      <c r="P24" s="98"/>
      <c r="R24" s="98"/>
    </row>
    <row r="25" spans="1:18" ht="105" customHeight="1">
      <c r="A25" s="21">
        <f>+MRS!A25</f>
        <v>20</v>
      </c>
      <c r="B25" s="182" t="str">
        <f>MRS!B25</f>
        <v>Shim Plate SS304 12"x50"x0.2mm</v>
      </c>
      <c r="C25" s="183"/>
      <c r="D25" s="184">
        <f>MRS!D25</f>
        <v>0</v>
      </c>
      <c r="E25" s="185"/>
      <c r="F25" s="186"/>
      <c r="G25" s="95" t="str">
        <f>MRS!G25</f>
        <v>Roll</v>
      </c>
      <c r="H25" s="95">
        <f>MRS!H25</f>
        <v>1</v>
      </c>
      <c r="I25" s="96">
        <f>MRS!I25</f>
        <v>238</v>
      </c>
      <c r="J25" s="96">
        <f>MRS!J25</f>
        <v>238</v>
      </c>
      <c r="K25" s="97"/>
      <c r="O25" s="98"/>
      <c r="P25" s="98"/>
      <c r="R25" s="98"/>
    </row>
    <row r="26" spans="1:18" ht="105" customHeight="1">
      <c r="A26" s="21">
        <f>+MRS!A26</f>
        <v>21</v>
      </c>
      <c r="B26" s="182" t="str">
        <f>MRS!B26</f>
        <v>Shim Plate SS304 12"x50"x0.3mm</v>
      </c>
      <c r="C26" s="183"/>
      <c r="D26" s="184">
        <f>MRS!D26</f>
        <v>0</v>
      </c>
      <c r="E26" s="185"/>
      <c r="F26" s="186"/>
      <c r="G26" s="95" t="str">
        <f>MRS!G26</f>
        <v>Nos</v>
      </c>
      <c r="H26" s="95">
        <f>MRS!H26</f>
        <v>1</v>
      </c>
      <c r="I26" s="96">
        <f>MRS!I26</f>
        <v>240</v>
      </c>
      <c r="J26" s="96">
        <f>MRS!J26</f>
        <v>240</v>
      </c>
      <c r="K26" s="97"/>
      <c r="O26" s="98"/>
      <c r="P26" s="98"/>
      <c r="R26" s="98"/>
    </row>
    <row r="27" spans="1:18" ht="105" customHeight="1">
      <c r="A27" s="21">
        <f>+MRS!A27</f>
        <v>22</v>
      </c>
      <c r="B27" s="182" t="str">
        <f>MRS!B27</f>
        <v>Shim Plate SS304 12"x50"x0.5mm</v>
      </c>
      <c r="C27" s="183"/>
      <c r="D27" s="184">
        <f>MRS!D27</f>
        <v>0</v>
      </c>
      <c r="E27" s="185"/>
      <c r="F27" s="186"/>
      <c r="G27" s="95" t="str">
        <f>MRS!G27</f>
        <v>Nos</v>
      </c>
      <c r="H27" s="95">
        <f>MRS!H27</f>
        <v>1</v>
      </c>
      <c r="I27" s="96">
        <f>MRS!I27</f>
        <v>260</v>
      </c>
      <c r="J27" s="96">
        <f>MRS!J27</f>
        <v>260</v>
      </c>
      <c r="K27" s="97"/>
      <c r="O27" s="98"/>
      <c r="P27" s="98"/>
      <c r="R27" s="98"/>
    </row>
    <row r="28" spans="1:18" ht="105" customHeight="1">
      <c r="A28" s="21">
        <f>+MRS!A28</f>
        <v>23</v>
      </c>
      <c r="B28" s="182" t="str">
        <f>MRS!B28</f>
        <v>Shim Plate SS304 12"x50"x1mm</v>
      </c>
      <c r="C28" s="183"/>
      <c r="D28" s="184">
        <f>MRS!D28</f>
        <v>0</v>
      </c>
      <c r="E28" s="185"/>
      <c r="F28" s="186"/>
      <c r="G28" s="95" t="str">
        <f>MRS!G28</f>
        <v>Pair</v>
      </c>
      <c r="H28" s="95">
        <f>MRS!H28</f>
        <v>1</v>
      </c>
      <c r="I28" s="96">
        <f>MRS!I28</f>
        <v>293</v>
      </c>
      <c r="J28" s="96">
        <f>MRS!J28</f>
        <v>293</v>
      </c>
      <c r="K28" s="97"/>
      <c r="O28" s="98"/>
      <c r="P28" s="98"/>
      <c r="R28" s="98"/>
    </row>
    <row r="29" spans="1:18" ht="105" customHeight="1">
      <c r="A29" s="21">
        <f>+MRS!A29</f>
        <v>24</v>
      </c>
      <c r="B29" s="182" t="str">
        <f>MRS!B29</f>
        <v>Shim Plate SS304 12"x50"x1.5mm</v>
      </c>
      <c r="C29" s="183"/>
      <c r="D29" s="184">
        <f>MRS!D29</f>
        <v>0</v>
      </c>
      <c r="E29" s="185"/>
      <c r="F29" s="186"/>
      <c r="G29" s="95" t="str">
        <f>MRS!G29</f>
        <v>Nos</v>
      </c>
      <c r="H29" s="95">
        <f>MRS!H29</f>
        <v>1</v>
      </c>
      <c r="I29" s="96">
        <f>MRS!I29</f>
        <v>325</v>
      </c>
      <c r="J29" s="96">
        <f>MRS!J29</f>
        <v>325</v>
      </c>
      <c r="K29" s="97"/>
      <c r="O29" s="98"/>
      <c r="P29" s="98"/>
      <c r="R29" s="98"/>
    </row>
    <row r="30" spans="1:18" ht="105" customHeight="1">
      <c r="A30" s="21">
        <f>+MRS!A30</f>
        <v>25</v>
      </c>
      <c r="B30" s="182" t="str">
        <f>MRS!B30</f>
        <v>Shim Plate SS304 12"x50"x2mm</v>
      </c>
      <c r="C30" s="183"/>
      <c r="D30" s="184">
        <f>MRS!D30</f>
        <v>0</v>
      </c>
      <c r="E30" s="185"/>
      <c r="F30" s="186"/>
      <c r="G30" s="95" t="str">
        <f>MRS!G30</f>
        <v>Nos</v>
      </c>
      <c r="H30" s="95">
        <f>MRS!H30</f>
        <v>1</v>
      </c>
      <c r="I30" s="96">
        <f>MRS!I30</f>
        <v>358</v>
      </c>
      <c r="J30" s="96">
        <f>MRS!J30</f>
        <v>358</v>
      </c>
      <c r="K30" s="97"/>
      <c r="O30" s="98"/>
      <c r="P30" s="98"/>
      <c r="R30" s="98"/>
    </row>
    <row r="31" spans="1:18" ht="105" customHeight="1">
      <c r="A31" s="21">
        <f>+MRS!A31</f>
        <v>26</v>
      </c>
      <c r="B31" s="182" t="str">
        <f>MRS!B31</f>
        <v>Shim Plate SS304 12"x50"x3mm</v>
      </c>
      <c r="C31" s="183"/>
      <c r="D31" s="184">
        <f>MRS!D31</f>
        <v>0</v>
      </c>
      <c r="E31" s="185"/>
      <c r="F31" s="186"/>
      <c r="G31" s="95" t="str">
        <f>MRS!G31</f>
        <v>Nos</v>
      </c>
      <c r="H31" s="95">
        <f>MRS!H31</f>
        <v>1</v>
      </c>
      <c r="I31" s="96">
        <f>MRS!I31</f>
        <v>390</v>
      </c>
      <c r="J31" s="96">
        <f>MRS!J31</f>
        <v>390</v>
      </c>
      <c r="K31" s="97"/>
      <c r="O31" s="98"/>
      <c r="P31" s="98"/>
      <c r="R31" s="98"/>
    </row>
    <row r="32" spans="1:18" ht="105" customHeight="1">
      <c r="A32" s="21">
        <f>+MRS!A32</f>
        <v>27</v>
      </c>
      <c r="B32" s="182" t="str">
        <f>MRS!B32</f>
        <v>Total Station IM-52 Sokkia Complete Set</v>
      </c>
      <c r="C32" s="183"/>
      <c r="D32" s="184">
        <f>MRS!D32</f>
        <v>0</v>
      </c>
      <c r="E32" s="185"/>
      <c r="F32" s="186"/>
      <c r="G32" s="95" t="str">
        <f>MRS!G32</f>
        <v>Nos</v>
      </c>
      <c r="H32" s="95">
        <f>MRS!H32</f>
        <v>3</v>
      </c>
      <c r="I32" s="96">
        <f>MRS!I32</f>
        <v>26400</v>
      </c>
      <c r="J32" s="96">
        <f>MRS!J32</f>
        <v>79200</v>
      </c>
      <c r="K32" s="97"/>
      <c r="O32" s="98"/>
      <c r="P32" s="98"/>
      <c r="R32" s="98"/>
    </row>
    <row r="33" spans="1:18" ht="105" customHeight="1">
      <c r="A33" s="21">
        <f>+MRS!A33</f>
        <v>28</v>
      </c>
      <c r="B33" s="182" t="str">
        <f>MRS!B33</f>
        <v xml:space="preserve">Digital Theodolite DT2A Complete Set </v>
      </c>
      <c r="C33" s="183"/>
      <c r="D33" s="184">
        <f>MRS!D33</f>
        <v>0</v>
      </c>
      <c r="E33" s="185"/>
      <c r="F33" s="186"/>
      <c r="G33" s="95" t="str">
        <f>MRS!G33</f>
        <v>Roll</v>
      </c>
      <c r="H33" s="95">
        <f>MRS!H33</f>
        <v>3</v>
      </c>
      <c r="I33" s="96">
        <f>MRS!I33</f>
        <v>9100</v>
      </c>
      <c r="J33" s="96">
        <f>MRS!J33</f>
        <v>27300</v>
      </c>
      <c r="K33" s="97"/>
      <c r="O33" s="98"/>
      <c r="P33" s="98"/>
      <c r="R33" s="98"/>
    </row>
    <row r="34" spans="1:18" ht="105" customHeight="1">
      <c r="A34" s="21">
        <f>+MRS!A34</f>
        <v>29</v>
      </c>
      <c r="B34" s="182" t="str">
        <f>MRS!B34</f>
        <v>Auto Level B40A Sokkia Complete Set</v>
      </c>
      <c r="C34" s="183"/>
      <c r="D34" s="184">
        <f>MRS!D34</f>
        <v>0</v>
      </c>
      <c r="E34" s="185"/>
      <c r="F34" s="186"/>
      <c r="G34" s="95" t="str">
        <f>MRS!G34</f>
        <v>Nos</v>
      </c>
      <c r="H34" s="95">
        <f>MRS!H34</f>
        <v>5</v>
      </c>
      <c r="I34" s="96">
        <f>MRS!I34</f>
        <v>2040</v>
      </c>
      <c r="J34" s="96">
        <f>MRS!J34</f>
        <v>10200</v>
      </c>
      <c r="K34" s="97"/>
      <c r="O34" s="98"/>
      <c r="P34" s="98"/>
      <c r="R34" s="98"/>
    </row>
    <row r="35" spans="1:18" ht="105" customHeight="1">
      <c r="A35" s="21">
        <f>+MRS!A35</f>
        <v>30</v>
      </c>
      <c r="B35" s="182" t="str">
        <f>MRS!B35</f>
        <v>Aluminum Levelling Staff 5mtr with Bubble &amp; Soft Case Wide Type</v>
      </c>
      <c r="C35" s="183"/>
      <c r="D35" s="184">
        <f>MRS!D35</f>
        <v>0</v>
      </c>
      <c r="E35" s="185"/>
      <c r="F35" s="186"/>
      <c r="G35" s="95" t="str">
        <f>MRS!G35</f>
        <v>Nos</v>
      </c>
      <c r="H35" s="95">
        <f>MRS!H35</f>
        <v>1</v>
      </c>
      <c r="I35" s="96">
        <f>MRS!I35</f>
        <v>390</v>
      </c>
      <c r="J35" s="96">
        <f>MRS!J35</f>
        <v>390</v>
      </c>
      <c r="K35" s="97"/>
      <c r="O35" s="98"/>
      <c r="P35" s="98"/>
      <c r="R35" s="98"/>
    </row>
    <row r="36" spans="1:18" ht="105" customHeight="1">
      <c r="A36" s="21">
        <f>+MRS!A36</f>
        <v>31</v>
      </c>
      <c r="B36" s="182" t="str">
        <f>MRS!B36</f>
        <v>Aluminum Levelling Staff 7mtr with Soft Case</v>
      </c>
      <c r="C36" s="183"/>
      <c r="D36" s="184">
        <f>MRS!D36</f>
        <v>0</v>
      </c>
      <c r="E36" s="185"/>
      <c r="F36" s="186"/>
      <c r="G36" s="95" t="str">
        <f>MRS!G36</f>
        <v>Nos</v>
      </c>
      <c r="H36" s="95">
        <f>MRS!H36</f>
        <v>1</v>
      </c>
      <c r="I36" s="96">
        <f>MRS!I36</f>
        <v>400</v>
      </c>
      <c r="J36" s="96">
        <f>MRS!J36</f>
        <v>400</v>
      </c>
      <c r="K36" s="97"/>
      <c r="O36" s="98"/>
      <c r="P36" s="98"/>
      <c r="R36" s="98"/>
    </row>
    <row r="37" spans="1:18" ht="105" customHeight="1">
      <c r="A37" s="21">
        <f>+MRS!A37</f>
        <v>32</v>
      </c>
      <c r="B37" s="182" t="str">
        <f>MRS!B37</f>
        <v>Tripod Stand ATS10 Heavy Duty</v>
      </c>
      <c r="C37" s="183"/>
      <c r="D37" s="184">
        <f>MRS!D37</f>
        <v>0</v>
      </c>
      <c r="E37" s="185"/>
      <c r="F37" s="186"/>
      <c r="G37" s="95" t="str">
        <f>MRS!G37</f>
        <v>Nos</v>
      </c>
      <c r="H37" s="95">
        <f>MRS!H37</f>
        <v>1</v>
      </c>
      <c r="I37" s="96">
        <f>MRS!I37</f>
        <v>780</v>
      </c>
      <c r="J37" s="96">
        <f>MRS!J37</f>
        <v>780</v>
      </c>
      <c r="K37" s="97"/>
      <c r="O37" s="98"/>
      <c r="P37" s="98"/>
      <c r="R37" s="98"/>
    </row>
    <row r="38" spans="1:18" ht="105" customHeight="1">
      <c r="A38" s="21">
        <f>+MRS!A38</f>
        <v>33</v>
      </c>
      <c r="B38" s="182" t="str">
        <f>MRS!B38</f>
        <v>Digital Multimeter Fluke 15B+</v>
      </c>
      <c r="C38" s="183"/>
      <c r="D38" s="184">
        <f>MRS!D38</f>
        <v>0</v>
      </c>
      <c r="E38" s="185"/>
      <c r="F38" s="186"/>
      <c r="G38" s="95" t="str">
        <f>MRS!G38</f>
        <v>Nos</v>
      </c>
      <c r="H38" s="95">
        <f>MRS!H38</f>
        <v>1</v>
      </c>
      <c r="I38" s="96">
        <f>MRS!I38</f>
        <v>630</v>
      </c>
      <c r="J38" s="96">
        <f>MRS!J38</f>
        <v>630</v>
      </c>
      <c r="K38" s="97"/>
      <c r="O38" s="98"/>
      <c r="P38" s="98"/>
      <c r="R38" s="98"/>
    </row>
    <row r="39" spans="1:18" ht="105" customHeight="1">
      <c r="A39" s="21">
        <f>+MRS!A39</f>
        <v>34</v>
      </c>
      <c r="B39" s="182" t="str">
        <f>MRS!B39</f>
        <v>Feeler Gauge S/S 0.02-1mm 150mm</v>
      </c>
      <c r="C39" s="183"/>
      <c r="D39" s="184">
        <f>MRS!D39</f>
        <v>0</v>
      </c>
      <c r="E39" s="185"/>
      <c r="F39" s="186"/>
      <c r="G39" s="95" t="str">
        <f>MRS!G39</f>
        <v>Nos</v>
      </c>
      <c r="H39" s="95">
        <f>MRS!H39</f>
        <v>3</v>
      </c>
      <c r="I39" s="96">
        <f>MRS!I39</f>
        <v>65</v>
      </c>
      <c r="J39" s="96">
        <f>MRS!J39</f>
        <v>195</v>
      </c>
      <c r="K39" s="97"/>
      <c r="O39" s="98"/>
      <c r="P39" s="98"/>
      <c r="R39" s="98"/>
    </row>
    <row r="40" spans="1:18" ht="105" customHeight="1">
      <c r="A40" s="21">
        <f>+MRS!A40</f>
        <v>35</v>
      </c>
      <c r="B40" s="182" t="str">
        <f>MRS!B40</f>
        <v>Die Grinder 6mm 220V with Paddle Switch GD0600 Makita</v>
      </c>
      <c r="C40" s="183"/>
      <c r="D40" s="184">
        <f>MRS!D40</f>
        <v>0</v>
      </c>
      <c r="E40" s="185"/>
      <c r="F40" s="186"/>
      <c r="G40" s="95" t="str">
        <f>MRS!G40</f>
        <v>Nos</v>
      </c>
      <c r="H40" s="95">
        <f>MRS!H40</f>
        <v>32</v>
      </c>
      <c r="I40" s="96">
        <f>MRS!I40</f>
        <v>440</v>
      </c>
      <c r="J40" s="96">
        <f>MRS!J40</f>
        <v>14080</v>
      </c>
      <c r="K40" s="97"/>
      <c r="O40" s="98"/>
      <c r="P40" s="98"/>
      <c r="R40" s="98"/>
    </row>
    <row r="41" spans="1:18" ht="105" customHeight="1">
      <c r="A41" s="21">
        <f>+MRS!A41</f>
        <v>36</v>
      </c>
      <c r="B41" s="182" t="str">
        <f>MRS!B41</f>
        <v>Angle Grinder 4" 220V with Paddle Switch DWE4002-B5 Dewalt</v>
      </c>
      <c r="C41" s="183"/>
      <c r="D41" s="184">
        <f>MRS!D41</f>
        <v>0</v>
      </c>
      <c r="E41" s="185"/>
      <c r="F41" s="186"/>
      <c r="G41" s="95" t="str">
        <f>MRS!G41</f>
        <v>Nos</v>
      </c>
      <c r="H41" s="95">
        <f>MRS!H41</f>
        <v>66</v>
      </c>
      <c r="I41" s="96">
        <f>MRS!I41</f>
        <v>320</v>
      </c>
      <c r="J41" s="96">
        <f>MRS!J41</f>
        <v>21120</v>
      </c>
      <c r="K41" s="97"/>
      <c r="O41" s="98"/>
      <c r="P41" s="98"/>
      <c r="R41" s="98"/>
    </row>
    <row r="42" spans="1:18" ht="105" customHeight="1">
      <c r="A42" s="21">
        <f>+MRS!A42</f>
        <v>37</v>
      </c>
      <c r="B42" s="182" t="str">
        <f>MRS!B42</f>
        <v>Air Blower 650W GBL650E Bosch</v>
      </c>
      <c r="C42" s="183"/>
      <c r="D42" s="184">
        <f>MRS!D42</f>
        <v>0</v>
      </c>
      <c r="E42" s="185"/>
      <c r="F42" s="186"/>
      <c r="G42" s="95" t="str">
        <f>MRS!G42</f>
        <v>Nos</v>
      </c>
      <c r="H42" s="95">
        <f>MRS!H42</f>
        <v>12</v>
      </c>
      <c r="I42" s="96">
        <f>MRS!I42</f>
        <v>271</v>
      </c>
      <c r="J42" s="96">
        <f>MRS!J42</f>
        <v>3252</v>
      </c>
      <c r="K42" s="97"/>
      <c r="O42" s="98"/>
      <c r="P42" s="98"/>
      <c r="R42" s="98"/>
    </row>
    <row r="43" spans="1:18" ht="105" customHeight="1">
      <c r="A43" s="21">
        <f>+MRS!A43</f>
        <v>38</v>
      </c>
      <c r="B43" s="182" t="str">
        <f>MRS!B43</f>
        <v>Diamond Grinding Wheel 4"</v>
      </c>
      <c r="C43" s="183"/>
      <c r="D43" s="184">
        <f>MRS!D43</f>
        <v>0</v>
      </c>
      <c r="E43" s="185"/>
      <c r="F43" s="186"/>
      <c r="G43" s="95" t="str">
        <f>MRS!G43</f>
        <v>Nos</v>
      </c>
      <c r="H43" s="95">
        <f>MRS!H43</f>
        <v>10</v>
      </c>
      <c r="I43" s="96">
        <f>MRS!I43</f>
        <v>29</v>
      </c>
      <c r="J43" s="96">
        <f>MRS!J43</f>
        <v>290</v>
      </c>
      <c r="K43" s="97"/>
      <c r="O43" s="98"/>
      <c r="P43" s="98"/>
      <c r="R43" s="98"/>
    </row>
    <row r="44" spans="1:18" ht="105" customHeight="1">
      <c r="A44" s="21">
        <f>+MRS!A44</f>
        <v>39</v>
      </c>
      <c r="B44" s="182" t="str">
        <f>MRS!B44</f>
        <v>Ear Plug with Corded</v>
      </c>
      <c r="C44" s="183"/>
      <c r="D44" s="184">
        <f>MRS!D44</f>
        <v>0</v>
      </c>
      <c r="E44" s="185"/>
      <c r="F44" s="186"/>
      <c r="G44" s="95" t="str">
        <f>MRS!G44</f>
        <v>Nos</v>
      </c>
      <c r="H44" s="95">
        <f>MRS!H44</f>
        <v>3100</v>
      </c>
      <c r="I44" s="96">
        <f>MRS!I44</f>
        <v>0.55000000000000004</v>
      </c>
      <c r="J44" s="96">
        <f>MRS!J44</f>
        <v>1705.0000000000002</v>
      </c>
      <c r="K44" s="97"/>
      <c r="O44" s="98"/>
      <c r="P44" s="98"/>
      <c r="R44" s="98"/>
    </row>
    <row r="45" spans="1:18" ht="105" customHeight="1">
      <c r="A45" s="21">
        <f>+MRS!A45</f>
        <v>40</v>
      </c>
      <c r="B45" s="182" t="str">
        <f>MRS!B45</f>
        <v>Dust Mask N95 Venus</v>
      </c>
      <c r="C45" s="183"/>
      <c r="D45" s="184">
        <f>MRS!D45</f>
        <v>0</v>
      </c>
      <c r="E45" s="185"/>
      <c r="F45" s="186"/>
      <c r="G45" s="95" t="str">
        <f>MRS!G45</f>
        <v>Nos</v>
      </c>
      <c r="H45" s="95">
        <f>MRS!H45</f>
        <v>4000</v>
      </c>
      <c r="I45" s="96">
        <f>MRS!I45</f>
        <v>1.5</v>
      </c>
      <c r="J45" s="96">
        <f>MRS!J45</f>
        <v>6000</v>
      </c>
      <c r="K45" s="97"/>
      <c r="O45" s="98"/>
      <c r="P45" s="98"/>
      <c r="R45" s="98"/>
    </row>
    <row r="46" spans="1:18" ht="105" customHeight="1">
      <c r="A46" s="21">
        <f>+MRS!A46</f>
        <v>41</v>
      </c>
      <c r="B46" s="182" t="str">
        <f>MRS!B46</f>
        <v>Pyrometer Infrared Thermometer</v>
      </c>
      <c r="C46" s="183"/>
      <c r="D46" s="184">
        <f>MRS!D46</f>
        <v>0</v>
      </c>
      <c r="E46" s="185"/>
      <c r="F46" s="186"/>
      <c r="G46" s="95" t="str">
        <f>MRS!G46</f>
        <v>Nos</v>
      </c>
      <c r="H46" s="95">
        <f>MRS!H46</f>
        <v>2</v>
      </c>
      <c r="I46" s="96">
        <f>MRS!I46</f>
        <v>95</v>
      </c>
      <c r="J46" s="96">
        <f>MRS!J46</f>
        <v>190</v>
      </c>
      <c r="K46" s="97"/>
      <c r="O46" s="98"/>
      <c r="P46" s="98"/>
      <c r="R46" s="98"/>
    </row>
    <row r="47" spans="1:18" ht="105" customHeight="1">
      <c r="A47" s="21">
        <f>+MRS!A47</f>
        <v>42</v>
      </c>
      <c r="B47" s="182" t="str">
        <f>MRS!B47</f>
        <v>Dial Indicator 0-5mm/0.01mm 2044A Mitutoyo</v>
      </c>
      <c r="C47" s="183"/>
      <c r="D47" s="184">
        <f>MRS!D47</f>
        <v>0</v>
      </c>
      <c r="E47" s="185"/>
      <c r="F47" s="186"/>
      <c r="G47" s="95" t="str">
        <f>MRS!G47</f>
        <v>Nos</v>
      </c>
      <c r="H47" s="95">
        <f>MRS!H47</f>
        <v>4</v>
      </c>
      <c r="I47" s="96">
        <f>MRS!I47</f>
        <v>360</v>
      </c>
      <c r="J47" s="96">
        <f>MRS!J47</f>
        <v>1440</v>
      </c>
      <c r="K47" s="97"/>
      <c r="O47" s="98"/>
      <c r="P47" s="98"/>
      <c r="R47" s="98"/>
    </row>
    <row r="48" spans="1:18" ht="105" customHeight="1">
      <c r="A48" s="21">
        <f>+MRS!A48</f>
        <v>43</v>
      </c>
      <c r="B48" s="182" t="str">
        <f>MRS!B48</f>
        <v>Dial Indicator 0-10mm/0.01mm 2046A Mitutoyo</v>
      </c>
      <c r="C48" s="183"/>
      <c r="D48" s="184">
        <f>MRS!D48</f>
        <v>0</v>
      </c>
      <c r="E48" s="185"/>
      <c r="F48" s="186"/>
      <c r="G48" s="95" t="str">
        <f>MRS!G48</f>
        <v>Nos</v>
      </c>
      <c r="H48" s="95">
        <f>MRS!H48</f>
        <v>4</v>
      </c>
      <c r="I48" s="96">
        <f>MRS!I48</f>
        <v>235</v>
      </c>
      <c r="J48" s="96">
        <f>MRS!J48</f>
        <v>940</v>
      </c>
      <c r="K48" s="97"/>
      <c r="O48" s="98"/>
      <c r="P48" s="98"/>
      <c r="R48" s="98"/>
    </row>
    <row r="49" spans="1:18" ht="105" customHeight="1">
      <c r="A49" s="21">
        <f>+MRS!A49</f>
        <v>44</v>
      </c>
      <c r="B49" s="182" t="str">
        <f>MRS!B49</f>
        <v>Sand Paper Roll 4"</v>
      </c>
      <c r="C49" s="183"/>
      <c r="D49" s="184">
        <f>MRS!D49</f>
        <v>0</v>
      </c>
      <c r="E49" s="185"/>
      <c r="F49" s="186"/>
      <c r="G49" s="95" t="str">
        <f>MRS!G49</f>
        <v>Nos</v>
      </c>
      <c r="H49" s="95">
        <f>MRS!H49</f>
        <v>3</v>
      </c>
      <c r="I49" s="96">
        <f>MRS!I49</f>
        <v>85</v>
      </c>
      <c r="J49" s="96">
        <f>MRS!J49</f>
        <v>255</v>
      </c>
      <c r="K49" s="97"/>
      <c r="O49" s="98"/>
      <c r="P49" s="98"/>
      <c r="R49" s="98"/>
    </row>
    <row r="50" spans="1:18" ht="105" customHeight="1">
      <c r="A50" s="21">
        <f>+MRS!A50</f>
        <v>45</v>
      </c>
      <c r="B50" s="182" t="str">
        <f>MRS!B50</f>
        <v>Chipping Pointed Chisel 18x600mm SDS Max Bosch</v>
      </c>
      <c r="C50" s="183"/>
      <c r="D50" s="184">
        <f>MRS!D50</f>
        <v>0</v>
      </c>
      <c r="E50" s="185"/>
      <c r="F50" s="186"/>
      <c r="G50" s="95" t="str">
        <f>MRS!G50</f>
        <v>Nos</v>
      </c>
      <c r="H50" s="95">
        <f>MRS!H50</f>
        <v>20</v>
      </c>
      <c r="I50" s="96">
        <f>MRS!I50</f>
        <v>114</v>
      </c>
      <c r="J50" s="96">
        <f>MRS!J50</f>
        <v>2280</v>
      </c>
      <c r="K50" s="97"/>
      <c r="O50" s="98"/>
      <c r="P50" s="98"/>
      <c r="R50" s="98"/>
    </row>
    <row r="51" spans="1:18" ht="105" customHeight="1">
      <c r="A51" s="21">
        <f>+MRS!A51</f>
        <v>46</v>
      </c>
      <c r="B51" s="182" t="str">
        <f>MRS!B51</f>
        <v>Chipping Pointed Chisel 18x400mm SDS Max Bosch</v>
      </c>
      <c r="C51" s="183"/>
      <c r="D51" s="184">
        <f>MRS!D51</f>
        <v>0</v>
      </c>
      <c r="E51" s="185"/>
      <c r="F51" s="186"/>
      <c r="G51" s="95" t="str">
        <f>MRS!G51</f>
        <v>Nos</v>
      </c>
      <c r="H51" s="95">
        <f>MRS!H51</f>
        <v>10</v>
      </c>
      <c r="I51" s="96">
        <f>MRS!I51</f>
        <v>46</v>
      </c>
      <c r="J51" s="96">
        <f>MRS!J51</f>
        <v>460</v>
      </c>
      <c r="K51" s="97"/>
      <c r="O51" s="98"/>
      <c r="P51" s="98"/>
      <c r="R51" s="98"/>
    </row>
    <row r="52" spans="1:18" ht="105" customHeight="1">
      <c r="A52" s="21">
        <f>+MRS!A52</f>
        <v>47</v>
      </c>
      <c r="B52" s="182" t="str">
        <f>MRS!B52</f>
        <v>Renolin B Oil RENOLIN B ISO 46-20ltr</v>
      </c>
      <c r="C52" s="183"/>
      <c r="D52" s="184">
        <f>MRS!D52</f>
        <v>0</v>
      </c>
      <c r="E52" s="185"/>
      <c r="F52" s="186"/>
      <c r="G52" s="95" t="str">
        <f>MRS!G52</f>
        <v>Set</v>
      </c>
      <c r="H52" s="95">
        <f>MRS!H52</f>
        <v>6</v>
      </c>
      <c r="I52" s="96">
        <f>MRS!I52</f>
        <v>350</v>
      </c>
      <c r="J52" s="96">
        <f>MRS!J52</f>
        <v>2100</v>
      </c>
      <c r="K52" s="97"/>
      <c r="O52" s="98"/>
      <c r="P52" s="98"/>
      <c r="R52" s="98"/>
    </row>
    <row r="53" spans="1:18" ht="105" customHeight="1">
      <c r="A53" s="21">
        <f>+MRS!A53</f>
        <v>48</v>
      </c>
      <c r="B53" s="182" t="str">
        <f>MRS!B53</f>
        <v>PVC Clear Hose 3/4"</v>
      </c>
      <c r="C53" s="183"/>
      <c r="D53" s="184">
        <f>MRS!D53</f>
        <v>0</v>
      </c>
      <c r="E53" s="185"/>
      <c r="F53" s="186"/>
      <c r="G53" s="95" t="str">
        <f>MRS!G53</f>
        <v>Nos</v>
      </c>
      <c r="H53" s="95">
        <f>MRS!H53</f>
        <v>6</v>
      </c>
      <c r="I53" s="96">
        <f>MRS!I53</f>
        <v>8</v>
      </c>
      <c r="J53" s="96">
        <f>MRS!J53</f>
        <v>48</v>
      </c>
      <c r="K53" s="97"/>
      <c r="O53" s="98"/>
      <c r="P53" s="98"/>
      <c r="R53" s="98"/>
    </row>
    <row r="54" spans="1:18" ht="105" customHeight="1">
      <c r="A54" s="21">
        <f>+MRS!A54</f>
        <v>49</v>
      </c>
      <c r="B54" s="182" t="str">
        <f>MRS!B54</f>
        <v>Hacksaw Frame 12"</v>
      </c>
      <c r="C54" s="183"/>
      <c r="D54" s="184">
        <f>MRS!D54</f>
        <v>0</v>
      </c>
      <c r="E54" s="185"/>
      <c r="F54" s="186"/>
      <c r="G54" s="95" t="str">
        <f>MRS!G54</f>
        <v>Nos</v>
      </c>
      <c r="H54" s="95">
        <f>MRS!H54</f>
        <v>5</v>
      </c>
      <c r="I54" s="96">
        <f>MRS!I54</f>
        <v>11</v>
      </c>
      <c r="J54" s="96">
        <f>MRS!J54</f>
        <v>55</v>
      </c>
      <c r="K54" s="97"/>
      <c r="O54" s="98"/>
      <c r="P54" s="98"/>
      <c r="R54" s="98"/>
    </row>
    <row r="55" spans="1:18" ht="105" customHeight="1">
      <c r="A55" s="21">
        <f>+MRS!A55</f>
        <v>50</v>
      </c>
      <c r="B55" s="182" t="str">
        <f>MRS!B55</f>
        <v>Hacksaw Blade C/S 12"</v>
      </c>
      <c r="C55" s="183"/>
      <c r="D55" s="184">
        <f>MRS!D55</f>
        <v>0</v>
      </c>
      <c r="E55" s="185"/>
      <c r="F55" s="186"/>
      <c r="G55" s="95" t="str">
        <f>MRS!G55</f>
        <v>Nos</v>
      </c>
      <c r="H55" s="95">
        <f>MRS!H55</f>
        <v>4</v>
      </c>
      <c r="I55" s="96">
        <f>MRS!I55</f>
        <v>1</v>
      </c>
      <c r="J55" s="96">
        <f>MRS!J55</f>
        <v>4</v>
      </c>
      <c r="K55" s="97"/>
      <c r="O55" s="98"/>
      <c r="P55" s="98"/>
      <c r="R55" s="98"/>
    </row>
    <row r="56" spans="1:18" ht="105" customHeight="1">
      <c r="A56" s="21">
        <f>+MRS!A56</f>
        <v>51</v>
      </c>
      <c r="B56" s="182" t="str">
        <f>MRS!B56</f>
        <v>Ordinary Plywood 4'x8'x6mm Indonesia</v>
      </c>
      <c r="C56" s="183"/>
      <c r="D56" s="184">
        <f>MRS!D56</f>
        <v>0</v>
      </c>
      <c r="E56" s="185"/>
      <c r="F56" s="186"/>
      <c r="G56" s="95" t="str">
        <f>MRS!G56</f>
        <v>Nos</v>
      </c>
      <c r="H56" s="95">
        <f>MRS!H56</f>
        <v>120</v>
      </c>
      <c r="I56" s="96">
        <f>MRS!I56</f>
        <v>56</v>
      </c>
      <c r="J56" s="96">
        <f>MRS!J56</f>
        <v>6720</v>
      </c>
      <c r="K56" s="97"/>
      <c r="O56" s="98"/>
      <c r="P56" s="98"/>
      <c r="R56" s="98"/>
    </row>
    <row r="57" spans="1:18" ht="105" customHeight="1">
      <c r="A57" s="21">
        <f>+MRS!A57</f>
        <v>52</v>
      </c>
      <c r="B57" s="182" t="str">
        <f>MRS!B57</f>
        <v>Window A/C 1.5Ton Super General</v>
      </c>
      <c r="C57" s="183"/>
      <c r="D57" s="184">
        <f>MRS!D57</f>
        <v>0</v>
      </c>
      <c r="E57" s="185"/>
      <c r="F57" s="186"/>
      <c r="G57" s="95" t="str">
        <f>MRS!G57</f>
        <v>Pkt</v>
      </c>
      <c r="H57" s="95">
        <f>MRS!H57</f>
        <v>4</v>
      </c>
      <c r="I57" s="96">
        <f>MRS!I57</f>
        <v>1365</v>
      </c>
      <c r="J57" s="96">
        <f>MRS!J57</f>
        <v>5460</v>
      </c>
      <c r="K57" s="97"/>
      <c r="O57" s="98"/>
      <c r="P57" s="98"/>
      <c r="R57" s="98"/>
    </row>
    <row r="58" spans="1:18" ht="105" customHeight="1">
      <c r="A58" s="21">
        <f>+MRS!A58</f>
        <v>53</v>
      </c>
      <c r="B58" s="182" t="str">
        <f>MRS!B58</f>
        <v>Spray Paint Blue Asmaco</v>
      </c>
      <c r="C58" s="183"/>
      <c r="D58" s="184">
        <f>MRS!D58</f>
        <v>0</v>
      </c>
      <c r="E58" s="185"/>
      <c r="F58" s="186"/>
      <c r="G58" s="95" t="str">
        <f>MRS!G58</f>
        <v>Nos</v>
      </c>
      <c r="H58" s="95">
        <f>MRS!H58</f>
        <v>12</v>
      </c>
      <c r="I58" s="96">
        <f>MRS!I58</f>
        <v>4</v>
      </c>
      <c r="J58" s="96">
        <f>MRS!J58</f>
        <v>48</v>
      </c>
      <c r="K58" s="97"/>
      <c r="O58" s="98"/>
      <c r="P58" s="98"/>
      <c r="R58" s="98"/>
    </row>
    <row r="59" spans="1:18" ht="105" customHeight="1">
      <c r="A59" s="21">
        <f>+MRS!A59</f>
        <v>54</v>
      </c>
      <c r="B59" s="182" t="str">
        <f>MRS!B59</f>
        <v>Zinc Spray Paint</v>
      </c>
      <c r="C59" s="183"/>
      <c r="D59" s="184">
        <f>MRS!D59</f>
        <v>0</v>
      </c>
      <c r="E59" s="185"/>
      <c r="F59" s="186"/>
      <c r="G59" s="95" t="str">
        <f>MRS!G59</f>
        <v>Nos</v>
      </c>
      <c r="H59" s="95">
        <f>MRS!H59</f>
        <v>84</v>
      </c>
      <c r="I59" s="96">
        <f>MRS!I59</f>
        <v>35</v>
      </c>
      <c r="J59" s="96">
        <f>MRS!J59</f>
        <v>2940</v>
      </c>
      <c r="K59" s="97"/>
      <c r="O59" s="98"/>
      <c r="P59" s="98"/>
      <c r="R59" s="98"/>
    </row>
    <row r="60" spans="1:18" ht="105" customHeight="1">
      <c r="A60" s="21">
        <f>+MRS!A60</f>
        <v>55</v>
      </c>
      <c r="B60" s="182" t="str">
        <f>MRS!B60</f>
        <v>Flap Disc S/S 4" 80 Grit</v>
      </c>
      <c r="C60" s="183"/>
      <c r="D60" s="184">
        <f>MRS!D60</f>
        <v>0</v>
      </c>
      <c r="E60" s="185"/>
      <c r="F60" s="186"/>
      <c r="G60" s="95" t="str">
        <f>MRS!G60</f>
        <v>Nos</v>
      </c>
      <c r="H60" s="95">
        <f>MRS!H60</f>
        <v>4300</v>
      </c>
      <c r="I60" s="96">
        <f>MRS!I60</f>
        <v>4.3</v>
      </c>
      <c r="J60" s="96">
        <f>MRS!J60</f>
        <v>18490</v>
      </c>
      <c r="K60" s="97"/>
      <c r="O60" s="98"/>
      <c r="P60" s="98"/>
      <c r="R60" s="98"/>
    </row>
    <row r="61" spans="1:18" ht="105" customHeight="1">
      <c r="A61" s="21">
        <f>+MRS!A61</f>
        <v>56</v>
      </c>
      <c r="B61" s="182" t="str">
        <f>MRS!B61</f>
        <v>Teflon Tape 19mm x 40yard</v>
      </c>
      <c r="C61" s="183"/>
      <c r="D61" s="184">
        <f>MRS!D61</f>
        <v>0</v>
      </c>
      <c r="E61" s="185"/>
      <c r="F61" s="186"/>
      <c r="G61" s="95" t="str">
        <f>MRS!G61</f>
        <v>Nos</v>
      </c>
      <c r="H61" s="95">
        <f>MRS!H61</f>
        <v>1500</v>
      </c>
      <c r="I61" s="96">
        <f>MRS!I61</f>
        <v>1.8</v>
      </c>
      <c r="J61" s="96">
        <f>MRS!J61</f>
        <v>2700</v>
      </c>
      <c r="K61" s="97"/>
      <c r="O61" s="98"/>
      <c r="P61" s="98"/>
      <c r="R61" s="98"/>
    </row>
    <row r="62" spans="1:18" ht="105" customHeight="1">
      <c r="A62" s="21">
        <f>+MRS!A62</f>
        <v>57</v>
      </c>
      <c r="B62" s="182" t="str">
        <f>MRS!B62</f>
        <v>VD-40 Spray</v>
      </c>
      <c r="C62" s="183"/>
      <c r="D62" s="184">
        <f>MRS!D62</f>
        <v>0</v>
      </c>
      <c r="E62" s="185"/>
      <c r="F62" s="186"/>
      <c r="G62" s="95" t="str">
        <f>MRS!G62</f>
        <v>Nos</v>
      </c>
      <c r="H62" s="95">
        <f>MRS!H62</f>
        <v>240</v>
      </c>
      <c r="I62" s="96">
        <f>MRS!I62</f>
        <v>5</v>
      </c>
      <c r="J62" s="96">
        <f>MRS!J62</f>
        <v>1200</v>
      </c>
      <c r="K62" s="97"/>
      <c r="O62" s="98"/>
      <c r="P62" s="98"/>
      <c r="R62" s="98"/>
    </row>
    <row r="63" spans="1:18" ht="105" customHeight="1">
      <c r="A63" s="21">
        <f>+MRS!A63</f>
        <v>58</v>
      </c>
      <c r="B63" s="182" t="str">
        <f>MRS!B63</f>
        <v>Plastic Sandbag Heavy Duty (Gunny Sack) 50kg</v>
      </c>
      <c r="C63" s="183"/>
      <c r="D63" s="184">
        <f>MRS!D63</f>
        <v>0</v>
      </c>
      <c r="E63" s="185"/>
      <c r="F63" s="186"/>
      <c r="G63" s="95" t="str">
        <f>MRS!G63</f>
        <v>Nos</v>
      </c>
      <c r="H63" s="95">
        <f>MRS!H63</f>
        <v>1500</v>
      </c>
      <c r="I63" s="96">
        <f>MRS!I63</f>
        <v>2.8</v>
      </c>
      <c r="J63" s="96">
        <f>MRS!J63</f>
        <v>4200</v>
      </c>
      <c r="K63" s="97"/>
      <c r="O63" s="98"/>
      <c r="P63" s="98"/>
      <c r="R63" s="98"/>
    </row>
    <row r="64" spans="1:18" ht="105" customHeight="1">
      <c r="A64" s="21">
        <f>+MRS!A64</f>
        <v>59</v>
      </c>
      <c r="B64" s="182" t="str">
        <f>MRS!B64</f>
        <v>Welding Glass Dark #10</v>
      </c>
      <c r="C64" s="183"/>
      <c r="D64" s="184">
        <f>MRS!D64</f>
        <v>0</v>
      </c>
      <c r="E64" s="185"/>
      <c r="F64" s="186"/>
      <c r="G64" s="95" t="str">
        <f>MRS!G64</f>
        <v>Nos</v>
      </c>
      <c r="H64" s="95">
        <f>MRS!H64</f>
        <v>100</v>
      </c>
      <c r="I64" s="96">
        <f>MRS!I64</f>
        <v>0.95</v>
      </c>
      <c r="J64" s="96">
        <f>MRS!J64</f>
        <v>95</v>
      </c>
      <c r="K64" s="97"/>
      <c r="O64" s="98"/>
      <c r="P64" s="98"/>
      <c r="R64" s="98"/>
    </row>
    <row r="65" spans="1:18" ht="105" customHeight="1">
      <c r="A65" s="21">
        <f>+MRS!A65</f>
        <v>60</v>
      </c>
      <c r="B65" s="182" t="str">
        <f>MRS!B65</f>
        <v>Welding Glass Dark #11</v>
      </c>
      <c r="C65" s="183"/>
      <c r="D65" s="184">
        <f>MRS!D65</f>
        <v>0</v>
      </c>
      <c r="E65" s="185"/>
      <c r="F65" s="186"/>
      <c r="G65" s="95" t="str">
        <f>MRS!G65</f>
        <v>Nos</v>
      </c>
      <c r="H65" s="95">
        <f>MRS!H65</f>
        <v>150</v>
      </c>
      <c r="I65" s="96">
        <f>MRS!I65</f>
        <v>0.95</v>
      </c>
      <c r="J65" s="96">
        <f>MRS!J65</f>
        <v>142.5</v>
      </c>
      <c r="K65" s="97"/>
      <c r="O65" s="98"/>
      <c r="P65" s="98"/>
      <c r="R65" s="98"/>
    </row>
    <row r="66" spans="1:18" ht="105" customHeight="1">
      <c r="A66" s="21">
        <f>+MRS!A66</f>
        <v>61</v>
      </c>
      <c r="B66" s="182" t="str">
        <f>MRS!B66</f>
        <v>Welding Glass Dark #12</v>
      </c>
      <c r="C66" s="183"/>
      <c r="D66" s="184">
        <f>MRS!D66</f>
        <v>0</v>
      </c>
      <c r="E66" s="185"/>
      <c r="F66" s="186"/>
      <c r="G66" s="95" t="str">
        <f>MRS!G66</f>
        <v>Nos</v>
      </c>
      <c r="H66" s="95">
        <f>MRS!H66</f>
        <v>100</v>
      </c>
      <c r="I66" s="96">
        <f>MRS!I66</f>
        <v>0.95</v>
      </c>
      <c r="J66" s="96">
        <f>MRS!J66</f>
        <v>95</v>
      </c>
      <c r="K66" s="97"/>
      <c r="O66" s="98"/>
      <c r="P66" s="98"/>
      <c r="R66" s="98"/>
    </row>
    <row r="67" spans="1:18" ht="105" customHeight="1">
      <c r="A67" s="21">
        <f>+MRS!A67</f>
        <v>62</v>
      </c>
      <c r="B67" s="182" t="str">
        <f>MRS!B67</f>
        <v>Welding Cable Connector 50-70mm2 Male &amp; Female</v>
      </c>
      <c r="C67" s="183"/>
      <c r="D67" s="184">
        <f>MRS!D67</f>
        <v>0</v>
      </c>
      <c r="E67" s="185"/>
      <c r="F67" s="186"/>
      <c r="G67" s="95" t="str">
        <f>MRS!G67</f>
        <v>Nos</v>
      </c>
      <c r="H67" s="95">
        <f>MRS!H67</f>
        <v>50</v>
      </c>
      <c r="I67" s="96">
        <f>MRS!I67</f>
        <v>18</v>
      </c>
      <c r="J67" s="96">
        <f>MRS!J67</f>
        <v>900</v>
      </c>
      <c r="K67" s="97"/>
      <c r="O67" s="98"/>
      <c r="P67" s="98"/>
      <c r="R67" s="98"/>
    </row>
    <row r="68" spans="1:18" ht="105" customHeight="1">
      <c r="A68" s="21">
        <f>+MRS!A68</f>
        <v>63</v>
      </c>
      <c r="B68" s="182" t="str">
        <f>MRS!B68</f>
        <v>Tig Collet Body 350A 3.2mm</v>
      </c>
      <c r="C68" s="183"/>
      <c r="D68" s="184">
        <f>MRS!D68</f>
        <v>0</v>
      </c>
      <c r="E68" s="185"/>
      <c r="F68" s="186"/>
      <c r="G68" s="95" t="str">
        <f>MRS!G68</f>
        <v>Nos</v>
      </c>
      <c r="H68" s="95">
        <f>MRS!H68</f>
        <v>100</v>
      </c>
      <c r="I68" s="96">
        <f>MRS!I68</f>
        <v>13</v>
      </c>
      <c r="J68" s="96">
        <f>MRS!J68</f>
        <v>1300</v>
      </c>
      <c r="K68" s="97"/>
      <c r="O68" s="98"/>
      <c r="P68" s="98"/>
      <c r="R68" s="98"/>
    </row>
    <row r="69" spans="1:18" ht="105" customHeight="1">
      <c r="A69" s="21">
        <f>+MRS!A69</f>
        <v>64</v>
      </c>
      <c r="B69" s="182" t="str">
        <f>MRS!B69</f>
        <v>Tig Collet Body 350A 2.4mm</v>
      </c>
      <c r="C69" s="183"/>
      <c r="D69" s="184">
        <f>MRS!D69</f>
        <v>0</v>
      </c>
      <c r="E69" s="185"/>
      <c r="F69" s="186"/>
      <c r="G69" s="95" t="str">
        <f>MRS!G69</f>
        <v>Nos</v>
      </c>
      <c r="H69" s="95">
        <f>MRS!H69</f>
        <v>200</v>
      </c>
      <c r="I69" s="96">
        <f>MRS!I69</f>
        <v>13</v>
      </c>
      <c r="J69" s="96">
        <f>MRS!J69</f>
        <v>2600</v>
      </c>
      <c r="K69" s="97"/>
      <c r="O69" s="98"/>
      <c r="P69" s="98"/>
      <c r="R69" s="98"/>
    </row>
    <row r="70" spans="1:18" ht="105" customHeight="1">
      <c r="A70" s="21">
        <f>+MRS!A70</f>
        <v>65</v>
      </c>
      <c r="B70" s="182" t="str">
        <f>MRS!B70</f>
        <v>Tig Collet Pin 350A 2.4mm</v>
      </c>
      <c r="C70" s="183"/>
      <c r="D70" s="184">
        <f>MRS!D70</f>
        <v>0</v>
      </c>
      <c r="E70" s="185"/>
      <c r="F70" s="186"/>
      <c r="G70" s="95" t="str">
        <f>MRS!G70</f>
        <v>Nos</v>
      </c>
      <c r="H70" s="95">
        <f>MRS!H70</f>
        <v>200</v>
      </c>
      <c r="I70" s="96">
        <f>MRS!I70</f>
        <v>5.9</v>
      </c>
      <c r="J70" s="96">
        <f>MRS!J70</f>
        <v>1180</v>
      </c>
      <c r="K70" s="97"/>
      <c r="O70" s="98"/>
      <c r="P70" s="98"/>
      <c r="R70" s="98"/>
    </row>
    <row r="71" spans="1:18" ht="105" customHeight="1">
      <c r="A71" s="21">
        <f>+MRS!A71</f>
        <v>66</v>
      </c>
      <c r="B71" s="182" t="str">
        <f>MRS!B71</f>
        <v>Tig Torch Back Cap Long (57Y02)</v>
      </c>
      <c r="C71" s="183"/>
      <c r="D71" s="184">
        <f>MRS!D71</f>
        <v>0</v>
      </c>
      <c r="E71" s="185"/>
      <c r="F71" s="186"/>
      <c r="G71" s="95" t="str">
        <f>MRS!G71</f>
        <v>Nos</v>
      </c>
      <c r="H71" s="95">
        <f>MRS!H71</f>
        <v>100</v>
      </c>
      <c r="I71" s="96">
        <f>MRS!I71</f>
        <v>4.2</v>
      </c>
      <c r="J71" s="96">
        <f>MRS!J71</f>
        <v>420</v>
      </c>
      <c r="K71" s="97"/>
      <c r="O71" s="98"/>
      <c r="P71" s="98"/>
      <c r="R71" s="98"/>
    </row>
    <row r="72" spans="1:18" ht="105" customHeight="1">
      <c r="A72" s="21">
        <f>+MRS!A72</f>
        <v>67</v>
      </c>
      <c r="B72" s="182" t="str">
        <f>MRS!B72</f>
        <v>Tig Torch Back Cap Short (57Y04)</v>
      </c>
      <c r="C72" s="183"/>
      <c r="D72" s="184">
        <f>MRS!D72</f>
        <v>0</v>
      </c>
      <c r="E72" s="185"/>
      <c r="F72" s="186"/>
      <c r="G72" s="95" t="str">
        <f>MRS!G72</f>
        <v>Nos</v>
      </c>
      <c r="H72" s="95">
        <f>MRS!H72</f>
        <v>200</v>
      </c>
      <c r="I72" s="96">
        <f>MRS!I72</f>
        <v>3.5</v>
      </c>
      <c r="J72" s="96">
        <f>MRS!J72</f>
        <v>700</v>
      </c>
      <c r="K72" s="97"/>
      <c r="O72" s="98"/>
      <c r="P72" s="98"/>
      <c r="R72" s="98"/>
    </row>
    <row r="73" spans="1:18" ht="105" customHeight="1">
      <c r="A73" s="21">
        <f>+MRS!A73</f>
        <v>68</v>
      </c>
      <c r="B73" s="182" t="str">
        <f>MRS!B73</f>
        <v>Tungsten Electrode 2.4mm</v>
      </c>
      <c r="C73" s="183"/>
      <c r="D73" s="184">
        <f>MRS!D73</f>
        <v>0</v>
      </c>
      <c r="E73" s="185"/>
      <c r="F73" s="186"/>
      <c r="G73" s="95" t="str">
        <f>MRS!G73</f>
        <v>Nos</v>
      </c>
      <c r="H73" s="95">
        <f>MRS!H73</f>
        <v>800</v>
      </c>
      <c r="I73" s="96">
        <f>MRS!I73</f>
        <v>21</v>
      </c>
      <c r="J73" s="96">
        <f>MRS!J73</f>
        <v>16800</v>
      </c>
      <c r="K73" s="97"/>
      <c r="O73" s="98"/>
      <c r="P73" s="98"/>
      <c r="R73" s="98"/>
    </row>
    <row r="74" spans="1:18" ht="105" customHeight="1">
      <c r="A74" s="21">
        <f>+MRS!A74</f>
        <v>69</v>
      </c>
      <c r="B74" s="182" t="str">
        <f>MRS!B74</f>
        <v>Double Ear Clamp S/S 11-13mm</v>
      </c>
      <c r="C74" s="183"/>
      <c r="D74" s="184">
        <f>MRS!D74</f>
        <v>0</v>
      </c>
      <c r="E74" s="185"/>
      <c r="F74" s="186"/>
      <c r="G74" s="95" t="str">
        <f>MRS!G74</f>
        <v>Nos</v>
      </c>
      <c r="H74" s="95">
        <f>MRS!H74</f>
        <v>200</v>
      </c>
      <c r="I74" s="96">
        <f>MRS!I74</f>
        <v>5.6</v>
      </c>
      <c r="J74" s="96">
        <f>MRS!J74</f>
        <v>1120</v>
      </c>
      <c r="K74" s="97"/>
      <c r="O74" s="98"/>
      <c r="P74" s="98"/>
      <c r="R74" s="98"/>
    </row>
    <row r="75" spans="1:18" ht="105" customHeight="1">
      <c r="A75" s="21">
        <f>+MRS!A75</f>
        <v>70</v>
      </c>
      <c r="B75" s="182" t="str">
        <f>MRS!B75</f>
        <v>Argon Regulator Connector Nut &amp; Nipple 9/16"-1/4"</v>
      </c>
      <c r="C75" s="183"/>
      <c r="D75" s="184">
        <f>MRS!D75</f>
        <v>0</v>
      </c>
      <c r="E75" s="185"/>
      <c r="F75" s="186"/>
      <c r="G75" s="95" t="str">
        <f>MRS!G75</f>
        <v>Nos</v>
      </c>
      <c r="H75" s="95">
        <f>MRS!H75</f>
        <v>400</v>
      </c>
      <c r="I75" s="96">
        <f>MRS!I75</f>
        <v>9.8000000000000007</v>
      </c>
      <c r="J75" s="96">
        <f>MRS!J75</f>
        <v>3920.0000000000005</v>
      </c>
      <c r="K75" s="97"/>
      <c r="O75" s="98"/>
      <c r="P75" s="98"/>
      <c r="R75" s="98"/>
    </row>
    <row r="76" spans="1:18" ht="105" customHeight="1">
      <c r="A76" s="21">
        <f>+MRS!A76</f>
        <v>71</v>
      </c>
      <c r="B76" s="182" t="str">
        <f>MRS!B76</f>
        <v>Plastic Whistle</v>
      </c>
      <c r="C76" s="183"/>
      <c r="D76" s="184">
        <f>MRS!D76</f>
        <v>0</v>
      </c>
      <c r="E76" s="185"/>
      <c r="F76" s="186"/>
      <c r="G76" s="95" t="str">
        <f>MRS!G76</f>
        <v>Nos</v>
      </c>
      <c r="H76" s="95">
        <f>MRS!H76</f>
        <v>9</v>
      </c>
      <c r="I76" s="96">
        <f>MRS!I76</f>
        <v>5.2</v>
      </c>
      <c r="J76" s="96">
        <f>MRS!J76</f>
        <v>46.800000000000004</v>
      </c>
      <c r="K76" s="97"/>
      <c r="O76" s="98"/>
      <c r="P76" s="98"/>
      <c r="R76" s="98"/>
    </row>
    <row r="77" spans="1:18" ht="105" customHeight="1">
      <c r="A77" s="21">
        <f>+MRS!A77</f>
        <v>72</v>
      </c>
      <c r="B77" s="182" t="str">
        <f>MRS!B77</f>
        <v>PVC Cable Trunking 16x20mm</v>
      </c>
      <c r="C77" s="183"/>
      <c r="D77" s="184">
        <f>MRS!D77</f>
        <v>0</v>
      </c>
      <c r="E77" s="185"/>
      <c r="F77" s="186"/>
      <c r="G77" s="95" t="str">
        <f>MRS!G77</f>
        <v>Nos</v>
      </c>
      <c r="H77" s="95">
        <f>MRS!H77</f>
        <v>20</v>
      </c>
      <c r="I77" s="96">
        <f>MRS!I77</f>
        <v>8</v>
      </c>
      <c r="J77" s="96">
        <f>MRS!J77</f>
        <v>160</v>
      </c>
      <c r="K77" s="97"/>
      <c r="O77" s="98"/>
      <c r="P77" s="98"/>
      <c r="R77" s="98"/>
    </row>
    <row r="78" spans="1:18" ht="105" customHeight="1">
      <c r="A78" s="21">
        <f>+MRS!A78</f>
        <v>73</v>
      </c>
      <c r="B78" s="182" t="str">
        <f>MRS!B78</f>
        <v>Welding Earth Clamp Brass G-Type 300A</v>
      </c>
      <c r="C78" s="183"/>
      <c r="D78" s="184">
        <f>MRS!D78</f>
        <v>0</v>
      </c>
      <c r="E78" s="185"/>
      <c r="F78" s="186"/>
      <c r="G78" s="95" t="str">
        <f>MRS!G78</f>
        <v>Nos</v>
      </c>
      <c r="H78" s="95">
        <f>MRS!H78</f>
        <v>20</v>
      </c>
      <c r="I78" s="96">
        <f>MRS!I78</f>
        <v>95</v>
      </c>
      <c r="J78" s="96">
        <f>MRS!J78</f>
        <v>1900</v>
      </c>
      <c r="K78" s="97"/>
      <c r="O78" s="98"/>
      <c r="P78" s="98"/>
      <c r="R78" s="98"/>
    </row>
    <row r="79" spans="1:18" ht="105" customHeight="1">
      <c r="A79" s="21">
        <f>+MRS!A79</f>
        <v>74</v>
      </c>
      <c r="B79" s="182" t="str">
        <f>MRS!B79</f>
        <v>Adjustable Wrench 12"</v>
      </c>
      <c r="C79" s="183"/>
      <c r="D79" s="184">
        <f>MRS!D79</f>
        <v>0</v>
      </c>
      <c r="E79" s="185"/>
      <c r="F79" s="186"/>
      <c r="G79" s="95" t="str">
        <f>MRS!G79</f>
        <v>Nos</v>
      </c>
      <c r="H79" s="95">
        <f>MRS!H79</f>
        <v>60</v>
      </c>
      <c r="I79" s="96">
        <f>MRS!I79</f>
        <v>19</v>
      </c>
      <c r="J79" s="96">
        <f>MRS!J79</f>
        <v>1140</v>
      </c>
      <c r="K79" s="97"/>
      <c r="O79" s="98"/>
      <c r="P79" s="98"/>
      <c r="R79" s="98"/>
    </row>
    <row r="80" spans="1:18" ht="105" customHeight="1">
      <c r="A80" s="21">
        <f>+MRS!A80</f>
        <v>75</v>
      </c>
      <c r="B80" s="182" t="str">
        <f>MRS!B80</f>
        <v>Drill Bit HSS Cobalt (S/S) 6mm</v>
      </c>
      <c r="C80" s="183"/>
      <c r="D80" s="184">
        <f>MRS!D80</f>
        <v>0</v>
      </c>
      <c r="E80" s="185"/>
      <c r="F80" s="186"/>
      <c r="G80" s="95" t="str">
        <f>MRS!G80</f>
        <v>Nos</v>
      </c>
      <c r="H80" s="95">
        <f>MRS!H80</f>
        <v>220</v>
      </c>
      <c r="I80" s="96">
        <f>MRS!I80</f>
        <v>5.5</v>
      </c>
      <c r="J80" s="96">
        <f>MRS!J80</f>
        <v>1210</v>
      </c>
      <c r="K80" s="97"/>
      <c r="O80" s="98"/>
      <c r="P80" s="98"/>
      <c r="R80" s="98"/>
    </row>
    <row r="81" spans="1:18" ht="105" customHeight="1">
      <c r="A81" s="21">
        <f>+MRS!A81</f>
        <v>76</v>
      </c>
      <c r="B81" s="182" t="str">
        <f>MRS!B81</f>
        <v>Drill Bit HSS Cobalt (S/S) 8mm</v>
      </c>
      <c r="C81" s="183"/>
      <c r="D81" s="184">
        <f>MRS!D81</f>
        <v>0</v>
      </c>
      <c r="E81" s="185"/>
      <c r="F81" s="186"/>
      <c r="G81" s="95" t="str">
        <f>MRS!G81</f>
        <v>Pair</v>
      </c>
      <c r="H81" s="95">
        <f>MRS!H81</f>
        <v>20</v>
      </c>
      <c r="I81" s="96">
        <f>MRS!I81</f>
        <v>9</v>
      </c>
      <c r="J81" s="96">
        <f>MRS!J81</f>
        <v>180</v>
      </c>
      <c r="K81" s="97"/>
      <c r="O81" s="98"/>
      <c r="P81" s="98"/>
      <c r="R81" s="98"/>
    </row>
    <row r="82" spans="1:18" ht="105" customHeight="1">
      <c r="A82" s="21">
        <f>+MRS!A82</f>
        <v>77</v>
      </c>
      <c r="B82" s="182" t="str">
        <f>MRS!B82</f>
        <v>Drill Bit HSS Cobalt (S/S) 10mm</v>
      </c>
      <c r="C82" s="183"/>
      <c r="D82" s="184">
        <f>MRS!D82</f>
        <v>0</v>
      </c>
      <c r="E82" s="185"/>
      <c r="F82" s="186"/>
      <c r="G82" s="95" t="str">
        <f>MRS!G82</f>
        <v>Nos</v>
      </c>
      <c r="H82" s="95">
        <f>MRS!H82</f>
        <v>20</v>
      </c>
      <c r="I82" s="96">
        <f>MRS!I82</f>
        <v>13</v>
      </c>
      <c r="J82" s="96">
        <f>MRS!J82</f>
        <v>260</v>
      </c>
      <c r="K82" s="97"/>
      <c r="O82" s="98"/>
      <c r="P82" s="98"/>
      <c r="R82" s="98"/>
    </row>
    <row r="83" spans="1:18" ht="105" customHeight="1">
      <c r="A83" s="21">
        <f>+MRS!A83</f>
        <v>78</v>
      </c>
      <c r="B83" s="182" t="str">
        <f>MRS!B83</f>
        <v>Electric Exhaust Fan 12"x12"</v>
      </c>
      <c r="C83" s="183"/>
      <c r="D83" s="184">
        <f>MRS!D83</f>
        <v>0</v>
      </c>
      <c r="E83" s="185"/>
      <c r="F83" s="186"/>
      <c r="G83" s="95" t="str">
        <f>MRS!G83</f>
        <v>Nos</v>
      </c>
      <c r="H83" s="95">
        <f>MRS!H83</f>
        <v>5</v>
      </c>
      <c r="I83" s="96">
        <f>MRS!I83</f>
        <v>58</v>
      </c>
      <c r="J83" s="96">
        <f>MRS!J83</f>
        <v>290</v>
      </c>
      <c r="K83" s="97"/>
      <c r="O83" s="98"/>
      <c r="P83" s="98"/>
      <c r="R83" s="98"/>
    </row>
    <row r="84" spans="1:18" ht="105" customHeight="1">
      <c r="A84" s="21">
        <f>+MRS!A84</f>
        <v>79</v>
      </c>
      <c r="B84" s="182" t="str">
        <f>MRS!B84</f>
        <v>Confined Space Tripod-Whinch 20mtr 135kg PN800+PN801 Karam with TPI Certificate</v>
      </c>
      <c r="C84" s="183"/>
      <c r="D84" s="184">
        <f>MRS!D84</f>
        <v>0</v>
      </c>
      <c r="E84" s="185"/>
      <c r="F84" s="186"/>
      <c r="G84" s="95" t="str">
        <f>MRS!G84</f>
        <v>Nos</v>
      </c>
      <c r="H84" s="95">
        <f>MRS!H84</f>
        <v>2</v>
      </c>
      <c r="I84" s="96">
        <f>MRS!I84</f>
        <v>3100</v>
      </c>
      <c r="J84" s="96">
        <f>MRS!J84</f>
        <v>6200</v>
      </c>
      <c r="K84" s="97"/>
      <c r="O84" s="98"/>
      <c r="P84" s="98"/>
      <c r="R84" s="98"/>
    </row>
    <row r="85" spans="1:18" ht="105" customHeight="1">
      <c r="A85" s="21">
        <f>+MRS!A85</f>
        <v>80</v>
      </c>
      <c r="B85" s="182" t="str">
        <f>MRS!B85</f>
        <v>Retractable Fall Arrest Blocks with GI Rope 60ft Karam PCGS 60FT with TPI Certificate</v>
      </c>
      <c r="C85" s="183"/>
      <c r="D85" s="184">
        <f>MRS!D85</f>
        <v>0</v>
      </c>
      <c r="E85" s="185"/>
      <c r="F85" s="186"/>
      <c r="G85" s="95" t="str">
        <f>MRS!G85</f>
        <v>Nos</v>
      </c>
      <c r="H85" s="95">
        <f>MRS!H85</f>
        <v>8</v>
      </c>
      <c r="I85" s="96">
        <f>MRS!I85</f>
        <v>1865</v>
      </c>
      <c r="J85" s="96">
        <f>MRS!J85</f>
        <v>14920</v>
      </c>
      <c r="K85" s="97"/>
      <c r="O85" s="98"/>
      <c r="P85" s="98"/>
      <c r="R85" s="98"/>
    </row>
    <row r="86" spans="1:18" ht="105" customHeight="1">
      <c r="A86" s="21">
        <f>+MRS!A86</f>
        <v>81</v>
      </c>
      <c r="B86" s="182" t="str">
        <f>MRS!B86</f>
        <v>Wall Exhaust Fan 220V 295x135x295mm</v>
      </c>
      <c r="C86" s="183"/>
      <c r="D86" s="184">
        <f>MRS!D86</f>
        <v>0</v>
      </c>
      <c r="E86" s="185"/>
      <c r="F86" s="186"/>
      <c r="G86" s="95" t="str">
        <f>MRS!G86</f>
        <v>Nos</v>
      </c>
      <c r="H86" s="95">
        <f>MRS!H86</f>
        <v>5</v>
      </c>
      <c r="I86" s="96">
        <f>MRS!I86</f>
        <v>58</v>
      </c>
      <c r="J86" s="96">
        <f>MRS!J86</f>
        <v>290</v>
      </c>
      <c r="K86" s="97"/>
      <c r="O86" s="98"/>
      <c r="P86" s="98"/>
      <c r="R86" s="98"/>
    </row>
    <row r="87" spans="1:18" ht="105" customHeight="1">
      <c r="A87" s="21">
        <f>+MRS!A87</f>
        <v>82</v>
      </c>
      <c r="B87" s="182" t="str">
        <f>MRS!B87</f>
        <v>Battery 1.5V AA</v>
      </c>
      <c r="C87" s="183"/>
      <c r="D87" s="184">
        <f>MRS!D87</f>
        <v>0</v>
      </c>
      <c r="E87" s="185"/>
      <c r="F87" s="186"/>
      <c r="G87" s="95" t="str">
        <f>MRS!G87</f>
        <v>Nos</v>
      </c>
      <c r="H87" s="95">
        <f>MRS!H87</f>
        <v>48</v>
      </c>
      <c r="I87" s="96">
        <f>MRS!I87</f>
        <v>1.5</v>
      </c>
      <c r="J87" s="96">
        <f>MRS!J87</f>
        <v>72</v>
      </c>
      <c r="K87" s="97"/>
      <c r="O87" s="98"/>
      <c r="P87" s="98"/>
      <c r="R87" s="98"/>
    </row>
    <row r="88" spans="1:18" ht="105" customHeight="1">
      <c r="A88" s="21">
        <f>+MRS!A88</f>
        <v>83</v>
      </c>
      <c r="B88" s="182" t="str">
        <f>MRS!B88</f>
        <v>Battery 1.5V C</v>
      </c>
      <c r="C88" s="183"/>
      <c r="D88" s="184">
        <f>MRS!D88</f>
        <v>0</v>
      </c>
      <c r="E88" s="185"/>
      <c r="F88" s="186"/>
      <c r="G88" s="95" t="str">
        <f>MRS!G88</f>
        <v>Nos</v>
      </c>
      <c r="H88" s="95">
        <f>MRS!H88</f>
        <v>48</v>
      </c>
      <c r="I88" s="96">
        <f>MRS!I88</f>
        <v>4.5</v>
      </c>
      <c r="J88" s="96">
        <f>MRS!J88</f>
        <v>216</v>
      </c>
      <c r="K88" s="97"/>
      <c r="O88" s="98"/>
      <c r="P88" s="98"/>
      <c r="R88" s="98"/>
    </row>
    <row r="89" spans="1:18" ht="105" customHeight="1">
      <c r="A89" s="21">
        <f>+MRS!A89</f>
        <v>84</v>
      </c>
      <c r="B89" s="182" t="str">
        <f>MRS!B89</f>
        <v>Aluminum Foil Insulation 1x50mtr x 10mm thickness</v>
      </c>
      <c r="C89" s="183"/>
      <c r="D89" s="184">
        <f>MRS!D89</f>
        <v>0</v>
      </c>
      <c r="E89" s="185"/>
      <c r="F89" s="186"/>
      <c r="G89" s="95" t="str">
        <f>MRS!G89</f>
        <v>Nos</v>
      </c>
      <c r="H89" s="95">
        <f>MRS!H89</f>
        <v>4</v>
      </c>
      <c r="I89" s="96">
        <f>MRS!I89</f>
        <v>270</v>
      </c>
      <c r="J89" s="96">
        <f>MRS!J89</f>
        <v>1080</v>
      </c>
      <c r="K89" s="97"/>
      <c r="O89" s="98"/>
      <c r="P89" s="98"/>
      <c r="R89" s="98"/>
    </row>
    <row r="90" spans="1:18" ht="105" customHeight="1">
      <c r="A90" s="21">
        <f>+MRS!A90</f>
        <v>85</v>
      </c>
      <c r="B90" s="182" t="str">
        <f>MRS!B90</f>
        <v>LED Torch Light Rechargeable GFL4658Z Geepas</v>
      </c>
      <c r="C90" s="183"/>
      <c r="D90" s="184">
        <f>MRS!D90</f>
        <v>0</v>
      </c>
      <c r="E90" s="185"/>
      <c r="F90" s="186"/>
      <c r="G90" s="95" t="str">
        <f>MRS!G90</f>
        <v>Nos</v>
      </c>
      <c r="H90" s="95">
        <f>MRS!H90</f>
        <v>66</v>
      </c>
      <c r="I90" s="96">
        <f>MRS!I90</f>
        <v>48</v>
      </c>
      <c r="J90" s="96">
        <f>MRS!J90</f>
        <v>3168</v>
      </c>
      <c r="K90" s="97"/>
      <c r="O90" s="98"/>
      <c r="P90" s="98"/>
      <c r="R90" s="98"/>
    </row>
    <row r="91" spans="1:18" ht="105" customHeight="1">
      <c r="A91" s="21">
        <f>+MRS!A91</f>
        <v>86</v>
      </c>
      <c r="B91" s="182" t="str">
        <f>MRS!B91</f>
        <v>Inverter ARC Welding Machine 200A ARC200 Jasic</v>
      </c>
      <c r="C91" s="183"/>
      <c r="D91" s="184">
        <f>MRS!D91</f>
        <v>0</v>
      </c>
      <c r="E91" s="185"/>
      <c r="F91" s="186"/>
      <c r="G91" s="95" t="str">
        <f>MRS!G91</f>
        <v>Nos</v>
      </c>
      <c r="H91" s="95">
        <f>MRS!H91</f>
        <v>5</v>
      </c>
      <c r="I91" s="96">
        <f>MRS!I91</f>
        <v>1600</v>
      </c>
      <c r="J91" s="96">
        <f>MRS!J91</f>
        <v>8000</v>
      </c>
      <c r="K91" s="97"/>
      <c r="O91" s="98"/>
      <c r="P91" s="98"/>
      <c r="R91" s="98"/>
    </row>
    <row r="92" spans="1:18" ht="105" customHeight="1">
      <c r="A92" s="21">
        <f>+MRS!A92</f>
        <v>87</v>
      </c>
      <c r="B92" s="182" t="str">
        <f>MRS!B92</f>
        <v>Parts Switch SA (N261500) for DWE4002-B5 Dewalt</v>
      </c>
      <c r="C92" s="183"/>
      <c r="D92" s="184">
        <f>MRS!D92</f>
        <v>0</v>
      </c>
      <c r="E92" s="185"/>
      <c r="F92" s="186"/>
      <c r="G92" s="95" t="str">
        <f>MRS!G92</f>
        <v>Nos</v>
      </c>
      <c r="H92" s="95">
        <f>MRS!H92</f>
        <v>50</v>
      </c>
      <c r="I92" s="96">
        <f>MRS!I92</f>
        <v>18.600000000000001</v>
      </c>
      <c r="J92" s="96">
        <f>MRS!J92</f>
        <v>930.00000000000011</v>
      </c>
      <c r="K92" s="97"/>
      <c r="O92" s="98"/>
      <c r="P92" s="98"/>
      <c r="R92" s="98"/>
    </row>
    <row r="93" spans="1:18" ht="105" customHeight="1">
      <c r="A93" s="21">
        <f>+MRS!A93</f>
        <v>88</v>
      </c>
      <c r="B93" s="182" t="str">
        <f>MRS!B93</f>
        <v>Parts Handle Side (562211-00) for DWE4002-B5 Dewalt</v>
      </c>
      <c r="C93" s="183"/>
      <c r="D93" s="184">
        <f>MRS!D93</f>
        <v>0</v>
      </c>
      <c r="E93" s="185"/>
      <c r="F93" s="186"/>
      <c r="G93" s="95" t="str">
        <f>MRS!G93</f>
        <v>Nos</v>
      </c>
      <c r="H93" s="95">
        <f>MRS!H93</f>
        <v>20</v>
      </c>
      <c r="I93" s="96">
        <f>MRS!I93</f>
        <v>11</v>
      </c>
      <c r="J93" s="96">
        <f>MRS!J93</f>
        <v>220</v>
      </c>
      <c r="K93" s="97"/>
      <c r="O93" s="98"/>
      <c r="P93" s="98"/>
      <c r="R93" s="98"/>
    </row>
    <row r="94" spans="1:18" ht="105" customHeight="1">
      <c r="A94" s="21">
        <f>+MRS!A94</f>
        <v>89</v>
      </c>
      <c r="B94" s="182" t="str">
        <f>MRS!B94</f>
        <v>Smoke Detector</v>
      </c>
      <c r="C94" s="183"/>
      <c r="D94" s="184">
        <f>MRS!D94</f>
        <v>0</v>
      </c>
      <c r="E94" s="185"/>
      <c r="F94" s="186"/>
      <c r="G94" s="95" t="str">
        <f>MRS!G94</f>
        <v>Set</v>
      </c>
      <c r="H94" s="95">
        <f>MRS!H94</f>
        <v>15</v>
      </c>
      <c r="I94" s="96">
        <f>MRS!I94</f>
        <v>20</v>
      </c>
      <c r="J94" s="96">
        <f>MRS!J94</f>
        <v>300</v>
      </c>
      <c r="K94" s="97"/>
      <c r="O94" s="98"/>
      <c r="P94" s="98"/>
      <c r="R94" s="98"/>
    </row>
    <row r="95" spans="1:18" ht="105" customHeight="1">
      <c r="A95" s="21">
        <f>+MRS!A95</f>
        <v>90</v>
      </c>
      <c r="B95" s="182" t="str">
        <f>MRS!B95</f>
        <v>Split A/C 2Ton Heat &amp; Cooling Inverter Zamil</v>
      </c>
      <c r="C95" s="183"/>
      <c r="D95" s="184">
        <f>MRS!D95</f>
        <v>0</v>
      </c>
      <c r="E95" s="185"/>
      <c r="F95" s="186"/>
      <c r="G95" s="95" t="str">
        <f>MRS!G95</f>
        <v>Nos</v>
      </c>
      <c r="H95" s="95">
        <f>MRS!H95</f>
        <v>1</v>
      </c>
      <c r="I95" s="96">
        <f>MRS!I95</f>
        <v>2700</v>
      </c>
      <c r="J95" s="96">
        <f>MRS!J95</f>
        <v>2700</v>
      </c>
      <c r="K95" s="97"/>
      <c r="O95" s="98"/>
      <c r="P95" s="98"/>
      <c r="R95" s="98"/>
    </row>
    <row r="96" spans="1:18" ht="105" customHeight="1">
      <c r="A96" s="21">
        <f>+MRS!A96</f>
        <v>91</v>
      </c>
      <c r="B96" s="182" t="str">
        <f>MRS!B96</f>
        <v>A/C Copper Tube Set 5/8"x15mtr</v>
      </c>
      <c r="C96" s="183"/>
      <c r="D96" s="184">
        <f>MRS!D96</f>
        <v>0</v>
      </c>
      <c r="E96" s="185"/>
      <c r="F96" s="186"/>
      <c r="G96" s="95" t="str">
        <f>MRS!G96</f>
        <v>Nos</v>
      </c>
      <c r="H96" s="95">
        <f>MRS!H96</f>
        <v>1</v>
      </c>
      <c r="I96" s="96">
        <f>MRS!I96</f>
        <v>430</v>
      </c>
      <c r="J96" s="96">
        <f>MRS!J96</f>
        <v>430</v>
      </c>
      <c r="K96" s="97"/>
      <c r="O96" s="98"/>
      <c r="P96" s="98"/>
      <c r="R96" s="98"/>
    </row>
    <row r="97" spans="1:18" ht="105" customHeight="1">
      <c r="A97" s="21">
        <f>+MRS!A97</f>
        <v>92</v>
      </c>
      <c r="B97" s="182" t="str">
        <f>MRS!B97</f>
        <v>A/C Copper Tube Set 1/4"x15mtr</v>
      </c>
      <c r="C97" s="183"/>
      <c r="D97" s="184">
        <f>MRS!D97</f>
        <v>0</v>
      </c>
      <c r="E97" s="185"/>
      <c r="F97" s="186"/>
      <c r="G97" s="95" t="str">
        <f>MRS!G97</f>
        <v>Nos</v>
      </c>
      <c r="H97" s="95">
        <f>MRS!H97</f>
        <v>1</v>
      </c>
      <c r="I97" s="96">
        <f>MRS!I97</f>
        <v>143</v>
      </c>
      <c r="J97" s="96">
        <f>MRS!J97</f>
        <v>143</v>
      </c>
      <c r="K97" s="97"/>
      <c r="O97" s="98"/>
      <c r="P97" s="98"/>
      <c r="R97" s="98"/>
    </row>
    <row r="98" spans="1:18" ht="105" customHeight="1">
      <c r="A98" s="21">
        <f>+MRS!A98</f>
        <v>93</v>
      </c>
      <c r="B98" s="182" t="str">
        <f>MRS!B98</f>
        <v>Insulation Copper Pipe 5/8" x 15mtr</v>
      </c>
      <c r="C98" s="183"/>
      <c r="D98" s="184">
        <f>MRS!D98</f>
        <v>0</v>
      </c>
      <c r="E98" s="185"/>
      <c r="F98" s="186"/>
      <c r="G98" s="95" t="str">
        <f>MRS!G98</f>
        <v>Nos</v>
      </c>
      <c r="H98" s="95">
        <f>MRS!H98</f>
        <v>1</v>
      </c>
      <c r="I98" s="96">
        <f>MRS!I98</f>
        <v>18</v>
      </c>
      <c r="J98" s="96">
        <f>MRS!J98</f>
        <v>18</v>
      </c>
      <c r="K98" s="97"/>
      <c r="O98" s="98"/>
      <c r="P98" s="98"/>
      <c r="R98" s="98"/>
    </row>
    <row r="99" spans="1:18" ht="105" customHeight="1">
      <c r="A99" s="21">
        <f>+MRS!A99</f>
        <v>94</v>
      </c>
      <c r="B99" s="182" t="str">
        <f>MRS!B99</f>
        <v>Insulation Copper Pipe 1/4" x 15mtr</v>
      </c>
      <c r="C99" s="183"/>
      <c r="D99" s="184">
        <f>MRS!D99</f>
        <v>0</v>
      </c>
      <c r="E99" s="185"/>
      <c r="F99" s="186"/>
      <c r="G99" s="95" t="str">
        <f>MRS!G99</f>
        <v>Nos</v>
      </c>
      <c r="H99" s="95">
        <f>MRS!H99</f>
        <v>6</v>
      </c>
      <c r="I99" s="96">
        <f>MRS!I99</f>
        <v>12</v>
      </c>
      <c r="J99" s="96">
        <f>MRS!J99</f>
        <v>72</v>
      </c>
      <c r="K99" s="97"/>
      <c r="O99" s="98"/>
      <c r="P99" s="98"/>
      <c r="R99" s="98"/>
    </row>
    <row r="100" spans="1:18" ht="105" customHeight="1">
      <c r="A100" s="21">
        <f>+MRS!A100</f>
        <v>95</v>
      </c>
      <c r="B100" s="182" t="str">
        <f>MRS!B100</f>
        <v>Insulation Tape Black 2"</v>
      </c>
      <c r="C100" s="183"/>
      <c r="D100" s="184">
        <f>MRS!D100</f>
        <v>0</v>
      </c>
      <c r="E100" s="185"/>
      <c r="F100" s="186"/>
      <c r="G100" s="95" t="str">
        <f>MRS!G100</f>
        <v>Nos</v>
      </c>
      <c r="H100" s="95">
        <f>MRS!H100</f>
        <v>6</v>
      </c>
      <c r="I100" s="96">
        <f>MRS!I100</f>
        <v>3.5</v>
      </c>
      <c r="J100" s="96">
        <f>MRS!J100</f>
        <v>21</v>
      </c>
      <c r="K100" s="97"/>
      <c r="O100" s="98"/>
      <c r="P100" s="98"/>
      <c r="R100" s="98"/>
    </row>
    <row r="101" spans="1:18" ht="105" customHeight="1">
      <c r="A101" s="21">
        <f>+MRS!A101</f>
        <v>96</v>
      </c>
      <c r="B101" s="182" t="str">
        <f>MRS!B101</f>
        <v>Thread Dies 1/2"-3/4" NPT 89101 Asada</v>
      </c>
      <c r="C101" s="183"/>
      <c r="D101" s="184">
        <f>MRS!D101</f>
        <v>0</v>
      </c>
      <c r="E101" s="185"/>
      <c r="F101" s="186"/>
      <c r="G101" s="95" t="str">
        <f>MRS!G101</f>
        <v>Nos</v>
      </c>
      <c r="H101" s="95">
        <f>MRS!H101</f>
        <v>14</v>
      </c>
      <c r="I101" s="96">
        <f>MRS!I101</f>
        <v>673</v>
      </c>
      <c r="J101" s="96">
        <f>MRS!J101</f>
        <v>9422</v>
      </c>
      <c r="K101" s="97"/>
      <c r="O101" s="98"/>
      <c r="P101" s="98"/>
      <c r="R101" s="98"/>
    </row>
    <row r="102" spans="1:18" ht="105" customHeight="1">
      <c r="A102" s="21">
        <f>+MRS!A102</f>
        <v>97</v>
      </c>
      <c r="B102" s="182" t="str">
        <f>MRS!B102</f>
        <v>Thread Dies 1"-2" NPT 89102 Asada</v>
      </c>
      <c r="C102" s="183"/>
      <c r="D102" s="184">
        <f>MRS!D102</f>
        <v>0</v>
      </c>
      <c r="E102" s="185"/>
      <c r="F102" s="186"/>
      <c r="G102" s="95" t="str">
        <f>MRS!G102</f>
        <v>Nos</v>
      </c>
      <c r="H102" s="95">
        <f>MRS!H102</f>
        <v>10</v>
      </c>
      <c r="I102" s="96">
        <f>MRS!I102</f>
        <v>715</v>
      </c>
      <c r="J102" s="96">
        <f>MRS!J102</f>
        <v>7150</v>
      </c>
      <c r="K102" s="97"/>
      <c r="O102" s="98"/>
      <c r="P102" s="98"/>
      <c r="R102" s="98"/>
    </row>
    <row r="103" spans="1:18" ht="105" customHeight="1">
      <c r="A103" s="21">
        <f>+MRS!A103</f>
        <v>98</v>
      </c>
      <c r="B103" s="182" t="str">
        <f>MRS!B103</f>
        <v>Thread Dies 2-1/2"-4" NPT for Asada</v>
      </c>
      <c r="C103" s="183"/>
      <c r="D103" s="184">
        <f>MRS!D103</f>
        <v>0</v>
      </c>
      <c r="E103" s="185"/>
      <c r="F103" s="186"/>
      <c r="G103" s="95" t="str">
        <f>MRS!G103</f>
        <v>Nos</v>
      </c>
      <c r="H103" s="95">
        <f>MRS!H103</f>
        <v>5</v>
      </c>
      <c r="I103" s="96">
        <f>MRS!I103</f>
        <v>972</v>
      </c>
      <c r="J103" s="96">
        <f>MRS!J103</f>
        <v>4860</v>
      </c>
      <c r="K103" s="97"/>
      <c r="O103" s="98"/>
      <c r="P103" s="98"/>
      <c r="R103" s="98"/>
    </row>
    <row r="104" spans="1:18" ht="105" customHeight="1">
      <c r="A104" s="21">
        <f>+MRS!A104</f>
        <v>99</v>
      </c>
      <c r="B104" s="182" t="str">
        <f>MRS!B104</f>
        <v>Combination Spanner 16mm</v>
      </c>
      <c r="C104" s="183"/>
      <c r="D104" s="184">
        <f>MRS!D104</f>
        <v>0</v>
      </c>
      <c r="E104" s="185"/>
      <c r="F104" s="186"/>
      <c r="G104" s="95" t="str">
        <f>MRS!G104</f>
        <v>Nos</v>
      </c>
      <c r="H104" s="95">
        <f>MRS!H104</f>
        <v>10</v>
      </c>
      <c r="I104" s="96">
        <f>MRS!I104</f>
        <v>12</v>
      </c>
      <c r="J104" s="96">
        <f>MRS!J104</f>
        <v>120</v>
      </c>
      <c r="K104" s="97"/>
      <c r="O104" s="98"/>
      <c r="P104" s="98"/>
      <c r="R104" s="98"/>
    </row>
    <row r="105" spans="1:18" ht="105" customHeight="1">
      <c r="A105" s="21">
        <f>+MRS!A105</f>
        <v>100</v>
      </c>
      <c r="B105" s="182" t="str">
        <f>MRS!B105</f>
        <v>Combination Spanner 17mm</v>
      </c>
      <c r="C105" s="183"/>
      <c r="D105" s="184">
        <f>MRS!D105</f>
        <v>0</v>
      </c>
      <c r="E105" s="185"/>
      <c r="F105" s="186"/>
      <c r="G105" s="95" t="str">
        <f>MRS!G105</f>
        <v>Nos</v>
      </c>
      <c r="H105" s="95">
        <f>MRS!H105</f>
        <v>6</v>
      </c>
      <c r="I105" s="96">
        <f>MRS!I105</f>
        <v>14</v>
      </c>
      <c r="J105" s="96">
        <f>MRS!J105</f>
        <v>84</v>
      </c>
      <c r="K105" s="97"/>
      <c r="O105" s="98"/>
      <c r="P105" s="98"/>
      <c r="R105" s="98"/>
    </row>
    <row r="106" spans="1:18" ht="105" customHeight="1">
      <c r="A106" s="21">
        <f>+MRS!A106</f>
        <v>101</v>
      </c>
      <c r="B106" s="182" t="str">
        <f>MRS!B106</f>
        <v>Combination Spanner 19mm</v>
      </c>
      <c r="C106" s="183"/>
      <c r="D106" s="184">
        <f>MRS!D106</f>
        <v>0</v>
      </c>
      <c r="E106" s="185"/>
      <c r="F106" s="186"/>
      <c r="G106" s="95" t="str">
        <f>MRS!G106</f>
        <v>Nos</v>
      </c>
      <c r="H106" s="95">
        <f>MRS!H106</f>
        <v>6</v>
      </c>
      <c r="I106" s="96">
        <f>MRS!I106</f>
        <v>16</v>
      </c>
      <c r="J106" s="96">
        <f>MRS!J106</f>
        <v>96</v>
      </c>
      <c r="K106" s="97"/>
      <c r="O106" s="98"/>
      <c r="P106" s="98"/>
      <c r="R106" s="98"/>
    </row>
    <row r="107" spans="1:18" ht="105" customHeight="1">
      <c r="A107" s="21">
        <f>+MRS!A107</f>
        <v>102</v>
      </c>
      <c r="B107" s="182" t="str">
        <f>MRS!B107</f>
        <v>Combination Spanner 21mm</v>
      </c>
      <c r="C107" s="183"/>
      <c r="D107" s="184">
        <f>MRS!D107</f>
        <v>0</v>
      </c>
      <c r="E107" s="185"/>
      <c r="F107" s="186"/>
      <c r="G107" s="95" t="str">
        <f>MRS!G107</f>
        <v>Nos</v>
      </c>
      <c r="H107" s="95">
        <f>MRS!H107</f>
        <v>6</v>
      </c>
      <c r="I107" s="96">
        <f>MRS!I107</f>
        <v>18</v>
      </c>
      <c r="J107" s="96">
        <f>MRS!J107</f>
        <v>108</v>
      </c>
      <c r="K107" s="97"/>
      <c r="O107" s="98"/>
      <c r="P107" s="98"/>
      <c r="R107" s="98"/>
    </row>
    <row r="108" spans="1:18" ht="105" customHeight="1">
      <c r="A108" s="21">
        <f>+MRS!A108</f>
        <v>103</v>
      </c>
      <c r="B108" s="182" t="str">
        <f>MRS!B108</f>
        <v>Combination Spanner 22mm</v>
      </c>
      <c r="C108" s="183"/>
      <c r="D108" s="184">
        <f>MRS!D108</f>
        <v>0</v>
      </c>
      <c r="E108" s="185"/>
      <c r="F108" s="186"/>
      <c r="G108" s="95" t="str">
        <f>MRS!G108</f>
        <v>Nos</v>
      </c>
      <c r="H108" s="95">
        <f>MRS!H108</f>
        <v>70</v>
      </c>
      <c r="I108" s="96">
        <f>MRS!I108</f>
        <v>19</v>
      </c>
      <c r="J108" s="96">
        <f>MRS!J108</f>
        <v>1330</v>
      </c>
      <c r="K108" s="97"/>
      <c r="O108" s="98"/>
      <c r="P108" s="98"/>
      <c r="R108" s="98"/>
    </row>
    <row r="109" spans="1:18" ht="105" customHeight="1">
      <c r="A109" s="21">
        <f>+MRS!A109</f>
        <v>104</v>
      </c>
      <c r="B109" s="182" t="str">
        <f>MRS!B109</f>
        <v>Combination Spanner 24mm</v>
      </c>
      <c r="C109" s="183"/>
      <c r="D109" s="184">
        <f>MRS!D109</f>
        <v>0</v>
      </c>
      <c r="E109" s="185"/>
      <c r="F109" s="186"/>
      <c r="G109" s="95" t="str">
        <f>MRS!G109</f>
        <v>Nos</v>
      </c>
      <c r="H109" s="95">
        <f>MRS!H109</f>
        <v>20</v>
      </c>
      <c r="I109" s="96">
        <f>MRS!I109</f>
        <v>21</v>
      </c>
      <c r="J109" s="96">
        <f>MRS!J109</f>
        <v>420</v>
      </c>
      <c r="K109" s="97"/>
      <c r="O109" s="98"/>
      <c r="P109" s="98"/>
      <c r="R109" s="98"/>
    </row>
    <row r="110" spans="1:18" ht="105" customHeight="1">
      <c r="A110" s="21">
        <f>+MRS!A110</f>
        <v>105</v>
      </c>
      <c r="B110" s="182" t="str">
        <f>MRS!B110</f>
        <v>Combination Spanner 25mm</v>
      </c>
      <c r="C110" s="183"/>
      <c r="D110" s="184">
        <f>MRS!D110</f>
        <v>0</v>
      </c>
      <c r="E110" s="185"/>
      <c r="F110" s="186"/>
      <c r="G110" s="95" t="str">
        <f>MRS!G110</f>
        <v>Nos</v>
      </c>
      <c r="H110" s="95">
        <f>MRS!H110</f>
        <v>10</v>
      </c>
      <c r="I110" s="96">
        <f>MRS!I110</f>
        <v>23</v>
      </c>
      <c r="J110" s="96">
        <f>MRS!J110</f>
        <v>230</v>
      </c>
      <c r="K110" s="97"/>
      <c r="O110" s="98"/>
      <c r="P110" s="98"/>
      <c r="R110" s="98"/>
    </row>
    <row r="111" spans="1:18" ht="105" customHeight="1">
      <c r="A111" s="21">
        <f>+MRS!A111</f>
        <v>106</v>
      </c>
      <c r="B111" s="182" t="str">
        <f>MRS!B111</f>
        <v>Combination Spanner 27mm</v>
      </c>
      <c r="C111" s="183"/>
      <c r="D111" s="184">
        <f>MRS!D111</f>
        <v>0</v>
      </c>
      <c r="E111" s="185"/>
      <c r="F111" s="186"/>
      <c r="G111" s="95" t="str">
        <f>MRS!G111</f>
        <v>Nos</v>
      </c>
      <c r="H111" s="95">
        <f>MRS!H111</f>
        <v>20</v>
      </c>
      <c r="I111" s="96">
        <f>MRS!I111</f>
        <v>25</v>
      </c>
      <c r="J111" s="96">
        <f>MRS!J111</f>
        <v>500</v>
      </c>
      <c r="K111" s="97"/>
      <c r="O111" s="98"/>
      <c r="P111" s="98"/>
      <c r="R111" s="98"/>
    </row>
    <row r="112" spans="1:18" ht="105" customHeight="1">
      <c r="A112" s="21">
        <f>+MRS!A112</f>
        <v>107</v>
      </c>
      <c r="B112" s="182" t="str">
        <f>MRS!B112</f>
        <v>Combination Spanner 30mm</v>
      </c>
      <c r="C112" s="183"/>
      <c r="D112" s="184">
        <f>MRS!D112</f>
        <v>0</v>
      </c>
      <c r="E112" s="185"/>
      <c r="F112" s="186"/>
      <c r="G112" s="95" t="str">
        <f>MRS!G112</f>
        <v>Nos</v>
      </c>
      <c r="H112" s="95">
        <f>MRS!H112</f>
        <v>10</v>
      </c>
      <c r="I112" s="96">
        <f>MRS!I112</f>
        <v>28</v>
      </c>
      <c r="J112" s="96">
        <f>MRS!J112</f>
        <v>280</v>
      </c>
      <c r="K112" s="97"/>
      <c r="O112" s="98"/>
      <c r="P112" s="98"/>
      <c r="R112" s="98"/>
    </row>
    <row r="113" spans="1:18" ht="105" customHeight="1">
      <c r="A113" s="21">
        <f>+MRS!A113</f>
        <v>108</v>
      </c>
      <c r="B113" s="182" t="str">
        <f>MRS!B113</f>
        <v>Combination Spanner 32mm</v>
      </c>
      <c r="C113" s="183"/>
      <c r="D113" s="184">
        <f>MRS!D113</f>
        <v>0</v>
      </c>
      <c r="E113" s="185"/>
      <c r="F113" s="186"/>
      <c r="G113" s="95" t="str">
        <f>MRS!G113</f>
        <v>Nos</v>
      </c>
      <c r="H113" s="95">
        <f>MRS!H113</f>
        <v>20</v>
      </c>
      <c r="I113" s="96">
        <f>MRS!I113</f>
        <v>30</v>
      </c>
      <c r="J113" s="96">
        <f>MRS!J113</f>
        <v>600</v>
      </c>
      <c r="K113" s="97"/>
      <c r="O113" s="98"/>
      <c r="P113" s="98"/>
      <c r="R113" s="98"/>
    </row>
    <row r="114" spans="1:18" ht="105" customHeight="1">
      <c r="A114" s="21">
        <f>+MRS!A114</f>
        <v>109</v>
      </c>
      <c r="B114" s="182" t="str">
        <f>MRS!B114</f>
        <v>Combination Spanner 34mm</v>
      </c>
      <c r="C114" s="183"/>
      <c r="D114" s="184">
        <f>MRS!D114</f>
        <v>0</v>
      </c>
      <c r="E114" s="185"/>
      <c r="F114" s="186"/>
      <c r="G114" s="95" t="str">
        <f>MRS!G114</f>
        <v>Nos</v>
      </c>
      <c r="H114" s="95">
        <f>MRS!H114</f>
        <v>10</v>
      </c>
      <c r="I114" s="96">
        <f>MRS!I114</f>
        <v>45</v>
      </c>
      <c r="J114" s="96">
        <f>MRS!J114</f>
        <v>450</v>
      </c>
      <c r="K114" s="97"/>
      <c r="O114" s="98"/>
      <c r="P114" s="98"/>
      <c r="R114" s="98"/>
    </row>
    <row r="115" spans="1:18" ht="105" customHeight="1">
      <c r="A115" s="21">
        <f>+MRS!A115</f>
        <v>110</v>
      </c>
      <c r="B115" s="182" t="str">
        <f>MRS!B115</f>
        <v>Combination Spanner 36mm</v>
      </c>
      <c r="C115" s="183"/>
      <c r="D115" s="184">
        <f>MRS!D115</f>
        <v>0</v>
      </c>
      <c r="E115" s="185"/>
      <c r="F115" s="186"/>
      <c r="G115" s="95" t="str">
        <f>MRS!G115</f>
        <v>Nos</v>
      </c>
      <c r="H115" s="95">
        <f>MRS!H115</f>
        <v>20</v>
      </c>
      <c r="I115" s="96">
        <f>MRS!I115</f>
        <v>48</v>
      </c>
      <c r="J115" s="96">
        <f>MRS!J115</f>
        <v>960</v>
      </c>
      <c r="K115" s="97"/>
      <c r="O115" s="98"/>
      <c r="P115" s="98"/>
      <c r="R115" s="98"/>
    </row>
    <row r="116" spans="1:18" ht="105" customHeight="1">
      <c r="A116" s="21">
        <f>+MRS!A116</f>
        <v>111</v>
      </c>
      <c r="B116" s="182" t="str">
        <f>MRS!B116</f>
        <v>Combination Spanner 41mm</v>
      </c>
      <c r="C116" s="183"/>
      <c r="D116" s="184">
        <f>MRS!D116</f>
        <v>0</v>
      </c>
      <c r="E116" s="185"/>
      <c r="F116" s="186"/>
      <c r="G116" s="95" t="str">
        <f>MRS!G116</f>
        <v>Nos</v>
      </c>
      <c r="H116" s="95">
        <f>MRS!H116</f>
        <v>28</v>
      </c>
      <c r="I116" s="96">
        <f>MRS!I116</f>
        <v>59</v>
      </c>
      <c r="J116" s="96">
        <f>MRS!J116</f>
        <v>1652</v>
      </c>
      <c r="K116" s="97"/>
      <c r="O116" s="98"/>
      <c r="P116" s="98"/>
      <c r="R116" s="98"/>
    </row>
    <row r="117" spans="1:18" ht="105" customHeight="1">
      <c r="A117" s="21">
        <f>+MRS!A117</f>
        <v>112</v>
      </c>
      <c r="B117" s="182" t="str">
        <f>MRS!B117</f>
        <v>Combination Spanner 46mm</v>
      </c>
      <c r="C117" s="183"/>
      <c r="D117" s="184">
        <f>MRS!D117</f>
        <v>0</v>
      </c>
      <c r="E117" s="185"/>
      <c r="F117" s="186"/>
      <c r="G117" s="95" t="str">
        <f>MRS!G117</f>
        <v>Nos</v>
      </c>
      <c r="H117" s="95">
        <f>MRS!H117</f>
        <v>20</v>
      </c>
      <c r="I117" s="96">
        <f>MRS!I117</f>
        <v>63</v>
      </c>
      <c r="J117" s="96">
        <f>MRS!J117</f>
        <v>1260</v>
      </c>
      <c r="K117" s="97"/>
      <c r="O117" s="98"/>
      <c r="P117" s="98"/>
      <c r="R117" s="98"/>
    </row>
    <row r="118" spans="1:18" ht="105" customHeight="1">
      <c r="A118" s="21">
        <f>+MRS!A118</f>
        <v>113</v>
      </c>
      <c r="B118" s="182" t="str">
        <f>MRS!B118</f>
        <v>Combination Spanner Set 6-32mm Open Type</v>
      </c>
      <c r="C118" s="183"/>
      <c r="D118" s="184">
        <f>MRS!D118</f>
        <v>0</v>
      </c>
      <c r="E118" s="185"/>
      <c r="F118" s="186"/>
      <c r="G118" s="95" t="str">
        <f>MRS!G118</f>
        <v>Nos</v>
      </c>
      <c r="H118" s="95">
        <f>MRS!H118</f>
        <v>5</v>
      </c>
      <c r="I118" s="96">
        <f>MRS!I118</f>
        <v>230</v>
      </c>
      <c r="J118" s="96">
        <f>MRS!J118</f>
        <v>1150</v>
      </c>
      <c r="K118" s="97"/>
      <c r="O118" s="98"/>
      <c r="P118" s="98"/>
      <c r="R118" s="98"/>
    </row>
    <row r="119" spans="1:18" ht="105" customHeight="1">
      <c r="A119" s="21">
        <f>+MRS!A119</f>
        <v>114</v>
      </c>
      <c r="B119" s="182" t="str">
        <f>MRS!B119</f>
        <v>Electronic Torque Control Wrench (From Japan)
Model : STC12TE, TONE Japan
Torque : 600-1200Nm, 1" SQ DR.
Power : 220-230V, Weight : 17kg</v>
      </c>
      <c r="C119" s="183"/>
      <c r="D119" s="184">
        <f>MRS!D119</f>
        <v>0</v>
      </c>
      <c r="E119" s="185"/>
      <c r="F119" s="186"/>
      <c r="G119" s="95" t="str">
        <f>MRS!G119</f>
        <v>Nos</v>
      </c>
      <c r="H119" s="95">
        <f>MRS!H119</f>
        <v>2</v>
      </c>
      <c r="I119" s="96">
        <f>MRS!I119</f>
        <v>16000</v>
      </c>
      <c r="J119" s="96">
        <f>MRS!J119</f>
        <v>32000</v>
      </c>
      <c r="K119" s="97"/>
      <c r="O119" s="98"/>
      <c r="P119" s="98"/>
      <c r="R119" s="98"/>
    </row>
    <row r="120" spans="1:18" ht="105" customHeight="1">
      <c r="A120" s="21">
        <f>+MRS!A120</f>
        <v>115</v>
      </c>
      <c r="B120" s="182" t="str">
        <f>MRS!B120</f>
        <v>L-Shaped Reaction Bar for GSR122E/STC12TE
#150LH110, TONE Japan</v>
      </c>
      <c r="C120" s="183"/>
      <c r="D120" s="184">
        <f>MRS!D120</f>
        <v>0</v>
      </c>
      <c r="E120" s="185"/>
      <c r="F120" s="186"/>
      <c r="G120" s="95" t="str">
        <f>MRS!G120</f>
        <v>Pair</v>
      </c>
      <c r="H120" s="95">
        <f>MRS!H120</f>
        <v>10</v>
      </c>
      <c r="I120" s="96">
        <f>MRS!I120</f>
        <v>423</v>
      </c>
      <c r="J120" s="96">
        <f>MRS!J120</f>
        <v>4230</v>
      </c>
      <c r="K120" s="97"/>
      <c r="O120" s="98"/>
      <c r="P120" s="98"/>
      <c r="R120" s="98"/>
    </row>
    <row r="121" spans="1:18" ht="105" customHeight="1">
      <c r="A121" s="21">
        <f>+MRS!A121</f>
        <v>116</v>
      </c>
      <c r="B121" s="182" t="str">
        <f>MRS!B121</f>
        <v>Right Angle 12"</v>
      </c>
      <c r="C121" s="183"/>
      <c r="D121" s="184">
        <f>MRS!D121</f>
        <v>0</v>
      </c>
      <c r="E121" s="185"/>
      <c r="F121" s="186"/>
      <c r="G121" s="95" t="str">
        <f>MRS!G121</f>
        <v>Nos</v>
      </c>
      <c r="H121" s="95">
        <f>MRS!H121</f>
        <v>6</v>
      </c>
      <c r="I121" s="96">
        <f>MRS!I121</f>
        <v>7</v>
      </c>
      <c r="J121" s="96">
        <f>MRS!J121</f>
        <v>42</v>
      </c>
      <c r="K121" s="97"/>
      <c r="O121" s="98"/>
      <c r="P121" s="98"/>
      <c r="R121" s="98"/>
    </row>
    <row r="122" spans="1:18" ht="105" customHeight="1">
      <c r="A122" s="21">
        <f>+MRS!A122</f>
        <v>117</v>
      </c>
      <c r="B122" s="182" t="str">
        <f>MRS!B122</f>
        <v>Right Angle 24"</v>
      </c>
      <c r="C122" s="183"/>
      <c r="D122" s="184">
        <f>MRS!D122</f>
        <v>0</v>
      </c>
      <c r="E122" s="185"/>
      <c r="F122" s="186"/>
      <c r="G122" s="95" t="str">
        <f>MRS!G122</f>
        <v>Nos</v>
      </c>
      <c r="H122" s="95">
        <f>MRS!H122</f>
        <v>6</v>
      </c>
      <c r="I122" s="96">
        <f>MRS!I122</f>
        <v>12</v>
      </c>
      <c r="J122" s="96">
        <f>MRS!J122</f>
        <v>72</v>
      </c>
      <c r="K122" s="97"/>
      <c r="O122" s="98"/>
      <c r="P122" s="98"/>
      <c r="R122" s="98"/>
    </row>
    <row r="123" spans="1:18" ht="105" customHeight="1">
      <c r="A123" s="21">
        <f>+MRS!A123</f>
        <v>118</v>
      </c>
      <c r="B123" s="182" t="str">
        <f>MRS!B123</f>
        <v>Board Head Bull Pin 1-1/16"(27mm) Heat Treated Alloy Steel</v>
      </c>
      <c r="C123" s="183"/>
      <c r="D123" s="184">
        <f>MRS!D123</f>
        <v>0</v>
      </c>
      <c r="E123" s="185"/>
      <c r="F123" s="186"/>
      <c r="G123" s="95" t="str">
        <f>MRS!G123</f>
        <v>Nos</v>
      </c>
      <c r="H123" s="95">
        <f>MRS!H123</f>
        <v>4</v>
      </c>
      <c r="I123" s="96">
        <f>MRS!I123</f>
        <v>210</v>
      </c>
      <c r="J123" s="96">
        <f>MRS!J123</f>
        <v>840</v>
      </c>
      <c r="K123" s="97"/>
      <c r="O123" s="98"/>
      <c r="P123" s="98"/>
      <c r="R123" s="98"/>
    </row>
    <row r="124" spans="1:18" ht="105" customHeight="1">
      <c r="A124" s="21">
        <f>+MRS!A124</f>
        <v>119</v>
      </c>
      <c r="B124" s="182" t="str">
        <f>MRS!B124</f>
        <v>Alignment Pry Bar 24mm dia x 1000mm length</v>
      </c>
      <c r="C124" s="183"/>
      <c r="D124" s="184">
        <f>MRS!D124</f>
        <v>0</v>
      </c>
      <c r="E124" s="185"/>
      <c r="F124" s="186"/>
      <c r="G124" s="95" t="str">
        <f>MRS!G124</f>
        <v>Nos</v>
      </c>
      <c r="H124" s="95">
        <f>MRS!H124</f>
        <v>6</v>
      </c>
      <c r="I124" s="96">
        <f>MRS!I124</f>
        <v>256</v>
      </c>
      <c r="J124" s="96">
        <f>MRS!J124</f>
        <v>1536</v>
      </c>
      <c r="K124" s="97"/>
      <c r="O124" s="98"/>
      <c r="P124" s="98"/>
      <c r="R124" s="98"/>
    </row>
    <row r="125" spans="1:18" ht="105" customHeight="1">
      <c r="A125" s="21">
        <f>+MRS!A125</f>
        <v>120</v>
      </c>
      <c r="B125" s="182" t="str">
        <f>MRS!B125</f>
        <v>Cordless Angle Grinder 5" PD SW with 2-Batt+Charger DCG408NT Dewalt</v>
      </c>
      <c r="C125" s="183"/>
      <c r="D125" s="184">
        <f>MRS!D125</f>
        <v>0</v>
      </c>
      <c r="E125" s="185"/>
      <c r="F125" s="186"/>
      <c r="G125" s="95" t="str">
        <f>MRS!G125</f>
        <v>Nos</v>
      </c>
      <c r="H125" s="95">
        <f>MRS!H125</f>
        <v>13</v>
      </c>
      <c r="I125" s="96">
        <f>MRS!I125</f>
        <v>1842</v>
      </c>
      <c r="J125" s="96">
        <f>MRS!J125</f>
        <v>23946</v>
      </c>
      <c r="K125" s="97"/>
      <c r="O125" s="98"/>
      <c r="P125" s="98"/>
      <c r="R125" s="98"/>
    </row>
    <row r="126" spans="1:18" ht="105" customHeight="1">
      <c r="A126" s="21">
        <f>+MRS!A126</f>
        <v>121</v>
      </c>
      <c r="B126" s="182" t="str">
        <f>MRS!B126</f>
        <v>Drill Bit HSS Cobalt (S/S) 4mm</v>
      </c>
      <c r="C126" s="183"/>
      <c r="D126" s="184">
        <f>MRS!D126</f>
        <v>0</v>
      </c>
      <c r="E126" s="185"/>
      <c r="F126" s="186"/>
      <c r="G126" s="95" t="str">
        <f>MRS!G126</f>
        <v>Nos</v>
      </c>
      <c r="H126" s="95">
        <f>MRS!H126</f>
        <v>30</v>
      </c>
      <c r="I126" s="96">
        <f>MRS!I126</f>
        <v>3.4</v>
      </c>
      <c r="J126" s="96">
        <f>MRS!J126</f>
        <v>102</v>
      </c>
      <c r="K126" s="97"/>
      <c r="O126" s="98"/>
      <c r="P126" s="98"/>
      <c r="R126" s="98"/>
    </row>
    <row r="127" spans="1:18" ht="105" customHeight="1">
      <c r="A127" s="21">
        <f>+MRS!A127</f>
        <v>122</v>
      </c>
      <c r="B127" s="182" t="str">
        <f>MRS!B127</f>
        <v>Drill Bit HSS Cobalt (S/S) 13mm</v>
      </c>
      <c r="C127" s="183"/>
      <c r="D127" s="184">
        <f>MRS!D127</f>
        <v>0</v>
      </c>
      <c r="E127" s="185"/>
      <c r="F127" s="186"/>
      <c r="G127" s="95" t="str">
        <f>MRS!G127</f>
        <v>Nos</v>
      </c>
      <c r="H127" s="95">
        <f>MRS!H127</f>
        <v>50</v>
      </c>
      <c r="I127" s="96">
        <f>MRS!I127</f>
        <v>26</v>
      </c>
      <c r="J127" s="96">
        <f>MRS!J127</f>
        <v>1300</v>
      </c>
      <c r="K127" s="97"/>
      <c r="O127" s="98"/>
      <c r="P127" s="98"/>
      <c r="R127" s="98"/>
    </row>
    <row r="128" spans="1:18" ht="105" customHeight="1">
      <c r="A128" s="21">
        <f>+MRS!A128</f>
        <v>123</v>
      </c>
      <c r="B128" s="182" t="str">
        <f>MRS!B128</f>
        <v>Impact Socket S/S 3/8"dr x 6mm Short</v>
      </c>
      <c r="C128" s="183"/>
      <c r="D128" s="184">
        <f>MRS!D128</f>
        <v>0</v>
      </c>
      <c r="E128" s="185"/>
      <c r="F128" s="186"/>
      <c r="G128" s="95" t="str">
        <f>MRS!G128</f>
        <v>Nos</v>
      </c>
      <c r="H128" s="95">
        <f>MRS!H128</f>
        <v>10</v>
      </c>
      <c r="I128" s="96">
        <f>MRS!I128</f>
        <v>12</v>
      </c>
      <c r="J128" s="96">
        <f>MRS!J128</f>
        <v>120</v>
      </c>
      <c r="K128" s="97"/>
      <c r="O128" s="98"/>
      <c r="P128" s="98"/>
      <c r="R128" s="98"/>
    </row>
    <row r="129" spans="1:18" ht="105" customHeight="1">
      <c r="A129" s="21">
        <f>+MRS!A129</f>
        <v>124</v>
      </c>
      <c r="B129" s="182" t="str">
        <f>MRS!B129</f>
        <v>Allen Key Hex Set 1.5-10mm</v>
      </c>
      <c r="C129" s="183"/>
      <c r="D129" s="184">
        <f>MRS!D129</f>
        <v>0</v>
      </c>
      <c r="E129" s="185"/>
      <c r="F129" s="186"/>
      <c r="G129" s="95" t="str">
        <f>MRS!G129</f>
        <v>Nos</v>
      </c>
      <c r="H129" s="95">
        <f>MRS!H129</f>
        <v>15</v>
      </c>
      <c r="I129" s="96">
        <f>MRS!I129</f>
        <v>11</v>
      </c>
      <c r="J129" s="96">
        <f>MRS!J129</f>
        <v>165</v>
      </c>
      <c r="K129" s="97"/>
      <c r="O129" s="98"/>
      <c r="P129" s="98"/>
      <c r="R129" s="98"/>
    </row>
    <row r="130" spans="1:18" ht="105" customHeight="1">
      <c r="A130" s="21">
        <f>+MRS!A130</f>
        <v>125</v>
      </c>
      <c r="B130" s="182" t="str">
        <f>MRS!B130</f>
        <v>Single Gas Detector H2S 500PPM T40 II Rattler ISC</v>
      </c>
      <c r="C130" s="183"/>
      <c r="D130" s="184">
        <f>MRS!D130</f>
        <v>0</v>
      </c>
      <c r="E130" s="185"/>
      <c r="F130" s="186"/>
      <c r="G130" s="95" t="str">
        <f>MRS!G130</f>
        <v>Nos</v>
      </c>
      <c r="H130" s="95">
        <f>MRS!H130</f>
        <v>13</v>
      </c>
      <c r="I130" s="96">
        <f>MRS!I130</f>
        <v>390</v>
      </c>
      <c r="J130" s="96">
        <f>MRS!J130</f>
        <v>5070</v>
      </c>
      <c r="K130" s="97"/>
      <c r="O130" s="98"/>
      <c r="P130" s="98"/>
      <c r="R130" s="98"/>
    </row>
    <row r="131" spans="1:18" ht="105" customHeight="1">
      <c r="A131" s="21">
        <f>+MRS!A131</f>
        <v>126</v>
      </c>
      <c r="B131" s="182" t="str">
        <f>MRS!B131</f>
        <v>Multi Gas Detector Max XT with Pump Honeywell</v>
      </c>
      <c r="C131" s="183"/>
      <c r="D131" s="184">
        <f>MRS!D131</f>
        <v>0</v>
      </c>
      <c r="E131" s="185"/>
      <c r="F131" s="186"/>
      <c r="G131" s="95" t="str">
        <f>MRS!G131</f>
        <v>Nos</v>
      </c>
      <c r="H131" s="95">
        <f>MRS!H131</f>
        <v>12</v>
      </c>
      <c r="I131" s="96">
        <f>MRS!I131</f>
        <v>2820</v>
      </c>
      <c r="J131" s="96">
        <f>MRS!J131</f>
        <v>33840</v>
      </c>
      <c r="K131" s="97"/>
      <c r="O131" s="98"/>
      <c r="P131" s="98"/>
      <c r="R131" s="98"/>
    </row>
    <row r="132" spans="1:18" ht="105" customHeight="1">
      <c r="A132" s="21">
        <f>+MRS!A132</f>
        <v>127</v>
      </c>
      <c r="B132" s="182" t="str">
        <f>MRS!B132</f>
        <v>AC Gas Refilling Hose  Red/Blue for R410A</v>
      </c>
      <c r="C132" s="183"/>
      <c r="D132" s="184">
        <f>MRS!D132</f>
        <v>0</v>
      </c>
      <c r="E132" s="185"/>
      <c r="F132" s="186"/>
      <c r="G132" s="95" t="str">
        <f>MRS!G132</f>
        <v>Nos</v>
      </c>
      <c r="H132" s="95">
        <f>MRS!H132</f>
        <v>1</v>
      </c>
      <c r="I132" s="96">
        <f>MRS!I132</f>
        <v>86</v>
      </c>
      <c r="J132" s="96">
        <f>MRS!J132</f>
        <v>86</v>
      </c>
      <c r="K132" s="97"/>
      <c r="O132" s="98"/>
      <c r="P132" s="98"/>
      <c r="R132" s="98"/>
    </row>
    <row r="133" spans="1:18" ht="105" customHeight="1">
      <c r="A133" s="21">
        <f>+MRS!A133</f>
        <v>128</v>
      </c>
      <c r="B133" s="182" t="str">
        <f>MRS!B133</f>
        <v>Air Blower 220V HPT002 Hyundai</v>
      </c>
      <c r="C133" s="183"/>
      <c r="D133" s="184">
        <f>MRS!D133</f>
        <v>0</v>
      </c>
      <c r="E133" s="185"/>
      <c r="F133" s="186"/>
      <c r="G133" s="95" t="str">
        <f>MRS!G133</f>
        <v>Nos</v>
      </c>
      <c r="H133" s="95">
        <f>MRS!H133</f>
        <v>50</v>
      </c>
      <c r="I133" s="96">
        <f>MRS!I133</f>
        <v>175</v>
      </c>
      <c r="J133" s="96">
        <f>MRS!J133</f>
        <v>8750</v>
      </c>
      <c r="K133" s="97"/>
      <c r="O133" s="98"/>
      <c r="P133" s="98"/>
      <c r="R133" s="98"/>
    </row>
    <row r="134" spans="1:18" ht="105" customHeight="1">
      <c r="A134" s="21">
        <f>+MRS!A134</f>
        <v>129</v>
      </c>
      <c r="B134" s="182" t="str">
        <f>MRS!B134</f>
        <v>Allen Key Star Set  T9-T40</v>
      </c>
      <c r="C134" s="183"/>
      <c r="D134" s="184">
        <f>MRS!D134</f>
        <v>0</v>
      </c>
      <c r="E134" s="185"/>
      <c r="F134" s="186"/>
      <c r="G134" s="95" t="str">
        <f>MRS!G134</f>
        <v>Nos</v>
      </c>
      <c r="H134" s="95">
        <f>MRS!H134</f>
        <v>5</v>
      </c>
      <c r="I134" s="96">
        <f>MRS!I134</f>
        <v>13.4</v>
      </c>
      <c r="J134" s="96">
        <f>MRS!J134</f>
        <v>67</v>
      </c>
      <c r="K134" s="97"/>
      <c r="O134" s="98"/>
      <c r="P134" s="98"/>
      <c r="R134" s="98"/>
    </row>
    <row r="135" spans="1:18" ht="105" customHeight="1">
      <c r="A135" s="21">
        <f>+MRS!A135</f>
        <v>130</v>
      </c>
      <c r="B135" s="182" t="str">
        <f>MRS!B135</f>
        <v xml:space="preserve">Angle Grinder 7" 220V with Paddle Switch DWE493-B5 Dewalt </v>
      </c>
      <c r="C135" s="183"/>
      <c r="D135" s="184">
        <f>MRS!D135</f>
        <v>0</v>
      </c>
      <c r="E135" s="185"/>
      <c r="F135" s="186"/>
      <c r="G135" s="95" t="str">
        <f>MRS!G135</f>
        <v>Nos</v>
      </c>
      <c r="H135" s="95">
        <f>MRS!H135</f>
        <v>10</v>
      </c>
      <c r="I135" s="96">
        <f>MRS!I135</f>
        <v>560</v>
      </c>
      <c r="J135" s="96">
        <f>MRS!J135</f>
        <v>5600</v>
      </c>
      <c r="K135" s="97"/>
      <c r="O135" s="98"/>
      <c r="P135" s="98"/>
      <c r="R135" s="98"/>
    </row>
    <row r="136" spans="1:18" ht="105" customHeight="1">
      <c r="A136" s="21">
        <f>+MRS!A136</f>
        <v>131</v>
      </c>
      <c r="B136" s="182" t="str">
        <f>MRS!B136</f>
        <v>Argon Flow Meter</v>
      </c>
      <c r="C136" s="183"/>
      <c r="D136" s="184">
        <f>MRS!D136</f>
        <v>0</v>
      </c>
      <c r="E136" s="185"/>
      <c r="F136" s="186"/>
      <c r="G136" s="95" t="str">
        <f>MRS!G136</f>
        <v>Nos</v>
      </c>
      <c r="H136" s="95">
        <f>MRS!H136</f>
        <v>100</v>
      </c>
      <c r="I136" s="96">
        <f>MRS!I136</f>
        <v>78</v>
      </c>
      <c r="J136" s="96">
        <f>MRS!J136</f>
        <v>7800</v>
      </c>
      <c r="K136" s="97"/>
      <c r="O136" s="98"/>
      <c r="P136" s="98"/>
      <c r="R136" s="98"/>
    </row>
    <row r="137" spans="1:18" ht="105" customHeight="1">
      <c r="A137" s="21">
        <f>+MRS!A137</f>
        <v>132</v>
      </c>
      <c r="B137" s="182" t="str">
        <f>MRS!B137</f>
        <v>Argon Hose Black 1/4" WP20 Bar 300PSI 100Mtr</v>
      </c>
      <c r="C137" s="183"/>
      <c r="D137" s="184">
        <f>MRS!D137</f>
        <v>0</v>
      </c>
      <c r="E137" s="185"/>
      <c r="F137" s="186"/>
      <c r="G137" s="95" t="str">
        <f>MRS!G137</f>
        <v>Nos</v>
      </c>
      <c r="H137" s="95">
        <f>MRS!H137</f>
        <v>30</v>
      </c>
      <c r="I137" s="96">
        <f>MRS!I137</f>
        <v>345</v>
      </c>
      <c r="J137" s="96">
        <f>MRS!J137</f>
        <v>10350</v>
      </c>
      <c r="K137" s="97"/>
      <c r="O137" s="98"/>
      <c r="P137" s="98"/>
      <c r="R137" s="98"/>
    </row>
    <row r="138" spans="1:18" ht="105" customHeight="1">
      <c r="A138" s="21">
        <f>+MRS!A138</f>
        <v>133</v>
      </c>
      <c r="B138" s="182" t="str">
        <f>MRS!B138</f>
        <v>Argon Regulator Set UL Listed</v>
      </c>
      <c r="C138" s="183"/>
      <c r="D138" s="184">
        <f>MRS!D138</f>
        <v>0</v>
      </c>
      <c r="E138" s="185"/>
      <c r="F138" s="186"/>
      <c r="G138" s="95" t="str">
        <f>MRS!G138</f>
        <v>Nos</v>
      </c>
      <c r="H138" s="95">
        <f>MRS!H138</f>
        <v>50</v>
      </c>
      <c r="I138" s="96">
        <f>MRS!I138</f>
        <v>150</v>
      </c>
      <c r="J138" s="96">
        <f>MRS!J138</f>
        <v>7500</v>
      </c>
      <c r="K138" s="97"/>
      <c r="O138" s="98"/>
      <c r="P138" s="98"/>
      <c r="R138" s="98"/>
    </row>
    <row r="139" spans="1:18" ht="105" customHeight="1">
      <c r="A139" s="21">
        <f>+MRS!A139</f>
        <v>134</v>
      </c>
      <c r="B139" s="182" t="str">
        <f>MRS!B139</f>
        <v>Pilot Pin 6.35x103mm</v>
      </c>
      <c r="C139" s="183"/>
      <c r="D139" s="184">
        <f>MRS!D139</f>
        <v>0</v>
      </c>
      <c r="E139" s="185"/>
      <c r="F139" s="186"/>
      <c r="G139" s="95" t="str">
        <f>MRS!G139</f>
        <v>Nos</v>
      </c>
      <c r="H139" s="95">
        <f>MRS!H139</f>
        <v>10</v>
      </c>
      <c r="I139" s="96">
        <f>MRS!I139</f>
        <v>22</v>
      </c>
      <c r="J139" s="96">
        <f>MRS!J139</f>
        <v>220</v>
      </c>
      <c r="K139" s="97"/>
      <c r="O139" s="98"/>
      <c r="P139" s="98"/>
      <c r="R139" s="98"/>
    </row>
    <row r="140" spans="1:18" ht="105" customHeight="1">
      <c r="A140" s="21">
        <f>+MRS!A140</f>
        <v>135</v>
      </c>
      <c r="B140" s="182" t="str">
        <f>MRS!B140</f>
        <v>Pilot Pin 7.98x106mm</v>
      </c>
      <c r="C140" s="183"/>
      <c r="D140" s="184">
        <f>MRS!D140</f>
        <v>0</v>
      </c>
      <c r="E140" s="185"/>
      <c r="F140" s="186"/>
      <c r="G140" s="95" t="str">
        <f>MRS!G140</f>
        <v>Nos</v>
      </c>
      <c r="H140" s="95">
        <f>MRS!H140</f>
        <v>10</v>
      </c>
      <c r="I140" s="96">
        <f>MRS!I140</f>
        <v>24</v>
      </c>
      <c r="J140" s="96">
        <f>MRS!J140</f>
        <v>240</v>
      </c>
      <c r="K140" s="97"/>
      <c r="O140" s="98"/>
      <c r="P140" s="98"/>
      <c r="R140" s="98"/>
    </row>
    <row r="141" spans="1:18" ht="105" customHeight="1">
      <c r="A141" s="21">
        <f>+MRS!A141</f>
        <v>136</v>
      </c>
      <c r="B141" s="182" t="str">
        <f>MRS!B141</f>
        <v>Center Punch 6"X150mm</v>
      </c>
      <c r="C141" s="183"/>
      <c r="D141" s="184">
        <f>MRS!D141</f>
        <v>0</v>
      </c>
      <c r="E141" s="185"/>
      <c r="F141" s="186"/>
      <c r="G141" s="95" t="str">
        <f>MRS!G141</f>
        <v>Nos</v>
      </c>
      <c r="H141" s="95">
        <f>MRS!H141</f>
        <v>20</v>
      </c>
      <c r="I141" s="96">
        <f>MRS!I141</f>
        <v>16</v>
      </c>
      <c r="J141" s="96">
        <f>MRS!J141</f>
        <v>320</v>
      </c>
      <c r="K141" s="97"/>
      <c r="O141" s="98"/>
      <c r="P141" s="98"/>
      <c r="R141" s="98"/>
    </row>
    <row r="142" spans="1:18" ht="105" customHeight="1">
      <c r="A142" s="21">
        <f>+MRS!A142</f>
        <v>137</v>
      </c>
      <c r="B142" s="182" t="str">
        <f>MRS!B142</f>
        <v>Ceramic Nozzle 250A #5 10N49</v>
      </c>
      <c r="C142" s="183"/>
      <c r="D142" s="184">
        <f>MRS!D142</f>
        <v>0</v>
      </c>
      <c r="E142" s="185"/>
      <c r="F142" s="186"/>
      <c r="G142" s="95" t="str">
        <f>MRS!G142</f>
        <v>Nos</v>
      </c>
      <c r="H142" s="95">
        <f>MRS!H142</f>
        <v>100</v>
      </c>
      <c r="I142" s="96">
        <f>MRS!I142</f>
        <v>2.2000000000000002</v>
      </c>
      <c r="J142" s="96">
        <f>MRS!J142</f>
        <v>220.00000000000003</v>
      </c>
      <c r="K142" s="97"/>
      <c r="O142" s="98"/>
      <c r="P142" s="98"/>
      <c r="R142" s="98"/>
    </row>
    <row r="143" spans="1:18" ht="105" customHeight="1">
      <c r="A143" s="21">
        <f>+MRS!A143</f>
        <v>138</v>
      </c>
      <c r="B143" s="182" t="str">
        <f>MRS!B143</f>
        <v>Ceramic Nozzle 250A #6 10N48</v>
      </c>
      <c r="C143" s="183"/>
      <c r="D143" s="184">
        <f>MRS!D143</f>
        <v>0</v>
      </c>
      <c r="E143" s="185"/>
      <c r="F143" s="186"/>
      <c r="G143" s="95" t="str">
        <f>MRS!G143</f>
        <v>Nos</v>
      </c>
      <c r="H143" s="95">
        <f>MRS!H143</f>
        <v>100</v>
      </c>
      <c r="I143" s="96">
        <f>MRS!I143</f>
        <v>2.2000000000000002</v>
      </c>
      <c r="J143" s="96">
        <f>MRS!J143</f>
        <v>220.00000000000003</v>
      </c>
      <c r="K143" s="97"/>
      <c r="O143" s="98"/>
      <c r="P143" s="98"/>
      <c r="R143" s="98"/>
    </row>
    <row r="144" spans="1:18" ht="105" customHeight="1">
      <c r="A144" s="21">
        <f>+MRS!A144</f>
        <v>139</v>
      </c>
      <c r="B144" s="182" t="str">
        <f>MRS!B144</f>
        <v>Ceramic Nozzle 250A #7 10N47</v>
      </c>
      <c r="C144" s="183"/>
      <c r="D144" s="184">
        <f>MRS!D144</f>
        <v>0</v>
      </c>
      <c r="E144" s="185"/>
      <c r="F144" s="186"/>
      <c r="G144" s="95" t="str">
        <f>MRS!G144</f>
        <v>Nos</v>
      </c>
      <c r="H144" s="95">
        <f>MRS!H144</f>
        <v>100</v>
      </c>
      <c r="I144" s="96">
        <f>MRS!I144</f>
        <v>2.2000000000000002</v>
      </c>
      <c r="J144" s="96">
        <f>MRS!J144</f>
        <v>220.00000000000003</v>
      </c>
      <c r="K144" s="97"/>
      <c r="O144" s="98"/>
      <c r="P144" s="98"/>
      <c r="R144" s="98"/>
    </row>
    <row r="145" spans="1:18" ht="105" customHeight="1">
      <c r="A145" s="21">
        <f>+MRS!A145</f>
        <v>140</v>
      </c>
      <c r="B145" s="182" t="str">
        <f>MRS!B145</f>
        <v>Ceramic Nozzle 250A #8 10N46</v>
      </c>
      <c r="C145" s="183"/>
      <c r="D145" s="184">
        <f>MRS!D145</f>
        <v>0</v>
      </c>
      <c r="E145" s="185"/>
      <c r="F145" s="186"/>
      <c r="G145" s="95" t="str">
        <f>MRS!G145</f>
        <v>Nos</v>
      </c>
      <c r="H145" s="95">
        <f>MRS!H145</f>
        <v>100</v>
      </c>
      <c r="I145" s="96">
        <f>MRS!I145</f>
        <v>2.2000000000000002</v>
      </c>
      <c r="J145" s="96">
        <f>MRS!J145</f>
        <v>220.00000000000003</v>
      </c>
      <c r="K145" s="97"/>
      <c r="O145" s="98"/>
      <c r="P145" s="98"/>
      <c r="R145" s="98"/>
    </row>
    <row r="146" spans="1:18" ht="105" customHeight="1">
      <c r="A146" s="21">
        <f>+MRS!A146</f>
        <v>141</v>
      </c>
      <c r="B146" s="182" t="str">
        <f>MRS!B146</f>
        <v>Ceramic Nozzle 500A #5</v>
      </c>
      <c r="C146" s="183"/>
      <c r="D146" s="184">
        <f>MRS!D146</f>
        <v>0</v>
      </c>
      <c r="E146" s="185"/>
      <c r="F146" s="186"/>
      <c r="G146" s="95" t="str">
        <f>MRS!G146</f>
        <v>Nos</v>
      </c>
      <c r="H146" s="95">
        <f>MRS!H146</f>
        <v>100</v>
      </c>
      <c r="I146" s="96">
        <f>MRS!I146</f>
        <v>12</v>
      </c>
      <c r="J146" s="96">
        <f>MRS!J146</f>
        <v>1200</v>
      </c>
      <c r="K146" s="97"/>
      <c r="O146" s="98"/>
      <c r="P146" s="98"/>
      <c r="R146" s="98"/>
    </row>
    <row r="147" spans="1:18" ht="105" customHeight="1">
      <c r="A147" s="21">
        <f>+MRS!A147</f>
        <v>142</v>
      </c>
      <c r="B147" s="182" t="str">
        <f>MRS!B147</f>
        <v>Ceramic Nozzle 500A #6</v>
      </c>
      <c r="C147" s="183"/>
      <c r="D147" s="184">
        <f>MRS!D147</f>
        <v>0</v>
      </c>
      <c r="E147" s="185"/>
      <c r="F147" s="186"/>
      <c r="G147" s="95" t="str">
        <f>MRS!G147</f>
        <v>Nos</v>
      </c>
      <c r="H147" s="95">
        <f>MRS!H147</f>
        <v>100</v>
      </c>
      <c r="I147" s="96">
        <f>MRS!I147</f>
        <v>12</v>
      </c>
      <c r="J147" s="96">
        <f>MRS!J147</f>
        <v>1200</v>
      </c>
      <c r="K147" s="97"/>
      <c r="O147" s="98"/>
      <c r="P147" s="98"/>
      <c r="R147" s="98"/>
    </row>
    <row r="148" spans="1:18" ht="105" customHeight="1">
      <c r="A148" s="21">
        <f>+MRS!A148</f>
        <v>143</v>
      </c>
      <c r="B148" s="182" t="str">
        <f>MRS!B148</f>
        <v>Ceramic Nozzle 500A #7</v>
      </c>
      <c r="C148" s="183"/>
      <c r="D148" s="184">
        <f>MRS!D148</f>
        <v>0</v>
      </c>
      <c r="E148" s="185"/>
      <c r="F148" s="186"/>
      <c r="G148" s="95" t="str">
        <f>MRS!G148</f>
        <v>Nos</v>
      </c>
      <c r="H148" s="95">
        <f>MRS!H148</f>
        <v>100</v>
      </c>
      <c r="I148" s="96">
        <f>MRS!I148</f>
        <v>12</v>
      </c>
      <c r="J148" s="96">
        <f>MRS!J148</f>
        <v>1200</v>
      </c>
      <c r="K148" s="97"/>
      <c r="O148" s="98"/>
      <c r="P148" s="98"/>
      <c r="R148" s="98"/>
    </row>
    <row r="149" spans="1:18" ht="105" customHeight="1">
      <c r="A149" s="21">
        <f>+MRS!A149</f>
        <v>144</v>
      </c>
      <c r="B149" s="182" t="str">
        <f>MRS!B149</f>
        <v>Ceramic Nozzle 500A #8</v>
      </c>
      <c r="C149" s="183"/>
      <c r="D149" s="184">
        <f>MRS!D149</f>
        <v>0</v>
      </c>
      <c r="E149" s="185"/>
      <c r="F149" s="186"/>
      <c r="G149" s="95" t="str">
        <f>MRS!G149</f>
        <v>Nos</v>
      </c>
      <c r="H149" s="95">
        <f>MRS!H149</f>
        <v>100</v>
      </c>
      <c r="I149" s="96">
        <f>MRS!I149</f>
        <v>12</v>
      </c>
      <c r="J149" s="96">
        <f>MRS!J149</f>
        <v>1200</v>
      </c>
      <c r="K149" s="97"/>
      <c r="O149" s="98"/>
      <c r="P149" s="98"/>
      <c r="R149" s="98"/>
    </row>
    <row r="150" spans="1:18" ht="105" customHeight="1">
      <c r="A150" s="21">
        <f>+MRS!A150</f>
        <v>145</v>
      </c>
      <c r="B150" s="182" t="str">
        <f>MRS!B150</f>
        <v>Injectable Mortar HIT-RE 500 V4/500 Hilti</v>
      </c>
      <c r="C150" s="183"/>
      <c r="D150" s="184">
        <f>MRS!D150</f>
        <v>0</v>
      </c>
      <c r="E150" s="185"/>
      <c r="F150" s="186"/>
      <c r="G150" s="95" t="str">
        <f>MRS!G150</f>
        <v>Nos</v>
      </c>
      <c r="H150" s="95">
        <f>MRS!H150</f>
        <v>100</v>
      </c>
      <c r="I150" s="96">
        <f>MRS!I150</f>
        <v>258</v>
      </c>
      <c r="J150" s="96">
        <f>MRS!J150</f>
        <v>25800</v>
      </c>
      <c r="K150" s="97"/>
      <c r="O150" s="98"/>
      <c r="P150" s="98"/>
      <c r="R150" s="98"/>
    </row>
    <row r="151" spans="1:18" ht="105" customHeight="1">
      <c r="A151" s="21">
        <f>+MRS!A151</f>
        <v>146</v>
      </c>
      <c r="B151" s="182" t="str">
        <f>MRS!B151</f>
        <v>Concrete Drill Bit 16mmx210mm</v>
      </c>
      <c r="C151" s="183"/>
      <c r="D151" s="184">
        <f>MRS!D151</f>
        <v>0</v>
      </c>
      <c r="E151" s="185"/>
      <c r="F151" s="186"/>
      <c r="G151" s="95" t="str">
        <f>MRS!G151</f>
        <v>Nos</v>
      </c>
      <c r="H151" s="95">
        <f>MRS!H151</f>
        <v>10</v>
      </c>
      <c r="I151" s="96">
        <f>MRS!I151</f>
        <v>9.5</v>
      </c>
      <c r="J151" s="96">
        <f>MRS!J151</f>
        <v>95</v>
      </c>
      <c r="K151" s="97"/>
      <c r="O151" s="98"/>
      <c r="P151" s="98"/>
      <c r="R151" s="98"/>
    </row>
    <row r="152" spans="1:18" ht="105" customHeight="1">
      <c r="A152" s="21">
        <f>+MRS!A152</f>
        <v>147</v>
      </c>
      <c r="B152" s="182" t="str">
        <f>MRS!B152</f>
        <v>Concrete Drill Bit 6mmx100mm</v>
      </c>
      <c r="C152" s="183"/>
      <c r="D152" s="184">
        <f>MRS!D152</f>
        <v>0</v>
      </c>
      <c r="E152" s="185"/>
      <c r="F152" s="186"/>
      <c r="G152" s="95" t="str">
        <f>MRS!G152</f>
        <v>Nos</v>
      </c>
      <c r="H152" s="95">
        <f>MRS!H152</f>
        <v>10</v>
      </c>
      <c r="I152" s="96">
        <f>MRS!I152</f>
        <v>3.3</v>
      </c>
      <c r="J152" s="96">
        <f>MRS!J152</f>
        <v>33</v>
      </c>
      <c r="K152" s="97"/>
      <c r="O152" s="98"/>
      <c r="P152" s="98"/>
      <c r="R152" s="98"/>
    </row>
    <row r="153" spans="1:18" ht="105" customHeight="1">
      <c r="A153" s="21">
        <f>+MRS!A153</f>
        <v>148</v>
      </c>
      <c r="B153" s="182" t="str">
        <f>MRS!B153</f>
        <v>Cordless Impact Drill 18V GSB183-LI Bosch with 2-batt. and Charger</v>
      </c>
      <c r="C153" s="183"/>
      <c r="D153" s="184">
        <f>MRS!D153</f>
        <v>0</v>
      </c>
      <c r="E153" s="185"/>
      <c r="F153" s="186"/>
      <c r="G153" s="95" t="str">
        <f>MRS!G153</f>
        <v>Nos</v>
      </c>
      <c r="H153" s="95">
        <f>MRS!H153</f>
        <v>5</v>
      </c>
      <c r="I153" s="96">
        <f>MRS!I153</f>
        <v>815</v>
      </c>
      <c r="J153" s="96">
        <f>MRS!J153</f>
        <v>4075</v>
      </c>
      <c r="K153" s="97"/>
      <c r="O153" s="98"/>
      <c r="P153" s="98"/>
      <c r="R153" s="98"/>
    </row>
    <row r="154" spans="1:18" ht="105" customHeight="1">
      <c r="A154" s="21">
        <f>+MRS!A154</f>
        <v>149</v>
      </c>
      <c r="B154" s="182" t="str">
        <f>MRS!B154</f>
        <v>Demolition Hammer SDS Max 1500W GSH 7VC Bosch</v>
      </c>
      <c r="C154" s="183"/>
      <c r="D154" s="184">
        <f>MRS!D154</f>
        <v>0</v>
      </c>
      <c r="E154" s="185"/>
      <c r="F154" s="186"/>
      <c r="G154" s="95" t="str">
        <f>MRS!G154</f>
        <v>Nos</v>
      </c>
      <c r="H154" s="95">
        <f>MRS!H154</f>
        <v>2</v>
      </c>
      <c r="I154" s="96">
        <f>MRS!I154</f>
        <v>3594</v>
      </c>
      <c r="J154" s="96">
        <f>MRS!J154</f>
        <v>7188</v>
      </c>
      <c r="K154" s="97"/>
      <c r="O154" s="98"/>
      <c r="P154" s="98"/>
      <c r="R154" s="98"/>
    </row>
    <row r="155" spans="1:18" ht="105" customHeight="1">
      <c r="A155" s="21">
        <f>+MRS!A155</f>
        <v>150</v>
      </c>
      <c r="B155" s="182" t="str">
        <f>MRS!B155</f>
        <v>Hammer Drill Machine SDS Plus 800W GBH2-26 Bosch</v>
      </c>
      <c r="C155" s="183"/>
      <c r="D155" s="184">
        <f>MRS!D155</f>
        <v>0</v>
      </c>
      <c r="E155" s="185"/>
      <c r="F155" s="186"/>
      <c r="G155" s="95" t="str">
        <f>MRS!G155</f>
        <v>Nos</v>
      </c>
      <c r="H155" s="95">
        <f>MRS!H155</f>
        <v>5</v>
      </c>
      <c r="I155" s="96">
        <f>MRS!I155</f>
        <v>1180</v>
      </c>
      <c r="J155" s="96">
        <f>MRS!J155</f>
        <v>5900</v>
      </c>
      <c r="K155" s="97"/>
      <c r="O155" s="98"/>
      <c r="P155" s="98"/>
      <c r="R155" s="98"/>
    </row>
    <row r="156" spans="1:18" ht="105" customHeight="1">
      <c r="A156" s="21">
        <f>+MRS!A156</f>
        <v>151</v>
      </c>
      <c r="B156" s="182" t="str">
        <f>MRS!B156</f>
        <v>Cordless Jigsaw 18V LXT XVJ03Z Makita with 2-batt. and Charger</v>
      </c>
      <c r="C156" s="183"/>
      <c r="D156" s="184">
        <f>MRS!D156</f>
        <v>0</v>
      </c>
      <c r="E156" s="185"/>
      <c r="F156" s="186"/>
      <c r="G156" s="95" t="str">
        <f>MRS!G156</f>
        <v>Nos</v>
      </c>
      <c r="H156" s="95">
        <f>MRS!H156</f>
        <v>1</v>
      </c>
      <c r="I156" s="96">
        <f>MRS!I156</f>
        <v>2250</v>
      </c>
      <c r="J156" s="96">
        <f>MRS!J156</f>
        <v>2250</v>
      </c>
      <c r="K156" s="97"/>
      <c r="O156" s="98"/>
      <c r="P156" s="98"/>
      <c r="R156" s="98"/>
    </row>
    <row r="157" spans="1:18" ht="105" customHeight="1">
      <c r="A157" s="21">
        <f>+MRS!A157</f>
        <v>152</v>
      </c>
      <c r="B157" s="182" t="str">
        <f>MRS!B157</f>
        <v>Digital Vernier Caliper 150mm</v>
      </c>
      <c r="C157" s="183"/>
      <c r="D157" s="184">
        <f>MRS!D157</f>
        <v>0</v>
      </c>
      <c r="E157" s="185"/>
      <c r="F157" s="186"/>
      <c r="G157" s="95" t="str">
        <f>MRS!G157</f>
        <v>Nos</v>
      </c>
      <c r="H157" s="95">
        <f>MRS!H157</f>
        <v>2</v>
      </c>
      <c r="I157" s="96">
        <f>MRS!I157</f>
        <v>135</v>
      </c>
      <c r="J157" s="96">
        <f>MRS!J157</f>
        <v>270</v>
      </c>
      <c r="K157" s="97"/>
      <c r="O157" s="98"/>
      <c r="P157" s="98"/>
      <c r="R157" s="98"/>
    </row>
    <row r="158" spans="1:18" ht="105" customHeight="1">
      <c r="A158" s="21">
        <f>+MRS!A158</f>
        <v>153</v>
      </c>
      <c r="B158" s="182" t="str">
        <f>MRS!B158</f>
        <v>Drill Machine 13mm in Steel HP1604K Makita</v>
      </c>
      <c r="C158" s="183"/>
      <c r="D158" s="184">
        <f>MRS!D158</f>
        <v>0</v>
      </c>
      <c r="E158" s="185"/>
      <c r="F158" s="186"/>
      <c r="G158" s="95" t="str">
        <f>MRS!G158</f>
        <v>Nos</v>
      </c>
      <c r="H158" s="95">
        <f>MRS!H158</f>
        <v>10</v>
      </c>
      <c r="I158" s="96">
        <f>MRS!I158</f>
        <v>438</v>
      </c>
      <c r="J158" s="96">
        <f>MRS!J158</f>
        <v>4380</v>
      </c>
      <c r="K158" s="97"/>
      <c r="O158" s="98"/>
      <c r="P158" s="98"/>
      <c r="R158" s="98"/>
    </row>
    <row r="159" spans="1:18" ht="105" customHeight="1">
      <c r="A159" s="21">
        <f>+MRS!A159</f>
        <v>154</v>
      </c>
      <c r="B159" s="182" t="str">
        <f>MRS!B159</f>
        <v>Earthing Cable 10mm2 x 90mtr</v>
      </c>
      <c r="C159" s="183"/>
      <c r="D159" s="184">
        <f>MRS!D159</f>
        <v>0</v>
      </c>
      <c r="E159" s="185"/>
      <c r="F159" s="186"/>
      <c r="G159" s="95" t="str">
        <f>MRS!G159</f>
        <v>Nos</v>
      </c>
      <c r="H159" s="95">
        <f>MRS!H159</f>
        <v>2</v>
      </c>
      <c r="I159" s="96">
        <f>MRS!I159</f>
        <v>790</v>
      </c>
      <c r="J159" s="96">
        <f>MRS!J159</f>
        <v>1580</v>
      </c>
      <c r="K159" s="97"/>
      <c r="O159" s="98"/>
      <c r="P159" s="98"/>
      <c r="R159" s="98"/>
    </row>
    <row r="160" spans="1:18" ht="105" customHeight="1">
      <c r="A160" s="21">
        <f>+MRS!A160</f>
        <v>155</v>
      </c>
      <c r="B160" s="182" t="str">
        <f>MRS!B160</f>
        <v>Power Cable CU/XLPE/PVC 4Cx35mm2</v>
      </c>
      <c r="C160" s="183"/>
      <c r="D160" s="184">
        <f>MRS!D160</f>
        <v>0</v>
      </c>
      <c r="E160" s="185"/>
      <c r="F160" s="186"/>
      <c r="G160" s="95" t="str">
        <f>MRS!G160</f>
        <v>Pair</v>
      </c>
      <c r="H160" s="95">
        <f>MRS!H160</f>
        <v>200</v>
      </c>
      <c r="I160" s="96">
        <f>MRS!I160</f>
        <v>94</v>
      </c>
      <c r="J160" s="96">
        <f>MRS!J160</f>
        <v>18800</v>
      </c>
      <c r="K160" s="97"/>
      <c r="O160" s="98"/>
      <c r="P160" s="98"/>
      <c r="R160" s="98"/>
    </row>
    <row r="161" spans="1:18" ht="105" customHeight="1">
      <c r="A161" s="21">
        <f>+MRS!A161</f>
        <v>156</v>
      </c>
      <c r="B161" s="182" t="str">
        <f>MRS!B161</f>
        <v>Safety Flag with Handle Red 450x400mm</v>
      </c>
      <c r="C161" s="183"/>
      <c r="D161" s="184">
        <f>MRS!D161</f>
        <v>0</v>
      </c>
      <c r="E161" s="185"/>
      <c r="F161" s="186"/>
      <c r="G161" s="95" t="str">
        <f>MRS!G161</f>
        <v>Set</v>
      </c>
      <c r="H161" s="95">
        <f>MRS!H161</f>
        <v>10</v>
      </c>
      <c r="I161" s="96">
        <f>MRS!I161</f>
        <v>8.5</v>
      </c>
      <c r="J161" s="96">
        <f>MRS!J161</f>
        <v>85</v>
      </c>
      <c r="K161" s="97"/>
      <c r="O161" s="98"/>
      <c r="P161" s="98"/>
      <c r="R161" s="98"/>
    </row>
    <row r="162" spans="1:18" ht="105" customHeight="1">
      <c r="A162" s="21">
        <f>+MRS!A162</f>
        <v>157</v>
      </c>
      <c r="B162" s="182" t="str">
        <f>MRS!B162</f>
        <v>Safety Flag with Handle Green 450x400mm</v>
      </c>
      <c r="C162" s="183"/>
      <c r="D162" s="184">
        <f>MRS!D162</f>
        <v>0</v>
      </c>
      <c r="E162" s="185"/>
      <c r="F162" s="186"/>
      <c r="G162" s="95" t="str">
        <f>MRS!G162</f>
        <v>Nos</v>
      </c>
      <c r="H162" s="95">
        <f>MRS!H162</f>
        <v>10</v>
      </c>
      <c r="I162" s="96">
        <f>MRS!I162</f>
        <v>8.5</v>
      </c>
      <c r="J162" s="96">
        <f>MRS!J162</f>
        <v>85</v>
      </c>
      <c r="K162" s="97"/>
      <c r="O162" s="98"/>
      <c r="P162" s="98"/>
      <c r="R162" s="98"/>
    </row>
    <row r="163" spans="1:18" ht="105" customHeight="1">
      <c r="A163" s="21">
        <f>+MRS!A163</f>
        <v>158</v>
      </c>
      <c r="B163" s="182" t="str">
        <f>MRS!B163</f>
        <v>Gas Lens Body Jumbo 2.4mm (45V64)</v>
      </c>
      <c r="C163" s="183"/>
      <c r="D163" s="184">
        <f>MRS!D163</f>
        <v>0</v>
      </c>
      <c r="E163" s="185"/>
      <c r="F163" s="186"/>
      <c r="G163" s="95" t="str">
        <f>MRS!G163</f>
        <v>Nos</v>
      </c>
      <c r="H163" s="95">
        <f>MRS!H163</f>
        <v>200</v>
      </c>
      <c r="I163" s="96">
        <f>MRS!I163</f>
        <v>28</v>
      </c>
      <c r="J163" s="96">
        <f>MRS!J163</f>
        <v>5600</v>
      </c>
      <c r="K163" s="97"/>
      <c r="O163" s="98"/>
      <c r="P163" s="98"/>
      <c r="R163" s="98"/>
    </row>
    <row r="164" spans="1:18" ht="105" customHeight="1">
      <c r="A164" s="21">
        <f>+MRS!A164</f>
        <v>159</v>
      </c>
      <c r="B164" s="182" t="str">
        <f>MRS!B164</f>
        <v>Gas Lens Insulator 18CG (Heat Shield 54N63)</v>
      </c>
      <c r="C164" s="183"/>
      <c r="D164" s="184">
        <f>MRS!D164</f>
        <v>0</v>
      </c>
      <c r="E164" s="185"/>
      <c r="F164" s="186"/>
      <c r="G164" s="95" t="str">
        <f>MRS!G164</f>
        <v>Nos</v>
      </c>
      <c r="H164" s="95">
        <f>MRS!H164</f>
        <v>150</v>
      </c>
      <c r="I164" s="96">
        <f>MRS!I164</f>
        <v>16</v>
      </c>
      <c r="J164" s="96">
        <f>MRS!J164</f>
        <v>2400</v>
      </c>
      <c r="K164" s="97"/>
      <c r="O164" s="98"/>
      <c r="P164" s="98"/>
      <c r="R164" s="98"/>
    </row>
    <row r="165" spans="1:18" ht="105" customHeight="1">
      <c r="A165" s="21">
        <f>+MRS!A165</f>
        <v>160</v>
      </c>
      <c r="B165" s="182" t="str">
        <f>MRS!B165</f>
        <v>Gas Lens Insulator Cup Gasket (54N01)</v>
      </c>
      <c r="C165" s="183"/>
      <c r="D165" s="184">
        <f>MRS!D165</f>
        <v>0</v>
      </c>
      <c r="E165" s="185"/>
      <c r="F165" s="186"/>
      <c r="G165" s="95" t="str">
        <f>MRS!G165</f>
        <v>Nos</v>
      </c>
      <c r="H165" s="95">
        <f>MRS!H165</f>
        <v>100</v>
      </c>
      <c r="I165" s="96">
        <f>MRS!I165</f>
        <v>16.5</v>
      </c>
      <c r="J165" s="96">
        <f>MRS!J165</f>
        <v>1650</v>
      </c>
      <c r="K165" s="97"/>
      <c r="O165" s="98"/>
      <c r="P165" s="98"/>
      <c r="R165" s="98"/>
    </row>
    <row r="166" spans="1:18" ht="105" customHeight="1">
      <c r="A166" s="21">
        <f>+MRS!A166</f>
        <v>161</v>
      </c>
      <c r="B166" s="182" t="str">
        <f>MRS!B166</f>
        <v>Hi-Lo Welding Gauge</v>
      </c>
      <c r="C166" s="183"/>
      <c r="D166" s="184">
        <f>MRS!D166</f>
        <v>0</v>
      </c>
      <c r="E166" s="185"/>
      <c r="F166" s="186"/>
      <c r="G166" s="95" t="str">
        <f>MRS!G166</f>
        <v>Nos</v>
      </c>
      <c r="H166" s="95">
        <f>MRS!H166</f>
        <v>10</v>
      </c>
      <c r="I166" s="96">
        <f>MRS!I166</f>
        <v>163</v>
      </c>
      <c r="J166" s="96">
        <f>MRS!J166</f>
        <v>1630</v>
      </c>
      <c r="K166" s="97"/>
      <c r="O166" s="98"/>
      <c r="P166" s="98"/>
      <c r="R166" s="98"/>
    </row>
    <row r="167" spans="1:18" ht="105" customHeight="1">
      <c r="A167" s="21">
        <f>+MRS!A167</f>
        <v>162</v>
      </c>
      <c r="B167" s="182" t="str">
        <f>MRS!B167</f>
        <v>Impact Socket Adapter 1/2"(M) x 3/4"(F)</v>
      </c>
      <c r="C167" s="183"/>
      <c r="D167" s="184">
        <f>MRS!D167</f>
        <v>0</v>
      </c>
      <c r="E167" s="185"/>
      <c r="F167" s="186"/>
      <c r="G167" s="95" t="str">
        <f>MRS!G167</f>
        <v>Nos</v>
      </c>
      <c r="H167" s="95">
        <f>MRS!H167</f>
        <v>10</v>
      </c>
      <c r="I167" s="96">
        <f>MRS!I167</f>
        <v>38</v>
      </c>
      <c r="J167" s="96">
        <f>MRS!J167</f>
        <v>380</v>
      </c>
      <c r="K167" s="97"/>
      <c r="O167" s="98"/>
      <c r="P167" s="98"/>
      <c r="R167" s="98"/>
    </row>
    <row r="168" spans="1:18" ht="105" customHeight="1">
      <c r="A168" s="21">
        <f>+MRS!A168</f>
        <v>163</v>
      </c>
      <c r="B168" s="182" t="str">
        <f>MRS!B168</f>
        <v>Impact Socket Adapter 3/4"(M) x 1/2"(F)</v>
      </c>
      <c r="C168" s="183"/>
      <c r="D168" s="184">
        <f>MRS!D168</f>
        <v>0</v>
      </c>
      <c r="E168" s="185"/>
      <c r="F168" s="186"/>
      <c r="G168" s="95" t="str">
        <f>MRS!G168</f>
        <v>Nos</v>
      </c>
      <c r="H168" s="95">
        <f>MRS!H168</f>
        <v>5</v>
      </c>
      <c r="I168" s="96">
        <f>MRS!I168</f>
        <v>42</v>
      </c>
      <c r="J168" s="96">
        <f>MRS!J168</f>
        <v>210</v>
      </c>
      <c r="K168" s="97"/>
      <c r="O168" s="98"/>
      <c r="P168" s="98"/>
      <c r="R168" s="98"/>
    </row>
    <row r="169" spans="1:18" ht="105" customHeight="1">
      <c r="A169" s="21">
        <f>+MRS!A169</f>
        <v>164</v>
      </c>
      <c r="B169" s="182" t="str">
        <f>MRS!B169</f>
        <v>Impact Socket Adapter 3/8"(M) x 1/2"(F)</v>
      </c>
      <c r="C169" s="183"/>
      <c r="D169" s="184">
        <f>MRS!D169</f>
        <v>0</v>
      </c>
      <c r="E169" s="185"/>
      <c r="F169" s="186"/>
      <c r="G169" s="95" t="str">
        <f>MRS!G169</f>
        <v>Nos</v>
      </c>
      <c r="H169" s="95">
        <f>MRS!H169</f>
        <v>5</v>
      </c>
      <c r="I169" s="96">
        <f>MRS!I169</f>
        <v>20</v>
      </c>
      <c r="J169" s="96">
        <f>MRS!J169</f>
        <v>100</v>
      </c>
      <c r="K169" s="97"/>
      <c r="O169" s="98"/>
      <c r="P169" s="98"/>
      <c r="R169" s="98"/>
    </row>
    <row r="170" spans="1:18" ht="105" customHeight="1">
      <c r="A170" s="21">
        <f>+MRS!A170</f>
        <v>165</v>
      </c>
      <c r="B170" s="182" t="str">
        <f>MRS!B170</f>
        <v>Impact Socket Adapter 1/4"(M) x 3/8"(F)</v>
      </c>
      <c r="C170" s="183"/>
      <c r="D170" s="184">
        <f>MRS!D170</f>
        <v>0</v>
      </c>
      <c r="E170" s="185"/>
      <c r="F170" s="186"/>
      <c r="G170" s="95" t="str">
        <f>MRS!G170</f>
        <v>Nos</v>
      </c>
      <c r="H170" s="95">
        <f>MRS!H170</f>
        <v>5</v>
      </c>
      <c r="I170" s="96">
        <f>MRS!I170</f>
        <v>20</v>
      </c>
      <c r="J170" s="96">
        <f>MRS!J170</f>
        <v>100</v>
      </c>
      <c r="K170" s="97"/>
      <c r="O170" s="98"/>
      <c r="P170" s="98"/>
      <c r="R170" s="98"/>
    </row>
    <row r="171" spans="1:18" ht="105" customHeight="1">
      <c r="A171" s="21">
        <f>+MRS!A171</f>
        <v>166</v>
      </c>
      <c r="B171" s="182" t="str">
        <f>MRS!B171</f>
        <v>Impact Socket Adapter 3/4"(M) x 1"(F)</v>
      </c>
      <c r="C171" s="183"/>
      <c r="D171" s="184">
        <f>MRS!D171</f>
        <v>0</v>
      </c>
      <c r="E171" s="185"/>
      <c r="F171" s="186"/>
      <c r="G171" s="95" t="str">
        <f>MRS!G171</f>
        <v>Pair</v>
      </c>
      <c r="H171" s="95">
        <f>MRS!H171</f>
        <v>5</v>
      </c>
      <c r="I171" s="96">
        <f>MRS!I171</f>
        <v>45</v>
      </c>
      <c r="J171" s="96">
        <f>MRS!J171</f>
        <v>225</v>
      </c>
      <c r="K171" s="97"/>
      <c r="O171" s="98"/>
      <c r="P171" s="98"/>
      <c r="R171" s="98"/>
    </row>
    <row r="172" spans="1:18" ht="105" customHeight="1">
      <c r="A172" s="21">
        <f>+MRS!A172</f>
        <v>167</v>
      </c>
      <c r="B172" s="182" t="str">
        <f>MRS!B172</f>
        <v>Loctite 567 50ml</v>
      </c>
      <c r="C172" s="183"/>
      <c r="D172" s="184">
        <f>MRS!D172</f>
        <v>0</v>
      </c>
      <c r="E172" s="185"/>
      <c r="F172" s="186"/>
      <c r="G172" s="95" t="str">
        <f>MRS!G172</f>
        <v>Nos</v>
      </c>
      <c r="H172" s="95">
        <f>MRS!H172</f>
        <v>150</v>
      </c>
      <c r="I172" s="96">
        <f>MRS!I172</f>
        <v>98</v>
      </c>
      <c r="J172" s="96">
        <f>MRS!J172</f>
        <v>14700</v>
      </c>
      <c r="K172" s="97"/>
      <c r="O172" s="98"/>
      <c r="P172" s="98"/>
      <c r="R172" s="98"/>
    </row>
    <row r="173" spans="1:18" ht="105" customHeight="1">
      <c r="A173" s="21">
        <f>+MRS!A173</f>
        <v>168</v>
      </c>
      <c r="B173" s="182" t="str">
        <f>MRS!B173</f>
        <v>Digital Multimeter DC1000V AC750V M120 Tekneka</v>
      </c>
      <c r="C173" s="183"/>
      <c r="D173" s="184">
        <f>MRS!D173</f>
        <v>0</v>
      </c>
      <c r="E173" s="185"/>
      <c r="F173" s="186"/>
      <c r="G173" s="95" t="str">
        <f>MRS!G173</f>
        <v>Roll</v>
      </c>
      <c r="H173" s="95">
        <f>MRS!H173</f>
        <v>1</v>
      </c>
      <c r="I173" s="96">
        <f>MRS!I173</f>
        <v>124</v>
      </c>
      <c r="J173" s="96">
        <f>MRS!J173</f>
        <v>124</v>
      </c>
      <c r="K173" s="97"/>
      <c r="O173" s="98"/>
      <c r="P173" s="98"/>
      <c r="R173" s="98"/>
    </row>
    <row r="174" spans="1:18" ht="105" customHeight="1">
      <c r="A174" s="21">
        <f>+MRS!A174</f>
        <v>169</v>
      </c>
      <c r="B174" s="182" t="str">
        <f>MRS!B174</f>
        <v>Neon Line Tester</v>
      </c>
      <c r="C174" s="183"/>
      <c r="D174" s="184">
        <f>MRS!D174</f>
        <v>0</v>
      </c>
      <c r="E174" s="185"/>
      <c r="F174" s="186"/>
      <c r="G174" s="95" t="str">
        <f>MRS!G174</f>
        <v>Nos</v>
      </c>
      <c r="H174" s="95">
        <f>MRS!H174</f>
        <v>13</v>
      </c>
      <c r="I174" s="96">
        <f>MRS!I174</f>
        <v>2.5</v>
      </c>
      <c r="J174" s="96">
        <f>MRS!J174</f>
        <v>32.5</v>
      </c>
      <c r="K174" s="97"/>
      <c r="O174" s="98"/>
      <c r="P174" s="98"/>
      <c r="R174" s="98"/>
    </row>
    <row r="175" spans="1:18" ht="105" customHeight="1">
      <c r="A175" s="21">
        <f>+MRS!A175</f>
        <v>170</v>
      </c>
      <c r="B175" s="182" t="str">
        <f>MRS!B175</f>
        <v>Pipe Wrench 10"</v>
      </c>
      <c r="C175" s="183"/>
      <c r="D175" s="184">
        <f>MRS!D175</f>
        <v>0</v>
      </c>
      <c r="E175" s="185"/>
      <c r="F175" s="186"/>
      <c r="G175" s="95" t="str">
        <f>MRS!G175</f>
        <v>Nos</v>
      </c>
      <c r="H175" s="95">
        <f>MRS!H175</f>
        <v>5</v>
      </c>
      <c r="I175" s="96">
        <f>MRS!I175</f>
        <v>27</v>
      </c>
      <c r="J175" s="96">
        <f>MRS!J175</f>
        <v>135</v>
      </c>
      <c r="K175" s="97"/>
      <c r="O175" s="98"/>
      <c r="P175" s="98"/>
      <c r="R175" s="98"/>
    </row>
    <row r="176" spans="1:18" ht="105" customHeight="1">
      <c r="A176" s="21">
        <f>+MRS!A176</f>
        <v>171</v>
      </c>
      <c r="B176" s="182" t="str">
        <f>MRS!B176</f>
        <v>Pipe Wrench 24"</v>
      </c>
      <c r="C176" s="183"/>
      <c r="D176" s="184">
        <f>MRS!D176</f>
        <v>0</v>
      </c>
      <c r="E176" s="185"/>
      <c r="F176" s="186"/>
      <c r="G176" s="95" t="str">
        <f>MRS!G176</f>
        <v>Nos</v>
      </c>
      <c r="H176" s="95">
        <f>MRS!H176</f>
        <v>10</v>
      </c>
      <c r="I176" s="96">
        <f>MRS!I176</f>
        <v>53</v>
      </c>
      <c r="J176" s="96">
        <f>MRS!J176</f>
        <v>530</v>
      </c>
      <c r="K176" s="97"/>
      <c r="O176" s="98"/>
      <c r="P176" s="98"/>
      <c r="R176" s="98"/>
    </row>
    <row r="177" spans="1:18" ht="105" customHeight="1">
      <c r="A177" s="21">
        <f>+MRS!A177</f>
        <v>172</v>
      </c>
      <c r="B177" s="182" t="str">
        <f>MRS!B177</f>
        <v>Pipe Wrench 36"</v>
      </c>
      <c r="C177" s="183"/>
      <c r="D177" s="184">
        <f>MRS!D177</f>
        <v>0</v>
      </c>
      <c r="E177" s="185"/>
      <c r="F177" s="186"/>
      <c r="G177" s="95" t="str">
        <f>MRS!G177</f>
        <v>Nos</v>
      </c>
      <c r="H177" s="95">
        <f>MRS!H177</f>
        <v>5</v>
      </c>
      <c r="I177" s="96">
        <f>MRS!I177</f>
        <v>110</v>
      </c>
      <c r="J177" s="96">
        <f>MRS!J177</f>
        <v>550</v>
      </c>
      <c r="K177" s="97"/>
      <c r="O177" s="98"/>
      <c r="P177" s="98"/>
      <c r="R177" s="98"/>
    </row>
    <row r="178" spans="1:18" ht="105" customHeight="1">
      <c r="A178" s="21">
        <f>+MRS!A178</f>
        <v>173</v>
      </c>
      <c r="B178" s="182" t="str">
        <f>MRS!B178</f>
        <v>Industrial Ventilation Fan 12" 220V</v>
      </c>
      <c r="C178" s="183"/>
      <c r="D178" s="184">
        <f>MRS!D178</f>
        <v>0</v>
      </c>
      <c r="E178" s="185"/>
      <c r="F178" s="186"/>
      <c r="G178" s="95" t="str">
        <f>MRS!G178</f>
        <v>Nos</v>
      </c>
      <c r="H178" s="95">
        <f>MRS!H178</f>
        <v>5</v>
      </c>
      <c r="I178" s="96">
        <f>MRS!I178</f>
        <v>390</v>
      </c>
      <c r="J178" s="96">
        <f>MRS!J178</f>
        <v>1950</v>
      </c>
      <c r="K178" s="97"/>
      <c r="O178" s="98"/>
      <c r="P178" s="98"/>
      <c r="R178" s="98"/>
    </row>
    <row r="179" spans="1:18" ht="105" customHeight="1">
      <c r="A179" s="21">
        <f>+MRS!A179</f>
        <v>174</v>
      </c>
      <c r="B179" s="182" t="str">
        <f>MRS!B179</f>
        <v>Sponge Foam Sheet 900x1900x100mm</v>
      </c>
      <c r="C179" s="183"/>
      <c r="D179" s="184">
        <f>MRS!D179</f>
        <v>0</v>
      </c>
      <c r="E179" s="185"/>
      <c r="F179" s="186"/>
      <c r="G179" s="95" t="str">
        <f>MRS!G179</f>
        <v>Nos</v>
      </c>
      <c r="H179" s="95">
        <f>MRS!H179</f>
        <v>15</v>
      </c>
      <c r="I179" s="96">
        <f>MRS!I179</f>
        <v>97</v>
      </c>
      <c r="J179" s="96">
        <f>MRS!J179</f>
        <v>1455</v>
      </c>
      <c r="K179" s="97"/>
      <c r="O179" s="98"/>
      <c r="P179" s="98"/>
      <c r="R179" s="98"/>
    </row>
    <row r="180" spans="1:18" ht="105" customHeight="1">
      <c r="A180" s="21">
        <f>+MRS!A180</f>
        <v>175</v>
      </c>
      <c r="B180" s="182" t="str">
        <f>MRS!B180</f>
        <v>CS Square Tube 20x20x2mm, 6mtr</v>
      </c>
      <c r="C180" s="183"/>
      <c r="D180" s="184">
        <f>MRS!D180</f>
        <v>0</v>
      </c>
      <c r="E180" s="185"/>
      <c r="F180" s="186"/>
      <c r="G180" s="95" t="str">
        <f>MRS!G180</f>
        <v>Nos</v>
      </c>
      <c r="H180" s="95">
        <f>MRS!H180</f>
        <v>100</v>
      </c>
      <c r="I180" s="96">
        <f>MRS!I180</f>
        <v>30.5</v>
      </c>
      <c r="J180" s="96">
        <f>MRS!J180</f>
        <v>3050</v>
      </c>
      <c r="K180" s="97"/>
      <c r="O180" s="98"/>
      <c r="P180" s="98"/>
      <c r="R180" s="98"/>
    </row>
    <row r="181" spans="1:18" ht="105" customHeight="1">
      <c r="A181" s="21">
        <f>+MRS!A181</f>
        <v>176</v>
      </c>
      <c r="B181" s="182" t="str">
        <f>MRS!B181</f>
        <v>CS Angle 50x50x6mm, 6mtr</v>
      </c>
      <c r="C181" s="183"/>
      <c r="D181" s="184">
        <f>MRS!D181</f>
        <v>0</v>
      </c>
      <c r="E181" s="185"/>
      <c r="F181" s="186"/>
      <c r="G181" s="95" t="str">
        <f>MRS!G181</f>
        <v>Nos</v>
      </c>
      <c r="H181" s="95">
        <f>MRS!H181</f>
        <v>30</v>
      </c>
      <c r="I181" s="96">
        <f>MRS!I181</f>
        <v>87</v>
      </c>
      <c r="J181" s="96">
        <f>MRS!J181</f>
        <v>2610</v>
      </c>
      <c r="K181" s="97"/>
      <c r="O181" s="98"/>
      <c r="P181" s="98"/>
      <c r="R181" s="98"/>
    </row>
    <row r="182" spans="1:18" ht="105" customHeight="1">
      <c r="A182" s="21">
        <f>+MRS!A182</f>
        <v>177</v>
      </c>
      <c r="B182" s="182" t="str">
        <f>MRS!B182</f>
        <v>CS Plate 4'x8'x2mm</v>
      </c>
      <c r="C182" s="183"/>
      <c r="D182" s="184">
        <f>MRS!D182</f>
        <v>0</v>
      </c>
      <c r="E182" s="185"/>
      <c r="F182" s="186"/>
      <c r="G182" s="95" t="str">
        <f>MRS!G182</f>
        <v>Nos</v>
      </c>
      <c r="H182" s="95">
        <f>MRS!H182</f>
        <v>6</v>
      </c>
      <c r="I182" s="96">
        <f>MRS!I182</f>
        <v>177</v>
      </c>
      <c r="J182" s="96">
        <f>MRS!J182</f>
        <v>1062</v>
      </c>
      <c r="K182" s="97"/>
      <c r="O182" s="98"/>
      <c r="P182" s="98"/>
      <c r="R182" s="98"/>
    </row>
    <row r="183" spans="1:18" ht="105" customHeight="1">
      <c r="A183" s="21">
        <f>+MRS!A183</f>
        <v>178</v>
      </c>
      <c r="B183" s="182" t="str">
        <f>MRS!B183</f>
        <v>Low Chloride Paint Marker Blue</v>
      </c>
      <c r="C183" s="183"/>
      <c r="D183" s="184">
        <f>MRS!D183</f>
        <v>0</v>
      </c>
      <c r="E183" s="185"/>
      <c r="F183" s="186"/>
      <c r="G183" s="95" t="str">
        <f>MRS!G183</f>
        <v>Nos</v>
      </c>
      <c r="H183" s="95">
        <f>MRS!H183</f>
        <v>300</v>
      </c>
      <c r="I183" s="96">
        <f>MRS!I183</f>
        <v>13.8</v>
      </c>
      <c r="J183" s="96">
        <f>MRS!J183</f>
        <v>4140</v>
      </c>
      <c r="K183" s="97"/>
      <c r="O183" s="98"/>
      <c r="P183" s="98"/>
      <c r="R183" s="98"/>
    </row>
    <row r="184" spans="1:18" ht="105" customHeight="1">
      <c r="A184" s="21">
        <f>+MRS!A184</f>
        <v>179</v>
      </c>
      <c r="B184" s="182" t="str">
        <f>MRS!B184</f>
        <v>Permanent Marker Pen Twin Tip Blue 1.0x0.5mm</v>
      </c>
      <c r="C184" s="183"/>
      <c r="D184" s="184">
        <f>MRS!D184</f>
        <v>0</v>
      </c>
      <c r="E184" s="185"/>
      <c r="F184" s="186"/>
      <c r="G184" s="95" t="str">
        <f>MRS!G184</f>
        <v>Nos</v>
      </c>
      <c r="H184" s="95">
        <f>MRS!H184</f>
        <v>180</v>
      </c>
      <c r="I184" s="96">
        <f>MRS!I184</f>
        <v>1.84</v>
      </c>
      <c r="J184" s="96">
        <f>MRS!J184</f>
        <v>331.2</v>
      </c>
      <c r="K184" s="97"/>
      <c r="O184" s="98"/>
      <c r="P184" s="98"/>
      <c r="R184" s="98"/>
    </row>
    <row r="185" spans="1:18" ht="105" customHeight="1">
      <c r="A185" s="21">
        <f>+MRS!A185</f>
        <v>180</v>
      </c>
      <c r="B185" s="182" t="str">
        <f>MRS!B185</f>
        <v>WD-40 330ml</v>
      </c>
      <c r="C185" s="183"/>
      <c r="D185" s="184">
        <f>MRS!D185</f>
        <v>0</v>
      </c>
      <c r="E185" s="185"/>
      <c r="F185" s="186"/>
      <c r="G185" s="95" t="str">
        <f>MRS!G185</f>
        <v>Nos</v>
      </c>
      <c r="H185" s="95">
        <f>MRS!H185</f>
        <v>800</v>
      </c>
      <c r="I185" s="96">
        <f>MRS!I185</f>
        <v>18.5</v>
      </c>
      <c r="J185" s="96">
        <f>MRS!J185</f>
        <v>14800</v>
      </c>
      <c r="K185" s="97"/>
      <c r="O185" s="98"/>
      <c r="P185" s="98"/>
      <c r="R185" s="98"/>
    </row>
    <row r="186" spans="1:18" ht="105" customHeight="1">
      <c r="A186" s="21">
        <f>+MRS!A186</f>
        <v>181</v>
      </c>
      <c r="B186" s="182" t="str">
        <f>MRS!B186</f>
        <v>Sand Paper Roll #100 2"x50mtr</v>
      </c>
      <c r="C186" s="183"/>
      <c r="D186" s="184">
        <f>MRS!D186</f>
        <v>0</v>
      </c>
      <c r="E186" s="185"/>
      <c r="F186" s="186"/>
      <c r="G186" s="95" t="str">
        <f>MRS!G186</f>
        <v>Nos</v>
      </c>
      <c r="H186" s="95">
        <f>MRS!H186</f>
        <v>5</v>
      </c>
      <c r="I186" s="96">
        <f>MRS!I186</f>
        <v>63</v>
      </c>
      <c r="J186" s="96">
        <f>MRS!J186</f>
        <v>315</v>
      </c>
      <c r="K186" s="97"/>
      <c r="O186" s="98"/>
      <c r="P186" s="98"/>
      <c r="R186" s="98"/>
    </row>
    <row r="187" spans="1:18" ht="105" customHeight="1">
      <c r="A187" s="21">
        <f>+MRS!A187</f>
        <v>182</v>
      </c>
      <c r="B187" s="182" t="str">
        <f>MRS!B187</f>
        <v>Tig Collet Pin 250A 2.4mm</v>
      </c>
      <c r="C187" s="183"/>
      <c r="D187" s="184">
        <f>MRS!D187</f>
        <v>0</v>
      </c>
      <c r="E187" s="185"/>
      <c r="F187" s="186"/>
      <c r="G187" s="95" t="str">
        <f>MRS!G187</f>
        <v>Nos</v>
      </c>
      <c r="H187" s="95">
        <f>MRS!H187</f>
        <v>100</v>
      </c>
      <c r="I187" s="96">
        <f>MRS!I187</f>
        <v>5.9</v>
      </c>
      <c r="J187" s="96">
        <f>MRS!J187</f>
        <v>590</v>
      </c>
      <c r="K187" s="97"/>
      <c r="O187" s="98"/>
      <c r="P187" s="98"/>
      <c r="R187" s="98"/>
    </row>
    <row r="188" spans="1:18" ht="105" customHeight="1">
      <c r="A188" s="21">
        <f>+MRS!A188</f>
        <v>183</v>
      </c>
      <c r="B188" s="182" t="str">
        <f>MRS!B188</f>
        <v>Tig Torch Switch</v>
      </c>
      <c r="C188" s="183"/>
      <c r="D188" s="184">
        <f>MRS!D188</f>
        <v>0</v>
      </c>
      <c r="E188" s="185"/>
      <c r="F188" s="186"/>
      <c r="G188" s="95" t="str">
        <f>MRS!G188</f>
        <v>Nos</v>
      </c>
      <c r="H188" s="95">
        <f>MRS!H188</f>
        <v>200</v>
      </c>
      <c r="I188" s="96">
        <f>MRS!I188</f>
        <v>12</v>
      </c>
      <c r="J188" s="96">
        <f>MRS!J188</f>
        <v>2400</v>
      </c>
      <c r="K188" s="97"/>
      <c r="O188" s="98"/>
      <c r="P188" s="98"/>
      <c r="R188" s="98"/>
    </row>
    <row r="189" spans="1:18" ht="105" customHeight="1">
      <c r="A189" s="21">
        <f>+MRS!A189</f>
        <v>184</v>
      </c>
      <c r="B189" s="182" t="str">
        <f>MRS!B189</f>
        <v>Tungsten Electrode 3.2mm</v>
      </c>
      <c r="C189" s="183"/>
      <c r="D189" s="184">
        <f>MRS!D189</f>
        <v>0</v>
      </c>
      <c r="E189" s="185"/>
      <c r="F189" s="186"/>
      <c r="G189" s="95" t="str">
        <f>MRS!G189</f>
        <v>Nos</v>
      </c>
      <c r="H189" s="95">
        <f>MRS!H189</f>
        <v>300</v>
      </c>
      <c r="I189" s="96">
        <f>MRS!I189</f>
        <v>25</v>
      </c>
      <c r="J189" s="96">
        <f>MRS!J189</f>
        <v>7500</v>
      </c>
      <c r="K189" s="97"/>
      <c r="O189" s="98"/>
      <c r="P189" s="98"/>
      <c r="R189" s="98"/>
    </row>
    <row r="190" spans="1:18" ht="105" customHeight="1">
      <c r="A190" s="21">
        <f>+MRS!A190</f>
        <v>185</v>
      </c>
      <c r="B190" s="182" t="str">
        <f>MRS!B190</f>
        <v>Ceramic Nozzle 350A #5</v>
      </c>
      <c r="C190" s="183"/>
      <c r="D190" s="184">
        <f>MRS!D190</f>
        <v>0</v>
      </c>
      <c r="E190" s="185"/>
      <c r="F190" s="186"/>
      <c r="G190" s="95" t="str">
        <f>MRS!G190</f>
        <v>Nos</v>
      </c>
      <c r="H190" s="95">
        <f>MRS!H190</f>
        <v>200</v>
      </c>
      <c r="I190" s="96">
        <f>MRS!I190</f>
        <v>12</v>
      </c>
      <c r="J190" s="96">
        <f>MRS!J190</f>
        <v>2400</v>
      </c>
      <c r="K190" s="97"/>
      <c r="O190" s="98"/>
      <c r="P190" s="98"/>
      <c r="R190" s="98"/>
    </row>
    <row r="191" spans="1:18" ht="105" customHeight="1">
      <c r="A191" s="21">
        <f>+MRS!A191</f>
        <v>186</v>
      </c>
      <c r="B191" s="182" t="str">
        <f>MRS!B191</f>
        <v>Ceramic Nozzle 350A #6</v>
      </c>
      <c r="C191" s="183"/>
      <c r="D191" s="184">
        <f>MRS!D191</f>
        <v>0</v>
      </c>
      <c r="E191" s="185"/>
      <c r="F191" s="186"/>
      <c r="G191" s="95" t="str">
        <f>MRS!G191</f>
        <v>Nos</v>
      </c>
      <c r="H191" s="95">
        <f>MRS!H191</f>
        <v>300</v>
      </c>
      <c r="I191" s="96">
        <f>MRS!I191</f>
        <v>12</v>
      </c>
      <c r="J191" s="96">
        <f>MRS!J191</f>
        <v>3600</v>
      </c>
      <c r="K191" s="97"/>
      <c r="O191" s="98"/>
      <c r="P191" s="98"/>
      <c r="R191" s="98"/>
    </row>
    <row r="192" spans="1:18" ht="105" customHeight="1">
      <c r="A192" s="21">
        <f>+MRS!A192</f>
        <v>187</v>
      </c>
      <c r="B192" s="182" t="str">
        <f>MRS!B192</f>
        <v>Ceramic Nozzle 350A #7</v>
      </c>
      <c r="C192" s="183"/>
      <c r="D192" s="184">
        <f>MRS!D192</f>
        <v>0</v>
      </c>
      <c r="E192" s="185"/>
      <c r="F192" s="186"/>
      <c r="G192" s="95" t="str">
        <f>MRS!G192</f>
        <v>Nos</v>
      </c>
      <c r="H192" s="95">
        <f>MRS!H192</f>
        <v>150</v>
      </c>
      <c r="I192" s="96">
        <f>MRS!I192</f>
        <v>12</v>
      </c>
      <c r="J192" s="96">
        <f>MRS!J192</f>
        <v>1800</v>
      </c>
      <c r="K192" s="97"/>
      <c r="O192" s="98"/>
      <c r="P192" s="98"/>
      <c r="R192" s="98"/>
    </row>
    <row r="193" spans="1:18" ht="105" customHeight="1">
      <c r="A193" s="21">
        <f>+MRS!A193</f>
        <v>188</v>
      </c>
      <c r="B193" s="182" t="str">
        <f>MRS!B193</f>
        <v>Ceramic Nozzle 350A #8</v>
      </c>
      <c r="C193" s="183"/>
      <c r="D193" s="184">
        <f>MRS!D193</f>
        <v>0</v>
      </c>
      <c r="E193" s="185"/>
      <c r="F193" s="186"/>
      <c r="G193" s="95" t="str">
        <f>MRS!G193</f>
        <v>Nos</v>
      </c>
      <c r="H193" s="95">
        <f>MRS!H193</f>
        <v>200</v>
      </c>
      <c r="I193" s="96">
        <f>MRS!I193</f>
        <v>12</v>
      </c>
      <c r="J193" s="96">
        <f>MRS!J193</f>
        <v>2400</v>
      </c>
      <c r="K193" s="97"/>
      <c r="O193" s="98"/>
      <c r="P193" s="98"/>
      <c r="R193" s="98"/>
    </row>
    <row r="194" spans="1:18" ht="105" customHeight="1">
      <c r="A194" s="21">
        <f>+MRS!A194</f>
        <v>189</v>
      </c>
      <c r="B194" s="182" t="str">
        <f>MRS!B194</f>
        <v>Respirator Cartridge Filter 3M 6001</v>
      </c>
      <c r="C194" s="183"/>
      <c r="D194" s="184">
        <f>MRS!D194</f>
        <v>0</v>
      </c>
      <c r="E194" s="185"/>
      <c r="F194" s="186"/>
      <c r="G194" s="95" t="str">
        <f>MRS!G194</f>
        <v>Nos</v>
      </c>
      <c r="H194" s="95">
        <f>MRS!H194</f>
        <v>75</v>
      </c>
      <c r="I194" s="96">
        <f>MRS!I194</f>
        <v>47.5</v>
      </c>
      <c r="J194" s="96">
        <f>MRS!J194</f>
        <v>3562.5</v>
      </c>
      <c r="K194" s="97"/>
      <c r="O194" s="98"/>
      <c r="P194" s="98"/>
      <c r="R194" s="98"/>
    </row>
    <row r="195" spans="1:18" ht="105" customHeight="1">
      <c r="A195" s="21">
        <f>+MRS!A195</f>
        <v>190</v>
      </c>
      <c r="B195" s="182" t="str">
        <f>MRS!B195</f>
        <v>Argon Hose Quick Connector 15x6mm</v>
      </c>
      <c r="C195" s="183"/>
      <c r="D195" s="184">
        <f>MRS!D195</f>
        <v>0</v>
      </c>
      <c r="E195" s="185"/>
      <c r="F195" s="186"/>
      <c r="G195" s="95" t="str">
        <f>MRS!G195</f>
        <v>Nos</v>
      </c>
      <c r="H195" s="95">
        <f>MRS!H195</f>
        <v>500</v>
      </c>
      <c r="I195" s="96">
        <f>MRS!I195</f>
        <v>28</v>
      </c>
      <c r="J195" s="96">
        <f>MRS!J195</f>
        <v>14000</v>
      </c>
      <c r="K195" s="97"/>
      <c r="O195" s="98"/>
      <c r="P195" s="98"/>
      <c r="R195" s="98"/>
    </row>
    <row r="196" spans="1:18" ht="105" customHeight="1">
      <c r="A196" s="21">
        <f>+MRS!A196</f>
        <v>191</v>
      </c>
      <c r="B196" s="182" t="str">
        <f>MRS!B196</f>
        <v>Split Level 300mm</v>
      </c>
      <c r="C196" s="183"/>
      <c r="D196" s="184">
        <f>MRS!D196</f>
        <v>0</v>
      </c>
      <c r="E196" s="185"/>
      <c r="F196" s="186"/>
      <c r="G196" s="95" t="str">
        <f>MRS!G196</f>
        <v>Nos</v>
      </c>
      <c r="H196" s="95">
        <f>MRS!H196</f>
        <v>35</v>
      </c>
      <c r="I196" s="96">
        <f>MRS!I196</f>
        <v>18</v>
      </c>
      <c r="J196" s="96">
        <f>MRS!J196</f>
        <v>630</v>
      </c>
      <c r="K196" s="97"/>
      <c r="O196" s="98"/>
      <c r="P196" s="98"/>
      <c r="R196" s="98"/>
    </row>
    <row r="197" spans="1:18" ht="105" customHeight="1">
      <c r="A197" s="21">
        <f>+MRS!A197</f>
        <v>192</v>
      </c>
      <c r="B197" s="182" t="str">
        <f>MRS!B197</f>
        <v>Magnetic Split Level 230mm</v>
      </c>
      <c r="C197" s="183"/>
      <c r="D197" s="184">
        <f>MRS!D197</f>
        <v>0</v>
      </c>
      <c r="E197" s="185"/>
      <c r="F197" s="186"/>
      <c r="G197" s="95" t="str">
        <f>MRS!G197</f>
        <v>Nos</v>
      </c>
      <c r="H197" s="95">
        <f>MRS!H197</f>
        <v>25</v>
      </c>
      <c r="I197" s="96">
        <f>MRS!I197</f>
        <v>9.5</v>
      </c>
      <c r="J197" s="96">
        <f>MRS!J197</f>
        <v>237.5</v>
      </c>
      <c r="K197" s="97"/>
      <c r="O197" s="98"/>
      <c r="P197" s="98"/>
      <c r="R197" s="98"/>
    </row>
    <row r="198" spans="1:18" ht="105" customHeight="1">
      <c r="A198" s="21">
        <f>+MRS!A198</f>
        <v>193</v>
      </c>
      <c r="B198" s="182" t="str">
        <f>MRS!B198</f>
        <v>Weld Purge Oxygen Monitor PurgEye100</v>
      </c>
      <c r="C198" s="183"/>
      <c r="D198" s="184">
        <f>MRS!D198</f>
        <v>0</v>
      </c>
      <c r="E198" s="185"/>
      <c r="F198" s="186"/>
      <c r="G198" s="95" t="str">
        <f>MRS!G198</f>
        <v>Nos</v>
      </c>
      <c r="H198" s="95">
        <f>MRS!H198</f>
        <v>4</v>
      </c>
      <c r="I198" s="96">
        <f>MRS!I198</f>
        <v>3200</v>
      </c>
      <c r="J198" s="96">
        <f>MRS!J198</f>
        <v>12800</v>
      </c>
      <c r="K198" s="97"/>
      <c r="O198" s="98"/>
      <c r="P198" s="98"/>
      <c r="R198" s="98"/>
    </row>
    <row r="199" spans="1:18" ht="105" customHeight="1">
      <c r="A199" s="21">
        <f>+MRS!A199</f>
        <v>194</v>
      </c>
      <c r="B199" s="182" t="str">
        <f>MRS!B199</f>
        <v>Rubber Hammer 1Lbs</v>
      </c>
      <c r="C199" s="183"/>
      <c r="D199" s="184">
        <f>MRS!D199</f>
        <v>0</v>
      </c>
      <c r="E199" s="185"/>
      <c r="F199" s="186"/>
      <c r="G199" s="95" t="str">
        <f>MRS!G199</f>
        <v>Nos</v>
      </c>
      <c r="H199" s="95">
        <f>MRS!H199</f>
        <v>2</v>
      </c>
      <c r="I199" s="96">
        <f>MRS!I199</f>
        <v>21</v>
      </c>
      <c r="J199" s="96">
        <f>MRS!J199</f>
        <v>42</v>
      </c>
      <c r="K199" s="97"/>
      <c r="O199" s="98"/>
      <c r="P199" s="98"/>
      <c r="R199" s="98"/>
    </row>
    <row r="200" spans="1:18" ht="105" customHeight="1">
      <c r="A200" s="21">
        <f>+MRS!A200</f>
        <v>195</v>
      </c>
      <c r="B200" s="182" t="str">
        <f>MRS!B200</f>
        <v>Low Chloride Mighty Marker High Purity MM-06 Yellow 1mm (Air from USA)</v>
      </c>
      <c r="C200" s="183"/>
      <c r="D200" s="184">
        <f>MRS!D200</f>
        <v>0</v>
      </c>
      <c r="E200" s="185"/>
      <c r="F200" s="186"/>
      <c r="G200" s="95" t="str">
        <f>MRS!G200</f>
        <v>Nos</v>
      </c>
      <c r="H200" s="95">
        <f>MRS!H200</f>
        <v>36</v>
      </c>
      <c r="I200" s="96">
        <f>MRS!I200</f>
        <v>65</v>
      </c>
      <c r="J200" s="96">
        <f>MRS!J200</f>
        <v>2340</v>
      </c>
      <c r="K200" s="97"/>
      <c r="O200" s="98"/>
      <c r="P200" s="98"/>
      <c r="R200" s="98"/>
    </row>
    <row r="201" spans="1:18" ht="105" customHeight="1">
      <c r="A201" s="21">
        <f>+MRS!A201</f>
        <v>196</v>
      </c>
      <c r="B201" s="182" t="str">
        <f>MRS!B201</f>
        <v>Laser Pointer with Carabiner Hook</v>
      </c>
      <c r="C201" s="183"/>
      <c r="D201" s="184">
        <f>MRS!D201</f>
        <v>0</v>
      </c>
      <c r="E201" s="185"/>
      <c r="F201" s="186"/>
      <c r="G201" s="95" t="str">
        <f>MRS!G201</f>
        <v>Set</v>
      </c>
      <c r="H201" s="95">
        <f>MRS!H201</f>
        <v>4</v>
      </c>
      <c r="I201" s="96">
        <f>MRS!I201</f>
        <v>12</v>
      </c>
      <c r="J201" s="96">
        <f>MRS!J201</f>
        <v>48</v>
      </c>
      <c r="K201" s="97"/>
      <c r="O201" s="98"/>
      <c r="P201" s="98"/>
      <c r="R201" s="98"/>
    </row>
    <row r="202" spans="1:18" ht="105" customHeight="1">
      <c r="A202" s="21">
        <f>+MRS!A202</f>
        <v>197</v>
      </c>
      <c r="B202" s="182" t="str">
        <f>MRS!B202</f>
        <v>Combination Spanner 50mm</v>
      </c>
      <c r="C202" s="183"/>
      <c r="D202" s="184">
        <f>MRS!D202</f>
        <v>0</v>
      </c>
      <c r="E202" s="185"/>
      <c r="F202" s="186"/>
      <c r="G202" s="95" t="str">
        <f>MRS!G202</f>
        <v>Nos</v>
      </c>
      <c r="H202" s="95">
        <f>MRS!H202</f>
        <v>10</v>
      </c>
      <c r="I202" s="96">
        <f>MRS!I202</f>
        <v>92</v>
      </c>
      <c r="J202" s="96">
        <f>MRS!J202</f>
        <v>920</v>
      </c>
      <c r="K202" s="97"/>
      <c r="O202" s="98"/>
      <c r="P202" s="98"/>
      <c r="R202" s="98"/>
    </row>
    <row r="203" spans="1:18" ht="105" customHeight="1">
      <c r="A203" s="21">
        <f>+MRS!A203</f>
        <v>198</v>
      </c>
      <c r="B203" s="182" t="str">
        <f>MRS!B203</f>
        <v>Scaffolding Ratchet Wrench 22x24mm</v>
      </c>
      <c r="C203" s="183"/>
      <c r="D203" s="184">
        <f>MRS!D203</f>
        <v>0</v>
      </c>
      <c r="E203" s="185"/>
      <c r="F203" s="186"/>
      <c r="G203" s="95" t="str">
        <f>MRS!G203</f>
        <v>Nos</v>
      </c>
      <c r="H203" s="95">
        <f>MRS!H203</f>
        <v>10</v>
      </c>
      <c r="I203" s="96">
        <f>MRS!I203</f>
        <v>38</v>
      </c>
      <c r="J203" s="96">
        <f>MRS!J203</f>
        <v>380</v>
      </c>
      <c r="K203" s="97"/>
      <c r="O203" s="98"/>
      <c r="P203" s="98"/>
      <c r="R203" s="98"/>
    </row>
    <row r="204" spans="1:18" ht="105" customHeight="1">
      <c r="A204" s="21">
        <f>+MRS!A204</f>
        <v>199</v>
      </c>
      <c r="B204" s="182" t="str">
        <f>MRS!B204</f>
        <v>Scaffolding Ratchet Wrench 24x27mm</v>
      </c>
      <c r="C204" s="183"/>
      <c r="D204" s="184">
        <f>MRS!D204</f>
        <v>0</v>
      </c>
      <c r="E204" s="185"/>
      <c r="F204" s="186"/>
      <c r="G204" s="95" t="str">
        <f>MRS!G204</f>
        <v>Nos</v>
      </c>
      <c r="H204" s="95">
        <f>MRS!H204</f>
        <v>10</v>
      </c>
      <c r="I204" s="96">
        <f>MRS!I204</f>
        <v>44</v>
      </c>
      <c r="J204" s="96">
        <f>MRS!J204</f>
        <v>440</v>
      </c>
      <c r="K204" s="97"/>
      <c r="O204" s="98"/>
      <c r="P204" s="98"/>
      <c r="R204" s="98"/>
    </row>
    <row r="205" spans="1:18" ht="105" customHeight="1">
      <c r="A205" s="21">
        <f>+MRS!A205</f>
        <v>200</v>
      </c>
      <c r="B205" s="182" t="str">
        <f>MRS!B205</f>
        <v>Scaffolding Ratchet Wrench 46x50mm</v>
      </c>
      <c r="C205" s="183"/>
      <c r="D205" s="184">
        <f>MRS!D205</f>
        <v>0</v>
      </c>
      <c r="E205" s="185"/>
      <c r="F205" s="186"/>
      <c r="G205" s="95" t="str">
        <f>MRS!G205</f>
        <v>Nos</v>
      </c>
      <c r="H205" s="95">
        <f>MRS!H205</f>
        <v>5</v>
      </c>
      <c r="I205" s="96">
        <f>MRS!I205</f>
        <v>275</v>
      </c>
      <c r="J205" s="96">
        <f>MRS!J205</f>
        <v>1375</v>
      </c>
      <c r="K205" s="97"/>
      <c r="O205" s="98"/>
      <c r="P205" s="98"/>
      <c r="R205" s="98"/>
    </row>
    <row r="206" spans="1:18" ht="105" customHeight="1">
      <c r="A206" s="21">
        <f>+MRS!A206</f>
        <v>201</v>
      </c>
      <c r="B206" s="182" t="str">
        <f>MRS!B206</f>
        <v>Ring Hammer Wrench 27mm</v>
      </c>
      <c r="C206" s="183"/>
      <c r="D206" s="184">
        <f>MRS!D206</f>
        <v>0</v>
      </c>
      <c r="E206" s="185"/>
      <c r="F206" s="186"/>
      <c r="G206" s="95" t="str">
        <f>MRS!G206</f>
        <v>Pair</v>
      </c>
      <c r="H206" s="95">
        <f>MRS!H206</f>
        <v>10</v>
      </c>
      <c r="I206" s="96">
        <f>MRS!I206</f>
        <v>32</v>
      </c>
      <c r="J206" s="96">
        <f>MRS!J206</f>
        <v>320</v>
      </c>
      <c r="K206" s="97"/>
      <c r="O206" s="98"/>
      <c r="P206" s="98"/>
      <c r="R206" s="98"/>
    </row>
    <row r="207" spans="1:18" ht="105" customHeight="1">
      <c r="A207" s="21">
        <f>+MRS!A207</f>
        <v>202</v>
      </c>
      <c r="B207" s="182" t="str">
        <f>MRS!B207</f>
        <v>Ring Hammer Wrench 32mm</v>
      </c>
      <c r="C207" s="183"/>
      <c r="D207" s="184">
        <f>MRS!D207</f>
        <v>0</v>
      </c>
      <c r="E207" s="185"/>
      <c r="F207" s="186"/>
      <c r="G207" s="95" t="str">
        <f>MRS!G207</f>
        <v>Nos</v>
      </c>
      <c r="H207" s="95">
        <f>MRS!H207</f>
        <v>10</v>
      </c>
      <c r="I207" s="96">
        <f>MRS!I207</f>
        <v>38.5</v>
      </c>
      <c r="J207" s="96">
        <f>MRS!J207</f>
        <v>385</v>
      </c>
      <c r="K207" s="97"/>
      <c r="O207" s="98"/>
      <c r="P207" s="98"/>
      <c r="R207" s="98"/>
    </row>
    <row r="208" spans="1:18" ht="105" customHeight="1">
      <c r="A208" s="21">
        <f>+MRS!A208</f>
        <v>203</v>
      </c>
      <c r="B208" s="182" t="str">
        <f>MRS!B208</f>
        <v>Ring Hammer Wrench 41mm</v>
      </c>
      <c r="C208" s="183"/>
      <c r="D208" s="184">
        <f>MRS!D208</f>
        <v>0</v>
      </c>
      <c r="E208" s="185"/>
      <c r="F208" s="186"/>
      <c r="G208" s="95" t="str">
        <f>MRS!G208</f>
        <v>Roll</v>
      </c>
      <c r="H208" s="95">
        <f>MRS!H208</f>
        <v>6</v>
      </c>
      <c r="I208" s="96">
        <f>MRS!I208</f>
        <v>60</v>
      </c>
      <c r="J208" s="96">
        <f>MRS!J208</f>
        <v>360</v>
      </c>
      <c r="K208" s="97"/>
      <c r="O208" s="98"/>
      <c r="P208" s="98"/>
      <c r="R208" s="98"/>
    </row>
    <row r="209" spans="1:18" ht="105" customHeight="1">
      <c r="A209" s="21">
        <f>+MRS!A209</f>
        <v>204</v>
      </c>
      <c r="B209" s="182" t="str">
        <f>MRS!B209</f>
        <v>Ring Hammer Wrench 50mm</v>
      </c>
      <c r="C209" s="183"/>
      <c r="D209" s="184">
        <f>MRS!D209</f>
        <v>0</v>
      </c>
      <c r="E209" s="185"/>
      <c r="F209" s="186"/>
      <c r="G209" s="95" t="str">
        <f>MRS!G209</f>
        <v>Nos</v>
      </c>
      <c r="H209" s="95">
        <f>MRS!H209</f>
        <v>6</v>
      </c>
      <c r="I209" s="96">
        <f>MRS!I209</f>
        <v>110</v>
      </c>
      <c r="J209" s="96">
        <f>MRS!J209</f>
        <v>660</v>
      </c>
      <c r="K209" s="97"/>
      <c r="O209" s="98"/>
      <c r="P209" s="98"/>
      <c r="R209" s="98"/>
    </row>
    <row r="210" spans="1:18" ht="105" customHeight="1">
      <c r="A210" s="21">
        <f>+MRS!A210</f>
        <v>205</v>
      </c>
      <c r="B210" s="182" t="str">
        <f>MRS!B210</f>
        <v>Claw Hammer 450g</v>
      </c>
      <c r="C210" s="183"/>
      <c r="D210" s="184">
        <f>MRS!D210</f>
        <v>0</v>
      </c>
      <c r="E210" s="185"/>
      <c r="F210" s="186"/>
      <c r="G210" s="95" t="str">
        <f>MRS!G210</f>
        <v>Nos</v>
      </c>
      <c r="H210" s="95">
        <f>MRS!H210</f>
        <v>4</v>
      </c>
      <c r="I210" s="96">
        <f>MRS!I210</f>
        <v>18</v>
      </c>
      <c r="J210" s="96">
        <f>MRS!J210</f>
        <v>72</v>
      </c>
      <c r="K210" s="97"/>
      <c r="O210" s="98"/>
      <c r="P210" s="98"/>
      <c r="R210" s="98"/>
    </row>
    <row r="211" spans="1:18" ht="105" customHeight="1">
      <c r="A211" s="21">
        <f>+MRS!A211</f>
        <v>206</v>
      </c>
      <c r="B211" s="182" t="str">
        <f>MRS!B211</f>
        <v>Sledge Hammer 2LB</v>
      </c>
      <c r="C211" s="183"/>
      <c r="D211" s="184">
        <f>MRS!D211</f>
        <v>0</v>
      </c>
      <c r="E211" s="185"/>
      <c r="F211" s="186"/>
      <c r="G211" s="95" t="str">
        <f>MRS!G211</f>
        <v>Nos</v>
      </c>
      <c r="H211" s="95">
        <f>MRS!H211</f>
        <v>10</v>
      </c>
      <c r="I211" s="96">
        <f>MRS!I211</f>
        <v>25</v>
      </c>
      <c r="J211" s="96">
        <f>MRS!J211</f>
        <v>250</v>
      </c>
      <c r="K211" s="97"/>
      <c r="O211" s="98"/>
      <c r="P211" s="98"/>
      <c r="R211" s="98"/>
    </row>
    <row r="212" spans="1:18" ht="105" customHeight="1">
      <c r="A212" s="21">
        <f>+MRS!A212</f>
        <v>207</v>
      </c>
      <c r="B212" s="182" t="str">
        <f>MRS!B212</f>
        <v>Sledge Hammer 4LB</v>
      </c>
      <c r="C212" s="183"/>
      <c r="D212" s="184">
        <f>MRS!D212</f>
        <v>0</v>
      </c>
      <c r="E212" s="185"/>
      <c r="F212" s="186"/>
      <c r="G212" s="95" t="str">
        <f>MRS!G212</f>
        <v>Nos</v>
      </c>
      <c r="H212" s="95">
        <f>MRS!H212</f>
        <v>6</v>
      </c>
      <c r="I212" s="96">
        <f>MRS!I212</f>
        <v>35</v>
      </c>
      <c r="J212" s="96">
        <f>MRS!J212</f>
        <v>210</v>
      </c>
      <c r="K212" s="97"/>
      <c r="O212" s="98"/>
      <c r="P212" s="98"/>
      <c r="R212" s="98"/>
    </row>
    <row r="213" spans="1:18" ht="105" customHeight="1">
      <c r="A213" s="21">
        <f>+MRS!A213</f>
        <v>208</v>
      </c>
      <c r="B213" s="182" t="str">
        <f>MRS!B213</f>
        <v>Disposable Coverall 2XL</v>
      </c>
      <c r="C213" s="183"/>
      <c r="D213" s="184">
        <f>MRS!D213</f>
        <v>0</v>
      </c>
      <c r="E213" s="185"/>
      <c r="F213" s="186"/>
      <c r="G213" s="95" t="str">
        <f>MRS!G213</f>
        <v>Nos</v>
      </c>
      <c r="H213" s="95">
        <f>MRS!H213</f>
        <v>100</v>
      </c>
      <c r="I213" s="96">
        <f>MRS!I213</f>
        <v>4</v>
      </c>
      <c r="J213" s="96">
        <f>MRS!J213</f>
        <v>400</v>
      </c>
      <c r="K213" s="97"/>
      <c r="O213" s="98"/>
      <c r="P213" s="98"/>
      <c r="R213" s="98"/>
    </row>
    <row r="214" spans="1:18" ht="105" customHeight="1">
      <c r="A214" s="21">
        <f>+MRS!A214</f>
        <v>209</v>
      </c>
      <c r="B214" s="182" t="str">
        <f>MRS!B214</f>
        <v>Combination Spanner 10mm</v>
      </c>
      <c r="C214" s="183"/>
      <c r="D214" s="184">
        <f>MRS!D214</f>
        <v>0</v>
      </c>
      <c r="E214" s="185"/>
      <c r="F214" s="186"/>
      <c r="G214" s="95" t="str">
        <f>MRS!G214</f>
        <v>Nos</v>
      </c>
      <c r="H214" s="95">
        <f>MRS!H214</f>
        <v>30</v>
      </c>
      <c r="I214" s="96">
        <f>MRS!I214</f>
        <v>6</v>
      </c>
      <c r="J214" s="96">
        <f>MRS!J214</f>
        <v>180</v>
      </c>
      <c r="K214" s="97"/>
      <c r="O214" s="98"/>
      <c r="P214" s="98"/>
      <c r="R214" s="98"/>
    </row>
    <row r="215" spans="1:18" ht="105" customHeight="1">
      <c r="A215" s="21">
        <f>+MRS!A215</f>
        <v>210</v>
      </c>
      <c r="B215" s="182" t="str">
        <f>MRS!B215</f>
        <v>Adjustable Wrench 8"</v>
      </c>
      <c r="C215" s="183"/>
      <c r="D215" s="184">
        <f>MRS!D215</f>
        <v>0</v>
      </c>
      <c r="E215" s="185"/>
      <c r="F215" s="186"/>
      <c r="G215" s="95" t="str">
        <f>MRS!G215</f>
        <v>Nos</v>
      </c>
      <c r="H215" s="95">
        <f>MRS!H215</f>
        <v>36</v>
      </c>
      <c r="I215" s="96">
        <f>MRS!I215</f>
        <v>10.5</v>
      </c>
      <c r="J215" s="96">
        <f>MRS!J215</f>
        <v>378</v>
      </c>
      <c r="K215" s="97"/>
      <c r="O215" s="98"/>
      <c r="P215" s="98"/>
      <c r="R215" s="98"/>
    </row>
    <row r="216" spans="1:18" ht="105" customHeight="1">
      <c r="A216" s="21">
        <f>+MRS!A216</f>
        <v>211</v>
      </c>
      <c r="B216" s="182" t="str">
        <f>MRS!B216</f>
        <v>Pressure Gauge Full SS 4" Dial 1/2" NPT 0-11bar</v>
      </c>
      <c r="C216" s="183"/>
      <c r="D216" s="184">
        <f>MRS!D216</f>
        <v>0</v>
      </c>
      <c r="E216" s="185"/>
      <c r="F216" s="186"/>
      <c r="G216" s="95" t="str">
        <f>MRS!G216</f>
        <v>Nos</v>
      </c>
      <c r="H216" s="95">
        <f>MRS!H216</f>
        <v>6</v>
      </c>
      <c r="I216" s="96">
        <f>MRS!I216</f>
        <v>230</v>
      </c>
      <c r="J216" s="96">
        <f>MRS!J216</f>
        <v>1380</v>
      </c>
      <c r="K216" s="97"/>
      <c r="O216" s="98"/>
      <c r="P216" s="98"/>
      <c r="R216" s="98"/>
    </row>
    <row r="217" spans="1:18" ht="105" customHeight="1">
      <c r="A217" s="21">
        <f>+MRS!A217</f>
        <v>212</v>
      </c>
      <c r="B217" s="182" t="str">
        <f>MRS!B217</f>
        <v>Pressure Gauge Full SS 4" Dial 1/2" NPT 0-20bar</v>
      </c>
      <c r="C217" s="183"/>
      <c r="D217" s="184">
        <f>MRS!D217</f>
        <v>0</v>
      </c>
      <c r="E217" s="185"/>
      <c r="F217" s="186"/>
      <c r="G217" s="95" t="str">
        <f>MRS!G217</f>
        <v>Nos</v>
      </c>
      <c r="H217" s="95">
        <f>MRS!H217</f>
        <v>4</v>
      </c>
      <c r="I217" s="96">
        <f>MRS!I217</f>
        <v>230</v>
      </c>
      <c r="J217" s="96">
        <f>MRS!J217</f>
        <v>920</v>
      </c>
      <c r="K217" s="97"/>
      <c r="O217" s="98"/>
      <c r="P217" s="98"/>
      <c r="R217" s="98"/>
    </row>
    <row r="218" spans="1:18" ht="105" customHeight="1">
      <c r="A218" s="21">
        <f>+MRS!A218</f>
        <v>213</v>
      </c>
      <c r="B218" s="182" t="str">
        <f>MRS!B218</f>
        <v>Pressure Gauge Full SS 4" Dial 1/2" NPT 0-40bar</v>
      </c>
      <c r="C218" s="183"/>
      <c r="D218" s="184">
        <f>MRS!D218</f>
        <v>0</v>
      </c>
      <c r="E218" s="185"/>
      <c r="F218" s="186"/>
      <c r="G218" s="95" t="str">
        <f>MRS!G218</f>
        <v>Nos</v>
      </c>
      <c r="H218" s="95">
        <f>MRS!H218</f>
        <v>3</v>
      </c>
      <c r="I218" s="96">
        <f>MRS!I218</f>
        <v>230</v>
      </c>
      <c r="J218" s="96">
        <f>MRS!J218</f>
        <v>690</v>
      </c>
      <c r="K218" s="97"/>
      <c r="O218" s="98"/>
      <c r="P218" s="98"/>
      <c r="R218" s="98"/>
    </row>
    <row r="219" spans="1:18" ht="105" customHeight="1">
      <c r="A219" s="21">
        <f>+MRS!A219</f>
        <v>214</v>
      </c>
      <c r="B219" s="182" t="str">
        <f>MRS!B219</f>
        <v>Pressure Gauge Full SS 4" Dial 1/2" NPT 0-200bar</v>
      </c>
      <c r="C219" s="183"/>
      <c r="D219" s="184">
        <f>MRS!D219</f>
        <v>0</v>
      </c>
      <c r="E219" s="185"/>
      <c r="F219" s="186"/>
      <c r="G219" s="95" t="str">
        <f>MRS!G219</f>
        <v>Set</v>
      </c>
      <c r="H219" s="95">
        <f>MRS!H219</f>
        <v>10</v>
      </c>
      <c r="I219" s="96">
        <f>MRS!I219</f>
        <v>230</v>
      </c>
      <c r="J219" s="96">
        <f>MRS!J219</f>
        <v>2300</v>
      </c>
      <c r="K219" s="97"/>
      <c r="O219" s="98"/>
      <c r="P219" s="98"/>
      <c r="R219" s="98"/>
    </row>
    <row r="220" spans="1:18" ht="105" customHeight="1">
      <c r="A220" s="21">
        <f>+MRS!A220</f>
        <v>215</v>
      </c>
      <c r="B220" s="182" t="str">
        <f>MRS!B220</f>
        <v>Pressure Gauge Full SS 4" Dial 1/2" NPT 0-280bar</v>
      </c>
      <c r="C220" s="183"/>
      <c r="D220" s="184">
        <f>MRS!D220</f>
        <v>0</v>
      </c>
      <c r="E220" s="185"/>
      <c r="F220" s="186"/>
      <c r="G220" s="95" t="str">
        <f>MRS!G220</f>
        <v>Nos</v>
      </c>
      <c r="H220" s="95">
        <f>MRS!H220</f>
        <v>6</v>
      </c>
      <c r="I220" s="96">
        <f>MRS!I220</f>
        <v>265</v>
      </c>
      <c r="J220" s="96">
        <f>MRS!J220</f>
        <v>1590</v>
      </c>
      <c r="K220" s="97"/>
      <c r="O220" s="98"/>
      <c r="P220" s="98"/>
      <c r="R220" s="98"/>
    </row>
    <row r="221" spans="1:18" ht="105" customHeight="1">
      <c r="A221" s="21">
        <f>+MRS!A221</f>
        <v>216</v>
      </c>
      <c r="B221" s="182" t="str">
        <f>MRS!B221</f>
        <v>Tig Torch Remote Cable 3Cx0.75x90mtr</v>
      </c>
      <c r="C221" s="183"/>
      <c r="D221" s="184">
        <f>MRS!D221</f>
        <v>0</v>
      </c>
      <c r="E221" s="185"/>
      <c r="F221" s="186"/>
      <c r="G221" s="95" t="str">
        <f>MRS!G221</f>
        <v>Nos</v>
      </c>
      <c r="H221" s="95">
        <f>MRS!H221</f>
        <v>10</v>
      </c>
      <c r="I221" s="96">
        <f>MRS!I221</f>
        <v>298</v>
      </c>
      <c r="J221" s="96">
        <f>MRS!J221</f>
        <v>2980</v>
      </c>
      <c r="K221" s="97"/>
      <c r="O221" s="98"/>
      <c r="P221" s="98"/>
      <c r="R221" s="98"/>
    </row>
    <row r="222" spans="1:18" ht="105" customHeight="1">
      <c r="A222" s="21">
        <f>+MRS!A222</f>
        <v>217</v>
      </c>
      <c r="B222" s="182" t="str">
        <f>MRS!B222</f>
        <v>AC Gas R410A 11.6kg</v>
      </c>
      <c r="C222" s="183"/>
      <c r="D222" s="184">
        <f>MRS!D222</f>
        <v>0</v>
      </c>
      <c r="E222" s="185"/>
      <c r="F222" s="186"/>
      <c r="G222" s="95" t="str">
        <f>MRS!G222</f>
        <v>Nos</v>
      </c>
      <c r="H222" s="95">
        <f>MRS!H222</f>
        <v>2</v>
      </c>
      <c r="I222" s="96">
        <f>MRS!I222</f>
        <v>612</v>
      </c>
      <c r="J222" s="96">
        <f>MRS!J222</f>
        <v>1224</v>
      </c>
      <c r="K222" s="97"/>
      <c r="O222" s="98"/>
      <c r="P222" s="98"/>
      <c r="R222" s="98"/>
    </row>
    <row r="223" spans="1:18" ht="105" customHeight="1">
      <c r="A223" s="21">
        <f>+MRS!A223</f>
        <v>218</v>
      </c>
      <c r="B223" s="182" t="str">
        <f>MRS!B223</f>
        <v>PVC Cable Trunking 16x25mm</v>
      </c>
      <c r="C223" s="183"/>
      <c r="D223" s="184">
        <f>MRS!D223</f>
        <v>0</v>
      </c>
      <c r="E223" s="185"/>
      <c r="F223" s="186"/>
      <c r="G223" s="95" t="str">
        <f>MRS!G223</f>
        <v>Nos</v>
      </c>
      <c r="H223" s="95">
        <f>MRS!H223</f>
        <v>40</v>
      </c>
      <c r="I223" s="96">
        <f>MRS!I223</f>
        <v>5.4</v>
      </c>
      <c r="J223" s="96">
        <f>MRS!J223</f>
        <v>216</v>
      </c>
      <c r="K223" s="97"/>
      <c r="O223" s="98"/>
      <c r="P223" s="98"/>
      <c r="R223" s="98"/>
    </row>
    <row r="224" spans="1:18" ht="105" customHeight="1">
      <c r="A224" s="21">
        <f>+MRS!A224</f>
        <v>219</v>
      </c>
      <c r="B224" s="182" t="str">
        <f>MRS!B224</f>
        <v>Infrared Thermometer Extech IR267</v>
      </c>
      <c r="C224" s="183"/>
      <c r="D224" s="184">
        <f>MRS!D224</f>
        <v>0</v>
      </c>
      <c r="E224" s="185"/>
      <c r="F224" s="186"/>
      <c r="G224" s="95" t="str">
        <f>MRS!G224</f>
        <v>Nos</v>
      </c>
      <c r="H224" s="95">
        <f>MRS!H224</f>
        <v>1</v>
      </c>
      <c r="I224" s="96">
        <f>MRS!I224</f>
        <v>480</v>
      </c>
      <c r="J224" s="96">
        <f>MRS!J224</f>
        <v>480</v>
      </c>
      <c r="K224" s="97"/>
      <c r="O224" s="98"/>
      <c r="P224" s="98"/>
      <c r="R224" s="98"/>
    </row>
    <row r="225" spans="1:18" ht="105" customHeight="1">
      <c r="A225" s="21">
        <f>+MRS!A225</f>
        <v>220</v>
      </c>
      <c r="B225" s="182" t="str">
        <f>MRS!B225</f>
        <v>Tig Torch Cable &amp; Hose Connector G5/8"-18NPT+5mm</v>
      </c>
      <c r="C225" s="183"/>
      <c r="D225" s="184">
        <f>MRS!D225</f>
        <v>0</v>
      </c>
      <c r="E225" s="185"/>
      <c r="F225" s="186"/>
      <c r="G225" s="95" t="str">
        <f>MRS!G225</f>
        <v>Nos</v>
      </c>
      <c r="H225" s="95">
        <f>MRS!H225</f>
        <v>300</v>
      </c>
      <c r="I225" s="96">
        <f>MRS!I225</f>
        <v>36</v>
      </c>
      <c r="J225" s="96">
        <f>MRS!J225</f>
        <v>10800</v>
      </c>
      <c r="K225" s="97"/>
      <c r="O225" s="98"/>
      <c r="P225" s="98"/>
      <c r="R225" s="98"/>
    </row>
    <row r="226" spans="1:18" ht="105" customHeight="1">
      <c r="A226" s="21">
        <f>+MRS!A226</f>
        <v>221</v>
      </c>
      <c r="B226" s="182" t="str">
        <f>MRS!B226</f>
        <v>Contact Adhesive Pattex 650ml</v>
      </c>
      <c r="C226" s="183"/>
      <c r="D226" s="184">
        <f>MRS!D226</f>
        <v>0</v>
      </c>
      <c r="E226" s="185"/>
      <c r="F226" s="186"/>
      <c r="G226" s="95" t="str">
        <f>MRS!G226</f>
        <v>Nos</v>
      </c>
      <c r="H226" s="95">
        <f>MRS!H226</f>
        <v>24</v>
      </c>
      <c r="I226" s="96">
        <f>MRS!I226</f>
        <v>39</v>
      </c>
      <c r="J226" s="96">
        <f>MRS!J226</f>
        <v>936</v>
      </c>
      <c r="K226" s="97"/>
      <c r="O226" s="98"/>
      <c r="P226" s="98"/>
      <c r="R226" s="98"/>
    </row>
    <row r="227" spans="1:18" ht="105" customHeight="1">
      <c r="A227" s="21">
        <f>+MRS!A227</f>
        <v>222</v>
      </c>
      <c r="B227" s="182" t="str">
        <f>MRS!B227</f>
        <v>Cordless Air Blower 18V with 2-Batt+Charger DCV100D2 Dewalt</v>
      </c>
      <c r="C227" s="183"/>
      <c r="D227" s="184">
        <f>MRS!D227</f>
        <v>0</v>
      </c>
      <c r="E227" s="185"/>
      <c r="F227" s="186"/>
      <c r="G227" s="95" t="str">
        <f>MRS!G227</f>
        <v>Nos</v>
      </c>
      <c r="H227" s="95">
        <f>MRS!H227</f>
        <v>11</v>
      </c>
      <c r="I227" s="96">
        <f>MRS!I227</f>
        <v>927</v>
      </c>
      <c r="J227" s="96">
        <f>MRS!J227</f>
        <v>10197</v>
      </c>
      <c r="K227" s="97"/>
      <c r="O227" s="98"/>
      <c r="P227" s="98"/>
      <c r="R227" s="98"/>
    </row>
    <row r="228" spans="1:18" ht="105" customHeight="1">
      <c r="A228" s="21">
        <f>+MRS!A228</f>
        <v>223</v>
      </c>
      <c r="B228" s="182" t="str">
        <f>MRS!B228</f>
        <v>Cordless Hammer Drill 18V 2-Batt+Charger DCD776D2T-GB Dewalt</v>
      </c>
      <c r="C228" s="183"/>
      <c r="D228" s="184">
        <f>MRS!D228</f>
        <v>0</v>
      </c>
      <c r="E228" s="185"/>
      <c r="F228" s="186"/>
      <c r="G228" s="95" t="str">
        <f>MRS!G228</f>
        <v>Nos</v>
      </c>
      <c r="H228" s="95">
        <f>MRS!H228</f>
        <v>2</v>
      </c>
      <c r="I228" s="96">
        <f>MRS!I228</f>
        <v>830</v>
      </c>
      <c r="J228" s="96">
        <f>MRS!J228</f>
        <v>1660</v>
      </c>
      <c r="K228" s="97"/>
      <c r="O228" s="98"/>
      <c r="P228" s="98"/>
      <c r="R228" s="98"/>
    </row>
    <row r="229" spans="1:18" ht="105" customHeight="1">
      <c r="A229" s="21">
        <f>+MRS!A229</f>
        <v>224</v>
      </c>
      <c r="B229" s="182" t="str">
        <f>MRS!B229</f>
        <v>PVC Cable Trunking 25x25mm, 3mtr</v>
      </c>
      <c r="C229" s="183"/>
      <c r="D229" s="184">
        <f>MRS!D229</f>
        <v>0</v>
      </c>
      <c r="E229" s="185"/>
      <c r="F229" s="186"/>
      <c r="G229" s="95" t="str">
        <f>MRS!G229</f>
        <v>Nos</v>
      </c>
      <c r="H229" s="95">
        <f>MRS!H229</f>
        <v>16</v>
      </c>
      <c r="I229" s="96">
        <f>MRS!I229</f>
        <v>11</v>
      </c>
      <c r="J229" s="96">
        <f>MRS!J229</f>
        <v>176</v>
      </c>
      <c r="K229" s="97"/>
      <c r="O229" s="98"/>
      <c r="P229" s="98"/>
      <c r="R229" s="98"/>
    </row>
    <row r="230" spans="1:18" ht="105" customHeight="1">
      <c r="A230" s="21">
        <f>+MRS!A230</f>
        <v>225</v>
      </c>
      <c r="B230" s="182" t="str">
        <f>MRS!B230</f>
        <v>Flap Wheel S/S 25x20x6mm</v>
      </c>
      <c r="C230" s="183"/>
      <c r="D230" s="184">
        <f>MRS!D230</f>
        <v>0</v>
      </c>
      <c r="E230" s="185"/>
      <c r="F230" s="186"/>
      <c r="G230" s="95" t="str">
        <f>MRS!G230</f>
        <v>Nos</v>
      </c>
      <c r="H230" s="95">
        <f>MRS!H230</f>
        <v>500</v>
      </c>
      <c r="I230" s="96">
        <f>MRS!I230</f>
        <v>7.8</v>
      </c>
      <c r="J230" s="96">
        <f>MRS!J230</f>
        <v>3900</v>
      </c>
      <c r="K230" s="97"/>
      <c r="O230" s="98"/>
      <c r="P230" s="98"/>
      <c r="R230" s="98"/>
    </row>
    <row r="231" spans="1:18" ht="105" customHeight="1">
      <c r="A231" s="21">
        <f>+MRS!A231</f>
        <v>226</v>
      </c>
      <c r="B231" s="182" t="str">
        <f>MRS!B231</f>
        <v>Cup Brush C/S Crimped M10x75mm</v>
      </c>
      <c r="C231" s="183"/>
      <c r="D231" s="184">
        <f>MRS!D231</f>
        <v>0</v>
      </c>
      <c r="E231" s="185"/>
      <c r="F231" s="186"/>
      <c r="G231" s="95" t="str">
        <f>MRS!G231</f>
        <v>Nos</v>
      </c>
      <c r="H231" s="95">
        <f>MRS!H231</f>
        <v>200</v>
      </c>
      <c r="I231" s="96">
        <f>MRS!I231</f>
        <v>9.5</v>
      </c>
      <c r="J231" s="96">
        <f>MRS!J231</f>
        <v>1900</v>
      </c>
      <c r="K231" s="97"/>
      <c r="O231" s="98"/>
      <c r="P231" s="98"/>
      <c r="R231" s="98"/>
    </row>
    <row r="232" spans="1:18" ht="105" customHeight="1">
      <c r="A232" s="21">
        <f>+MRS!A232</f>
        <v>227</v>
      </c>
      <c r="B232" s="182" t="str">
        <f>MRS!B232</f>
        <v>Paint Marker Black Snowman Japan</v>
      </c>
      <c r="C232" s="183"/>
      <c r="D232" s="184">
        <f>MRS!D232</f>
        <v>0</v>
      </c>
      <c r="E232" s="185"/>
      <c r="F232" s="186"/>
      <c r="G232" s="95" t="str">
        <f>MRS!G232</f>
        <v>Nos</v>
      </c>
      <c r="H232" s="95">
        <f>MRS!H232</f>
        <v>480</v>
      </c>
      <c r="I232" s="96">
        <f>MRS!I232</f>
        <v>4.9000000000000004</v>
      </c>
      <c r="J232" s="96">
        <f>MRS!J232</f>
        <v>2352</v>
      </c>
      <c r="K232" s="97"/>
      <c r="O232" s="98"/>
      <c r="P232" s="98"/>
      <c r="R232" s="98"/>
    </row>
    <row r="233" spans="1:18" ht="105" customHeight="1">
      <c r="A233" s="21">
        <f>+MRS!A233</f>
        <v>228</v>
      </c>
      <c r="B233" s="182" t="str">
        <f>MRS!B233</f>
        <v>Paint Marker White Snowman Japan</v>
      </c>
      <c r="C233" s="183"/>
      <c r="D233" s="184">
        <f>MRS!D233</f>
        <v>0</v>
      </c>
      <c r="E233" s="185"/>
      <c r="F233" s="186"/>
      <c r="G233" s="95" t="str">
        <f>MRS!G233</f>
        <v>Nos</v>
      </c>
      <c r="H233" s="95">
        <f>MRS!H233</f>
        <v>240</v>
      </c>
      <c r="I233" s="96">
        <f>MRS!I233</f>
        <v>4.9000000000000004</v>
      </c>
      <c r="J233" s="96">
        <f>MRS!J233</f>
        <v>1176</v>
      </c>
      <c r="K233" s="97"/>
      <c r="O233" s="98"/>
      <c r="P233" s="98"/>
      <c r="R233" s="98"/>
    </row>
    <row r="234" spans="1:18" ht="105" customHeight="1">
      <c r="A234" s="21">
        <f>+MRS!A234</f>
        <v>229</v>
      </c>
      <c r="B234" s="182" t="str">
        <f>MRS!B234</f>
        <v>Masking Tape 2"x25yard</v>
      </c>
      <c r="C234" s="183"/>
      <c r="D234" s="184">
        <f>MRS!D234</f>
        <v>0</v>
      </c>
      <c r="E234" s="185"/>
      <c r="F234" s="186"/>
      <c r="G234" s="95" t="str">
        <f>MRS!G234</f>
        <v>Set</v>
      </c>
      <c r="H234" s="95">
        <f>MRS!H234</f>
        <v>680</v>
      </c>
      <c r="I234" s="96">
        <f>MRS!I234</f>
        <v>2.15</v>
      </c>
      <c r="J234" s="96">
        <f>MRS!J234</f>
        <v>1462</v>
      </c>
      <c r="K234" s="97"/>
      <c r="O234" s="98"/>
      <c r="P234" s="98"/>
      <c r="R234" s="98"/>
    </row>
    <row r="235" spans="1:18" ht="105" customHeight="1">
      <c r="A235" s="21">
        <f>+MRS!A235</f>
        <v>230</v>
      </c>
      <c r="B235" s="182" t="str">
        <f>MRS!B235</f>
        <v>Masking Tape 1"x25yard</v>
      </c>
      <c r="C235" s="183"/>
      <c r="D235" s="184">
        <f>MRS!D235</f>
        <v>0</v>
      </c>
      <c r="E235" s="185"/>
      <c r="F235" s="186"/>
      <c r="G235" s="95" t="str">
        <f>MRS!G235</f>
        <v>Nos</v>
      </c>
      <c r="H235" s="95">
        <f>MRS!H235</f>
        <v>120</v>
      </c>
      <c r="I235" s="96">
        <f>MRS!I235</f>
        <v>2</v>
      </c>
      <c r="J235" s="96">
        <f>MRS!J235</f>
        <v>240</v>
      </c>
      <c r="K235" s="97"/>
      <c r="O235" s="98"/>
      <c r="P235" s="98"/>
      <c r="R235" s="98"/>
    </row>
    <row r="236" spans="1:18" ht="105" customHeight="1">
      <c r="A236" s="21">
        <f>+MRS!A236</f>
        <v>231</v>
      </c>
      <c r="B236" s="182" t="str">
        <f>MRS!B236</f>
        <v>Warning Tape 3" Red/White</v>
      </c>
      <c r="C236" s="183"/>
      <c r="D236" s="184">
        <f>MRS!D236</f>
        <v>0</v>
      </c>
      <c r="E236" s="185"/>
      <c r="F236" s="186"/>
      <c r="G236" s="95" t="str">
        <f>MRS!G236</f>
        <v>Nos</v>
      </c>
      <c r="H236" s="95">
        <f>MRS!H236</f>
        <v>96</v>
      </c>
      <c r="I236" s="96">
        <f>MRS!I236</f>
        <v>3.5</v>
      </c>
      <c r="J236" s="96">
        <f>MRS!J236</f>
        <v>336</v>
      </c>
      <c r="K236" s="97"/>
      <c r="O236" s="98"/>
      <c r="P236" s="98"/>
      <c r="R236" s="98"/>
    </row>
    <row r="237" spans="1:18" ht="105" customHeight="1">
      <c r="A237" s="21">
        <f>+MRS!A237</f>
        <v>232</v>
      </c>
      <c r="B237" s="182" t="str">
        <f>MRS!B237</f>
        <v>Duct Tape 2"x25yard</v>
      </c>
      <c r="C237" s="183"/>
      <c r="D237" s="184">
        <f>MRS!D237</f>
        <v>0</v>
      </c>
      <c r="E237" s="185"/>
      <c r="F237" s="186"/>
      <c r="G237" s="95" t="str">
        <f>MRS!G237</f>
        <v>Nos</v>
      </c>
      <c r="H237" s="95">
        <f>MRS!H237</f>
        <v>280</v>
      </c>
      <c r="I237" s="96">
        <f>MRS!I237</f>
        <v>2.7</v>
      </c>
      <c r="J237" s="96">
        <f>MRS!J237</f>
        <v>756</v>
      </c>
      <c r="K237" s="97"/>
      <c r="O237" s="98"/>
      <c r="P237" s="98"/>
      <c r="R237" s="98"/>
    </row>
    <row r="238" spans="1:18" ht="105" customHeight="1">
      <c r="A238" s="21">
        <f>+MRS!A238</f>
        <v>233</v>
      </c>
      <c r="B238" s="182" t="str">
        <f>MRS!B238</f>
        <v>Electric Insulation Tape Black</v>
      </c>
      <c r="C238" s="183"/>
      <c r="D238" s="184">
        <f>MRS!D238</f>
        <v>0</v>
      </c>
      <c r="E238" s="185"/>
      <c r="F238" s="186"/>
      <c r="G238" s="95" t="str">
        <f>MRS!G238</f>
        <v>Nos</v>
      </c>
      <c r="H238" s="95">
        <f>MRS!H238</f>
        <v>100</v>
      </c>
      <c r="I238" s="96">
        <f>MRS!I238</f>
        <v>2.2000000000000002</v>
      </c>
      <c r="J238" s="96">
        <f>MRS!J238</f>
        <v>220.00000000000003</v>
      </c>
      <c r="K238" s="97"/>
      <c r="O238" s="98"/>
      <c r="P238" s="98"/>
      <c r="R238" s="98"/>
    </row>
    <row r="239" spans="1:18" ht="105" customHeight="1">
      <c r="A239" s="21">
        <f>+MRS!A239</f>
        <v>234</v>
      </c>
      <c r="B239" s="182" t="str">
        <f>MRS!B239</f>
        <v>Electric Insulation Tape Red</v>
      </c>
      <c r="C239" s="183"/>
      <c r="D239" s="184">
        <f>MRS!D239</f>
        <v>0</v>
      </c>
      <c r="E239" s="185"/>
      <c r="F239" s="186"/>
      <c r="G239" s="95" t="str">
        <f>MRS!G239</f>
        <v>Nos</v>
      </c>
      <c r="H239" s="95">
        <f>MRS!H239</f>
        <v>100</v>
      </c>
      <c r="I239" s="96">
        <f>MRS!I239</f>
        <v>2.2000000000000002</v>
      </c>
      <c r="J239" s="96">
        <f>MRS!J239</f>
        <v>220.00000000000003</v>
      </c>
      <c r="K239" s="97"/>
      <c r="O239" s="98"/>
      <c r="P239" s="98"/>
      <c r="R239" s="98"/>
    </row>
    <row r="240" spans="1:18" ht="105" customHeight="1">
      <c r="A240" s="21">
        <f>+MRS!A240</f>
        <v>235</v>
      </c>
      <c r="B240" s="182" t="str">
        <f>MRS!B240</f>
        <v>Electric Insulation Tape Blue</v>
      </c>
      <c r="C240" s="183"/>
      <c r="D240" s="184">
        <f>MRS!D240</f>
        <v>0</v>
      </c>
      <c r="E240" s="185"/>
      <c r="F240" s="186"/>
      <c r="G240" s="95" t="str">
        <f>MRS!G240</f>
        <v>Nos</v>
      </c>
      <c r="H240" s="95">
        <f>MRS!H240</f>
        <v>150</v>
      </c>
      <c r="I240" s="96">
        <f>MRS!I240</f>
        <v>2.2000000000000002</v>
      </c>
      <c r="J240" s="96">
        <f>MRS!J240</f>
        <v>330</v>
      </c>
      <c r="K240" s="97"/>
      <c r="O240" s="98"/>
      <c r="P240" s="98"/>
      <c r="R240" s="98"/>
    </row>
    <row r="241" spans="1:18" ht="105" customHeight="1">
      <c r="A241" s="21">
        <f>+MRS!A241</f>
        <v>236</v>
      </c>
      <c r="B241" s="182" t="str">
        <f>MRS!B241</f>
        <v>Spray Paint Red</v>
      </c>
      <c r="C241" s="183"/>
      <c r="D241" s="184">
        <f>MRS!D241</f>
        <v>0</v>
      </c>
      <c r="E241" s="185"/>
      <c r="F241" s="186"/>
      <c r="G241" s="95" t="str">
        <f>MRS!G241</f>
        <v>Nos</v>
      </c>
      <c r="H241" s="95">
        <f>MRS!H241</f>
        <v>24</v>
      </c>
      <c r="I241" s="96">
        <f>MRS!I241</f>
        <v>4</v>
      </c>
      <c r="J241" s="96">
        <f>MRS!J241</f>
        <v>96</v>
      </c>
      <c r="K241" s="97"/>
      <c r="O241" s="98"/>
      <c r="P241" s="98"/>
      <c r="R241" s="98"/>
    </row>
    <row r="242" spans="1:18" ht="105" customHeight="1">
      <c r="A242" s="21">
        <f>+MRS!A242</f>
        <v>237</v>
      </c>
      <c r="B242" s="182" t="str">
        <f>MRS!B242</f>
        <v>Cordless Jigsaw 18V 5Ah DCS334P2-GB Dewalt with 2-batt and Charger</v>
      </c>
      <c r="C242" s="183"/>
      <c r="D242" s="184">
        <f>MRS!D242</f>
        <v>0</v>
      </c>
      <c r="E242" s="185"/>
      <c r="F242" s="186"/>
      <c r="G242" s="95" t="str">
        <f>MRS!G242</f>
        <v>Nos</v>
      </c>
      <c r="H242" s="95">
        <f>MRS!H242</f>
        <v>1</v>
      </c>
      <c r="I242" s="96">
        <f>MRS!I242</f>
        <v>2360</v>
      </c>
      <c r="J242" s="96">
        <f>MRS!J242</f>
        <v>2360</v>
      </c>
      <c r="K242" s="97"/>
      <c r="O242" s="98"/>
      <c r="P242" s="98"/>
      <c r="R242" s="98"/>
    </row>
    <row r="243" spans="1:18" ht="105" customHeight="1">
      <c r="A243" s="21">
        <f>+MRS!A243</f>
        <v>238</v>
      </c>
      <c r="B243" s="182" t="str">
        <f>MRS!B243</f>
        <v>Jigsaw Blade 105mm for Wood</v>
      </c>
      <c r="C243" s="183"/>
      <c r="D243" s="184">
        <f>MRS!D243</f>
        <v>0</v>
      </c>
      <c r="E243" s="185"/>
      <c r="F243" s="186"/>
      <c r="G243" s="95" t="str">
        <f>MRS!G243</f>
        <v>Nos</v>
      </c>
      <c r="H243" s="95">
        <f>MRS!H243</f>
        <v>10</v>
      </c>
      <c r="I243" s="96">
        <f>MRS!I243</f>
        <v>3.5</v>
      </c>
      <c r="J243" s="96">
        <f>MRS!J243</f>
        <v>35</v>
      </c>
      <c r="K243" s="97"/>
      <c r="O243" s="98"/>
      <c r="P243" s="98"/>
      <c r="R243" s="98"/>
    </row>
    <row r="244" spans="1:18" ht="105" customHeight="1">
      <c r="A244" s="21">
        <f>+MRS!A244</f>
        <v>239</v>
      </c>
      <c r="B244" s="182" t="str">
        <f>MRS!B244</f>
        <v>Latex Half Coated Gloves Orange Crinkled</v>
      </c>
      <c r="C244" s="183"/>
      <c r="D244" s="184">
        <f>MRS!D244</f>
        <v>0</v>
      </c>
      <c r="E244" s="185"/>
      <c r="F244" s="186"/>
      <c r="G244" s="95" t="str">
        <f>MRS!G244</f>
        <v>Nos</v>
      </c>
      <c r="H244" s="95">
        <f>MRS!H244</f>
        <v>4500</v>
      </c>
      <c r="I244" s="96">
        <f>MRS!I244</f>
        <v>1.35</v>
      </c>
      <c r="J244" s="96">
        <f>MRS!J244</f>
        <v>6075</v>
      </c>
      <c r="K244" s="97"/>
      <c r="O244" s="98"/>
      <c r="P244" s="98"/>
      <c r="R244" s="98"/>
    </row>
    <row r="245" spans="1:18" ht="105" customHeight="1">
      <c r="A245" s="21">
        <f>+MRS!A245</f>
        <v>240</v>
      </c>
      <c r="B245" s="182" t="str">
        <f>MRS!B245</f>
        <v>Manila Rope 18mm x 100mtr</v>
      </c>
      <c r="C245" s="183"/>
      <c r="D245" s="184">
        <f>MRS!D245</f>
        <v>0</v>
      </c>
      <c r="E245" s="185"/>
      <c r="F245" s="186"/>
      <c r="G245" s="95" t="str">
        <f>MRS!G245</f>
        <v>Nos</v>
      </c>
      <c r="H245" s="95">
        <f>MRS!H245</f>
        <v>12</v>
      </c>
      <c r="I245" s="96">
        <f>MRS!I245</f>
        <v>384</v>
      </c>
      <c r="J245" s="96">
        <f>MRS!J245</f>
        <v>4608</v>
      </c>
      <c r="K245" s="97"/>
      <c r="O245" s="98"/>
      <c r="P245" s="98"/>
      <c r="R245" s="98"/>
    </row>
    <row r="246" spans="1:18" ht="105" customHeight="1">
      <c r="A246" s="21">
        <f>+MRS!A246</f>
        <v>0</v>
      </c>
      <c r="B246" s="182">
        <f>MRS!B246</f>
        <v>0</v>
      </c>
      <c r="C246" s="183"/>
      <c r="D246" s="184">
        <f>MRS!D246</f>
        <v>0</v>
      </c>
      <c r="E246" s="185"/>
      <c r="F246" s="186"/>
      <c r="G246" s="95">
        <f>MRS!G246</f>
        <v>0</v>
      </c>
      <c r="H246" s="95">
        <f>MRS!H246</f>
        <v>0</v>
      </c>
      <c r="I246" s="96">
        <f>MRS!I246</f>
        <v>0</v>
      </c>
      <c r="J246" s="96">
        <f>MRS!J246</f>
        <v>0</v>
      </c>
      <c r="K246" s="97"/>
      <c r="O246" s="98"/>
      <c r="P246" s="98"/>
      <c r="R246" s="98"/>
    </row>
    <row r="247" spans="1:18" ht="105" customHeight="1">
      <c r="A247" s="21">
        <f>+MRS!A247</f>
        <v>7</v>
      </c>
      <c r="B247" s="182">
        <f>MRS!B247</f>
        <v>0</v>
      </c>
      <c r="C247" s="183"/>
      <c r="D247" s="184">
        <f>MRS!D247</f>
        <v>0</v>
      </c>
      <c r="E247" s="185"/>
      <c r="F247" s="186"/>
      <c r="G247" s="95">
        <f>MRS!G247</f>
        <v>0</v>
      </c>
      <c r="H247" s="95">
        <f>MRS!H247</f>
        <v>0</v>
      </c>
      <c r="I247" s="96">
        <f>MRS!I247</f>
        <v>0</v>
      </c>
      <c r="J247" s="96">
        <f>MRS!J247</f>
        <v>0</v>
      </c>
      <c r="K247" s="97"/>
      <c r="O247" s="98"/>
      <c r="P247" s="98"/>
      <c r="R247" s="98"/>
    </row>
    <row r="248" spans="1:18" ht="105" customHeight="1">
      <c r="A248" s="21">
        <f>+MRS!A248</f>
        <v>55</v>
      </c>
      <c r="B248" s="182">
        <f>MRS!B248</f>
        <v>0</v>
      </c>
      <c r="C248" s="183"/>
      <c r="D248" s="184">
        <f>MRS!D248</f>
        <v>0</v>
      </c>
      <c r="E248" s="185"/>
      <c r="F248" s="186"/>
      <c r="G248" s="95">
        <f>MRS!G248</f>
        <v>0</v>
      </c>
      <c r="H248" s="95">
        <f>MRS!H248</f>
        <v>0</v>
      </c>
      <c r="I248" s="96">
        <f>MRS!I248</f>
        <v>0</v>
      </c>
      <c r="J248" s="96">
        <f>MRS!J248</f>
        <v>0</v>
      </c>
      <c r="K248" s="97"/>
      <c r="O248" s="98"/>
      <c r="P248" s="98"/>
      <c r="R248" s="98"/>
    </row>
    <row r="249" spans="1:18" ht="105" customHeight="1">
      <c r="A249" s="21">
        <f>+MRS!A249</f>
        <v>56</v>
      </c>
      <c r="B249" s="182">
        <f>MRS!B249</f>
        <v>0</v>
      </c>
      <c r="C249" s="183"/>
      <c r="D249" s="184">
        <f>MRS!D249</f>
        <v>0</v>
      </c>
      <c r="E249" s="185"/>
      <c r="F249" s="186"/>
      <c r="G249" s="95">
        <f>MRS!G249</f>
        <v>0</v>
      </c>
      <c r="H249" s="95">
        <f>MRS!H249</f>
        <v>0</v>
      </c>
      <c r="I249" s="96">
        <f>MRS!I249</f>
        <v>0</v>
      </c>
      <c r="J249" s="96">
        <f>MRS!J249</f>
        <v>0</v>
      </c>
      <c r="K249" s="97"/>
      <c r="O249" s="98"/>
      <c r="P249" s="98"/>
      <c r="R249" s="98"/>
    </row>
    <row r="250" spans="1:18" ht="105" customHeight="1">
      <c r="A250" s="21">
        <f>+MRS!A250</f>
        <v>57</v>
      </c>
      <c r="B250" s="182">
        <f>MRS!B250</f>
        <v>0</v>
      </c>
      <c r="C250" s="183"/>
      <c r="D250" s="184">
        <f>MRS!D250</f>
        <v>0</v>
      </c>
      <c r="E250" s="185"/>
      <c r="F250" s="186"/>
      <c r="G250" s="95">
        <f>MRS!G250</f>
        <v>0</v>
      </c>
      <c r="H250" s="95">
        <f>MRS!H250</f>
        <v>0</v>
      </c>
      <c r="I250" s="96">
        <f>MRS!I250</f>
        <v>0</v>
      </c>
      <c r="J250" s="96">
        <f>MRS!J250</f>
        <v>0</v>
      </c>
      <c r="K250" s="97"/>
      <c r="O250" s="98"/>
      <c r="P250" s="98"/>
      <c r="R250" s="98"/>
    </row>
    <row r="251" spans="1:18" ht="105" customHeight="1">
      <c r="A251" s="21" t="str">
        <f>+MRS!A251</f>
        <v>Purpose</v>
      </c>
      <c r="B251" s="182">
        <f>MRS!B251</f>
        <v>0</v>
      </c>
      <c r="C251" s="183"/>
      <c r="D251" s="184">
        <f>MRS!D251</f>
        <v>0</v>
      </c>
      <c r="E251" s="185"/>
      <c r="F251" s="186"/>
      <c r="G251" s="95">
        <f>MRS!G251</f>
        <v>0</v>
      </c>
      <c r="H251" s="95">
        <f>MRS!H251</f>
        <v>0</v>
      </c>
      <c r="I251" s="96" t="str">
        <f>MRS!I251</f>
        <v>Sum</v>
      </c>
      <c r="J251" s="96">
        <f>MRS!J251</f>
        <v>826442.5</v>
      </c>
      <c r="K251" s="97"/>
      <c r="O251" s="98"/>
      <c r="P251" s="98"/>
      <c r="R251" s="98"/>
    </row>
    <row r="252" spans="1:18" ht="105" customHeight="1">
      <c r="A252" s="21" t="str">
        <f>+MRS!A252</f>
        <v xml:space="preserve">  * There will be an additional administration expense and financial expense (Depend on contract) deduction of total provision cost price.</v>
      </c>
      <c r="B252" s="182">
        <f>MRS!B252</f>
        <v>0</v>
      </c>
      <c r="C252" s="183"/>
      <c r="D252" s="184">
        <f>MRS!D252</f>
        <v>0</v>
      </c>
      <c r="E252" s="185"/>
      <c r="F252" s="186"/>
      <c r="G252" s="95">
        <f>MRS!G252</f>
        <v>0</v>
      </c>
      <c r="H252" s="95">
        <f>MRS!H252</f>
        <v>0</v>
      </c>
      <c r="I252" s="96">
        <f>MRS!I252</f>
        <v>0</v>
      </c>
      <c r="J252" s="96">
        <f>MRS!J252</f>
        <v>0</v>
      </c>
      <c r="K252" s="97"/>
      <c r="O252" s="98"/>
      <c r="P252" s="98"/>
      <c r="R252" s="98"/>
    </row>
    <row r="253" spans="1:18" ht="105" customHeight="1">
      <c r="A253" s="21">
        <f>+MRS!A253</f>
        <v>0</v>
      </c>
      <c r="B253" s="182">
        <f>MRS!B253</f>
        <v>0</v>
      </c>
      <c r="C253" s="183"/>
      <c r="D253" s="184">
        <f>MRS!D253</f>
        <v>0</v>
      </c>
      <c r="E253" s="185"/>
      <c r="F253" s="186"/>
      <c r="G253" s="95">
        <f>MRS!G253</f>
        <v>0</v>
      </c>
      <c r="H253" s="95">
        <f>MRS!H253</f>
        <v>0</v>
      </c>
      <c r="I253" s="96">
        <f>MRS!I253</f>
        <v>0</v>
      </c>
      <c r="J253" s="96">
        <f>MRS!J253</f>
        <v>0</v>
      </c>
      <c r="K253" s="97"/>
      <c r="O253" s="98"/>
      <c r="P253" s="98"/>
      <c r="R253" s="98"/>
    </row>
    <row r="254" spans="1:18" ht="105" customHeight="1">
      <c r="A254" s="21">
        <f>+MRS!A254</f>
        <v>0</v>
      </c>
      <c r="B254" s="182">
        <f>MRS!B254</f>
        <v>0</v>
      </c>
      <c r="C254" s="183"/>
      <c r="D254" s="184">
        <f>MRS!D254</f>
        <v>0</v>
      </c>
      <c r="E254" s="185"/>
      <c r="F254" s="186"/>
      <c r="G254" s="95">
        <f>MRS!G254</f>
        <v>0</v>
      </c>
      <c r="H254" s="95">
        <f>MRS!H254</f>
        <v>0</v>
      </c>
      <c r="I254" s="96">
        <f>MRS!I254</f>
        <v>0</v>
      </c>
      <c r="J254" s="96">
        <f>MRS!J254</f>
        <v>0</v>
      </c>
      <c r="K254" s="97"/>
      <c r="O254" s="98"/>
      <c r="P254" s="98"/>
      <c r="R254" s="98"/>
    </row>
    <row r="255" spans="1:18" ht="105" customHeight="1">
      <c r="A255" s="21">
        <f>+MRS!A255</f>
        <v>0</v>
      </c>
      <c r="B255" s="182">
        <f>MRS!B255</f>
        <v>0</v>
      </c>
      <c r="C255" s="183"/>
      <c r="D255" s="184">
        <f>MRS!D255</f>
        <v>0</v>
      </c>
      <c r="E255" s="185"/>
      <c r="F255" s="186"/>
      <c r="G255" s="95">
        <f>MRS!G255</f>
        <v>0</v>
      </c>
      <c r="H255" s="95">
        <f>MRS!H255</f>
        <v>0</v>
      </c>
      <c r="I255" s="96">
        <f>MRS!I255</f>
        <v>0</v>
      </c>
      <c r="J255" s="96">
        <f>MRS!J255</f>
        <v>0</v>
      </c>
      <c r="K255" s="97"/>
      <c r="O255" s="98"/>
      <c r="P255" s="98"/>
      <c r="R255" s="98"/>
    </row>
    <row r="256" spans="1:18" ht="105" customHeight="1">
      <c r="A256" s="21">
        <f>+MRS!A256</f>
        <v>0</v>
      </c>
      <c r="B256" s="182">
        <f>MRS!B256</f>
        <v>0</v>
      </c>
      <c r="C256" s="183"/>
      <c r="D256" s="184">
        <f>MRS!D256</f>
        <v>0</v>
      </c>
      <c r="E256" s="185"/>
      <c r="F256" s="186"/>
      <c r="G256" s="95">
        <f>MRS!G256</f>
        <v>0</v>
      </c>
      <c r="H256" s="95">
        <f>MRS!H256</f>
        <v>0</v>
      </c>
      <c r="I256" s="96">
        <f>MRS!I256</f>
        <v>0</v>
      </c>
      <c r="J256" s="96">
        <f>MRS!J256</f>
        <v>0</v>
      </c>
      <c r="K256" s="97"/>
      <c r="O256" s="98"/>
      <c r="P256" s="98"/>
      <c r="R256" s="98"/>
    </row>
    <row r="257" spans="1:18" ht="105" customHeight="1">
      <c r="A257" s="21">
        <f>+MRS!A257</f>
        <v>0</v>
      </c>
      <c r="B257" s="182">
        <f>MRS!B257</f>
        <v>0</v>
      </c>
      <c r="C257" s="183"/>
      <c r="D257" s="184">
        <f>MRS!D257</f>
        <v>0</v>
      </c>
      <c r="E257" s="185"/>
      <c r="F257" s="186"/>
      <c r="G257" s="95">
        <f>MRS!G257</f>
        <v>0</v>
      </c>
      <c r="H257" s="95">
        <f>MRS!H257</f>
        <v>0</v>
      </c>
      <c r="I257" s="96">
        <f>MRS!I257</f>
        <v>0</v>
      </c>
      <c r="J257" s="96">
        <f>MRS!J257</f>
        <v>0</v>
      </c>
      <c r="K257" s="97"/>
      <c r="O257" s="98"/>
      <c r="P257" s="98"/>
      <c r="R257" s="98"/>
    </row>
    <row r="258" spans="1:18" ht="105" customHeight="1">
      <c r="A258" s="21">
        <f>+MRS!A258</f>
        <v>0</v>
      </c>
      <c r="B258" s="182">
        <f>MRS!B258</f>
        <v>0</v>
      </c>
      <c r="C258" s="183"/>
      <c r="D258" s="184">
        <f>MRS!D258</f>
        <v>0</v>
      </c>
      <c r="E258" s="185"/>
      <c r="F258" s="186"/>
      <c r="G258" s="95">
        <f>MRS!G258</f>
        <v>0</v>
      </c>
      <c r="H258" s="95">
        <f>MRS!H258</f>
        <v>0</v>
      </c>
      <c r="I258" s="96">
        <f>MRS!I258</f>
        <v>0</v>
      </c>
      <c r="J258" s="96">
        <f>MRS!J258</f>
        <v>0</v>
      </c>
      <c r="K258" s="97"/>
      <c r="O258" s="98"/>
      <c r="P258" s="98"/>
      <c r="R258" s="98"/>
    </row>
    <row r="259" spans="1:18" ht="105" customHeight="1">
      <c r="A259" s="21">
        <f>+MRS!A259</f>
        <v>0</v>
      </c>
      <c r="B259" s="182">
        <f>MRS!B259</f>
        <v>0</v>
      </c>
      <c r="C259" s="183"/>
      <c r="D259" s="184">
        <f>MRS!D259</f>
        <v>0</v>
      </c>
      <c r="E259" s="185"/>
      <c r="F259" s="186"/>
      <c r="G259" s="95">
        <f>MRS!G259</f>
        <v>0</v>
      </c>
      <c r="H259" s="95">
        <f>MRS!H259</f>
        <v>0</v>
      </c>
      <c r="I259" s="96">
        <f>MRS!I259</f>
        <v>0</v>
      </c>
      <c r="J259" s="96">
        <f>MRS!J259</f>
        <v>0</v>
      </c>
      <c r="K259" s="97"/>
      <c r="O259" s="98"/>
      <c r="P259" s="98"/>
      <c r="R259" s="98"/>
    </row>
    <row r="260" spans="1:18" ht="105" customHeight="1">
      <c r="A260" s="21">
        <f>+MRS!A260</f>
        <v>0</v>
      </c>
      <c r="B260" s="182">
        <f>MRS!B260</f>
        <v>0</v>
      </c>
      <c r="C260" s="183"/>
      <c r="D260" s="184">
        <f>MRS!D260</f>
        <v>0</v>
      </c>
      <c r="E260" s="185"/>
      <c r="F260" s="186"/>
      <c r="G260" s="95">
        <f>MRS!G260</f>
        <v>0</v>
      </c>
      <c r="H260" s="95">
        <f>MRS!H260</f>
        <v>0</v>
      </c>
      <c r="I260" s="96">
        <f>MRS!I260</f>
        <v>0</v>
      </c>
      <c r="J260" s="96">
        <f>MRS!J260</f>
        <v>0</v>
      </c>
      <c r="K260" s="97"/>
      <c r="O260" s="98"/>
      <c r="P260" s="98"/>
      <c r="R260" s="98"/>
    </row>
    <row r="261" spans="1:18" ht="105" customHeight="1">
      <c r="A261" s="21">
        <f>+MRS!A261</f>
        <v>0</v>
      </c>
      <c r="B261" s="182">
        <f>MRS!B261</f>
        <v>0</v>
      </c>
      <c r="C261" s="183"/>
      <c r="D261" s="184">
        <f>MRS!D261</f>
        <v>0</v>
      </c>
      <c r="E261" s="185"/>
      <c r="F261" s="186"/>
      <c r="G261" s="95">
        <f>MRS!G261</f>
        <v>0</v>
      </c>
      <c r="H261" s="95">
        <f>MRS!H261</f>
        <v>0</v>
      </c>
      <c r="I261" s="96">
        <f>MRS!I261</f>
        <v>0</v>
      </c>
      <c r="J261" s="96">
        <f>MRS!J261</f>
        <v>0</v>
      </c>
      <c r="K261" s="97"/>
      <c r="O261" s="98"/>
      <c r="P261" s="98"/>
      <c r="R261" s="98"/>
    </row>
    <row r="262" spans="1:18" ht="105" customHeight="1">
      <c r="A262" s="21">
        <f>+MRS!A262</f>
        <v>0</v>
      </c>
      <c r="B262" s="182">
        <f>MRS!B262</f>
        <v>0</v>
      </c>
      <c r="C262" s="183"/>
      <c r="D262" s="184">
        <f>MRS!D262</f>
        <v>0</v>
      </c>
      <c r="E262" s="185"/>
      <c r="F262" s="186"/>
      <c r="G262" s="95">
        <f>MRS!G262</f>
        <v>0</v>
      </c>
      <c r="H262" s="95">
        <f>MRS!H262</f>
        <v>0</v>
      </c>
      <c r="I262" s="96">
        <f>MRS!I262</f>
        <v>0</v>
      </c>
      <c r="J262" s="96">
        <f>MRS!J262</f>
        <v>0</v>
      </c>
      <c r="K262" s="97"/>
      <c r="O262" s="98"/>
      <c r="P262" s="98"/>
      <c r="R262" s="98"/>
    </row>
    <row r="263" spans="1:18" ht="105" customHeight="1">
      <c r="A263" s="21">
        <f>+MRS!A263</f>
        <v>0</v>
      </c>
      <c r="B263" s="182">
        <f>MRS!B263</f>
        <v>0</v>
      </c>
      <c r="C263" s="183"/>
      <c r="D263" s="184">
        <f>MRS!D263</f>
        <v>0</v>
      </c>
      <c r="E263" s="185"/>
      <c r="F263" s="186"/>
      <c r="G263" s="95">
        <f>MRS!G263</f>
        <v>0</v>
      </c>
      <c r="H263" s="95">
        <f>MRS!H263</f>
        <v>0</v>
      </c>
      <c r="I263" s="96">
        <f>MRS!I263</f>
        <v>0</v>
      </c>
      <c r="J263" s="96">
        <f>MRS!J263</f>
        <v>0</v>
      </c>
      <c r="K263" s="97"/>
      <c r="O263" s="98"/>
      <c r="P263" s="98"/>
      <c r="R263" s="98"/>
    </row>
    <row r="264" spans="1:18" ht="105" customHeight="1">
      <c r="A264" s="21">
        <f>+MRS!A264</f>
        <v>0</v>
      </c>
      <c r="B264" s="182">
        <f>MRS!B264</f>
        <v>0</v>
      </c>
      <c r="C264" s="183"/>
      <c r="D264" s="184">
        <f>MRS!D264</f>
        <v>0</v>
      </c>
      <c r="E264" s="185"/>
      <c r="F264" s="186"/>
      <c r="G264" s="95">
        <f>MRS!G264</f>
        <v>0</v>
      </c>
      <c r="H264" s="95">
        <f>MRS!H264</f>
        <v>0</v>
      </c>
      <c r="I264" s="96">
        <f>MRS!I264</f>
        <v>0</v>
      </c>
      <c r="J264" s="96">
        <f>MRS!J264</f>
        <v>0</v>
      </c>
      <c r="K264" s="97"/>
      <c r="O264" s="98"/>
      <c r="P264" s="98"/>
      <c r="R264" s="98"/>
    </row>
    <row r="265" spans="1:18" ht="105" customHeight="1">
      <c r="A265" s="21">
        <f>+MRS!A265</f>
        <v>0</v>
      </c>
      <c r="B265" s="182">
        <f>MRS!B265</f>
        <v>0</v>
      </c>
      <c r="C265" s="183"/>
      <c r="D265" s="184">
        <f>MRS!D265</f>
        <v>0</v>
      </c>
      <c r="E265" s="185"/>
      <c r="F265" s="186"/>
      <c r="G265" s="95">
        <f>MRS!G265</f>
        <v>0</v>
      </c>
      <c r="H265" s="95">
        <f>MRS!H265</f>
        <v>0</v>
      </c>
      <c r="I265" s="96">
        <f>MRS!I265</f>
        <v>0</v>
      </c>
      <c r="J265" s="96">
        <f>MRS!J265</f>
        <v>0</v>
      </c>
      <c r="K265" s="97"/>
      <c r="O265" s="98"/>
      <c r="P265" s="98"/>
      <c r="R265" s="98"/>
    </row>
    <row r="266" spans="1:18" ht="105" customHeight="1">
      <c r="A266" s="21">
        <f>+MRS!A266</f>
        <v>0</v>
      </c>
      <c r="B266" s="182">
        <f>MRS!B266</f>
        <v>0</v>
      </c>
      <c r="C266" s="183"/>
      <c r="D266" s="184">
        <f>MRS!D266</f>
        <v>0</v>
      </c>
      <c r="E266" s="185"/>
      <c r="F266" s="186"/>
      <c r="G266" s="95">
        <f>MRS!G266</f>
        <v>0</v>
      </c>
      <c r="H266" s="95">
        <f>MRS!H266</f>
        <v>0</v>
      </c>
      <c r="I266" s="96">
        <f>MRS!I266</f>
        <v>0</v>
      </c>
      <c r="J266" s="96">
        <f>MRS!J266</f>
        <v>0</v>
      </c>
      <c r="K266" s="97"/>
      <c r="O266" s="98"/>
      <c r="P266" s="98"/>
      <c r="R266" s="98"/>
    </row>
    <row r="267" spans="1:18" ht="105" customHeight="1">
      <c r="A267" s="21">
        <f>+MRS!A267</f>
        <v>0</v>
      </c>
      <c r="B267" s="182">
        <f>MRS!B267</f>
        <v>0</v>
      </c>
      <c r="C267" s="183"/>
      <c r="D267" s="184">
        <f>MRS!D267</f>
        <v>0</v>
      </c>
      <c r="E267" s="185"/>
      <c r="F267" s="186"/>
      <c r="G267" s="95">
        <f>MRS!G267</f>
        <v>0</v>
      </c>
      <c r="H267" s="95">
        <f>MRS!H267</f>
        <v>0</v>
      </c>
      <c r="I267" s="96">
        <f>MRS!I267</f>
        <v>0</v>
      </c>
      <c r="J267" s="96">
        <f>MRS!J267</f>
        <v>0</v>
      </c>
      <c r="K267" s="97"/>
      <c r="O267" s="98"/>
      <c r="P267" s="98"/>
      <c r="R267" s="98"/>
    </row>
    <row r="268" spans="1:18" ht="105" customHeight="1">
      <c r="A268" s="21">
        <f>+MRS!A268</f>
        <v>0</v>
      </c>
      <c r="B268" s="182">
        <f>MRS!B268</f>
        <v>0</v>
      </c>
      <c r="C268" s="183"/>
      <c r="D268" s="184">
        <f>MRS!D268</f>
        <v>0</v>
      </c>
      <c r="E268" s="185"/>
      <c r="F268" s="186"/>
      <c r="G268" s="95">
        <f>MRS!G268</f>
        <v>0</v>
      </c>
      <c r="H268" s="95">
        <f>MRS!H268</f>
        <v>0</v>
      </c>
      <c r="I268" s="96">
        <f>MRS!I268</f>
        <v>0</v>
      </c>
      <c r="J268" s="96">
        <f>MRS!J268</f>
        <v>0</v>
      </c>
      <c r="K268" s="97"/>
      <c r="O268" s="98"/>
      <c r="P268" s="98"/>
      <c r="R268" s="98"/>
    </row>
    <row r="269" spans="1:18" ht="105" customHeight="1">
      <c r="A269" s="21">
        <f>+MRS!A269</f>
        <v>0</v>
      </c>
      <c r="B269" s="182">
        <f>MRS!B269</f>
        <v>0</v>
      </c>
      <c r="C269" s="183"/>
      <c r="D269" s="184">
        <f>MRS!D269</f>
        <v>0</v>
      </c>
      <c r="E269" s="185"/>
      <c r="F269" s="186"/>
      <c r="G269" s="95">
        <f>MRS!G269</f>
        <v>0</v>
      </c>
      <c r="H269" s="95">
        <f>MRS!H269</f>
        <v>0</v>
      </c>
      <c r="I269" s="96">
        <f>MRS!I269</f>
        <v>0</v>
      </c>
      <c r="J269" s="96">
        <f>MRS!J269</f>
        <v>0</v>
      </c>
      <c r="K269" s="97"/>
      <c r="O269" s="98"/>
      <c r="P269" s="98"/>
      <c r="R269" s="98"/>
    </row>
    <row r="270" spans="1:18" ht="105" customHeight="1">
      <c r="A270" s="21">
        <f>+MRS!A270</f>
        <v>0</v>
      </c>
      <c r="B270" s="182">
        <f>MRS!B270</f>
        <v>0</v>
      </c>
      <c r="C270" s="183"/>
      <c r="D270" s="184">
        <f>MRS!D270</f>
        <v>0</v>
      </c>
      <c r="E270" s="185"/>
      <c r="F270" s="186"/>
      <c r="G270" s="95">
        <f>MRS!G270</f>
        <v>0</v>
      </c>
      <c r="H270" s="95">
        <f>MRS!H270</f>
        <v>0</v>
      </c>
      <c r="I270" s="96">
        <f>MRS!I270</f>
        <v>0</v>
      </c>
      <c r="J270" s="96">
        <f>MRS!J270</f>
        <v>0</v>
      </c>
      <c r="K270" s="97"/>
      <c r="O270" s="98"/>
      <c r="P270" s="98"/>
      <c r="R270" s="98"/>
    </row>
    <row r="271" spans="1:18" ht="105" customHeight="1">
      <c r="A271" s="21">
        <f>+MRS!A271</f>
        <v>0</v>
      </c>
      <c r="B271" s="182">
        <f>MRS!B271</f>
        <v>0</v>
      </c>
      <c r="C271" s="183"/>
      <c r="D271" s="184">
        <f>MRS!D271</f>
        <v>0</v>
      </c>
      <c r="E271" s="185"/>
      <c r="F271" s="186"/>
      <c r="G271" s="95">
        <f>MRS!G271</f>
        <v>0</v>
      </c>
      <c r="H271" s="95">
        <f>MRS!H271</f>
        <v>0</v>
      </c>
      <c r="I271" s="96">
        <f>MRS!I271</f>
        <v>0</v>
      </c>
      <c r="J271" s="96">
        <f>MRS!J271</f>
        <v>0</v>
      </c>
      <c r="K271" s="97"/>
      <c r="O271" s="98"/>
      <c r="P271" s="98"/>
      <c r="R271" s="98"/>
    </row>
    <row r="272" spans="1:18" ht="105" customHeight="1">
      <c r="A272" s="21">
        <f>+MRS!A272</f>
        <v>0</v>
      </c>
      <c r="B272" s="182">
        <f>MRS!B272</f>
        <v>0</v>
      </c>
      <c r="C272" s="183"/>
      <c r="D272" s="184">
        <f>MRS!D272</f>
        <v>0</v>
      </c>
      <c r="E272" s="185"/>
      <c r="F272" s="186"/>
      <c r="G272" s="95">
        <f>MRS!G272</f>
        <v>0</v>
      </c>
      <c r="H272" s="95">
        <f>MRS!H272</f>
        <v>0</v>
      </c>
      <c r="I272" s="96">
        <f>MRS!I272</f>
        <v>0</v>
      </c>
      <c r="J272" s="96">
        <f>MRS!J272</f>
        <v>0</v>
      </c>
      <c r="K272" s="97"/>
      <c r="O272" s="98"/>
      <c r="P272" s="98"/>
      <c r="R272" s="98"/>
    </row>
    <row r="273" spans="1:18" ht="105" customHeight="1">
      <c r="A273" s="21">
        <f>+MRS!A273</f>
        <v>0</v>
      </c>
      <c r="B273" s="182">
        <f>MRS!B273</f>
        <v>0</v>
      </c>
      <c r="C273" s="183"/>
      <c r="D273" s="184">
        <f>MRS!D273</f>
        <v>0</v>
      </c>
      <c r="E273" s="185"/>
      <c r="F273" s="186"/>
      <c r="G273" s="95">
        <f>MRS!G273</f>
        <v>0</v>
      </c>
      <c r="H273" s="95">
        <f>MRS!H273</f>
        <v>0</v>
      </c>
      <c r="I273" s="96">
        <f>MRS!I273</f>
        <v>0</v>
      </c>
      <c r="J273" s="96">
        <f>MRS!J273</f>
        <v>0</v>
      </c>
      <c r="K273" s="97"/>
      <c r="O273" s="98"/>
      <c r="P273" s="98"/>
      <c r="R273" s="98"/>
    </row>
    <row r="274" spans="1:18" ht="105" customHeight="1">
      <c r="A274" s="21">
        <f>+MRS!A274</f>
        <v>0</v>
      </c>
      <c r="B274" s="182">
        <f>MRS!B274</f>
        <v>0</v>
      </c>
      <c r="C274" s="183"/>
      <c r="D274" s="184">
        <f>MRS!D274</f>
        <v>0</v>
      </c>
      <c r="E274" s="185"/>
      <c r="F274" s="186"/>
      <c r="G274" s="95">
        <f>MRS!G274</f>
        <v>0</v>
      </c>
      <c r="H274" s="95">
        <f>MRS!H274</f>
        <v>0</v>
      </c>
      <c r="I274" s="96">
        <f>MRS!I274</f>
        <v>0</v>
      </c>
      <c r="J274" s="96">
        <f>MRS!J274</f>
        <v>0</v>
      </c>
      <c r="K274" s="97"/>
      <c r="O274" s="98"/>
      <c r="P274" s="98"/>
      <c r="R274" s="98"/>
    </row>
    <row r="275" spans="1:18" ht="105" customHeight="1">
      <c r="A275" s="21">
        <f>+MRS!A275</f>
        <v>0</v>
      </c>
      <c r="B275" s="182">
        <f>MRS!B275</f>
        <v>0</v>
      </c>
      <c r="C275" s="183"/>
      <c r="D275" s="184">
        <f>MRS!D275</f>
        <v>0</v>
      </c>
      <c r="E275" s="185"/>
      <c r="F275" s="186"/>
      <c r="G275" s="95">
        <f>MRS!G275</f>
        <v>0</v>
      </c>
      <c r="H275" s="95">
        <f>MRS!H275</f>
        <v>0</v>
      </c>
      <c r="I275" s="96">
        <f>MRS!I275</f>
        <v>0</v>
      </c>
      <c r="J275" s="96">
        <f>MRS!J275</f>
        <v>0</v>
      </c>
      <c r="K275" s="97"/>
      <c r="O275" s="98"/>
      <c r="P275" s="98"/>
      <c r="R275" s="98"/>
    </row>
    <row r="276" spans="1:18" ht="105" customHeight="1">
      <c r="A276" s="21">
        <f>+MRS!A276</f>
        <v>0</v>
      </c>
      <c r="B276" s="182">
        <f>MRS!B276</f>
        <v>0</v>
      </c>
      <c r="C276" s="183"/>
      <c r="D276" s="184">
        <f>MRS!D276</f>
        <v>0</v>
      </c>
      <c r="E276" s="185"/>
      <c r="F276" s="186"/>
      <c r="G276" s="95">
        <f>MRS!G276</f>
        <v>0</v>
      </c>
      <c r="H276" s="95">
        <f>MRS!H276</f>
        <v>0</v>
      </c>
      <c r="I276" s="96">
        <f>MRS!I276</f>
        <v>0</v>
      </c>
      <c r="J276" s="96">
        <f>MRS!J276</f>
        <v>0</v>
      </c>
      <c r="K276" s="97"/>
      <c r="O276" s="98"/>
      <c r="P276" s="98"/>
      <c r="R276" s="98"/>
    </row>
    <row r="277" spans="1:18" ht="105" customHeight="1">
      <c r="A277" s="21">
        <f>+MRS!A277</f>
        <v>0</v>
      </c>
      <c r="B277" s="182">
        <f>MRS!B277</f>
        <v>0</v>
      </c>
      <c r="C277" s="183"/>
      <c r="D277" s="184">
        <f>MRS!D277</f>
        <v>0</v>
      </c>
      <c r="E277" s="185"/>
      <c r="F277" s="186"/>
      <c r="G277" s="95">
        <f>MRS!G277</f>
        <v>0</v>
      </c>
      <c r="H277" s="95">
        <f>MRS!H277</f>
        <v>0</v>
      </c>
      <c r="I277" s="96">
        <f>MRS!I277</f>
        <v>0</v>
      </c>
      <c r="J277" s="96">
        <f>MRS!J277</f>
        <v>0</v>
      </c>
      <c r="K277" s="97"/>
      <c r="O277" s="98"/>
      <c r="P277" s="98"/>
      <c r="R277" s="98"/>
    </row>
    <row r="278" spans="1:18" ht="105" customHeight="1">
      <c r="A278" s="21">
        <f>+MRS!A278</f>
        <v>0</v>
      </c>
      <c r="B278" s="182">
        <f>MRS!B278</f>
        <v>0</v>
      </c>
      <c r="C278" s="183"/>
      <c r="D278" s="184">
        <f>MRS!D278</f>
        <v>0</v>
      </c>
      <c r="E278" s="185"/>
      <c r="F278" s="186"/>
      <c r="G278" s="95">
        <f>MRS!G278</f>
        <v>0</v>
      </c>
      <c r="H278" s="95">
        <f>MRS!H278</f>
        <v>0</v>
      </c>
      <c r="I278" s="96">
        <f>MRS!I278</f>
        <v>0</v>
      </c>
      <c r="J278" s="96">
        <f>MRS!J278</f>
        <v>0</v>
      </c>
      <c r="K278" s="97"/>
      <c r="O278" s="98"/>
      <c r="P278" s="98"/>
      <c r="R278" s="98"/>
    </row>
    <row r="279" spans="1:18" ht="105" customHeight="1">
      <c r="A279" s="21">
        <f>+MRS!A279</f>
        <v>0</v>
      </c>
      <c r="B279" s="182">
        <f>MRS!B279</f>
        <v>0</v>
      </c>
      <c r="C279" s="183"/>
      <c r="D279" s="184">
        <f>MRS!D279</f>
        <v>0</v>
      </c>
      <c r="E279" s="185"/>
      <c r="F279" s="186"/>
      <c r="G279" s="95">
        <f>MRS!G279</f>
        <v>0</v>
      </c>
      <c r="H279" s="95">
        <f>MRS!H279</f>
        <v>0</v>
      </c>
      <c r="I279" s="96">
        <f>MRS!I279</f>
        <v>0</v>
      </c>
      <c r="J279" s="96">
        <f>MRS!J279</f>
        <v>0</v>
      </c>
      <c r="K279" s="97"/>
      <c r="O279" s="98"/>
      <c r="P279" s="98"/>
      <c r="R279" s="98"/>
    </row>
    <row r="280" spans="1:18" ht="105" customHeight="1">
      <c r="A280" s="21">
        <f>+MRS!A280</f>
        <v>0</v>
      </c>
      <c r="B280" s="182">
        <f>MRS!B280</f>
        <v>0</v>
      </c>
      <c r="C280" s="183"/>
      <c r="D280" s="184">
        <f>MRS!D280</f>
        <v>0</v>
      </c>
      <c r="E280" s="185"/>
      <c r="F280" s="186"/>
      <c r="G280" s="95">
        <f>MRS!G280</f>
        <v>0</v>
      </c>
      <c r="H280" s="95">
        <f>MRS!H280</f>
        <v>0</v>
      </c>
      <c r="I280" s="96">
        <f>MRS!I280</f>
        <v>0</v>
      </c>
      <c r="J280" s="96">
        <f>MRS!J280</f>
        <v>0</v>
      </c>
      <c r="K280" s="97"/>
      <c r="O280" s="98"/>
      <c r="P280" s="98"/>
      <c r="R280" s="98"/>
    </row>
    <row r="281" spans="1:18" ht="105" customHeight="1">
      <c r="A281" s="21">
        <f>+MRS!A281</f>
        <v>0</v>
      </c>
      <c r="B281" s="182">
        <f>MRS!B281</f>
        <v>0</v>
      </c>
      <c r="C281" s="183"/>
      <c r="D281" s="184">
        <f>MRS!D281</f>
        <v>0</v>
      </c>
      <c r="E281" s="185"/>
      <c r="F281" s="186"/>
      <c r="G281" s="95">
        <f>MRS!G281</f>
        <v>0</v>
      </c>
      <c r="H281" s="95">
        <f>MRS!H281</f>
        <v>0</v>
      </c>
      <c r="I281" s="96">
        <f>MRS!I281</f>
        <v>0</v>
      </c>
      <c r="J281" s="96">
        <f>MRS!J281</f>
        <v>0</v>
      </c>
      <c r="K281" s="97"/>
      <c r="O281" s="98"/>
      <c r="P281" s="98"/>
      <c r="R281" s="98"/>
    </row>
    <row r="282" spans="1:18" ht="105" customHeight="1">
      <c r="A282" s="21">
        <f>+MRS!A282</f>
        <v>0</v>
      </c>
      <c r="B282" s="182">
        <f>MRS!B282</f>
        <v>0</v>
      </c>
      <c r="C282" s="183"/>
      <c r="D282" s="184">
        <f>MRS!D282</f>
        <v>0</v>
      </c>
      <c r="E282" s="185"/>
      <c r="F282" s="186"/>
      <c r="G282" s="95">
        <f>MRS!G282</f>
        <v>0</v>
      </c>
      <c r="H282" s="95">
        <f>MRS!H282</f>
        <v>0</v>
      </c>
      <c r="I282" s="96">
        <f>MRS!I282</f>
        <v>0</v>
      </c>
      <c r="J282" s="96">
        <f>MRS!J282</f>
        <v>0</v>
      </c>
      <c r="K282" s="97"/>
      <c r="O282" s="98"/>
      <c r="P282" s="98"/>
      <c r="R282" s="98"/>
    </row>
    <row r="283" spans="1:18" ht="105" customHeight="1">
      <c r="A283" s="21">
        <f>+MRS!A283</f>
        <v>0</v>
      </c>
      <c r="B283" s="182">
        <f>MRS!B283</f>
        <v>0</v>
      </c>
      <c r="C283" s="183"/>
      <c r="D283" s="184">
        <f>MRS!D283</f>
        <v>0</v>
      </c>
      <c r="E283" s="185"/>
      <c r="F283" s="186"/>
      <c r="G283" s="95">
        <f>MRS!G283</f>
        <v>0</v>
      </c>
      <c r="H283" s="95">
        <f>MRS!H283</f>
        <v>0</v>
      </c>
      <c r="I283" s="96">
        <f>MRS!I283</f>
        <v>0</v>
      </c>
      <c r="J283" s="96">
        <f>MRS!J283</f>
        <v>0</v>
      </c>
      <c r="K283" s="97"/>
      <c r="O283" s="98"/>
      <c r="P283" s="98"/>
      <c r="R283" s="98"/>
    </row>
    <row r="284" spans="1:18" ht="105" customHeight="1">
      <c r="A284" s="21">
        <f>+MRS!A284</f>
        <v>0</v>
      </c>
      <c r="B284" s="182">
        <f>MRS!B284</f>
        <v>0</v>
      </c>
      <c r="C284" s="183"/>
      <c r="D284" s="184">
        <f>MRS!D284</f>
        <v>0</v>
      </c>
      <c r="E284" s="185"/>
      <c r="F284" s="186"/>
      <c r="G284" s="95">
        <f>MRS!G284</f>
        <v>0</v>
      </c>
      <c r="H284" s="95">
        <f>MRS!H284</f>
        <v>0</v>
      </c>
      <c r="I284" s="96">
        <f>MRS!I284</f>
        <v>0</v>
      </c>
      <c r="J284" s="96">
        <f>MRS!J284</f>
        <v>0</v>
      </c>
      <c r="K284" s="97"/>
      <c r="O284" s="98"/>
      <c r="P284" s="98"/>
      <c r="R284" s="98"/>
    </row>
    <row r="285" spans="1:18" ht="105" customHeight="1">
      <c r="A285" s="21">
        <f>+MRS!A285</f>
        <v>0</v>
      </c>
      <c r="B285" s="182">
        <f>MRS!B285</f>
        <v>0</v>
      </c>
      <c r="C285" s="183"/>
      <c r="D285" s="184">
        <f>MRS!D285</f>
        <v>0</v>
      </c>
      <c r="E285" s="185"/>
      <c r="F285" s="186"/>
      <c r="G285" s="95">
        <f>MRS!G285</f>
        <v>0</v>
      </c>
      <c r="H285" s="95">
        <f>MRS!H285</f>
        <v>0</v>
      </c>
      <c r="I285" s="96">
        <f>MRS!I285</f>
        <v>0</v>
      </c>
      <c r="J285" s="96">
        <f>MRS!J285</f>
        <v>0</v>
      </c>
      <c r="K285" s="97"/>
      <c r="O285" s="98"/>
      <c r="P285" s="98"/>
      <c r="R285" s="98"/>
    </row>
    <row r="286" spans="1:18" ht="105" customHeight="1">
      <c r="A286" s="21">
        <f>+MRS!A286</f>
        <v>0</v>
      </c>
      <c r="B286" s="182">
        <f>MRS!B286</f>
        <v>0</v>
      </c>
      <c r="C286" s="183"/>
      <c r="D286" s="184">
        <f>MRS!D286</f>
        <v>0</v>
      </c>
      <c r="E286" s="185"/>
      <c r="F286" s="186"/>
      <c r="G286" s="95">
        <f>MRS!G286</f>
        <v>0</v>
      </c>
      <c r="H286" s="95">
        <f>MRS!H286</f>
        <v>0</v>
      </c>
      <c r="I286" s="96">
        <f>MRS!I286</f>
        <v>0</v>
      </c>
      <c r="J286" s="96">
        <f>MRS!J286</f>
        <v>0</v>
      </c>
      <c r="K286" s="97"/>
      <c r="O286" s="98"/>
      <c r="P286" s="98"/>
      <c r="R286" s="98"/>
    </row>
    <row r="287" spans="1:18" ht="105" customHeight="1">
      <c r="A287" s="21">
        <f>+MRS!A287</f>
        <v>0</v>
      </c>
      <c r="B287" s="182">
        <f>MRS!B287</f>
        <v>0</v>
      </c>
      <c r="C287" s="183"/>
      <c r="D287" s="184">
        <f>MRS!D287</f>
        <v>0</v>
      </c>
      <c r="E287" s="185"/>
      <c r="F287" s="186"/>
      <c r="G287" s="95">
        <f>MRS!G287</f>
        <v>0</v>
      </c>
      <c r="H287" s="95">
        <f>MRS!H287</f>
        <v>0</v>
      </c>
      <c r="I287" s="96">
        <f>MRS!I287</f>
        <v>0</v>
      </c>
      <c r="J287" s="96">
        <f>MRS!J287</f>
        <v>0</v>
      </c>
      <c r="K287" s="97"/>
      <c r="O287" s="98"/>
      <c r="P287" s="98"/>
      <c r="R287" s="98"/>
    </row>
    <row r="288" spans="1:18" ht="105" customHeight="1">
      <c r="A288" s="21">
        <f>+MRS!A288</f>
        <v>0</v>
      </c>
      <c r="B288" s="182">
        <f>MRS!B288</f>
        <v>0</v>
      </c>
      <c r="C288" s="183"/>
      <c r="D288" s="184">
        <f>MRS!D288</f>
        <v>0</v>
      </c>
      <c r="E288" s="185"/>
      <c r="F288" s="186"/>
      <c r="G288" s="95">
        <f>MRS!G288</f>
        <v>0</v>
      </c>
      <c r="H288" s="95">
        <f>MRS!H288</f>
        <v>0</v>
      </c>
      <c r="I288" s="96">
        <f>MRS!I288</f>
        <v>0</v>
      </c>
      <c r="J288" s="96">
        <f>MRS!J288</f>
        <v>0</v>
      </c>
      <c r="K288" s="97"/>
      <c r="O288" s="98"/>
      <c r="P288" s="98"/>
      <c r="R288" s="98"/>
    </row>
    <row r="289" spans="1:18" ht="105" customHeight="1">
      <c r="A289" s="21">
        <f>+MRS!A289</f>
        <v>0</v>
      </c>
      <c r="B289" s="182">
        <f>MRS!B289</f>
        <v>0</v>
      </c>
      <c r="C289" s="183"/>
      <c r="D289" s="184">
        <f>MRS!D289</f>
        <v>0</v>
      </c>
      <c r="E289" s="185"/>
      <c r="F289" s="186"/>
      <c r="G289" s="95">
        <f>MRS!G289</f>
        <v>0</v>
      </c>
      <c r="H289" s="95">
        <f>MRS!H289</f>
        <v>0</v>
      </c>
      <c r="I289" s="96">
        <f>MRS!I289</f>
        <v>0</v>
      </c>
      <c r="J289" s="96">
        <f>MRS!J289</f>
        <v>0</v>
      </c>
      <c r="K289" s="97"/>
      <c r="O289" s="98"/>
      <c r="P289" s="98"/>
      <c r="R289" s="98"/>
    </row>
    <row r="290" spans="1:18" ht="105" customHeight="1">
      <c r="A290" s="21">
        <f>+MRS!A290</f>
        <v>0</v>
      </c>
      <c r="B290" s="182">
        <f>MRS!B290</f>
        <v>0</v>
      </c>
      <c r="C290" s="183"/>
      <c r="D290" s="184">
        <f>MRS!D290</f>
        <v>0</v>
      </c>
      <c r="E290" s="185"/>
      <c r="F290" s="186"/>
      <c r="G290" s="95">
        <f>MRS!G290</f>
        <v>0</v>
      </c>
      <c r="H290" s="95">
        <f>MRS!H290</f>
        <v>0</v>
      </c>
      <c r="I290" s="96">
        <f>MRS!I290</f>
        <v>0</v>
      </c>
      <c r="J290" s="96">
        <f>MRS!J290</f>
        <v>0</v>
      </c>
      <c r="K290" s="97"/>
      <c r="O290" s="98"/>
      <c r="P290" s="98"/>
      <c r="R290" s="98"/>
    </row>
    <row r="291" spans="1:18" ht="105" customHeight="1">
      <c r="A291" s="21">
        <f>+MRS!A291</f>
        <v>0</v>
      </c>
      <c r="B291" s="182">
        <f>MRS!B291</f>
        <v>0</v>
      </c>
      <c r="C291" s="183"/>
      <c r="D291" s="184">
        <f>MRS!D291</f>
        <v>0</v>
      </c>
      <c r="E291" s="185"/>
      <c r="F291" s="186"/>
      <c r="G291" s="95">
        <f>MRS!G291</f>
        <v>0</v>
      </c>
      <c r="H291" s="95">
        <f>MRS!H291</f>
        <v>0</v>
      </c>
      <c r="I291" s="96">
        <f>MRS!I291</f>
        <v>0</v>
      </c>
      <c r="J291" s="96">
        <f>MRS!J291</f>
        <v>0</v>
      </c>
      <c r="K291" s="97"/>
      <c r="O291" s="98"/>
      <c r="P291" s="98"/>
      <c r="R291" s="98"/>
    </row>
    <row r="292" spans="1:18" ht="105" customHeight="1">
      <c r="A292" s="21">
        <f>+MRS!A292</f>
        <v>0</v>
      </c>
      <c r="B292" s="182">
        <f>MRS!B292</f>
        <v>0</v>
      </c>
      <c r="C292" s="183"/>
      <c r="D292" s="184">
        <f>MRS!D292</f>
        <v>0</v>
      </c>
      <c r="E292" s="185"/>
      <c r="F292" s="186"/>
      <c r="G292" s="95">
        <f>MRS!G292</f>
        <v>0</v>
      </c>
      <c r="H292" s="95">
        <f>MRS!H292</f>
        <v>0</v>
      </c>
      <c r="I292" s="96">
        <f>MRS!I292</f>
        <v>0</v>
      </c>
      <c r="J292" s="96">
        <f>MRS!J292</f>
        <v>0</v>
      </c>
      <c r="K292" s="97"/>
      <c r="O292" s="98"/>
      <c r="P292" s="98"/>
      <c r="R292" s="98"/>
    </row>
    <row r="293" spans="1:18" ht="105" customHeight="1">
      <c r="A293" s="21">
        <f>+MRS!A293</f>
        <v>0</v>
      </c>
      <c r="B293" s="182">
        <f>MRS!B293</f>
        <v>0</v>
      </c>
      <c r="C293" s="183"/>
      <c r="D293" s="184">
        <f>MRS!D293</f>
        <v>0</v>
      </c>
      <c r="E293" s="185"/>
      <c r="F293" s="186"/>
      <c r="G293" s="95">
        <f>MRS!G293</f>
        <v>0</v>
      </c>
      <c r="H293" s="95">
        <f>MRS!H293</f>
        <v>0</v>
      </c>
      <c r="I293" s="96">
        <f>MRS!I293</f>
        <v>0</v>
      </c>
      <c r="J293" s="96">
        <f>MRS!J293</f>
        <v>0</v>
      </c>
      <c r="K293" s="97"/>
      <c r="O293" s="98"/>
      <c r="P293" s="98"/>
      <c r="R293" s="98"/>
    </row>
    <row r="294" spans="1:18" ht="105" customHeight="1">
      <c r="A294" s="21">
        <f>+MRS!A294</f>
        <v>0</v>
      </c>
      <c r="B294" s="182">
        <f>MRS!B294</f>
        <v>0</v>
      </c>
      <c r="C294" s="183"/>
      <c r="D294" s="184">
        <f>MRS!D294</f>
        <v>0</v>
      </c>
      <c r="E294" s="185"/>
      <c r="F294" s="186"/>
      <c r="G294" s="95">
        <f>MRS!G294</f>
        <v>0</v>
      </c>
      <c r="H294" s="95">
        <f>MRS!H294</f>
        <v>0</v>
      </c>
      <c r="I294" s="96">
        <f>MRS!I294</f>
        <v>0</v>
      </c>
      <c r="J294" s="96">
        <f>MRS!J294</f>
        <v>0</v>
      </c>
      <c r="K294" s="97"/>
      <c r="O294" s="98"/>
      <c r="P294" s="98"/>
      <c r="R294" s="98"/>
    </row>
    <row r="295" spans="1:18" ht="105" customHeight="1">
      <c r="A295" s="21">
        <f>+MRS!A295</f>
        <v>0</v>
      </c>
      <c r="B295" s="182">
        <f>MRS!B295</f>
        <v>0</v>
      </c>
      <c r="C295" s="183"/>
      <c r="D295" s="184">
        <f>MRS!D295</f>
        <v>0</v>
      </c>
      <c r="E295" s="185"/>
      <c r="F295" s="186"/>
      <c r="G295" s="95">
        <f>MRS!G295</f>
        <v>0</v>
      </c>
      <c r="H295" s="95">
        <f>MRS!H295</f>
        <v>0</v>
      </c>
      <c r="I295" s="96">
        <f>MRS!I295</f>
        <v>0</v>
      </c>
      <c r="J295" s="96">
        <f>MRS!J295</f>
        <v>0</v>
      </c>
      <c r="K295" s="97"/>
      <c r="O295" s="98"/>
      <c r="P295" s="98"/>
      <c r="R295" s="98"/>
    </row>
    <row r="296" spans="1:18" ht="105" customHeight="1">
      <c r="A296" s="21">
        <f>+MRS!A296</f>
        <v>0</v>
      </c>
      <c r="B296" s="182">
        <f>MRS!B296</f>
        <v>0</v>
      </c>
      <c r="C296" s="183"/>
      <c r="D296" s="184">
        <f>MRS!D296</f>
        <v>0</v>
      </c>
      <c r="E296" s="185"/>
      <c r="F296" s="186"/>
      <c r="G296" s="95">
        <f>MRS!G296</f>
        <v>0</v>
      </c>
      <c r="H296" s="95">
        <f>MRS!H296</f>
        <v>0</v>
      </c>
      <c r="I296" s="96">
        <f>MRS!I296</f>
        <v>0</v>
      </c>
      <c r="J296" s="96">
        <f>MRS!J296</f>
        <v>0</v>
      </c>
      <c r="K296" s="97"/>
      <c r="O296" s="98"/>
      <c r="P296" s="98"/>
      <c r="R296" s="98"/>
    </row>
    <row r="297" spans="1:18" ht="105" customHeight="1">
      <c r="A297" s="21">
        <f>+MRS!A297</f>
        <v>0</v>
      </c>
      <c r="B297" s="182">
        <f>MRS!B297</f>
        <v>0</v>
      </c>
      <c r="C297" s="183"/>
      <c r="D297" s="184">
        <f>MRS!D297</f>
        <v>0</v>
      </c>
      <c r="E297" s="185"/>
      <c r="F297" s="186"/>
      <c r="G297" s="95">
        <f>MRS!G297</f>
        <v>0</v>
      </c>
      <c r="H297" s="95">
        <f>MRS!H297</f>
        <v>0</v>
      </c>
      <c r="I297" s="96">
        <f>MRS!I297</f>
        <v>0</v>
      </c>
      <c r="J297" s="96">
        <f>MRS!J297</f>
        <v>0</v>
      </c>
      <c r="K297" s="97"/>
      <c r="O297" s="98"/>
      <c r="P297" s="98"/>
      <c r="R297" s="98"/>
    </row>
    <row r="298" spans="1:18" ht="105" customHeight="1">
      <c r="A298" s="21">
        <f>+MRS!A298</f>
        <v>0</v>
      </c>
      <c r="B298" s="182">
        <f>MRS!B298</f>
        <v>0</v>
      </c>
      <c r="C298" s="183"/>
      <c r="D298" s="184">
        <f>MRS!D298</f>
        <v>0</v>
      </c>
      <c r="E298" s="185"/>
      <c r="F298" s="186"/>
      <c r="G298" s="95">
        <f>MRS!G298</f>
        <v>0</v>
      </c>
      <c r="H298" s="95">
        <f>MRS!H298</f>
        <v>0</v>
      </c>
      <c r="I298" s="96">
        <f>MRS!I298</f>
        <v>0</v>
      </c>
      <c r="J298" s="96">
        <f>MRS!J298</f>
        <v>0</v>
      </c>
      <c r="K298" s="97"/>
      <c r="O298" s="98"/>
      <c r="P298" s="98"/>
      <c r="R298" s="98"/>
    </row>
    <row r="299" spans="1:18" ht="105" customHeight="1">
      <c r="A299" s="21">
        <f>+MRS!A299</f>
        <v>0</v>
      </c>
      <c r="B299" s="182">
        <f>MRS!B299</f>
        <v>0</v>
      </c>
      <c r="C299" s="183"/>
      <c r="D299" s="184">
        <f>MRS!D299</f>
        <v>0</v>
      </c>
      <c r="E299" s="185"/>
      <c r="F299" s="186"/>
      <c r="G299" s="95">
        <f>MRS!G299</f>
        <v>0</v>
      </c>
      <c r="H299" s="95">
        <f>MRS!H299</f>
        <v>0</v>
      </c>
      <c r="I299" s="96">
        <f>MRS!I299</f>
        <v>0</v>
      </c>
      <c r="J299" s="96">
        <f>MRS!J299</f>
        <v>0</v>
      </c>
      <c r="K299" s="97"/>
      <c r="O299" s="98"/>
      <c r="P299" s="98"/>
      <c r="R299" s="98"/>
    </row>
    <row r="300" spans="1:18" ht="105" customHeight="1">
      <c r="A300" s="21">
        <f>+MRS!A300</f>
        <v>0</v>
      </c>
      <c r="B300" s="182">
        <f>MRS!B300</f>
        <v>0</v>
      </c>
      <c r="C300" s="183"/>
      <c r="D300" s="184">
        <f>MRS!D300</f>
        <v>0</v>
      </c>
      <c r="E300" s="185"/>
      <c r="F300" s="186"/>
      <c r="G300" s="95">
        <f>MRS!G300</f>
        <v>0</v>
      </c>
      <c r="H300" s="95">
        <f>MRS!H300</f>
        <v>0</v>
      </c>
      <c r="I300" s="96">
        <f>MRS!I300</f>
        <v>0</v>
      </c>
      <c r="J300" s="96">
        <f>MRS!J300</f>
        <v>0</v>
      </c>
      <c r="K300" s="97"/>
      <c r="O300" s="98"/>
      <c r="P300" s="98"/>
      <c r="R300" s="98"/>
    </row>
    <row r="301" spans="1:18" ht="105" customHeight="1">
      <c r="A301" s="21">
        <f>+MRS!A301</f>
        <v>0</v>
      </c>
      <c r="B301" s="182">
        <f>MRS!B301</f>
        <v>0</v>
      </c>
      <c r="C301" s="183"/>
      <c r="D301" s="184">
        <f>MRS!D301</f>
        <v>0</v>
      </c>
      <c r="E301" s="185"/>
      <c r="F301" s="186"/>
      <c r="G301" s="95">
        <f>MRS!G301</f>
        <v>0</v>
      </c>
      <c r="H301" s="95">
        <f>MRS!H301</f>
        <v>0</v>
      </c>
      <c r="I301" s="96">
        <f>MRS!I301</f>
        <v>0</v>
      </c>
      <c r="J301" s="96">
        <f>MRS!J301</f>
        <v>0</v>
      </c>
      <c r="K301" s="97"/>
      <c r="O301" s="98"/>
      <c r="P301" s="98"/>
      <c r="R301" s="98"/>
    </row>
    <row r="302" spans="1:18" ht="105" customHeight="1">
      <c r="A302" s="21">
        <f>+MRS!A302</f>
        <v>0</v>
      </c>
      <c r="B302" s="182">
        <f>MRS!B302</f>
        <v>0</v>
      </c>
      <c r="C302" s="183"/>
      <c r="D302" s="184">
        <f>MRS!D302</f>
        <v>0</v>
      </c>
      <c r="E302" s="185"/>
      <c r="F302" s="186"/>
      <c r="G302" s="95">
        <f>MRS!G302</f>
        <v>0</v>
      </c>
      <c r="H302" s="95">
        <f>MRS!H302</f>
        <v>0</v>
      </c>
      <c r="I302" s="96">
        <f>MRS!I302</f>
        <v>0</v>
      </c>
      <c r="J302" s="96">
        <f>MRS!J302</f>
        <v>0</v>
      </c>
      <c r="K302" s="97"/>
      <c r="O302" s="98"/>
      <c r="P302" s="98"/>
      <c r="R302" s="98"/>
    </row>
    <row r="303" spans="1:18" ht="105" customHeight="1">
      <c r="A303" s="21">
        <f>+MRS!A303</f>
        <v>0</v>
      </c>
      <c r="B303" s="182">
        <f>MRS!B303</f>
        <v>0</v>
      </c>
      <c r="C303" s="183"/>
      <c r="D303" s="184">
        <f>MRS!D303</f>
        <v>0</v>
      </c>
      <c r="E303" s="185"/>
      <c r="F303" s="186"/>
      <c r="G303" s="95">
        <f>MRS!G303</f>
        <v>0</v>
      </c>
      <c r="H303" s="95">
        <f>MRS!H303</f>
        <v>0</v>
      </c>
      <c r="I303" s="96">
        <f>MRS!I303</f>
        <v>0</v>
      </c>
      <c r="J303" s="96">
        <f>MRS!J303</f>
        <v>0</v>
      </c>
      <c r="K303" s="97"/>
      <c r="O303" s="98"/>
      <c r="P303" s="98"/>
      <c r="R303" s="98"/>
    </row>
    <row r="304" spans="1:18" ht="105" customHeight="1">
      <c r="A304" s="21">
        <f>+MRS!A304</f>
        <v>0</v>
      </c>
      <c r="B304" s="182">
        <f>MRS!B304</f>
        <v>0</v>
      </c>
      <c r="C304" s="183"/>
      <c r="D304" s="184">
        <f>MRS!D304</f>
        <v>0</v>
      </c>
      <c r="E304" s="185"/>
      <c r="F304" s="186"/>
      <c r="G304" s="95">
        <f>MRS!G304</f>
        <v>0</v>
      </c>
      <c r="H304" s="95">
        <f>MRS!H304</f>
        <v>0</v>
      </c>
      <c r="I304" s="96">
        <f>MRS!I304</f>
        <v>0</v>
      </c>
      <c r="J304" s="96">
        <f>MRS!J304</f>
        <v>0</v>
      </c>
      <c r="K304" s="97"/>
      <c r="O304" s="98"/>
      <c r="P304" s="98"/>
      <c r="R304" s="98"/>
    </row>
    <row r="305" spans="1:18" ht="105" customHeight="1">
      <c r="A305" s="21">
        <f>+MRS!A305</f>
        <v>0</v>
      </c>
      <c r="B305" s="182">
        <f>MRS!B305</f>
        <v>0</v>
      </c>
      <c r="C305" s="183"/>
      <c r="D305" s="184">
        <f>MRS!D305</f>
        <v>0</v>
      </c>
      <c r="E305" s="185"/>
      <c r="F305" s="186"/>
      <c r="G305" s="95">
        <f>MRS!G305</f>
        <v>0</v>
      </c>
      <c r="H305" s="95">
        <f>MRS!H305</f>
        <v>0</v>
      </c>
      <c r="I305" s="96">
        <f>MRS!I305</f>
        <v>0</v>
      </c>
      <c r="J305" s="96">
        <f>MRS!J305</f>
        <v>0</v>
      </c>
      <c r="K305" s="97"/>
      <c r="O305" s="98"/>
      <c r="P305" s="98"/>
      <c r="R305" s="98"/>
    </row>
    <row r="306" spans="1:18" ht="105" customHeight="1">
      <c r="A306" s="21">
        <f>+MRS!A306</f>
        <v>0</v>
      </c>
      <c r="B306" s="182">
        <f>MRS!B306</f>
        <v>0</v>
      </c>
      <c r="C306" s="183"/>
      <c r="D306" s="184">
        <f>MRS!D306</f>
        <v>0</v>
      </c>
      <c r="E306" s="185"/>
      <c r="F306" s="186"/>
      <c r="G306" s="95">
        <f>MRS!G306</f>
        <v>0</v>
      </c>
      <c r="H306" s="95">
        <f>MRS!H306</f>
        <v>0</v>
      </c>
      <c r="I306" s="96">
        <f>MRS!I306</f>
        <v>0</v>
      </c>
      <c r="J306" s="96">
        <f>MRS!J306</f>
        <v>0</v>
      </c>
      <c r="K306" s="97"/>
      <c r="O306" s="98"/>
      <c r="P306" s="98"/>
      <c r="R306" s="98"/>
    </row>
    <row r="307" spans="1:18" ht="105" customHeight="1">
      <c r="A307" s="21">
        <f>+MRS!A307</f>
        <v>0</v>
      </c>
      <c r="B307" s="182">
        <f>MRS!B307</f>
        <v>0</v>
      </c>
      <c r="C307" s="183"/>
      <c r="D307" s="184">
        <f>MRS!D307</f>
        <v>0</v>
      </c>
      <c r="E307" s="185"/>
      <c r="F307" s="186"/>
      <c r="G307" s="95">
        <f>MRS!G307</f>
        <v>0</v>
      </c>
      <c r="H307" s="95">
        <f>MRS!H307</f>
        <v>0</v>
      </c>
      <c r="I307" s="96">
        <f>MRS!I307</f>
        <v>0</v>
      </c>
      <c r="J307" s="96">
        <f>MRS!J307</f>
        <v>0</v>
      </c>
      <c r="K307" s="97"/>
      <c r="O307" s="98"/>
      <c r="P307" s="98"/>
      <c r="R307" s="98"/>
    </row>
    <row r="308" spans="1:18" ht="105" customHeight="1">
      <c r="A308" s="21">
        <f>+MRS!A308</f>
        <v>0</v>
      </c>
      <c r="B308" s="182">
        <f>MRS!B308</f>
        <v>0</v>
      </c>
      <c r="C308" s="183"/>
      <c r="D308" s="184">
        <f>MRS!D308</f>
        <v>0</v>
      </c>
      <c r="E308" s="185"/>
      <c r="F308" s="186"/>
      <c r="G308" s="95">
        <f>MRS!G308</f>
        <v>0</v>
      </c>
      <c r="H308" s="95">
        <f>MRS!H308</f>
        <v>0</v>
      </c>
      <c r="I308" s="96">
        <f>MRS!I308</f>
        <v>0</v>
      </c>
      <c r="J308" s="96">
        <f>MRS!J308</f>
        <v>0</v>
      </c>
      <c r="K308" s="97"/>
      <c r="O308" s="98"/>
      <c r="P308" s="98"/>
      <c r="R308" s="98"/>
    </row>
    <row r="309" spans="1:18" ht="105" customHeight="1">
      <c r="A309" s="21">
        <f>+MRS!A309</f>
        <v>0</v>
      </c>
      <c r="B309" s="182">
        <f>MRS!B309</f>
        <v>0</v>
      </c>
      <c r="C309" s="183"/>
      <c r="D309" s="184">
        <f>MRS!D309</f>
        <v>0</v>
      </c>
      <c r="E309" s="185"/>
      <c r="F309" s="186"/>
      <c r="G309" s="95">
        <f>MRS!G309</f>
        <v>0</v>
      </c>
      <c r="H309" s="95">
        <f>MRS!H309</f>
        <v>0</v>
      </c>
      <c r="I309" s="96">
        <f>MRS!I309</f>
        <v>0</v>
      </c>
      <c r="J309" s="96">
        <f>MRS!J309</f>
        <v>0</v>
      </c>
      <c r="K309" s="97"/>
      <c r="O309" s="98"/>
      <c r="P309" s="98"/>
      <c r="R309" s="98"/>
    </row>
    <row r="310" spans="1:18" ht="105" customHeight="1">
      <c r="A310" s="21">
        <f>+MRS!A310</f>
        <v>0</v>
      </c>
      <c r="B310" s="182">
        <f>MRS!B310</f>
        <v>0</v>
      </c>
      <c r="C310" s="183"/>
      <c r="D310" s="184">
        <f>MRS!D310</f>
        <v>0</v>
      </c>
      <c r="E310" s="185"/>
      <c r="F310" s="186"/>
      <c r="G310" s="95">
        <f>MRS!G310</f>
        <v>0</v>
      </c>
      <c r="H310" s="95">
        <f>MRS!H310</f>
        <v>0</v>
      </c>
      <c r="I310" s="96">
        <f>MRS!I310</f>
        <v>0</v>
      </c>
      <c r="J310" s="96">
        <f>MRS!J310</f>
        <v>0</v>
      </c>
      <c r="K310" s="97"/>
      <c r="O310" s="98"/>
      <c r="P310" s="98"/>
      <c r="R310" s="98"/>
    </row>
    <row r="311" spans="1:18" ht="105" customHeight="1">
      <c r="A311" s="21">
        <f>+MRS!A311</f>
        <v>0</v>
      </c>
      <c r="B311" s="182">
        <f>MRS!B311</f>
        <v>0</v>
      </c>
      <c r="C311" s="183"/>
      <c r="D311" s="184">
        <f>MRS!D311</f>
        <v>0</v>
      </c>
      <c r="E311" s="185"/>
      <c r="F311" s="186"/>
      <c r="G311" s="95">
        <f>MRS!G311</f>
        <v>0</v>
      </c>
      <c r="H311" s="95">
        <f>MRS!H311</f>
        <v>0</v>
      </c>
      <c r="I311" s="96">
        <f>MRS!I311</f>
        <v>0</v>
      </c>
      <c r="J311" s="96">
        <f>MRS!J311</f>
        <v>0</v>
      </c>
      <c r="K311" s="97"/>
      <c r="O311" s="98"/>
      <c r="P311" s="98"/>
      <c r="R311" s="98"/>
    </row>
    <row r="312" spans="1:18" ht="105" customHeight="1">
      <c r="A312" s="21">
        <f>+MRS!A312</f>
        <v>0</v>
      </c>
      <c r="B312" s="182">
        <f>MRS!B312</f>
        <v>0</v>
      </c>
      <c r="C312" s="183"/>
      <c r="D312" s="184">
        <f>MRS!D312</f>
        <v>0</v>
      </c>
      <c r="E312" s="185"/>
      <c r="F312" s="186"/>
      <c r="G312" s="95">
        <f>MRS!G312</f>
        <v>0</v>
      </c>
      <c r="H312" s="95">
        <f>MRS!H312</f>
        <v>0</v>
      </c>
      <c r="I312" s="96">
        <f>MRS!I312</f>
        <v>0</v>
      </c>
      <c r="J312" s="96">
        <f>MRS!J312</f>
        <v>0</v>
      </c>
      <c r="K312" s="97"/>
      <c r="O312" s="98"/>
      <c r="P312" s="98"/>
      <c r="R312" s="98"/>
    </row>
    <row r="313" spans="1:18" ht="105" customHeight="1">
      <c r="A313" s="21">
        <f>+MRS!A313</f>
        <v>0</v>
      </c>
      <c r="B313" s="182">
        <f>MRS!B313</f>
        <v>0</v>
      </c>
      <c r="C313" s="183"/>
      <c r="D313" s="184">
        <f>MRS!D313</f>
        <v>0</v>
      </c>
      <c r="E313" s="185"/>
      <c r="F313" s="186"/>
      <c r="G313" s="95">
        <f>MRS!G313</f>
        <v>0</v>
      </c>
      <c r="H313" s="95">
        <f>MRS!H313</f>
        <v>0</v>
      </c>
      <c r="I313" s="96">
        <f>MRS!I313</f>
        <v>0</v>
      </c>
      <c r="J313" s="96">
        <f>MRS!J313</f>
        <v>0</v>
      </c>
      <c r="K313" s="97"/>
      <c r="O313" s="98"/>
      <c r="P313" s="98"/>
      <c r="R313" s="98"/>
    </row>
    <row r="314" spans="1:18" ht="105" customHeight="1">
      <c r="A314" s="21">
        <f>+MRS!A314</f>
        <v>0</v>
      </c>
      <c r="B314" s="182">
        <f>MRS!B314</f>
        <v>0</v>
      </c>
      <c r="C314" s="183"/>
      <c r="D314" s="184">
        <f>MRS!D314</f>
        <v>0</v>
      </c>
      <c r="E314" s="185"/>
      <c r="F314" s="186"/>
      <c r="G314" s="95">
        <f>MRS!G314</f>
        <v>0</v>
      </c>
      <c r="H314" s="95">
        <f>MRS!H314</f>
        <v>0</v>
      </c>
      <c r="I314" s="96">
        <f>MRS!I314</f>
        <v>0</v>
      </c>
      <c r="J314" s="96">
        <f>MRS!J314</f>
        <v>0</v>
      </c>
      <c r="K314" s="97"/>
      <c r="O314" s="98"/>
      <c r="P314" s="98"/>
      <c r="R314" s="98"/>
    </row>
    <row r="315" spans="1:18" ht="105" customHeight="1">
      <c r="A315" s="21">
        <f>+MRS!A315</f>
        <v>0</v>
      </c>
      <c r="B315" s="182">
        <f>MRS!B315</f>
        <v>0</v>
      </c>
      <c r="C315" s="183"/>
      <c r="D315" s="184">
        <f>MRS!D315</f>
        <v>0</v>
      </c>
      <c r="E315" s="185"/>
      <c r="F315" s="186"/>
      <c r="G315" s="95">
        <f>MRS!G315</f>
        <v>0</v>
      </c>
      <c r="H315" s="95">
        <f>MRS!H315</f>
        <v>0</v>
      </c>
      <c r="I315" s="96">
        <f>MRS!I315</f>
        <v>0</v>
      </c>
      <c r="J315" s="96">
        <f>MRS!J315</f>
        <v>0</v>
      </c>
      <c r="K315" s="97"/>
      <c r="O315" s="98"/>
      <c r="P315" s="98"/>
      <c r="R315" s="98"/>
    </row>
    <row r="316" spans="1:18" ht="105" customHeight="1">
      <c r="A316" s="21">
        <f>+MRS!A316</f>
        <v>0</v>
      </c>
      <c r="B316" s="182">
        <f>MRS!B316</f>
        <v>0</v>
      </c>
      <c r="C316" s="183"/>
      <c r="D316" s="184">
        <f>MRS!D316</f>
        <v>0</v>
      </c>
      <c r="E316" s="185"/>
      <c r="F316" s="186"/>
      <c r="G316" s="95">
        <f>MRS!G316</f>
        <v>0</v>
      </c>
      <c r="H316" s="95">
        <f>MRS!H316</f>
        <v>0</v>
      </c>
      <c r="I316" s="96">
        <f>MRS!I316</f>
        <v>0</v>
      </c>
      <c r="J316" s="96">
        <f>MRS!J316</f>
        <v>0</v>
      </c>
      <c r="K316" s="97"/>
      <c r="O316" s="98"/>
      <c r="P316" s="98"/>
      <c r="R316" s="98"/>
    </row>
    <row r="317" spans="1:18" ht="105" customHeight="1">
      <c r="A317" s="21">
        <f>+MRS!A317</f>
        <v>0</v>
      </c>
      <c r="B317" s="182">
        <f>MRS!B317</f>
        <v>0</v>
      </c>
      <c r="C317" s="183"/>
      <c r="D317" s="184">
        <f>MRS!D317</f>
        <v>0</v>
      </c>
      <c r="E317" s="185"/>
      <c r="F317" s="186"/>
      <c r="G317" s="95">
        <f>MRS!G317</f>
        <v>0</v>
      </c>
      <c r="H317" s="95">
        <f>MRS!H317</f>
        <v>0</v>
      </c>
      <c r="I317" s="96">
        <f>MRS!I317</f>
        <v>0</v>
      </c>
      <c r="J317" s="96">
        <f>MRS!J317</f>
        <v>0</v>
      </c>
      <c r="K317" s="97"/>
      <c r="O317" s="98"/>
      <c r="P317" s="98"/>
      <c r="R317" s="98"/>
    </row>
    <row r="318" spans="1:18" ht="105" customHeight="1">
      <c r="A318" s="21">
        <f>+MRS!A318</f>
        <v>0</v>
      </c>
      <c r="B318" s="182">
        <f>MRS!B318</f>
        <v>0</v>
      </c>
      <c r="C318" s="183"/>
      <c r="D318" s="184">
        <f>MRS!D318</f>
        <v>0</v>
      </c>
      <c r="E318" s="185"/>
      <c r="F318" s="186"/>
      <c r="G318" s="95">
        <f>MRS!G318</f>
        <v>0</v>
      </c>
      <c r="H318" s="95">
        <f>MRS!H318</f>
        <v>0</v>
      </c>
      <c r="I318" s="96">
        <f>MRS!I318</f>
        <v>0</v>
      </c>
      <c r="J318" s="96">
        <f>MRS!J318</f>
        <v>0</v>
      </c>
      <c r="K318" s="97"/>
      <c r="O318" s="98"/>
      <c r="P318" s="98"/>
      <c r="R318" s="98"/>
    </row>
    <row r="319" spans="1:18" ht="105" customHeight="1">
      <c r="A319" s="21">
        <f>+MRS!A319</f>
        <v>0</v>
      </c>
      <c r="B319" s="182">
        <f>MRS!B319</f>
        <v>0</v>
      </c>
      <c r="C319" s="183"/>
      <c r="D319" s="184">
        <f>MRS!D319</f>
        <v>0</v>
      </c>
      <c r="E319" s="185"/>
      <c r="F319" s="186"/>
      <c r="G319" s="95">
        <f>MRS!G319</f>
        <v>0</v>
      </c>
      <c r="H319" s="95">
        <f>MRS!H319</f>
        <v>0</v>
      </c>
      <c r="I319" s="96">
        <f>MRS!I319</f>
        <v>0</v>
      </c>
      <c r="J319" s="96">
        <f>MRS!J319</f>
        <v>0</v>
      </c>
      <c r="K319" s="97"/>
      <c r="O319" s="98"/>
      <c r="P319" s="98"/>
      <c r="R319" s="98"/>
    </row>
    <row r="320" spans="1:18" ht="105" customHeight="1">
      <c r="A320" s="21">
        <f>+MRS!A320</f>
        <v>0</v>
      </c>
      <c r="B320" s="182">
        <f>MRS!B320</f>
        <v>0</v>
      </c>
      <c r="C320" s="183"/>
      <c r="D320" s="184">
        <f>MRS!D320</f>
        <v>0</v>
      </c>
      <c r="E320" s="185"/>
      <c r="F320" s="186"/>
      <c r="G320" s="95">
        <f>MRS!G320</f>
        <v>0</v>
      </c>
      <c r="H320" s="95">
        <f>MRS!H320</f>
        <v>0</v>
      </c>
      <c r="I320" s="96">
        <f>MRS!I320</f>
        <v>0</v>
      </c>
      <c r="J320" s="96">
        <f>MRS!J320</f>
        <v>0</v>
      </c>
      <c r="K320" s="97"/>
      <c r="O320" s="98"/>
      <c r="P320" s="98"/>
      <c r="R320" s="98"/>
    </row>
    <row r="321" spans="1:18" ht="105" customHeight="1">
      <c r="A321" s="21">
        <f>+MRS!A321</f>
        <v>0</v>
      </c>
      <c r="B321" s="182">
        <f>MRS!B321</f>
        <v>0</v>
      </c>
      <c r="C321" s="183"/>
      <c r="D321" s="184">
        <f>MRS!D321</f>
        <v>0</v>
      </c>
      <c r="E321" s="185"/>
      <c r="F321" s="186"/>
      <c r="G321" s="95">
        <f>MRS!G321</f>
        <v>0</v>
      </c>
      <c r="H321" s="95">
        <f>MRS!H321</f>
        <v>0</v>
      </c>
      <c r="I321" s="96">
        <f>MRS!I321</f>
        <v>0</v>
      </c>
      <c r="J321" s="96">
        <f>MRS!J321</f>
        <v>0</v>
      </c>
      <c r="K321" s="97"/>
      <c r="O321" s="98"/>
      <c r="P321" s="98"/>
      <c r="R321" s="98"/>
    </row>
    <row r="322" spans="1:18" ht="105" customHeight="1">
      <c r="A322" s="21">
        <f>+MRS!A322</f>
        <v>0</v>
      </c>
      <c r="B322" s="182">
        <f>MRS!B322</f>
        <v>0</v>
      </c>
      <c r="C322" s="183"/>
      <c r="D322" s="184">
        <f>MRS!D322</f>
        <v>0</v>
      </c>
      <c r="E322" s="185"/>
      <c r="F322" s="186"/>
      <c r="G322" s="95">
        <f>MRS!G322</f>
        <v>0</v>
      </c>
      <c r="H322" s="95">
        <f>MRS!H322</f>
        <v>0</v>
      </c>
      <c r="I322" s="96">
        <f>MRS!I322</f>
        <v>0</v>
      </c>
      <c r="J322" s="96">
        <f>MRS!J322</f>
        <v>0</v>
      </c>
      <c r="K322" s="97"/>
      <c r="O322" s="98"/>
      <c r="P322" s="98"/>
      <c r="R322" s="98"/>
    </row>
    <row r="323" spans="1:18" ht="105" customHeight="1">
      <c r="A323" s="21">
        <f>+MRS!A323</f>
        <v>0</v>
      </c>
      <c r="B323" s="182">
        <f>MRS!B323</f>
        <v>0</v>
      </c>
      <c r="C323" s="183"/>
      <c r="D323" s="184">
        <f>MRS!D323</f>
        <v>0</v>
      </c>
      <c r="E323" s="185"/>
      <c r="F323" s="186"/>
      <c r="G323" s="95">
        <f>MRS!G323</f>
        <v>0</v>
      </c>
      <c r="H323" s="95">
        <f>MRS!H323</f>
        <v>0</v>
      </c>
      <c r="I323" s="96">
        <f>MRS!I323</f>
        <v>0</v>
      </c>
      <c r="J323" s="96">
        <f>MRS!J323</f>
        <v>0</v>
      </c>
      <c r="K323" s="97"/>
      <c r="O323" s="98"/>
      <c r="P323" s="98"/>
      <c r="R323" s="98"/>
    </row>
    <row r="324" spans="1:18" ht="105" customHeight="1">
      <c r="A324" s="21">
        <f>+MRS!A324</f>
        <v>0</v>
      </c>
      <c r="B324" s="182">
        <f>MRS!B324</f>
        <v>0</v>
      </c>
      <c r="C324" s="183"/>
      <c r="D324" s="184">
        <f>MRS!D324</f>
        <v>0</v>
      </c>
      <c r="E324" s="185"/>
      <c r="F324" s="186"/>
      <c r="G324" s="95">
        <f>MRS!G324</f>
        <v>0</v>
      </c>
      <c r="H324" s="95">
        <f>MRS!H324</f>
        <v>0</v>
      </c>
      <c r="I324" s="96">
        <f>MRS!I324</f>
        <v>0</v>
      </c>
      <c r="J324" s="96">
        <f>MRS!J324</f>
        <v>0</v>
      </c>
      <c r="K324" s="97"/>
      <c r="O324" s="98"/>
      <c r="P324" s="98"/>
      <c r="R324" s="98"/>
    </row>
    <row r="325" spans="1:18" ht="105" customHeight="1">
      <c r="A325" s="21">
        <f>+MRS!A325</f>
        <v>0</v>
      </c>
      <c r="B325" s="182">
        <f>MRS!B325</f>
        <v>0</v>
      </c>
      <c r="C325" s="183"/>
      <c r="D325" s="184">
        <f>MRS!D325</f>
        <v>0</v>
      </c>
      <c r="E325" s="185"/>
      <c r="F325" s="186"/>
      <c r="G325" s="95">
        <f>MRS!G325</f>
        <v>0</v>
      </c>
      <c r="H325" s="95">
        <f>MRS!H325</f>
        <v>0</v>
      </c>
      <c r="I325" s="96">
        <f>MRS!I325</f>
        <v>0</v>
      </c>
      <c r="J325" s="96">
        <f>MRS!J325</f>
        <v>0</v>
      </c>
      <c r="K325" s="97"/>
      <c r="O325" s="98"/>
      <c r="P325" s="98"/>
      <c r="R325" s="98"/>
    </row>
    <row r="326" spans="1:18" ht="105" customHeight="1">
      <c r="A326" s="21">
        <f>+MRS!A326</f>
        <v>0</v>
      </c>
      <c r="B326" s="182">
        <f>MRS!B326</f>
        <v>0</v>
      </c>
      <c r="C326" s="183"/>
      <c r="D326" s="184">
        <f>MRS!D326</f>
        <v>0</v>
      </c>
      <c r="E326" s="185"/>
      <c r="F326" s="186"/>
      <c r="G326" s="95">
        <f>MRS!G326</f>
        <v>0</v>
      </c>
      <c r="H326" s="95">
        <f>MRS!H326</f>
        <v>0</v>
      </c>
      <c r="I326" s="96">
        <f>MRS!I326</f>
        <v>0</v>
      </c>
      <c r="J326" s="96">
        <f>MRS!J326</f>
        <v>0</v>
      </c>
      <c r="K326" s="97"/>
      <c r="O326" s="98"/>
      <c r="P326" s="98"/>
      <c r="R326" s="98"/>
    </row>
    <row r="327" spans="1:18" ht="105" customHeight="1">
      <c r="A327" s="21">
        <f>+MRS!A327</f>
        <v>0</v>
      </c>
      <c r="B327" s="182">
        <f>MRS!B327</f>
        <v>0</v>
      </c>
      <c r="C327" s="183"/>
      <c r="D327" s="184">
        <f>MRS!D327</f>
        <v>0</v>
      </c>
      <c r="E327" s="185"/>
      <c r="F327" s="186"/>
      <c r="G327" s="95">
        <f>MRS!G327</f>
        <v>0</v>
      </c>
      <c r="H327" s="95">
        <f>MRS!H327</f>
        <v>0</v>
      </c>
      <c r="I327" s="96">
        <f>MRS!I327</f>
        <v>0</v>
      </c>
      <c r="J327" s="96">
        <f>MRS!J327</f>
        <v>0</v>
      </c>
      <c r="K327" s="97"/>
      <c r="O327" s="98"/>
      <c r="P327" s="98"/>
      <c r="R327" s="98"/>
    </row>
    <row r="328" spans="1:18" ht="105" customHeight="1">
      <c r="A328" s="21">
        <f>+MRS!A328</f>
        <v>0</v>
      </c>
      <c r="B328" s="182">
        <f>MRS!B328</f>
        <v>0</v>
      </c>
      <c r="C328" s="183"/>
      <c r="D328" s="184">
        <f>MRS!D328</f>
        <v>0</v>
      </c>
      <c r="E328" s="185"/>
      <c r="F328" s="186"/>
      <c r="G328" s="95">
        <f>MRS!G328</f>
        <v>0</v>
      </c>
      <c r="H328" s="95">
        <f>MRS!H328</f>
        <v>0</v>
      </c>
      <c r="I328" s="96">
        <f>MRS!I328</f>
        <v>0</v>
      </c>
      <c r="J328" s="96">
        <f>MRS!J328</f>
        <v>0</v>
      </c>
      <c r="K328" s="97"/>
      <c r="O328" s="98"/>
      <c r="P328" s="98"/>
      <c r="R328" s="98"/>
    </row>
    <row r="329" spans="1:18" ht="105" customHeight="1">
      <c r="A329" s="21">
        <f>+MRS!A329</f>
        <v>0</v>
      </c>
      <c r="B329" s="182">
        <f>MRS!B329</f>
        <v>0</v>
      </c>
      <c r="C329" s="183"/>
      <c r="D329" s="184">
        <f>MRS!D329</f>
        <v>0</v>
      </c>
      <c r="E329" s="185"/>
      <c r="F329" s="186"/>
      <c r="G329" s="95">
        <f>MRS!G329</f>
        <v>0</v>
      </c>
      <c r="H329" s="95">
        <f>MRS!H329</f>
        <v>0</v>
      </c>
      <c r="I329" s="96">
        <f>MRS!I329</f>
        <v>0</v>
      </c>
      <c r="J329" s="96">
        <f>MRS!J329</f>
        <v>0</v>
      </c>
      <c r="K329" s="97"/>
      <c r="O329" s="98"/>
      <c r="P329" s="98"/>
      <c r="R329" s="98"/>
    </row>
    <row r="330" spans="1:18" ht="105" customHeight="1">
      <c r="A330" s="21">
        <f>+MRS!A330</f>
        <v>0</v>
      </c>
      <c r="B330" s="182">
        <f>MRS!B330</f>
        <v>0</v>
      </c>
      <c r="C330" s="183"/>
      <c r="D330" s="184">
        <f>MRS!D330</f>
        <v>0</v>
      </c>
      <c r="E330" s="185"/>
      <c r="F330" s="186"/>
      <c r="G330" s="95">
        <f>MRS!G330</f>
        <v>0</v>
      </c>
      <c r="H330" s="95">
        <f>MRS!H330</f>
        <v>0</v>
      </c>
      <c r="I330" s="96">
        <f>MRS!I330</f>
        <v>0</v>
      </c>
      <c r="J330" s="96">
        <f>MRS!J330</f>
        <v>0</v>
      </c>
      <c r="K330" s="97"/>
      <c r="O330" s="98"/>
      <c r="P330" s="98"/>
      <c r="R330" s="98"/>
    </row>
    <row r="331" spans="1:18" ht="105" customHeight="1">
      <c r="A331" s="21">
        <f>+MRS!A331</f>
        <v>0</v>
      </c>
      <c r="B331" s="182">
        <f>MRS!B331</f>
        <v>0</v>
      </c>
      <c r="C331" s="183"/>
      <c r="D331" s="184">
        <f>MRS!D331</f>
        <v>0</v>
      </c>
      <c r="E331" s="185"/>
      <c r="F331" s="186"/>
      <c r="G331" s="95">
        <f>MRS!G331</f>
        <v>0</v>
      </c>
      <c r="H331" s="95">
        <f>MRS!H331</f>
        <v>0</v>
      </c>
      <c r="I331" s="96">
        <f>MRS!I331</f>
        <v>0</v>
      </c>
      <c r="J331" s="96">
        <f>MRS!J331</f>
        <v>0</v>
      </c>
      <c r="K331" s="97"/>
      <c r="O331" s="98"/>
      <c r="P331" s="98"/>
      <c r="R331" s="98"/>
    </row>
    <row r="332" spans="1:18" ht="105" customHeight="1">
      <c r="A332" s="21">
        <f>+MRS!A332</f>
        <v>0</v>
      </c>
      <c r="B332" s="182">
        <f>MRS!B332</f>
        <v>0</v>
      </c>
      <c r="C332" s="183"/>
      <c r="D332" s="184">
        <f>MRS!D332</f>
        <v>0</v>
      </c>
      <c r="E332" s="185"/>
      <c r="F332" s="186"/>
      <c r="G332" s="95">
        <f>MRS!G332</f>
        <v>0</v>
      </c>
      <c r="H332" s="95">
        <f>MRS!H332</f>
        <v>0</v>
      </c>
      <c r="I332" s="96">
        <f>MRS!I332</f>
        <v>0</v>
      </c>
      <c r="J332" s="96">
        <f>MRS!J332</f>
        <v>0</v>
      </c>
      <c r="K332" s="97"/>
      <c r="O332" s="98"/>
      <c r="P332" s="98"/>
      <c r="R332" s="98"/>
    </row>
    <row r="333" spans="1:18" ht="105" customHeight="1">
      <c r="A333" s="21">
        <f>+MRS!A333</f>
        <v>0</v>
      </c>
      <c r="B333" s="182">
        <f>MRS!B333</f>
        <v>0</v>
      </c>
      <c r="C333" s="183"/>
      <c r="D333" s="184">
        <f>MRS!D333</f>
        <v>0</v>
      </c>
      <c r="E333" s="185"/>
      <c r="F333" s="186"/>
      <c r="G333" s="95">
        <f>MRS!G333</f>
        <v>0</v>
      </c>
      <c r="H333" s="95">
        <f>MRS!H333</f>
        <v>0</v>
      </c>
      <c r="I333" s="96">
        <f>MRS!I333</f>
        <v>0</v>
      </c>
      <c r="J333" s="96">
        <f>MRS!J333</f>
        <v>0</v>
      </c>
      <c r="K333" s="97"/>
      <c r="O333" s="98"/>
      <c r="P333" s="98"/>
      <c r="R333" s="98"/>
    </row>
    <row r="334" spans="1:18" ht="105" customHeight="1">
      <c r="A334" s="21">
        <f>+MRS!A334</f>
        <v>0</v>
      </c>
      <c r="B334" s="182">
        <f>MRS!B334</f>
        <v>0</v>
      </c>
      <c r="C334" s="183"/>
      <c r="D334" s="184">
        <f>MRS!D334</f>
        <v>0</v>
      </c>
      <c r="E334" s="185"/>
      <c r="F334" s="186"/>
      <c r="G334" s="95">
        <f>MRS!G334</f>
        <v>0</v>
      </c>
      <c r="H334" s="95">
        <f>MRS!H334</f>
        <v>0</v>
      </c>
      <c r="I334" s="96">
        <f>MRS!I334</f>
        <v>0</v>
      </c>
      <c r="J334" s="96">
        <f>MRS!J334</f>
        <v>0</v>
      </c>
      <c r="K334" s="97"/>
      <c r="O334" s="98"/>
      <c r="P334" s="98"/>
      <c r="R334" s="98"/>
    </row>
    <row r="335" spans="1:18" ht="105" customHeight="1">
      <c r="A335" s="21">
        <f>+MRS!A335</f>
        <v>0</v>
      </c>
      <c r="B335" s="182">
        <f>MRS!B335</f>
        <v>0</v>
      </c>
      <c r="C335" s="183"/>
      <c r="D335" s="184">
        <f>MRS!D335</f>
        <v>0</v>
      </c>
      <c r="E335" s="185"/>
      <c r="F335" s="186"/>
      <c r="G335" s="95">
        <f>MRS!G335</f>
        <v>0</v>
      </c>
      <c r="H335" s="95">
        <f>MRS!H335</f>
        <v>0</v>
      </c>
      <c r="I335" s="96">
        <f>MRS!I335</f>
        <v>0</v>
      </c>
      <c r="J335" s="96">
        <f>MRS!J335</f>
        <v>0</v>
      </c>
      <c r="K335" s="97"/>
      <c r="O335" s="98"/>
      <c r="P335" s="98"/>
      <c r="R335" s="98"/>
    </row>
    <row r="336" spans="1:18" ht="105" customHeight="1">
      <c r="A336" s="21">
        <f>+MRS!A336</f>
        <v>0</v>
      </c>
      <c r="B336" s="182">
        <f>MRS!B336</f>
        <v>0</v>
      </c>
      <c r="C336" s="183"/>
      <c r="D336" s="184">
        <f>MRS!D336</f>
        <v>0</v>
      </c>
      <c r="E336" s="185"/>
      <c r="F336" s="186"/>
      <c r="G336" s="95">
        <f>MRS!G336</f>
        <v>0</v>
      </c>
      <c r="H336" s="95">
        <f>MRS!H336</f>
        <v>0</v>
      </c>
      <c r="I336" s="96">
        <f>MRS!I336</f>
        <v>0</v>
      </c>
      <c r="J336" s="96">
        <f>MRS!J336</f>
        <v>0</v>
      </c>
      <c r="K336" s="97"/>
      <c r="O336" s="98"/>
      <c r="P336" s="98"/>
      <c r="R336" s="98"/>
    </row>
    <row r="337" spans="1:18" ht="105" customHeight="1">
      <c r="A337" s="21">
        <f>+MRS!A337</f>
        <v>0</v>
      </c>
      <c r="B337" s="182">
        <f>MRS!B337</f>
        <v>0</v>
      </c>
      <c r="C337" s="183"/>
      <c r="D337" s="184">
        <f>MRS!D337</f>
        <v>0</v>
      </c>
      <c r="E337" s="185"/>
      <c r="F337" s="186"/>
      <c r="G337" s="95">
        <f>MRS!G337</f>
        <v>0</v>
      </c>
      <c r="H337" s="95">
        <f>MRS!H337</f>
        <v>0</v>
      </c>
      <c r="I337" s="96">
        <f>MRS!I337</f>
        <v>0</v>
      </c>
      <c r="J337" s="96">
        <f>MRS!J337</f>
        <v>0</v>
      </c>
      <c r="K337" s="97"/>
      <c r="O337" s="98"/>
      <c r="P337" s="98"/>
      <c r="R337" s="98"/>
    </row>
    <row r="338" spans="1:18" ht="105" customHeight="1">
      <c r="A338" s="21">
        <f>+MRS!A338</f>
        <v>0</v>
      </c>
      <c r="B338" s="182">
        <f>MRS!B338</f>
        <v>0</v>
      </c>
      <c r="C338" s="183"/>
      <c r="D338" s="184">
        <f>MRS!D338</f>
        <v>0</v>
      </c>
      <c r="E338" s="185"/>
      <c r="F338" s="186"/>
      <c r="G338" s="95">
        <f>MRS!G338</f>
        <v>0</v>
      </c>
      <c r="H338" s="95">
        <f>MRS!H338</f>
        <v>0</v>
      </c>
      <c r="I338" s="96">
        <f>MRS!I338</f>
        <v>0</v>
      </c>
      <c r="J338" s="96">
        <f>MRS!J338</f>
        <v>0</v>
      </c>
      <c r="K338" s="97"/>
      <c r="O338" s="98"/>
      <c r="P338" s="98"/>
      <c r="R338" s="98"/>
    </row>
    <row r="339" spans="1:18" ht="105" customHeight="1">
      <c r="A339" s="21">
        <f>+MRS!A339</f>
        <v>0</v>
      </c>
      <c r="B339" s="182">
        <f>MRS!B339</f>
        <v>0</v>
      </c>
      <c r="C339" s="183"/>
      <c r="D339" s="184">
        <f>MRS!D339</f>
        <v>0</v>
      </c>
      <c r="E339" s="185"/>
      <c r="F339" s="186"/>
      <c r="G339" s="95">
        <f>MRS!G339</f>
        <v>0</v>
      </c>
      <c r="H339" s="95">
        <f>MRS!H339</f>
        <v>0</v>
      </c>
      <c r="I339" s="96">
        <f>MRS!I339</f>
        <v>0</v>
      </c>
      <c r="J339" s="96">
        <f>MRS!J339</f>
        <v>0</v>
      </c>
      <c r="K339" s="97"/>
      <c r="O339" s="98"/>
      <c r="P339" s="98"/>
      <c r="R339" s="98"/>
    </row>
    <row r="340" spans="1:18" ht="105" customHeight="1">
      <c r="A340" s="21">
        <f>+MRS!A340</f>
        <v>0</v>
      </c>
      <c r="B340" s="182">
        <f>MRS!B340</f>
        <v>0</v>
      </c>
      <c r="C340" s="183"/>
      <c r="D340" s="184">
        <f>MRS!D340</f>
        <v>0</v>
      </c>
      <c r="E340" s="185"/>
      <c r="F340" s="186"/>
      <c r="G340" s="95">
        <f>MRS!G340</f>
        <v>0</v>
      </c>
      <c r="H340" s="95">
        <f>MRS!H340</f>
        <v>0</v>
      </c>
      <c r="I340" s="96">
        <f>MRS!I340</f>
        <v>0</v>
      </c>
      <c r="J340" s="96">
        <f>MRS!J340</f>
        <v>0</v>
      </c>
      <c r="K340" s="97"/>
      <c r="O340" s="98"/>
      <c r="P340" s="98"/>
      <c r="R340" s="98"/>
    </row>
    <row r="341" spans="1:18" ht="105" customHeight="1">
      <c r="A341" s="21">
        <f>+MRS!A341</f>
        <v>0</v>
      </c>
      <c r="B341" s="182">
        <f>MRS!B341</f>
        <v>0</v>
      </c>
      <c r="C341" s="183"/>
      <c r="D341" s="184">
        <f>MRS!D341</f>
        <v>0</v>
      </c>
      <c r="E341" s="185"/>
      <c r="F341" s="186"/>
      <c r="G341" s="95">
        <f>MRS!G341</f>
        <v>0</v>
      </c>
      <c r="H341" s="95">
        <f>MRS!H341</f>
        <v>0</v>
      </c>
      <c r="I341" s="96">
        <f>MRS!I341</f>
        <v>0</v>
      </c>
      <c r="J341" s="96">
        <f>MRS!J341</f>
        <v>0</v>
      </c>
      <c r="K341" s="97"/>
      <c r="O341" s="98"/>
      <c r="P341" s="98"/>
      <c r="R341" s="98"/>
    </row>
    <row r="342" spans="1:18" ht="105" customHeight="1">
      <c r="A342" s="21">
        <f>+MRS!A342</f>
        <v>0</v>
      </c>
      <c r="B342" s="182">
        <f>MRS!B342</f>
        <v>0</v>
      </c>
      <c r="C342" s="183"/>
      <c r="D342" s="184">
        <f>MRS!D342</f>
        <v>0</v>
      </c>
      <c r="E342" s="185"/>
      <c r="F342" s="186"/>
      <c r="G342" s="95">
        <f>MRS!G342</f>
        <v>0</v>
      </c>
      <c r="H342" s="95">
        <f>MRS!H342</f>
        <v>0</v>
      </c>
      <c r="I342" s="96">
        <f>MRS!I342</f>
        <v>0</v>
      </c>
      <c r="J342" s="96">
        <f>MRS!J342</f>
        <v>0</v>
      </c>
      <c r="K342" s="97"/>
      <c r="O342" s="98"/>
      <c r="P342" s="98"/>
      <c r="R342" s="98"/>
    </row>
    <row r="343" spans="1:18" ht="105" customHeight="1">
      <c r="A343" s="21">
        <f>+MRS!A343</f>
        <v>0</v>
      </c>
      <c r="B343" s="182">
        <f>MRS!B343</f>
        <v>0</v>
      </c>
      <c r="C343" s="183"/>
      <c r="D343" s="184">
        <f>MRS!D343</f>
        <v>0</v>
      </c>
      <c r="E343" s="185"/>
      <c r="F343" s="186"/>
      <c r="G343" s="95">
        <f>MRS!G343</f>
        <v>0</v>
      </c>
      <c r="H343" s="95">
        <f>MRS!H343</f>
        <v>0</v>
      </c>
      <c r="I343" s="96">
        <f>MRS!I343</f>
        <v>0</v>
      </c>
      <c r="J343" s="96">
        <f>MRS!J343</f>
        <v>0</v>
      </c>
      <c r="K343" s="97"/>
      <c r="O343" s="98"/>
      <c r="P343" s="98"/>
      <c r="R343" s="98"/>
    </row>
    <row r="344" spans="1:18" ht="105" customHeight="1">
      <c r="A344" s="21">
        <f>+MRS!A344</f>
        <v>0</v>
      </c>
      <c r="B344" s="182">
        <f>MRS!B344</f>
        <v>0</v>
      </c>
      <c r="C344" s="183"/>
      <c r="D344" s="184">
        <f>MRS!D344</f>
        <v>0</v>
      </c>
      <c r="E344" s="185"/>
      <c r="F344" s="186"/>
      <c r="G344" s="95">
        <f>MRS!G344</f>
        <v>0</v>
      </c>
      <c r="H344" s="95">
        <f>MRS!H344</f>
        <v>0</v>
      </c>
      <c r="I344" s="96">
        <f>MRS!I344</f>
        <v>0</v>
      </c>
      <c r="J344" s="96">
        <f>MRS!J344</f>
        <v>0</v>
      </c>
      <c r="K344" s="97"/>
      <c r="O344" s="98"/>
      <c r="P344" s="98"/>
      <c r="R344" s="98"/>
    </row>
    <row r="345" spans="1:18" ht="105" customHeight="1">
      <c r="A345" s="21">
        <f>+MRS!A345</f>
        <v>0</v>
      </c>
      <c r="B345" s="182">
        <f>MRS!B345</f>
        <v>0</v>
      </c>
      <c r="C345" s="183"/>
      <c r="D345" s="184">
        <f>MRS!D345</f>
        <v>0</v>
      </c>
      <c r="E345" s="185"/>
      <c r="F345" s="186"/>
      <c r="G345" s="95">
        <f>MRS!G345</f>
        <v>0</v>
      </c>
      <c r="H345" s="95">
        <f>MRS!H345</f>
        <v>0</v>
      </c>
      <c r="I345" s="96">
        <f>MRS!I345</f>
        <v>0</v>
      </c>
      <c r="J345" s="96">
        <f>MRS!J345</f>
        <v>0</v>
      </c>
      <c r="K345" s="97"/>
      <c r="O345" s="98"/>
      <c r="P345" s="98"/>
      <c r="R345" s="98"/>
    </row>
    <row r="346" spans="1:18" ht="105" customHeight="1">
      <c r="A346" s="21">
        <f>+MRS!A346</f>
        <v>0</v>
      </c>
      <c r="B346" s="182">
        <f>MRS!B346</f>
        <v>0</v>
      </c>
      <c r="C346" s="183"/>
      <c r="D346" s="184">
        <f>MRS!D346</f>
        <v>0</v>
      </c>
      <c r="E346" s="185"/>
      <c r="F346" s="186"/>
      <c r="G346" s="95">
        <f>MRS!G346</f>
        <v>0</v>
      </c>
      <c r="H346" s="95">
        <f>MRS!H346</f>
        <v>0</v>
      </c>
      <c r="I346" s="96">
        <f>MRS!I346</f>
        <v>0</v>
      </c>
      <c r="J346" s="96">
        <f>MRS!J346</f>
        <v>0</v>
      </c>
      <c r="K346" s="97"/>
      <c r="O346" s="98"/>
      <c r="P346" s="98"/>
      <c r="R346" s="98"/>
    </row>
    <row r="347" spans="1:18" ht="105" customHeight="1">
      <c r="A347" s="21">
        <f>+MRS!A347</f>
        <v>0</v>
      </c>
      <c r="B347" s="182">
        <f>MRS!B347</f>
        <v>0</v>
      </c>
      <c r="C347" s="183"/>
      <c r="D347" s="184">
        <f>MRS!D347</f>
        <v>0</v>
      </c>
      <c r="E347" s="185"/>
      <c r="F347" s="186"/>
      <c r="G347" s="95">
        <f>MRS!G347</f>
        <v>0</v>
      </c>
      <c r="H347" s="95">
        <f>MRS!H347</f>
        <v>0</v>
      </c>
      <c r="I347" s="96">
        <f>MRS!I347</f>
        <v>0</v>
      </c>
      <c r="J347" s="96">
        <f>MRS!J347</f>
        <v>0</v>
      </c>
      <c r="K347" s="97"/>
      <c r="O347" s="98"/>
      <c r="P347" s="98"/>
      <c r="R347" s="98"/>
    </row>
    <row r="348" spans="1:18" ht="105" customHeight="1">
      <c r="A348" s="21">
        <f>+MRS!A348</f>
        <v>0</v>
      </c>
      <c r="B348" s="182">
        <f>MRS!B348</f>
        <v>0</v>
      </c>
      <c r="C348" s="183"/>
      <c r="D348" s="184">
        <f>MRS!D348</f>
        <v>0</v>
      </c>
      <c r="E348" s="185"/>
      <c r="F348" s="186"/>
      <c r="G348" s="95">
        <f>MRS!G348</f>
        <v>0</v>
      </c>
      <c r="H348" s="95">
        <f>MRS!H348</f>
        <v>0</v>
      </c>
      <c r="I348" s="96">
        <f>MRS!I348</f>
        <v>0</v>
      </c>
      <c r="J348" s="96">
        <f>MRS!J348</f>
        <v>0</v>
      </c>
      <c r="K348" s="97"/>
      <c r="O348" s="98"/>
      <c r="P348" s="98"/>
      <c r="R348" s="98"/>
    </row>
    <row r="349" spans="1:18" ht="105" customHeight="1">
      <c r="A349" s="21">
        <f>+MRS!A349</f>
        <v>0</v>
      </c>
      <c r="B349" s="182">
        <f>MRS!B349</f>
        <v>0</v>
      </c>
      <c r="C349" s="183"/>
      <c r="D349" s="184">
        <f>MRS!D349</f>
        <v>0</v>
      </c>
      <c r="E349" s="185"/>
      <c r="F349" s="186"/>
      <c r="G349" s="95">
        <f>MRS!G349</f>
        <v>0</v>
      </c>
      <c r="H349" s="95">
        <f>MRS!H349</f>
        <v>0</v>
      </c>
      <c r="I349" s="96">
        <f>MRS!I349</f>
        <v>0</v>
      </c>
      <c r="J349" s="96">
        <f>MRS!J349</f>
        <v>0</v>
      </c>
      <c r="K349" s="97"/>
      <c r="O349" s="98"/>
      <c r="P349" s="98"/>
      <c r="R349" s="98"/>
    </row>
    <row r="350" spans="1:18" ht="105" customHeight="1">
      <c r="A350" s="21">
        <f>+MRS!A350</f>
        <v>0</v>
      </c>
      <c r="B350" s="182">
        <f>MRS!B350</f>
        <v>0</v>
      </c>
      <c r="C350" s="183"/>
      <c r="D350" s="184">
        <f>MRS!D350</f>
        <v>0</v>
      </c>
      <c r="E350" s="185"/>
      <c r="F350" s="186"/>
      <c r="G350" s="95">
        <f>MRS!G350</f>
        <v>0</v>
      </c>
      <c r="H350" s="95">
        <f>MRS!H350</f>
        <v>0</v>
      </c>
      <c r="I350" s="96">
        <f>MRS!I350</f>
        <v>0</v>
      </c>
      <c r="J350" s="96">
        <f>MRS!J350</f>
        <v>0</v>
      </c>
      <c r="K350" s="97"/>
      <c r="O350" s="98"/>
      <c r="P350" s="98"/>
      <c r="R350" s="98"/>
    </row>
    <row r="351" spans="1:18" ht="105" customHeight="1">
      <c r="A351" s="21">
        <f>+MRS!A351</f>
        <v>0</v>
      </c>
      <c r="B351" s="182">
        <f>MRS!B351</f>
        <v>0</v>
      </c>
      <c r="C351" s="183"/>
      <c r="D351" s="184">
        <f>MRS!D351</f>
        <v>0</v>
      </c>
      <c r="E351" s="185"/>
      <c r="F351" s="186"/>
      <c r="G351" s="95">
        <f>MRS!G351</f>
        <v>0</v>
      </c>
      <c r="H351" s="95">
        <f>MRS!H351</f>
        <v>0</v>
      </c>
      <c r="I351" s="96">
        <f>MRS!I351</f>
        <v>0</v>
      </c>
      <c r="J351" s="96">
        <f>MRS!J351</f>
        <v>0</v>
      </c>
      <c r="K351" s="97"/>
      <c r="O351" s="98"/>
      <c r="P351" s="98"/>
      <c r="R351" s="98"/>
    </row>
    <row r="352" spans="1:18" ht="105" customHeight="1">
      <c r="A352" s="21">
        <f>+MRS!A352</f>
        <v>0</v>
      </c>
      <c r="B352" s="182">
        <f>MRS!B352</f>
        <v>0</v>
      </c>
      <c r="C352" s="183"/>
      <c r="D352" s="184">
        <f>MRS!D352</f>
        <v>0</v>
      </c>
      <c r="E352" s="185"/>
      <c r="F352" s="186"/>
      <c r="G352" s="95">
        <f>MRS!G352</f>
        <v>0</v>
      </c>
      <c r="H352" s="95">
        <f>MRS!H352</f>
        <v>0</v>
      </c>
      <c r="I352" s="96">
        <f>MRS!I352</f>
        <v>0</v>
      </c>
      <c r="J352" s="96">
        <f>MRS!J352</f>
        <v>0</v>
      </c>
      <c r="K352" s="97"/>
      <c r="O352" s="98"/>
      <c r="P352" s="98"/>
      <c r="R352" s="98"/>
    </row>
    <row r="353" spans="1:18" ht="105" customHeight="1">
      <c r="A353" s="21">
        <f>+MRS!A353</f>
        <v>0</v>
      </c>
      <c r="B353" s="182">
        <f>MRS!B353</f>
        <v>0</v>
      </c>
      <c r="C353" s="183"/>
      <c r="D353" s="184">
        <f>MRS!D353</f>
        <v>0</v>
      </c>
      <c r="E353" s="185"/>
      <c r="F353" s="186"/>
      <c r="G353" s="95">
        <f>MRS!G353</f>
        <v>0</v>
      </c>
      <c r="H353" s="95">
        <f>MRS!H353</f>
        <v>0</v>
      </c>
      <c r="I353" s="96">
        <f>MRS!I353</f>
        <v>0</v>
      </c>
      <c r="J353" s="96">
        <f>MRS!J353</f>
        <v>0</v>
      </c>
      <c r="K353" s="97"/>
      <c r="O353" s="98"/>
      <c r="P353" s="98"/>
      <c r="R353" s="98"/>
    </row>
    <row r="354" spans="1:18" ht="105" customHeight="1">
      <c r="A354" s="21">
        <f>+MRS!A354</f>
        <v>0</v>
      </c>
      <c r="B354" s="182">
        <f>MRS!B354</f>
        <v>0</v>
      </c>
      <c r="C354" s="183"/>
      <c r="D354" s="184">
        <f>MRS!D354</f>
        <v>0</v>
      </c>
      <c r="E354" s="185"/>
      <c r="F354" s="186"/>
      <c r="G354" s="95">
        <f>MRS!G354</f>
        <v>0</v>
      </c>
      <c r="H354" s="95">
        <f>MRS!H354</f>
        <v>0</v>
      </c>
      <c r="I354" s="96">
        <f>MRS!I354</f>
        <v>0</v>
      </c>
      <c r="J354" s="96">
        <f>MRS!J354</f>
        <v>0</v>
      </c>
      <c r="K354" s="97"/>
      <c r="O354" s="98"/>
      <c r="P354" s="98"/>
      <c r="R354" s="98"/>
    </row>
    <row r="355" spans="1:18" ht="105" customHeight="1">
      <c r="A355" s="21">
        <f>+MRS!A355</f>
        <v>0</v>
      </c>
      <c r="B355" s="182">
        <f>MRS!B355</f>
        <v>0</v>
      </c>
      <c r="C355" s="183"/>
      <c r="D355" s="184">
        <f>MRS!D355</f>
        <v>0</v>
      </c>
      <c r="E355" s="185"/>
      <c r="F355" s="186"/>
      <c r="G355" s="95">
        <f>MRS!G355</f>
        <v>0</v>
      </c>
      <c r="H355" s="95">
        <f>MRS!H355</f>
        <v>0</v>
      </c>
      <c r="I355" s="96">
        <f>MRS!I355</f>
        <v>0</v>
      </c>
      <c r="J355" s="96">
        <f>MRS!J355</f>
        <v>0</v>
      </c>
      <c r="K355" s="97"/>
      <c r="O355" s="98"/>
      <c r="P355" s="98"/>
      <c r="R355" s="98"/>
    </row>
    <row r="356" spans="1:18" ht="105" customHeight="1">
      <c r="A356" s="21">
        <f>+MRS!A356</f>
        <v>0</v>
      </c>
      <c r="B356" s="182">
        <f>MRS!B356</f>
        <v>0</v>
      </c>
      <c r="C356" s="183"/>
      <c r="D356" s="184">
        <f>MRS!D356</f>
        <v>0</v>
      </c>
      <c r="E356" s="185"/>
      <c r="F356" s="186"/>
      <c r="G356" s="95">
        <f>MRS!G356</f>
        <v>0</v>
      </c>
      <c r="H356" s="95">
        <f>MRS!H356</f>
        <v>0</v>
      </c>
      <c r="I356" s="96">
        <f>MRS!I356</f>
        <v>0</v>
      </c>
      <c r="J356" s="96">
        <f>MRS!J356</f>
        <v>0</v>
      </c>
      <c r="K356" s="97"/>
      <c r="O356" s="98"/>
      <c r="P356" s="98"/>
      <c r="R356" s="98"/>
    </row>
    <row r="357" spans="1:18" ht="105" customHeight="1">
      <c r="A357" s="21">
        <f>+MRS!A357</f>
        <v>0</v>
      </c>
      <c r="B357" s="182">
        <f>MRS!B357</f>
        <v>0</v>
      </c>
      <c r="C357" s="183"/>
      <c r="D357" s="184">
        <f>MRS!D357</f>
        <v>0</v>
      </c>
      <c r="E357" s="185"/>
      <c r="F357" s="186"/>
      <c r="G357" s="95">
        <f>MRS!G357</f>
        <v>0</v>
      </c>
      <c r="H357" s="95">
        <f>MRS!H357</f>
        <v>0</v>
      </c>
      <c r="I357" s="96">
        <f>MRS!I357</f>
        <v>0</v>
      </c>
      <c r="J357" s="96">
        <f>MRS!J357</f>
        <v>0</v>
      </c>
      <c r="K357" s="97"/>
      <c r="O357" s="98"/>
      <c r="P357" s="98"/>
      <c r="R357" s="98"/>
    </row>
    <row r="358" spans="1:18" ht="105" customHeight="1">
      <c r="A358" s="21">
        <f>+MRS!A358</f>
        <v>0</v>
      </c>
      <c r="B358" s="182">
        <f>MRS!B358</f>
        <v>0</v>
      </c>
      <c r="C358" s="183"/>
      <c r="D358" s="184">
        <f>MRS!D358</f>
        <v>0</v>
      </c>
      <c r="E358" s="185"/>
      <c r="F358" s="186"/>
      <c r="G358" s="95">
        <f>MRS!G358</f>
        <v>0</v>
      </c>
      <c r="H358" s="95">
        <f>MRS!H358</f>
        <v>0</v>
      </c>
      <c r="I358" s="96">
        <f>MRS!I358</f>
        <v>0</v>
      </c>
      <c r="J358" s="96">
        <f>MRS!J358</f>
        <v>0</v>
      </c>
      <c r="K358" s="97"/>
      <c r="O358" s="98"/>
      <c r="P358" s="98"/>
      <c r="R358" s="98"/>
    </row>
    <row r="359" spans="1:18" ht="105" customHeight="1">
      <c r="A359" s="21">
        <f>+MRS!A359</f>
        <v>0</v>
      </c>
      <c r="B359" s="182">
        <f>MRS!B359</f>
        <v>0</v>
      </c>
      <c r="C359" s="183"/>
      <c r="D359" s="184">
        <f>MRS!D359</f>
        <v>0</v>
      </c>
      <c r="E359" s="185"/>
      <c r="F359" s="186"/>
      <c r="G359" s="95">
        <f>MRS!G359</f>
        <v>0</v>
      </c>
      <c r="H359" s="95">
        <f>MRS!H359</f>
        <v>0</v>
      </c>
      <c r="I359" s="96">
        <f>MRS!I359</f>
        <v>0</v>
      </c>
      <c r="J359" s="96">
        <f>MRS!J359</f>
        <v>0</v>
      </c>
      <c r="K359" s="97"/>
      <c r="O359" s="98"/>
      <c r="P359" s="98"/>
      <c r="R359" s="98"/>
    </row>
    <row r="360" spans="1:18" ht="105" customHeight="1">
      <c r="A360" s="21">
        <f>+MRS!A360</f>
        <v>0</v>
      </c>
      <c r="B360" s="182">
        <f>MRS!B360</f>
        <v>0</v>
      </c>
      <c r="C360" s="183"/>
      <c r="D360" s="184">
        <f>MRS!D360</f>
        <v>0</v>
      </c>
      <c r="E360" s="185"/>
      <c r="F360" s="186"/>
      <c r="G360" s="95">
        <f>MRS!G360</f>
        <v>0</v>
      </c>
      <c r="H360" s="95">
        <f>MRS!H360</f>
        <v>0</v>
      </c>
      <c r="I360" s="96">
        <f>MRS!I360</f>
        <v>0</v>
      </c>
      <c r="J360" s="96">
        <f>MRS!J360</f>
        <v>0</v>
      </c>
      <c r="K360" s="97"/>
      <c r="O360" s="98"/>
      <c r="P360" s="98"/>
      <c r="R360" s="98"/>
    </row>
    <row r="361" spans="1:18" ht="105" customHeight="1">
      <c r="A361" s="21">
        <f>+MRS!A361</f>
        <v>0</v>
      </c>
      <c r="B361" s="182">
        <f>MRS!B361</f>
        <v>0</v>
      </c>
      <c r="C361" s="183"/>
      <c r="D361" s="184">
        <f>MRS!D361</f>
        <v>0</v>
      </c>
      <c r="E361" s="185"/>
      <c r="F361" s="186"/>
      <c r="G361" s="95">
        <f>MRS!G361</f>
        <v>0</v>
      </c>
      <c r="H361" s="95">
        <f>MRS!H361</f>
        <v>0</v>
      </c>
      <c r="I361" s="96">
        <f>MRS!I361</f>
        <v>0</v>
      </c>
      <c r="J361" s="96">
        <f>MRS!J361</f>
        <v>0</v>
      </c>
      <c r="K361" s="97"/>
      <c r="O361" s="98"/>
      <c r="P361" s="98"/>
      <c r="R361" s="98"/>
    </row>
    <row r="362" spans="1:18" ht="105" customHeight="1">
      <c r="A362" s="21">
        <f>+MRS!A362</f>
        <v>0</v>
      </c>
      <c r="B362" s="182">
        <f>MRS!B362</f>
        <v>0</v>
      </c>
      <c r="C362" s="183"/>
      <c r="D362" s="184">
        <f>MRS!D362</f>
        <v>0</v>
      </c>
      <c r="E362" s="185"/>
      <c r="F362" s="186"/>
      <c r="G362" s="95">
        <f>MRS!G362</f>
        <v>0</v>
      </c>
      <c r="H362" s="95">
        <f>MRS!H362</f>
        <v>0</v>
      </c>
      <c r="I362" s="96">
        <f>MRS!I362</f>
        <v>0</v>
      </c>
      <c r="J362" s="96">
        <f>MRS!J362</f>
        <v>0</v>
      </c>
      <c r="K362" s="97"/>
      <c r="O362" s="98"/>
      <c r="P362" s="98"/>
      <c r="R362" s="98"/>
    </row>
    <row r="363" spans="1:18" ht="105" customHeight="1">
      <c r="A363" s="21">
        <f>+MRS!A363</f>
        <v>0</v>
      </c>
      <c r="B363" s="182">
        <f>MRS!B363</f>
        <v>0</v>
      </c>
      <c r="C363" s="183"/>
      <c r="D363" s="184">
        <f>MRS!D363</f>
        <v>0</v>
      </c>
      <c r="E363" s="185"/>
      <c r="F363" s="186"/>
      <c r="G363" s="95">
        <f>MRS!G363</f>
        <v>0</v>
      </c>
      <c r="H363" s="95">
        <f>MRS!H363</f>
        <v>0</v>
      </c>
      <c r="I363" s="96">
        <f>MRS!I363</f>
        <v>0</v>
      </c>
      <c r="J363" s="96">
        <f>MRS!J363</f>
        <v>0</v>
      </c>
      <c r="K363" s="97"/>
      <c r="O363" s="98"/>
      <c r="P363" s="98"/>
      <c r="R363" s="98"/>
    </row>
    <row r="364" spans="1:18" ht="105" customHeight="1">
      <c r="A364" s="21">
        <f>+MRS!A364</f>
        <v>0</v>
      </c>
      <c r="B364" s="182">
        <f>MRS!B364</f>
        <v>0</v>
      </c>
      <c r="C364" s="183"/>
      <c r="D364" s="184">
        <f>MRS!D364</f>
        <v>0</v>
      </c>
      <c r="E364" s="185"/>
      <c r="F364" s="186"/>
      <c r="G364" s="95">
        <f>MRS!G364</f>
        <v>0</v>
      </c>
      <c r="H364" s="95">
        <f>MRS!H364</f>
        <v>0</v>
      </c>
      <c r="I364" s="96">
        <f>MRS!I364</f>
        <v>0</v>
      </c>
      <c r="J364" s="96">
        <f>MRS!J364</f>
        <v>0</v>
      </c>
      <c r="K364" s="97"/>
      <c r="O364" s="98"/>
      <c r="P364" s="98"/>
      <c r="R364" s="98"/>
    </row>
    <row r="365" spans="1:18" ht="105" customHeight="1">
      <c r="A365" s="21">
        <f>+MRS!A365</f>
        <v>0</v>
      </c>
      <c r="B365" s="182">
        <f>MRS!B365</f>
        <v>0</v>
      </c>
      <c r="C365" s="183"/>
      <c r="D365" s="184">
        <f>MRS!D365</f>
        <v>0</v>
      </c>
      <c r="E365" s="185"/>
      <c r="F365" s="186"/>
      <c r="G365" s="95">
        <f>MRS!G365</f>
        <v>0</v>
      </c>
      <c r="H365" s="95">
        <f>MRS!H365</f>
        <v>0</v>
      </c>
      <c r="I365" s="96">
        <f>MRS!I365</f>
        <v>0</v>
      </c>
      <c r="J365" s="96">
        <f>MRS!J365</f>
        <v>0</v>
      </c>
      <c r="K365" s="97"/>
      <c r="O365" s="98"/>
      <c r="P365" s="98"/>
      <c r="R365" s="98"/>
    </row>
    <row r="366" spans="1:18" ht="105" customHeight="1">
      <c r="A366" s="21">
        <f>+MRS!A366</f>
        <v>0</v>
      </c>
      <c r="B366" s="182">
        <f>MRS!B366</f>
        <v>0</v>
      </c>
      <c r="C366" s="183"/>
      <c r="D366" s="184">
        <f>MRS!D366</f>
        <v>0</v>
      </c>
      <c r="E366" s="185"/>
      <c r="F366" s="186"/>
      <c r="G366" s="95">
        <f>MRS!G366</f>
        <v>0</v>
      </c>
      <c r="H366" s="95">
        <f>MRS!H366</f>
        <v>0</v>
      </c>
      <c r="I366" s="96">
        <f>MRS!I366</f>
        <v>0</v>
      </c>
      <c r="J366" s="96">
        <f>MRS!J366</f>
        <v>0</v>
      </c>
      <c r="K366" s="97"/>
      <c r="O366" s="98"/>
      <c r="P366" s="98"/>
      <c r="R366" s="98"/>
    </row>
    <row r="367" spans="1:18" ht="105" customHeight="1">
      <c r="A367" s="21">
        <f>+MRS!A367</f>
        <v>0</v>
      </c>
      <c r="B367" s="182">
        <f>MRS!B367</f>
        <v>0</v>
      </c>
      <c r="C367" s="183"/>
      <c r="D367" s="184">
        <f>MRS!D367</f>
        <v>0</v>
      </c>
      <c r="E367" s="185"/>
      <c r="F367" s="186"/>
      <c r="G367" s="95">
        <f>MRS!G367</f>
        <v>0</v>
      </c>
      <c r="H367" s="95">
        <f>MRS!H367</f>
        <v>0</v>
      </c>
      <c r="I367" s="96">
        <f>MRS!I367</f>
        <v>0</v>
      </c>
      <c r="J367" s="96">
        <f>MRS!J367</f>
        <v>0</v>
      </c>
      <c r="K367" s="97"/>
      <c r="O367" s="98"/>
      <c r="P367" s="98"/>
      <c r="R367" s="98"/>
    </row>
    <row r="368" spans="1:18" ht="105" customHeight="1">
      <c r="A368" s="21">
        <f>+MRS!A368</f>
        <v>0</v>
      </c>
      <c r="B368" s="182">
        <f>MRS!B368</f>
        <v>0</v>
      </c>
      <c r="C368" s="183"/>
      <c r="D368" s="184">
        <f>MRS!D368</f>
        <v>0</v>
      </c>
      <c r="E368" s="185"/>
      <c r="F368" s="186"/>
      <c r="G368" s="95">
        <f>MRS!G368</f>
        <v>0</v>
      </c>
      <c r="H368" s="95">
        <f>MRS!H368</f>
        <v>0</v>
      </c>
      <c r="I368" s="96">
        <f>MRS!I368</f>
        <v>0</v>
      </c>
      <c r="J368" s="96">
        <f>MRS!J368</f>
        <v>0</v>
      </c>
      <c r="K368" s="97"/>
      <c r="O368" s="98"/>
      <c r="P368" s="98"/>
      <c r="R368" s="98"/>
    </row>
    <row r="369" spans="1:18" ht="105" customHeight="1">
      <c r="A369" s="21">
        <f>+MRS!A369</f>
        <v>0</v>
      </c>
      <c r="B369" s="182">
        <f>MRS!B369</f>
        <v>0</v>
      </c>
      <c r="C369" s="183"/>
      <c r="D369" s="184">
        <f>MRS!D369</f>
        <v>0</v>
      </c>
      <c r="E369" s="185"/>
      <c r="F369" s="186"/>
      <c r="G369" s="95">
        <f>MRS!G369</f>
        <v>0</v>
      </c>
      <c r="H369" s="95">
        <f>MRS!H369</f>
        <v>0</v>
      </c>
      <c r="I369" s="96">
        <f>MRS!I369</f>
        <v>0</v>
      </c>
      <c r="J369" s="96">
        <f>MRS!J369</f>
        <v>0</v>
      </c>
      <c r="K369" s="97"/>
      <c r="O369" s="98"/>
      <c r="P369" s="98"/>
      <c r="R369" s="98"/>
    </row>
    <row r="370" spans="1:18" ht="105" customHeight="1">
      <c r="A370" s="21">
        <f>+MRS!A370</f>
        <v>0</v>
      </c>
      <c r="B370" s="182">
        <f>MRS!B370</f>
        <v>0</v>
      </c>
      <c r="C370" s="183"/>
      <c r="D370" s="184">
        <f>MRS!D370</f>
        <v>0</v>
      </c>
      <c r="E370" s="185"/>
      <c r="F370" s="186"/>
      <c r="G370" s="95">
        <f>MRS!G370</f>
        <v>0</v>
      </c>
      <c r="H370" s="95">
        <f>MRS!H370</f>
        <v>0</v>
      </c>
      <c r="I370" s="96">
        <f>MRS!I370</f>
        <v>0</v>
      </c>
      <c r="J370" s="96">
        <f>MRS!J370</f>
        <v>0</v>
      </c>
      <c r="K370" s="97"/>
      <c r="O370" s="98"/>
      <c r="P370" s="98"/>
      <c r="R370" s="98"/>
    </row>
    <row r="371" spans="1:18" ht="105" customHeight="1">
      <c r="A371" s="21">
        <f>+MRS!A371</f>
        <v>0</v>
      </c>
      <c r="B371" s="182">
        <f>MRS!B371</f>
        <v>0</v>
      </c>
      <c r="C371" s="183"/>
      <c r="D371" s="184">
        <f>MRS!D371</f>
        <v>0</v>
      </c>
      <c r="E371" s="185"/>
      <c r="F371" s="186"/>
      <c r="G371" s="95">
        <f>MRS!G371</f>
        <v>0</v>
      </c>
      <c r="H371" s="95">
        <f>MRS!H371</f>
        <v>0</v>
      </c>
      <c r="I371" s="96">
        <f>MRS!I371</f>
        <v>0</v>
      </c>
      <c r="J371" s="96">
        <f>MRS!J371</f>
        <v>0</v>
      </c>
      <c r="K371" s="97"/>
      <c r="O371" s="98"/>
      <c r="P371" s="98"/>
      <c r="R371" s="98"/>
    </row>
    <row r="372" spans="1:18" ht="105" customHeight="1">
      <c r="A372" s="21">
        <f>+MRS!A372</f>
        <v>0</v>
      </c>
      <c r="B372" s="182">
        <f>MRS!B372</f>
        <v>0</v>
      </c>
      <c r="C372" s="183"/>
      <c r="D372" s="184">
        <f>MRS!D372</f>
        <v>0</v>
      </c>
      <c r="E372" s="185"/>
      <c r="F372" s="186"/>
      <c r="G372" s="95">
        <f>MRS!G372</f>
        <v>0</v>
      </c>
      <c r="H372" s="95">
        <f>MRS!H372</f>
        <v>0</v>
      </c>
      <c r="I372" s="96">
        <f>MRS!I372</f>
        <v>0</v>
      </c>
      <c r="J372" s="96">
        <f>MRS!J372</f>
        <v>0</v>
      </c>
      <c r="K372" s="97"/>
      <c r="O372" s="98"/>
      <c r="P372" s="98"/>
      <c r="R372" s="98"/>
    </row>
    <row r="373" spans="1:18" ht="105" customHeight="1">
      <c r="A373" s="21">
        <f>+MRS!A373</f>
        <v>0</v>
      </c>
      <c r="B373" s="182">
        <f>MRS!B373</f>
        <v>0</v>
      </c>
      <c r="C373" s="183"/>
      <c r="D373" s="184">
        <f>MRS!D373</f>
        <v>0</v>
      </c>
      <c r="E373" s="185"/>
      <c r="F373" s="186"/>
      <c r="G373" s="95">
        <f>MRS!G373</f>
        <v>0</v>
      </c>
      <c r="H373" s="95">
        <f>MRS!H373</f>
        <v>0</v>
      </c>
      <c r="I373" s="96">
        <f>MRS!I373</f>
        <v>0</v>
      </c>
      <c r="J373" s="96">
        <f>MRS!J373</f>
        <v>0</v>
      </c>
      <c r="K373" s="97"/>
      <c r="O373" s="98"/>
      <c r="P373" s="98"/>
      <c r="R373" s="98"/>
    </row>
    <row r="374" spans="1:18" ht="105" customHeight="1">
      <c r="A374" s="21">
        <f>+MRS!A374</f>
        <v>0</v>
      </c>
      <c r="B374" s="182">
        <f>MRS!B374</f>
        <v>0</v>
      </c>
      <c r="C374" s="183"/>
      <c r="D374" s="184">
        <f>MRS!D374</f>
        <v>0</v>
      </c>
      <c r="E374" s="185"/>
      <c r="F374" s="186"/>
      <c r="G374" s="95">
        <f>MRS!G374</f>
        <v>0</v>
      </c>
      <c r="H374" s="95">
        <f>MRS!H374</f>
        <v>0</v>
      </c>
      <c r="I374" s="96">
        <f>MRS!I374</f>
        <v>0</v>
      </c>
      <c r="J374" s="96">
        <f>MRS!J374</f>
        <v>0</v>
      </c>
      <c r="K374" s="97"/>
      <c r="O374" s="98"/>
      <c r="P374" s="98"/>
      <c r="R374" s="98"/>
    </row>
    <row r="375" spans="1:18" ht="105" customHeight="1">
      <c r="A375" s="21">
        <f>+MRS!A375</f>
        <v>0</v>
      </c>
      <c r="B375" s="182">
        <f>MRS!B375</f>
        <v>0</v>
      </c>
      <c r="C375" s="183"/>
      <c r="D375" s="184">
        <f>MRS!D375</f>
        <v>0</v>
      </c>
      <c r="E375" s="185"/>
      <c r="F375" s="186"/>
      <c r="G375" s="95">
        <f>MRS!G375</f>
        <v>0</v>
      </c>
      <c r="H375" s="95">
        <f>MRS!H375</f>
        <v>0</v>
      </c>
      <c r="I375" s="96">
        <f>MRS!I375</f>
        <v>0</v>
      </c>
      <c r="J375" s="96">
        <f>MRS!J375</f>
        <v>0</v>
      </c>
      <c r="K375" s="97"/>
      <c r="O375" s="98"/>
      <c r="P375" s="98"/>
      <c r="R375" s="98"/>
    </row>
    <row r="376" spans="1:18" ht="105" customHeight="1">
      <c r="A376" s="21">
        <f>+MRS!A376</f>
        <v>0</v>
      </c>
      <c r="B376" s="182">
        <f>MRS!B376</f>
        <v>0</v>
      </c>
      <c r="C376" s="183"/>
      <c r="D376" s="184">
        <f>MRS!D376</f>
        <v>0</v>
      </c>
      <c r="E376" s="185"/>
      <c r="F376" s="186"/>
      <c r="G376" s="95">
        <f>MRS!G376</f>
        <v>0</v>
      </c>
      <c r="H376" s="95">
        <f>MRS!H376</f>
        <v>0</v>
      </c>
      <c r="I376" s="96">
        <f>MRS!I376</f>
        <v>0</v>
      </c>
      <c r="J376" s="96">
        <f>MRS!J376</f>
        <v>0</v>
      </c>
      <c r="K376" s="97"/>
      <c r="O376" s="98"/>
      <c r="P376" s="98"/>
      <c r="R376" s="98"/>
    </row>
    <row r="377" spans="1:18" ht="105" customHeight="1">
      <c r="A377" s="21">
        <f>+MRS!A377</f>
        <v>0</v>
      </c>
      <c r="B377" s="182">
        <f>MRS!B377</f>
        <v>0</v>
      </c>
      <c r="C377" s="183"/>
      <c r="D377" s="184">
        <f>MRS!D377</f>
        <v>0</v>
      </c>
      <c r="E377" s="185"/>
      <c r="F377" s="186"/>
      <c r="G377" s="95">
        <f>MRS!G377</f>
        <v>0</v>
      </c>
      <c r="H377" s="95">
        <f>MRS!H377</f>
        <v>0</v>
      </c>
      <c r="I377" s="96">
        <f>MRS!I377</f>
        <v>0</v>
      </c>
      <c r="J377" s="96">
        <f>MRS!J377</f>
        <v>0</v>
      </c>
      <c r="K377" s="97"/>
      <c r="O377" s="98"/>
      <c r="P377" s="98"/>
      <c r="R377" s="98"/>
    </row>
    <row r="378" spans="1:18" ht="105" customHeight="1">
      <c r="A378" s="21">
        <f>+MRS!A378</f>
        <v>0</v>
      </c>
      <c r="B378" s="182">
        <f>MRS!B378</f>
        <v>0</v>
      </c>
      <c r="C378" s="183"/>
      <c r="D378" s="184">
        <f>MRS!D378</f>
        <v>0</v>
      </c>
      <c r="E378" s="185"/>
      <c r="F378" s="186"/>
      <c r="G378" s="95">
        <f>MRS!G378</f>
        <v>0</v>
      </c>
      <c r="H378" s="95">
        <f>MRS!H378</f>
        <v>0</v>
      </c>
      <c r="I378" s="96">
        <f>MRS!I378</f>
        <v>0</v>
      </c>
      <c r="J378" s="96">
        <f>MRS!J378</f>
        <v>0</v>
      </c>
      <c r="K378" s="97"/>
      <c r="O378" s="98"/>
      <c r="P378" s="98"/>
      <c r="R378" s="98"/>
    </row>
    <row r="379" spans="1:18" ht="105" customHeight="1">
      <c r="A379" s="21">
        <f>+MRS!A379</f>
        <v>0</v>
      </c>
      <c r="B379" s="182">
        <f>MRS!B379</f>
        <v>0</v>
      </c>
      <c r="C379" s="183"/>
      <c r="D379" s="184">
        <f>MRS!D379</f>
        <v>0</v>
      </c>
      <c r="E379" s="185"/>
      <c r="F379" s="186"/>
      <c r="G379" s="95">
        <f>MRS!G379</f>
        <v>0</v>
      </c>
      <c r="H379" s="95">
        <f>MRS!H379</f>
        <v>0</v>
      </c>
      <c r="I379" s="96">
        <f>MRS!I379</f>
        <v>0</v>
      </c>
      <c r="J379" s="96">
        <f>MRS!J379</f>
        <v>0</v>
      </c>
      <c r="K379" s="97"/>
      <c r="O379" s="98"/>
      <c r="P379" s="98"/>
      <c r="R379" s="98"/>
    </row>
    <row r="380" spans="1:18" ht="105" customHeight="1">
      <c r="A380" s="21">
        <f>+MRS!A380</f>
        <v>0</v>
      </c>
      <c r="B380" s="182">
        <f>MRS!B380</f>
        <v>0</v>
      </c>
      <c r="C380" s="183"/>
      <c r="D380" s="184">
        <f>MRS!D380</f>
        <v>0</v>
      </c>
      <c r="E380" s="185"/>
      <c r="F380" s="186"/>
      <c r="G380" s="95">
        <f>MRS!G380</f>
        <v>0</v>
      </c>
      <c r="H380" s="95">
        <f>MRS!H380</f>
        <v>0</v>
      </c>
      <c r="I380" s="96">
        <f>MRS!I380</f>
        <v>0</v>
      </c>
      <c r="J380" s="96">
        <f>MRS!J380</f>
        <v>0</v>
      </c>
      <c r="K380" s="97"/>
      <c r="O380" s="98"/>
      <c r="P380" s="98"/>
      <c r="R380" s="98"/>
    </row>
    <row r="381" spans="1:18" ht="105" customHeight="1">
      <c r="A381" s="21">
        <f>+MRS!A381</f>
        <v>0</v>
      </c>
      <c r="B381" s="182">
        <f>MRS!B381</f>
        <v>0</v>
      </c>
      <c r="C381" s="183"/>
      <c r="D381" s="184">
        <f>MRS!D381</f>
        <v>0</v>
      </c>
      <c r="E381" s="185"/>
      <c r="F381" s="186"/>
      <c r="G381" s="95">
        <f>MRS!G381</f>
        <v>0</v>
      </c>
      <c r="H381" s="95">
        <f>MRS!H381</f>
        <v>0</v>
      </c>
      <c r="I381" s="96">
        <f>MRS!I381</f>
        <v>0</v>
      </c>
      <c r="J381" s="96">
        <f>MRS!J381</f>
        <v>0</v>
      </c>
      <c r="K381" s="97"/>
      <c r="O381" s="98"/>
      <c r="P381" s="98"/>
      <c r="R381" s="98"/>
    </row>
    <row r="382" spans="1:18" ht="105" customHeight="1">
      <c r="A382" s="21">
        <f>+MRS!A382</f>
        <v>0</v>
      </c>
      <c r="B382" s="182">
        <f>MRS!B382</f>
        <v>0</v>
      </c>
      <c r="C382" s="183"/>
      <c r="D382" s="184">
        <f>MRS!D382</f>
        <v>0</v>
      </c>
      <c r="E382" s="185"/>
      <c r="F382" s="186"/>
      <c r="G382" s="95">
        <f>MRS!G382</f>
        <v>0</v>
      </c>
      <c r="H382" s="95">
        <f>MRS!H382</f>
        <v>0</v>
      </c>
      <c r="I382" s="96">
        <f>MRS!I382</f>
        <v>0</v>
      </c>
      <c r="J382" s="96">
        <f>MRS!J382</f>
        <v>0</v>
      </c>
      <c r="K382" s="97"/>
      <c r="O382" s="98"/>
      <c r="P382" s="98"/>
      <c r="R382" s="98"/>
    </row>
    <row r="383" spans="1:18" ht="105" customHeight="1">
      <c r="A383" s="21">
        <f>+MRS!A383</f>
        <v>0</v>
      </c>
      <c r="B383" s="182">
        <f>MRS!B383</f>
        <v>0</v>
      </c>
      <c r="C383" s="183"/>
      <c r="D383" s="184">
        <f>MRS!D383</f>
        <v>0</v>
      </c>
      <c r="E383" s="185"/>
      <c r="F383" s="186"/>
      <c r="G383" s="95">
        <f>MRS!G383</f>
        <v>0</v>
      </c>
      <c r="H383" s="95">
        <f>MRS!H383</f>
        <v>0</v>
      </c>
      <c r="I383" s="96">
        <f>MRS!I383</f>
        <v>0</v>
      </c>
      <c r="J383" s="96">
        <f>MRS!J383</f>
        <v>0</v>
      </c>
      <c r="K383" s="97"/>
      <c r="O383" s="98"/>
      <c r="P383" s="98"/>
      <c r="R383" s="98"/>
    </row>
    <row r="384" spans="1:18" ht="105" customHeight="1">
      <c r="A384" s="21">
        <f>+MRS!A384</f>
        <v>0</v>
      </c>
      <c r="B384" s="182">
        <f>MRS!B384</f>
        <v>0</v>
      </c>
      <c r="C384" s="183"/>
      <c r="D384" s="184">
        <f>MRS!D384</f>
        <v>0</v>
      </c>
      <c r="E384" s="185"/>
      <c r="F384" s="186"/>
      <c r="G384" s="95">
        <f>MRS!G384</f>
        <v>0</v>
      </c>
      <c r="H384" s="95">
        <f>MRS!H384</f>
        <v>0</v>
      </c>
      <c r="I384" s="96">
        <f>MRS!I384</f>
        <v>0</v>
      </c>
      <c r="J384" s="96">
        <f>MRS!J384</f>
        <v>0</v>
      </c>
      <c r="K384" s="97"/>
      <c r="O384" s="98"/>
      <c r="P384" s="98"/>
      <c r="R384" s="98"/>
    </row>
    <row r="385" spans="1:18" ht="105" customHeight="1">
      <c r="A385" s="21">
        <f>+MRS!A385</f>
        <v>0</v>
      </c>
      <c r="B385" s="182">
        <f>MRS!B385</f>
        <v>0</v>
      </c>
      <c r="C385" s="183"/>
      <c r="D385" s="184">
        <f>MRS!D385</f>
        <v>0</v>
      </c>
      <c r="E385" s="185"/>
      <c r="F385" s="186"/>
      <c r="G385" s="95">
        <f>MRS!G385</f>
        <v>0</v>
      </c>
      <c r="H385" s="95">
        <f>MRS!H385</f>
        <v>0</v>
      </c>
      <c r="I385" s="96">
        <f>MRS!I385</f>
        <v>0</v>
      </c>
      <c r="J385" s="96">
        <f>MRS!J385</f>
        <v>0</v>
      </c>
      <c r="K385" s="97"/>
      <c r="O385" s="98"/>
      <c r="P385" s="98"/>
      <c r="R385" s="98"/>
    </row>
    <row r="386" spans="1:18" ht="105" customHeight="1">
      <c r="A386" s="21">
        <f>+MRS!A386</f>
        <v>0</v>
      </c>
      <c r="B386" s="182">
        <f>MRS!B386</f>
        <v>0</v>
      </c>
      <c r="C386" s="183"/>
      <c r="D386" s="184">
        <f>MRS!D386</f>
        <v>0</v>
      </c>
      <c r="E386" s="185"/>
      <c r="F386" s="186"/>
      <c r="G386" s="95">
        <f>MRS!G386</f>
        <v>0</v>
      </c>
      <c r="H386" s="95">
        <f>MRS!H386</f>
        <v>0</v>
      </c>
      <c r="I386" s="96">
        <f>MRS!I386</f>
        <v>0</v>
      </c>
      <c r="J386" s="96">
        <f>MRS!J386</f>
        <v>0</v>
      </c>
      <c r="K386" s="97"/>
      <c r="O386" s="98"/>
      <c r="P386" s="98"/>
      <c r="R386" s="98"/>
    </row>
    <row r="387" spans="1:18" ht="105" customHeight="1">
      <c r="A387" s="21">
        <f>+MRS!A387</f>
        <v>0</v>
      </c>
      <c r="B387" s="182">
        <f>MRS!B387</f>
        <v>0</v>
      </c>
      <c r="C387" s="183"/>
      <c r="D387" s="184">
        <f>MRS!D387</f>
        <v>0</v>
      </c>
      <c r="E387" s="185"/>
      <c r="F387" s="186"/>
      <c r="G387" s="95">
        <f>MRS!G387</f>
        <v>0</v>
      </c>
      <c r="H387" s="95">
        <f>MRS!H387</f>
        <v>0</v>
      </c>
      <c r="I387" s="96">
        <f>MRS!I387</f>
        <v>0</v>
      </c>
      <c r="J387" s="96">
        <f>MRS!J387</f>
        <v>0</v>
      </c>
      <c r="K387" s="97"/>
      <c r="O387" s="98"/>
      <c r="P387" s="98"/>
      <c r="R387" s="98"/>
    </row>
    <row r="388" spans="1:18" ht="105" customHeight="1">
      <c r="A388" s="21">
        <f>+MRS!A388</f>
        <v>0</v>
      </c>
      <c r="B388" s="182">
        <f>MRS!B388</f>
        <v>0</v>
      </c>
      <c r="C388" s="183"/>
      <c r="D388" s="184">
        <f>MRS!D388</f>
        <v>0</v>
      </c>
      <c r="E388" s="185"/>
      <c r="F388" s="186"/>
      <c r="G388" s="95">
        <f>MRS!G388</f>
        <v>0</v>
      </c>
      <c r="H388" s="95">
        <f>MRS!H388</f>
        <v>0</v>
      </c>
      <c r="I388" s="96">
        <f>MRS!I388</f>
        <v>0</v>
      </c>
      <c r="J388" s="96">
        <f>MRS!J388</f>
        <v>0</v>
      </c>
      <c r="K388" s="97"/>
      <c r="O388" s="98"/>
      <c r="P388" s="98"/>
      <c r="R388" s="98"/>
    </row>
    <row r="389" spans="1:18" ht="105" customHeight="1">
      <c r="A389" s="21">
        <f>+MRS!A389</f>
        <v>0</v>
      </c>
      <c r="B389" s="182">
        <f>MRS!B389</f>
        <v>0</v>
      </c>
      <c r="C389" s="183"/>
      <c r="D389" s="184">
        <f>MRS!D389</f>
        <v>0</v>
      </c>
      <c r="E389" s="185"/>
      <c r="F389" s="186"/>
      <c r="G389" s="95">
        <f>MRS!G389</f>
        <v>0</v>
      </c>
      <c r="H389" s="95">
        <f>MRS!H389</f>
        <v>0</v>
      </c>
      <c r="I389" s="96">
        <f>MRS!I389</f>
        <v>0</v>
      </c>
      <c r="J389" s="96">
        <f>MRS!J389</f>
        <v>0</v>
      </c>
      <c r="K389" s="97"/>
      <c r="O389" s="98"/>
      <c r="P389" s="98"/>
      <c r="R389" s="98"/>
    </row>
    <row r="390" spans="1:18" ht="105" customHeight="1">
      <c r="A390" s="21">
        <f>+MRS!A390</f>
        <v>0</v>
      </c>
      <c r="B390" s="182">
        <f>MRS!B390</f>
        <v>0</v>
      </c>
      <c r="C390" s="183"/>
      <c r="D390" s="184">
        <f>MRS!D390</f>
        <v>0</v>
      </c>
      <c r="E390" s="185"/>
      <c r="F390" s="186"/>
      <c r="G390" s="95">
        <f>MRS!G390</f>
        <v>0</v>
      </c>
      <c r="H390" s="95">
        <f>MRS!H390</f>
        <v>0</v>
      </c>
      <c r="I390" s="96">
        <f>MRS!I390</f>
        <v>0</v>
      </c>
      <c r="J390" s="96">
        <f>MRS!J390</f>
        <v>0</v>
      </c>
      <c r="K390" s="97"/>
      <c r="O390" s="98"/>
      <c r="P390" s="98"/>
      <c r="R390" s="98"/>
    </row>
    <row r="391" spans="1:18" ht="105" customHeight="1">
      <c r="A391" s="21">
        <f>+MRS!A391</f>
        <v>0</v>
      </c>
      <c r="B391" s="182">
        <f>MRS!B391</f>
        <v>0</v>
      </c>
      <c r="C391" s="183"/>
      <c r="D391" s="184">
        <f>MRS!D391</f>
        <v>0</v>
      </c>
      <c r="E391" s="185"/>
      <c r="F391" s="186"/>
      <c r="G391" s="95">
        <f>MRS!G391</f>
        <v>0</v>
      </c>
      <c r="H391" s="95">
        <f>MRS!H391</f>
        <v>0</v>
      </c>
      <c r="I391" s="96">
        <f>MRS!I391</f>
        <v>0</v>
      </c>
      <c r="J391" s="96">
        <f>MRS!J391</f>
        <v>0</v>
      </c>
      <c r="K391" s="97"/>
      <c r="O391" s="98"/>
      <c r="P391" s="98"/>
      <c r="R391" s="98"/>
    </row>
    <row r="392" spans="1:18" ht="105" customHeight="1">
      <c r="A392" s="21">
        <f>+MRS!A392</f>
        <v>0</v>
      </c>
      <c r="B392" s="182">
        <f>MRS!B392</f>
        <v>0</v>
      </c>
      <c r="C392" s="183"/>
      <c r="D392" s="184">
        <f>MRS!D392</f>
        <v>0</v>
      </c>
      <c r="E392" s="185"/>
      <c r="F392" s="186"/>
      <c r="G392" s="95">
        <f>MRS!G392</f>
        <v>0</v>
      </c>
      <c r="H392" s="95">
        <f>MRS!H392</f>
        <v>0</v>
      </c>
      <c r="I392" s="96">
        <f>MRS!I392</f>
        <v>0</v>
      </c>
      <c r="J392" s="96">
        <f>MRS!J392</f>
        <v>0</v>
      </c>
      <c r="K392" s="97"/>
      <c r="O392" s="98"/>
      <c r="P392" s="98"/>
      <c r="R392" s="98"/>
    </row>
    <row r="393" spans="1:18" ht="105" customHeight="1">
      <c r="A393" s="21">
        <f>+MRS!A393</f>
        <v>0</v>
      </c>
      <c r="B393" s="182">
        <f>MRS!B393</f>
        <v>0</v>
      </c>
      <c r="C393" s="183"/>
      <c r="D393" s="184">
        <f>MRS!D393</f>
        <v>0</v>
      </c>
      <c r="E393" s="185"/>
      <c r="F393" s="186"/>
      <c r="G393" s="95">
        <f>MRS!G393</f>
        <v>0</v>
      </c>
      <c r="H393" s="95">
        <f>MRS!H393</f>
        <v>0</v>
      </c>
      <c r="I393" s="96">
        <f>MRS!I393</f>
        <v>0</v>
      </c>
      <c r="J393" s="96">
        <f>MRS!J393</f>
        <v>0</v>
      </c>
      <c r="K393" s="97"/>
      <c r="O393" s="98"/>
      <c r="P393" s="98"/>
      <c r="R393" s="98"/>
    </row>
    <row r="394" spans="1:18" ht="105" customHeight="1">
      <c r="A394" s="21">
        <f>+MRS!A394</f>
        <v>0</v>
      </c>
      <c r="B394" s="182">
        <f>MRS!B394</f>
        <v>0</v>
      </c>
      <c r="C394" s="183"/>
      <c r="D394" s="184">
        <f>MRS!D394</f>
        <v>0</v>
      </c>
      <c r="E394" s="185"/>
      <c r="F394" s="186"/>
      <c r="G394" s="95">
        <f>MRS!G394</f>
        <v>0</v>
      </c>
      <c r="H394" s="95">
        <f>MRS!H394</f>
        <v>0</v>
      </c>
      <c r="I394" s="96">
        <f>MRS!I394</f>
        <v>0</v>
      </c>
      <c r="J394" s="96">
        <f>MRS!J394</f>
        <v>0</v>
      </c>
      <c r="K394" s="97"/>
      <c r="O394" s="98"/>
      <c r="P394" s="98"/>
      <c r="R394" s="98"/>
    </row>
    <row r="395" spans="1:18" ht="105" customHeight="1">
      <c r="A395" s="21">
        <f>+MRS!A395</f>
        <v>0</v>
      </c>
      <c r="B395" s="182">
        <f>MRS!B395</f>
        <v>0</v>
      </c>
      <c r="C395" s="183"/>
      <c r="D395" s="184">
        <f>MRS!D395</f>
        <v>0</v>
      </c>
      <c r="E395" s="185"/>
      <c r="F395" s="186"/>
      <c r="G395" s="95">
        <f>MRS!G395</f>
        <v>0</v>
      </c>
      <c r="H395" s="95">
        <f>MRS!H395</f>
        <v>0</v>
      </c>
      <c r="I395" s="96">
        <f>MRS!I395</f>
        <v>0</v>
      </c>
      <c r="J395" s="96">
        <f>MRS!J395</f>
        <v>0</v>
      </c>
      <c r="K395" s="97"/>
      <c r="O395" s="98"/>
      <c r="P395" s="98"/>
      <c r="R395" s="98"/>
    </row>
    <row r="396" spans="1:18" ht="105" customHeight="1">
      <c r="A396" s="21">
        <f>+MRS!A396</f>
        <v>0</v>
      </c>
      <c r="B396" s="182">
        <f>MRS!B396</f>
        <v>0</v>
      </c>
      <c r="C396" s="183"/>
      <c r="D396" s="184">
        <f>MRS!D396</f>
        <v>0</v>
      </c>
      <c r="E396" s="185"/>
      <c r="F396" s="186"/>
      <c r="G396" s="95">
        <f>MRS!G396</f>
        <v>0</v>
      </c>
      <c r="H396" s="95">
        <f>MRS!H396</f>
        <v>0</v>
      </c>
      <c r="I396" s="96">
        <f>MRS!I396</f>
        <v>0</v>
      </c>
      <c r="J396" s="96">
        <f>MRS!J396</f>
        <v>0</v>
      </c>
      <c r="K396" s="97"/>
      <c r="O396" s="98"/>
      <c r="P396" s="98"/>
      <c r="R396" s="98"/>
    </row>
    <row r="397" spans="1:18" ht="105" customHeight="1">
      <c r="A397" s="21">
        <f>+MRS!A397</f>
        <v>0</v>
      </c>
      <c r="B397" s="182">
        <f>MRS!B397</f>
        <v>0</v>
      </c>
      <c r="C397" s="183"/>
      <c r="D397" s="184">
        <f>MRS!D397</f>
        <v>0</v>
      </c>
      <c r="E397" s="185"/>
      <c r="F397" s="186"/>
      <c r="G397" s="95">
        <f>MRS!G397</f>
        <v>0</v>
      </c>
      <c r="H397" s="95">
        <f>MRS!H397</f>
        <v>0</v>
      </c>
      <c r="I397" s="96">
        <f>MRS!I397</f>
        <v>0</v>
      </c>
      <c r="J397" s="96">
        <f>MRS!J397</f>
        <v>0</v>
      </c>
      <c r="K397" s="97"/>
      <c r="O397" s="98"/>
      <c r="P397" s="98"/>
      <c r="R397" s="98"/>
    </row>
    <row r="398" spans="1:18" ht="105" customHeight="1">
      <c r="A398" s="21">
        <f>+MRS!A398</f>
        <v>0</v>
      </c>
      <c r="B398" s="182">
        <f>MRS!B398</f>
        <v>0</v>
      </c>
      <c r="C398" s="183"/>
      <c r="D398" s="184">
        <f>MRS!D398</f>
        <v>0</v>
      </c>
      <c r="E398" s="185"/>
      <c r="F398" s="186"/>
      <c r="G398" s="95">
        <f>MRS!G398</f>
        <v>0</v>
      </c>
      <c r="H398" s="95">
        <f>MRS!H398</f>
        <v>0</v>
      </c>
      <c r="I398" s="96">
        <f>MRS!I398</f>
        <v>0</v>
      </c>
      <c r="J398" s="96">
        <f>MRS!J398</f>
        <v>0</v>
      </c>
      <c r="K398" s="97"/>
      <c r="O398" s="98"/>
      <c r="P398" s="98"/>
      <c r="R398" s="98"/>
    </row>
    <row r="399" spans="1:18" ht="105" customHeight="1">
      <c r="A399" s="21">
        <f>+MRS!A399</f>
        <v>0</v>
      </c>
      <c r="B399" s="182">
        <f>MRS!B399</f>
        <v>0</v>
      </c>
      <c r="C399" s="183"/>
      <c r="D399" s="184">
        <f>MRS!D399</f>
        <v>0</v>
      </c>
      <c r="E399" s="185"/>
      <c r="F399" s="186"/>
      <c r="G399" s="95">
        <f>MRS!G399</f>
        <v>0</v>
      </c>
      <c r="H399" s="95">
        <f>MRS!H399</f>
        <v>0</v>
      </c>
      <c r="I399" s="96">
        <f>MRS!I399</f>
        <v>0</v>
      </c>
      <c r="J399" s="96">
        <f>MRS!J399</f>
        <v>0</v>
      </c>
      <c r="K399" s="97"/>
      <c r="O399" s="98"/>
      <c r="P399" s="98"/>
      <c r="R399" s="98"/>
    </row>
    <row r="400" spans="1:18" ht="105" customHeight="1">
      <c r="A400" s="21">
        <f>+MRS!A400</f>
        <v>0</v>
      </c>
      <c r="B400" s="182">
        <f>MRS!B400</f>
        <v>0</v>
      </c>
      <c r="C400" s="183"/>
      <c r="D400" s="184">
        <f>MRS!D400</f>
        <v>0</v>
      </c>
      <c r="E400" s="185"/>
      <c r="F400" s="186"/>
      <c r="G400" s="95">
        <f>MRS!G400</f>
        <v>0</v>
      </c>
      <c r="H400" s="95">
        <f>MRS!H400</f>
        <v>0</v>
      </c>
      <c r="I400" s="96">
        <f>MRS!I400</f>
        <v>0</v>
      </c>
      <c r="J400" s="96">
        <f>MRS!J400</f>
        <v>0</v>
      </c>
      <c r="K400" s="97"/>
      <c r="O400" s="98"/>
      <c r="P400" s="98"/>
      <c r="R400" s="98"/>
    </row>
    <row r="401" spans="1:18" ht="105" customHeight="1">
      <c r="A401" s="21">
        <f>+MRS!A401</f>
        <v>0</v>
      </c>
      <c r="B401" s="182">
        <f>MRS!B401</f>
        <v>0</v>
      </c>
      <c r="C401" s="183"/>
      <c r="D401" s="184">
        <f>MRS!D401</f>
        <v>0</v>
      </c>
      <c r="E401" s="185"/>
      <c r="F401" s="186"/>
      <c r="G401" s="95">
        <f>MRS!G401</f>
        <v>0</v>
      </c>
      <c r="H401" s="95">
        <f>MRS!H401</f>
        <v>0</v>
      </c>
      <c r="I401" s="96">
        <f>MRS!I401</f>
        <v>0</v>
      </c>
      <c r="J401" s="96">
        <f>MRS!J401</f>
        <v>0</v>
      </c>
      <c r="K401" s="97"/>
      <c r="O401" s="98"/>
      <c r="P401" s="98"/>
      <c r="R401" s="98"/>
    </row>
    <row r="402" spans="1:18" ht="105" customHeight="1">
      <c r="A402" s="21">
        <f>+MRS!A402</f>
        <v>0</v>
      </c>
      <c r="B402" s="182">
        <f>MRS!B402</f>
        <v>0</v>
      </c>
      <c r="C402" s="183"/>
      <c r="D402" s="184">
        <f>MRS!D402</f>
        <v>0</v>
      </c>
      <c r="E402" s="185"/>
      <c r="F402" s="186"/>
      <c r="G402" s="95">
        <f>MRS!G402</f>
        <v>0</v>
      </c>
      <c r="H402" s="95">
        <f>MRS!H402</f>
        <v>0</v>
      </c>
      <c r="I402" s="96">
        <f>MRS!I402</f>
        <v>0</v>
      </c>
      <c r="J402" s="96">
        <f>MRS!J402</f>
        <v>0</v>
      </c>
      <c r="K402" s="97"/>
      <c r="O402" s="98"/>
      <c r="P402" s="98"/>
      <c r="R402" s="98"/>
    </row>
    <row r="403" spans="1:18" ht="105" customHeight="1">
      <c r="A403" s="21">
        <f>+MRS!A403</f>
        <v>0</v>
      </c>
      <c r="B403" s="182">
        <f>MRS!B403</f>
        <v>0</v>
      </c>
      <c r="C403" s="183"/>
      <c r="D403" s="184">
        <f>MRS!D403</f>
        <v>0</v>
      </c>
      <c r="E403" s="185"/>
      <c r="F403" s="186"/>
      <c r="G403" s="95">
        <f>MRS!G403</f>
        <v>0</v>
      </c>
      <c r="H403" s="95">
        <f>MRS!H403</f>
        <v>0</v>
      </c>
      <c r="I403" s="96">
        <f>MRS!I403</f>
        <v>0</v>
      </c>
      <c r="J403" s="96">
        <f>MRS!J403</f>
        <v>0</v>
      </c>
      <c r="K403" s="97"/>
      <c r="O403" s="98"/>
      <c r="P403" s="98"/>
      <c r="R403" s="98"/>
    </row>
    <row r="404" spans="1:18" ht="105" customHeight="1">
      <c r="A404" s="21">
        <f>+MRS!A404</f>
        <v>0</v>
      </c>
      <c r="B404" s="182">
        <f>MRS!B404</f>
        <v>0</v>
      </c>
      <c r="C404" s="183"/>
      <c r="D404" s="184">
        <f>MRS!D404</f>
        <v>0</v>
      </c>
      <c r="E404" s="185"/>
      <c r="F404" s="186"/>
      <c r="G404" s="95">
        <f>MRS!G404</f>
        <v>0</v>
      </c>
      <c r="H404" s="95">
        <f>MRS!H404</f>
        <v>0</v>
      </c>
      <c r="I404" s="96">
        <f>MRS!I404</f>
        <v>0</v>
      </c>
      <c r="J404" s="96">
        <f>MRS!J404</f>
        <v>0</v>
      </c>
      <c r="K404" s="97"/>
      <c r="O404" s="98"/>
      <c r="P404" s="98"/>
      <c r="R404" s="98"/>
    </row>
    <row r="405" spans="1:18" ht="105" customHeight="1">
      <c r="A405" s="21">
        <f>+MRS!A405</f>
        <v>0</v>
      </c>
      <c r="B405" s="182">
        <f>MRS!B405</f>
        <v>0</v>
      </c>
      <c r="C405" s="183"/>
      <c r="D405" s="184">
        <f>MRS!D405</f>
        <v>0</v>
      </c>
      <c r="E405" s="185"/>
      <c r="F405" s="186"/>
      <c r="G405" s="95">
        <f>MRS!G405</f>
        <v>0</v>
      </c>
      <c r="H405" s="95">
        <f>MRS!H405</f>
        <v>0</v>
      </c>
      <c r="I405" s="96">
        <f>MRS!I405</f>
        <v>0</v>
      </c>
      <c r="J405" s="96">
        <f>MRS!J405</f>
        <v>0</v>
      </c>
      <c r="K405" s="97"/>
      <c r="O405" s="98"/>
      <c r="P405" s="98"/>
      <c r="R405" s="98"/>
    </row>
    <row r="406" spans="1:18" ht="105" customHeight="1">
      <c r="A406" s="21">
        <f>+MRS!A406</f>
        <v>0</v>
      </c>
      <c r="B406" s="182">
        <f>MRS!B406</f>
        <v>0</v>
      </c>
      <c r="C406" s="183"/>
      <c r="D406" s="184">
        <f>MRS!D406</f>
        <v>0</v>
      </c>
      <c r="E406" s="185"/>
      <c r="F406" s="186"/>
      <c r="G406" s="95">
        <f>MRS!G406</f>
        <v>0</v>
      </c>
      <c r="H406" s="95">
        <f>MRS!H406</f>
        <v>0</v>
      </c>
      <c r="I406" s="96">
        <f>MRS!I406</f>
        <v>0</v>
      </c>
      <c r="J406" s="96">
        <f>MRS!J406</f>
        <v>0</v>
      </c>
      <c r="K406" s="97"/>
      <c r="O406" s="98"/>
      <c r="P406" s="98"/>
      <c r="R406" s="98"/>
    </row>
    <row r="407" spans="1:18" ht="105" customHeight="1">
      <c r="A407" s="21">
        <f>+MRS!A407</f>
        <v>0</v>
      </c>
      <c r="B407" s="182">
        <f>MRS!B407</f>
        <v>0</v>
      </c>
      <c r="C407" s="183"/>
      <c r="D407" s="184">
        <f>MRS!D407</f>
        <v>0</v>
      </c>
      <c r="E407" s="185"/>
      <c r="F407" s="186"/>
      <c r="G407" s="95">
        <f>MRS!G407</f>
        <v>0</v>
      </c>
      <c r="H407" s="95">
        <f>MRS!H407</f>
        <v>0</v>
      </c>
      <c r="I407" s="96">
        <f>MRS!I407</f>
        <v>0</v>
      </c>
      <c r="J407" s="96">
        <f>MRS!J407</f>
        <v>0</v>
      </c>
      <c r="K407" s="97"/>
      <c r="O407" s="98"/>
      <c r="P407" s="98"/>
      <c r="R407" s="98"/>
    </row>
    <row r="408" spans="1:18" ht="105" customHeight="1">
      <c r="A408" s="21">
        <f>+MRS!A408</f>
        <v>0</v>
      </c>
      <c r="B408" s="182">
        <f>MRS!B408</f>
        <v>0</v>
      </c>
      <c r="C408" s="183"/>
      <c r="D408" s="184">
        <f>MRS!D408</f>
        <v>0</v>
      </c>
      <c r="E408" s="185"/>
      <c r="F408" s="186"/>
      <c r="G408" s="95">
        <f>MRS!G408</f>
        <v>0</v>
      </c>
      <c r="H408" s="95">
        <f>MRS!H408</f>
        <v>0</v>
      </c>
      <c r="I408" s="96">
        <f>MRS!I408</f>
        <v>0</v>
      </c>
      <c r="J408" s="96">
        <f>MRS!J408</f>
        <v>0</v>
      </c>
      <c r="K408" s="97"/>
      <c r="O408" s="98"/>
      <c r="P408" s="98"/>
      <c r="R408" s="98"/>
    </row>
    <row r="409" spans="1:18" ht="105" customHeight="1">
      <c r="A409" s="21">
        <f>+MRS!A409</f>
        <v>0</v>
      </c>
      <c r="B409" s="182">
        <f>MRS!B409</f>
        <v>0</v>
      </c>
      <c r="C409" s="183"/>
      <c r="D409" s="184">
        <f>MRS!D409</f>
        <v>0</v>
      </c>
      <c r="E409" s="185"/>
      <c r="F409" s="186"/>
      <c r="G409" s="95">
        <f>MRS!G409</f>
        <v>0</v>
      </c>
      <c r="H409" s="95">
        <f>MRS!H409</f>
        <v>0</v>
      </c>
      <c r="I409" s="96">
        <f>MRS!I409</f>
        <v>0</v>
      </c>
      <c r="J409" s="96">
        <f>MRS!J409</f>
        <v>0</v>
      </c>
      <c r="K409" s="97"/>
      <c r="O409" s="98"/>
      <c r="P409" s="98"/>
      <c r="R409" s="98"/>
    </row>
    <row r="410" spans="1:18" ht="105" customHeight="1">
      <c r="A410" s="21">
        <f>+MRS!A410</f>
        <v>0</v>
      </c>
      <c r="B410" s="182">
        <f>MRS!B410</f>
        <v>0</v>
      </c>
      <c r="C410" s="183"/>
      <c r="D410" s="184">
        <f>MRS!D410</f>
        <v>0</v>
      </c>
      <c r="E410" s="185"/>
      <c r="F410" s="186"/>
      <c r="G410" s="95">
        <f>MRS!G410</f>
        <v>0</v>
      </c>
      <c r="H410" s="95">
        <f>MRS!H410</f>
        <v>0</v>
      </c>
      <c r="I410" s="96">
        <f>MRS!I410</f>
        <v>0</v>
      </c>
      <c r="J410" s="96">
        <f>MRS!J410</f>
        <v>0</v>
      </c>
      <c r="K410" s="97"/>
      <c r="O410" s="98"/>
      <c r="P410" s="98"/>
      <c r="R410" s="98"/>
    </row>
    <row r="411" spans="1:18" ht="105" customHeight="1">
      <c r="A411" s="21">
        <f>+MRS!A411</f>
        <v>0</v>
      </c>
      <c r="B411" s="182">
        <f>MRS!B411</f>
        <v>0</v>
      </c>
      <c r="C411" s="183"/>
      <c r="D411" s="184">
        <f>MRS!D411</f>
        <v>0</v>
      </c>
      <c r="E411" s="185"/>
      <c r="F411" s="186"/>
      <c r="G411" s="95">
        <f>MRS!G411</f>
        <v>0</v>
      </c>
      <c r="H411" s="95">
        <f>MRS!H411</f>
        <v>0</v>
      </c>
      <c r="I411" s="96">
        <f>MRS!I411</f>
        <v>0</v>
      </c>
      <c r="J411" s="96">
        <f>MRS!J411</f>
        <v>0</v>
      </c>
      <c r="K411" s="97"/>
      <c r="O411" s="98"/>
      <c r="P411" s="98"/>
      <c r="R411" s="98"/>
    </row>
    <row r="412" spans="1:18" ht="105" customHeight="1">
      <c r="A412" s="21">
        <f>+MRS!A412</f>
        <v>0</v>
      </c>
      <c r="B412" s="182">
        <f>MRS!B412</f>
        <v>0</v>
      </c>
      <c r="C412" s="183"/>
      <c r="D412" s="184">
        <f>MRS!D412</f>
        <v>0</v>
      </c>
      <c r="E412" s="185"/>
      <c r="F412" s="186"/>
      <c r="G412" s="95">
        <f>MRS!G412</f>
        <v>0</v>
      </c>
      <c r="H412" s="95">
        <f>MRS!H412</f>
        <v>0</v>
      </c>
      <c r="I412" s="96">
        <f>MRS!I412</f>
        <v>0</v>
      </c>
      <c r="J412" s="96">
        <f>MRS!J412</f>
        <v>0</v>
      </c>
      <c r="K412" s="97"/>
      <c r="O412" s="98"/>
      <c r="P412" s="98"/>
      <c r="R412" s="98"/>
    </row>
    <row r="413" spans="1:18" ht="105" customHeight="1">
      <c r="A413" s="21">
        <f>+MRS!A413</f>
        <v>0</v>
      </c>
      <c r="B413" s="182">
        <f>MRS!B413</f>
        <v>0</v>
      </c>
      <c r="C413" s="183"/>
      <c r="D413" s="184">
        <f>MRS!D413</f>
        <v>0</v>
      </c>
      <c r="E413" s="185"/>
      <c r="F413" s="186"/>
      <c r="G413" s="95">
        <f>MRS!G413</f>
        <v>0</v>
      </c>
      <c r="H413" s="95">
        <f>MRS!H413</f>
        <v>0</v>
      </c>
      <c r="I413" s="96">
        <f>MRS!I413</f>
        <v>0</v>
      </c>
      <c r="J413" s="96">
        <f>MRS!J413</f>
        <v>0</v>
      </c>
      <c r="K413" s="97"/>
      <c r="O413" s="98"/>
      <c r="P413" s="98"/>
      <c r="R413" s="98"/>
    </row>
    <row r="414" spans="1:18" ht="105" customHeight="1">
      <c r="A414" s="21">
        <f>+MRS!A414</f>
        <v>0</v>
      </c>
      <c r="B414" s="182">
        <f>MRS!B414</f>
        <v>0</v>
      </c>
      <c r="C414" s="183"/>
      <c r="D414" s="184">
        <f>MRS!D414</f>
        <v>0</v>
      </c>
      <c r="E414" s="185"/>
      <c r="F414" s="186"/>
      <c r="G414" s="95">
        <f>MRS!G414</f>
        <v>0</v>
      </c>
      <c r="H414" s="95">
        <f>MRS!H414</f>
        <v>0</v>
      </c>
      <c r="I414" s="96">
        <f>MRS!I414</f>
        <v>0</v>
      </c>
      <c r="J414" s="96">
        <f>MRS!J414</f>
        <v>0</v>
      </c>
      <c r="K414" s="97"/>
      <c r="O414" s="98"/>
      <c r="P414" s="98"/>
      <c r="R414" s="98"/>
    </row>
    <row r="415" spans="1:18" ht="105" customHeight="1">
      <c r="A415" s="21">
        <f>+MRS!A415</f>
        <v>0</v>
      </c>
      <c r="B415" s="182">
        <f>MRS!B415</f>
        <v>0</v>
      </c>
      <c r="C415" s="183"/>
      <c r="D415" s="184">
        <f>MRS!D415</f>
        <v>0</v>
      </c>
      <c r="E415" s="185"/>
      <c r="F415" s="186"/>
      <c r="G415" s="95">
        <f>MRS!G415</f>
        <v>0</v>
      </c>
      <c r="H415" s="95">
        <f>MRS!H415</f>
        <v>0</v>
      </c>
      <c r="I415" s="96">
        <f>MRS!I415</f>
        <v>0</v>
      </c>
      <c r="J415" s="96">
        <f>MRS!J415</f>
        <v>0</v>
      </c>
      <c r="K415" s="97"/>
      <c r="O415" s="98"/>
      <c r="P415" s="98"/>
      <c r="R415" s="98"/>
    </row>
    <row r="416" spans="1:18" ht="105" customHeight="1">
      <c r="A416" s="21">
        <f>+MRS!A416</f>
        <v>0</v>
      </c>
      <c r="B416" s="182">
        <f>MRS!B416</f>
        <v>0</v>
      </c>
      <c r="C416" s="183"/>
      <c r="D416" s="184">
        <f>MRS!D416</f>
        <v>0</v>
      </c>
      <c r="E416" s="185"/>
      <c r="F416" s="186"/>
      <c r="G416" s="95">
        <f>MRS!G416</f>
        <v>0</v>
      </c>
      <c r="H416" s="95">
        <f>MRS!H416</f>
        <v>0</v>
      </c>
      <c r="I416" s="96">
        <f>MRS!I416</f>
        <v>0</v>
      </c>
      <c r="J416" s="96">
        <f>MRS!J416</f>
        <v>0</v>
      </c>
      <c r="K416" s="97"/>
      <c r="O416" s="98"/>
      <c r="P416" s="98"/>
      <c r="R416" s="98"/>
    </row>
    <row r="417" spans="1:18" ht="105" customHeight="1">
      <c r="A417" s="21">
        <f>+MRS!A417</f>
        <v>0</v>
      </c>
      <c r="B417" s="182">
        <f>MRS!B417</f>
        <v>0</v>
      </c>
      <c r="C417" s="183"/>
      <c r="D417" s="184">
        <f>MRS!D417</f>
        <v>0</v>
      </c>
      <c r="E417" s="185"/>
      <c r="F417" s="186"/>
      <c r="G417" s="95">
        <f>MRS!G417</f>
        <v>0</v>
      </c>
      <c r="H417" s="95">
        <f>MRS!H417</f>
        <v>0</v>
      </c>
      <c r="I417" s="96">
        <f>MRS!I417</f>
        <v>0</v>
      </c>
      <c r="J417" s="96">
        <f>MRS!J417</f>
        <v>0</v>
      </c>
      <c r="K417" s="97"/>
      <c r="O417" s="98"/>
      <c r="P417" s="98"/>
      <c r="R417" s="98"/>
    </row>
    <row r="418" spans="1:18" ht="105" customHeight="1">
      <c r="A418" s="21">
        <f>+MRS!A418</f>
        <v>0</v>
      </c>
      <c r="B418" s="182">
        <f>MRS!B418</f>
        <v>0</v>
      </c>
      <c r="C418" s="183"/>
      <c r="D418" s="184">
        <f>MRS!D418</f>
        <v>0</v>
      </c>
      <c r="E418" s="185"/>
      <c r="F418" s="186"/>
      <c r="G418" s="95">
        <f>MRS!G418</f>
        <v>0</v>
      </c>
      <c r="H418" s="95">
        <f>MRS!H418</f>
        <v>0</v>
      </c>
      <c r="I418" s="96">
        <f>MRS!I418</f>
        <v>0</v>
      </c>
      <c r="J418" s="96">
        <f>MRS!J418</f>
        <v>0</v>
      </c>
      <c r="K418" s="97"/>
      <c r="O418" s="98"/>
      <c r="P418" s="98"/>
      <c r="R418" s="98"/>
    </row>
  </sheetData>
  <mergeCells count="836">
    <mergeCell ref="B16:C16"/>
    <mergeCell ref="D16:F16"/>
    <mergeCell ref="B17:C17"/>
    <mergeCell ref="D17:F17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9:C29"/>
    <mergeCell ref="D29:F29"/>
    <mergeCell ref="B30:C30"/>
    <mergeCell ref="D30:F30"/>
    <mergeCell ref="B21:C21"/>
    <mergeCell ref="D21:F21"/>
    <mergeCell ref="B18:C18"/>
    <mergeCell ref="D18:F18"/>
    <mergeCell ref="B19:C19"/>
    <mergeCell ref="D19:F19"/>
    <mergeCell ref="B20:C20"/>
    <mergeCell ref="D20:F20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12:C112"/>
    <mergeCell ref="D112:F112"/>
    <mergeCell ref="B113:C113"/>
    <mergeCell ref="D113:F113"/>
    <mergeCell ref="B114:C114"/>
    <mergeCell ref="D114:F114"/>
    <mergeCell ref="B109:C109"/>
    <mergeCell ref="D109:F109"/>
    <mergeCell ref="B110:C110"/>
    <mergeCell ref="D110:F110"/>
    <mergeCell ref="B111:C111"/>
    <mergeCell ref="D111:F111"/>
    <mergeCell ref="B118:C118"/>
    <mergeCell ref="D118:F118"/>
    <mergeCell ref="B119:C119"/>
    <mergeCell ref="D119:F119"/>
    <mergeCell ref="B120:C120"/>
    <mergeCell ref="D120:F120"/>
    <mergeCell ref="B115:C115"/>
    <mergeCell ref="D115:F115"/>
    <mergeCell ref="B116:C116"/>
    <mergeCell ref="D116:F116"/>
    <mergeCell ref="B117:C117"/>
    <mergeCell ref="D117:F117"/>
    <mergeCell ref="B124:C124"/>
    <mergeCell ref="D124:F124"/>
    <mergeCell ref="B125:C125"/>
    <mergeCell ref="D125:F125"/>
    <mergeCell ref="B126:C126"/>
    <mergeCell ref="D126:F126"/>
    <mergeCell ref="B121:C121"/>
    <mergeCell ref="D121:F121"/>
    <mergeCell ref="B122:C122"/>
    <mergeCell ref="D122:F122"/>
    <mergeCell ref="B123:C123"/>
    <mergeCell ref="D123:F123"/>
    <mergeCell ref="B130:C130"/>
    <mergeCell ref="D130:F130"/>
    <mergeCell ref="B131:C131"/>
    <mergeCell ref="D131:F131"/>
    <mergeCell ref="B132:C132"/>
    <mergeCell ref="D132:F132"/>
    <mergeCell ref="B127:C127"/>
    <mergeCell ref="D127:F127"/>
    <mergeCell ref="B128:C128"/>
    <mergeCell ref="D128:F128"/>
    <mergeCell ref="B129:C129"/>
    <mergeCell ref="D129:F129"/>
    <mergeCell ref="B136:C136"/>
    <mergeCell ref="D136:F136"/>
    <mergeCell ref="B137:C137"/>
    <mergeCell ref="D137:F137"/>
    <mergeCell ref="B138:C138"/>
    <mergeCell ref="D138:F138"/>
    <mergeCell ref="B133:C133"/>
    <mergeCell ref="D133:F133"/>
    <mergeCell ref="B134:C134"/>
    <mergeCell ref="D134:F134"/>
    <mergeCell ref="B135:C135"/>
    <mergeCell ref="D135:F135"/>
    <mergeCell ref="B142:C142"/>
    <mergeCell ref="D142:F142"/>
    <mergeCell ref="B143:C143"/>
    <mergeCell ref="D143:F143"/>
    <mergeCell ref="B144:C144"/>
    <mergeCell ref="D144:F144"/>
    <mergeCell ref="B139:C139"/>
    <mergeCell ref="D139:F139"/>
    <mergeCell ref="B140:C140"/>
    <mergeCell ref="D140:F140"/>
    <mergeCell ref="B141:C141"/>
    <mergeCell ref="D141:F141"/>
    <mergeCell ref="B148:C148"/>
    <mergeCell ref="D148:F148"/>
    <mergeCell ref="B149:C149"/>
    <mergeCell ref="D149:F149"/>
    <mergeCell ref="B150:C150"/>
    <mergeCell ref="D150:F150"/>
    <mergeCell ref="B145:C145"/>
    <mergeCell ref="D145:F145"/>
    <mergeCell ref="B146:C146"/>
    <mergeCell ref="D146:F146"/>
    <mergeCell ref="B147:C147"/>
    <mergeCell ref="D147:F147"/>
    <mergeCell ref="B154:C154"/>
    <mergeCell ref="D154:F154"/>
    <mergeCell ref="B155:C155"/>
    <mergeCell ref="D155:F155"/>
    <mergeCell ref="B156:C156"/>
    <mergeCell ref="D156:F156"/>
    <mergeCell ref="B151:C151"/>
    <mergeCell ref="D151:F151"/>
    <mergeCell ref="B152:C152"/>
    <mergeCell ref="D152:F152"/>
    <mergeCell ref="B153:C153"/>
    <mergeCell ref="D153:F153"/>
    <mergeCell ref="B160:C160"/>
    <mergeCell ref="D160:F160"/>
    <mergeCell ref="B161:C161"/>
    <mergeCell ref="D161:F161"/>
    <mergeCell ref="B162:C162"/>
    <mergeCell ref="D162:F162"/>
    <mergeCell ref="B157:C157"/>
    <mergeCell ref="D157:F157"/>
    <mergeCell ref="B158:C158"/>
    <mergeCell ref="D158:F158"/>
    <mergeCell ref="B159:C159"/>
    <mergeCell ref="D159:F159"/>
    <mergeCell ref="B166:C166"/>
    <mergeCell ref="D166:F166"/>
    <mergeCell ref="B167:C167"/>
    <mergeCell ref="D167:F167"/>
    <mergeCell ref="B168:C168"/>
    <mergeCell ref="D168:F168"/>
    <mergeCell ref="B163:C163"/>
    <mergeCell ref="D163:F163"/>
    <mergeCell ref="B164:C164"/>
    <mergeCell ref="D164:F164"/>
    <mergeCell ref="B165:C165"/>
    <mergeCell ref="D165:F165"/>
    <mergeCell ref="B172:C172"/>
    <mergeCell ref="D172:F172"/>
    <mergeCell ref="B173:C173"/>
    <mergeCell ref="D173:F173"/>
    <mergeCell ref="B174:C174"/>
    <mergeCell ref="D174:F174"/>
    <mergeCell ref="B169:C169"/>
    <mergeCell ref="D169:F169"/>
    <mergeCell ref="B170:C170"/>
    <mergeCell ref="D170:F170"/>
    <mergeCell ref="B171:C171"/>
    <mergeCell ref="D171:F171"/>
    <mergeCell ref="B178:C178"/>
    <mergeCell ref="D178:F178"/>
    <mergeCell ref="B179:C179"/>
    <mergeCell ref="D179:F179"/>
    <mergeCell ref="B180:C180"/>
    <mergeCell ref="D180:F180"/>
    <mergeCell ref="B175:C175"/>
    <mergeCell ref="D175:F175"/>
    <mergeCell ref="B176:C176"/>
    <mergeCell ref="D176:F176"/>
    <mergeCell ref="B177:C177"/>
    <mergeCell ref="D177:F177"/>
    <mergeCell ref="B184:C184"/>
    <mergeCell ref="D184:F184"/>
    <mergeCell ref="B185:C185"/>
    <mergeCell ref="D185:F185"/>
    <mergeCell ref="B186:C186"/>
    <mergeCell ref="D186:F186"/>
    <mergeCell ref="B181:C181"/>
    <mergeCell ref="D181:F181"/>
    <mergeCell ref="B182:C182"/>
    <mergeCell ref="D182:F182"/>
    <mergeCell ref="B183:C183"/>
    <mergeCell ref="D183:F183"/>
    <mergeCell ref="B190:C190"/>
    <mergeCell ref="D190:F190"/>
    <mergeCell ref="B191:C191"/>
    <mergeCell ref="D191:F191"/>
    <mergeCell ref="B192:C192"/>
    <mergeCell ref="D192:F192"/>
    <mergeCell ref="B187:C187"/>
    <mergeCell ref="D187:F187"/>
    <mergeCell ref="B188:C188"/>
    <mergeCell ref="D188:F188"/>
    <mergeCell ref="B189:C189"/>
    <mergeCell ref="D189:F189"/>
    <mergeCell ref="B196:C196"/>
    <mergeCell ref="D196:F196"/>
    <mergeCell ref="B197:C197"/>
    <mergeCell ref="D197:F197"/>
    <mergeCell ref="B198:C198"/>
    <mergeCell ref="D198:F198"/>
    <mergeCell ref="B193:C193"/>
    <mergeCell ref="D193:F193"/>
    <mergeCell ref="B194:C194"/>
    <mergeCell ref="D194:F194"/>
    <mergeCell ref="B195:C195"/>
    <mergeCell ref="D195:F195"/>
    <mergeCell ref="B202:C202"/>
    <mergeCell ref="D202:F202"/>
    <mergeCell ref="B203:C203"/>
    <mergeCell ref="D203:F203"/>
    <mergeCell ref="B204:C204"/>
    <mergeCell ref="D204:F204"/>
    <mergeCell ref="B199:C199"/>
    <mergeCell ref="D199:F199"/>
    <mergeCell ref="B200:C200"/>
    <mergeCell ref="D200:F200"/>
    <mergeCell ref="B201:C201"/>
    <mergeCell ref="D201:F201"/>
    <mergeCell ref="B208:C208"/>
    <mergeCell ref="D208:F208"/>
    <mergeCell ref="B209:C209"/>
    <mergeCell ref="D209:F209"/>
    <mergeCell ref="B210:C210"/>
    <mergeCell ref="D210:F210"/>
    <mergeCell ref="B205:C205"/>
    <mergeCell ref="D205:F205"/>
    <mergeCell ref="B206:C206"/>
    <mergeCell ref="D206:F206"/>
    <mergeCell ref="B207:C207"/>
    <mergeCell ref="D207:F207"/>
    <mergeCell ref="B214:C214"/>
    <mergeCell ref="D214:F214"/>
    <mergeCell ref="B215:C215"/>
    <mergeCell ref="D215:F215"/>
    <mergeCell ref="B216:C216"/>
    <mergeCell ref="D216:F216"/>
    <mergeCell ref="B211:C211"/>
    <mergeCell ref="D211:F211"/>
    <mergeCell ref="B212:C212"/>
    <mergeCell ref="D212:F212"/>
    <mergeCell ref="B213:C213"/>
    <mergeCell ref="D213:F213"/>
    <mergeCell ref="B220:C220"/>
    <mergeCell ref="D220:F220"/>
    <mergeCell ref="B221:C221"/>
    <mergeCell ref="D221:F221"/>
    <mergeCell ref="B222:C222"/>
    <mergeCell ref="D222:F222"/>
    <mergeCell ref="B217:C217"/>
    <mergeCell ref="D217:F217"/>
    <mergeCell ref="B218:C218"/>
    <mergeCell ref="D218:F218"/>
    <mergeCell ref="B219:C219"/>
    <mergeCell ref="D219:F219"/>
    <mergeCell ref="B226:C226"/>
    <mergeCell ref="D226:F226"/>
    <mergeCell ref="B227:C227"/>
    <mergeCell ref="D227:F227"/>
    <mergeCell ref="B228:C228"/>
    <mergeCell ref="D228:F228"/>
    <mergeCell ref="B223:C223"/>
    <mergeCell ref="D223:F223"/>
    <mergeCell ref="B224:C224"/>
    <mergeCell ref="D224:F224"/>
    <mergeCell ref="B225:C225"/>
    <mergeCell ref="D225:F225"/>
    <mergeCell ref="B232:C232"/>
    <mergeCell ref="D232:F232"/>
    <mergeCell ref="B233:C233"/>
    <mergeCell ref="D233:F233"/>
    <mergeCell ref="B234:C234"/>
    <mergeCell ref="D234:F234"/>
    <mergeCell ref="B229:C229"/>
    <mergeCell ref="D229:F229"/>
    <mergeCell ref="B230:C230"/>
    <mergeCell ref="D230:F230"/>
    <mergeCell ref="B231:C231"/>
    <mergeCell ref="D231:F231"/>
    <mergeCell ref="B238:C238"/>
    <mergeCell ref="D238:F238"/>
    <mergeCell ref="B239:C239"/>
    <mergeCell ref="D239:F239"/>
    <mergeCell ref="B240:C240"/>
    <mergeCell ref="D240:F240"/>
    <mergeCell ref="B235:C235"/>
    <mergeCell ref="D235:F235"/>
    <mergeCell ref="B236:C236"/>
    <mergeCell ref="D236:F236"/>
    <mergeCell ref="B237:C237"/>
    <mergeCell ref="D237:F237"/>
    <mergeCell ref="B244:C244"/>
    <mergeCell ref="D244:F244"/>
    <mergeCell ref="B245:C245"/>
    <mergeCell ref="D245:F245"/>
    <mergeCell ref="B246:C246"/>
    <mergeCell ref="D246:F246"/>
    <mergeCell ref="B241:C241"/>
    <mergeCell ref="D241:F241"/>
    <mergeCell ref="B242:C242"/>
    <mergeCell ref="D242:F242"/>
    <mergeCell ref="B243:C243"/>
    <mergeCell ref="D243:F243"/>
    <mergeCell ref="B250:C250"/>
    <mergeCell ref="D250:F250"/>
    <mergeCell ref="B251:C251"/>
    <mergeCell ref="D251:F251"/>
    <mergeCell ref="B252:C252"/>
    <mergeCell ref="D252:F252"/>
    <mergeCell ref="B247:C247"/>
    <mergeCell ref="D247:F247"/>
    <mergeCell ref="B248:C248"/>
    <mergeCell ref="D248:F248"/>
    <mergeCell ref="B249:C249"/>
    <mergeCell ref="D249:F249"/>
    <mergeCell ref="B256:C256"/>
    <mergeCell ref="D256:F256"/>
    <mergeCell ref="B257:C257"/>
    <mergeCell ref="D257:F257"/>
    <mergeCell ref="B258:C258"/>
    <mergeCell ref="D258:F258"/>
    <mergeCell ref="B253:C253"/>
    <mergeCell ref="D253:F253"/>
    <mergeCell ref="B254:C254"/>
    <mergeCell ref="D254:F254"/>
    <mergeCell ref="B255:C255"/>
    <mergeCell ref="D255:F255"/>
    <mergeCell ref="B262:C262"/>
    <mergeCell ref="D262:F262"/>
    <mergeCell ref="B263:C263"/>
    <mergeCell ref="D263:F263"/>
    <mergeCell ref="B264:C264"/>
    <mergeCell ref="D264:F264"/>
    <mergeCell ref="B259:C259"/>
    <mergeCell ref="D259:F259"/>
    <mergeCell ref="B260:C260"/>
    <mergeCell ref="D260:F260"/>
    <mergeCell ref="B261:C261"/>
    <mergeCell ref="D261:F261"/>
    <mergeCell ref="B268:C268"/>
    <mergeCell ref="D268:F268"/>
    <mergeCell ref="B269:C269"/>
    <mergeCell ref="D269:F269"/>
    <mergeCell ref="B270:C270"/>
    <mergeCell ref="D270:F270"/>
    <mergeCell ref="B265:C265"/>
    <mergeCell ref="D265:F265"/>
    <mergeCell ref="B266:C266"/>
    <mergeCell ref="D266:F266"/>
    <mergeCell ref="B267:C267"/>
    <mergeCell ref="D267:F267"/>
    <mergeCell ref="B274:C274"/>
    <mergeCell ref="D274:F274"/>
    <mergeCell ref="B275:C275"/>
    <mergeCell ref="D275:F275"/>
    <mergeCell ref="B276:C276"/>
    <mergeCell ref="D276:F276"/>
    <mergeCell ref="B271:C271"/>
    <mergeCell ref="D271:F271"/>
    <mergeCell ref="B272:C272"/>
    <mergeCell ref="D272:F272"/>
    <mergeCell ref="B273:C273"/>
    <mergeCell ref="D273:F273"/>
    <mergeCell ref="B280:C280"/>
    <mergeCell ref="D280:F280"/>
    <mergeCell ref="B281:C281"/>
    <mergeCell ref="D281:F281"/>
    <mergeCell ref="B282:C282"/>
    <mergeCell ref="D282:F282"/>
    <mergeCell ref="B277:C277"/>
    <mergeCell ref="D277:F277"/>
    <mergeCell ref="B278:C278"/>
    <mergeCell ref="D278:F278"/>
    <mergeCell ref="B279:C279"/>
    <mergeCell ref="D279:F279"/>
    <mergeCell ref="B286:C286"/>
    <mergeCell ref="D286:F286"/>
    <mergeCell ref="B287:C287"/>
    <mergeCell ref="D287:F287"/>
    <mergeCell ref="B288:C288"/>
    <mergeCell ref="D288:F288"/>
    <mergeCell ref="B283:C283"/>
    <mergeCell ref="D283:F283"/>
    <mergeCell ref="B284:C284"/>
    <mergeCell ref="D284:F284"/>
    <mergeCell ref="B285:C285"/>
    <mergeCell ref="D285:F285"/>
    <mergeCell ref="B292:C292"/>
    <mergeCell ref="D292:F292"/>
    <mergeCell ref="B293:C293"/>
    <mergeCell ref="D293:F293"/>
    <mergeCell ref="B294:C294"/>
    <mergeCell ref="D294:F294"/>
    <mergeCell ref="B289:C289"/>
    <mergeCell ref="D289:F289"/>
    <mergeCell ref="B290:C290"/>
    <mergeCell ref="D290:F290"/>
    <mergeCell ref="B291:C291"/>
    <mergeCell ref="D291:F291"/>
    <mergeCell ref="B298:C298"/>
    <mergeCell ref="D298:F298"/>
    <mergeCell ref="B299:C299"/>
    <mergeCell ref="D299:F299"/>
    <mergeCell ref="B300:C300"/>
    <mergeCell ref="D300:F300"/>
    <mergeCell ref="B295:C295"/>
    <mergeCell ref="D295:F295"/>
    <mergeCell ref="B296:C296"/>
    <mergeCell ref="D296:F296"/>
    <mergeCell ref="B297:C297"/>
    <mergeCell ref="D297:F297"/>
    <mergeCell ref="B304:C304"/>
    <mergeCell ref="D304:F304"/>
    <mergeCell ref="B305:C305"/>
    <mergeCell ref="D305:F305"/>
    <mergeCell ref="B306:C306"/>
    <mergeCell ref="D306:F306"/>
    <mergeCell ref="B301:C301"/>
    <mergeCell ref="D301:F301"/>
    <mergeCell ref="B302:C302"/>
    <mergeCell ref="D302:F302"/>
    <mergeCell ref="B303:C303"/>
    <mergeCell ref="D303:F303"/>
    <mergeCell ref="B310:C310"/>
    <mergeCell ref="D310:F310"/>
    <mergeCell ref="B311:C311"/>
    <mergeCell ref="D311:F311"/>
    <mergeCell ref="B312:C312"/>
    <mergeCell ref="D312:F312"/>
    <mergeCell ref="B307:C307"/>
    <mergeCell ref="D307:F307"/>
    <mergeCell ref="B308:C308"/>
    <mergeCell ref="D308:F308"/>
    <mergeCell ref="B309:C309"/>
    <mergeCell ref="D309:F309"/>
    <mergeCell ref="B316:C316"/>
    <mergeCell ref="D316:F316"/>
    <mergeCell ref="B317:C317"/>
    <mergeCell ref="D317:F317"/>
    <mergeCell ref="B318:C318"/>
    <mergeCell ref="D318:F318"/>
    <mergeCell ref="B313:C313"/>
    <mergeCell ref="D313:F313"/>
    <mergeCell ref="B314:C314"/>
    <mergeCell ref="D314:F314"/>
    <mergeCell ref="B315:C315"/>
    <mergeCell ref="D315:F315"/>
    <mergeCell ref="B322:C322"/>
    <mergeCell ref="D322:F322"/>
    <mergeCell ref="B323:C323"/>
    <mergeCell ref="D323:F323"/>
    <mergeCell ref="B324:C324"/>
    <mergeCell ref="D324:F324"/>
    <mergeCell ref="B319:C319"/>
    <mergeCell ref="D319:F319"/>
    <mergeCell ref="B320:C320"/>
    <mergeCell ref="D320:F320"/>
    <mergeCell ref="B321:C321"/>
    <mergeCell ref="D321:F321"/>
    <mergeCell ref="B328:C328"/>
    <mergeCell ref="D328:F328"/>
    <mergeCell ref="B329:C329"/>
    <mergeCell ref="D329:F329"/>
    <mergeCell ref="B330:C330"/>
    <mergeCell ref="D330:F330"/>
    <mergeCell ref="B325:C325"/>
    <mergeCell ref="D325:F325"/>
    <mergeCell ref="B326:C326"/>
    <mergeCell ref="D326:F326"/>
    <mergeCell ref="B327:C327"/>
    <mergeCell ref="D327:F327"/>
    <mergeCell ref="B334:C334"/>
    <mergeCell ref="D334:F334"/>
    <mergeCell ref="B335:C335"/>
    <mergeCell ref="D335:F335"/>
    <mergeCell ref="B336:C336"/>
    <mergeCell ref="D336:F336"/>
    <mergeCell ref="B331:C331"/>
    <mergeCell ref="D331:F331"/>
    <mergeCell ref="B332:C332"/>
    <mergeCell ref="D332:F332"/>
    <mergeCell ref="B333:C333"/>
    <mergeCell ref="D333:F333"/>
    <mergeCell ref="B340:C340"/>
    <mergeCell ref="D340:F340"/>
    <mergeCell ref="B341:C341"/>
    <mergeCell ref="D341:F341"/>
    <mergeCell ref="B342:C342"/>
    <mergeCell ref="D342:F342"/>
    <mergeCell ref="B337:C337"/>
    <mergeCell ref="D337:F337"/>
    <mergeCell ref="B338:C338"/>
    <mergeCell ref="D338:F338"/>
    <mergeCell ref="B339:C339"/>
    <mergeCell ref="D339:F339"/>
    <mergeCell ref="B346:C346"/>
    <mergeCell ref="D346:F346"/>
    <mergeCell ref="B347:C347"/>
    <mergeCell ref="D347:F347"/>
    <mergeCell ref="B348:C348"/>
    <mergeCell ref="D348:F348"/>
    <mergeCell ref="B343:C343"/>
    <mergeCell ref="D343:F343"/>
    <mergeCell ref="B344:C344"/>
    <mergeCell ref="D344:F344"/>
    <mergeCell ref="B345:C345"/>
    <mergeCell ref="D345:F345"/>
    <mergeCell ref="B352:C352"/>
    <mergeCell ref="D352:F352"/>
    <mergeCell ref="B353:C353"/>
    <mergeCell ref="D353:F353"/>
    <mergeCell ref="B354:C354"/>
    <mergeCell ref="D354:F354"/>
    <mergeCell ref="B349:C349"/>
    <mergeCell ref="D349:F349"/>
    <mergeCell ref="B350:C350"/>
    <mergeCell ref="D350:F350"/>
    <mergeCell ref="B351:C351"/>
    <mergeCell ref="D351:F351"/>
    <mergeCell ref="B358:C358"/>
    <mergeCell ref="D358:F358"/>
    <mergeCell ref="B359:C359"/>
    <mergeCell ref="D359:F359"/>
    <mergeCell ref="B360:C360"/>
    <mergeCell ref="D360:F360"/>
    <mergeCell ref="B355:C355"/>
    <mergeCell ref="D355:F355"/>
    <mergeCell ref="B356:C356"/>
    <mergeCell ref="D356:F356"/>
    <mergeCell ref="B357:C357"/>
    <mergeCell ref="D357:F357"/>
    <mergeCell ref="B364:C364"/>
    <mergeCell ref="D364:F364"/>
    <mergeCell ref="B365:C365"/>
    <mergeCell ref="D365:F365"/>
    <mergeCell ref="B366:C366"/>
    <mergeCell ref="D366:F366"/>
    <mergeCell ref="B361:C361"/>
    <mergeCell ref="D361:F361"/>
    <mergeCell ref="B362:C362"/>
    <mergeCell ref="D362:F362"/>
    <mergeCell ref="B363:C363"/>
    <mergeCell ref="D363:F363"/>
    <mergeCell ref="B370:C370"/>
    <mergeCell ref="D370:F370"/>
    <mergeCell ref="B371:C371"/>
    <mergeCell ref="D371:F371"/>
    <mergeCell ref="B372:C372"/>
    <mergeCell ref="D372:F372"/>
    <mergeCell ref="B367:C367"/>
    <mergeCell ref="D367:F367"/>
    <mergeCell ref="B368:C368"/>
    <mergeCell ref="D368:F368"/>
    <mergeCell ref="B369:C369"/>
    <mergeCell ref="D369:F369"/>
    <mergeCell ref="B376:C376"/>
    <mergeCell ref="D376:F376"/>
    <mergeCell ref="B377:C377"/>
    <mergeCell ref="D377:F377"/>
    <mergeCell ref="B378:C378"/>
    <mergeCell ref="D378:F378"/>
    <mergeCell ref="B373:C373"/>
    <mergeCell ref="D373:F373"/>
    <mergeCell ref="B374:C374"/>
    <mergeCell ref="D374:F374"/>
    <mergeCell ref="B375:C375"/>
    <mergeCell ref="D375:F375"/>
    <mergeCell ref="B382:C382"/>
    <mergeCell ref="D382:F382"/>
    <mergeCell ref="B383:C383"/>
    <mergeCell ref="D383:F383"/>
    <mergeCell ref="B384:C384"/>
    <mergeCell ref="D384:F384"/>
    <mergeCell ref="B379:C379"/>
    <mergeCell ref="D379:F379"/>
    <mergeCell ref="B380:C380"/>
    <mergeCell ref="D380:F380"/>
    <mergeCell ref="B381:C381"/>
    <mergeCell ref="D381:F381"/>
    <mergeCell ref="B388:C388"/>
    <mergeCell ref="D388:F388"/>
    <mergeCell ref="B389:C389"/>
    <mergeCell ref="D389:F389"/>
    <mergeCell ref="B390:C390"/>
    <mergeCell ref="D390:F390"/>
    <mergeCell ref="B385:C385"/>
    <mergeCell ref="D385:F385"/>
    <mergeCell ref="B386:C386"/>
    <mergeCell ref="D386:F386"/>
    <mergeCell ref="B387:C387"/>
    <mergeCell ref="D387:F387"/>
    <mergeCell ref="B394:C394"/>
    <mergeCell ref="D394:F394"/>
    <mergeCell ref="B395:C395"/>
    <mergeCell ref="D395:F395"/>
    <mergeCell ref="B396:C396"/>
    <mergeCell ref="D396:F396"/>
    <mergeCell ref="B391:C391"/>
    <mergeCell ref="D391:F391"/>
    <mergeCell ref="B392:C392"/>
    <mergeCell ref="D392:F392"/>
    <mergeCell ref="B393:C393"/>
    <mergeCell ref="D393:F393"/>
    <mergeCell ref="B400:C400"/>
    <mergeCell ref="D400:F400"/>
    <mergeCell ref="B401:C401"/>
    <mergeCell ref="D401:F401"/>
    <mergeCell ref="B402:C402"/>
    <mergeCell ref="D402:F402"/>
    <mergeCell ref="B397:C397"/>
    <mergeCell ref="D397:F397"/>
    <mergeCell ref="B398:C398"/>
    <mergeCell ref="D398:F398"/>
    <mergeCell ref="B399:C399"/>
    <mergeCell ref="D399:F399"/>
    <mergeCell ref="B406:C406"/>
    <mergeCell ref="D406:F406"/>
    <mergeCell ref="B407:C407"/>
    <mergeCell ref="D407:F407"/>
    <mergeCell ref="B408:C408"/>
    <mergeCell ref="D408:F408"/>
    <mergeCell ref="B403:C403"/>
    <mergeCell ref="D403:F403"/>
    <mergeCell ref="B404:C404"/>
    <mergeCell ref="D404:F404"/>
    <mergeCell ref="B405:C405"/>
    <mergeCell ref="D405:F405"/>
    <mergeCell ref="B413:C413"/>
    <mergeCell ref="D413:F413"/>
    <mergeCell ref="B414:C414"/>
    <mergeCell ref="D414:F414"/>
    <mergeCell ref="B409:C409"/>
    <mergeCell ref="D409:F409"/>
    <mergeCell ref="B410:C410"/>
    <mergeCell ref="D410:F410"/>
    <mergeCell ref="B411:C411"/>
    <mergeCell ref="D411:F411"/>
    <mergeCell ref="B418:C418"/>
    <mergeCell ref="D418:F418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415:C415"/>
    <mergeCell ref="D415:F415"/>
    <mergeCell ref="B416:C416"/>
    <mergeCell ref="D416:F416"/>
    <mergeCell ref="B417:C417"/>
    <mergeCell ref="D417:F417"/>
    <mergeCell ref="B412:C412"/>
    <mergeCell ref="D412:F41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9" zoomScale="130" zoomScaleNormal="100" zoomScaleSheetLayoutView="130" workbookViewId="0">
      <selection activeCell="S24" sqref="S2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89">
        <f>MRS!L3</f>
        <v>46217</v>
      </c>
      <c r="L10" s="190"/>
      <c r="M10" s="190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91" t="str">
        <f>SUBSTITUTE(SUBSTITUTE(+MRS!A3,"  MRS No : ",""),"-MRS","-PO")</f>
        <v>SAC2-DS-PO-0367</v>
      </c>
      <c r="L11" s="191"/>
      <c r="M11" s="191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4" t="s">
        <v>108</v>
      </c>
      <c r="J14" s="38" t="s">
        <v>36</v>
      </c>
      <c r="K14" s="38" t="s">
        <v>371</v>
      </c>
    </row>
    <row r="15" spans="2:13" s="38" customFormat="1">
      <c r="B15" s="69"/>
      <c r="C15" s="72" t="s">
        <v>104</v>
      </c>
      <c r="J15" s="38" t="s">
        <v>37</v>
      </c>
      <c r="K15" s="75">
        <v>46222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92" t="s">
        <v>38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31" customFormat="1" ht="12" customHeight="1">
      <c r="B20" s="193" t="s">
        <v>39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31" customFormat="1" ht="12" customHeight="1">
      <c r="B21" s="193" t="s">
        <v>40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31" customFormat="1" ht="12" customHeight="1">
      <c r="B22" s="193" t="s">
        <v>41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3.7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124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page'!G247</f>
        <v>826442.5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page'!G248</f>
        <v>123966.375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page'!G249</f>
        <v>950408.875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6" t="s">
        <v>116</v>
      </c>
      <c r="F54" s="26" t="s">
        <v>111</v>
      </c>
    </row>
    <row r="55" spans="2:16" ht="12" customHeight="1">
      <c r="B55" s="81" t="s">
        <v>62</v>
      </c>
      <c r="C55" s="116" t="s">
        <v>117</v>
      </c>
      <c r="F55" s="117" t="s">
        <v>112</v>
      </c>
    </row>
    <row r="56" spans="2:16" ht="12" customHeight="1">
      <c r="B56" s="81" t="s">
        <v>62</v>
      </c>
      <c r="C56" s="116" t="s">
        <v>118</v>
      </c>
      <c r="F56" s="26" t="s">
        <v>123</v>
      </c>
    </row>
    <row r="57" spans="2:16" ht="12" customHeight="1">
      <c r="B57" s="81" t="s">
        <v>62</v>
      </c>
      <c r="C57" s="116" t="s">
        <v>119</v>
      </c>
      <c r="F57" s="26" t="s">
        <v>113</v>
      </c>
    </row>
    <row r="58" spans="2:16" ht="12" customHeight="1">
      <c r="B58" s="81" t="s">
        <v>62</v>
      </c>
      <c r="C58" s="116" t="s">
        <v>120</v>
      </c>
      <c r="F58" s="26" t="s">
        <v>114</v>
      </c>
    </row>
    <row r="59" spans="2:16" ht="12" customHeight="1">
      <c r="B59" s="81" t="s">
        <v>62</v>
      </c>
      <c r="C59" s="116" t="s">
        <v>121</v>
      </c>
      <c r="F59" s="26" t="s">
        <v>115</v>
      </c>
    </row>
    <row r="60" spans="2:16" ht="12" customHeight="1">
      <c r="B60" s="81"/>
      <c r="C60" s="116" t="s">
        <v>122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96" t="str">
        <f>C9</f>
        <v>JSAJ(Jassim Saif Amer Aljaberi Trading Est.)</v>
      </c>
      <c r="K70" s="196"/>
      <c r="L70" s="196"/>
      <c r="M70" s="196"/>
    </row>
    <row r="71" spans="1:13" ht="27.95" customHeight="1">
      <c r="A71" s="148" t="s">
        <v>72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57"/>
  <sheetViews>
    <sheetView showGridLines="0" view="pageBreakPreview" zoomScaleSheetLayoutView="100" zoomScalePageLayoutView="55" workbookViewId="0">
      <selection activeCell="H12" sqref="H12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SAC2-DS-PO-0367</v>
      </c>
      <c r="C2" s="130" t="s">
        <v>74</v>
      </c>
      <c r="D2" s="130"/>
      <c r="E2" s="130"/>
      <c r="F2" s="130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46217</v>
      </c>
      <c r="C3" s="48"/>
      <c r="D3" s="49"/>
      <c r="E3" s="131" t="s">
        <v>76</v>
      </c>
      <c r="F3" s="131"/>
      <c r="G3" s="131"/>
      <c r="H3" s="131"/>
      <c r="I3" s="50"/>
    </row>
    <row r="4" spans="1:13" s="52" customFormat="1" ht="28.5" customHeight="1" thickTop="1">
      <c r="A4" s="132" t="s">
        <v>77</v>
      </c>
      <c r="B4" s="134" t="s">
        <v>78</v>
      </c>
      <c r="C4" s="135"/>
      <c r="D4" s="138" t="s">
        <v>79</v>
      </c>
      <c r="E4" s="138" t="s">
        <v>80</v>
      </c>
      <c r="F4" s="140" t="str">
        <f>'PO 1st page'!C9</f>
        <v>JSAJ(Jassim Saif Amer Aljaberi Trading Est.)</v>
      </c>
      <c r="G4" s="141"/>
      <c r="H4" s="142" t="s">
        <v>81</v>
      </c>
      <c r="K4" s="53"/>
      <c r="L4" s="53"/>
      <c r="M4" s="53"/>
    </row>
    <row r="5" spans="1:13" s="52" customFormat="1" ht="21.95" customHeight="1">
      <c r="A5" s="133"/>
      <c r="B5" s="136"/>
      <c r="C5" s="137"/>
      <c r="D5" s="139"/>
      <c r="E5" s="139"/>
      <c r="F5" s="54" t="s">
        <v>82</v>
      </c>
      <c r="G5" s="54" t="s">
        <v>48</v>
      </c>
      <c r="H5" s="143"/>
      <c r="K5" s="53"/>
      <c r="L5" s="53"/>
      <c r="M5" s="53"/>
    </row>
    <row r="6" spans="1:13" s="52" customFormat="1" ht="32.1" customHeight="1">
      <c r="A6" s="82">
        <f t="shared" ref="A6:A69" si="0">ROW(A1)</f>
        <v>1</v>
      </c>
      <c r="B6" s="128" t="str">
        <f>MRS!B6&amp;" "&amp;MRS!D6</f>
        <v xml:space="preserve">Fire Drum Red Color 200Ltr </v>
      </c>
      <c r="C6" s="129"/>
      <c r="D6" s="83" t="str">
        <f>MRS!G6</f>
        <v>Nos</v>
      </c>
      <c r="E6" s="84">
        <f>MRS!H6</f>
        <v>8</v>
      </c>
      <c r="F6" s="85">
        <f>+'MRS LIST'!I6</f>
        <v>145</v>
      </c>
      <c r="G6" s="86">
        <f>+'MRS LIST'!J6</f>
        <v>1160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28" t="str">
        <f>MRS!B7&amp;" "&amp;MRS!D7</f>
        <v xml:space="preserve">Mechanical Pipe Bender 16-36mm with Air Freight </v>
      </c>
      <c r="C7" s="129"/>
      <c r="D7" s="83" t="str">
        <f>MRS!G7</f>
        <v>Set</v>
      </c>
      <c r="E7" s="84">
        <f>MRS!H7</f>
        <v>2</v>
      </c>
      <c r="F7" s="85">
        <f>+'MRS LIST'!I7</f>
        <v>7600</v>
      </c>
      <c r="G7" s="86">
        <f>+'MRS LIST'!J7</f>
        <v>15200</v>
      </c>
      <c r="H7" s="87"/>
      <c r="K7" s="88"/>
      <c r="L7" s="89"/>
      <c r="M7" s="53"/>
    </row>
    <row r="8" spans="1:13" s="52" customFormat="1" ht="32.1" customHeight="1">
      <c r="A8" s="82">
        <f t="shared" si="0"/>
        <v>3</v>
      </c>
      <c r="B8" s="128" t="str">
        <f>MRS!B8&amp;" "&amp;MRS!D8</f>
        <v xml:space="preserve">Cup Brush S/S Crimped M10x75mm </v>
      </c>
      <c r="C8" s="129"/>
      <c r="D8" s="83" t="str">
        <f>MRS!G8</f>
        <v>Nos</v>
      </c>
      <c r="E8" s="84">
        <f>MRS!H8</f>
        <v>2000</v>
      </c>
      <c r="F8" s="85">
        <f>+'MRS LIST'!I8</f>
        <v>18.5</v>
      </c>
      <c r="G8" s="86">
        <f>+'MRS LIST'!J8</f>
        <v>37000</v>
      </c>
      <c r="H8" s="87"/>
      <c r="K8" s="53"/>
      <c r="L8" s="53"/>
      <c r="M8" s="53"/>
    </row>
    <row r="9" spans="1:13" s="52" customFormat="1" ht="32.1" customHeight="1">
      <c r="A9" s="82">
        <f t="shared" si="0"/>
        <v>4</v>
      </c>
      <c r="B9" s="128" t="str">
        <f>MRS!B9&amp;" "&amp;MRS!D9</f>
        <v xml:space="preserve">Gear Oil SAE VG-150 20Ltr </v>
      </c>
      <c r="C9" s="129"/>
      <c r="D9" s="83" t="str">
        <f>MRS!G9</f>
        <v>Set</v>
      </c>
      <c r="E9" s="84">
        <f>MRS!H9</f>
        <v>1</v>
      </c>
      <c r="F9" s="85">
        <f>+'MRS LIST'!I9</f>
        <v>408</v>
      </c>
      <c r="G9" s="86">
        <f>+'MRS LIST'!J9</f>
        <v>408</v>
      </c>
      <c r="H9" s="87"/>
    </row>
    <row r="10" spans="1:13" s="52" customFormat="1" ht="32.1" customHeight="1">
      <c r="A10" s="82">
        <f t="shared" si="0"/>
        <v>5</v>
      </c>
      <c r="B10" s="128" t="str">
        <f>MRS!B10&amp;" "&amp;MRS!D10</f>
        <v xml:space="preserve">Rubber Hammer 2Lbs </v>
      </c>
      <c r="C10" s="129"/>
      <c r="D10" s="83" t="str">
        <f>MRS!G10</f>
        <v>Nos</v>
      </c>
      <c r="E10" s="84">
        <f>MRS!H10</f>
        <v>23</v>
      </c>
      <c r="F10" s="85">
        <f>+'MRS LIST'!I10</f>
        <v>29</v>
      </c>
      <c r="G10" s="86">
        <f>+'MRS LIST'!J10</f>
        <v>667</v>
      </c>
      <c r="H10" s="87"/>
    </row>
    <row r="11" spans="1:13" s="52" customFormat="1" ht="32.1" customHeight="1">
      <c r="A11" s="82">
        <f t="shared" si="0"/>
        <v>6</v>
      </c>
      <c r="B11" s="128" t="str">
        <f>MRS!B11&amp;" "&amp;MRS!D11</f>
        <v xml:space="preserve">AC Gas R32 (Refrigerant) </v>
      </c>
      <c r="C11" s="129"/>
      <c r="D11" s="83" t="str">
        <f>MRS!G11</f>
        <v>Nos</v>
      </c>
      <c r="E11" s="84">
        <f>MRS!H11</f>
        <v>1</v>
      </c>
      <c r="F11" s="85">
        <f>+'MRS LIST'!I11</f>
        <v>575</v>
      </c>
      <c r="G11" s="86">
        <f>+'MRS LIST'!J11</f>
        <v>575</v>
      </c>
      <c r="H11" s="87"/>
    </row>
    <row r="12" spans="1:13" s="52" customFormat="1" ht="32.1" customHeight="1">
      <c r="A12" s="82">
        <f t="shared" si="0"/>
        <v>7</v>
      </c>
      <c r="B12" s="128" t="str">
        <f>MRS!B12&amp;" "&amp;MRS!D12</f>
        <v xml:space="preserve">Thermocol Sheet White 1x2mtr x 50mm thickness </v>
      </c>
      <c r="C12" s="129"/>
      <c r="D12" s="83" t="str">
        <f>MRS!G12</f>
        <v>Roll</v>
      </c>
      <c r="E12" s="84">
        <f>MRS!H12</f>
        <v>4</v>
      </c>
      <c r="F12" s="85">
        <f>+'MRS LIST'!I12</f>
        <v>25</v>
      </c>
      <c r="G12" s="86">
        <f>+'MRS LIST'!J12</f>
        <v>100</v>
      </c>
      <c r="H12" s="87"/>
    </row>
    <row r="13" spans="1:13" s="52" customFormat="1" ht="32.1" customHeight="1">
      <c r="A13" s="82">
        <f t="shared" si="0"/>
        <v>8</v>
      </c>
      <c r="B13" s="128" t="str">
        <f>MRS!B13&amp;" "&amp;MRS!D13</f>
        <v xml:space="preserve">Digital Clamp Meter 600V AC/DC 1000A TRMS C180 Tekneka </v>
      </c>
      <c r="C13" s="129"/>
      <c r="D13" s="83" t="str">
        <f>MRS!G13</f>
        <v>Nos</v>
      </c>
      <c r="E13" s="84">
        <f>MRS!H13</f>
        <v>1</v>
      </c>
      <c r="F13" s="85">
        <f>+'MRS LIST'!I13</f>
        <v>470</v>
      </c>
      <c r="G13" s="86">
        <f>+'MRS LIST'!J13</f>
        <v>470</v>
      </c>
      <c r="H13" s="87"/>
    </row>
    <row r="14" spans="1:13" s="52" customFormat="1" ht="32.1" customHeight="1">
      <c r="A14" s="82">
        <f t="shared" si="0"/>
        <v>9</v>
      </c>
      <c r="B14" s="128" t="str">
        <f>MRS!B14&amp;" "&amp;MRS!D14</f>
        <v xml:space="preserve">Tube Bender 6/8/10mm 3in1 180deg </v>
      </c>
      <c r="C14" s="129"/>
      <c r="D14" s="83" t="str">
        <f>MRS!G14</f>
        <v>Nos</v>
      </c>
      <c r="E14" s="84">
        <f>MRS!H14</f>
        <v>1</v>
      </c>
      <c r="F14" s="85">
        <f>+'MRS LIST'!I14</f>
        <v>56</v>
      </c>
      <c r="G14" s="86">
        <f>+'MRS LIST'!J14</f>
        <v>56</v>
      </c>
      <c r="H14" s="87"/>
    </row>
    <row r="15" spans="1:13" s="52" customFormat="1" ht="32.1" customHeight="1">
      <c r="A15" s="82">
        <f t="shared" si="0"/>
        <v>10</v>
      </c>
      <c r="B15" s="128" t="str">
        <f>MRS!B15&amp;" "&amp;MRS!D15</f>
        <v xml:space="preserve">Cordless Impact Driver 18V 2.0Ah and Charger DCF887-D2 Dewalt </v>
      </c>
      <c r="C15" s="129"/>
      <c r="D15" s="83" t="str">
        <f>MRS!G15</f>
        <v>Nos</v>
      </c>
      <c r="E15" s="84">
        <f>MRS!H15</f>
        <v>1</v>
      </c>
      <c r="F15" s="85">
        <f>+'MRS LIST'!I15</f>
        <v>1225</v>
      </c>
      <c r="G15" s="86">
        <f>+'MRS LIST'!J15</f>
        <v>1225</v>
      </c>
      <c r="H15" s="87"/>
    </row>
    <row r="16" spans="1:13" s="52" customFormat="1" ht="32.1" customHeight="1">
      <c r="A16" s="82">
        <f t="shared" si="0"/>
        <v>11</v>
      </c>
      <c r="B16" s="128" t="str">
        <f>MRS!B16&amp;" "&amp;MRS!D16</f>
        <v xml:space="preserve">Corrugated Sheet White 0.32mmx1mtrx3mtr </v>
      </c>
      <c r="C16" s="129"/>
      <c r="D16" s="83" t="str">
        <f>MRS!G16</f>
        <v>Nos</v>
      </c>
      <c r="E16" s="84">
        <f>MRS!H16</f>
        <v>50</v>
      </c>
      <c r="F16" s="85">
        <f>+'MRS LIST'!I16</f>
        <v>51</v>
      </c>
      <c r="G16" s="86">
        <f>+'MRS LIST'!J16</f>
        <v>2550</v>
      </c>
      <c r="H16" s="87"/>
    </row>
    <row r="17" spans="1:8" s="52" customFormat="1" ht="32.1" customHeight="1">
      <c r="A17" s="82">
        <f t="shared" si="0"/>
        <v>12</v>
      </c>
      <c r="B17" s="128" t="str">
        <f>MRS!B17&amp;" "&amp;MRS!D17</f>
        <v xml:space="preserve">Magnetic Nut Socket 10mm </v>
      </c>
      <c r="C17" s="129"/>
      <c r="D17" s="83" t="str">
        <f>MRS!G17</f>
        <v>Nos</v>
      </c>
      <c r="E17" s="84">
        <f>MRS!H17</f>
        <v>5</v>
      </c>
      <c r="F17" s="85">
        <f>+'MRS LIST'!I17</f>
        <v>6.5</v>
      </c>
      <c r="G17" s="86">
        <f>+'MRS LIST'!J17</f>
        <v>32.5</v>
      </c>
      <c r="H17" s="87"/>
    </row>
    <row r="18" spans="1:8" s="52" customFormat="1" ht="32.1" customHeight="1">
      <c r="A18" s="82">
        <f t="shared" si="0"/>
        <v>13</v>
      </c>
      <c r="B18" s="128" t="str">
        <f>MRS!B18&amp;" "&amp;MRS!D18</f>
        <v xml:space="preserve">Screwdriver Bit Star Head 50mm </v>
      </c>
      <c r="C18" s="129"/>
      <c r="D18" s="83" t="str">
        <f>MRS!G18</f>
        <v>Nos</v>
      </c>
      <c r="E18" s="84">
        <f>MRS!H18</f>
        <v>5</v>
      </c>
      <c r="F18" s="85">
        <f>+'MRS LIST'!I18</f>
        <v>2</v>
      </c>
      <c r="G18" s="86">
        <f>+'MRS LIST'!J18</f>
        <v>10</v>
      </c>
      <c r="H18" s="87"/>
    </row>
    <row r="19" spans="1:8" s="52" customFormat="1" ht="32.1" customHeight="1">
      <c r="A19" s="82">
        <f t="shared" si="0"/>
        <v>14</v>
      </c>
      <c r="B19" s="128" t="str">
        <f>MRS!B19&amp;" "&amp;MRS!D19</f>
        <v xml:space="preserve">Portable Dry Oven 5kg 220V with Temp Controller </v>
      </c>
      <c r="C19" s="129"/>
      <c r="D19" s="83" t="str">
        <f>MRS!G19</f>
        <v>Nos</v>
      </c>
      <c r="E19" s="84">
        <f>MRS!H19</f>
        <v>30</v>
      </c>
      <c r="F19" s="85">
        <f>+'MRS LIST'!I19</f>
        <v>189</v>
      </c>
      <c r="G19" s="86">
        <f>+'MRS LIST'!J19</f>
        <v>5670</v>
      </c>
      <c r="H19" s="87"/>
    </row>
    <row r="20" spans="1:8" s="52" customFormat="1" ht="32.1" customHeight="1">
      <c r="A20" s="82">
        <f t="shared" si="0"/>
        <v>15</v>
      </c>
      <c r="B20" s="128" t="str">
        <f>MRS!B20&amp;" "&amp;MRS!D20</f>
        <v xml:space="preserve">PVC Coated Orange Fire Blanket 1x50mtr </v>
      </c>
      <c r="C20" s="129"/>
      <c r="D20" s="83" t="str">
        <f>MRS!G20</f>
        <v>Nos</v>
      </c>
      <c r="E20" s="84">
        <f>MRS!H20</f>
        <v>65</v>
      </c>
      <c r="F20" s="85">
        <f>+'MRS LIST'!I20</f>
        <v>450</v>
      </c>
      <c r="G20" s="86">
        <f>+'MRS LIST'!J20</f>
        <v>29250</v>
      </c>
      <c r="H20" s="87"/>
    </row>
    <row r="21" spans="1:8" s="52" customFormat="1" ht="32.1" customHeight="1">
      <c r="A21" s="82">
        <f t="shared" si="0"/>
        <v>16</v>
      </c>
      <c r="B21" s="128" t="str">
        <f>MRS!B21&amp;" "&amp;MRS!D21</f>
        <v xml:space="preserve">Tig Torch Head with Handle </v>
      </c>
      <c r="C21" s="129"/>
      <c r="D21" s="83" t="str">
        <f>MRS!G21</f>
        <v>Nos</v>
      </c>
      <c r="E21" s="84">
        <f>MRS!H21</f>
        <v>250</v>
      </c>
      <c r="F21" s="85">
        <f>+'MRS LIST'!I21</f>
        <v>38</v>
      </c>
      <c r="G21" s="86">
        <f>+'MRS LIST'!J21</f>
        <v>9500</v>
      </c>
      <c r="H21" s="87"/>
    </row>
    <row r="22" spans="1:8" s="52" customFormat="1" ht="32.1" customHeight="1">
      <c r="A22" s="82">
        <f t="shared" si="0"/>
        <v>17</v>
      </c>
      <c r="B22" s="128" t="str">
        <f>MRS!B22&amp;" "&amp;MRS!D22</f>
        <v xml:space="preserve">Shim Plate SS304 12"x50"x0.05mm </v>
      </c>
      <c r="C22" s="129"/>
      <c r="D22" s="83" t="str">
        <f>MRS!G22</f>
        <v>Nos</v>
      </c>
      <c r="E22" s="84">
        <f>MRS!H22</f>
        <v>1</v>
      </c>
      <c r="F22" s="85">
        <f>+'MRS LIST'!I22</f>
        <v>218</v>
      </c>
      <c r="G22" s="86">
        <f>+'MRS LIST'!J22</f>
        <v>218</v>
      </c>
      <c r="H22" s="87"/>
    </row>
    <row r="23" spans="1:8" s="52" customFormat="1" ht="32.1" customHeight="1">
      <c r="A23" s="82">
        <f t="shared" si="0"/>
        <v>18</v>
      </c>
      <c r="B23" s="128" t="str">
        <f>MRS!B23&amp;" "&amp;MRS!D23</f>
        <v xml:space="preserve">Shim Plate SS304 12"x50"x0.1mm </v>
      </c>
      <c r="C23" s="129"/>
      <c r="D23" s="83" t="str">
        <f>MRS!G23</f>
        <v>Set</v>
      </c>
      <c r="E23" s="84">
        <f>MRS!H23</f>
        <v>1</v>
      </c>
      <c r="F23" s="85">
        <f>+'MRS LIST'!I23</f>
        <v>236</v>
      </c>
      <c r="G23" s="86">
        <f>+'MRS LIST'!J23</f>
        <v>236</v>
      </c>
      <c r="H23" s="87"/>
    </row>
    <row r="24" spans="1:8" s="52" customFormat="1" ht="32.1" customHeight="1">
      <c r="A24" s="82">
        <f t="shared" si="0"/>
        <v>19</v>
      </c>
      <c r="B24" s="128" t="str">
        <f>MRS!B24&amp;" "&amp;MRS!D24</f>
        <v xml:space="preserve">Shim Plate SS304 12"x50"x0.15mm </v>
      </c>
      <c r="C24" s="129"/>
      <c r="D24" s="83" t="str">
        <f>MRS!G24</f>
        <v>Set</v>
      </c>
      <c r="E24" s="84">
        <f>MRS!H24</f>
        <v>1</v>
      </c>
      <c r="F24" s="85">
        <f>+'MRS LIST'!I24</f>
        <v>236</v>
      </c>
      <c r="G24" s="86">
        <f>+'MRS LIST'!J24</f>
        <v>236</v>
      </c>
      <c r="H24" s="87"/>
    </row>
    <row r="25" spans="1:8" s="52" customFormat="1" ht="32.1" customHeight="1">
      <c r="A25" s="82">
        <f t="shared" si="0"/>
        <v>20</v>
      </c>
      <c r="B25" s="128" t="str">
        <f>MRS!B25&amp;" "&amp;MRS!D25</f>
        <v xml:space="preserve">Shim Plate SS304 12"x50"x0.2mm </v>
      </c>
      <c r="C25" s="129"/>
      <c r="D25" s="83" t="str">
        <f>MRS!G25</f>
        <v>Roll</v>
      </c>
      <c r="E25" s="84">
        <f>MRS!H25</f>
        <v>1</v>
      </c>
      <c r="F25" s="85">
        <f>+'MRS LIST'!I25</f>
        <v>238</v>
      </c>
      <c r="G25" s="86">
        <f>+'MRS LIST'!J25</f>
        <v>238</v>
      </c>
      <c r="H25" s="87"/>
    </row>
    <row r="26" spans="1:8" s="52" customFormat="1" ht="32.1" customHeight="1">
      <c r="A26" s="82">
        <f t="shared" si="0"/>
        <v>21</v>
      </c>
      <c r="B26" s="128" t="str">
        <f>MRS!B26&amp;" "&amp;MRS!D26</f>
        <v xml:space="preserve">Shim Plate SS304 12"x50"x0.3mm </v>
      </c>
      <c r="C26" s="129"/>
      <c r="D26" s="83" t="str">
        <f>MRS!G26</f>
        <v>Nos</v>
      </c>
      <c r="E26" s="84">
        <f>MRS!H26</f>
        <v>1</v>
      </c>
      <c r="F26" s="85">
        <f>+'MRS LIST'!I26</f>
        <v>240</v>
      </c>
      <c r="G26" s="86">
        <f>+'MRS LIST'!J26</f>
        <v>240</v>
      </c>
      <c r="H26" s="87"/>
    </row>
    <row r="27" spans="1:8" s="52" customFormat="1" ht="32.1" customHeight="1">
      <c r="A27" s="82">
        <f t="shared" si="0"/>
        <v>22</v>
      </c>
      <c r="B27" s="128" t="str">
        <f>MRS!B27&amp;" "&amp;MRS!D27</f>
        <v xml:space="preserve">Shim Plate SS304 12"x50"x0.5mm </v>
      </c>
      <c r="C27" s="129"/>
      <c r="D27" s="83" t="str">
        <f>MRS!G27</f>
        <v>Nos</v>
      </c>
      <c r="E27" s="84">
        <f>MRS!H27</f>
        <v>1</v>
      </c>
      <c r="F27" s="85">
        <f>+'MRS LIST'!I27</f>
        <v>260</v>
      </c>
      <c r="G27" s="86">
        <f>+'MRS LIST'!J27</f>
        <v>260</v>
      </c>
      <c r="H27" s="87"/>
    </row>
    <row r="28" spans="1:8" s="52" customFormat="1" ht="32.1" customHeight="1">
      <c r="A28" s="82">
        <f t="shared" si="0"/>
        <v>23</v>
      </c>
      <c r="B28" s="128" t="str">
        <f>MRS!B28&amp;" "&amp;MRS!D28</f>
        <v xml:space="preserve">Shim Plate SS304 12"x50"x1mm </v>
      </c>
      <c r="C28" s="129"/>
      <c r="D28" s="83" t="str">
        <f>MRS!G28</f>
        <v>Pair</v>
      </c>
      <c r="E28" s="84">
        <f>MRS!H28</f>
        <v>1</v>
      </c>
      <c r="F28" s="85">
        <f>+'MRS LIST'!I28</f>
        <v>293</v>
      </c>
      <c r="G28" s="86">
        <f>+'MRS LIST'!J28</f>
        <v>293</v>
      </c>
      <c r="H28" s="87"/>
    </row>
    <row r="29" spans="1:8" s="52" customFormat="1" ht="32.1" customHeight="1">
      <c r="A29" s="82">
        <f t="shared" si="0"/>
        <v>24</v>
      </c>
      <c r="B29" s="128" t="str">
        <f>MRS!B29&amp;" "&amp;MRS!D29</f>
        <v xml:space="preserve">Shim Plate SS304 12"x50"x1.5mm </v>
      </c>
      <c r="C29" s="129"/>
      <c r="D29" s="83" t="str">
        <f>MRS!G29</f>
        <v>Nos</v>
      </c>
      <c r="E29" s="84">
        <f>MRS!H29</f>
        <v>1</v>
      </c>
      <c r="F29" s="85">
        <f>+'MRS LIST'!I29</f>
        <v>325</v>
      </c>
      <c r="G29" s="86">
        <f>+'MRS LIST'!J29</f>
        <v>325</v>
      </c>
      <c r="H29" s="87"/>
    </row>
    <row r="30" spans="1:8" s="52" customFormat="1" ht="32.1" customHeight="1">
      <c r="A30" s="82">
        <f t="shared" si="0"/>
        <v>25</v>
      </c>
      <c r="B30" s="128" t="str">
        <f>MRS!B30&amp;" "&amp;MRS!D30</f>
        <v xml:space="preserve">Shim Plate SS304 12"x50"x2mm </v>
      </c>
      <c r="C30" s="129"/>
      <c r="D30" s="83" t="str">
        <f>MRS!G30</f>
        <v>Nos</v>
      </c>
      <c r="E30" s="84">
        <f>MRS!H30</f>
        <v>1</v>
      </c>
      <c r="F30" s="85">
        <f>+'MRS LIST'!I30</f>
        <v>358</v>
      </c>
      <c r="G30" s="86">
        <f>+'MRS LIST'!J30</f>
        <v>358</v>
      </c>
      <c r="H30" s="87"/>
    </row>
    <row r="31" spans="1:8" s="52" customFormat="1" ht="32.1" customHeight="1">
      <c r="A31" s="82">
        <f t="shared" si="0"/>
        <v>26</v>
      </c>
      <c r="B31" s="128" t="str">
        <f>MRS!B31&amp;" "&amp;MRS!D31</f>
        <v xml:space="preserve">Shim Plate SS304 12"x50"x3mm </v>
      </c>
      <c r="C31" s="129"/>
      <c r="D31" s="83" t="str">
        <f>MRS!G31</f>
        <v>Nos</v>
      </c>
      <c r="E31" s="84">
        <f>MRS!H31</f>
        <v>1</v>
      </c>
      <c r="F31" s="85">
        <f>+'MRS LIST'!I31</f>
        <v>390</v>
      </c>
      <c r="G31" s="86">
        <f>+'MRS LIST'!J31</f>
        <v>390</v>
      </c>
      <c r="H31" s="87"/>
    </row>
    <row r="32" spans="1:8" s="52" customFormat="1" ht="32.1" customHeight="1">
      <c r="A32" s="82">
        <f t="shared" si="0"/>
        <v>27</v>
      </c>
      <c r="B32" s="128" t="str">
        <f>MRS!B32&amp;" "&amp;MRS!D32</f>
        <v xml:space="preserve">Total Station IM-52 Sokkia Complete Set </v>
      </c>
      <c r="C32" s="129"/>
      <c r="D32" s="83" t="str">
        <f>MRS!G32</f>
        <v>Nos</v>
      </c>
      <c r="E32" s="84">
        <f>MRS!H32</f>
        <v>3</v>
      </c>
      <c r="F32" s="85">
        <f>+'MRS LIST'!I32</f>
        <v>26400</v>
      </c>
      <c r="G32" s="86">
        <f>+'MRS LIST'!J32</f>
        <v>79200</v>
      </c>
      <c r="H32" s="87"/>
    </row>
    <row r="33" spans="1:8" s="52" customFormat="1" ht="32.1" customHeight="1">
      <c r="A33" s="82">
        <f t="shared" si="0"/>
        <v>28</v>
      </c>
      <c r="B33" s="128" t="str">
        <f>MRS!B33&amp;" "&amp;MRS!D33</f>
        <v xml:space="preserve">Digital Theodolite DT2A Complete Set  </v>
      </c>
      <c r="C33" s="129"/>
      <c r="D33" s="83" t="str">
        <f>MRS!G33</f>
        <v>Roll</v>
      </c>
      <c r="E33" s="84">
        <f>MRS!H33</f>
        <v>3</v>
      </c>
      <c r="F33" s="85">
        <f>+'MRS LIST'!I33</f>
        <v>9100</v>
      </c>
      <c r="G33" s="86">
        <f>+'MRS LIST'!J33</f>
        <v>27300</v>
      </c>
      <c r="H33" s="87"/>
    </row>
    <row r="34" spans="1:8" s="52" customFormat="1" ht="32.1" customHeight="1">
      <c r="A34" s="82">
        <f t="shared" si="0"/>
        <v>29</v>
      </c>
      <c r="B34" s="128" t="str">
        <f>MRS!B34&amp;" "&amp;MRS!D34</f>
        <v xml:space="preserve">Auto Level B40A Sokkia Complete Set </v>
      </c>
      <c r="C34" s="129"/>
      <c r="D34" s="83" t="str">
        <f>MRS!G34</f>
        <v>Nos</v>
      </c>
      <c r="E34" s="84">
        <f>MRS!H34</f>
        <v>5</v>
      </c>
      <c r="F34" s="85">
        <f>+'MRS LIST'!I34</f>
        <v>2040</v>
      </c>
      <c r="G34" s="86">
        <f>+'MRS LIST'!J34</f>
        <v>10200</v>
      </c>
      <c r="H34" s="87"/>
    </row>
    <row r="35" spans="1:8" s="52" customFormat="1" ht="32.1" customHeight="1">
      <c r="A35" s="82">
        <f t="shared" si="0"/>
        <v>30</v>
      </c>
      <c r="B35" s="128" t="str">
        <f>MRS!B35&amp;" "&amp;MRS!D35</f>
        <v xml:space="preserve">Aluminum Levelling Staff 5mtr with Bubble &amp; Soft Case Wide Type </v>
      </c>
      <c r="C35" s="129"/>
      <c r="D35" s="83" t="str">
        <f>MRS!G35</f>
        <v>Nos</v>
      </c>
      <c r="E35" s="84">
        <f>MRS!H35</f>
        <v>1</v>
      </c>
      <c r="F35" s="85">
        <f>+'MRS LIST'!I35</f>
        <v>390</v>
      </c>
      <c r="G35" s="86">
        <f>+'MRS LIST'!J35</f>
        <v>390</v>
      </c>
      <c r="H35" s="87"/>
    </row>
    <row r="36" spans="1:8" s="52" customFormat="1" ht="32.1" customHeight="1">
      <c r="A36" s="82">
        <f t="shared" si="0"/>
        <v>31</v>
      </c>
      <c r="B36" s="128" t="str">
        <f>MRS!B36&amp;" "&amp;MRS!D36</f>
        <v xml:space="preserve">Aluminum Levelling Staff 7mtr with Soft Case </v>
      </c>
      <c r="C36" s="129"/>
      <c r="D36" s="83" t="str">
        <f>MRS!G36</f>
        <v>Nos</v>
      </c>
      <c r="E36" s="84">
        <f>MRS!H36</f>
        <v>1</v>
      </c>
      <c r="F36" s="85">
        <f>+'MRS LIST'!I36</f>
        <v>400</v>
      </c>
      <c r="G36" s="86">
        <f>+'MRS LIST'!J36</f>
        <v>400</v>
      </c>
      <c r="H36" s="87"/>
    </row>
    <row r="37" spans="1:8" s="52" customFormat="1" ht="32.1" customHeight="1">
      <c r="A37" s="82">
        <f t="shared" si="0"/>
        <v>32</v>
      </c>
      <c r="B37" s="128" t="str">
        <f>MRS!B37&amp;" "&amp;MRS!D37</f>
        <v xml:space="preserve">Tripod Stand ATS10 Heavy Duty </v>
      </c>
      <c r="C37" s="129"/>
      <c r="D37" s="83" t="str">
        <f>MRS!G37</f>
        <v>Nos</v>
      </c>
      <c r="E37" s="84">
        <f>MRS!H37</f>
        <v>1</v>
      </c>
      <c r="F37" s="85">
        <f>+'MRS LIST'!I37</f>
        <v>780</v>
      </c>
      <c r="G37" s="86">
        <f>+'MRS LIST'!J37</f>
        <v>780</v>
      </c>
      <c r="H37" s="87"/>
    </row>
    <row r="38" spans="1:8" s="52" customFormat="1" ht="32.1" customHeight="1">
      <c r="A38" s="82">
        <f t="shared" si="0"/>
        <v>33</v>
      </c>
      <c r="B38" s="128" t="str">
        <f>MRS!B38&amp;" "&amp;MRS!D38</f>
        <v xml:space="preserve">Digital Multimeter Fluke 15B+ </v>
      </c>
      <c r="C38" s="129"/>
      <c r="D38" s="83" t="str">
        <f>MRS!G38</f>
        <v>Nos</v>
      </c>
      <c r="E38" s="84">
        <f>MRS!H38</f>
        <v>1</v>
      </c>
      <c r="F38" s="85">
        <f>+'MRS LIST'!I38</f>
        <v>630</v>
      </c>
      <c r="G38" s="86">
        <f>+'MRS LIST'!J38</f>
        <v>630</v>
      </c>
      <c r="H38" s="87"/>
    </row>
    <row r="39" spans="1:8" s="52" customFormat="1" ht="32.1" customHeight="1">
      <c r="A39" s="82">
        <f t="shared" si="0"/>
        <v>34</v>
      </c>
      <c r="B39" s="128" t="str">
        <f>MRS!B39&amp;" "&amp;MRS!D39</f>
        <v xml:space="preserve">Feeler Gauge S/S 0.02-1mm 150mm </v>
      </c>
      <c r="C39" s="129"/>
      <c r="D39" s="83" t="str">
        <f>MRS!G39</f>
        <v>Nos</v>
      </c>
      <c r="E39" s="84">
        <f>MRS!H39</f>
        <v>3</v>
      </c>
      <c r="F39" s="85">
        <f>+'MRS LIST'!I39</f>
        <v>65</v>
      </c>
      <c r="G39" s="86">
        <f>+'MRS LIST'!J39</f>
        <v>195</v>
      </c>
      <c r="H39" s="87"/>
    </row>
    <row r="40" spans="1:8" s="52" customFormat="1" ht="32.1" customHeight="1">
      <c r="A40" s="82">
        <f t="shared" si="0"/>
        <v>35</v>
      </c>
      <c r="B40" s="128" t="str">
        <f>MRS!B40&amp;" "&amp;MRS!D40</f>
        <v xml:space="preserve">Die Grinder 6mm 220V with Paddle Switch GD0600 Makita </v>
      </c>
      <c r="C40" s="129"/>
      <c r="D40" s="83" t="str">
        <f>MRS!G40</f>
        <v>Nos</v>
      </c>
      <c r="E40" s="84">
        <f>MRS!H40</f>
        <v>32</v>
      </c>
      <c r="F40" s="85">
        <f>+'MRS LIST'!I40</f>
        <v>440</v>
      </c>
      <c r="G40" s="86">
        <f>+'MRS LIST'!J40</f>
        <v>14080</v>
      </c>
      <c r="H40" s="87"/>
    </row>
    <row r="41" spans="1:8" s="52" customFormat="1" ht="32.1" customHeight="1">
      <c r="A41" s="82">
        <f t="shared" si="0"/>
        <v>36</v>
      </c>
      <c r="B41" s="128" t="str">
        <f>MRS!B41&amp;" "&amp;MRS!D41</f>
        <v xml:space="preserve">Angle Grinder 4" 220V with Paddle Switch DWE4002-B5 Dewalt </v>
      </c>
      <c r="C41" s="129"/>
      <c r="D41" s="83" t="str">
        <f>MRS!G41</f>
        <v>Nos</v>
      </c>
      <c r="E41" s="84">
        <f>MRS!H41</f>
        <v>66</v>
      </c>
      <c r="F41" s="85">
        <f>+'MRS LIST'!I41</f>
        <v>320</v>
      </c>
      <c r="G41" s="86">
        <f>+'MRS LIST'!J41</f>
        <v>21120</v>
      </c>
      <c r="H41" s="87"/>
    </row>
    <row r="42" spans="1:8" s="52" customFormat="1" ht="32.1" customHeight="1">
      <c r="A42" s="82">
        <f t="shared" si="0"/>
        <v>37</v>
      </c>
      <c r="B42" s="128" t="str">
        <f>MRS!B42&amp;" "&amp;MRS!D42</f>
        <v xml:space="preserve">Air Blower 650W GBL650E Bosch </v>
      </c>
      <c r="C42" s="129"/>
      <c r="D42" s="83" t="str">
        <f>MRS!G42</f>
        <v>Nos</v>
      </c>
      <c r="E42" s="84">
        <f>MRS!H42</f>
        <v>12</v>
      </c>
      <c r="F42" s="85">
        <f>+'MRS LIST'!I42</f>
        <v>271</v>
      </c>
      <c r="G42" s="86">
        <f>+'MRS LIST'!J42</f>
        <v>3252</v>
      </c>
      <c r="H42" s="87"/>
    </row>
    <row r="43" spans="1:8" s="52" customFormat="1" ht="32.1" customHeight="1">
      <c r="A43" s="82">
        <f t="shared" si="0"/>
        <v>38</v>
      </c>
      <c r="B43" s="128" t="str">
        <f>MRS!B43&amp;" "&amp;MRS!D43</f>
        <v xml:space="preserve">Diamond Grinding Wheel 4" </v>
      </c>
      <c r="C43" s="129"/>
      <c r="D43" s="83" t="str">
        <f>MRS!G43</f>
        <v>Nos</v>
      </c>
      <c r="E43" s="84">
        <f>MRS!H43</f>
        <v>10</v>
      </c>
      <c r="F43" s="85">
        <f>+'MRS LIST'!I43</f>
        <v>29</v>
      </c>
      <c r="G43" s="86">
        <f>+'MRS LIST'!J43</f>
        <v>290</v>
      </c>
      <c r="H43" s="87"/>
    </row>
    <row r="44" spans="1:8" s="52" customFormat="1" ht="32.1" customHeight="1">
      <c r="A44" s="82">
        <f t="shared" si="0"/>
        <v>39</v>
      </c>
      <c r="B44" s="128" t="str">
        <f>MRS!B44&amp;" "&amp;MRS!D44</f>
        <v xml:space="preserve">Ear Plug with Corded </v>
      </c>
      <c r="C44" s="129"/>
      <c r="D44" s="83" t="str">
        <f>MRS!G44</f>
        <v>Nos</v>
      </c>
      <c r="E44" s="84">
        <f>MRS!H44</f>
        <v>3100</v>
      </c>
      <c r="F44" s="85">
        <f>+'MRS LIST'!I44</f>
        <v>0.55000000000000004</v>
      </c>
      <c r="G44" s="86">
        <f>+'MRS LIST'!J44</f>
        <v>1705.0000000000002</v>
      </c>
      <c r="H44" s="87"/>
    </row>
    <row r="45" spans="1:8" s="52" customFormat="1" ht="32.1" customHeight="1">
      <c r="A45" s="82">
        <f t="shared" si="0"/>
        <v>40</v>
      </c>
      <c r="B45" s="128" t="str">
        <f>MRS!B45&amp;" "&amp;MRS!D45</f>
        <v xml:space="preserve">Dust Mask N95 Venus </v>
      </c>
      <c r="C45" s="129"/>
      <c r="D45" s="83" t="str">
        <f>MRS!G45</f>
        <v>Nos</v>
      </c>
      <c r="E45" s="84">
        <f>MRS!H45</f>
        <v>4000</v>
      </c>
      <c r="F45" s="85">
        <f>+'MRS LIST'!I45</f>
        <v>1.5</v>
      </c>
      <c r="G45" s="86">
        <f>+'MRS LIST'!J45</f>
        <v>6000</v>
      </c>
      <c r="H45" s="87"/>
    </row>
    <row r="46" spans="1:8" s="52" customFormat="1" ht="32.1" customHeight="1">
      <c r="A46" s="82">
        <f t="shared" si="0"/>
        <v>41</v>
      </c>
      <c r="B46" s="128" t="str">
        <f>MRS!B46&amp;" "&amp;MRS!D46</f>
        <v xml:space="preserve">Pyrometer Infrared Thermometer </v>
      </c>
      <c r="C46" s="129"/>
      <c r="D46" s="83" t="str">
        <f>MRS!G46</f>
        <v>Nos</v>
      </c>
      <c r="E46" s="84">
        <f>MRS!H46</f>
        <v>2</v>
      </c>
      <c r="F46" s="85">
        <f>+'MRS LIST'!I46</f>
        <v>95</v>
      </c>
      <c r="G46" s="86">
        <f>+'MRS LIST'!J46</f>
        <v>190</v>
      </c>
      <c r="H46" s="87"/>
    </row>
    <row r="47" spans="1:8" s="52" customFormat="1" ht="32.1" customHeight="1">
      <c r="A47" s="82">
        <f t="shared" si="0"/>
        <v>42</v>
      </c>
      <c r="B47" s="128" t="str">
        <f>MRS!B47&amp;" "&amp;MRS!D47</f>
        <v xml:space="preserve">Dial Indicator 0-5mm/0.01mm 2044A Mitutoyo </v>
      </c>
      <c r="C47" s="129"/>
      <c r="D47" s="83" t="str">
        <f>MRS!G47</f>
        <v>Nos</v>
      </c>
      <c r="E47" s="84">
        <f>MRS!H47</f>
        <v>4</v>
      </c>
      <c r="F47" s="85">
        <f>+'MRS LIST'!I47</f>
        <v>360</v>
      </c>
      <c r="G47" s="86">
        <f>+'MRS LIST'!J47</f>
        <v>1440</v>
      </c>
      <c r="H47" s="87"/>
    </row>
    <row r="48" spans="1:8" s="52" customFormat="1" ht="32.1" customHeight="1">
      <c r="A48" s="82">
        <f t="shared" si="0"/>
        <v>43</v>
      </c>
      <c r="B48" s="128" t="str">
        <f>MRS!B48&amp;" "&amp;MRS!D48</f>
        <v xml:space="preserve">Dial Indicator 0-10mm/0.01mm 2046A Mitutoyo </v>
      </c>
      <c r="C48" s="129"/>
      <c r="D48" s="83" t="str">
        <f>MRS!G48</f>
        <v>Nos</v>
      </c>
      <c r="E48" s="84">
        <f>MRS!H48</f>
        <v>4</v>
      </c>
      <c r="F48" s="85">
        <f>+'MRS LIST'!I48</f>
        <v>235</v>
      </c>
      <c r="G48" s="86">
        <f>+'MRS LIST'!J48</f>
        <v>940</v>
      </c>
      <c r="H48" s="87"/>
    </row>
    <row r="49" spans="1:8" s="52" customFormat="1" ht="32.1" customHeight="1">
      <c r="A49" s="82">
        <f t="shared" si="0"/>
        <v>44</v>
      </c>
      <c r="B49" s="128" t="str">
        <f>MRS!B49&amp;" "&amp;MRS!D49</f>
        <v xml:space="preserve">Sand Paper Roll 4" </v>
      </c>
      <c r="C49" s="129"/>
      <c r="D49" s="83" t="str">
        <f>MRS!G49</f>
        <v>Nos</v>
      </c>
      <c r="E49" s="84">
        <f>MRS!H49</f>
        <v>3</v>
      </c>
      <c r="F49" s="85">
        <f>+'MRS LIST'!I49</f>
        <v>85</v>
      </c>
      <c r="G49" s="86">
        <f>+'MRS LIST'!J49</f>
        <v>255</v>
      </c>
      <c r="H49" s="87"/>
    </row>
    <row r="50" spans="1:8" s="52" customFormat="1" ht="32.1" customHeight="1">
      <c r="A50" s="82">
        <f t="shared" si="0"/>
        <v>45</v>
      </c>
      <c r="B50" s="128" t="str">
        <f>MRS!B50&amp;" "&amp;MRS!D50</f>
        <v xml:space="preserve">Chipping Pointed Chisel 18x600mm SDS Max Bosch </v>
      </c>
      <c r="C50" s="129"/>
      <c r="D50" s="83" t="str">
        <f>MRS!G50</f>
        <v>Nos</v>
      </c>
      <c r="E50" s="84">
        <f>MRS!H50</f>
        <v>20</v>
      </c>
      <c r="F50" s="85">
        <f>+'MRS LIST'!I50</f>
        <v>114</v>
      </c>
      <c r="G50" s="86">
        <f>+'MRS LIST'!J50</f>
        <v>2280</v>
      </c>
      <c r="H50" s="87"/>
    </row>
    <row r="51" spans="1:8" s="52" customFormat="1" ht="32.1" customHeight="1">
      <c r="A51" s="82">
        <f t="shared" si="0"/>
        <v>46</v>
      </c>
      <c r="B51" s="128" t="str">
        <f>MRS!B51&amp;" "&amp;MRS!D51</f>
        <v xml:space="preserve">Chipping Pointed Chisel 18x400mm SDS Max Bosch </v>
      </c>
      <c r="C51" s="129"/>
      <c r="D51" s="83" t="str">
        <f>MRS!G51</f>
        <v>Nos</v>
      </c>
      <c r="E51" s="84">
        <f>MRS!H51</f>
        <v>10</v>
      </c>
      <c r="F51" s="85">
        <f>+'MRS LIST'!I51</f>
        <v>46</v>
      </c>
      <c r="G51" s="86">
        <f>+'MRS LIST'!J51</f>
        <v>460</v>
      </c>
      <c r="H51" s="87"/>
    </row>
    <row r="52" spans="1:8" s="52" customFormat="1" ht="32.1" customHeight="1">
      <c r="A52" s="82">
        <f t="shared" si="0"/>
        <v>47</v>
      </c>
      <c r="B52" s="128" t="str">
        <f>MRS!B52&amp;" "&amp;MRS!D52</f>
        <v xml:space="preserve">Renolin B Oil RENOLIN B ISO 46-20ltr </v>
      </c>
      <c r="C52" s="129"/>
      <c r="D52" s="83" t="str">
        <f>MRS!G52</f>
        <v>Set</v>
      </c>
      <c r="E52" s="84">
        <f>MRS!H52</f>
        <v>6</v>
      </c>
      <c r="F52" s="85">
        <f>+'MRS LIST'!I52</f>
        <v>350</v>
      </c>
      <c r="G52" s="86">
        <f>+'MRS LIST'!J52</f>
        <v>2100</v>
      </c>
      <c r="H52" s="87"/>
    </row>
    <row r="53" spans="1:8" s="52" customFormat="1" ht="32.1" customHeight="1">
      <c r="A53" s="82">
        <f t="shared" si="0"/>
        <v>48</v>
      </c>
      <c r="B53" s="128" t="str">
        <f>MRS!B53&amp;" "&amp;MRS!D53</f>
        <v xml:space="preserve">PVC Clear Hose 3/4" </v>
      </c>
      <c r="C53" s="129"/>
      <c r="D53" s="83" t="str">
        <f>MRS!G53</f>
        <v>Nos</v>
      </c>
      <c r="E53" s="84">
        <f>MRS!H53</f>
        <v>6</v>
      </c>
      <c r="F53" s="85">
        <f>+'MRS LIST'!I53</f>
        <v>8</v>
      </c>
      <c r="G53" s="86">
        <f>+'MRS LIST'!J53</f>
        <v>48</v>
      </c>
      <c r="H53" s="87"/>
    </row>
    <row r="54" spans="1:8" s="52" customFormat="1" ht="32.1" customHeight="1">
      <c r="A54" s="82">
        <f t="shared" si="0"/>
        <v>49</v>
      </c>
      <c r="B54" s="128" t="str">
        <f>MRS!B54&amp;" "&amp;MRS!D54</f>
        <v xml:space="preserve">Hacksaw Frame 12" </v>
      </c>
      <c r="C54" s="129"/>
      <c r="D54" s="83" t="str">
        <f>MRS!G54</f>
        <v>Nos</v>
      </c>
      <c r="E54" s="84">
        <f>MRS!H54</f>
        <v>5</v>
      </c>
      <c r="F54" s="85">
        <f>+'MRS LIST'!I54</f>
        <v>11</v>
      </c>
      <c r="G54" s="86">
        <f>+'MRS LIST'!J54</f>
        <v>55</v>
      </c>
      <c r="H54" s="87"/>
    </row>
    <row r="55" spans="1:8" s="52" customFormat="1" ht="32.1" customHeight="1">
      <c r="A55" s="82">
        <f t="shared" si="0"/>
        <v>50</v>
      </c>
      <c r="B55" s="128" t="str">
        <f>MRS!B55&amp;" "&amp;MRS!D55</f>
        <v xml:space="preserve">Hacksaw Blade C/S 12" </v>
      </c>
      <c r="C55" s="129"/>
      <c r="D55" s="83" t="str">
        <f>MRS!G55</f>
        <v>Nos</v>
      </c>
      <c r="E55" s="84">
        <f>MRS!H55</f>
        <v>4</v>
      </c>
      <c r="F55" s="85">
        <f>+'MRS LIST'!I55</f>
        <v>1</v>
      </c>
      <c r="G55" s="86">
        <f>+'MRS LIST'!J55</f>
        <v>4</v>
      </c>
      <c r="H55" s="87"/>
    </row>
    <row r="56" spans="1:8" s="52" customFormat="1" ht="32.1" customHeight="1">
      <c r="A56" s="82">
        <f t="shared" si="0"/>
        <v>51</v>
      </c>
      <c r="B56" s="128" t="str">
        <f>MRS!B56&amp;" "&amp;MRS!D56</f>
        <v xml:space="preserve">Ordinary Plywood 4'x8'x6mm Indonesia </v>
      </c>
      <c r="C56" s="129"/>
      <c r="D56" s="83" t="str">
        <f>MRS!G56</f>
        <v>Nos</v>
      </c>
      <c r="E56" s="84">
        <f>MRS!H56</f>
        <v>120</v>
      </c>
      <c r="F56" s="85">
        <f>+'MRS LIST'!I56</f>
        <v>56</v>
      </c>
      <c r="G56" s="86">
        <f>+'MRS LIST'!J56</f>
        <v>6720</v>
      </c>
      <c r="H56" s="87"/>
    </row>
    <row r="57" spans="1:8" s="52" customFormat="1" ht="32.1" customHeight="1">
      <c r="A57" s="82">
        <f t="shared" si="0"/>
        <v>52</v>
      </c>
      <c r="B57" s="128" t="str">
        <f>MRS!B57&amp;" "&amp;MRS!D57</f>
        <v xml:space="preserve">Window A/C 1.5Ton Super General </v>
      </c>
      <c r="C57" s="129"/>
      <c r="D57" s="83" t="str">
        <f>MRS!G57</f>
        <v>Pkt</v>
      </c>
      <c r="E57" s="84">
        <f>MRS!H57</f>
        <v>4</v>
      </c>
      <c r="F57" s="85">
        <f>+'MRS LIST'!I57</f>
        <v>1365</v>
      </c>
      <c r="G57" s="86">
        <f>+'MRS LIST'!J57</f>
        <v>5460</v>
      </c>
      <c r="H57" s="87"/>
    </row>
    <row r="58" spans="1:8" s="52" customFormat="1" ht="32.1" customHeight="1">
      <c r="A58" s="82">
        <f t="shared" si="0"/>
        <v>53</v>
      </c>
      <c r="B58" s="128" t="str">
        <f>MRS!B58&amp;" "&amp;MRS!D58</f>
        <v xml:space="preserve">Spray Paint Blue Asmaco </v>
      </c>
      <c r="C58" s="129"/>
      <c r="D58" s="83" t="str">
        <f>MRS!G58</f>
        <v>Nos</v>
      </c>
      <c r="E58" s="84">
        <f>MRS!H58</f>
        <v>12</v>
      </c>
      <c r="F58" s="85">
        <f>+'MRS LIST'!I58</f>
        <v>4</v>
      </c>
      <c r="G58" s="86">
        <f>+'MRS LIST'!J58</f>
        <v>48</v>
      </c>
      <c r="H58" s="87"/>
    </row>
    <row r="59" spans="1:8" s="52" customFormat="1" ht="32.1" customHeight="1">
      <c r="A59" s="82">
        <f t="shared" si="0"/>
        <v>54</v>
      </c>
      <c r="B59" s="128" t="str">
        <f>MRS!B59&amp;" "&amp;MRS!D59</f>
        <v xml:space="preserve">Zinc Spray Paint </v>
      </c>
      <c r="C59" s="129"/>
      <c r="D59" s="83" t="str">
        <f>MRS!G59</f>
        <v>Nos</v>
      </c>
      <c r="E59" s="84">
        <f>MRS!H59</f>
        <v>84</v>
      </c>
      <c r="F59" s="85">
        <f>+'MRS LIST'!I59</f>
        <v>35</v>
      </c>
      <c r="G59" s="86">
        <f>+'MRS LIST'!J59</f>
        <v>2940</v>
      </c>
      <c r="H59" s="87"/>
    </row>
    <row r="60" spans="1:8" s="52" customFormat="1" ht="32.1" customHeight="1">
      <c r="A60" s="82">
        <f t="shared" si="0"/>
        <v>55</v>
      </c>
      <c r="B60" s="128" t="str">
        <f>MRS!B60&amp;" "&amp;MRS!D60</f>
        <v xml:space="preserve">Flap Disc S/S 4" 80 Grit </v>
      </c>
      <c r="C60" s="129"/>
      <c r="D60" s="83" t="str">
        <f>MRS!G60</f>
        <v>Nos</v>
      </c>
      <c r="E60" s="84">
        <f>MRS!H60</f>
        <v>4300</v>
      </c>
      <c r="F60" s="85">
        <f>+'MRS LIST'!I60</f>
        <v>4.3</v>
      </c>
      <c r="G60" s="86">
        <f>+'MRS LIST'!J60</f>
        <v>18490</v>
      </c>
      <c r="H60" s="87"/>
    </row>
    <row r="61" spans="1:8" s="52" customFormat="1" ht="32.1" customHeight="1">
      <c r="A61" s="82">
        <f t="shared" si="0"/>
        <v>56</v>
      </c>
      <c r="B61" s="128" t="str">
        <f>MRS!B61&amp;" "&amp;MRS!D61</f>
        <v xml:space="preserve">Teflon Tape 19mm x 40yard </v>
      </c>
      <c r="C61" s="129"/>
      <c r="D61" s="83" t="str">
        <f>MRS!G61</f>
        <v>Nos</v>
      </c>
      <c r="E61" s="84">
        <f>MRS!H61</f>
        <v>1500</v>
      </c>
      <c r="F61" s="85">
        <f>+'MRS LIST'!I61</f>
        <v>1.8</v>
      </c>
      <c r="G61" s="86">
        <f>+'MRS LIST'!J61</f>
        <v>2700</v>
      </c>
      <c r="H61" s="87"/>
    </row>
    <row r="62" spans="1:8" s="52" customFormat="1" ht="32.1" customHeight="1">
      <c r="A62" s="82">
        <f t="shared" si="0"/>
        <v>57</v>
      </c>
      <c r="B62" s="128" t="str">
        <f>MRS!B62&amp;" "&amp;MRS!D62</f>
        <v xml:space="preserve">VD-40 Spray </v>
      </c>
      <c r="C62" s="129"/>
      <c r="D62" s="83" t="str">
        <f>MRS!G62</f>
        <v>Nos</v>
      </c>
      <c r="E62" s="84">
        <f>MRS!H62</f>
        <v>240</v>
      </c>
      <c r="F62" s="85">
        <f>+'MRS LIST'!I62</f>
        <v>5</v>
      </c>
      <c r="G62" s="86">
        <f>+'MRS LIST'!J62</f>
        <v>1200</v>
      </c>
      <c r="H62" s="87"/>
    </row>
    <row r="63" spans="1:8" s="52" customFormat="1" ht="32.1" customHeight="1">
      <c r="A63" s="82">
        <f t="shared" si="0"/>
        <v>58</v>
      </c>
      <c r="B63" s="128" t="str">
        <f>MRS!B63&amp;" "&amp;MRS!D63</f>
        <v xml:space="preserve">Plastic Sandbag Heavy Duty (Gunny Sack) 50kg </v>
      </c>
      <c r="C63" s="129"/>
      <c r="D63" s="83" t="str">
        <f>MRS!G63</f>
        <v>Nos</v>
      </c>
      <c r="E63" s="84">
        <f>MRS!H63</f>
        <v>1500</v>
      </c>
      <c r="F63" s="85">
        <f>+'MRS LIST'!I63</f>
        <v>2.8</v>
      </c>
      <c r="G63" s="86">
        <f>+'MRS LIST'!J63</f>
        <v>4200</v>
      </c>
      <c r="H63" s="87"/>
    </row>
    <row r="64" spans="1:8" s="52" customFormat="1" ht="32.1" customHeight="1">
      <c r="A64" s="82">
        <f t="shared" si="0"/>
        <v>59</v>
      </c>
      <c r="B64" s="128" t="str">
        <f>MRS!B64&amp;" "&amp;MRS!D64</f>
        <v xml:space="preserve">Welding Glass Dark #10 </v>
      </c>
      <c r="C64" s="129"/>
      <c r="D64" s="83" t="str">
        <f>MRS!G64</f>
        <v>Nos</v>
      </c>
      <c r="E64" s="84">
        <f>MRS!H64</f>
        <v>100</v>
      </c>
      <c r="F64" s="85">
        <f>+'MRS LIST'!I64</f>
        <v>0.95</v>
      </c>
      <c r="G64" s="86">
        <f>+'MRS LIST'!J64</f>
        <v>95</v>
      </c>
      <c r="H64" s="87"/>
    </row>
    <row r="65" spans="1:8" s="52" customFormat="1" ht="32.1" customHeight="1">
      <c r="A65" s="82">
        <f t="shared" si="0"/>
        <v>60</v>
      </c>
      <c r="B65" s="128" t="str">
        <f>MRS!B65&amp;" "&amp;MRS!D65</f>
        <v xml:space="preserve">Welding Glass Dark #11 </v>
      </c>
      <c r="C65" s="129"/>
      <c r="D65" s="83" t="str">
        <f>MRS!G65</f>
        <v>Nos</v>
      </c>
      <c r="E65" s="84">
        <f>MRS!H65</f>
        <v>150</v>
      </c>
      <c r="F65" s="85">
        <f>+'MRS LIST'!I65</f>
        <v>0.95</v>
      </c>
      <c r="G65" s="86">
        <f>+'MRS LIST'!J65</f>
        <v>142.5</v>
      </c>
      <c r="H65" s="87"/>
    </row>
    <row r="66" spans="1:8" s="52" customFormat="1" ht="32.1" customHeight="1">
      <c r="A66" s="82">
        <f t="shared" si="0"/>
        <v>61</v>
      </c>
      <c r="B66" s="128" t="str">
        <f>MRS!B66&amp;" "&amp;MRS!D66</f>
        <v xml:space="preserve">Welding Glass Dark #12 </v>
      </c>
      <c r="C66" s="129"/>
      <c r="D66" s="83" t="str">
        <f>MRS!G66</f>
        <v>Nos</v>
      </c>
      <c r="E66" s="84">
        <f>MRS!H66</f>
        <v>100</v>
      </c>
      <c r="F66" s="85">
        <f>+'MRS LIST'!I66</f>
        <v>0.95</v>
      </c>
      <c r="G66" s="86">
        <f>+'MRS LIST'!J66</f>
        <v>95</v>
      </c>
      <c r="H66" s="87"/>
    </row>
    <row r="67" spans="1:8" s="52" customFormat="1" ht="32.1" customHeight="1">
      <c r="A67" s="82">
        <f t="shared" si="0"/>
        <v>62</v>
      </c>
      <c r="B67" s="128" t="str">
        <f>MRS!B67&amp;" "&amp;MRS!D67</f>
        <v xml:space="preserve">Welding Cable Connector 50-70mm2 Male &amp; Female </v>
      </c>
      <c r="C67" s="129"/>
      <c r="D67" s="83" t="str">
        <f>MRS!G67</f>
        <v>Nos</v>
      </c>
      <c r="E67" s="84">
        <f>MRS!H67</f>
        <v>50</v>
      </c>
      <c r="F67" s="85">
        <f>+'MRS LIST'!I67</f>
        <v>18</v>
      </c>
      <c r="G67" s="86">
        <f>+'MRS LIST'!J67</f>
        <v>900</v>
      </c>
      <c r="H67" s="87"/>
    </row>
    <row r="68" spans="1:8" s="52" customFormat="1" ht="32.1" customHeight="1">
      <c r="A68" s="82">
        <f t="shared" si="0"/>
        <v>63</v>
      </c>
      <c r="B68" s="128" t="str">
        <f>MRS!B68&amp;" "&amp;MRS!D68</f>
        <v xml:space="preserve">Tig Collet Body 350A 3.2mm </v>
      </c>
      <c r="C68" s="129"/>
      <c r="D68" s="83" t="str">
        <f>MRS!G68</f>
        <v>Nos</v>
      </c>
      <c r="E68" s="84">
        <f>MRS!H68</f>
        <v>100</v>
      </c>
      <c r="F68" s="85">
        <f>+'MRS LIST'!I68</f>
        <v>13</v>
      </c>
      <c r="G68" s="86">
        <f>+'MRS LIST'!J68</f>
        <v>1300</v>
      </c>
      <c r="H68" s="87"/>
    </row>
    <row r="69" spans="1:8" s="52" customFormat="1" ht="32.1" customHeight="1">
      <c r="A69" s="82">
        <f t="shared" si="0"/>
        <v>64</v>
      </c>
      <c r="B69" s="128" t="str">
        <f>MRS!B69&amp;" "&amp;MRS!D69</f>
        <v xml:space="preserve">Tig Collet Body 350A 2.4mm </v>
      </c>
      <c r="C69" s="129"/>
      <c r="D69" s="83" t="str">
        <f>MRS!G69</f>
        <v>Nos</v>
      </c>
      <c r="E69" s="84">
        <f>MRS!H69</f>
        <v>200</v>
      </c>
      <c r="F69" s="85">
        <f>+'MRS LIST'!I69</f>
        <v>13</v>
      </c>
      <c r="G69" s="86">
        <f>+'MRS LIST'!J69</f>
        <v>2600</v>
      </c>
      <c r="H69" s="87"/>
    </row>
    <row r="70" spans="1:8" s="52" customFormat="1" ht="32.1" customHeight="1">
      <c r="A70" s="82">
        <f t="shared" ref="A70:A133" si="1">ROW(A65)</f>
        <v>65</v>
      </c>
      <c r="B70" s="128" t="str">
        <f>MRS!B70&amp;" "&amp;MRS!D70</f>
        <v xml:space="preserve">Tig Collet Pin 350A 2.4mm </v>
      </c>
      <c r="C70" s="129"/>
      <c r="D70" s="83" t="str">
        <f>MRS!G70</f>
        <v>Nos</v>
      </c>
      <c r="E70" s="84">
        <f>MRS!H70</f>
        <v>200</v>
      </c>
      <c r="F70" s="85">
        <f>+'MRS LIST'!I70</f>
        <v>5.9</v>
      </c>
      <c r="G70" s="86">
        <f>+'MRS LIST'!J70</f>
        <v>1180</v>
      </c>
      <c r="H70" s="87"/>
    </row>
    <row r="71" spans="1:8" s="52" customFormat="1" ht="32.1" customHeight="1">
      <c r="A71" s="82">
        <f t="shared" si="1"/>
        <v>66</v>
      </c>
      <c r="B71" s="128" t="str">
        <f>MRS!B71&amp;" "&amp;MRS!D71</f>
        <v xml:space="preserve">Tig Torch Back Cap Long (57Y02) </v>
      </c>
      <c r="C71" s="129"/>
      <c r="D71" s="83" t="str">
        <f>MRS!G71</f>
        <v>Nos</v>
      </c>
      <c r="E71" s="84">
        <f>MRS!H71</f>
        <v>100</v>
      </c>
      <c r="F71" s="85">
        <f>+'MRS LIST'!I71</f>
        <v>4.2</v>
      </c>
      <c r="G71" s="86">
        <f>+'MRS LIST'!J71</f>
        <v>420</v>
      </c>
      <c r="H71" s="87"/>
    </row>
    <row r="72" spans="1:8" s="52" customFormat="1" ht="32.1" customHeight="1">
      <c r="A72" s="82">
        <f t="shared" si="1"/>
        <v>67</v>
      </c>
      <c r="B72" s="128" t="str">
        <f>MRS!B72&amp;" "&amp;MRS!D72</f>
        <v xml:space="preserve">Tig Torch Back Cap Short (57Y04) </v>
      </c>
      <c r="C72" s="129"/>
      <c r="D72" s="83" t="str">
        <f>MRS!G72</f>
        <v>Nos</v>
      </c>
      <c r="E72" s="84">
        <f>MRS!H72</f>
        <v>200</v>
      </c>
      <c r="F72" s="85">
        <f>+'MRS LIST'!I72</f>
        <v>3.5</v>
      </c>
      <c r="G72" s="86">
        <f>+'MRS LIST'!J72</f>
        <v>700</v>
      </c>
      <c r="H72" s="87"/>
    </row>
    <row r="73" spans="1:8" s="52" customFormat="1" ht="32.1" customHeight="1">
      <c r="A73" s="82">
        <f t="shared" si="1"/>
        <v>68</v>
      </c>
      <c r="B73" s="128" t="str">
        <f>MRS!B73&amp;" "&amp;MRS!D73</f>
        <v xml:space="preserve">Tungsten Electrode 2.4mm </v>
      </c>
      <c r="C73" s="129"/>
      <c r="D73" s="83" t="str">
        <f>MRS!G73</f>
        <v>Nos</v>
      </c>
      <c r="E73" s="84">
        <f>MRS!H73</f>
        <v>800</v>
      </c>
      <c r="F73" s="85">
        <f>+'MRS LIST'!I73</f>
        <v>21</v>
      </c>
      <c r="G73" s="86">
        <f>+'MRS LIST'!J73</f>
        <v>16800</v>
      </c>
      <c r="H73" s="87"/>
    </row>
    <row r="74" spans="1:8" s="52" customFormat="1" ht="32.1" customHeight="1">
      <c r="A74" s="82">
        <f t="shared" si="1"/>
        <v>69</v>
      </c>
      <c r="B74" s="128" t="str">
        <f>MRS!B74&amp;" "&amp;MRS!D74</f>
        <v xml:space="preserve">Double Ear Clamp S/S 11-13mm </v>
      </c>
      <c r="C74" s="129"/>
      <c r="D74" s="83" t="str">
        <f>MRS!G74</f>
        <v>Nos</v>
      </c>
      <c r="E74" s="84">
        <f>MRS!H74</f>
        <v>200</v>
      </c>
      <c r="F74" s="85">
        <f>+'MRS LIST'!I74</f>
        <v>5.6</v>
      </c>
      <c r="G74" s="86">
        <f>+'MRS LIST'!J74</f>
        <v>1120</v>
      </c>
      <c r="H74" s="87"/>
    </row>
    <row r="75" spans="1:8" s="52" customFormat="1" ht="32.1" customHeight="1">
      <c r="A75" s="82">
        <f t="shared" si="1"/>
        <v>70</v>
      </c>
      <c r="B75" s="128" t="str">
        <f>MRS!B75&amp;" "&amp;MRS!D75</f>
        <v xml:space="preserve">Argon Regulator Connector Nut &amp; Nipple 9/16"-1/4" </v>
      </c>
      <c r="C75" s="129"/>
      <c r="D75" s="83" t="str">
        <f>MRS!G75</f>
        <v>Nos</v>
      </c>
      <c r="E75" s="84">
        <f>MRS!H75</f>
        <v>400</v>
      </c>
      <c r="F75" s="85">
        <f>+'MRS LIST'!I75</f>
        <v>9.8000000000000007</v>
      </c>
      <c r="G75" s="86">
        <f>+'MRS LIST'!J75</f>
        <v>3920.0000000000005</v>
      </c>
      <c r="H75" s="87"/>
    </row>
    <row r="76" spans="1:8" s="52" customFormat="1" ht="32.1" customHeight="1">
      <c r="A76" s="82">
        <f t="shared" si="1"/>
        <v>71</v>
      </c>
      <c r="B76" s="128" t="str">
        <f>MRS!B76&amp;" "&amp;MRS!D76</f>
        <v xml:space="preserve">Plastic Whistle </v>
      </c>
      <c r="C76" s="129"/>
      <c r="D76" s="83" t="str">
        <f>MRS!G76</f>
        <v>Nos</v>
      </c>
      <c r="E76" s="84">
        <f>MRS!H76</f>
        <v>9</v>
      </c>
      <c r="F76" s="85">
        <f>+'MRS LIST'!I76</f>
        <v>5.2</v>
      </c>
      <c r="G76" s="86">
        <f>+'MRS LIST'!J76</f>
        <v>46.800000000000004</v>
      </c>
      <c r="H76" s="87"/>
    </row>
    <row r="77" spans="1:8" s="52" customFormat="1" ht="32.1" customHeight="1">
      <c r="A77" s="82">
        <f t="shared" si="1"/>
        <v>72</v>
      </c>
      <c r="B77" s="128" t="str">
        <f>MRS!B77&amp;" "&amp;MRS!D77</f>
        <v xml:space="preserve">PVC Cable Trunking 16x20mm </v>
      </c>
      <c r="C77" s="129"/>
      <c r="D77" s="83" t="str">
        <f>MRS!G77</f>
        <v>Nos</v>
      </c>
      <c r="E77" s="84">
        <f>MRS!H77</f>
        <v>20</v>
      </c>
      <c r="F77" s="85">
        <f>+'MRS LIST'!I77</f>
        <v>8</v>
      </c>
      <c r="G77" s="86">
        <f>+'MRS LIST'!J77</f>
        <v>160</v>
      </c>
      <c r="H77" s="87"/>
    </row>
    <row r="78" spans="1:8" s="52" customFormat="1" ht="32.1" customHeight="1">
      <c r="A78" s="82">
        <f t="shared" si="1"/>
        <v>73</v>
      </c>
      <c r="B78" s="128" t="str">
        <f>MRS!B78&amp;" "&amp;MRS!D78</f>
        <v xml:space="preserve">Welding Earth Clamp Brass G-Type 300A </v>
      </c>
      <c r="C78" s="129"/>
      <c r="D78" s="83" t="str">
        <f>MRS!G78</f>
        <v>Nos</v>
      </c>
      <c r="E78" s="84">
        <f>MRS!H78</f>
        <v>20</v>
      </c>
      <c r="F78" s="85">
        <f>+'MRS LIST'!I78</f>
        <v>95</v>
      </c>
      <c r="G78" s="86">
        <f>+'MRS LIST'!J78</f>
        <v>1900</v>
      </c>
      <c r="H78" s="87"/>
    </row>
    <row r="79" spans="1:8" s="52" customFormat="1" ht="32.1" customHeight="1">
      <c r="A79" s="82">
        <f t="shared" si="1"/>
        <v>74</v>
      </c>
      <c r="B79" s="128" t="str">
        <f>MRS!B79&amp;" "&amp;MRS!D79</f>
        <v xml:space="preserve">Adjustable Wrench 12" </v>
      </c>
      <c r="C79" s="129"/>
      <c r="D79" s="83" t="str">
        <f>MRS!G79</f>
        <v>Nos</v>
      </c>
      <c r="E79" s="84">
        <f>MRS!H79</f>
        <v>60</v>
      </c>
      <c r="F79" s="85">
        <f>+'MRS LIST'!I79</f>
        <v>19</v>
      </c>
      <c r="G79" s="86">
        <f>+'MRS LIST'!J79</f>
        <v>1140</v>
      </c>
      <c r="H79" s="87"/>
    </row>
    <row r="80" spans="1:8" s="52" customFormat="1" ht="32.1" customHeight="1">
      <c r="A80" s="82">
        <f t="shared" si="1"/>
        <v>75</v>
      </c>
      <c r="B80" s="128" t="str">
        <f>MRS!B80&amp;" "&amp;MRS!D80</f>
        <v xml:space="preserve">Drill Bit HSS Cobalt (S/S) 6mm </v>
      </c>
      <c r="C80" s="129"/>
      <c r="D80" s="83" t="str">
        <f>MRS!G80</f>
        <v>Nos</v>
      </c>
      <c r="E80" s="84">
        <f>MRS!H80</f>
        <v>220</v>
      </c>
      <c r="F80" s="85">
        <f>+'MRS LIST'!I80</f>
        <v>5.5</v>
      </c>
      <c r="G80" s="86">
        <f>+'MRS LIST'!J80</f>
        <v>1210</v>
      </c>
      <c r="H80" s="87"/>
    </row>
    <row r="81" spans="1:8" s="52" customFormat="1" ht="32.1" customHeight="1">
      <c r="A81" s="82">
        <f t="shared" si="1"/>
        <v>76</v>
      </c>
      <c r="B81" s="128" t="str">
        <f>MRS!B81&amp;" "&amp;MRS!D81</f>
        <v xml:space="preserve">Drill Bit HSS Cobalt (S/S) 8mm </v>
      </c>
      <c r="C81" s="129"/>
      <c r="D81" s="83" t="str">
        <f>MRS!G81</f>
        <v>Pair</v>
      </c>
      <c r="E81" s="84">
        <f>MRS!H81</f>
        <v>20</v>
      </c>
      <c r="F81" s="85">
        <f>+'MRS LIST'!I81</f>
        <v>9</v>
      </c>
      <c r="G81" s="86">
        <f>+'MRS LIST'!J81</f>
        <v>180</v>
      </c>
      <c r="H81" s="87"/>
    </row>
    <row r="82" spans="1:8" s="52" customFormat="1" ht="32.1" customHeight="1">
      <c r="A82" s="82">
        <f t="shared" si="1"/>
        <v>77</v>
      </c>
      <c r="B82" s="128" t="str">
        <f>MRS!B82&amp;" "&amp;MRS!D82</f>
        <v xml:space="preserve">Drill Bit HSS Cobalt (S/S) 10mm </v>
      </c>
      <c r="C82" s="129"/>
      <c r="D82" s="83" t="str">
        <f>MRS!G82</f>
        <v>Nos</v>
      </c>
      <c r="E82" s="84">
        <f>MRS!H82</f>
        <v>20</v>
      </c>
      <c r="F82" s="85">
        <f>+'MRS LIST'!I82</f>
        <v>13</v>
      </c>
      <c r="G82" s="86">
        <f>+'MRS LIST'!J82</f>
        <v>260</v>
      </c>
      <c r="H82" s="87"/>
    </row>
    <row r="83" spans="1:8" s="52" customFormat="1" ht="32.1" customHeight="1">
      <c r="A83" s="82">
        <f t="shared" si="1"/>
        <v>78</v>
      </c>
      <c r="B83" s="128" t="str">
        <f>MRS!B83&amp;" "&amp;MRS!D83</f>
        <v xml:space="preserve">Electric Exhaust Fan 12"x12" </v>
      </c>
      <c r="C83" s="129"/>
      <c r="D83" s="83" t="str">
        <f>MRS!G83</f>
        <v>Nos</v>
      </c>
      <c r="E83" s="84">
        <f>MRS!H83</f>
        <v>5</v>
      </c>
      <c r="F83" s="85">
        <f>+'MRS LIST'!I83</f>
        <v>58</v>
      </c>
      <c r="G83" s="86">
        <f>+'MRS LIST'!J83</f>
        <v>290</v>
      </c>
      <c r="H83" s="87"/>
    </row>
    <row r="84" spans="1:8" s="52" customFormat="1" ht="32.1" customHeight="1">
      <c r="A84" s="82">
        <f t="shared" si="1"/>
        <v>79</v>
      </c>
      <c r="B84" s="128" t="str">
        <f>MRS!B84&amp;" "&amp;MRS!D84</f>
        <v xml:space="preserve">Confined Space Tripod-Whinch 20mtr 135kg PN800+PN801 Karam with TPI Certificate </v>
      </c>
      <c r="C84" s="129"/>
      <c r="D84" s="83" t="str">
        <f>MRS!G84</f>
        <v>Nos</v>
      </c>
      <c r="E84" s="84">
        <f>MRS!H84</f>
        <v>2</v>
      </c>
      <c r="F84" s="85">
        <f>+'MRS LIST'!I84</f>
        <v>3100</v>
      </c>
      <c r="G84" s="86">
        <f>+'MRS LIST'!J84</f>
        <v>6200</v>
      </c>
      <c r="H84" s="87"/>
    </row>
    <row r="85" spans="1:8" s="52" customFormat="1" ht="32.1" customHeight="1">
      <c r="A85" s="82">
        <f t="shared" si="1"/>
        <v>80</v>
      </c>
      <c r="B85" s="128" t="str">
        <f>MRS!B85&amp;" "&amp;MRS!D85</f>
        <v xml:space="preserve">Retractable Fall Arrest Blocks with GI Rope 60ft Karam PCGS 60FT with TPI Certificate </v>
      </c>
      <c r="C85" s="129"/>
      <c r="D85" s="83" t="str">
        <f>MRS!G85</f>
        <v>Nos</v>
      </c>
      <c r="E85" s="84">
        <f>MRS!H85</f>
        <v>8</v>
      </c>
      <c r="F85" s="85">
        <f>+'MRS LIST'!I85</f>
        <v>1865</v>
      </c>
      <c r="G85" s="86">
        <f>+'MRS LIST'!J85</f>
        <v>14920</v>
      </c>
      <c r="H85" s="87"/>
    </row>
    <row r="86" spans="1:8" s="52" customFormat="1" ht="32.1" customHeight="1">
      <c r="A86" s="82">
        <f t="shared" si="1"/>
        <v>81</v>
      </c>
      <c r="B86" s="128" t="str">
        <f>MRS!B86&amp;" "&amp;MRS!D86</f>
        <v xml:space="preserve">Wall Exhaust Fan 220V 295x135x295mm </v>
      </c>
      <c r="C86" s="129"/>
      <c r="D86" s="83" t="str">
        <f>MRS!G86</f>
        <v>Nos</v>
      </c>
      <c r="E86" s="84">
        <f>MRS!H86</f>
        <v>5</v>
      </c>
      <c r="F86" s="85">
        <f>+'MRS LIST'!I86</f>
        <v>58</v>
      </c>
      <c r="G86" s="86">
        <f>+'MRS LIST'!J86</f>
        <v>290</v>
      </c>
      <c r="H86" s="87"/>
    </row>
    <row r="87" spans="1:8" s="52" customFormat="1" ht="32.1" customHeight="1">
      <c r="A87" s="82">
        <f t="shared" si="1"/>
        <v>82</v>
      </c>
      <c r="B87" s="128" t="str">
        <f>MRS!B87&amp;" "&amp;MRS!D87</f>
        <v xml:space="preserve">Battery 1.5V AA </v>
      </c>
      <c r="C87" s="129"/>
      <c r="D87" s="83" t="str">
        <f>MRS!G87</f>
        <v>Nos</v>
      </c>
      <c r="E87" s="84">
        <f>MRS!H87</f>
        <v>48</v>
      </c>
      <c r="F87" s="85">
        <f>+'MRS LIST'!I87</f>
        <v>1.5</v>
      </c>
      <c r="G87" s="86">
        <f>+'MRS LIST'!J87</f>
        <v>72</v>
      </c>
      <c r="H87" s="87"/>
    </row>
    <row r="88" spans="1:8" s="52" customFormat="1" ht="32.1" customHeight="1">
      <c r="A88" s="82">
        <f t="shared" si="1"/>
        <v>83</v>
      </c>
      <c r="B88" s="128" t="str">
        <f>MRS!B88&amp;" "&amp;MRS!D88</f>
        <v xml:space="preserve">Battery 1.5V C </v>
      </c>
      <c r="C88" s="129"/>
      <c r="D88" s="83" t="str">
        <f>MRS!G88</f>
        <v>Nos</v>
      </c>
      <c r="E88" s="84">
        <f>MRS!H88</f>
        <v>48</v>
      </c>
      <c r="F88" s="85">
        <f>+'MRS LIST'!I88</f>
        <v>4.5</v>
      </c>
      <c r="G88" s="86">
        <f>+'MRS LIST'!J88</f>
        <v>216</v>
      </c>
      <c r="H88" s="87"/>
    </row>
    <row r="89" spans="1:8" s="52" customFormat="1" ht="32.1" customHeight="1">
      <c r="A89" s="82">
        <f t="shared" si="1"/>
        <v>84</v>
      </c>
      <c r="B89" s="128" t="str">
        <f>MRS!B89&amp;" "&amp;MRS!D89</f>
        <v xml:space="preserve">Aluminum Foil Insulation 1x50mtr x 10mm thickness </v>
      </c>
      <c r="C89" s="129"/>
      <c r="D89" s="83" t="str">
        <f>MRS!G89</f>
        <v>Nos</v>
      </c>
      <c r="E89" s="84">
        <f>MRS!H89</f>
        <v>4</v>
      </c>
      <c r="F89" s="85">
        <f>+'MRS LIST'!I89</f>
        <v>270</v>
      </c>
      <c r="G89" s="86">
        <f>+'MRS LIST'!J89</f>
        <v>1080</v>
      </c>
      <c r="H89" s="87"/>
    </row>
    <row r="90" spans="1:8" s="52" customFormat="1" ht="32.1" customHeight="1">
      <c r="A90" s="82">
        <f t="shared" si="1"/>
        <v>85</v>
      </c>
      <c r="B90" s="128" t="str">
        <f>MRS!B90&amp;" "&amp;MRS!D90</f>
        <v xml:space="preserve">LED Torch Light Rechargeable GFL4658Z Geepas </v>
      </c>
      <c r="C90" s="129"/>
      <c r="D90" s="83" t="str">
        <f>MRS!G90</f>
        <v>Nos</v>
      </c>
      <c r="E90" s="84">
        <f>MRS!H90</f>
        <v>66</v>
      </c>
      <c r="F90" s="85">
        <f>+'MRS LIST'!I90</f>
        <v>48</v>
      </c>
      <c r="G90" s="86">
        <f>+'MRS LIST'!J90</f>
        <v>3168</v>
      </c>
      <c r="H90" s="87"/>
    </row>
    <row r="91" spans="1:8" s="52" customFormat="1" ht="32.1" customHeight="1">
      <c r="A91" s="82">
        <f t="shared" si="1"/>
        <v>86</v>
      </c>
      <c r="B91" s="128" t="str">
        <f>MRS!B91&amp;" "&amp;MRS!D91</f>
        <v xml:space="preserve">Inverter ARC Welding Machine 200A ARC200 Jasic </v>
      </c>
      <c r="C91" s="129"/>
      <c r="D91" s="83" t="str">
        <f>MRS!G91</f>
        <v>Nos</v>
      </c>
      <c r="E91" s="84">
        <f>MRS!H91</f>
        <v>5</v>
      </c>
      <c r="F91" s="85">
        <f>+'MRS LIST'!I91</f>
        <v>1600</v>
      </c>
      <c r="G91" s="86">
        <f>+'MRS LIST'!J91</f>
        <v>8000</v>
      </c>
      <c r="H91" s="87"/>
    </row>
    <row r="92" spans="1:8" s="52" customFormat="1" ht="32.1" customHeight="1">
      <c r="A92" s="82">
        <f t="shared" si="1"/>
        <v>87</v>
      </c>
      <c r="B92" s="128" t="str">
        <f>MRS!B92&amp;" "&amp;MRS!D92</f>
        <v xml:space="preserve">Parts Switch SA (N261500) for DWE4002-B5 Dewalt </v>
      </c>
      <c r="C92" s="129"/>
      <c r="D92" s="83" t="str">
        <f>MRS!G92</f>
        <v>Nos</v>
      </c>
      <c r="E92" s="84">
        <f>MRS!H92</f>
        <v>50</v>
      </c>
      <c r="F92" s="85">
        <f>+'MRS LIST'!I92</f>
        <v>18.600000000000001</v>
      </c>
      <c r="G92" s="86">
        <f>+'MRS LIST'!J92</f>
        <v>930.00000000000011</v>
      </c>
      <c r="H92" s="87"/>
    </row>
    <row r="93" spans="1:8" s="52" customFormat="1" ht="32.1" customHeight="1">
      <c r="A93" s="82">
        <f t="shared" si="1"/>
        <v>88</v>
      </c>
      <c r="B93" s="128" t="str">
        <f>MRS!B93&amp;" "&amp;MRS!D93</f>
        <v xml:space="preserve">Parts Handle Side (562211-00) for DWE4002-B5 Dewalt </v>
      </c>
      <c r="C93" s="129"/>
      <c r="D93" s="83" t="str">
        <f>MRS!G93</f>
        <v>Nos</v>
      </c>
      <c r="E93" s="84">
        <f>MRS!H93</f>
        <v>20</v>
      </c>
      <c r="F93" s="85">
        <f>+'MRS LIST'!I93</f>
        <v>11</v>
      </c>
      <c r="G93" s="86">
        <f>+'MRS LIST'!J93</f>
        <v>220</v>
      </c>
      <c r="H93" s="87"/>
    </row>
    <row r="94" spans="1:8" s="52" customFormat="1" ht="32.1" customHeight="1">
      <c r="A94" s="82">
        <f t="shared" si="1"/>
        <v>89</v>
      </c>
      <c r="B94" s="128" t="str">
        <f>MRS!B94&amp;" "&amp;MRS!D94</f>
        <v xml:space="preserve">Smoke Detector </v>
      </c>
      <c r="C94" s="129"/>
      <c r="D94" s="83" t="str">
        <f>MRS!G94</f>
        <v>Set</v>
      </c>
      <c r="E94" s="84">
        <f>MRS!H94</f>
        <v>15</v>
      </c>
      <c r="F94" s="85">
        <f>+'MRS LIST'!I94</f>
        <v>20</v>
      </c>
      <c r="G94" s="86">
        <f>+'MRS LIST'!J94</f>
        <v>300</v>
      </c>
      <c r="H94" s="87"/>
    </row>
    <row r="95" spans="1:8" s="52" customFormat="1" ht="32.1" customHeight="1">
      <c r="A95" s="82">
        <f t="shared" si="1"/>
        <v>90</v>
      </c>
      <c r="B95" s="128" t="str">
        <f>MRS!B95&amp;" "&amp;MRS!D95</f>
        <v xml:space="preserve">Split A/C 2Ton Heat &amp; Cooling Inverter Zamil </v>
      </c>
      <c r="C95" s="129"/>
      <c r="D95" s="83" t="str">
        <f>MRS!G95</f>
        <v>Nos</v>
      </c>
      <c r="E95" s="84">
        <f>MRS!H95</f>
        <v>1</v>
      </c>
      <c r="F95" s="85">
        <f>+'MRS LIST'!I95</f>
        <v>2700</v>
      </c>
      <c r="G95" s="86">
        <f>+'MRS LIST'!J95</f>
        <v>2700</v>
      </c>
      <c r="H95" s="87"/>
    </row>
    <row r="96" spans="1:8" s="52" customFormat="1" ht="32.1" customHeight="1">
      <c r="A96" s="82">
        <f t="shared" si="1"/>
        <v>91</v>
      </c>
      <c r="B96" s="128" t="str">
        <f>MRS!B96&amp;" "&amp;MRS!D96</f>
        <v xml:space="preserve">A/C Copper Tube Set 5/8"x15mtr </v>
      </c>
      <c r="C96" s="129"/>
      <c r="D96" s="83" t="str">
        <f>MRS!G96</f>
        <v>Nos</v>
      </c>
      <c r="E96" s="84">
        <f>MRS!H96</f>
        <v>1</v>
      </c>
      <c r="F96" s="85">
        <f>+'MRS LIST'!I96</f>
        <v>430</v>
      </c>
      <c r="G96" s="86">
        <f>+'MRS LIST'!J96</f>
        <v>430</v>
      </c>
      <c r="H96" s="87"/>
    </row>
    <row r="97" spans="1:8" s="52" customFormat="1" ht="32.1" customHeight="1">
      <c r="A97" s="82">
        <f t="shared" si="1"/>
        <v>92</v>
      </c>
      <c r="B97" s="128" t="str">
        <f>MRS!B97&amp;" "&amp;MRS!D97</f>
        <v xml:space="preserve">A/C Copper Tube Set 1/4"x15mtr </v>
      </c>
      <c r="C97" s="129"/>
      <c r="D97" s="83" t="str">
        <f>MRS!G97</f>
        <v>Nos</v>
      </c>
      <c r="E97" s="84">
        <f>MRS!H97</f>
        <v>1</v>
      </c>
      <c r="F97" s="85">
        <f>+'MRS LIST'!I97</f>
        <v>143</v>
      </c>
      <c r="G97" s="86">
        <f>+'MRS LIST'!J97</f>
        <v>143</v>
      </c>
      <c r="H97" s="87"/>
    </row>
    <row r="98" spans="1:8" s="52" customFormat="1" ht="32.1" customHeight="1">
      <c r="A98" s="82">
        <f t="shared" si="1"/>
        <v>93</v>
      </c>
      <c r="B98" s="128" t="str">
        <f>MRS!B98&amp;" "&amp;MRS!D98</f>
        <v xml:space="preserve">Insulation Copper Pipe 5/8" x 15mtr </v>
      </c>
      <c r="C98" s="129"/>
      <c r="D98" s="83" t="str">
        <f>MRS!G98</f>
        <v>Nos</v>
      </c>
      <c r="E98" s="84">
        <f>MRS!H98</f>
        <v>1</v>
      </c>
      <c r="F98" s="85">
        <f>+'MRS LIST'!I98</f>
        <v>18</v>
      </c>
      <c r="G98" s="86">
        <f>+'MRS LIST'!J98</f>
        <v>18</v>
      </c>
      <c r="H98" s="87"/>
    </row>
    <row r="99" spans="1:8" s="52" customFormat="1" ht="32.1" customHeight="1">
      <c r="A99" s="82">
        <f t="shared" si="1"/>
        <v>94</v>
      </c>
      <c r="B99" s="128" t="str">
        <f>MRS!B99&amp;" "&amp;MRS!D99</f>
        <v xml:space="preserve">Insulation Copper Pipe 1/4" x 15mtr </v>
      </c>
      <c r="C99" s="129"/>
      <c r="D99" s="83" t="str">
        <f>MRS!G99</f>
        <v>Nos</v>
      </c>
      <c r="E99" s="84">
        <f>MRS!H99</f>
        <v>6</v>
      </c>
      <c r="F99" s="85">
        <f>+'MRS LIST'!I99</f>
        <v>12</v>
      </c>
      <c r="G99" s="86">
        <f>+'MRS LIST'!J99</f>
        <v>72</v>
      </c>
      <c r="H99" s="87"/>
    </row>
    <row r="100" spans="1:8" s="52" customFormat="1" ht="32.1" customHeight="1">
      <c r="A100" s="82">
        <f t="shared" si="1"/>
        <v>95</v>
      </c>
      <c r="B100" s="128" t="str">
        <f>MRS!B100&amp;" "&amp;MRS!D100</f>
        <v xml:space="preserve">Insulation Tape Black 2" </v>
      </c>
      <c r="C100" s="129"/>
      <c r="D100" s="83" t="str">
        <f>MRS!G100</f>
        <v>Nos</v>
      </c>
      <c r="E100" s="84">
        <f>MRS!H100</f>
        <v>6</v>
      </c>
      <c r="F100" s="85">
        <f>+'MRS LIST'!I100</f>
        <v>3.5</v>
      </c>
      <c r="G100" s="86">
        <f>+'MRS LIST'!J100</f>
        <v>21</v>
      </c>
      <c r="H100" s="87"/>
    </row>
    <row r="101" spans="1:8" s="52" customFormat="1" ht="32.1" customHeight="1">
      <c r="A101" s="82">
        <f t="shared" si="1"/>
        <v>96</v>
      </c>
      <c r="B101" s="128" t="str">
        <f>MRS!B101&amp;" "&amp;MRS!D101</f>
        <v xml:space="preserve">Thread Dies 1/2"-3/4" NPT 89101 Asada </v>
      </c>
      <c r="C101" s="129"/>
      <c r="D101" s="83" t="str">
        <f>MRS!G101</f>
        <v>Nos</v>
      </c>
      <c r="E101" s="84">
        <f>MRS!H101</f>
        <v>14</v>
      </c>
      <c r="F101" s="85">
        <f>+'MRS LIST'!I101</f>
        <v>673</v>
      </c>
      <c r="G101" s="86">
        <f>+'MRS LIST'!J101</f>
        <v>9422</v>
      </c>
      <c r="H101" s="87"/>
    </row>
    <row r="102" spans="1:8" s="52" customFormat="1" ht="32.1" customHeight="1">
      <c r="A102" s="82">
        <f t="shared" si="1"/>
        <v>97</v>
      </c>
      <c r="B102" s="128" t="str">
        <f>MRS!B102&amp;" "&amp;MRS!D102</f>
        <v xml:space="preserve">Thread Dies 1"-2" NPT 89102 Asada </v>
      </c>
      <c r="C102" s="129"/>
      <c r="D102" s="83" t="str">
        <f>MRS!G102</f>
        <v>Nos</v>
      </c>
      <c r="E102" s="84">
        <f>MRS!H102</f>
        <v>10</v>
      </c>
      <c r="F102" s="85">
        <f>+'MRS LIST'!I102</f>
        <v>715</v>
      </c>
      <c r="G102" s="86">
        <f>+'MRS LIST'!J102</f>
        <v>7150</v>
      </c>
      <c r="H102" s="87"/>
    </row>
    <row r="103" spans="1:8" s="52" customFormat="1" ht="32.1" customHeight="1">
      <c r="A103" s="82">
        <f t="shared" si="1"/>
        <v>98</v>
      </c>
      <c r="B103" s="128" t="str">
        <f>MRS!B103&amp;" "&amp;MRS!D103</f>
        <v xml:space="preserve">Thread Dies 2-1/2"-4" NPT for Asada </v>
      </c>
      <c r="C103" s="129"/>
      <c r="D103" s="83" t="str">
        <f>MRS!G103</f>
        <v>Nos</v>
      </c>
      <c r="E103" s="84">
        <f>MRS!H103</f>
        <v>5</v>
      </c>
      <c r="F103" s="85">
        <f>+'MRS LIST'!I103</f>
        <v>972</v>
      </c>
      <c r="G103" s="86">
        <f>+'MRS LIST'!J103</f>
        <v>4860</v>
      </c>
      <c r="H103" s="87"/>
    </row>
    <row r="104" spans="1:8" s="52" customFormat="1" ht="32.1" customHeight="1">
      <c r="A104" s="82">
        <f t="shared" si="1"/>
        <v>99</v>
      </c>
      <c r="B104" s="128" t="str">
        <f>MRS!B104&amp;" "&amp;MRS!D104</f>
        <v xml:space="preserve">Combination Spanner 16mm </v>
      </c>
      <c r="C104" s="129"/>
      <c r="D104" s="83" t="str">
        <f>MRS!G104</f>
        <v>Nos</v>
      </c>
      <c r="E104" s="84">
        <f>MRS!H104</f>
        <v>10</v>
      </c>
      <c r="F104" s="85">
        <f>+'MRS LIST'!I104</f>
        <v>12</v>
      </c>
      <c r="G104" s="86">
        <f>+'MRS LIST'!J104</f>
        <v>120</v>
      </c>
      <c r="H104" s="87"/>
    </row>
    <row r="105" spans="1:8" s="52" customFormat="1" ht="32.1" customHeight="1">
      <c r="A105" s="82">
        <f t="shared" si="1"/>
        <v>100</v>
      </c>
      <c r="B105" s="128" t="str">
        <f>MRS!B105&amp;" "&amp;MRS!D105</f>
        <v xml:space="preserve">Combination Spanner 17mm </v>
      </c>
      <c r="C105" s="129"/>
      <c r="D105" s="83" t="str">
        <f>MRS!G105</f>
        <v>Nos</v>
      </c>
      <c r="E105" s="84">
        <f>MRS!H105</f>
        <v>6</v>
      </c>
      <c r="F105" s="85">
        <f>+'MRS LIST'!I105</f>
        <v>14</v>
      </c>
      <c r="G105" s="86">
        <f>+'MRS LIST'!J105</f>
        <v>84</v>
      </c>
      <c r="H105" s="87"/>
    </row>
    <row r="106" spans="1:8" s="52" customFormat="1" ht="32.1" customHeight="1">
      <c r="A106" s="82">
        <f t="shared" si="1"/>
        <v>101</v>
      </c>
      <c r="B106" s="128" t="str">
        <f>MRS!B106&amp;" "&amp;MRS!D106</f>
        <v xml:space="preserve">Combination Spanner 19mm </v>
      </c>
      <c r="C106" s="129"/>
      <c r="D106" s="83" t="str">
        <f>MRS!G106</f>
        <v>Nos</v>
      </c>
      <c r="E106" s="84">
        <f>MRS!H106</f>
        <v>6</v>
      </c>
      <c r="F106" s="85">
        <f>+'MRS LIST'!I106</f>
        <v>16</v>
      </c>
      <c r="G106" s="86">
        <f>+'MRS LIST'!J106</f>
        <v>96</v>
      </c>
      <c r="H106" s="87"/>
    </row>
    <row r="107" spans="1:8" s="52" customFormat="1" ht="32.1" customHeight="1">
      <c r="A107" s="82">
        <f t="shared" si="1"/>
        <v>102</v>
      </c>
      <c r="B107" s="128" t="str">
        <f>MRS!B107&amp;" "&amp;MRS!D107</f>
        <v xml:space="preserve">Combination Spanner 21mm </v>
      </c>
      <c r="C107" s="129"/>
      <c r="D107" s="83" t="str">
        <f>MRS!G107</f>
        <v>Nos</v>
      </c>
      <c r="E107" s="84">
        <f>MRS!H107</f>
        <v>6</v>
      </c>
      <c r="F107" s="85">
        <f>+'MRS LIST'!I107</f>
        <v>18</v>
      </c>
      <c r="G107" s="86">
        <f>+'MRS LIST'!J107</f>
        <v>108</v>
      </c>
      <c r="H107" s="87"/>
    </row>
    <row r="108" spans="1:8" s="52" customFormat="1" ht="32.1" customHeight="1">
      <c r="A108" s="82">
        <f t="shared" si="1"/>
        <v>103</v>
      </c>
      <c r="B108" s="128" t="str">
        <f>MRS!B108&amp;" "&amp;MRS!D108</f>
        <v xml:space="preserve">Combination Spanner 22mm </v>
      </c>
      <c r="C108" s="129"/>
      <c r="D108" s="83" t="str">
        <f>MRS!G108</f>
        <v>Nos</v>
      </c>
      <c r="E108" s="84">
        <f>MRS!H108</f>
        <v>70</v>
      </c>
      <c r="F108" s="85">
        <f>+'MRS LIST'!I108</f>
        <v>19</v>
      </c>
      <c r="G108" s="86">
        <f>+'MRS LIST'!J108</f>
        <v>1330</v>
      </c>
      <c r="H108" s="87"/>
    </row>
    <row r="109" spans="1:8" s="52" customFormat="1" ht="32.1" customHeight="1">
      <c r="A109" s="82">
        <f t="shared" si="1"/>
        <v>104</v>
      </c>
      <c r="B109" s="128" t="str">
        <f>MRS!B109&amp;" "&amp;MRS!D109</f>
        <v xml:space="preserve">Combination Spanner 24mm </v>
      </c>
      <c r="C109" s="129"/>
      <c r="D109" s="83" t="str">
        <f>MRS!G109</f>
        <v>Nos</v>
      </c>
      <c r="E109" s="84">
        <f>MRS!H109</f>
        <v>20</v>
      </c>
      <c r="F109" s="85">
        <f>+'MRS LIST'!I109</f>
        <v>21</v>
      </c>
      <c r="G109" s="86">
        <f>+'MRS LIST'!J109</f>
        <v>420</v>
      </c>
      <c r="H109" s="87"/>
    </row>
    <row r="110" spans="1:8" s="52" customFormat="1" ht="32.1" customHeight="1">
      <c r="A110" s="82">
        <f t="shared" si="1"/>
        <v>105</v>
      </c>
      <c r="B110" s="128" t="str">
        <f>MRS!B110&amp;" "&amp;MRS!D110</f>
        <v xml:space="preserve">Combination Spanner 25mm </v>
      </c>
      <c r="C110" s="129"/>
      <c r="D110" s="83" t="str">
        <f>MRS!G110</f>
        <v>Nos</v>
      </c>
      <c r="E110" s="84">
        <f>MRS!H110</f>
        <v>10</v>
      </c>
      <c r="F110" s="85">
        <f>+'MRS LIST'!I110</f>
        <v>23</v>
      </c>
      <c r="G110" s="86">
        <f>+'MRS LIST'!J110</f>
        <v>230</v>
      </c>
      <c r="H110" s="87"/>
    </row>
    <row r="111" spans="1:8" s="52" customFormat="1" ht="32.1" customHeight="1">
      <c r="A111" s="82">
        <f t="shared" si="1"/>
        <v>106</v>
      </c>
      <c r="B111" s="128" t="str">
        <f>MRS!B111&amp;" "&amp;MRS!D111</f>
        <v xml:space="preserve">Combination Spanner 27mm </v>
      </c>
      <c r="C111" s="129"/>
      <c r="D111" s="83" t="str">
        <f>MRS!G111</f>
        <v>Nos</v>
      </c>
      <c r="E111" s="84">
        <f>MRS!H111</f>
        <v>20</v>
      </c>
      <c r="F111" s="85">
        <f>+'MRS LIST'!I111</f>
        <v>25</v>
      </c>
      <c r="G111" s="86">
        <f>+'MRS LIST'!J111</f>
        <v>500</v>
      </c>
      <c r="H111" s="87"/>
    </row>
    <row r="112" spans="1:8" s="52" customFormat="1" ht="32.1" customHeight="1">
      <c r="A112" s="82">
        <f t="shared" si="1"/>
        <v>107</v>
      </c>
      <c r="B112" s="128" t="str">
        <f>MRS!B112&amp;" "&amp;MRS!D112</f>
        <v xml:space="preserve">Combination Spanner 30mm </v>
      </c>
      <c r="C112" s="129"/>
      <c r="D112" s="83" t="str">
        <f>MRS!G112</f>
        <v>Nos</v>
      </c>
      <c r="E112" s="84">
        <f>MRS!H112</f>
        <v>10</v>
      </c>
      <c r="F112" s="85">
        <f>+'MRS LIST'!I112</f>
        <v>28</v>
      </c>
      <c r="G112" s="86">
        <f>+'MRS LIST'!J112</f>
        <v>280</v>
      </c>
      <c r="H112" s="87"/>
    </row>
    <row r="113" spans="1:8" s="52" customFormat="1" ht="32.1" customHeight="1">
      <c r="A113" s="82">
        <f t="shared" si="1"/>
        <v>108</v>
      </c>
      <c r="B113" s="128" t="str">
        <f>MRS!B113&amp;" "&amp;MRS!D113</f>
        <v xml:space="preserve">Combination Spanner 32mm </v>
      </c>
      <c r="C113" s="129"/>
      <c r="D113" s="83" t="str">
        <f>MRS!G113</f>
        <v>Nos</v>
      </c>
      <c r="E113" s="84">
        <f>MRS!H113</f>
        <v>20</v>
      </c>
      <c r="F113" s="85">
        <f>+'MRS LIST'!I113</f>
        <v>30</v>
      </c>
      <c r="G113" s="86">
        <f>+'MRS LIST'!J113</f>
        <v>600</v>
      </c>
      <c r="H113" s="87"/>
    </row>
    <row r="114" spans="1:8" s="52" customFormat="1" ht="32.1" customHeight="1">
      <c r="A114" s="82">
        <f t="shared" si="1"/>
        <v>109</v>
      </c>
      <c r="B114" s="128" t="str">
        <f>MRS!B114&amp;" "&amp;MRS!D114</f>
        <v xml:space="preserve">Combination Spanner 34mm </v>
      </c>
      <c r="C114" s="129"/>
      <c r="D114" s="83" t="str">
        <f>MRS!G114</f>
        <v>Nos</v>
      </c>
      <c r="E114" s="84">
        <f>MRS!H114</f>
        <v>10</v>
      </c>
      <c r="F114" s="85">
        <f>+'MRS LIST'!I114</f>
        <v>45</v>
      </c>
      <c r="G114" s="86">
        <f>+'MRS LIST'!J114</f>
        <v>450</v>
      </c>
      <c r="H114" s="87"/>
    </row>
    <row r="115" spans="1:8" s="52" customFormat="1" ht="32.1" customHeight="1">
      <c r="A115" s="82">
        <f t="shared" si="1"/>
        <v>110</v>
      </c>
      <c r="B115" s="128" t="str">
        <f>MRS!B115&amp;" "&amp;MRS!D115</f>
        <v xml:space="preserve">Combination Spanner 36mm </v>
      </c>
      <c r="C115" s="129"/>
      <c r="D115" s="83" t="str">
        <f>MRS!G115</f>
        <v>Nos</v>
      </c>
      <c r="E115" s="84">
        <f>MRS!H115</f>
        <v>20</v>
      </c>
      <c r="F115" s="85">
        <f>+'MRS LIST'!I115</f>
        <v>48</v>
      </c>
      <c r="G115" s="86">
        <f>+'MRS LIST'!J115</f>
        <v>960</v>
      </c>
      <c r="H115" s="87"/>
    </row>
    <row r="116" spans="1:8" s="52" customFormat="1" ht="32.1" customHeight="1">
      <c r="A116" s="82">
        <f t="shared" si="1"/>
        <v>111</v>
      </c>
      <c r="B116" s="128" t="str">
        <f>MRS!B116&amp;" "&amp;MRS!D116</f>
        <v xml:space="preserve">Combination Spanner 41mm </v>
      </c>
      <c r="C116" s="129"/>
      <c r="D116" s="83" t="str">
        <f>MRS!G116</f>
        <v>Nos</v>
      </c>
      <c r="E116" s="84">
        <f>MRS!H116</f>
        <v>28</v>
      </c>
      <c r="F116" s="85">
        <f>+'MRS LIST'!I116</f>
        <v>59</v>
      </c>
      <c r="G116" s="86">
        <f>+'MRS LIST'!J116</f>
        <v>1652</v>
      </c>
      <c r="H116" s="87"/>
    </row>
    <row r="117" spans="1:8" s="52" customFormat="1" ht="32.1" customHeight="1">
      <c r="A117" s="82">
        <f t="shared" si="1"/>
        <v>112</v>
      </c>
      <c r="B117" s="128" t="str">
        <f>MRS!B117&amp;" "&amp;MRS!D117</f>
        <v xml:space="preserve">Combination Spanner 46mm </v>
      </c>
      <c r="C117" s="129"/>
      <c r="D117" s="83" t="str">
        <f>MRS!G117</f>
        <v>Nos</v>
      </c>
      <c r="E117" s="84">
        <f>MRS!H117</f>
        <v>20</v>
      </c>
      <c r="F117" s="85">
        <f>+'MRS LIST'!I117</f>
        <v>63</v>
      </c>
      <c r="G117" s="86">
        <f>+'MRS LIST'!J117</f>
        <v>1260</v>
      </c>
      <c r="H117" s="87"/>
    </row>
    <row r="118" spans="1:8" s="52" customFormat="1" ht="32.1" customHeight="1">
      <c r="A118" s="82">
        <f t="shared" si="1"/>
        <v>113</v>
      </c>
      <c r="B118" s="128" t="str">
        <f>MRS!B118&amp;" "&amp;MRS!D118</f>
        <v xml:space="preserve">Combination Spanner Set 6-32mm Open Type </v>
      </c>
      <c r="C118" s="129"/>
      <c r="D118" s="83" t="str">
        <f>MRS!G118</f>
        <v>Nos</v>
      </c>
      <c r="E118" s="84">
        <f>MRS!H118</f>
        <v>5</v>
      </c>
      <c r="F118" s="85">
        <f>+'MRS LIST'!I118</f>
        <v>230</v>
      </c>
      <c r="G118" s="86">
        <f>+'MRS LIST'!J118</f>
        <v>1150</v>
      </c>
      <c r="H118" s="87"/>
    </row>
    <row r="119" spans="1:8" s="52" customFormat="1" ht="32.1" customHeight="1">
      <c r="A119" s="82">
        <f t="shared" si="1"/>
        <v>114</v>
      </c>
      <c r="B119" s="128" t="str">
        <f>MRS!B119&amp;" "&amp;MRS!D119</f>
        <v xml:space="preserve">Electronic Torque Control Wrench (From Japan)
Model : STC12TE, TONE Japan
Torque : 600-1200Nm, 1" SQ DR.
Power : 220-230V, Weight : 17kg </v>
      </c>
      <c r="C119" s="129"/>
      <c r="D119" s="83" t="str">
        <f>MRS!G119</f>
        <v>Nos</v>
      </c>
      <c r="E119" s="84">
        <f>MRS!H119</f>
        <v>2</v>
      </c>
      <c r="F119" s="85">
        <f>+'MRS LIST'!I119</f>
        <v>16000</v>
      </c>
      <c r="G119" s="86">
        <f>+'MRS LIST'!J119</f>
        <v>32000</v>
      </c>
      <c r="H119" s="87"/>
    </row>
    <row r="120" spans="1:8" s="52" customFormat="1" ht="32.1" customHeight="1">
      <c r="A120" s="82">
        <f t="shared" si="1"/>
        <v>115</v>
      </c>
      <c r="B120" s="128" t="str">
        <f>MRS!B120&amp;" "&amp;MRS!D120</f>
        <v xml:space="preserve">L-Shaped Reaction Bar for GSR122E/STC12TE
#150LH110, TONE Japan </v>
      </c>
      <c r="C120" s="129"/>
      <c r="D120" s="83" t="str">
        <f>MRS!G120</f>
        <v>Pair</v>
      </c>
      <c r="E120" s="84">
        <f>MRS!H120</f>
        <v>10</v>
      </c>
      <c r="F120" s="85">
        <f>+'MRS LIST'!I120</f>
        <v>423</v>
      </c>
      <c r="G120" s="86">
        <f>+'MRS LIST'!J120</f>
        <v>4230</v>
      </c>
      <c r="H120" s="87"/>
    </row>
    <row r="121" spans="1:8" s="52" customFormat="1" ht="32.1" customHeight="1">
      <c r="A121" s="82">
        <f t="shared" si="1"/>
        <v>116</v>
      </c>
      <c r="B121" s="128" t="str">
        <f>MRS!B121&amp;" "&amp;MRS!D121</f>
        <v xml:space="preserve">Right Angle 12" </v>
      </c>
      <c r="C121" s="129"/>
      <c r="D121" s="83" t="str">
        <f>MRS!G121</f>
        <v>Nos</v>
      </c>
      <c r="E121" s="84">
        <f>MRS!H121</f>
        <v>6</v>
      </c>
      <c r="F121" s="85">
        <f>+'MRS LIST'!I121</f>
        <v>7</v>
      </c>
      <c r="G121" s="86">
        <f>+'MRS LIST'!J121</f>
        <v>42</v>
      </c>
      <c r="H121" s="87"/>
    </row>
    <row r="122" spans="1:8" s="52" customFormat="1" ht="32.1" customHeight="1">
      <c r="A122" s="82">
        <f t="shared" si="1"/>
        <v>117</v>
      </c>
      <c r="B122" s="128" t="str">
        <f>MRS!B122&amp;" "&amp;MRS!D122</f>
        <v xml:space="preserve">Right Angle 24" </v>
      </c>
      <c r="C122" s="129"/>
      <c r="D122" s="83" t="str">
        <f>MRS!G122</f>
        <v>Nos</v>
      </c>
      <c r="E122" s="84">
        <f>MRS!H122</f>
        <v>6</v>
      </c>
      <c r="F122" s="85">
        <f>+'MRS LIST'!I122</f>
        <v>12</v>
      </c>
      <c r="G122" s="86">
        <f>+'MRS LIST'!J122</f>
        <v>72</v>
      </c>
      <c r="H122" s="87"/>
    </row>
    <row r="123" spans="1:8" s="52" customFormat="1" ht="32.1" customHeight="1">
      <c r="A123" s="82">
        <f t="shared" si="1"/>
        <v>118</v>
      </c>
      <c r="B123" s="128" t="str">
        <f>MRS!B123&amp;" "&amp;MRS!D123</f>
        <v xml:space="preserve">Board Head Bull Pin 1-1/16"(27mm) Heat Treated Alloy Steel </v>
      </c>
      <c r="C123" s="129"/>
      <c r="D123" s="83" t="str">
        <f>MRS!G123</f>
        <v>Nos</v>
      </c>
      <c r="E123" s="84">
        <f>MRS!H123</f>
        <v>4</v>
      </c>
      <c r="F123" s="85">
        <f>+'MRS LIST'!I123</f>
        <v>210</v>
      </c>
      <c r="G123" s="86">
        <f>+'MRS LIST'!J123</f>
        <v>840</v>
      </c>
      <c r="H123" s="87"/>
    </row>
    <row r="124" spans="1:8" s="52" customFormat="1" ht="32.1" customHeight="1">
      <c r="A124" s="82">
        <f t="shared" si="1"/>
        <v>119</v>
      </c>
      <c r="B124" s="128" t="str">
        <f>MRS!B124&amp;" "&amp;MRS!D124</f>
        <v xml:space="preserve">Alignment Pry Bar 24mm dia x 1000mm length </v>
      </c>
      <c r="C124" s="129"/>
      <c r="D124" s="83" t="str">
        <f>MRS!G124</f>
        <v>Nos</v>
      </c>
      <c r="E124" s="84">
        <f>MRS!H124</f>
        <v>6</v>
      </c>
      <c r="F124" s="85">
        <f>+'MRS LIST'!I124</f>
        <v>256</v>
      </c>
      <c r="G124" s="86">
        <f>+'MRS LIST'!J124</f>
        <v>1536</v>
      </c>
      <c r="H124" s="87"/>
    </row>
    <row r="125" spans="1:8" s="52" customFormat="1" ht="32.1" customHeight="1">
      <c r="A125" s="82">
        <f t="shared" si="1"/>
        <v>120</v>
      </c>
      <c r="B125" s="128" t="str">
        <f>MRS!B125&amp;" "&amp;MRS!D125</f>
        <v xml:space="preserve">Cordless Angle Grinder 5" PD SW with 2-Batt+Charger DCG408NT Dewalt </v>
      </c>
      <c r="C125" s="129"/>
      <c r="D125" s="83" t="str">
        <f>MRS!G125</f>
        <v>Nos</v>
      </c>
      <c r="E125" s="84">
        <f>MRS!H125</f>
        <v>13</v>
      </c>
      <c r="F125" s="85">
        <f>+'MRS LIST'!I125</f>
        <v>1842</v>
      </c>
      <c r="G125" s="86">
        <f>+'MRS LIST'!J125</f>
        <v>23946</v>
      </c>
      <c r="H125" s="87"/>
    </row>
    <row r="126" spans="1:8" s="52" customFormat="1" ht="32.1" customHeight="1">
      <c r="A126" s="82">
        <f t="shared" si="1"/>
        <v>121</v>
      </c>
      <c r="B126" s="128" t="str">
        <f>MRS!B126&amp;" "&amp;MRS!D126</f>
        <v xml:space="preserve">Drill Bit HSS Cobalt (S/S) 4mm </v>
      </c>
      <c r="C126" s="129"/>
      <c r="D126" s="83" t="str">
        <f>MRS!G126</f>
        <v>Nos</v>
      </c>
      <c r="E126" s="84">
        <f>MRS!H126</f>
        <v>30</v>
      </c>
      <c r="F126" s="85">
        <f>+'MRS LIST'!I126</f>
        <v>3.4</v>
      </c>
      <c r="G126" s="86">
        <f>+'MRS LIST'!J126</f>
        <v>102</v>
      </c>
      <c r="H126" s="87"/>
    </row>
    <row r="127" spans="1:8" s="52" customFormat="1" ht="32.1" customHeight="1">
      <c r="A127" s="82">
        <f t="shared" si="1"/>
        <v>122</v>
      </c>
      <c r="B127" s="128" t="str">
        <f>MRS!B127&amp;" "&amp;MRS!D127</f>
        <v xml:space="preserve">Drill Bit HSS Cobalt (S/S) 13mm </v>
      </c>
      <c r="C127" s="129"/>
      <c r="D127" s="83" t="str">
        <f>MRS!G127</f>
        <v>Nos</v>
      </c>
      <c r="E127" s="84">
        <f>MRS!H127</f>
        <v>50</v>
      </c>
      <c r="F127" s="85">
        <f>+'MRS LIST'!I127</f>
        <v>26</v>
      </c>
      <c r="G127" s="86">
        <f>+'MRS LIST'!J127</f>
        <v>1300</v>
      </c>
      <c r="H127" s="87"/>
    </row>
    <row r="128" spans="1:8" s="52" customFormat="1" ht="32.1" customHeight="1">
      <c r="A128" s="82">
        <f t="shared" si="1"/>
        <v>123</v>
      </c>
      <c r="B128" s="128" t="str">
        <f>MRS!B128&amp;" "&amp;MRS!D128</f>
        <v xml:space="preserve">Impact Socket S/S 3/8"dr x 6mm Short </v>
      </c>
      <c r="C128" s="129"/>
      <c r="D128" s="83" t="str">
        <f>MRS!G128</f>
        <v>Nos</v>
      </c>
      <c r="E128" s="84">
        <f>MRS!H128</f>
        <v>10</v>
      </c>
      <c r="F128" s="85">
        <f>+'MRS LIST'!I128</f>
        <v>12</v>
      </c>
      <c r="G128" s="86">
        <f>+'MRS LIST'!J128</f>
        <v>120</v>
      </c>
      <c r="H128" s="87"/>
    </row>
    <row r="129" spans="1:8" s="52" customFormat="1" ht="32.1" customHeight="1">
      <c r="A129" s="82">
        <f t="shared" si="1"/>
        <v>124</v>
      </c>
      <c r="B129" s="128" t="str">
        <f>MRS!B129&amp;" "&amp;MRS!D129</f>
        <v xml:space="preserve">Allen Key Hex Set 1.5-10mm </v>
      </c>
      <c r="C129" s="129"/>
      <c r="D129" s="83" t="str">
        <f>MRS!G129</f>
        <v>Nos</v>
      </c>
      <c r="E129" s="84">
        <f>MRS!H129</f>
        <v>15</v>
      </c>
      <c r="F129" s="85">
        <f>+'MRS LIST'!I129</f>
        <v>11</v>
      </c>
      <c r="G129" s="86">
        <f>+'MRS LIST'!J129</f>
        <v>165</v>
      </c>
      <c r="H129" s="87"/>
    </row>
    <row r="130" spans="1:8" s="52" customFormat="1" ht="32.1" customHeight="1">
      <c r="A130" s="82">
        <f t="shared" si="1"/>
        <v>125</v>
      </c>
      <c r="B130" s="128" t="str">
        <f>MRS!B130&amp;" "&amp;MRS!D130</f>
        <v xml:space="preserve">Single Gas Detector H2S 500PPM T40 II Rattler ISC </v>
      </c>
      <c r="C130" s="129"/>
      <c r="D130" s="83" t="str">
        <f>MRS!G130</f>
        <v>Nos</v>
      </c>
      <c r="E130" s="84">
        <f>MRS!H130</f>
        <v>13</v>
      </c>
      <c r="F130" s="85">
        <f>+'MRS LIST'!I130</f>
        <v>390</v>
      </c>
      <c r="G130" s="86">
        <f>+'MRS LIST'!J130</f>
        <v>5070</v>
      </c>
      <c r="H130" s="87"/>
    </row>
    <row r="131" spans="1:8" s="52" customFormat="1" ht="32.1" customHeight="1">
      <c r="A131" s="82">
        <f t="shared" si="1"/>
        <v>126</v>
      </c>
      <c r="B131" s="128" t="str">
        <f>MRS!B131&amp;" "&amp;MRS!D131</f>
        <v xml:space="preserve">Multi Gas Detector Max XT with Pump Honeywell </v>
      </c>
      <c r="C131" s="129"/>
      <c r="D131" s="83" t="str">
        <f>MRS!G131</f>
        <v>Nos</v>
      </c>
      <c r="E131" s="84">
        <f>MRS!H131</f>
        <v>12</v>
      </c>
      <c r="F131" s="85">
        <f>+'MRS LIST'!I131</f>
        <v>2820</v>
      </c>
      <c r="G131" s="86">
        <f>+'MRS LIST'!J131</f>
        <v>33840</v>
      </c>
      <c r="H131" s="87"/>
    </row>
    <row r="132" spans="1:8" s="52" customFormat="1" ht="32.1" customHeight="1">
      <c r="A132" s="82">
        <f t="shared" si="1"/>
        <v>127</v>
      </c>
      <c r="B132" s="128" t="str">
        <f>MRS!B132&amp;" "&amp;MRS!D132</f>
        <v xml:space="preserve">AC Gas Refilling Hose  Red/Blue for R410A </v>
      </c>
      <c r="C132" s="129"/>
      <c r="D132" s="83" t="str">
        <f>MRS!G132</f>
        <v>Nos</v>
      </c>
      <c r="E132" s="84">
        <f>MRS!H132</f>
        <v>1</v>
      </c>
      <c r="F132" s="85">
        <f>+'MRS LIST'!I132</f>
        <v>86</v>
      </c>
      <c r="G132" s="86">
        <f>+'MRS LIST'!J132</f>
        <v>86</v>
      </c>
      <c r="H132" s="87"/>
    </row>
    <row r="133" spans="1:8" s="52" customFormat="1" ht="32.1" customHeight="1">
      <c r="A133" s="82">
        <f t="shared" si="1"/>
        <v>128</v>
      </c>
      <c r="B133" s="128" t="str">
        <f>MRS!B133&amp;" "&amp;MRS!D133</f>
        <v xml:space="preserve">Air Blower 220V HPT002 Hyundai </v>
      </c>
      <c r="C133" s="129"/>
      <c r="D133" s="83" t="str">
        <f>MRS!G133</f>
        <v>Nos</v>
      </c>
      <c r="E133" s="84">
        <f>MRS!H133</f>
        <v>50</v>
      </c>
      <c r="F133" s="85">
        <f>+'MRS LIST'!I133</f>
        <v>175</v>
      </c>
      <c r="G133" s="86">
        <f>+'MRS LIST'!J133</f>
        <v>8750</v>
      </c>
      <c r="H133" s="87"/>
    </row>
    <row r="134" spans="1:8" s="52" customFormat="1" ht="32.1" customHeight="1">
      <c r="A134" s="82">
        <f t="shared" ref="A134:A197" si="2">ROW(A129)</f>
        <v>129</v>
      </c>
      <c r="B134" s="128" t="str">
        <f>MRS!B134&amp;" "&amp;MRS!D134</f>
        <v xml:space="preserve">Allen Key Star Set  T9-T40 </v>
      </c>
      <c r="C134" s="129"/>
      <c r="D134" s="83" t="str">
        <f>MRS!G134</f>
        <v>Nos</v>
      </c>
      <c r="E134" s="84">
        <f>MRS!H134</f>
        <v>5</v>
      </c>
      <c r="F134" s="85">
        <f>+'MRS LIST'!I134</f>
        <v>13.4</v>
      </c>
      <c r="G134" s="86">
        <f>+'MRS LIST'!J134</f>
        <v>67</v>
      </c>
      <c r="H134" s="87"/>
    </row>
    <row r="135" spans="1:8" s="52" customFormat="1" ht="32.1" customHeight="1">
      <c r="A135" s="82">
        <f t="shared" si="2"/>
        <v>130</v>
      </c>
      <c r="B135" s="128" t="str">
        <f>MRS!B135&amp;" "&amp;MRS!D135</f>
        <v xml:space="preserve">Angle Grinder 7" 220V with Paddle Switch DWE493-B5 Dewalt  </v>
      </c>
      <c r="C135" s="129"/>
      <c r="D135" s="83" t="str">
        <f>MRS!G135</f>
        <v>Nos</v>
      </c>
      <c r="E135" s="84">
        <f>MRS!H135</f>
        <v>10</v>
      </c>
      <c r="F135" s="85">
        <f>+'MRS LIST'!I135</f>
        <v>560</v>
      </c>
      <c r="G135" s="86">
        <f>+'MRS LIST'!J135</f>
        <v>5600</v>
      </c>
      <c r="H135" s="87"/>
    </row>
    <row r="136" spans="1:8" s="52" customFormat="1" ht="32.1" customHeight="1">
      <c r="A136" s="82">
        <f t="shared" si="2"/>
        <v>131</v>
      </c>
      <c r="B136" s="128" t="str">
        <f>MRS!B136&amp;" "&amp;MRS!D136</f>
        <v xml:space="preserve">Argon Flow Meter </v>
      </c>
      <c r="C136" s="129"/>
      <c r="D136" s="83" t="str">
        <f>MRS!G136</f>
        <v>Nos</v>
      </c>
      <c r="E136" s="84">
        <f>MRS!H136</f>
        <v>100</v>
      </c>
      <c r="F136" s="85">
        <f>+'MRS LIST'!I136</f>
        <v>78</v>
      </c>
      <c r="G136" s="86">
        <f>+'MRS LIST'!J136</f>
        <v>7800</v>
      </c>
      <c r="H136" s="87"/>
    </row>
    <row r="137" spans="1:8" s="52" customFormat="1" ht="32.1" customHeight="1">
      <c r="A137" s="82">
        <f t="shared" si="2"/>
        <v>132</v>
      </c>
      <c r="B137" s="128" t="str">
        <f>MRS!B137&amp;" "&amp;MRS!D137</f>
        <v xml:space="preserve">Argon Hose Black 1/4" WP20 Bar 300PSI 100Mtr </v>
      </c>
      <c r="C137" s="129"/>
      <c r="D137" s="83" t="str">
        <f>MRS!G137</f>
        <v>Nos</v>
      </c>
      <c r="E137" s="84">
        <f>MRS!H137</f>
        <v>30</v>
      </c>
      <c r="F137" s="85">
        <f>+'MRS LIST'!I137</f>
        <v>345</v>
      </c>
      <c r="G137" s="86">
        <f>+'MRS LIST'!J137</f>
        <v>10350</v>
      </c>
      <c r="H137" s="87"/>
    </row>
    <row r="138" spans="1:8" s="52" customFormat="1" ht="32.1" customHeight="1">
      <c r="A138" s="82">
        <f t="shared" si="2"/>
        <v>133</v>
      </c>
      <c r="B138" s="128" t="str">
        <f>MRS!B138&amp;" "&amp;MRS!D138</f>
        <v xml:space="preserve">Argon Regulator Set UL Listed </v>
      </c>
      <c r="C138" s="129"/>
      <c r="D138" s="83" t="str">
        <f>MRS!G138</f>
        <v>Nos</v>
      </c>
      <c r="E138" s="84">
        <f>MRS!H138</f>
        <v>50</v>
      </c>
      <c r="F138" s="85">
        <f>+'MRS LIST'!I138</f>
        <v>150</v>
      </c>
      <c r="G138" s="86">
        <f>+'MRS LIST'!J138</f>
        <v>7500</v>
      </c>
      <c r="H138" s="87"/>
    </row>
    <row r="139" spans="1:8" s="52" customFormat="1" ht="32.1" customHeight="1">
      <c r="A139" s="82">
        <f t="shared" si="2"/>
        <v>134</v>
      </c>
      <c r="B139" s="128" t="str">
        <f>MRS!B139&amp;" "&amp;MRS!D139</f>
        <v xml:space="preserve">Pilot Pin 6.35x103mm </v>
      </c>
      <c r="C139" s="129"/>
      <c r="D139" s="83" t="str">
        <f>MRS!G139</f>
        <v>Nos</v>
      </c>
      <c r="E139" s="84">
        <f>MRS!H139</f>
        <v>10</v>
      </c>
      <c r="F139" s="85">
        <f>+'MRS LIST'!I139</f>
        <v>22</v>
      </c>
      <c r="G139" s="86">
        <f>+'MRS LIST'!J139</f>
        <v>220</v>
      </c>
      <c r="H139" s="87"/>
    </row>
    <row r="140" spans="1:8" s="52" customFormat="1" ht="32.1" customHeight="1">
      <c r="A140" s="82">
        <f t="shared" si="2"/>
        <v>135</v>
      </c>
      <c r="B140" s="128" t="str">
        <f>MRS!B140&amp;" "&amp;MRS!D140</f>
        <v xml:space="preserve">Pilot Pin 7.98x106mm </v>
      </c>
      <c r="C140" s="129"/>
      <c r="D140" s="83" t="str">
        <f>MRS!G140</f>
        <v>Nos</v>
      </c>
      <c r="E140" s="84">
        <f>MRS!H140</f>
        <v>10</v>
      </c>
      <c r="F140" s="85">
        <f>+'MRS LIST'!I140</f>
        <v>24</v>
      </c>
      <c r="G140" s="86">
        <f>+'MRS LIST'!J140</f>
        <v>240</v>
      </c>
      <c r="H140" s="87"/>
    </row>
    <row r="141" spans="1:8" s="52" customFormat="1" ht="32.1" customHeight="1">
      <c r="A141" s="82">
        <f t="shared" si="2"/>
        <v>136</v>
      </c>
      <c r="B141" s="128" t="str">
        <f>MRS!B141&amp;" "&amp;MRS!D141</f>
        <v xml:space="preserve">Center Punch 6"X150mm </v>
      </c>
      <c r="C141" s="129"/>
      <c r="D141" s="83" t="str">
        <f>MRS!G141</f>
        <v>Nos</v>
      </c>
      <c r="E141" s="84">
        <f>MRS!H141</f>
        <v>20</v>
      </c>
      <c r="F141" s="85">
        <f>+'MRS LIST'!I141</f>
        <v>16</v>
      </c>
      <c r="G141" s="86">
        <f>+'MRS LIST'!J141</f>
        <v>320</v>
      </c>
      <c r="H141" s="87"/>
    </row>
    <row r="142" spans="1:8" s="52" customFormat="1" ht="32.1" customHeight="1">
      <c r="A142" s="82">
        <f t="shared" si="2"/>
        <v>137</v>
      </c>
      <c r="B142" s="128" t="str">
        <f>MRS!B142&amp;" "&amp;MRS!D142</f>
        <v xml:space="preserve">Ceramic Nozzle 250A #5 10N49 </v>
      </c>
      <c r="C142" s="129"/>
      <c r="D142" s="83" t="str">
        <f>MRS!G142</f>
        <v>Nos</v>
      </c>
      <c r="E142" s="84">
        <f>MRS!H142</f>
        <v>100</v>
      </c>
      <c r="F142" s="85">
        <f>+'MRS LIST'!I142</f>
        <v>2.2000000000000002</v>
      </c>
      <c r="G142" s="86">
        <f>+'MRS LIST'!J142</f>
        <v>220.00000000000003</v>
      </c>
      <c r="H142" s="87"/>
    </row>
    <row r="143" spans="1:8" s="52" customFormat="1" ht="32.1" customHeight="1">
      <c r="A143" s="82">
        <f t="shared" si="2"/>
        <v>138</v>
      </c>
      <c r="B143" s="128" t="str">
        <f>MRS!B143&amp;" "&amp;MRS!D143</f>
        <v xml:space="preserve">Ceramic Nozzle 250A #6 10N48 </v>
      </c>
      <c r="C143" s="129"/>
      <c r="D143" s="83" t="str">
        <f>MRS!G143</f>
        <v>Nos</v>
      </c>
      <c r="E143" s="84">
        <f>MRS!H143</f>
        <v>100</v>
      </c>
      <c r="F143" s="85">
        <f>+'MRS LIST'!I143</f>
        <v>2.2000000000000002</v>
      </c>
      <c r="G143" s="86">
        <f>+'MRS LIST'!J143</f>
        <v>220.00000000000003</v>
      </c>
      <c r="H143" s="87"/>
    </row>
    <row r="144" spans="1:8" s="52" customFormat="1" ht="32.1" customHeight="1">
      <c r="A144" s="82">
        <f t="shared" si="2"/>
        <v>139</v>
      </c>
      <c r="B144" s="128" t="str">
        <f>MRS!B144&amp;" "&amp;MRS!D144</f>
        <v xml:space="preserve">Ceramic Nozzle 250A #7 10N47 </v>
      </c>
      <c r="C144" s="129"/>
      <c r="D144" s="83" t="str">
        <f>MRS!G144</f>
        <v>Nos</v>
      </c>
      <c r="E144" s="84">
        <f>MRS!H144</f>
        <v>100</v>
      </c>
      <c r="F144" s="85">
        <f>+'MRS LIST'!I144</f>
        <v>2.2000000000000002</v>
      </c>
      <c r="G144" s="86">
        <f>+'MRS LIST'!J144</f>
        <v>220.00000000000003</v>
      </c>
      <c r="H144" s="87"/>
    </row>
    <row r="145" spans="1:8" s="52" customFormat="1" ht="32.1" customHeight="1">
      <c r="A145" s="82">
        <f t="shared" si="2"/>
        <v>140</v>
      </c>
      <c r="B145" s="128" t="str">
        <f>MRS!B145&amp;" "&amp;MRS!D145</f>
        <v xml:space="preserve">Ceramic Nozzle 250A #8 10N46 </v>
      </c>
      <c r="C145" s="129"/>
      <c r="D145" s="83" t="str">
        <f>MRS!G145</f>
        <v>Nos</v>
      </c>
      <c r="E145" s="84">
        <f>MRS!H145</f>
        <v>100</v>
      </c>
      <c r="F145" s="85">
        <f>+'MRS LIST'!I145</f>
        <v>2.2000000000000002</v>
      </c>
      <c r="G145" s="86">
        <f>+'MRS LIST'!J145</f>
        <v>220.00000000000003</v>
      </c>
      <c r="H145" s="87"/>
    </row>
    <row r="146" spans="1:8" s="52" customFormat="1" ht="32.1" customHeight="1">
      <c r="A146" s="82">
        <f t="shared" si="2"/>
        <v>141</v>
      </c>
      <c r="B146" s="128" t="str">
        <f>MRS!B146&amp;" "&amp;MRS!D146</f>
        <v xml:space="preserve">Ceramic Nozzle 500A #5 </v>
      </c>
      <c r="C146" s="129"/>
      <c r="D146" s="83" t="str">
        <f>MRS!G146</f>
        <v>Nos</v>
      </c>
      <c r="E146" s="84">
        <f>MRS!H146</f>
        <v>100</v>
      </c>
      <c r="F146" s="85">
        <f>+'MRS LIST'!I146</f>
        <v>12</v>
      </c>
      <c r="G146" s="86">
        <f>+'MRS LIST'!J146</f>
        <v>1200</v>
      </c>
      <c r="H146" s="87"/>
    </row>
    <row r="147" spans="1:8" s="52" customFormat="1" ht="32.1" customHeight="1">
      <c r="A147" s="82">
        <f t="shared" si="2"/>
        <v>142</v>
      </c>
      <c r="B147" s="128" t="str">
        <f>MRS!B147&amp;" "&amp;MRS!D147</f>
        <v xml:space="preserve">Ceramic Nozzle 500A #6 </v>
      </c>
      <c r="C147" s="129"/>
      <c r="D147" s="83" t="str">
        <f>MRS!G147</f>
        <v>Nos</v>
      </c>
      <c r="E147" s="84">
        <f>MRS!H147</f>
        <v>100</v>
      </c>
      <c r="F147" s="85">
        <f>+'MRS LIST'!I147</f>
        <v>12</v>
      </c>
      <c r="G147" s="86">
        <f>+'MRS LIST'!J147</f>
        <v>1200</v>
      </c>
      <c r="H147" s="87"/>
    </row>
    <row r="148" spans="1:8" s="52" customFormat="1" ht="32.1" customHeight="1">
      <c r="A148" s="82">
        <f t="shared" si="2"/>
        <v>143</v>
      </c>
      <c r="B148" s="128" t="str">
        <f>MRS!B148&amp;" "&amp;MRS!D148</f>
        <v xml:space="preserve">Ceramic Nozzle 500A #7 </v>
      </c>
      <c r="C148" s="129"/>
      <c r="D148" s="83" t="str">
        <f>MRS!G148</f>
        <v>Nos</v>
      </c>
      <c r="E148" s="84">
        <f>MRS!H148</f>
        <v>100</v>
      </c>
      <c r="F148" s="85">
        <f>+'MRS LIST'!I148</f>
        <v>12</v>
      </c>
      <c r="G148" s="86">
        <f>+'MRS LIST'!J148</f>
        <v>1200</v>
      </c>
      <c r="H148" s="87"/>
    </row>
    <row r="149" spans="1:8" s="52" customFormat="1" ht="32.1" customHeight="1">
      <c r="A149" s="82">
        <f t="shared" si="2"/>
        <v>144</v>
      </c>
      <c r="B149" s="128" t="str">
        <f>MRS!B149&amp;" "&amp;MRS!D149</f>
        <v xml:space="preserve">Ceramic Nozzle 500A #8 </v>
      </c>
      <c r="C149" s="129"/>
      <c r="D149" s="83" t="str">
        <f>MRS!G149</f>
        <v>Nos</v>
      </c>
      <c r="E149" s="84">
        <f>MRS!H149</f>
        <v>100</v>
      </c>
      <c r="F149" s="85">
        <f>+'MRS LIST'!I149</f>
        <v>12</v>
      </c>
      <c r="G149" s="86">
        <f>+'MRS LIST'!J149</f>
        <v>1200</v>
      </c>
      <c r="H149" s="87"/>
    </row>
    <row r="150" spans="1:8" s="52" customFormat="1" ht="32.1" customHeight="1">
      <c r="A150" s="82">
        <f t="shared" si="2"/>
        <v>145</v>
      </c>
      <c r="B150" s="128" t="str">
        <f>MRS!B150&amp;" "&amp;MRS!D150</f>
        <v xml:space="preserve">Injectable Mortar HIT-RE 500 V4/500 Hilti </v>
      </c>
      <c r="C150" s="129"/>
      <c r="D150" s="83" t="str">
        <f>MRS!G150</f>
        <v>Nos</v>
      </c>
      <c r="E150" s="84">
        <f>MRS!H150</f>
        <v>100</v>
      </c>
      <c r="F150" s="85">
        <f>+'MRS LIST'!I150</f>
        <v>258</v>
      </c>
      <c r="G150" s="86">
        <f>+'MRS LIST'!J150</f>
        <v>25800</v>
      </c>
      <c r="H150" s="87"/>
    </row>
    <row r="151" spans="1:8" s="52" customFormat="1" ht="32.1" customHeight="1">
      <c r="A151" s="82">
        <f t="shared" si="2"/>
        <v>146</v>
      </c>
      <c r="B151" s="128" t="str">
        <f>MRS!B151&amp;" "&amp;MRS!D151</f>
        <v xml:space="preserve">Concrete Drill Bit 16mmx210mm </v>
      </c>
      <c r="C151" s="129"/>
      <c r="D151" s="83" t="str">
        <f>MRS!G151</f>
        <v>Nos</v>
      </c>
      <c r="E151" s="84">
        <f>MRS!H151</f>
        <v>10</v>
      </c>
      <c r="F151" s="85">
        <f>+'MRS LIST'!I151</f>
        <v>9.5</v>
      </c>
      <c r="G151" s="86">
        <f>+'MRS LIST'!J151</f>
        <v>95</v>
      </c>
      <c r="H151" s="87"/>
    </row>
    <row r="152" spans="1:8" s="52" customFormat="1" ht="32.1" customHeight="1">
      <c r="A152" s="82">
        <f t="shared" si="2"/>
        <v>147</v>
      </c>
      <c r="B152" s="128" t="str">
        <f>MRS!B152&amp;" "&amp;MRS!D152</f>
        <v xml:space="preserve">Concrete Drill Bit 6mmx100mm </v>
      </c>
      <c r="C152" s="129"/>
      <c r="D152" s="83" t="str">
        <f>MRS!G152</f>
        <v>Nos</v>
      </c>
      <c r="E152" s="84">
        <f>MRS!H152</f>
        <v>10</v>
      </c>
      <c r="F152" s="85">
        <f>+'MRS LIST'!I152</f>
        <v>3.3</v>
      </c>
      <c r="G152" s="86">
        <f>+'MRS LIST'!J152</f>
        <v>33</v>
      </c>
      <c r="H152" s="87"/>
    </row>
    <row r="153" spans="1:8" s="52" customFormat="1" ht="32.1" customHeight="1">
      <c r="A153" s="82">
        <f t="shared" si="2"/>
        <v>148</v>
      </c>
      <c r="B153" s="128" t="str">
        <f>MRS!B153&amp;" "&amp;MRS!D153</f>
        <v xml:space="preserve">Cordless Impact Drill 18V GSB183-LI Bosch with 2-batt. and Charger </v>
      </c>
      <c r="C153" s="129"/>
      <c r="D153" s="83" t="str">
        <f>MRS!G153</f>
        <v>Nos</v>
      </c>
      <c r="E153" s="84">
        <f>MRS!H153</f>
        <v>5</v>
      </c>
      <c r="F153" s="85">
        <f>+'MRS LIST'!I153</f>
        <v>815</v>
      </c>
      <c r="G153" s="86">
        <f>+'MRS LIST'!J153</f>
        <v>4075</v>
      </c>
      <c r="H153" s="87"/>
    </row>
    <row r="154" spans="1:8" s="52" customFormat="1" ht="32.1" customHeight="1">
      <c r="A154" s="82">
        <f t="shared" si="2"/>
        <v>149</v>
      </c>
      <c r="B154" s="128" t="str">
        <f>MRS!B154&amp;" "&amp;MRS!D154</f>
        <v xml:space="preserve">Demolition Hammer SDS Max 1500W GSH 7VC Bosch </v>
      </c>
      <c r="C154" s="129"/>
      <c r="D154" s="83" t="str">
        <f>MRS!G154</f>
        <v>Nos</v>
      </c>
      <c r="E154" s="84">
        <f>MRS!H154</f>
        <v>2</v>
      </c>
      <c r="F154" s="85">
        <f>+'MRS LIST'!I154</f>
        <v>3594</v>
      </c>
      <c r="G154" s="86">
        <f>+'MRS LIST'!J154</f>
        <v>7188</v>
      </c>
      <c r="H154" s="87"/>
    </row>
    <row r="155" spans="1:8" s="52" customFormat="1" ht="32.1" customHeight="1">
      <c r="A155" s="82">
        <f t="shared" si="2"/>
        <v>150</v>
      </c>
      <c r="B155" s="128" t="str">
        <f>MRS!B155&amp;" "&amp;MRS!D155</f>
        <v xml:space="preserve">Hammer Drill Machine SDS Plus 800W GBH2-26 Bosch </v>
      </c>
      <c r="C155" s="129"/>
      <c r="D155" s="83" t="str">
        <f>MRS!G155</f>
        <v>Nos</v>
      </c>
      <c r="E155" s="84">
        <f>MRS!H155</f>
        <v>5</v>
      </c>
      <c r="F155" s="85">
        <f>+'MRS LIST'!I155</f>
        <v>1180</v>
      </c>
      <c r="G155" s="86">
        <f>+'MRS LIST'!J155</f>
        <v>5900</v>
      </c>
      <c r="H155" s="87"/>
    </row>
    <row r="156" spans="1:8" s="52" customFormat="1" ht="32.1" customHeight="1">
      <c r="A156" s="82">
        <f t="shared" si="2"/>
        <v>151</v>
      </c>
      <c r="B156" s="128" t="str">
        <f>MRS!B156&amp;" "&amp;MRS!D156</f>
        <v xml:space="preserve">Cordless Jigsaw 18V LXT XVJ03Z Makita with 2-batt. and Charger </v>
      </c>
      <c r="C156" s="129"/>
      <c r="D156" s="83" t="str">
        <f>MRS!G156</f>
        <v>Nos</v>
      </c>
      <c r="E156" s="84">
        <f>MRS!H156</f>
        <v>1</v>
      </c>
      <c r="F156" s="85">
        <f>+'MRS LIST'!I156</f>
        <v>2250</v>
      </c>
      <c r="G156" s="86">
        <f>+'MRS LIST'!J156</f>
        <v>2250</v>
      </c>
      <c r="H156" s="87"/>
    </row>
    <row r="157" spans="1:8" s="52" customFormat="1" ht="32.1" customHeight="1">
      <c r="A157" s="82">
        <f t="shared" si="2"/>
        <v>152</v>
      </c>
      <c r="B157" s="128" t="str">
        <f>MRS!B157&amp;" "&amp;MRS!D157</f>
        <v xml:space="preserve">Digital Vernier Caliper 150mm </v>
      </c>
      <c r="C157" s="129"/>
      <c r="D157" s="83" t="str">
        <f>MRS!G157</f>
        <v>Nos</v>
      </c>
      <c r="E157" s="84">
        <f>MRS!H157</f>
        <v>2</v>
      </c>
      <c r="F157" s="85">
        <f>+'MRS LIST'!I157</f>
        <v>135</v>
      </c>
      <c r="G157" s="86">
        <f>+'MRS LIST'!J157</f>
        <v>270</v>
      </c>
      <c r="H157" s="87"/>
    </row>
    <row r="158" spans="1:8" s="52" customFormat="1" ht="32.1" customHeight="1">
      <c r="A158" s="82">
        <f t="shared" si="2"/>
        <v>153</v>
      </c>
      <c r="B158" s="128" t="str">
        <f>MRS!B158&amp;" "&amp;MRS!D158</f>
        <v xml:space="preserve">Drill Machine 13mm in Steel HP1604K Makita </v>
      </c>
      <c r="C158" s="129"/>
      <c r="D158" s="83" t="str">
        <f>MRS!G158</f>
        <v>Nos</v>
      </c>
      <c r="E158" s="84">
        <f>MRS!H158</f>
        <v>10</v>
      </c>
      <c r="F158" s="85">
        <f>+'MRS LIST'!I158</f>
        <v>438</v>
      </c>
      <c r="G158" s="86">
        <f>+'MRS LIST'!J158</f>
        <v>4380</v>
      </c>
      <c r="H158" s="87"/>
    </row>
    <row r="159" spans="1:8" s="52" customFormat="1" ht="32.1" customHeight="1">
      <c r="A159" s="82">
        <f t="shared" si="2"/>
        <v>154</v>
      </c>
      <c r="B159" s="128" t="str">
        <f>MRS!B159&amp;" "&amp;MRS!D159</f>
        <v xml:space="preserve">Earthing Cable 10mm2 x 90mtr </v>
      </c>
      <c r="C159" s="129"/>
      <c r="D159" s="83" t="str">
        <f>MRS!G159</f>
        <v>Nos</v>
      </c>
      <c r="E159" s="84">
        <f>MRS!H159</f>
        <v>2</v>
      </c>
      <c r="F159" s="85">
        <f>+'MRS LIST'!I159</f>
        <v>790</v>
      </c>
      <c r="G159" s="86">
        <f>+'MRS LIST'!J159</f>
        <v>1580</v>
      </c>
      <c r="H159" s="87"/>
    </row>
    <row r="160" spans="1:8" s="52" customFormat="1" ht="32.1" customHeight="1">
      <c r="A160" s="82">
        <f t="shared" si="2"/>
        <v>155</v>
      </c>
      <c r="B160" s="128" t="str">
        <f>MRS!B160&amp;" "&amp;MRS!D160</f>
        <v xml:space="preserve">Power Cable CU/XLPE/PVC 4Cx35mm2 </v>
      </c>
      <c r="C160" s="129"/>
      <c r="D160" s="83" t="str">
        <f>MRS!G160</f>
        <v>Pair</v>
      </c>
      <c r="E160" s="84">
        <f>MRS!H160</f>
        <v>200</v>
      </c>
      <c r="F160" s="85">
        <f>+'MRS LIST'!I160</f>
        <v>94</v>
      </c>
      <c r="G160" s="86">
        <f>+'MRS LIST'!J160</f>
        <v>18800</v>
      </c>
      <c r="H160" s="87"/>
    </row>
    <row r="161" spans="1:8" s="52" customFormat="1" ht="32.1" customHeight="1">
      <c r="A161" s="82">
        <f t="shared" si="2"/>
        <v>156</v>
      </c>
      <c r="B161" s="128" t="str">
        <f>MRS!B161&amp;" "&amp;MRS!D161</f>
        <v xml:space="preserve">Safety Flag with Handle Red 450x400mm </v>
      </c>
      <c r="C161" s="129"/>
      <c r="D161" s="83" t="str">
        <f>MRS!G161</f>
        <v>Set</v>
      </c>
      <c r="E161" s="84">
        <f>MRS!H161</f>
        <v>10</v>
      </c>
      <c r="F161" s="85">
        <f>+'MRS LIST'!I161</f>
        <v>8.5</v>
      </c>
      <c r="G161" s="86">
        <f>+'MRS LIST'!J161</f>
        <v>85</v>
      </c>
      <c r="H161" s="87"/>
    </row>
    <row r="162" spans="1:8" s="52" customFormat="1" ht="32.1" customHeight="1">
      <c r="A162" s="82">
        <f t="shared" si="2"/>
        <v>157</v>
      </c>
      <c r="B162" s="128" t="str">
        <f>MRS!B162&amp;" "&amp;MRS!D162</f>
        <v xml:space="preserve">Safety Flag with Handle Green 450x400mm </v>
      </c>
      <c r="C162" s="129"/>
      <c r="D162" s="83" t="str">
        <f>MRS!G162</f>
        <v>Nos</v>
      </c>
      <c r="E162" s="84">
        <f>MRS!H162</f>
        <v>10</v>
      </c>
      <c r="F162" s="85">
        <f>+'MRS LIST'!I162</f>
        <v>8.5</v>
      </c>
      <c r="G162" s="86">
        <f>+'MRS LIST'!J162</f>
        <v>85</v>
      </c>
      <c r="H162" s="87"/>
    </row>
    <row r="163" spans="1:8" s="52" customFormat="1" ht="32.1" customHeight="1">
      <c r="A163" s="82">
        <f t="shared" si="2"/>
        <v>158</v>
      </c>
      <c r="B163" s="128" t="str">
        <f>MRS!B163&amp;" "&amp;MRS!D163</f>
        <v xml:space="preserve">Gas Lens Body Jumbo 2.4mm (45V64) </v>
      </c>
      <c r="C163" s="129"/>
      <c r="D163" s="83" t="str">
        <f>MRS!G163</f>
        <v>Nos</v>
      </c>
      <c r="E163" s="84">
        <f>MRS!H163</f>
        <v>200</v>
      </c>
      <c r="F163" s="85">
        <f>+'MRS LIST'!I163</f>
        <v>28</v>
      </c>
      <c r="G163" s="86">
        <f>+'MRS LIST'!J163</f>
        <v>5600</v>
      </c>
      <c r="H163" s="87"/>
    </row>
    <row r="164" spans="1:8" s="52" customFormat="1" ht="32.1" customHeight="1">
      <c r="A164" s="82">
        <f t="shared" si="2"/>
        <v>159</v>
      </c>
      <c r="B164" s="128" t="str">
        <f>MRS!B164&amp;" "&amp;MRS!D164</f>
        <v xml:space="preserve">Gas Lens Insulator 18CG (Heat Shield 54N63) </v>
      </c>
      <c r="C164" s="129"/>
      <c r="D164" s="83" t="str">
        <f>MRS!G164</f>
        <v>Nos</v>
      </c>
      <c r="E164" s="84">
        <f>MRS!H164</f>
        <v>150</v>
      </c>
      <c r="F164" s="85">
        <f>+'MRS LIST'!I164</f>
        <v>16</v>
      </c>
      <c r="G164" s="86">
        <f>+'MRS LIST'!J164</f>
        <v>2400</v>
      </c>
      <c r="H164" s="87"/>
    </row>
    <row r="165" spans="1:8" s="52" customFormat="1" ht="32.1" customHeight="1">
      <c r="A165" s="82">
        <f t="shared" si="2"/>
        <v>160</v>
      </c>
      <c r="B165" s="128" t="str">
        <f>MRS!B165&amp;" "&amp;MRS!D165</f>
        <v xml:space="preserve">Gas Lens Insulator Cup Gasket (54N01) </v>
      </c>
      <c r="C165" s="129"/>
      <c r="D165" s="83" t="str">
        <f>MRS!G165</f>
        <v>Nos</v>
      </c>
      <c r="E165" s="84">
        <f>MRS!H165</f>
        <v>100</v>
      </c>
      <c r="F165" s="85">
        <f>+'MRS LIST'!I165</f>
        <v>16.5</v>
      </c>
      <c r="G165" s="86">
        <f>+'MRS LIST'!J165</f>
        <v>1650</v>
      </c>
      <c r="H165" s="87"/>
    </row>
    <row r="166" spans="1:8" s="52" customFormat="1" ht="32.1" customHeight="1">
      <c r="A166" s="82">
        <f t="shared" si="2"/>
        <v>161</v>
      </c>
      <c r="B166" s="128" t="str">
        <f>MRS!B166&amp;" "&amp;MRS!D166</f>
        <v xml:space="preserve">Hi-Lo Welding Gauge </v>
      </c>
      <c r="C166" s="129"/>
      <c r="D166" s="83" t="str">
        <f>MRS!G166</f>
        <v>Nos</v>
      </c>
      <c r="E166" s="84">
        <f>MRS!H166</f>
        <v>10</v>
      </c>
      <c r="F166" s="85">
        <f>+'MRS LIST'!I166</f>
        <v>163</v>
      </c>
      <c r="G166" s="86">
        <f>+'MRS LIST'!J166</f>
        <v>1630</v>
      </c>
      <c r="H166" s="87"/>
    </row>
    <row r="167" spans="1:8" s="52" customFormat="1" ht="32.1" customHeight="1">
      <c r="A167" s="82">
        <f t="shared" si="2"/>
        <v>162</v>
      </c>
      <c r="B167" s="128" t="str">
        <f>MRS!B167&amp;" "&amp;MRS!D167</f>
        <v xml:space="preserve">Impact Socket Adapter 1/2"(M) x 3/4"(F) </v>
      </c>
      <c r="C167" s="129"/>
      <c r="D167" s="83" t="str">
        <f>MRS!G167</f>
        <v>Nos</v>
      </c>
      <c r="E167" s="84">
        <f>MRS!H167</f>
        <v>10</v>
      </c>
      <c r="F167" s="85">
        <f>+'MRS LIST'!I167</f>
        <v>38</v>
      </c>
      <c r="G167" s="86">
        <f>+'MRS LIST'!J167</f>
        <v>380</v>
      </c>
      <c r="H167" s="87"/>
    </row>
    <row r="168" spans="1:8" s="52" customFormat="1" ht="32.1" customHeight="1">
      <c r="A168" s="82">
        <f t="shared" si="2"/>
        <v>163</v>
      </c>
      <c r="B168" s="128" t="str">
        <f>MRS!B168&amp;" "&amp;MRS!D168</f>
        <v xml:space="preserve">Impact Socket Adapter 3/4"(M) x 1/2"(F) </v>
      </c>
      <c r="C168" s="129"/>
      <c r="D168" s="83" t="str">
        <f>MRS!G168</f>
        <v>Nos</v>
      </c>
      <c r="E168" s="84">
        <f>MRS!H168</f>
        <v>5</v>
      </c>
      <c r="F168" s="85">
        <f>+'MRS LIST'!I168</f>
        <v>42</v>
      </c>
      <c r="G168" s="86">
        <f>+'MRS LIST'!J168</f>
        <v>210</v>
      </c>
      <c r="H168" s="87"/>
    </row>
    <row r="169" spans="1:8" s="52" customFormat="1" ht="32.1" customHeight="1">
      <c r="A169" s="82">
        <f t="shared" si="2"/>
        <v>164</v>
      </c>
      <c r="B169" s="128" t="str">
        <f>MRS!B169&amp;" "&amp;MRS!D169</f>
        <v xml:space="preserve">Impact Socket Adapter 3/8"(M) x 1/2"(F) </v>
      </c>
      <c r="C169" s="129"/>
      <c r="D169" s="83" t="str">
        <f>MRS!G169</f>
        <v>Nos</v>
      </c>
      <c r="E169" s="84">
        <f>MRS!H169</f>
        <v>5</v>
      </c>
      <c r="F169" s="85">
        <f>+'MRS LIST'!I169</f>
        <v>20</v>
      </c>
      <c r="G169" s="86">
        <f>+'MRS LIST'!J169</f>
        <v>100</v>
      </c>
      <c r="H169" s="87"/>
    </row>
    <row r="170" spans="1:8" s="52" customFormat="1" ht="32.1" customHeight="1">
      <c r="A170" s="82">
        <f t="shared" si="2"/>
        <v>165</v>
      </c>
      <c r="B170" s="128" t="str">
        <f>MRS!B170&amp;" "&amp;MRS!D170</f>
        <v xml:space="preserve">Impact Socket Adapter 1/4"(M) x 3/8"(F) </v>
      </c>
      <c r="C170" s="129"/>
      <c r="D170" s="83" t="str">
        <f>MRS!G170</f>
        <v>Nos</v>
      </c>
      <c r="E170" s="84">
        <f>MRS!H170</f>
        <v>5</v>
      </c>
      <c r="F170" s="85">
        <f>+'MRS LIST'!I170</f>
        <v>20</v>
      </c>
      <c r="G170" s="86">
        <f>+'MRS LIST'!J170</f>
        <v>100</v>
      </c>
      <c r="H170" s="87"/>
    </row>
    <row r="171" spans="1:8" s="52" customFormat="1" ht="32.1" customHeight="1">
      <c r="A171" s="82">
        <f t="shared" si="2"/>
        <v>166</v>
      </c>
      <c r="B171" s="128" t="str">
        <f>MRS!B171&amp;" "&amp;MRS!D171</f>
        <v xml:space="preserve">Impact Socket Adapter 3/4"(M) x 1"(F) </v>
      </c>
      <c r="C171" s="129"/>
      <c r="D171" s="83" t="str">
        <f>MRS!G171</f>
        <v>Pair</v>
      </c>
      <c r="E171" s="84">
        <f>MRS!H171</f>
        <v>5</v>
      </c>
      <c r="F171" s="85">
        <f>+'MRS LIST'!I171</f>
        <v>45</v>
      </c>
      <c r="G171" s="86">
        <f>+'MRS LIST'!J171</f>
        <v>225</v>
      </c>
      <c r="H171" s="87"/>
    </row>
    <row r="172" spans="1:8" s="52" customFormat="1" ht="32.1" customHeight="1">
      <c r="A172" s="82">
        <f t="shared" si="2"/>
        <v>167</v>
      </c>
      <c r="B172" s="128" t="str">
        <f>MRS!B172&amp;" "&amp;MRS!D172</f>
        <v xml:space="preserve">Loctite 567 50ml </v>
      </c>
      <c r="C172" s="129"/>
      <c r="D172" s="83" t="str">
        <f>MRS!G172</f>
        <v>Nos</v>
      </c>
      <c r="E172" s="84">
        <f>MRS!H172</f>
        <v>150</v>
      </c>
      <c r="F172" s="85">
        <f>+'MRS LIST'!I172</f>
        <v>98</v>
      </c>
      <c r="G172" s="86">
        <f>+'MRS LIST'!J172</f>
        <v>14700</v>
      </c>
      <c r="H172" s="87"/>
    </row>
    <row r="173" spans="1:8" s="52" customFormat="1" ht="32.1" customHeight="1">
      <c r="A173" s="82">
        <f t="shared" si="2"/>
        <v>168</v>
      </c>
      <c r="B173" s="128" t="str">
        <f>MRS!B173&amp;" "&amp;MRS!D173</f>
        <v xml:space="preserve">Digital Multimeter DC1000V AC750V M120 Tekneka </v>
      </c>
      <c r="C173" s="129"/>
      <c r="D173" s="83" t="str">
        <f>MRS!G173</f>
        <v>Roll</v>
      </c>
      <c r="E173" s="84">
        <f>MRS!H173</f>
        <v>1</v>
      </c>
      <c r="F173" s="85">
        <f>+'MRS LIST'!I173</f>
        <v>124</v>
      </c>
      <c r="G173" s="86">
        <f>+'MRS LIST'!J173</f>
        <v>124</v>
      </c>
      <c r="H173" s="87"/>
    </row>
    <row r="174" spans="1:8" s="52" customFormat="1" ht="32.1" customHeight="1">
      <c r="A174" s="82">
        <f t="shared" si="2"/>
        <v>169</v>
      </c>
      <c r="B174" s="128" t="str">
        <f>MRS!B174&amp;" "&amp;MRS!D174</f>
        <v xml:space="preserve">Neon Line Tester </v>
      </c>
      <c r="C174" s="129"/>
      <c r="D174" s="83" t="str">
        <f>MRS!G174</f>
        <v>Nos</v>
      </c>
      <c r="E174" s="84">
        <f>MRS!H174</f>
        <v>13</v>
      </c>
      <c r="F174" s="85">
        <f>+'MRS LIST'!I174</f>
        <v>2.5</v>
      </c>
      <c r="G174" s="86">
        <f>+'MRS LIST'!J174</f>
        <v>32.5</v>
      </c>
      <c r="H174" s="87"/>
    </row>
    <row r="175" spans="1:8" s="52" customFormat="1" ht="32.1" customHeight="1">
      <c r="A175" s="82">
        <f t="shared" si="2"/>
        <v>170</v>
      </c>
      <c r="B175" s="128" t="str">
        <f>MRS!B175&amp;" "&amp;MRS!D175</f>
        <v xml:space="preserve">Pipe Wrench 10" </v>
      </c>
      <c r="C175" s="129"/>
      <c r="D175" s="83" t="str">
        <f>MRS!G175</f>
        <v>Nos</v>
      </c>
      <c r="E175" s="84">
        <f>MRS!H175</f>
        <v>5</v>
      </c>
      <c r="F175" s="85">
        <f>+'MRS LIST'!I175</f>
        <v>27</v>
      </c>
      <c r="G175" s="86">
        <f>+'MRS LIST'!J175</f>
        <v>135</v>
      </c>
      <c r="H175" s="87"/>
    </row>
    <row r="176" spans="1:8" s="52" customFormat="1" ht="32.1" customHeight="1">
      <c r="A176" s="82">
        <f t="shared" si="2"/>
        <v>171</v>
      </c>
      <c r="B176" s="128" t="str">
        <f>MRS!B176&amp;" "&amp;MRS!D176</f>
        <v xml:space="preserve">Pipe Wrench 24" </v>
      </c>
      <c r="C176" s="129"/>
      <c r="D176" s="83" t="str">
        <f>MRS!G176</f>
        <v>Nos</v>
      </c>
      <c r="E176" s="84">
        <f>MRS!H176</f>
        <v>10</v>
      </c>
      <c r="F176" s="85">
        <f>+'MRS LIST'!I176</f>
        <v>53</v>
      </c>
      <c r="G176" s="86">
        <f>+'MRS LIST'!J176</f>
        <v>530</v>
      </c>
      <c r="H176" s="87"/>
    </row>
    <row r="177" spans="1:8" s="52" customFormat="1" ht="32.1" customHeight="1">
      <c r="A177" s="82">
        <f t="shared" si="2"/>
        <v>172</v>
      </c>
      <c r="B177" s="128" t="str">
        <f>MRS!B177&amp;" "&amp;MRS!D177</f>
        <v xml:space="preserve">Pipe Wrench 36" </v>
      </c>
      <c r="C177" s="129"/>
      <c r="D177" s="83" t="str">
        <f>MRS!G177</f>
        <v>Nos</v>
      </c>
      <c r="E177" s="84">
        <f>MRS!H177</f>
        <v>5</v>
      </c>
      <c r="F177" s="85">
        <f>+'MRS LIST'!I177</f>
        <v>110</v>
      </c>
      <c r="G177" s="86">
        <f>+'MRS LIST'!J177</f>
        <v>550</v>
      </c>
      <c r="H177" s="87"/>
    </row>
    <row r="178" spans="1:8" s="52" customFormat="1" ht="32.1" customHeight="1">
      <c r="A178" s="82">
        <f t="shared" si="2"/>
        <v>173</v>
      </c>
      <c r="B178" s="128" t="str">
        <f>MRS!B178&amp;" "&amp;MRS!D178</f>
        <v xml:space="preserve">Industrial Ventilation Fan 12" 220V </v>
      </c>
      <c r="C178" s="129"/>
      <c r="D178" s="83" t="str">
        <f>MRS!G178</f>
        <v>Nos</v>
      </c>
      <c r="E178" s="84">
        <f>MRS!H178</f>
        <v>5</v>
      </c>
      <c r="F178" s="85">
        <f>+'MRS LIST'!I178</f>
        <v>390</v>
      </c>
      <c r="G178" s="86">
        <f>+'MRS LIST'!J178</f>
        <v>1950</v>
      </c>
      <c r="H178" s="87"/>
    </row>
    <row r="179" spans="1:8" s="52" customFormat="1" ht="32.1" customHeight="1">
      <c r="A179" s="82">
        <f t="shared" si="2"/>
        <v>174</v>
      </c>
      <c r="B179" s="128" t="str">
        <f>MRS!B179&amp;" "&amp;MRS!D179</f>
        <v xml:space="preserve">Sponge Foam Sheet 900x1900x100mm </v>
      </c>
      <c r="C179" s="129"/>
      <c r="D179" s="83" t="str">
        <f>MRS!G179</f>
        <v>Nos</v>
      </c>
      <c r="E179" s="84">
        <f>MRS!H179</f>
        <v>15</v>
      </c>
      <c r="F179" s="85">
        <f>+'MRS LIST'!I179</f>
        <v>97</v>
      </c>
      <c r="G179" s="86">
        <f>+'MRS LIST'!J179</f>
        <v>1455</v>
      </c>
      <c r="H179" s="87"/>
    </row>
    <row r="180" spans="1:8" s="52" customFormat="1" ht="32.1" customHeight="1">
      <c r="A180" s="82">
        <f t="shared" si="2"/>
        <v>175</v>
      </c>
      <c r="B180" s="128" t="str">
        <f>MRS!B180&amp;" "&amp;MRS!D180</f>
        <v xml:space="preserve">CS Square Tube 20x20x2mm, 6mtr </v>
      </c>
      <c r="C180" s="129"/>
      <c r="D180" s="83" t="str">
        <f>MRS!G180</f>
        <v>Nos</v>
      </c>
      <c r="E180" s="84">
        <f>MRS!H180</f>
        <v>100</v>
      </c>
      <c r="F180" s="85">
        <f>+'MRS LIST'!I180</f>
        <v>30.5</v>
      </c>
      <c r="G180" s="86">
        <f>+'MRS LIST'!J180</f>
        <v>3050</v>
      </c>
      <c r="H180" s="87"/>
    </row>
    <row r="181" spans="1:8" s="52" customFormat="1" ht="32.1" customHeight="1">
      <c r="A181" s="82">
        <f t="shared" si="2"/>
        <v>176</v>
      </c>
      <c r="B181" s="128" t="str">
        <f>MRS!B181&amp;" "&amp;MRS!D181</f>
        <v xml:space="preserve">CS Angle 50x50x6mm, 6mtr </v>
      </c>
      <c r="C181" s="129"/>
      <c r="D181" s="83" t="str">
        <f>MRS!G181</f>
        <v>Nos</v>
      </c>
      <c r="E181" s="84">
        <f>MRS!H181</f>
        <v>30</v>
      </c>
      <c r="F181" s="85">
        <f>+'MRS LIST'!I181</f>
        <v>87</v>
      </c>
      <c r="G181" s="86">
        <f>+'MRS LIST'!J181</f>
        <v>2610</v>
      </c>
      <c r="H181" s="87"/>
    </row>
    <row r="182" spans="1:8" s="52" customFormat="1" ht="32.1" customHeight="1">
      <c r="A182" s="82">
        <f t="shared" si="2"/>
        <v>177</v>
      </c>
      <c r="B182" s="128" t="str">
        <f>MRS!B182&amp;" "&amp;MRS!D182</f>
        <v xml:space="preserve">CS Plate 4'x8'x2mm </v>
      </c>
      <c r="C182" s="129"/>
      <c r="D182" s="83" t="str">
        <f>MRS!G182</f>
        <v>Nos</v>
      </c>
      <c r="E182" s="84">
        <f>MRS!H182</f>
        <v>6</v>
      </c>
      <c r="F182" s="85">
        <f>+'MRS LIST'!I182</f>
        <v>177</v>
      </c>
      <c r="G182" s="86">
        <f>+'MRS LIST'!J182</f>
        <v>1062</v>
      </c>
      <c r="H182" s="87"/>
    </row>
    <row r="183" spans="1:8" s="52" customFormat="1" ht="32.1" customHeight="1">
      <c r="A183" s="82">
        <f t="shared" si="2"/>
        <v>178</v>
      </c>
      <c r="B183" s="128" t="str">
        <f>MRS!B183&amp;" "&amp;MRS!D183</f>
        <v xml:space="preserve">Low Chloride Paint Marker Blue </v>
      </c>
      <c r="C183" s="129"/>
      <c r="D183" s="83" t="str">
        <f>MRS!G183</f>
        <v>Nos</v>
      </c>
      <c r="E183" s="84">
        <f>MRS!H183</f>
        <v>300</v>
      </c>
      <c r="F183" s="85">
        <f>+'MRS LIST'!I183</f>
        <v>13.8</v>
      </c>
      <c r="G183" s="86">
        <f>+'MRS LIST'!J183</f>
        <v>4140</v>
      </c>
      <c r="H183" s="87"/>
    </row>
    <row r="184" spans="1:8" s="52" customFormat="1" ht="32.1" customHeight="1">
      <c r="A184" s="82">
        <f t="shared" si="2"/>
        <v>179</v>
      </c>
      <c r="B184" s="128" t="str">
        <f>MRS!B184&amp;" "&amp;MRS!D184</f>
        <v xml:space="preserve">Permanent Marker Pen Twin Tip Blue 1.0x0.5mm </v>
      </c>
      <c r="C184" s="129"/>
      <c r="D184" s="83" t="str">
        <f>MRS!G184</f>
        <v>Nos</v>
      </c>
      <c r="E184" s="84">
        <f>MRS!H184</f>
        <v>180</v>
      </c>
      <c r="F184" s="85">
        <f>+'MRS LIST'!I184</f>
        <v>1.84</v>
      </c>
      <c r="G184" s="86">
        <f>+'MRS LIST'!J184</f>
        <v>331.2</v>
      </c>
      <c r="H184" s="87"/>
    </row>
    <row r="185" spans="1:8" s="52" customFormat="1" ht="32.1" customHeight="1">
      <c r="A185" s="82">
        <f t="shared" si="2"/>
        <v>180</v>
      </c>
      <c r="B185" s="128" t="str">
        <f>MRS!B185&amp;" "&amp;MRS!D185</f>
        <v xml:space="preserve">WD-40 330ml </v>
      </c>
      <c r="C185" s="129"/>
      <c r="D185" s="83" t="str">
        <f>MRS!G185</f>
        <v>Nos</v>
      </c>
      <c r="E185" s="84">
        <f>MRS!H185</f>
        <v>800</v>
      </c>
      <c r="F185" s="85">
        <f>+'MRS LIST'!I185</f>
        <v>18.5</v>
      </c>
      <c r="G185" s="86">
        <f>+'MRS LIST'!J185</f>
        <v>14800</v>
      </c>
      <c r="H185" s="87"/>
    </row>
    <row r="186" spans="1:8" s="52" customFormat="1" ht="32.1" customHeight="1">
      <c r="A186" s="82">
        <f t="shared" si="2"/>
        <v>181</v>
      </c>
      <c r="B186" s="128" t="str">
        <f>MRS!B186&amp;" "&amp;MRS!D186</f>
        <v xml:space="preserve">Sand Paper Roll #100 2"x50mtr </v>
      </c>
      <c r="C186" s="129"/>
      <c r="D186" s="83" t="str">
        <f>MRS!G186</f>
        <v>Nos</v>
      </c>
      <c r="E186" s="84">
        <f>MRS!H186</f>
        <v>5</v>
      </c>
      <c r="F186" s="85">
        <f>+'MRS LIST'!I186</f>
        <v>63</v>
      </c>
      <c r="G186" s="86">
        <f>+'MRS LIST'!J186</f>
        <v>315</v>
      </c>
      <c r="H186" s="87"/>
    </row>
    <row r="187" spans="1:8" s="52" customFormat="1" ht="32.1" customHeight="1">
      <c r="A187" s="82">
        <f t="shared" si="2"/>
        <v>182</v>
      </c>
      <c r="B187" s="128" t="str">
        <f>MRS!B187&amp;" "&amp;MRS!D187</f>
        <v xml:space="preserve">Tig Collet Pin 250A 2.4mm </v>
      </c>
      <c r="C187" s="129"/>
      <c r="D187" s="83" t="str">
        <f>MRS!G187</f>
        <v>Nos</v>
      </c>
      <c r="E187" s="84">
        <f>MRS!H187</f>
        <v>100</v>
      </c>
      <c r="F187" s="85">
        <f>+'MRS LIST'!I187</f>
        <v>5.9</v>
      </c>
      <c r="G187" s="86">
        <f>+'MRS LIST'!J187</f>
        <v>590</v>
      </c>
      <c r="H187" s="87"/>
    </row>
    <row r="188" spans="1:8" s="52" customFormat="1" ht="32.1" customHeight="1">
      <c r="A188" s="82">
        <f t="shared" si="2"/>
        <v>183</v>
      </c>
      <c r="B188" s="128" t="str">
        <f>MRS!B188&amp;" "&amp;MRS!D188</f>
        <v xml:space="preserve">Tig Torch Switch </v>
      </c>
      <c r="C188" s="129"/>
      <c r="D188" s="83" t="str">
        <f>MRS!G188</f>
        <v>Nos</v>
      </c>
      <c r="E188" s="84">
        <f>MRS!H188</f>
        <v>200</v>
      </c>
      <c r="F188" s="85">
        <f>+'MRS LIST'!I188</f>
        <v>12</v>
      </c>
      <c r="G188" s="86">
        <f>+'MRS LIST'!J188</f>
        <v>2400</v>
      </c>
      <c r="H188" s="87"/>
    </row>
    <row r="189" spans="1:8" s="52" customFormat="1" ht="32.1" customHeight="1">
      <c r="A189" s="82">
        <f t="shared" si="2"/>
        <v>184</v>
      </c>
      <c r="B189" s="128" t="str">
        <f>MRS!B189&amp;" "&amp;MRS!D189</f>
        <v xml:space="preserve">Tungsten Electrode 3.2mm </v>
      </c>
      <c r="C189" s="129"/>
      <c r="D189" s="83" t="str">
        <f>MRS!G189</f>
        <v>Nos</v>
      </c>
      <c r="E189" s="84">
        <f>MRS!H189</f>
        <v>300</v>
      </c>
      <c r="F189" s="85">
        <f>+'MRS LIST'!I189</f>
        <v>25</v>
      </c>
      <c r="G189" s="86">
        <f>+'MRS LIST'!J189</f>
        <v>7500</v>
      </c>
      <c r="H189" s="87"/>
    </row>
    <row r="190" spans="1:8" s="52" customFormat="1" ht="32.1" customHeight="1">
      <c r="A190" s="82">
        <f t="shared" si="2"/>
        <v>185</v>
      </c>
      <c r="B190" s="128" t="str">
        <f>MRS!B190&amp;" "&amp;MRS!D190</f>
        <v xml:space="preserve">Ceramic Nozzle 350A #5 </v>
      </c>
      <c r="C190" s="129"/>
      <c r="D190" s="83" t="str">
        <f>MRS!G190</f>
        <v>Nos</v>
      </c>
      <c r="E190" s="84">
        <f>MRS!H190</f>
        <v>200</v>
      </c>
      <c r="F190" s="85">
        <f>+'MRS LIST'!I190</f>
        <v>12</v>
      </c>
      <c r="G190" s="86">
        <f>+'MRS LIST'!J190</f>
        <v>2400</v>
      </c>
      <c r="H190" s="87"/>
    </row>
    <row r="191" spans="1:8" s="52" customFormat="1" ht="32.1" customHeight="1">
      <c r="A191" s="82">
        <f t="shared" si="2"/>
        <v>186</v>
      </c>
      <c r="B191" s="128" t="str">
        <f>MRS!B191&amp;" "&amp;MRS!D191</f>
        <v xml:space="preserve">Ceramic Nozzle 350A #6 </v>
      </c>
      <c r="C191" s="129"/>
      <c r="D191" s="83" t="str">
        <f>MRS!G191</f>
        <v>Nos</v>
      </c>
      <c r="E191" s="84">
        <f>MRS!H191</f>
        <v>300</v>
      </c>
      <c r="F191" s="85">
        <f>+'MRS LIST'!I191</f>
        <v>12</v>
      </c>
      <c r="G191" s="86">
        <f>+'MRS LIST'!J191</f>
        <v>3600</v>
      </c>
      <c r="H191" s="87"/>
    </row>
    <row r="192" spans="1:8" s="52" customFormat="1" ht="32.1" customHeight="1">
      <c r="A192" s="82">
        <f t="shared" si="2"/>
        <v>187</v>
      </c>
      <c r="B192" s="128" t="str">
        <f>MRS!B192&amp;" "&amp;MRS!D192</f>
        <v xml:space="preserve">Ceramic Nozzle 350A #7 </v>
      </c>
      <c r="C192" s="129"/>
      <c r="D192" s="83" t="str">
        <f>MRS!G192</f>
        <v>Nos</v>
      </c>
      <c r="E192" s="84">
        <f>MRS!H192</f>
        <v>150</v>
      </c>
      <c r="F192" s="85">
        <f>+'MRS LIST'!I192</f>
        <v>12</v>
      </c>
      <c r="G192" s="86">
        <f>+'MRS LIST'!J192</f>
        <v>1800</v>
      </c>
      <c r="H192" s="87"/>
    </row>
    <row r="193" spans="1:8" s="52" customFormat="1" ht="32.1" customHeight="1">
      <c r="A193" s="82">
        <f t="shared" si="2"/>
        <v>188</v>
      </c>
      <c r="B193" s="128" t="str">
        <f>MRS!B193&amp;" "&amp;MRS!D193</f>
        <v xml:space="preserve">Ceramic Nozzle 350A #8 </v>
      </c>
      <c r="C193" s="129"/>
      <c r="D193" s="83" t="str">
        <f>MRS!G193</f>
        <v>Nos</v>
      </c>
      <c r="E193" s="84">
        <f>MRS!H193</f>
        <v>200</v>
      </c>
      <c r="F193" s="85">
        <f>+'MRS LIST'!I193</f>
        <v>12</v>
      </c>
      <c r="G193" s="86">
        <f>+'MRS LIST'!J193</f>
        <v>2400</v>
      </c>
      <c r="H193" s="87"/>
    </row>
    <row r="194" spans="1:8" s="52" customFormat="1" ht="32.1" customHeight="1">
      <c r="A194" s="82">
        <f t="shared" si="2"/>
        <v>189</v>
      </c>
      <c r="B194" s="128" t="str">
        <f>MRS!B194&amp;" "&amp;MRS!D194</f>
        <v xml:space="preserve">Respirator Cartridge Filter 3M 6001 </v>
      </c>
      <c r="C194" s="129"/>
      <c r="D194" s="83" t="str">
        <f>MRS!G194</f>
        <v>Nos</v>
      </c>
      <c r="E194" s="84">
        <f>MRS!H194</f>
        <v>75</v>
      </c>
      <c r="F194" s="85">
        <f>+'MRS LIST'!I194</f>
        <v>47.5</v>
      </c>
      <c r="G194" s="86">
        <f>+'MRS LIST'!J194</f>
        <v>3562.5</v>
      </c>
      <c r="H194" s="87"/>
    </row>
    <row r="195" spans="1:8" s="52" customFormat="1" ht="32.1" customHeight="1">
      <c r="A195" s="82">
        <f t="shared" si="2"/>
        <v>190</v>
      </c>
      <c r="B195" s="128" t="str">
        <f>MRS!B195&amp;" "&amp;MRS!D195</f>
        <v xml:space="preserve">Argon Hose Quick Connector 15x6mm </v>
      </c>
      <c r="C195" s="129"/>
      <c r="D195" s="83" t="str">
        <f>MRS!G195</f>
        <v>Nos</v>
      </c>
      <c r="E195" s="84">
        <f>MRS!H195</f>
        <v>500</v>
      </c>
      <c r="F195" s="85">
        <f>+'MRS LIST'!I195</f>
        <v>28</v>
      </c>
      <c r="G195" s="86">
        <f>+'MRS LIST'!J195</f>
        <v>14000</v>
      </c>
      <c r="H195" s="87"/>
    </row>
    <row r="196" spans="1:8" s="52" customFormat="1" ht="32.1" customHeight="1">
      <c r="A196" s="82">
        <f t="shared" si="2"/>
        <v>191</v>
      </c>
      <c r="B196" s="128" t="str">
        <f>MRS!B196&amp;" "&amp;MRS!D196</f>
        <v xml:space="preserve">Split Level 300mm </v>
      </c>
      <c r="C196" s="129"/>
      <c r="D196" s="83" t="str">
        <f>MRS!G196</f>
        <v>Nos</v>
      </c>
      <c r="E196" s="84">
        <f>MRS!H196</f>
        <v>35</v>
      </c>
      <c r="F196" s="85">
        <f>+'MRS LIST'!I196</f>
        <v>18</v>
      </c>
      <c r="G196" s="86">
        <f>+'MRS LIST'!J196</f>
        <v>630</v>
      </c>
      <c r="H196" s="87"/>
    </row>
    <row r="197" spans="1:8" s="52" customFormat="1" ht="32.1" customHeight="1">
      <c r="A197" s="82">
        <f t="shared" si="2"/>
        <v>192</v>
      </c>
      <c r="B197" s="128" t="str">
        <f>MRS!B197&amp;" "&amp;MRS!D197</f>
        <v xml:space="preserve">Magnetic Split Level 230mm </v>
      </c>
      <c r="C197" s="129"/>
      <c r="D197" s="83" t="str">
        <f>MRS!G197</f>
        <v>Nos</v>
      </c>
      <c r="E197" s="84">
        <f>MRS!H197</f>
        <v>25</v>
      </c>
      <c r="F197" s="85">
        <f>+'MRS LIST'!I197</f>
        <v>9.5</v>
      </c>
      <c r="G197" s="86">
        <f>+'MRS LIST'!J197</f>
        <v>237.5</v>
      </c>
      <c r="H197" s="87"/>
    </row>
    <row r="198" spans="1:8" s="52" customFormat="1" ht="32.1" customHeight="1">
      <c r="A198" s="82">
        <f t="shared" ref="A198:A245" si="3">ROW(A193)</f>
        <v>193</v>
      </c>
      <c r="B198" s="128" t="str">
        <f>MRS!B198&amp;" "&amp;MRS!D198</f>
        <v xml:space="preserve">Weld Purge Oxygen Monitor PurgEye100 </v>
      </c>
      <c r="C198" s="129"/>
      <c r="D198" s="83" t="str">
        <f>MRS!G198</f>
        <v>Nos</v>
      </c>
      <c r="E198" s="84">
        <f>MRS!H198</f>
        <v>4</v>
      </c>
      <c r="F198" s="85">
        <f>+'MRS LIST'!I198</f>
        <v>3200</v>
      </c>
      <c r="G198" s="86">
        <f>+'MRS LIST'!J198</f>
        <v>12800</v>
      </c>
      <c r="H198" s="87"/>
    </row>
    <row r="199" spans="1:8" s="52" customFormat="1" ht="32.1" customHeight="1">
      <c r="A199" s="82">
        <f t="shared" si="3"/>
        <v>194</v>
      </c>
      <c r="B199" s="128" t="str">
        <f>MRS!B199&amp;" "&amp;MRS!D199</f>
        <v xml:space="preserve">Rubber Hammer 1Lbs </v>
      </c>
      <c r="C199" s="129"/>
      <c r="D199" s="83" t="str">
        <f>MRS!G199</f>
        <v>Nos</v>
      </c>
      <c r="E199" s="84">
        <f>MRS!H199</f>
        <v>2</v>
      </c>
      <c r="F199" s="85">
        <f>+'MRS LIST'!I199</f>
        <v>21</v>
      </c>
      <c r="G199" s="86">
        <f>+'MRS LIST'!J199</f>
        <v>42</v>
      </c>
      <c r="H199" s="87"/>
    </row>
    <row r="200" spans="1:8" s="52" customFormat="1" ht="32.1" customHeight="1">
      <c r="A200" s="82">
        <f t="shared" si="3"/>
        <v>195</v>
      </c>
      <c r="B200" s="128" t="str">
        <f>MRS!B200&amp;" "&amp;MRS!D200</f>
        <v xml:space="preserve">Low Chloride Mighty Marker High Purity MM-06 Yellow 1mm (Air from USA) </v>
      </c>
      <c r="C200" s="129"/>
      <c r="D200" s="83" t="str">
        <f>MRS!G200</f>
        <v>Nos</v>
      </c>
      <c r="E200" s="84">
        <f>MRS!H200</f>
        <v>36</v>
      </c>
      <c r="F200" s="85">
        <f>+'MRS LIST'!I200</f>
        <v>65</v>
      </c>
      <c r="G200" s="86">
        <f>+'MRS LIST'!J200</f>
        <v>2340</v>
      </c>
      <c r="H200" s="87"/>
    </row>
    <row r="201" spans="1:8" s="52" customFormat="1" ht="32.1" customHeight="1">
      <c r="A201" s="82">
        <f t="shared" si="3"/>
        <v>196</v>
      </c>
      <c r="B201" s="128" t="str">
        <f>MRS!B201&amp;" "&amp;MRS!D201</f>
        <v xml:space="preserve">Laser Pointer with Carabiner Hook </v>
      </c>
      <c r="C201" s="129"/>
      <c r="D201" s="83" t="str">
        <f>MRS!G201</f>
        <v>Set</v>
      </c>
      <c r="E201" s="84">
        <f>MRS!H201</f>
        <v>4</v>
      </c>
      <c r="F201" s="85">
        <f>+'MRS LIST'!I201</f>
        <v>12</v>
      </c>
      <c r="G201" s="86">
        <f>+'MRS LIST'!J201</f>
        <v>48</v>
      </c>
      <c r="H201" s="87"/>
    </row>
    <row r="202" spans="1:8" s="52" customFormat="1" ht="32.1" customHeight="1">
      <c r="A202" s="82">
        <f t="shared" si="3"/>
        <v>197</v>
      </c>
      <c r="B202" s="128" t="str">
        <f>MRS!B202&amp;" "&amp;MRS!D202</f>
        <v xml:space="preserve">Combination Spanner 50mm </v>
      </c>
      <c r="C202" s="129"/>
      <c r="D202" s="83" t="str">
        <f>MRS!G202</f>
        <v>Nos</v>
      </c>
      <c r="E202" s="84">
        <f>MRS!H202</f>
        <v>10</v>
      </c>
      <c r="F202" s="85">
        <f>+'MRS LIST'!I202</f>
        <v>92</v>
      </c>
      <c r="G202" s="86">
        <f>+'MRS LIST'!J202</f>
        <v>920</v>
      </c>
      <c r="H202" s="87"/>
    </row>
    <row r="203" spans="1:8" s="52" customFormat="1" ht="32.1" customHeight="1">
      <c r="A203" s="82">
        <f t="shared" si="3"/>
        <v>198</v>
      </c>
      <c r="B203" s="128" t="str">
        <f>MRS!B203&amp;" "&amp;MRS!D203</f>
        <v xml:space="preserve">Scaffolding Ratchet Wrench 22x24mm </v>
      </c>
      <c r="C203" s="129"/>
      <c r="D203" s="83" t="str">
        <f>MRS!G203</f>
        <v>Nos</v>
      </c>
      <c r="E203" s="84">
        <f>MRS!H203</f>
        <v>10</v>
      </c>
      <c r="F203" s="85">
        <f>+'MRS LIST'!I203</f>
        <v>38</v>
      </c>
      <c r="G203" s="86">
        <f>+'MRS LIST'!J203</f>
        <v>380</v>
      </c>
      <c r="H203" s="87"/>
    </row>
    <row r="204" spans="1:8" s="52" customFormat="1" ht="32.1" customHeight="1">
      <c r="A204" s="82">
        <f t="shared" si="3"/>
        <v>199</v>
      </c>
      <c r="B204" s="128" t="str">
        <f>MRS!B204&amp;" "&amp;MRS!D204</f>
        <v xml:space="preserve">Scaffolding Ratchet Wrench 24x27mm </v>
      </c>
      <c r="C204" s="129"/>
      <c r="D204" s="83" t="str">
        <f>MRS!G204</f>
        <v>Nos</v>
      </c>
      <c r="E204" s="84">
        <f>MRS!H204</f>
        <v>10</v>
      </c>
      <c r="F204" s="85">
        <f>+'MRS LIST'!I204</f>
        <v>44</v>
      </c>
      <c r="G204" s="86">
        <f>+'MRS LIST'!J204</f>
        <v>440</v>
      </c>
      <c r="H204" s="87"/>
    </row>
    <row r="205" spans="1:8" s="52" customFormat="1" ht="32.1" customHeight="1">
      <c r="A205" s="82">
        <f t="shared" si="3"/>
        <v>200</v>
      </c>
      <c r="B205" s="128" t="str">
        <f>MRS!B205&amp;" "&amp;MRS!D205</f>
        <v xml:space="preserve">Scaffolding Ratchet Wrench 46x50mm </v>
      </c>
      <c r="C205" s="129"/>
      <c r="D205" s="83" t="str">
        <f>MRS!G205</f>
        <v>Nos</v>
      </c>
      <c r="E205" s="84">
        <f>MRS!H205</f>
        <v>5</v>
      </c>
      <c r="F205" s="85">
        <f>+'MRS LIST'!I205</f>
        <v>275</v>
      </c>
      <c r="G205" s="86">
        <f>+'MRS LIST'!J205</f>
        <v>1375</v>
      </c>
      <c r="H205" s="87"/>
    </row>
    <row r="206" spans="1:8" s="52" customFormat="1" ht="32.1" customHeight="1">
      <c r="A206" s="82">
        <f t="shared" si="3"/>
        <v>201</v>
      </c>
      <c r="B206" s="128" t="str">
        <f>MRS!B206&amp;" "&amp;MRS!D206</f>
        <v xml:space="preserve">Ring Hammer Wrench 27mm </v>
      </c>
      <c r="C206" s="129"/>
      <c r="D206" s="83" t="str">
        <f>MRS!G206</f>
        <v>Pair</v>
      </c>
      <c r="E206" s="84">
        <f>MRS!H206</f>
        <v>10</v>
      </c>
      <c r="F206" s="85">
        <f>+'MRS LIST'!I206</f>
        <v>32</v>
      </c>
      <c r="G206" s="86">
        <f>+'MRS LIST'!J206</f>
        <v>320</v>
      </c>
      <c r="H206" s="87"/>
    </row>
    <row r="207" spans="1:8" s="52" customFormat="1" ht="32.1" customHeight="1">
      <c r="A207" s="82">
        <f t="shared" si="3"/>
        <v>202</v>
      </c>
      <c r="B207" s="128" t="str">
        <f>MRS!B207&amp;" "&amp;MRS!D207</f>
        <v xml:space="preserve">Ring Hammer Wrench 32mm </v>
      </c>
      <c r="C207" s="129"/>
      <c r="D207" s="83" t="str">
        <f>MRS!G207</f>
        <v>Nos</v>
      </c>
      <c r="E207" s="84">
        <f>MRS!H207</f>
        <v>10</v>
      </c>
      <c r="F207" s="85">
        <f>+'MRS LIST'!I207</f>
        <v>38.5</v>
      </c>
      <c r="G207" s="86">
        <f>+'MRS LIST'!J207</f>
        <v>385</v>
      </c>
      <c r="H207" s="87"/>
    </row>
    <row r="208" spans="1:8" s="52" customFormat="1" ht="32.1" customHeight="1">
      <c r="A208" s="82">
        <f t="shared" si="3"/>
        <v>203</v>
      </c>
      <c r="B208" s="128" t="str">
        <f>MRS!B208&amp;" "&amp;MRS!D208</f>
        <v xml:space="preserve">Ring Hammer Wrench 41mm </v>
      </c>
      <c r="C208" s="129"/>
      <c r="D208" s="83" t="str">
        <f>MRS!G208</f>
        <v>Roll</v>
      </c>
      <c r="E208" s="84">
        <f>MRS!H208</f>
        <v>6</v>
      </c>
      <c r="F208" s="85">
        <f>+'MRS LIST'!I208</f>
        <v>60</v>
      </c>
      <c r="G208" s="86">
        <f>+'MRS LIST'!J208</f>
        <v>360</v>
      </c>
      <c r="H208" s="87"/>
    </row>
    <row r="209" spans="1:8" s="52" customFormat="1" ht="32.1" customHeight="1">
      <c r="A209" s="82">
        <f t="shared" si="3"/>
        <v>204</v>
      </c>
      <c r="B209" s="128" t="str">
        <f>MRS!B209&amp;" "&amp;MRS!D209</f>
        <v xml:space="preserve">Ring Hammer Wrench 50mm </v>
      </c>
      <c r="C209" s="129"/>
      <c r="D209" s="83" t="str">
        <f>MRS!G209</f>
        <v>Nos</v>
      </c>
      <c r="E209" s="84">
        <f>MRS!H209</f>
        <v>6</v>
      </c>
      <c r="F209" s="85">
        <f>+'MRS LIST'!I209</f>
        <v>110</v>
      </c>
      <c r="G209" s="86">
        <f>+'MRS LIST'!J209</f>
        <v>660</v>
      </c>
      <c r="H209" s="87"/>
    </row>
    <row r="210" spans="1:8" s="52" customFormat="1" ht="32.1" customHeight="1">
      <c r="A210" s="82">
        <f t="shared" si="3"/>
        <v>205</v>
      </c>
      <c r="B210" s="128" t="str">
        <f>MRS!B210&amp;" "&amp;MRS!D210</f>
        <v xml:space="preserve">Claw Hammer 450g </v>
      </c>
      <c r="C210" s="129"/>
      <c r="D210" s="83" t="str">
        <f>MRS!G210</f>
        <v>Nos</v>
      </c>
      <c r="E210" s="84">
        <f>MRS!H210</f>
        <v>4</v>
      </c>
      <c r="F210" s="85">
        <f>+'MRS LIST'!I210</f>
        <v>18</v>
      </c>
      <c r="G210" s="86">
        <f>+'MRS LIST'!J210</f>
        <v>72</v>
      </c>
      <c r="H210" s="87"/>
    </row>
    <row r="211" spans="1:8" s="52" customFormat="1" ht="32.1" customHeight="1">
      <c r="A211" s="82">
        <f t="shared" si="3"/>
        <v>206</v>
      </c>
      <c r="B211" s="128" t="str">
        <f>MRS!B211&amp;" "&amp;MRS!D211</f>
        <v xml:space="preserve">Sledge Hammer 2LB </v>
      </c>
      <c r="C211" s="129"/>
      <c r="D211" s="83" t="str">
        <f>MRS!G211</f>
        <v>Nos</v>
      </c>
      <c r="E211" s="84">
        <f>MRS!H211</f>
        <v>10</v>
      </c>
      <c r="F211" s="85">
        <f>+'MRS LIST'!I211</f>
        <v>25</v>
      </c>
      <c r="G211" s="86">
        <f>+'MRS LIST'!J211</f>
        <v>250</v>
      </c>
      <c r="H211" s="87"/>
    </row>
    <row r="212" spans="1:8" s="52" customFormat="1" ht="32.1" customHeight="1">
      <c r="A212" s="82">
        <f t="shared" si="3"/>
        <v>207</v>
      </c>
      <c r="B212" s="128" t="str">
        <f>MRS!B212&amp;" "&amp;MRS!D212</f>
        <v xml:space="preserve">Sledge Hammer 4LB </v>
      </c>
      <c r="C212" s="129"/>
      <c r="D212" s="83" t="str">
        <f>MRS!G212</f>
        <v>Nos</v>
      </c>
      <c r="E212" s="84">
        <f>MRS!H212</f>
        <v>6</v>
      </c>
      <c r="F212" s="85">
        <f>+'MRS LIST'!I212</f>
        <v>35</v>
      </c>
      <c r="G212" s="86">
        <f>+'MRS LIST'!J212</f>
        <v>210</v>
      </c>
      <c r="H212" s="87"/>
    </row>
    <row r="213" spans="1:8" s="52" customFormat="1" ht="32.1" customHeight="1">
      <c r="A213" s="82">
        <f t="shared" si="3"/>
        <v>208</v>
      </c>
      <c r="B213" s="128" t="str">
        <f>MRS!B213&amp;" "&amp;MRS!D213</f>
        <v xml:space="preserve">Disposable Coverall 2XL </v>
      </c>
      <c r="C213" s="129"/>
      <c r="D213" s="83" t="str">
        <f>MRS!G213</f>
        <v>Nos</v>
      </c>
      <c r="E213" s="84">
        <f>MRS!H213</f>
        <v>100</v>
      </c>
      <c r="F213" s="85">
        <f>+'MRS LIST'!I213</f>
        <v>4</v>
      </c>
      <c r="G213" s="86">
        <f>+'MRS LIST'!J213</f>
        <v>400</v>
      </c>
      <c r="H213" s="87"/>
    </row>
    <row r="214" spans="1:8" s="52" customFormat="1" ht="32.1" customHeight="1">
      <c r="A214" s="82">
        <f t="shared" si="3"/>
        <v>209</v>
      </c>
      <c r="B214" s="128" t="str">
        <f>MRS!B214&amp;" "&amp;MRS!D214</f>
        <v xml:space="preserve">Combination Spanner 10mm </v>
      </c>
      <c r="C214" s="129"/>
      <c r="D214" s="83" t="str">
        <f>MRS!G214</f>
        <v>Nos</v>
      </c>
      <c r="E214" s="84">
        <f>MRS!H214</f>
        <v>30</v>
      </c>
      <c r="F214" s="85">
        <f>+'MRS LIST'!I214</f>
        <v>6</v>
      </c>
      <c r="G214" s="86">
        <f>+'MRS LIST'!J214</f>
        <v>180</v>
      </c>
      <c r="H214" s="87"/>
    </row>
    <row r="215" spans="1:8" s="52" customFormat="1" ht="32.1" customHeight="1">
      <c r="A215" s="82">
        <f t="shared" si="3"/>
        <v>210</v>
      </c>
      <c r="B215" s="128" t="str">
        <f>MRS!B215&amp;" "&amp;MRS!D215</f>
        <v xml:space="preserve">Adjustable Wrench 8" </v>
      </c>
      <c r="C215" s="129"/>
      <c r="D215" s="83" t="str">
        <f>MRS!G215</f>
        <v>Nos</v>
      </c>
      <c r="E215" s="84">
        <f>MRS!H215</f>
        <v>36</v>
      </c>
      <c r="F215" s="85">
        <f>+'MRS LIST'!I215</f>
        <v>10.5</v>
      </c>
      <c r="G215" s="86">
        <f>+'MRS LIST'!J215</f>
        <v>378</v>
      </c>
      <c r="H215" s="87"/>
    </row>
    <row r="216" spans="1:8" s="52" customFormat="1" ht="32.1" customHeight="1">
      <c r="A216" s="82">
        <f t="shared" si="3"/>
        <v>211</v>
      </c>
      <c r="B216" s="128" t="str">
        <f>MRS!B216&amp;" "&amp;MRS!D216</f>
        <v xml:space="preserve">Pressure Gauge Full SS 4" Dial 1/2" NPT 0-11bar </v>
      </c>
      <c r="C216" s="129"/>
      <c r="D216" s="83" t="str">
        <f>MRS!G216</f>
        <v>Nos</v>
      </c>
      <c r="E216" s="84">
        <f>MRS!H216</f>
        <v>6</v>
      </c>
      <c r="F216" s="85">
        <f>+'MRS LIST'!I216</f>
        <v>230</v>
      </c>
      <c r="G216" s="86">
        <f>+'MRS LIST'!J216</f>
        <v>1380</v>
      </c>
      <c r="H216" s="87"/>
    </row>
    <row r="217" spans="1:8" s="52" customFormat="1" ht="32.1" customHeight="1">
      <c r="A217" s="82">
        <f t="shared" si="3"/>
        <v>212</v>
      </c>
      <c r="B217" s="128" t="str">
        <f>MRS!B217&amp;" "&amp;MRS!D217</f>
        <v xml:space="preserve">Pressure Gauge Full SS 4" Dial 1/2" NPT 0-20bar </v>
      </c>
      <c r="C217" s="129"/>
      <c r="D217" s="83" t="str">
        <f>MRS!G217</f>
        <v>Nos</v>
      </c>
      <c r="E217" s="84">
        <f>MRS!H217</f>
        <v>4</v>
      </c>
      <c r="F217" s="85">
        <f>+'MRS LIST'!I217</f>
        <v>230</v>
      </c>
      <c r="G217" s="86">
        <f>+'MRS LIST'!J217</f>
        <v>920</v>
      </c>
      <c r="H217" s="87"/>
    </row>
    <row r="218" spans="1:8" s="52" customFormat="1" ht="32.1" customHeight="1">
      <c r="A218" s="82">
        <f t="shared" si="3"/>
        <v>213</v>
      </c>
      <c r="B218" s="128" t="str">
        <f>MRS!B218&amp;" "&amp;MRS!D218</f>
        <v xml:space="preserve">Pressure Gauge Full SS 4" Dial 1/2" NPT 0-40bar </v>
      </c>
      <c r="C218" s="129"/>
      <c r="D218" s="83" t="str">
        <f>MRS!G218</f>
        <v>Nos</v>
      </c>
      <c r="E218" s="84">
        <f>MRS!H218</f>
        <v>3</v>
      </c>
      <c r="F218" s="85">
        <f>+'MRS LIST'!I218</f>
        <v>230</v>
      </c>
      <c r="G218" s="86">
        <f>+'MRS LIST'!J218</f>
        <v>690</v>
      </c>
      <c r="H218" s="87"/>
    </row>
    <row r="219" spans="1:8" s="52" customFormat="1" ht="32.1" customHeight="1">
      <c r="A219" s="82">
        <f t="shared" si="3"/>
        <v>214</v>
      </c>
      <c r="B219" s="128" t="str">
        <f>MRS!B219&amp;" "&amp;MRS!D219</f>
        <v xml:space="preserve">Pressure Gauge Full SS 4" Dial 1/2" NPT 0-200bar </v>
      </c>
      <c r="C219" s="129"/>
      <c r="D219" s="83" t="str">
        <f>MRS!G219</f>
        <v>Set</v>
      </c>
      <c r="E219" s="84">
        <f>MRS!H219</f>
        <v>10</v>
      </c>
      <c r="F219" s="85">
        <f>+'MRS LIST'!I219</f>
        <v>230</v>
      </c>
      <c r="G219" s="86">
        <f>+'MRS LIST'!J219</f>
        <v>2300</v>
      </c>
      <c r="H219" s="87"/>
    </row>
    <row r="220" spans="1:8" s="52" customFormat="1" ht="32.1" customHeight="1">
      <c r="A220" s="82">
        <f t="shared" si="3"/>
        <v>215</v>
      </c>
      <c r="B220" s="128" t="str">
        <f>MRS!B220&amp;" "&amp;MRS!D220</f>
        <v xml:space="preserve">Pressure Gauge Full SS 4" Dial 1/2" NPT 0-280bar </v>
      </c>
      <c r="C220" s="129"/>
      <c r="D220" s="83" t="str">
        <f>MRS!G220</f>
        <v>Nos</v>
      </c>
      <c r="E220" s="84">
        <f>MRS!H220</f>
        <v>6</v>
      </c>
      <c r="F220" s="85">
        <f>+'MRS LIST'!I220</f>
        <v>265</v>
      </c>
      <c r="G220" s="86">
        <f>+'MRS LIST'!J220</f>
        <v>1590</v>
      </c>
      <c r="H220" s="87"/>
    </row>
    <row r="221" spans="1:8" s="52" customFormat="1" ht="32.1" customHeight="1">
      <c r="A221" s="82">
        <f t="shared" si="3"/>
        <v>216</v>
      </c>
      <c r="B221" s="128" t="str">
        <f>MRS!B221&amp;" "&amp;MRS!D221</f>
        <v xml:space="preserve">Tig Torch Remote Cable 3Cx0.75x90mtr </v>
      </c>
      <c r="C221" s="129"/>
      <c r="D221" s="83" t="str">
        <f>MRS!G221</f>
        <v>Nos</v>
      </c>
      <c r="E221" s="84">
        <f>MRS!H221</f>
        <v>10</v>
      </c>
      <c r="F221" s="85">
        <f>+'MRS LIST'!I221</f>
        <v>298</v>
      </c>
      <c r="G221" s="86">
        <f>+'MRS LIST'!J221</f>
        <v>2980</v>
      </c>
      <c r="H221" s="87"/>
    </row>
    <row r="222" spans="1:8" s="52" customFormat="1" ht="32.1" customHeight="1">
      <c r="A222" s="82">
        <f t="shared" si="3"/>
        <v>217</v>
      </c>
      <c r="B222" s="128" t="str">
        <f>MRS!B222&amp;" "&amp;MRS!D222</f>
        <v xml:space="preserve">AC Gas R410A 11.6kg </v>
      </c>
      <c r="C222" s="129"/>
      <c r="D222" s="83" t="str">
        <f>MRS!G222</f>
        <v>Nos</v>
      </c>
      <c r="E222" s="84">
        <f>MRS!H222</f>
        <v>2</v>
      </c>
      <c r="F222" s="85">
        <f>+'MRS LIST'!I222</f>
        <v>612</v>
      </c>
      <c r="G222" s="86">
        <f>+'MRS LIST'!J222</f>
        <v>1224</v>
      </c>
      <c r="H222" s="87"/>
    </row>
    <row r="223" spans="1:8" s="52" customFormat="1" ht="32.1" customHeight="1">
      <c r="A223" s="82">
        <f t="shared" si="3"/>
        <v>218</v>
      </c>
      <c r="B223" s="128" t="str">
        <f>MRS!B223&amp;" "&amp;MRS!D223</f>
        <v xml:space="preserve">PVC Cable Trunking 16x25mm </v>
      </c>
      <c r="C223" s="129"/>
      <c r="D223" s="83" t="str">
        <f>MRS!G223</f>
        <v>Nos</v>
      </c>
      <c r="E223" s="84">
        <f>MRS!H223</f>
        <v>40</v>
      </c>
      <c r="F223" s="85">
        <f>+'MRS LIST'!I223</f>
        <v>5.4</v>
      </c>
      <c r="G223" s="86">
        <f>+'MRS LIST'!J223</f>
        <v>216</v>
      </c>
      <c r="H223" s="87"/>
    </row>
    <row r="224" spans="1:8" s="52" customFormat="1" ht="32.1" customHeight="1">
      <c r="A224" s="82">
        <f t="shared" si="3"/>
        <v>219</v>
      </c>
      <c r="B224" s="128" t="str">
        <f>MRS!B224&amp;" "&amp;MRS!D224</f>
        <v xml:space="preserve">Infrared Thermometer Extech IR267 </v>
      </c>
      <c r="C224" s="129"/>
      <c r="D224" s="83" t="str">
        <f>MRS!G224</f>
        <v>Nos</v>
      </c>
      <c r="E224" s="84">
        <f>MRS!H224</f>
        <v>1</v>
      </c>
      <c r="F224" s="85">
        <f>+'MRS LIST'!I224</f>
        <v>480</v>
      </c>
      <c r="G224" s="86">
        <f>+'MRS LIST'!J224</f>
        <v>480</v>
      </c>
      <c r="H224" s="87"/>
    </row>
    <row r="225" spans="1:8" s="52" customFormat="1" ht="32.1" customHeight="1">
      <c r="A225" s="82">
        <f t="shared" si="3"/>
        <v>220</v>
      </c>
      <c r="B225" s="128" t="str">
        <f>MRS!B225&amp;" "&amp;MRS!D225</f>
        <v xml:space="preserve">Tig Torch Cable &amp; Hose Connector G5/8"-18NPT+5mm </v>
      </c>
      <c r="C225" s="129"/>
      <c r="D225" s="83" t="str">
        <f>MRS!G225</f>
        <v>Nos</v>
      </c>
      <c r="E225" s="84">
        <f>MRS!H225</f>
        <v>300</v>
      </c>
      <c r="F225" s="85">
        <f>+'MRS LIST'!I225</f>
        <v>36</v>
      </c>
      <c r="G225" s="86">
        <f>+'MRS LIST'!J225</f>
        <v>10800</v>
      </c>
      <c r="H225" s="87"/>
    </row>
    <row r="226" spans="1:8" s="52" customFormat="1" ht="32.1" customHeight="1">
      <c r="A226" s="82">
        <f t="shared" si="3"/>
        <v>221</v>
      </c>
      <c r="B226" s="128" t="str">
        <f>MRS!B226&amp;" "&amp;MRS!D226</f>
        <v xml:space="preserve">Contact Adhesive Pattex 650ml </v>
      </c>
      <c r="C226" s="129"/>
      <c r="D226" s="83" t="str">
        <f>MRS!G226</f>
        <v>Nos</v>
      </c>
      <c r="E226" s="84">
        <f>MRS!H226</f>
        <v>24</v>
      </c>
      <c r="F226" s="85">
        <f>+'MRS LIST'!I226</f>
        <v>39</v>
      </c>
      <c r="G226" s="86">
        <f>+'MRS LIST'!J226</f>
        <v>936</v>
      </c>
      <c r="H226" s="87"/>
    </row>
    <row r="227" spans="1:8" s="52" customFormat="1" ht="32.1" customHeight="1">
      <c r="A227" s="82">
        <f t="shared" si="3"/>
        <v>222</v>
      </c>
      <c r="B227" s="128" t="str">
        <f>MRS!B227&amp;" "&amp;MRS!D227</f>
        <v xml:space="preserve">Cordless Air Blower 18V with 2-Batt+Charger DCV100D2 Dewalt </v>
      </c>
      <c r="C227" s="129"/>
      <c r="D227" s="83" t="str">
        <f>MRS!G227</f>
        <v>Nos</v>
      </c>
      <c r="E227" s="84">
        <f>MRS!H227</f>
        <v>11</v>
      </c>
      <c r="F227" s="85">
        <f>+'MRS LIST'!I227</f>
        <v>927</v>
      </c>
      <c r="G227" s="86">
        <f>+'MRS LIST'!J227</f>
        <v>10197</v>
      </c>
      <c r="H227" s="87"/>
    </row>
    <row r="228" spans="1:8" s="52" customFormat="1" ht="32.1" customHeight="1">
      <c r="A228" s="82">
        <f t="shared" si="3"/>
        <v>223</v>
      </c>
      <c r="B228" s="128" t="str">
        <f>MRS!B228&amp;" "&amp;MRS!D228</f>
        <v xml:space="preserve">Cordless Hammer Drill 18V 2-Batt+Charger DCD776D2T-GB Dewalt </v>
      </c>
      <c r="C228" s="129"/>
      <c r="D228" s="83" t="str">
        <f>MRS!G228</f>
        <v>Nos</v>
      </c>
      <c r="E228" s="84">
        <f>MRS!H228</f>
        <v>2</v>
      </c>
      <c r="F228" s="85">
        <f>+'MRS LIST'!I228</f>
        <v>830</v>
      </c>
      <c r="G228" s="86">
        <f>+'MRS LIST'!J228</f>
        <v>1660</v>
      </c>
      <c r="H228" s="87"/>
    </row>
    <row r="229" spans="1:8" s="52" customFormat="1" ht="32.1" customHeight="1">
      <c r="A229" s="82">
        <f t="shared" si="3"/>
        <v>224</v>
      </c>
      <c r="B229" s="128" t="str">
        <f>MRS!B229&amp;" "&amp;MRS!D229</f>
        <v xml:space="preserve">PVC Cable Trunking 25x25mm, 3mtr </v>
      </c>
      <c r="C229" s="129"/>
      <c r="D229" s="83" t="str">
        <f>MRS!G229</f>
        <v>Nos</v>
      </c>
      <c r="E229" s="84">
        <f>MRS!H229</f>
        <v>16</v>
      </c>
      <c r="F229" s="85">
        <f>+'MRS LIST'!I229</f>
        <v>11</v>
      </c>
      <c r="G229" s="86">
        <f>+'MRS LIST'!J229</f>
        <v>176</v>
      </c>
      <c r="H229" s="87"/>
    </row>
    <row r="230" spans="1:8" s="52" customFormat="1" ht="32.1" customHeight="1">
      <c r="A230" s="82">
        <f t="shared" si="3"/>
        <v>225</v>
      </c>
      <c r="B230" s="128" t="str">
        <f>MRS!B230&amp;" "&amp;MRS!D230</f>
        <v xml:space="preserve">Flap Wheel S/S 25x20x6mm </v>
      </c>
      <c r="C230" s="129"/>
      <c r="D230" s="83" t="str">
        <f>MRS!G230</f>
        <v>Nos</v>
      </c>
      <c r="E230" s="84">
        <f>MRS!H230</f>
        <v>500</v>
      </c>
      <c r="F230" s="85">
        <f>+'MRS LIST'!I230</f>
        <v>7.8</v>
      </c>
      <c r="G230" s="86">
        <f>+'MRS LIST'!J230</f>
        <v>3900</v>
      </c>
      <c r="H230" s="87"/>
    </row>
    <row r="231" spans="1:8" s="52" customFormat="1" ht="32.1" customHeight="1">
      <c r="A231" s="82">
        <f t="shared" si="3"/>
        <v>226</v>
      </c>
      <c r="B231" s="128" t="str">
        <f>MRS!B231&amp;" "&amp;MRS!D231</f>
        <v xml:space="preserve">Cup Brush C/S Crimped M10x75mm </v>
      </c>
      <c r="C231" s="129"/>
      <c r="D231" s="83" t="str">
        <f>MRS!G231</f>
        <v>Nos</v>
      </c>
      <c r="E231" s="84">
        <f>MRS!H231</f>
        <v>200</v>
      </c>
      <c r="F231" s="85">
        <f>+'MRS LIST'!I231</f>
        <v>9.5</v>
      </c>
      <c r="G231" s="86">
        <f>+'MRS LIST'!J231</f>
        <v>1900</v>
      </c>
      <c r="H231" s="87"/>
    </row>
    <row r="232" spans="1:8" s="52" customFormat="1" ht="32.1" customHeight="1">
      <c r="A232" s="82">
        <f t="shared" si="3"/>
        <v>227</v>
      </c>
      <c r="B232" s="128" t="str">
        <f>MRS!B232&amp;" "&amp;MRS!D232</f>
        <v xml:space="preserve">Paint Marker Black Snowman Japan </v>
      </c>
      <c r="C232" s="129"/>
      <c r="D232" s="83" t="str">
        <f>MRS!G232</f>
        <v>Nos</v>
      </c>
      <c r="E232" s="84">
        <f>MRS!H232</f>
        <v>480</v>
      </c>
      <c r="F232" s="85">
        <f>+'MRS LIST'!I232</f>
        <v>4.9000000000000004</v>
      </c>
      <c r="G232" s="86">
        <f>+'MRS LIST'!J232</f>
        <v>2352</v>
      </c>
      <c r="H232" s="87"/>
    </row>
    <row r="233" spans="1:8" s="52" customFormat="1" ht="32.1" customHeight="1">
      <c r="A233" s="82">
        <f t="shared" si="3"/>
        <v>228</v>
      </c>
      <c r="B233" s="128" t="str">
        <f>MRS!B233&amp;" "&amp;MRS!D233</f>
        <v xml:space="preserve">Paint Marker White Snowman Japan </v>
      </c>
      <c r="C233" s="129"/>
      <c r="D233" s="83" t="str">
        <f>MRS!G233</f>
        <v>Nos</v>
      </c>
      <c r="E233" s="84">
        <f>MRS!H233</f>
        <v>240</v>
      </c>
      <c r="F233" s="85">
        <f>+'MRS LIST'!I233</f>
        <v>4.9000000000000004</v>
      </c>
      <c r="G233" s="86">
        <f>+'MRS LIST'!J233</f>
        <v>1176</v>
      </c>
      <c r="H233" s="87"/>
    </row>
    <row r="234" spans="1:8" s="52" customFormat="1" ht="32.1" customHeight="1">
      <c r="A234" s="82">
        <f t="shared" si="3"/>
        <v>229</v>
      </c>
      <c r="B234" s="128" t="str">
        <f>MRS!B234&amp;" "&amp;MRS!D234</f>
        <v xml:space="preserve">Masking Tape 2"x25yard </v>
      </c>
      <c r="C234" s="129"/>
      <c r="D234" s="83" t="str">
        <f>MRS!G234</f>
        <v>Set</v>
      </c>
      <c r="E234" s="84">
        <f>MRS!H234</f>
        <v>680</v>
      </c>
      <c r="F234" s="85">
        <f>+'MRS LIST'!I234</f>
        <v>2.15</v>
      </c>
      <c r="G234" s="86">
        <f>+'MRS LIST'!J234</f>
        <v>1462</v>
      </c>
      <c r="H234" s="87"/>
    </row>
    <row r="235" spans="1:8" s="52" customFormat="1" ht="32.1" customHeight="1">
      <c r="A235" s="82">
        <f t="shared" si="3"/>
        <v>230</v>
      </c>
      <c r="B235" s="128" t="str">
        <f>MRS!B235&amp;" "&amp;MRS!D235</f>
        <v xml:space="preserve">Masking Tape 1"x25yard </v>
      </c>
      <c r="C235" s="129"/>
      <c r="D235" s="83" t="str">
        <f>MRS!G235</f>
        <v>Nos</v>
      </c>
      <c r="E235" s="84">
        <f>MRS!H235</f>
        <v>120</v>
      </c>
      <c r="F235" s="85">
        <f>+'MRS LIST'!I235</f>
        <v>2</v>
      </c>
      <c r="G235" s="86">
        <f>+'MRS LIST'!J235</f>
        <v>240</v>
      </c>
      <c r="H235" s="87"/>
    </row>
    <row r="236" spans="1:8" s="52" customFormat="1" ht="32.1" customHeight="1">
      <c r="A236" s="82">
        <f t="shared" si="3"/>
        <v>231</v>
      </c>
      <c r="B236" s="128" t="str">
        <f>MRS!B236&amp;" "&amp;MRS!D236</f>
        <v xml:space="preserve">Warning Tape 3" Red/White </v>
      </c>
      <c r="C236" s="129"/>
      <c r="D236" s="83" t="str">
        <f>MRS!G236</f>
        <v>Nos</v>
      </c>
      <c r="E236" s="84">
        <f>MRS!H236</f>
        <v>96</v>
      </c>
      <c r="F236" s="85">
        <f>+'MRS LIST'!I236</f>
        <v>3.5</v>
      </c>
      <c r="G236" s="86">
        <f>+'MRS LIST'!J236</f>
        <v>336</v>
      </c>
      <c r="H236" s="87"/>
    </row>
    <row r="237" spans="1:8" s="52" customFormat="1" ht="32.1" customHeight="1">
      <c r="A237" s="82">
        <f t="shared" si="3"/>
        <v>232</v>
      </c>
      <c r="B237" s="128" t="str">
        <f>MRS!B237&amp;" "&amp;MRS!D237</f>
        <v xml:space="preserve">Duct Tape 2"x25yard </v>
      </c>
      <c r="C237" s="129"/>
      <c r="D237" s="83" t="str">
        <f>MRS!G237</f>
        <v>Nos</v>
      </c>
      <c r="E237" s="84">
        <f>MRS!H237</f>
        <v>280</v>
      </c>
      <c r="F237" s="85">
        <f>+'MRS LIST'!I237</f>
        <v>2.7</v>
      </c>
      <c r="G237" s="86">
        <f>+'MRS LIST'!J237</f>
        <v>756</v>
      </c>
      <c r="H237" s="87"/>
    </row>
    <row r="238" spans="1:8" s="52" customFormat="1" ht="32.1" customHeight="1">
      <c r="A238" s="82">
        <f t="shared" si="3"/>
        <v>233</v>
      </c>
      <c r="B238" s="128" t="str">
        <f>MRS!B238&amp;" "&amp;MRS!D238</f>
        <v xml:space="preserve">Electric Insulation Tape Black </v>
      </c>
      <c r="C238" s="129"/>
      <c r="D238" s="83" t="str">
        <f>MRS!G238</f>
        <v>Nos</v>
      </c>
      <c r="E238" s="84">
        <f>MRS!H238</f>
        <v>100</v>
      </c>
      <c r="F238" s="85">
        <f>+'MRS LIST'!I238</f>
        <v>2.2000000000000002</v>
      </c>
      <c r="G238" s="86">
        <f>+'MRS LIST'!J238</f>
        <v>220.00000000000003</v>
      </c>
      <c r="H238" s="87"/>
    </row>
    <row r="239" spans="1:8" s="52" customFormat="1" ht="32.1" customHeight="1">
      <c r="A239" s="82">
        <f t="shared" si="3"/>
        <v>234</v>
      </c>
      <c r="B239" s="128" t="str">
        <f>MRS!B239&amp;" "&amp;MRS!D239</f>
        <v xml:space="preserve">Electric Insulation Tape Red </v>
      </c>
      <c r="C239" s="129"/>
      <c r="D239" s="83" t="str">
        <f>MRS!G239</f>
        <v>Nos</v>
      </c>
      <c r="E239" s="84">
        <f>MRS!H239</f>
        <v>100</v>
      </c>
      <c r="F239" s="85">
        <f>+'MRS LIST'!I239</f>
        <v>2.2000000000000002</v>
      </c>
      <c r="G239" s="86">
        <f>+'MRS LIST'!J239</f>
        <v>220.00000000000003</v>
      </c>
      <c r="H239" s="87"/>
    </row>
    <row r="240" spans="1:8" s="52" customFormat="1" ht="32.1" customHeight="1">
      <c r="A240" s="82">
        <f t="shared" si="3"/>
        <v>235</v>
      </c>
      <c r="B240" s="128" t="str">
        <f>MRS!B240&amp;" "&amp;MRS!D240</f>
        <v xml:space="preserve">Electric Insulation Tape Blue </v>
      </c>
      <c r="C240" s="129"/>
      <c r="D240" s="83" t="str">
        <f>MRS!G240</f>
        <v>Nos</v>
      </c>
      <c r="E240" s="84">
        <f>MRS!H240</f>
        <v>150</v>
      </c>
      <c r="F240" s="85">
        <f>+'MRS LIST'!I240</f>
        <v>2.2000000000000002</v>
      </c>
      <c r="G240" s="86">
        <f>+'MRS LIST'!J240</f>
        <v>330</v>
      </c>
      <c r="H240" s="87"/>
    </row>
    <row r="241" spans="1:13" s="52" customFormat="1" ht="32.1" customHeight="1">
      <c r="A241" s="82">
        <f t="shared" si="3"/>
        <v>236</v>
      </c>
      <c r="B241" s="128" t="str">
        <f>MRS!B241&amp;" "&amp;MRS!D241</f>
        <v xml:space="preserve">Spray Paint Red </v>
      </c>
      <c r="C241" s="129"/>
      <c r="D241" s="83" t="str">
        <f>MRS!G241</f>
        <v>Nos</v>
      </c>
      <c r="E241" s="84">
        <f>MRS!H241</f>
        <v>24</v>
      </c>
      <c r="F241" s="85">
        <f>+'MRS LIST'!I241</f>
        <v>4</v>
      </c>
      <c r="G241" s="86">
        <f>+'MRS LIST'!J241</f>
        <v>96</v>
      </c>
      <c r="H241" s="87"/>
    </row>
    <row r="242" spans="1:13" s="52" customFormat="1" ht="32.1" customHeight="1">
      <c r="A242" s="82">
        <f t="shared" si="3"/>
        <v>237</v>
      </c>
      <c r="B242" s="128" t="str">
        <f>MRS!B242&amp;" "&amp;MRS!D242</f>
        <v xml:space="preserve">Cordless Jigsaw 18V 5Ah DCS334P2-GB Dewalt with 2-batt and Charger </v>
      </c>
      <c r="C242" s="129"/>
      <c r="D242" s="83" t="str">
        <f>MRS!G242</f>
        <v>Nos</v>
      </c>
      <c r="E242" s="84">
        <f>MRS!H242</f>
        <v>1</v>
      </c>
      <c r="F242" s="85">
        <f>+'MRS LIST'!I242</f>
        <v>2360</v>
      </c>
      <c r="G242" s="86">
        <f>+'MRS LIST'!J242</f>
        <v>2360</v>
      </c>
      <c r="H242" s="87"/>
    </row>
    <row r="243" spans="1:13" s="52" customFormat="1" ht="32.1" customHeight="1">
      <c r="A243" s="82">
        <f t="shared" si="3"/>
        <v>238</v>
      </c>
      <c r="B243" s="128" t="str">
        <f>MRS!B243&amp;" "&amp;MRS!D243</f>
        <v xml:space="preserve">Jigsaw Blade 105mm for Wood </v>
      </c>
      <c r="C243" s="129"/>
      <c r="D243" s="83" t="str">
        <f>MRS!G243</f>
        <v>Nos</v>
      </c>
      <c r="E243" s="84">
        <f>MRS!H243</f>
        <v>10</v>
      </c>
      <c r="F243" s="85">
        <f>+'MRS LIST'!I243</f>
        <v>3.5</v>
      </c>
      <c r="G243" s="86">
        <f>+'MRS LIST'!J243</f>
        <v>35</v>
      </c>
      <c r="H243" s="87"/>
    </row>
    <row r="244" spans="1:13" s="52" customFormat="1" ht="32.1" customHeight="1">
      <c r="A244" s="82">
        <f t="shared" si="3"/>
        <v>239</v>
      </c>
      <c r="B244" s="128" t="str">
        <f>MRS!B244&amp;" "&amp;MRS!D244</f>
        <v xml:space="preserve">Latex Half Coated Gloves Orange Crinkled </v>
      </c>
      <c r="C244" s="129"/>
      <c r="D244" s="83" t="str">
        <f>MRS!G244</f>
        <v>Nos</v>
      </c>
      <c r="E244" s="84">
        <f>MRS!H244</f>
        <v>4500</v>
      </c>
      <c r="F244" s="85">
        <f>+'MRS LIST'!I244</f>
        <v>1.35</v>
      </c>
      <c r="G244" s="86">
        <f>+'MRS LIST'!J244</f>
        <v>6075</v>
      </c>
      <c r="H244" s="87"/>
    </row>
    <row r="245" spans="1:13" s="52" customFormat="1" ht="32.1" customHeight="1">
      <c r="A245" s="82">
        <f t="shared" si="3"/>
        <v>240</v>
      </c>
      <c r="B245" s="128" t="str">
        <f>MRS!B245&amp;" "&amp;MRS!D245</f>
        <v xml:space="preserve">Manila Rope 18mm x 100mtr </v>
      </c>
      <c r="C245" s="129"/>
      <c r="D245" s="83" t="str">
        <f>MRS!G245</f>
        <v>Nos</v>
      </c>
      <c r="E245" s="84">
        <f>MRS!H245</f>
        <v>12</v>
      </c>
      <c r="F245" s="85">
        <f>+'MRS LIST'!I245</f>
        <v>384</v>
      </c>
      <c r="G245" s="86">
        <f>+'MRS LIST'!J245</f>
        <v>4608</v>
      </c>
      <c r="H245" s="87"/>
    </row>
    <row r="246" spans="1:13" s="52" customFormat="1" ht="32.1" customHeight="1">
      <c r="A246" s="90"/>
      <c r="B246" s="128"/>
      <c r="C246" s="129"/>
      <c r="D246" s="83"/>
      <c r="E246" s="84"/>
      <c r="F246" s="85">
        <f>+'MRS LIST'!I316</f>
        <v>0</v>
      </c>
      <c r="G246" s="86">
        <f>+'MRS LIST'!J316</f>
        <v>0</v>
      </c>
      <c r="H246" s="91"/>
    </row>
    <row r="247" spans="1:13" s="52" customFormat="1" ht="23.1" customHeight="1">
      <c r="A247" s="144" t="s">
        <v>83</v>
      </c>
      <c r="B247" s="145"/>
      <c r="C247" s="145"/>
      <c r="D247" s="145"/>
      <c r="E247" s="145"/>
      <c r="F247" s="145"/>
      <c r="G247" s="55">
        <f>SUM(G6:G246)</f>
        <v>826442.5</v>
      </c>
      <c r="H247" s="56"/>
    </row>
    <row r="248" spans="1:13" s="52" customFormat="1" ht="23.1" customHeight="1">
      <c r="A248" s="144" t="s">
        <v>47</v>
      </c>
      <c r="B248" s="145"/>
      <c r="C248" s="145"/>
      <c r="D248" s="145"/>
      <c r="E248" s="145"/>
      <c r="F248" s="145"/>
      <c r="G248" s="55">
        <f>+G247*0.15</f>
        <v>123966.375</v>
      </c>
      <c r="H248" s="56"/>
    </row>
    <row r="249" spans="1:13" s="52" customFormat="1" ht="24.95" customHeight="1" thickBot="1">
      <c r="A249" s="146" t="s">
        <v>84</v>
      </c>
      <c r="B249" s="147"/>
      <c r="C249" s="147"/>
      <c r="D249" s="147"/>
      <c r="E249" s="147"/>
      <c r="F249" s="147"/>
      <c r="G249" s="57">
        <f>G248+G247</f>
        <v>950408.875</v>
      </c>
      <c r="H249" s="58"/>
    </row>
    <row r="250" spans="1:13" ht="15.75" thickTop="1">
      <c r="A250" s="59" t="str">
        <f>" 1) Above Price are as per your quotation with ref "&amp;'PO 1st page'!K14</f>
        <v xml:space="preserve"> 1) Above Price are as per your quotation with ref Q-20263213</v>
      </c>
      <c r="B250" s="60"/>
      <c r="C250" s="60"/>
      <c r="D250" s="61"/>
      <c r="E250" s="61"/>
      <c r="F250" s="61"/>
      <c r="G250" s="61"/>
      <c r="H250" s="61"/>
    </row>
    <row r="251" spans="1:13" ht="15">
      <c r="A251" s="62" t="s">
        <v>85</v>
      </c>
      <c r="B251" s="63"/>
      <c r="C251" s="63"/>
      <c r="D251" s="64"/>
      <c r="E251" s="64"/>
      <c r="F251" s="64"/>
      <c r="G251" s="64"/>
      <c r="H251" s="64"/>
      <c r="I251" s="65"/>
    </row>
    <row r="252" spans="1:13" ht="15.75">
      <c r="A252" s="66"/>
    </row>
    <row r="253" spans="1:13">
      <c r="A253" s="148" t="s">
        <v>86</v>
      </c>
      <c r="B253" s="148"/>
      <c r="C253" s="148"/>
      <c r="D253" s="148"/>
      <c r="E253" s="148"/>
      <c r="F253" s="148"/>
      <c r="G253" s="148"/>
      <c r="H253" s="148"/>
      <c r="I253" s="67"/>
      <c r="J253" s="67"/>
      <c r="K253" s="67"/>
      <c r="L253" s="67"/>
      <c r="M253" s="67"/>
    </row>
    <row r="254" spans="1:13" ht="15.75">
      <c r="A254" s="66"/>
      <c r="C254" s="68"/>
    </row>
    <row r="255" spans="1:13" ht="15.75">
      <c r="A255" s="66"/>
      <c r="C255" s="68"/>
    </row>
    <row r="257" ht="12" customHeight="1"/>
  </sheetData>
  <mergeCells count="253">
    <mergeCell ref="A247:F247"/>
    <mergeCell ref="A248:F248"/>
    <mergeCell ref="A249:F249"/>
    <mergeCell ref="A253:H253"/>
    <mergeCell ref="B12:C12"/>
    <mergeCell ref="B246:C246"/>
    <mergeCell ref="B13:C13"/>
    <mergeCell ref="B14:C14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69:C169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90:C190"/>
    <mergeCell ref="B191:C191"/>
    <mergeCell ref="B192:C192"/>
    <mergeCell ref="B193:C193"/>
    <mergeCell ref="B194:C194"/>
    <mergeCell ref="B185:C185"/>
    <mergeCell ref="B186:C186"/>
    <mergeCell ref="B187:C187"/>
    <mergeCell ref="B188:C188"/>
    <mergeCell ref="B189:C189"/>
    <mergeCell ref="B200:C200"/>
    <mergeCell ref="B201:C201"/>
    <mergeCell ref="B202:C202"/>
    <mergeCell ref="B203:C203"/>
    <mergeCell ref="B204:C204"/>
    <mergeCell ref="B195:C195"/>
    <mergeCell ref="B196:C196"/>
    <mergeCell ref="B197:C197"/>
    <mergeCell ref="B198:C198"/>
    <mergeCell ref="B199:C199"/>
    <mergeCell ref="B210:C210"/>
    <mergeCell ref="B211:C211"/>
    <mergeCell ref="B212:C212"/>
    <mergeCell ref="B213:C213"/>
    <mergeCell ref="B214:C214"/>
    <mergeCell ref="B205:C205"/>
    <mergeCell ref="B206:C206"/>
    <mergeCell ref="B207:C207"/>
    <mergeCell ref="B208:C208"/>
    <mergeCell ref="B209:C209"/>
    <mergeCell ref="B220:C220"/>
    <mergeCell ref="B221:C221"/>
    <mergeCell ref="B222:C222"/>
    <mergeCell ref="B223:C223"/>
    <mergeCell ref="B224:C224"/>
    <mergeCell ref="B215:C215"/>
    <mergeCell ref="B216:C216"/>
    <mergeCell ref="B217:C217"/>
    <mergeCell ref="B218:C218"/>
    <mergeCell ref="B219:C219"/>
    <mergeCell ref="B230:C230"/>
    <mergeCell ref="B231:C231"/>
    <mergeCell ref="B232:C232"/>
    <mergeCell ref="B233:C233"/>
    <mergeCell ref="B234:C234"/>
    <mergeCell ref="B225:C225"/>
    <mergeCell ref="B226:C226"/>
    <mergeCell ref="B227:C227"/>
    <mergeCell ref="B228:C228"/>
    <mergeCell ref="B229:C229"/>
    <mergeCell ref="B245:C245"/>
    <mergeCell ref="B240:C240"/>
    <mergeCell ref="B241:C241"/>
    <mergeCell ref="B242:C242"/>
    <mergeCell ref="B243:C243"/>
    <mergeCell ref="B244:C244"/>
    <mergeCell ref="B235:C235"/>
    <mergeCell ref="B236:C236"/>
    <mergeCell ref="B237:C237"/>
    <mergeCell ref="B238:C238"/>
    <mergeCell ref="B239:C23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2026-07-14T08:22:03Z</cp:lastPrinted>
  <dcterms:created xsi:type="dcterms:W3CDTF">2024-10-20T11:50:19Z</dcterms:created>
  <dcterms:modified xsi:type="dcterms:W3CDTF">2026-07-14T08:28:32Z</dcterms:modified>
</cp:coreProperties>
</file>