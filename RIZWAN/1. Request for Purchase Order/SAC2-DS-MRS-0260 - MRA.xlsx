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2E44AF5-22D8-4302-9DC8-419391DE6AE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E11" i="4"/>
  <c r="G11" i="4" s="1"/>
  <c r="F11" i="4"/>
  <c r="D12" i="4"/>
  <c r="E12" i="4"/>
  <c r="F12" i="4"/>
  <c r="G12" i="4"/>
  <c r="G10" i="4"/>
  <c r="F10" i="4"/>
  <c r="E10" i="4"/>
  <c r="D10" i="4"/>
  <c r="B12" i="4"/>
  <c r="B11" i="4"/>
  <c r="B10" i="4"/>
  <c r="J11" i="1"/>
  <c r="J10" i="1"/>
  <c r="F7" i="4"/>
  <c r="F8" i="4"/>
  <c r="F9" i="4"/>
  <c r="F6" i="4"/>
  <c r="E7" i="4"/>
  <c r="E8" i="4"/>
  <c r="E9" i="4"/>
  <c r="E6" i="4"/>
  <c r="G6" i="4" s="1"/>
  <c r="D7" i="4"/>
  <c r="D8" i="4"/>
  <c r="D9" i="4"/>
  <c r="D6" i="4"/>
  <c r="A18" i="4"/>
  <c r="A19" i="4"/>
  <c r="A17" i="4"/>
  <c r="A16" i="4"/>
  <c r="A14" i="4"/>
  <c r="A15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6" i="2"/>
  <c r="J15" i="1"/>
  <c r="J15" i="2" s="1"/>
  <c r="J13" i="1"/>
  <c r="J13" i="2" s="1"/>
  <c r="J12" i="1"/>
  <c r="J12" i="2" s="1"/>
  <c r="J11" i="2"/>
  <c r="J10" i="2"/>
  <c r="J9" i="1"/>
  <c r="J9" i="2" s="1"/>
  <c r="J8" i="1"/>
  <c r="J8" i="2" s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G7" i="4" l="1"/>
  <c r="G8" i="4"/>
  <c r="G9" i="4"/>
  <c r="J6" i="1"/>
  <c r="J16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1"/>
  <c r="A10" i="2" s="1"/>
  <c r="A9" i="1"/>
  <c r="A9" i="2" s="1"/>
  <c r="A8" i="1"/>
  <c r="A8" i="2" s="1"/>
  <c r="A7" i="1"/>
  <c r="A7" i="2" s="1"/>
  <c r="A6" i="1"/>
  <c r="A6" i="2" s="1"/>
  <c r="J6" i="2" l="1"/>
  <c r="G20" i="4" s="1"/>
  <c r="F29" i="3" s="1"/>
  <c r="G21" i="4" l="1"/>
  <c r="G22" i="4" l="1"/>
  <c r="F31" i="3" s="1"/>
  <c r="F30" i="3"/>
</calcChain>
</file>

<file path=xl/sharedStrings.xml><?xml version="1.0" encoding="utf-8"?>
<sst xmlns="http://schemas.openxmlformats.org/spreadsheetml/2006/main" count="186" uniqueCount="141">
  <si>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</si>
  <si>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</si>
  <si>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</si>
  <si>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</si>
  <si>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</si>
  <si>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</si>
  <si>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</si>
  <si>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</si>
  <si>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</si>
  <si>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</si>
  <si>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</si>
  <si>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</si>
  <si>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</si>
  <si>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</si>
  <si>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</si>
  <si>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</si>
  <si>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</si>
  <si>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</si>
  <si>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</si>
  <si>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</si>
  <si>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</si>
  <si>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</si>
  <si>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</si>
  <si>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</si>
  <si>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</si>
  <si>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</si>
  <si>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</si>
  <si>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</si>
  <si>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</si>
  <si>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</si>
  <si>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</si>
  <si>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</si>
  <si>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</si>
  <si>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</si>
  <si>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</si>
  <si>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</si>
  <si>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</si>
  <si>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</si>
  <si>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</si>
  <si>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</si>
  <si>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</si>
  <si>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</si>
  <si>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</si>
  <si>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</si>
  <si>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</si>
  <si>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</si>
  <si>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</si>
  <si>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</si>
  <si>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</si>
  <si>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</si>
  <si>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</si>
  <si>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</si>
  <si>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</si>
  <si>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</si>
  <si>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</si>
  <si>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</si>
  <si>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</si>
  <si>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</si>
  <si>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</si>
  <si>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</si>
  <si>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</si>
  <si>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</si>
  <si>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</si>
  <si>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</si>
  <si>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</si>
  <si>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</si>
  <si>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</si>
  <si>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</si>
  <si>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</si>
  <si>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</si>
  <si>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</si>
  <si>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</si>
  <si>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</si>
  <si>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</si>
  <si>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</si>
  <si>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</si>
  <si>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</si>
  <si>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</si>
  <si>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</si>
  <si>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</si>
  <si>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</si>
  <si>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</si>
  <si>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</si>
  <si>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</si>
  <si>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</si>
  <si>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</si>
  <si>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</si>
  <si>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</si>
  <si>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</si>
  <si>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</si>
  <si>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</si>
  <si>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</si>
  <si>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</si>
  <si>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</si>
  <si>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</si>
  <si>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</si>
  <si>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</si>
  <si>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</si>
  <si>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</si>
  <si>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</si>
  <si>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</si>
  <si>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</si>
  <si>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</si>
  <si>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</si>
  <si>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</si>
  <si>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</si>
  <si>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</si>
  <si>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</si>
  <si>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</si>
  <si>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</si>
  <si>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</si>
  <si>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</si>
  <si>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</si>
  <si>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</si>
  <si>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t>Blanket, Bedsheet, Pillow</t>
  </si>
  <si>
    <t>Bank Account Details:</t>
  </si>
  <si>
    <t>SAUDI NATIONAL BANK</t>
  </si>
  <si>
    <t>NCBKSAJE</t>
  </si>
  <si>
    <t>SAR</t>
  </si>
  <si>
    <t>MRA GENERAL CONTRACTING EST.</t>
  </si>
  <si>
    <t>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</si>
  <si>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</si>
  <si>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</si>
  <si>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</si>
  <si>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</si>
  <si>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</si>
  <si>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</si>
  <si>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</si>
  <si>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A4 Paper</t>
  </si>
  <si>
    <t>Double A</t>
  </si>
  <si>
    <t>SA74 1000 0001 4000 2058 0706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</si>
  <si>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-MRS-0260</t>
    </r>
  </si>
  <si>
    <t>A3 Paper</t>
  </si>
  <si>
    <t>Roco</t>
  </si>
  <si>
    <t>Safety Shoes</t>
  </si>
  <si>
    <t>Water Dispencer</t>
  </si>
  <si>
    <t>Fridge</t>
  </si>
  <si>
    <t>Water</t>
  </si>
  <si>
    <t>1.5*6 ltr bottle</t>
  </si>
  <si>
    <t>Office Materials</t>
  </si>
  <si>
    <t>MRA/SQ000138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</si>
</sst>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3" fillId="3" borderId="0" xfId="5" applyFont="1" applyFill="1"/>
    <xf numFmtId="0" fontId="17" fillId="3" borderId="0" xfId="5" quotePrefix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H13" sqref="H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19" t="s">
        <v>99</v>
      </c>
      <c r="B1" s="105"/>
      <c r="C1" s="105"/>
      <c r="D1" s="105"/>
      <c r="E1" s="105"/>
      <c r="F1" s="105"/>
      <c r="G1" s="1"/>
      <c r="J1" s="138" t="s">
        <v>88</v>
      </c>
      <c r="K1" s="139"/>
      <c r="L1" s="140"/>
    </row>
    <row r="2" spans="1:19" ht="20.100000000000001" customHeight="1">
      <c r="A2" s="3" t="s">
        <v>1</v>
      </c>
      <c r="B2" s="96"/>
      <c r="C2" s="96"/>
      <c r="D2" s="3" t="s">
        <v>97</v>
      </c>
      <c r="E2" s="96"/>
      <c r="F2" s="96"/>
      <c r="G2" s="96"/>
      <c r="H2" s="96"/>
      <c r="I2" s="4"/>
      <c r="J2" s="141" t="s">
        <v>98</v>
      </c>
      <c r="K2" s="142"/>
      <c r="L2" s="143"/>
    </row>
    <row r="3" spans="1:19" ht="20.100000000000001" customHeight="1">
      <c r="A3" s="3" t="s">
        <v>131</v>
      </c>
      <c r="B3" s="96"/>
      <c r="C3" s="96"/>
      <c r="D3" s="96"/>
      <c r="E3" s="144">
        <f>+L3</f>
        <v>46095</v>
      </c>
      <c r="F3" s="144"/>
      <c r="G3" s="144"/>
      <c r="H3" s="144"/>
      <c r="I3" s="144"/>
      <c r="J3" s="96"/>
      <c r="K3" s="96"/>
      <c r="L3" s="117">
        <v>46095</v>
      </c>
      <c r="M3" s="4"/>
    </row>
    <row r="4" spans="1:19" ht="15.95" customHeight="1">
      <c r="A4" s="145" t="s">
        <v>2</v>
      </c>
      <c r="B4" s="146" t="s">
        <v>3</v>
      </c>
      <c r="C4" s="146"/>
      <c r="D4" s="147" t="s">
        <v>4</v>
      </c>
      <c r="E4" s="148"/>
      <c r="F4" s="149"/>
      <c r="G4" s="153" t="s">
        <v>5</v>
      </c>
      <c r="H4" s="155" t="s">
        <v>6</v>
      </c>
      <c r="I4" s="155" t="s">
        <v>92</v>
      </c>
      <c r="J4" s="145" t="s">
        <v>93</v>
      </c>
      <c r="K4" s="155" t="s">
        <v>0</v>
      </c>
      <c r="L4" s="146" t="s">
        <v>7</v>
      </c>
    </row>
    <row r="5" spans="1:19" ht="15.95" customHeight="1">
      <c r="A5" s="145"/>
      <c r="B5" s="146"/>
      <c r="C5" s="146"/>
      <c r="D5" s="150"/>
      <c r="E5" s="151"/>
      <c r="F5" s="152"/>
      <c r="G5" s="154"/>
      <c r="H5" s="156"/>
      <c r="I5" s="156"/>
      <c r="J5" s="145"/>
      <c r="K5" s="156"/>
      <c r="L5" s="146"/>
    </row>
    <row r="6" spans="1:19" ht="22.5" customHeight="1">
      <c r="A6" s="5">
        <f t="shared" ref="A6:A10" si="0">ROW(A1)</f>
        <v>1</v>
      </c>
      <c r="B6" s="133" t="s">
        <v>132</v>
      </c>
      <c r="C6" s="134"/>
      <c r="D6" s="132" t="s">
        <v>133</v>
      </c>
      <c r="E6" s="132"/>
      <c r="F6" s="132"/>
      <c r="G6" s="106" t="s">
        <v>95</v>
      </c>
      <c r="H6" s="107">
        <v>20</v>
      </c>
      <c r="I6" s="108">
        <v>174</v>
      </c>
      <c r="J6" s="108">
        <f>H6*I6</f>
        <v>3480</v>
      </c>
      <c r="K6" s="109" t="s">
        <v>111</v>
      </c>
      <c r="L6" s="121" t="s">
        <v>112</v>
      </c>
      <c r="S6" s="101"/>
    </row>
    <row r="7" spans="1:19" ht="22.5" customHeight="1">
      <c r="A7" s="5">
        <f t="shared" si="0"/>
        <v>2</v>
      </c>
      <c r="B7" s="133" t="s">
        <v>128</v>
      </c>
      <c r="C7" s="134"/>
      <c r="D7" s="132" t="s">
        <v>129</v>
      </c>
      <c r="E7" s="132"/>
      <c r="F7" s="132"/>
      <c r="G7" s="106" t="s">
        <v>95</v>
      </c>
      <c r="H7" s="107">
        <v>50</v>
      </c>
      <c r="I7" s="108">
        <v>79</v>
      </c>
      <c r="J7" s="108">
        <f t="shared" ref="J7:J15" si="1">H7*I7</f>
        <v>3950</v>
      </c>
      <c r="K7" s="109"/>
      <c r="L7" s="110"/>
      <c r="S7" s="101"/>
    </row>
    <row r="8" spans="1:19" ht="22.5" customHeight="1">
      <c r="A8" s="5">
        <f t="shared" si="0"/>
        <v>3</v>
      </c>
      <c r="B8" s="133" t="s">
        <v>134</v>
      </c>
      <c r="C8" s="134"/>
      <c r="D8" s="132"/>
      <c r="E8" s="132"/>
      <c r="F8" s="132"/>
      <c r="G8" s="106" t="s">
        <v>95</v>
      </c>
      <c r="H8" s="107">
        <v>200</v>
      </c>
      <c r="I8" s="108">
        <v>64</v>
      </c>
      <c r="J8" s="108">
        <f t="shared" si="1"/>
        <v>12800</v>
      </c>
      <c r="K8" s="109"/>
      <c r="L8" s="110"/>
      <c r="S8" s="101"/>
    </row>
    <row r="9" spans="1:19" ht="22.5" customHeight="1">
      <c r="A9" s="5">
        <f t="shared" si="0"/>
        <v>4</v>
      </c>
      <c r="B9" s="133" t="s">
        <v>135</v>
      </c>
      <c r="C9" s="134"/>
      <c r="D9" s="135"/>
      <c r="E9" s="136"/>
      <c r="F9" s="137"/>
      <c r="G9" s="106" t="s">
        <v>95</v>
      </c>
      <c r="H9" s="107">
        <v>1</v>
      </c>
      <c r="I9" s="108">
        <v>598</v>
      </c>
      <c r="J9" s="108">
        <f t="shared" si="1"/>
        <v>598</v>
      </c>
      <c r="K9" s="109"/>
      <c r="L9" s="110"/>
      <c r="S9" s="101"/>
    </row>
    <row r="10" spans="1:19" ht="22.5" customHeight="1">
      <c r="A10" s="5">
        <f t="shared" si="0"/>
        <v>5</v>
      </c>
      <c r="B10" s="133" t="s">
        <v>136</v>
      </c>
      <c r="C10" s="134"/>
      <c r="D10" s="135"/>
      <c r="E10" s="136"/>
      <c r="F10" s="137"/>
      <c r="G10" s="106" t="s">
        <v>95</v>
      </c>
      <c r="H10" s="107">
        <v>1</v>
      </c>
      <c r="I10" s="111">
        <v>620</v>
      </c>
      <c r="J10" s="108">
        <f t="shared" si="1"/>
        <v>620</v>
      </c>
      <c r="K10" s="109"/>
      <c r="L10" s="106"/>
      <c r="S10" s="101"/>
    </row>
    <row r="11" spans="1:19" ht="22.5" customHeight="1">
      <c r="A11" s="5">
        <v>6</v>
      </c>
      <c r="B11" s="133" t="s">
        <v>137</v>
      </c>
      <c r="C11" s="134"/>
      <c r="D11" s="135" t="s">
        <v>138</v>
      </c>
      <c r="E11" s="136"/>
      <c r="F11" s="137"/>
      <c r="G11" s="106" t="s">
        <v>95</v>
      </c>
      <c r="H11" s="107">
        <v>150</v>
      </c>
      <c r="I11" s="108">
        <v>7.14</v>
      </c>
      <c r="J11" s="108">
        <f t="shared" si="1"/>
        <v>1071</v>
      </c>
      <c r="K11" s="109"/>
      <c r="L11" s="110"/>
      <c r="S11" s="101"/>
    </row>
    <row r="12" spans="1:19" ht="22.5" customHeight="1">
      <c r="A12" s="5">
        <v>7</v>
      </c>
      <c r="B12" s="133" t="s">
        <v>114</v>
      </c>
      <c r="C12" s="134"/>
      <c r="D12" s="132"/>
      <c r="E12" s="132"/>
      <c r="F12" s="132"/>
      <c r="G12" s="106" t="s">
        <v>95</v>
      </c>
      <c r="H12" s="107">
        <v>50</v>
      </c>
      <c r="I12" s="111">
        <v>68</v>
      </c>
      <c r="J12" s="108">
        <f t="shared" si="1"/>
        <v>3400</v>
      </c>
      <c r="K12" s="109"/>
      <c r="L12" s="106"/>
      <c r="S12" s="101"/>
    </row>
    <row r="13" spans="1:19" ht="22.5" customHeight="1">
      <c r="A13" s="5">
        <v>8</v>
      </c>
      <c r="B13" s="133"/>
      <c r="C13" s="134"/>
      <c r="D13" s="135"/>
      <c r="E13" s="136"/>
      <c r="F13" s="137"/>
      <c r="G13" s="106"/>
      <c r="H13" s="107"/>
      <c r="I13" s="108"/>
      <c r="J13" s="108">
        <f t="shared" si="1"/>
        <v>0</v>
      </c>
      <c r="K13" s="109"/>
      <c r="L13" s="110"/>
      <c r="S13" s="101"/>
    </row>
    <row r="14" spans="1:19" ht="22.5" customHeight="1">
      <c r="A14" s="5">
        <v>9</v>
      </c>
      <c r="B14" s="133"/>
      <c r="C14" s="134"/>
      <c r="D14" s="135"/>
      <c r="E14" s="136"/>
      <c r="F14" s="137"/>
      <c r="G14" s="106"/>
      <c r="H14" s="107"/>
      <c r="I14" s="108"/>
      <c r="J14" s="108">
        <f t="shared" si="1"/>
        <v>0</v>
      </c>
      <c r="K14" s="109"/>
      <c r="L14" s="110"/>
      <c r="S14" s="101"/>
    </row>
    <row r="15" spans="1:19" ht="22.5" customHeight="1">
      <c r="A15" s="5">
        <v>10</v>
      </c>
      <c r="B15" s="133"/>
      <c r="C15" s="134"/>
      <c r="D15" s="135"/>
      <c r="E15" s="136"/>
      <c r="F15" s="137"/>
      <c r="G15" s="106"/>
      <c r="H15" s="107"/>
      <c r="I15" s="108"/>
      <c r="J15" s="108">
        <f t="shared" si="1"/>
        <v>0</v>
      </c>
      <c r="K15" s="109"/>
      <c r="L15" s="110"/>
      <c r="S15" s="101"/>
    </row>
    <row r="16" spans="1:19" ht="22.5" customHeight="1">
      <c r="A16" s="128" t="s">
        <v>8</v>
      </c>
      <c r="B16" s="129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25919</v>
      </c>
      <c r="K16" s="108"/>
      <c r="L16" s="116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0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1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4" t="s">
        <v>17</v>
      </c>
      <c r="Q21" s="124" t="s">
        <v>18</v>
      </c>
    </row>
    <row r="22" spans="1:22" ht="18" customHeight="1">
      <c r="O22" s="18" t="s">
        <v>19</v>
      </c>
      <c r="P22" s="126"/>
      <c r="Q22" s="126"/>
      <c r="S22" s="130" t="s">
        <v>20</v>
      </c>
      <c r="T22" s="12" t="s">
        <v>12</v>
      </c>
      <c r="U22" s="12" t="s">
        <v>13</v>
      </c>
      <c r="V22" s="12" t="s">
        <v>14</v>
      </c>
    </row>
    <row r="23" spans="1:22" ht="49.5" customHeight="1">
      <c r="O23" s="14"/>
      <c r="P23" s="14"/>
      <c r="Q23" s="14"/>
      <c r="S23" s="131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21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21</v>
      </c>
      <c r="P46" s="124" t="s">
        <v>21</v>
      </c>
      <c r="Q46" s="124" t="s">
        <v>21</v>
      </c>
      <c r="T46" s="124" t="s">
        <v>22</v>
      </c>
      <c r="U46" s="124" t="s">
        <v>13</v>
      </c>
      <c r="V46" s="124" t="s">
        <v>21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13</v>
      </c>
      <c r="U50" s="124" t="s">
        <v>22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B14:C14"/>
    <mergeCell ref="D14:F14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G13" sqref="G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94</v>
      </c>
      <c r="B1" s="95"/>
      <c r="C1" s="95"/>
      <c r="D1" s="95"/>
      <c r="E1" s="95"/>
      <c r="F1" s="95"/>
      <c r="G1" s="1"/>
      <c r="J1" s="138" t="str">
        <f>+MRS!J1</f>
        <v>DAESHIN PLANT</v>
      </c>
      <c r="K1" s="140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SAC2-DS-MRS-0260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46095</v>
      </c>
    </row>
    <row r="4" spans="1:18" ht="15.95" customHeight="1">
      <c r="A4" s="167" t="s">
        <v>2</v>
      </c>
      <c r="B4" s="168" t="s">
        <v>23</v>
      </c>
      <c r="C4" s="168"/>
      <c r="D4" s="167" t="s">
        <v>4</v>
      </c>
      <c r="E4" s="167"/>
      <c r="F4" s="167"/>
      <c r="G4" s="168" t="s">
        <v>5</v>
      </c>
      <c r="H4" s="167" t="s">
        <v>89</v>
      </c>
      <c r="I4" s="167" t="s">
        <v>24</v>
      </c>
      <c r="J4" s="167" t="s">
        <v>25</v>
      </c>
      <c r="K4" s="168" t="s">
        <v>7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57" t="str">
        <f>MRS!B6</f>
        <v>A3 Paper</v>
      </c>
      <c r="C6" s="158"/>
      <c r="D6" s="159" t="str">
        <f>MRS!D6</f>
        <v>Roco</v>
      </c>
      <c r="E6" s="160"/>
      <c r="F6" s="161"/>
      <c r="G6" s="98" t="str">
        <f>MRS!G6</f>
        <v>EA</v>
      </c>
      <c r="H6" s="98">
        <f>MRS!H6</f>
        <v>20</v>
      </c>
      <c r="I6" s="99">
        <f>MRS!I6</f>
        <v>174</v>
      </c>
      <c r="J6" s="99">
        <f>MRS!J6</f>
        <v>3480</v>
      </c>
      <c r="K6" s="100"/>
      <c r="O6" s="101"/>
      <c r="P6" s="101"/>
      <c r="R6" s="101"/>
    </row>
    <row r="7" spans="1:18" ht="105" customHeight="1">
      <c r="A7" s="21">
        <f>+MRS!A7</f>
        <v>2</v>
      </c>
      <c r="B7" s="157" t="str">
        <f>MRS!B7</f>
        <v>A4 Paper</v>
      </c>
      <c r="C7" s="158"/>
      <c r="D7" s="159" t="str">
        <f>MRS!D7</f>
        <v>Double A</v>
      </c>
      <c r="E7" s="160"/>
      <c r="F7" s="161"/>
      <c r="G7" s="98" t="str">
        <f>MRS!G7</f>
        <v>EA</v>
      </c>
      <c r="H7" s="98">
        <f>MRS!H7</f>
        <v>50</v>
      </c>
      <c r="I7" s="99">
        <f>MRS!I7</f>
        <v>79</v>
      </c>
      <c r="J7" s="99">
        <f>MRS!J7</f>
        <v>3950</v>
      </c>
      <c r="K7" s="100"/>
      <c r="O7" s="101"/>
      <c r="P7" s="101"/>
      <c r="R7" s="101"/>
    </row>
    <row r="8" spans="1:18" ht="105" customHeight="1">
      <c r="A8" s="21">
        <f>+MRS!A8</f>
        <v>3</v>
      </c>
      <c r="B8" s="157" t="str">
        <f>MRS!B8</f>
        <v>Safety Shoes</v>
      </c>
      <c r="C8" s="158"/>
      <c r="D8" s="159">
        <f>MRS!D8</f>
        <v>0</v>
      </c>
      <c r="E8" s="160"/>
      <c r="F8" s="161"/>
      <c r="G8" s="98" t="str">
        <f>MRS!G8</f>
        <v>EA</v>
      </c>
      <c r="H8" s="98">
        <f>MRS!H8</f>
        <v>200</v>
      </c>
      <c r="I8" s="99">
        <f>MRS!I8</f>
        <v>64</v>
      </c>
      <c r="J8" s="99">
        <f>MRS!J8</f>
        <v>12800</v>
      </c>
      <c r="K8" s="100"/>
      <c r="O8" s="101"/>
      <c r="P8" s="101"/>
      <c r="R8" s="101"/>
    </row>
    <row r="9" spans="1:18" ht="105" customHeight="1">
      <c r="A9" s="21">
        <f>+MRS!A9</f>
        <v>4</v>
      </c>
      <c r="B9" s="157" t="str">
        <f>MRS!B9</f>
        <v>Water Dispencer</v>
      </c>
      <c r="C9" s="158"/>
      <c r="D9" s="159">
        <f>MRS!D9</f>
        <v>0</v>
      </c>
      <c r="E9" s="160"/>
      <c r="F9" s="161"/>
      <c r="G9" s="98" t="str">
        <f>MRS!G9</f>
        <v>EA</v>
      </c>
      <c r="H9" s="98">
        <f>MRS!H9</f>
        <v>1</v>
      </c>
      <c r="I9" s="99">
        <f>MRS!I9</f>
        <v>598</v>
      </c>
      <c r="J9" s="99">
        <f>MRS!J9</f>
        <v>598</v>
      </c>
      <c r="K9" s="100"/>
      <c r="O9" s="101"/>
      <c r="P9" s="101"/>
      <c r="R9" s="101"/>
    </row>
    <row r="10" spans="1:18" ht="105" customHeight="1">
      <c r="A10" s="21">
        <f>+MRS!A10</f>
        <v>5</v>
      </c>
      <c r="B10" s="157" t="str">
        <f>MRS!B10</f>
        <v>Fridge</v>
      </c>
      <c r="C10" s="158"/>
      <c r="D10" s="159">
        <f>MRS!D10</f>
        <v>0</v>
      </c>
      <c r="E10" s="160"/>
      <c r="F10" s="161"/>
      <c r="G10" s="98" t="str">
        <f>MRS!G10</f>
        <v>EA</v>
      </c>
      <c r="H10" s="98">
        <f>MRS!H10</f>
        <v>1</v>
      </c>
      <c r="I10" s="99">
        <f>MRS!I10</f>
        <v>620</v>
      </c>
      <c r="J10" s="99">
        <f>MRS!J10</f>
        <v>620</v>
      </c>
      <c r="K10" s="100"/>
      <c r="O10" s="101"/>
      <c r="P10" s="101"/>
      <c r="R10" s="101"/>
    </row>
    <row r="11" spans="1:18" ht="105" customHeight="1">
      <c r="A11" s="21">
        <f>+MRS!A11</f>
        <v>6</v>
      </c>
      <c r="B11" s="157" t="str">
        <f>MRS!B11</f>
        <v>Water</v>
      </c>
      <c r="C11" s="158"/>
      <c r="D11" s="159" t="str">
        <f>MRS!D11</f>
        <v>1.5*6 ltr bottle</v>
      </c>
      <c r="E11" s="160"/>
      <c r="F11" s="161"/>
      <c r="G11" s="98" t="str">
        <f>MRS!G11</f>
        <v>EA</v>
      </c>
      <c r="H11" s="98">
        <f>MRS!H11</f>
        <v>150</v>
      </c>
      <c r="I11" s="99">
        <f>MRS!I11</f>
        <v>7.14</v>
      </c>
      <c r="J11" s="99">
        <f>MRS!J11</f>
        <v>1071</v>
      </c>
      <c r="K11" s="100"/>
      <c r="O11" s="101"/>
      <c r="P11" s="101"/>
      <c r="R11" s="101"/>
    </row>
    <row r="12" spans="1:18" ht="105" customHeight="1">
      <c r="A12" s="21">
        <f>+MRS!A12</f>
        <v>7</v>
      </c>
      <c r="B12" s="157" t="str">
        <f>MRS!B12</f>
        <v>Blanket, Bedsheet, Pillow</v>
      </c>
      <c r="C12" s="158"/>
      <c r="D12" s="159">
        <f>MRS!D12</f>
        <v>0</v>
      </c>
      <c r="E12" s="160"/>
      <c r="F12" s="161"/>
      <c r="G12" s="98" t="str">
        <f>MRS!G12</f>
        <v>EA</v>
      </c>
      <c r="H12" s="98">
        <f>MRS!H12</f>
        <v>50</v>
      </c>
      <c r="I12" s="99">
        <f>MRS!I12</f>
        <v>68</v>
      </c>
      <c r="J12" s="99">
        <f>MRS!J12</f>
        <v>3400</v>
      </c>
      <c r="K12" s="100"/>
      <c r="O12" s="101"/>
      <c r="P12" s="101"/>
      <c r="R12" s="101"/>
    </row>
    <row r="13" spans="1:18" ht="105" customHeight="1">
      <c r="A13" s="21">
        <f>+MRS!A13</f>
        <v>8</v>
      </c>
      <c r="B13" s="157">
        <f>MRS!B13</f>
        <v>0</v>
      </c>
      <c r="C13" s="158"/>
      <c r="D13" s="159">
        <f>MRS!D13</f>
        <v>0</v>
      </c>
      <c r="E13" s="160"/>
      <c r="F13" s="161"/>
      <c r="G13" s="98">
        <f>MRS!G13</f>
        <v>0</v>
      </c>
      <c r="H13" s="98">
        <f>MRS!H13</f>
        <v>0</v>
      </c>
      <c r="I13" s="99">
        <f>MRS!I13</f>
        <v>0</v>
      </c>
      <c r="J13" s="99">
        <f>MRS!J13</f>
        <v>0</v>
      </c>
      <c r="K13" s="100"/>
      <c r="O13" s="101"/>
      <c r="P13" s="101"/>
      <c r="R13" s="101"/>
    </row>
    <row r="14" spans="1:18" ht="105" customHeight="1">
      <c r="A14" s="21">
        <f>+MRS!A15</f>
        <v>10</v>
      </c>
      <c r="B14" s="157">
        <f>MRS!B14</f>
        <v>0</v>
      </c>
      <c r="C14" s="158"/>
      <c r="D14" s="159">
        <f>MRS!D14</f>
        <v>0</v>
      </c>
      <c r="E14" s="160"/>
      <c r="F14" s="161"/>
      <c r="G14" s="98">
        <f>MRS!G14</f>
        <v>0</v>
      </c>
      <c r="H14" s="98">
        <f>MRS!H14</f>
        <v>0</v>
      </c>
      <c r="I14" s="99">
        <f>MRS!I14</f>
        <v>0</v>
      </c>
      <c r="J14" s="99">
        <f>MRS!J14</f>
        <v>0</v>
      </c>
      <c r="K14" s="100"/>
      <c r="O14" s="101"/>
      <c r="P14" s="101"/>
      <c r="R14" s="101"/>
    </row>
    <row r="15" spans="1:18" ht="105" customHeight="1">
      <c r="A15" s="21" t="e">
        <f>+MRS!#REF!</f>
        <v>#REF!</v>
      </c>
      <c r="B15" s="157">
        <f>MRS!B15</f>
        <v>0</v>
      </c>
      <c r="C15" s="158"/>
      <c r="D15" s="159">
        <f>MRS!D15</f>
        <v>0</v>
      </c>
      <c r="E15" s="160"/>
      <c r="F15" s="161"/>
      <c r="G15" s="98">
        <f>MRS!G15</f>
        <v>0</v>
      </c>
      <c r="H15" s="98">
        <f>MRS!H15</f>
        <v>0</v>
      </c>
      <c r="I15" s="99">
        <f>MRS!I15</f>
        <v>0</v>
      </c>
      <c r="J15" s="99">
        <f>MRS!J15</f>
        <v>0</v>
      </c>
      <c r="K15" s="100"/>
      <c r="O15" s="101"/>
      <c r="P15" s="101"/>
      <c r="R15" s="101"/>
    </row>
    <row r="16" spans="1:18" ht="105" customHeight="1">
      <c r="A16" s="21" t="e">
        <f>+MRS!#REF!</f>
        <v>#REF!</v>
      </c>
      <c r="B16" s="157" t="e">
        <f>MRS!#REF!</f>
        <v>#REF!</v>
      </c>
      <c r="C16" s="158"/>
      <c r="D16" s="159" t="e">
        <f>MRS!#REF!</f>
        <v>#REF!</v>
      </c>
      <c r="E16" s="160"/>
      <c r="F16" s="161"/>
      <c r="G16" s="98" t="e">
        <f>MRS!#REF!</f>
        <v>#REF!</v>
      </c>
      <c r="H16" s="98" t="e">
        <f>MRS!#REF!</f>
        <v>#REF!</v>
      </c>
      <c r="I16" s="99" t="e">
        <f>MRS!#REF!</f>
        <v>#REF!</v>
      </c>
      <c r="J16" s="99" t="e">
        <f>MRS!#REF!</f>
        <v>#REF!</v>
      </c>
      <c r="K16" s="100"/>
      <c r="O16" s="101"/>
      <c r="P16" s="101"/>
      <c r="R16" s="101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85546875" style="26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101</v>
      </c>
      <c r="D10" s="76" t="s">
        <v>102</v>
      </c>
      <c r="J10" s="39" t="s">
        <v>33</v>
      </c>
      <c r="K10" s="170">
        <f>MRS!L3</f>
        <v>46095</v>
      </c>
      <c r="L10" s="171"/>
      <c r="M10" s="171"/>
    </row>
    <row r="11" spans="2:13" s="39" customFormat="1">
      <c r="B11" s="72"/>
      <c r="C11" s="75" t="s">
        <v>103</v>
      </c>
      <c r="D11" s="76" t="s">
        <v>104</v>
      </c>
      <c r="J11" s="39" t="s">
        <v>34</v>
      </c>
      <c r="K11" s="172" t="str">
        <f>SUBSTITUTE(SUBSTITUTE(+MRS!A3,"  MRS No : ",""),"-MRS","-PO")</f>
        <v>SAC2-DS-PO-0260</v>
      </c>
      <c r="L11" s="172"/>
      <c r="M11" s="172"/>
    </row>
    <row r="12" spans="2:13" s="39" customFormat="1">
      <c r="B12" s="72"/>
      <c r="C12" s="75" t="s">
        <v>105</v>
      </c>
      <c r="D12" s="39" t="s">
        <v>106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140</v>
      </c>
    </row>
    <row r="15" spans="2:13" s="39" customFormat="1">
      <c r="B15" s="72"/>
      <c r="C15" s="77" t="s">
        <v>109</v>
      </c>
      <c r="J15" s="39" t="s">
        <v>38</v>
      </c>
      <c r="K15" s="78">
        <v>46090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3" t="s">
        <v>39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</row>
    <row r="19" spans="2:13" ht="12" customHeight="1"/>
    <row r="20" spans="2:13" s="31" customFormat="1" ht="12" customHeight="1">
      <c r="B20" s="174" t="s">
        <v>40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</row>
    <row r="21" spans="2:13" s="31" customFormat="1" ht="12" customHeight="1">
      <c r="B21" s="174" t="s">
        <v>41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</row>
    <row r="22" spans="2:13" s="31" customFormat="1" ht="12" customHeight="1">
      <c r="B22" s="174" t="s">
        <v>42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</row>
    <row r="23" spans="2:13" ht="6.95" customHeight="1"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2:13" ht="6.95" customHeight="1"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</row>
    <row r="25" spans="2:13" s="32" customFormat="1" ht="15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139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0">
        <f>'PO 2nd page'!G20</f>
        <v>25919</v>
      </c>
      <c r="G29" s="120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0">
        <f>'PO 2nd page'!G21</f>
        <v>3887.85</v>
      </c>
      <c r="G30" s="120"/>
    </row>
    <row r="31" spans="2:13" ht="15" customHeight="1">
      <c r="B31" s="32"/>
      <c r="C31" s="26" t="s">
        <v>49</v>
      </c>
      <c r="D31" s="35"/>
      <c r="E31" s="26" t="s">
        <v>47</v>
      </c>
      <c r="F31" s="120">
        <f>'PO 2nd page'!G22</f>
        <v>29806.85</v>
      </c>
      <c r="G31" s="120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96</v>
      </c>
      <c r="P49" s="82"/>
    </row>
    <row r="50" spans="2:16" s="83" customFormat="1" ht="12" customHeight="1">
      <c r="B50" s="84" t="s">
        <v>63</v>
      </c>
      <c r="C50" s="81" t="s">
        <v>91</v>
      </c>
    </row>
    <row r="51" spans="2:16" s="83" customFormat="1" ht="12" customHeight="1">
      <c r="B51" s="84" t="s">
        <v>63</v>
      </c>
      <c r="C51" s="81" t="s">
        <v>90</v>
      </c>
    </row>
    <row r="52" spans="2:16" ht="6" customHeight="1">
      <c r="B52" s="42"/>
    </row>
    <row r="53" spans="2:16" ht="15" customHeight="1">
      <c r="B53" s="42">
        <v>7</v>
      </c>
      <c r="C53" s="32" t="s">
        <v>115</v>
      </c>
    </row>
    <row r="54" spans="2:16" ht="12" customHeight="1">
      <c r="B54" s="84" t="s">
        <v>63</v>
      </c>
      <c r="C54" s="122" t="s">
        <v>121</v>
      </c>
      <c r="F54" s="26" t="s">
        <v>119</v>
      </c>
    </row>
    <row r="55" spans="2:16" ht="12" customHeight="1">
      <c r="B55" s="84" t="s">
        <v>63</v>
      </c>
      <c r="C55" s="122" t="s">
        <v>122</v>
      </c>
      <c r="F55" s="123" t="s">
        <v>120</v>
      </c>
    </row>
    <row r="56" spans="2:16" ht="12" customHeight="1">
      <c r="B56" s="84" t="s">
        <v>63</v>
      </c>
      <c r="C56" s="122" t="s">
        <v>123</v>
      </c>
      <c r="F56" s="26" t="s">
        <v>130</v>
      </c>
    </row>
    <row r="57" spans="2:16" ht="12" customHeight="1">
      <c r="B57" s="84" t="s">
        <v>63</v>
      </c>
      <c r="C57" s="122" t="s">
        <v>124</v>
      </c>
      <c r="F57" s="26" t="s">
        <v>116</v>
      </c>
    </row>
    <row r="58" spans="2:16" ht="12" customHeight="1">
      <c r="B58" s="84" t="s">
        <v>63</v>
      </c>
      <c r="C58" s="122" t="s">
        <v>125</v>
      </c>
      <c r="F58" s="26" t="s">
        <v>117</v>
      </c>
    </row>
    <row r="59" spans="2:16" ht="12" customHeight="1">
      <c r="B59" s="84" t="s">
        <v>63</v>
      </c>
      <c r="C59" s="122" t="s">
        <v>126</v>
      </c>
      <c r="F59" s="26" t="s">
        <v>118</v>
      </c>
    </row>
    <row r="60" spans="2:16" ht="12" customHeight="1">
      <c r="B60" s="84"/>
      <c r="C60" s="122" t="s">
        <v>127</v>
      </c>
    </row>
    <row r="61" spans="2:16" ht="8.25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6.75" customHeight="1">
      <c r="B63" s="42"/>
    </row>
    <row r="64" spans="2:16">
      <c r="B64" s="32" t="s">
        <v>64</v>
      </c>
      <c r="J64" s="32" t="s">
        <v>65</v>
      </c>
    </row>
    <row r="65" spans="1:13" ht="47.25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Nabeel</v>
      </c>
    </row>
    <row r="68" spans="1:13" ht="18" customHeight="1">
      <c r="B68" s="26" t="s">
        <v>69</v>
      </c>
      <c r="J68" s="26" t="s">
        <v>70</v>
      </c>
      <c r="K68" s="22" t="s">
        <v>110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113</v>
      </c>
      <c r="J70" s="177" t="str">
        <f>C9</f>
        <v>MRA(MRA General Contracting Est.)</v>
      </c>
      <c r="K70" s="177"/>
      <c r="L70" s="177"/>
      <c r="M70" s="177"/>
    </row>
    <row r="71" spans="1:13" ht="27.95" customHeight="1">
      <c r="A71" s="169" t="s">
        <v>73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B12" sqref="B12:C12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SAC2-DS-PO-0260</v>
      </c>
      <c r="C2" s="184" t="s">
        <v>75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46095</v>
      </c>
      <c r="C3" s="51"/>
      <c r="D3" s="52"/>
      <c r="E3" s="185" t="s">
        <v>77</v>
      </c>
      <c r="F3" s="185"/>
      <c r="G3" s="185"/>
      <c r="H3" s="185"/>
      <c r="I3" s="53"/>
    </row>
    <row r="4" spans="1:13" s="55" customFormat="1" ht="28.5" customHeight="1" thickTop="1">
      <c r="A4" s="186" t="s">
        <v>78</v>
      </c>
      <c r="B4" s="188" t="s">
        <v>79</v>
      </c>
      <c r="C4" s="189"/>
      <c r="D4" s="192" t="s">
        <v>80</v>
      </c>
      <c r="E4" s="192" t="s">
        <v>81</v>
      </c>
      <c r="F4" s="194" t="str">
        <f>'PO 1st page'!C9</f>
        <v>MRA(MRA General Contracting Est.)</v>
      </c>
      <c r="G4" s="195"/>
      <c r="H4" s="196" t="s">
        <v>82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83</v>
      </c>
      <c r="G5" s="57" t="s">
        <v>49</v>
      </c>
      <c r="H5" s="197"/>
      <c r="K5" s="56"/>
      <c r="L5" s="56"/>
      <c r="M5" s="56"/>
    </row>
    <row r="6" spans="1:13" s="55" customFormat="1" ht="32.1" customHeight="1">
      <c r="A6" s="85">
        <f t="shared" ref="A6:A19" si="0">ROW(A1)</f>
        <v>1</v>
      </c>
      <c r="B6" s="182" t="str">
        <f>CONCATENATE(MRS!B6," ",MRS!D6)</f>
        <v>A3 Paper Roco</v>
      </c>
      <c r="C6" s="183"/>
      <c r="D6" s="86" t="str">
        <f>MRS!G6</f>
        <v>EA</v>
      </c>
      <c r="E6" s="87">
        <f>MRS!H6</f>
        <v>20</v>
      </c>
      <c r="F6" s="88">
        <f>MRS!I6</f>
        <v>174</v>
      </c>
      <c r="G6" s="89">
        <f>F6*E6</f>
        <v>3480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2" t="str">
        <f>CONCATENATE(MRS!B7," ",MRS!D7)</f>
        <v>A4 Paper Double A</v>
      </c>
      <c r="C7" s="183"/>
      <c r="D7" s="86" t="str">
        <f>MRS!G7</f>
        <v>EA</v>
      </c>
      <c r="E7" s="87">
        <f>MRS!H7</f>
        <v>50</v>
      </c>
      <c r="F7" s="88">
        <f>MRS!I7</f>
        <v>79</v>
      </c>
      <c r="G7" s="89">
        <f t="shared" ref="G7:G10" si="1">F7*E7</f>
        <v>3950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 t="str">
        <f>CONCATENATE(MRS!B8," ",MRS!D8)</f>
        <v xml:space="preserve">Safety Shoes </v>
      </c>
      <c r="C8" s="183"/>
      <c r="D8" s="86" t="str">
        <f>MRS!G8</f>
        <v>EA</v>
      </c>
      <c r="E8" s="87">
        <f>MRS!H8</f>
        <v>200</v>
      </c>
      <c r="F8" s="88">
        <f>MRS!I8</f>
        <v>64</v>
      </c>
      <c r="G8" s="89">
        <f t="shared" si="1"/>
        <v>12800</v>
      </c>
      <c r="H8" s="94"/>
      <c r="K8" s="56"/>
      <c r="L8" s="56"/>
      <c r="M8" s="56"/>
    </row>
    <row r="9" spans="1:13" s="55" customFormat="1" ht="32.1" customHeight="1">
      <c r="A9" s="93">
        <f t="shared" si="0"/>
        <v>4</v>
      </c>
      <c r="B9" s="182" t="str">
        <f>CONCATENATE(MRS!B9," ",MRS!D9)</f>
        <v xml:space="preserve">Water Dispencer </v>
      </c>
      <c r="C9" s="183"/>
      <c r="D9" s="86" t="str">
        <f>MRS!G9</f>
        <v>EA</v>
      </c>
      <c r="E9" s="87">
        <f>MRS!H9</f>
        <v>1</v>
      </c>
      <c r="F9" s="88">
        <f>MRS!I9</f>
        <v>598</v>
      </c>
      <c r="G9" s="89">
        <f t="shared" si="1"/>
        <v>598</v>
      </c>
      <c r="H9" s="94"/>
    </row>
    <row r="10" spans="1:13" s="55" customFormat="1" ht="32.1" customHeight="1">
      <c r="A10" s="93">
        <f t="shared" si="0"/>
        <v>5</v>
      </c>
      <c r="B10" s="182" t="str">
        <f>CONCATENATE(MRS!B10," ",MRS!D10)</f>
        <v xml:space="preserve">Fridge </v>
      </c>
      <c r="C10" s="183"/>
      <c r="D10" s="86" t="str">
        <f>MRS!G10</f>
        <v>EA</v>
      </c>
      <c r="E10" s="87">
        <f>MRS!H10</f>
        <v>1</v>
      </c>
      <c r="F10" s="88">
        <f>MRS!I10</f>
        <v>620</v>
      </c>
      <c r="G10" s="89">
        <f t="shared" si="1"/>
        <v>620</v>
      </c>
      <c r="H10" s="94"/>
    </row>
    <row r="11" spans="1:13" s="55" customFormat="1" ht="32.1" customHeight="1">
      <c r="A11" s="93">
        <f t="shared" si="0"/>
        <v>6</v>
      </c>
      <c r="B11" s="182" t="str">
        <f>CONCATENATE(MRS!B11," ",MRS!D11)</f>
        <v>Water 1.5*6 ltr bottle</v>
      </c>
      <c r="C11" s="183"/>
      <c r="D11" s="86" t="str">
        <f>MRS!G11</f>
        <v>EA</v>
      </c>
      <c r="E11" s="87">
        <f>MRS!H11</f>
        <v>150</v>
      </c>
      <c r="F11" s="88">
        <f>MRS!I11</f>
        <v>7.14</v>
      </c>
      <c r="G11" s="89">
        <f t="shared" ref="G11:G12" si="2">F11*E11</f>
        <v>1071</v>
      </c>
      <c r="H11" s="94"/>
    </row>
    <row r="12" spans="1:13" s="55" customFormat="1" ht="32.1" customHeight="1">
      <c r="A12" s="93">
        <f t="shared" si="0"/>
        <v>7</v>
      </c>
      <c r="B12" s="182" t="str">
        <f>CONCATENATE(MRS!B12," ",MRS!D12)</f>
        <v xml:space="preserve">Blanket, Bedsheet, Pillow </v>
      </c>
      <c r="C12" s="183"/>
      <c r="D12" s="86" t="str">
        <f>MRS!G12</f>
        <v>EA</v>
      </c>
      <c r="E12" s="87">
        <f>MRS!H12</f>
        <v>50</v>
      </c>
      <c r="F12" s="88">
        <f>MRS!I12</f>
        <v>68</v>
      </c>
      <c r="G12" s="89">
        <f t="shared" si="2"/>
        <v>3400</v>
      </c>
      <c r="H12" s="94"/>
    </row>
    <row r="13" spans="1:13" s="55" customFormat="1" ht="32.1" customHeight="1">
      <c r="A13" s="93">
        <f t="shared" si="0"/>
        <v>8</v>
      </c>
      <c r="B13" s="182"/>
      <c r="C13" s="183"/>
      <c r="D13" s="86"/>
      <c r="E13" s="87"/>
      <c r="F13" s="88"/>
      <c r="G13" s="89"/>
      <c r="H13" s="94"/>
    </row>
    <row r="14" spans="1:13" s="55" customFormat="1" ht="32.1" customHeight="1">
      <c r="A14" s="93">
        <f t="shared" si="0"/>
        <v>9</v>
      </c>
      <c r="B14" s="182"/>
      <c r="C14" s="183"/>
      <c r="D14" s="86"/>
      <c r="E14" s="87"/>
      <c r="F14" s="88"/>
      <c r="G14" s="89"/>
      <c r="H14" s="94"/>
    </row>
    <row r="15" spans="1:13" s="55" customFormat="1" ht="32.1" customHeight="1">
      <c r="A15" s="93">
        <f t="shared" si="0"/>
        <v>10</v>
      </c>
      <c r="B15" s="182"/>
      <c r="C15" s="183"/>
      <c r="D15" s="86"/>
      <c r="E15" s="87"/>
      <c r="F15" s="88"/>
      <c r="G15" s="89"/>
      <c r="H15" s="94"/>
    </row>
    <row r="16" spans="1:13" s="55" customFormat="1" ht="32.1" customHeight="1">
      <c r="A16" s="93">
        <f t="shared" si="0"/>
        <v>11</v>
      </c>
      <c r="B16" s="182"/>
      <c r="C16" s="183"/>
      <c r="D16" s="86"/>
      <c r="E16" s="87"/>
      <c r="F16" s="88"/>
      <c r="G16" s="89"/>
      <c r="H16" s="94"/>
    </row>
    <row r="17" spans="1:13" s="55" customFormat="1" ht="32.1" customHeight="1">
      <c r="A17" s="93">
        <f t="shared" si="0"/>
        <v>12</v>
      </c>
      <c r="B17" s="182"/>
      <c r="C17" s="183"/>
      <c r="D17" s="86"/>
      <c r="E17" s="87"/>
      <c r="F17" s="88"/>
      <c r="G17" s="89"/>
      <c r="H17" s="94"/>
    </row>
    <row r="18" spans="1:13" s="55" customFormat="1" ht="32.1" customHeight="1">
      <c r="A18" s="93">
        <f t="shared" si="0"/>
        <v>13</v>
      </c>
      <c r="B18" s="182"/>
      <c r="C18" s="183"/>
      <c r="D18" s="86"/>
      <c r="E18" s="87"/>
      <c r="F18" s="88"/>
      <c r="G18" s="89"/>
      <c r="H18" s="94"/>
    </row>
    <row r="19" spans="1:13" s="55" customFormat="1" ht="32.1" customHeight="1">
      <c r="A19" s="93">
        <f t="shared" si="0"/>
        <v>14</v>
      </c>
      <c r="B19" s="182"/>
      <c r="C19" s="183"/>
      <c r="D19" s="86"/>
      <c r="E19" s="87"/>
      <c r="F19" s="88"/>
      <c r="G19" s="89"/>
      <c r="H19" s="94"/>
    </row>
    <row r="20" spans="1:13" s="55" customFormat="1" ht="23.1" customHeight="1">
      <c r="A20" s="178" t="s">
        <v>84</v>
      </c>
      <c r="B20" s="179"/>
      <c r="C20" s="179"/>
      <c r="D20" s="179"/>
      <c r="E20" s="179"/>
      <c r="F20" s="179"/>
      <c r="G20" s="58">
        <f>SUM(G6:G19)</f>
        <v>25919</v>
      </c>
      <c r="H20" s="59"/>
    </row>
    <row r="21" spans="1:13" s="55" customFormat="1" ht="23.1" customHeight="1">
      <c r="A21" s="178" t="s">
        <v>48</v>
      </c>
      <c r="B21" s="179"/>
      <c r="C21" s="179"/>
      <c r="D21" s="179"/>
      <c r="E21" s="179"/>
      <c r="F21" s="179"/>
      <c r="G21" s="58">
        <f>+G20*0.15</f>
        <v>3887.85</v>
      </c>
      <c r="H21" s="59"/>
    </row>
    <row r="22" spans="1:13" s="55" customFormat="1" ht="24.95" customHeight="1" thickBot="1">
      <c r="A22" s="180" t="s">
        <v>85</v>
      </c>
      <c r="B22" s="181"/>
      <c r="C22" s="181"/>
      <c r="D22" s="181"/>
      <c r="E22" s="181"/>
      <c r="F22" s="181"/>
      <c r="G22" s="60">
        <f>G21+G20</f>
        <v>29806.85</v>
      </c>
      <c r="H22" s="61"/>
    </row>
    <row r="23" spans="1:13" ht="15.75" thickTop="1">
      <c r="A23" s="62" t="str">
        <f>" 1) Above Price are as per your quotation with ref "&amp;'PO 1st page'!K14</f>
        <v xml:space="preserve"> 1) Above Price are as per your quotation with ref MRA/SQ000138</v>
      </c>
      <c r="B23" s="63"/>
      <c r="C23" s="63"/>
      <c r="D23" s="64"/>
      <c r="E23" s="64"/>
      <c r="F23" s="64"/>
      <c r="G23" s="64"/>
      <c r="H23" s="64"/>
    </row>
    <row r="24" spans="1:13" ht="15">
      <c r="A24" s="65" t="s">
        <v>86</v>
      </c>
      <c r="B24" s="66"/>
      <c r="C24" s="66"/>
      <c r="D24" s="67"/>
      <c r="E24" s="67"/>
      <c r="F24" s="67"/>
      <c r="G24" s="67"/>
      <c r="H24" s="67"/>
      <c r="I24" s="68"/>
    </row>
    <row r="25" spans="1:13" ht="15.75">
      <c r="A25" s="69"/>
    </row>
    <row r="26" spans="1:13">
      <c r="A26" s="169" t="s">
        <v>87</v>
      </c>
      <c r="B26" s="169"/>
      <c r="C26" s="169"/>
      <c r="D26" s="169"/>
      <c r="E26" s="169"/>
      <c r="F26" s="169"/>
      <c r="G26" s="169"/>
      <c r="H26" s="169"/>
      <c r="I26" s="70"/>
      <c r="J26" s="70"/>
      <c r="K26" s="70"/>
      <c r="L26" s="70"/>
      <c r="M26" s="70"/>
    </row>
    <row r="27" spans="1:13" ht="15.75">
      <c r="A27" s="69"/>
      <c r="C27" s="71"/>
    </row>
    <row r="28" spans="1:13" ht="15.75">
      <c r="A28" s="69"/>
      <c r="C28" s="71"/>
    </row>
    <row r="30" spans="1:13" ht="12" customHeight="1"/>
  </sheetData>
  <mergeCells count="26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2026-03-14T03:09:08Z</cp:lastPrinted>
  <dcterms:created xsi:type="dcterms:W3CDTF">2024-10-20T11:50:19Z</dcterms:created>
  <dcterms:modified xsi:type="dcterms:W3CDTF">2026-03-14T03:09:10Z</dcterms:modified>
</cp:coreProperties>
</file>