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72AF63C1-60AC-4B9C-B047-60137AEB1F95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4" l="1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<sst xmlns="http://schemas.openxmlformats.org/spreadsheetml/2006/main" count="154" uniqueCount="118">
  <si>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</si>
  <si>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</si>
  <si>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</si>
  <si>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</si>
  <si>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</si>
  <si>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</si>
  <si>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</si>
  <si>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</si>
  <si>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</si>
  <si>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</si>
  <si>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</si>
  <si>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</si>
  <si>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</si>
  <si>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</si>
  <si>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</si>
  <si>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</si>
  <si>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</si>
  <si>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</si>
  <si>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</si>
  <si>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</si>
  <si>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</si>
  <si>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</si>
  <si>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</si>
  <si>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</si>
  <si>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</si>
  <si>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</si>
  <si>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</si>
  <si>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</si>
  <si>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</si>
  <si>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</si>
  <si>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</si>
  <si>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</si>
  <si>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</si>
  <si>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</si>
  <si>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</si>
  <si>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</si>
  <si>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</si>
  <si>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</si>
  <si>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</si>
  <si>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</si>
  <si>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</si>
  <si>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</si>
  <si>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</si>
  <si>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</si>
  <si>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</si>
  <si>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</si>
  <si>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</si>
  <si>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</si>
  <si>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</si>
  <si>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</si>
  <si>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</si>
  <si>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</si>
  <si>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</si>
  <si>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</si>
  <si>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</si>
  <si>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</si>
  <si>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</si>
  <si>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</si>
  <si>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</si>
  <si>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</si>
  <si>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</si>
  <si>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</si>
  <si>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</si>
  <si>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</si>
  <si>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</si>
  <si>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</si>
  <si>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</si>
  <si>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</si>
  <si>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</si>
  <si>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</si>
  <si>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</si>
  <si>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</si>
  <si>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</si>
  <si>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</si>
  <si>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</si>
  <si>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</si>
  <si>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</si>
  <si>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</si>
  <si>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</si>
  <si>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</si>
  <si>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</si>
  <si>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</si>
  <si>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</si>
  <si>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</si>
  <si>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</si>
  <si>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</si>
  <si>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</si>
  <si>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</si>
  <si>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</si>
  <si>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</si>
  <si>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</si>
  <si>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</si>
  <si>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</si>
  <si>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</si>
  <si>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</si>
  <si>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</si>
  <si>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</si>
  <si>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</si>
  <si>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</si>
  <si>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t>Division (In charge Name) : ADMIN MANAGER (Sang Yeun Cho)</t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</si>
  <si>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</si>
  <si>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Aramco Certified</t>
  </si>
  <si>
    <t>EA</t>
  </si>
  <si>
    <t>Subcontract name ()</t>
  </si>
  <si>
    <t>Operation Manager</t>
  </si>
  <si>
    <t>Hourly Based</t>
  </si>
  <si>
    <t>Rigger Level II</t>
  </si>
  <si>
    <t>AMAA(Abdullah Mohammed Al-Aklabi for Gen. Cont. Est.</t>
  </si>
  <si>
    <t>Rigan Khan</t>
  </si>
  <si>
    <t>2055006023</t>
  </si>
  <si>
    <t>300448163100003</t>
  </si>
  <si>
    <t>+966 544290277 / Email:al-aklabi@rigankhan.com</t>
  </si>
  <si>
    <t>P.O. Box 372, Al Jubail 31951</t>
  </si>
  <si>
    <t>Mobile : +966 544290277</t>
  </si>
  <si>
    <t>Rigger Level II Aramco Certified</t>
  </si>
  <si>
    <t>AMAA</t>
  </si>
  <si>
    <t>AGC-20238877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</si>
  <si>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-MRS-0015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</si>
</sst>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0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8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O13" sqref="O1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3" t="s">
        <v>100</v>
      </c>
      <c r="B1" s="110"/>
      <c r="C1" s="110"/>
      <c r="D1" s="110"/>
      <c r="E1" s="110"/>
      <c r="F1" s="110"/>
      <c r="G1" s="1"/>
      <c r="J1" s="124" t="s">
        <v>92</v>
      </c>
      <c r="K1" s="125"/>
      <c r="L1" s="126"/>
    </row>
    <row r="2" spans="1:19" ht="20.100000000000001" customHeight="1">
      <c r="A2" s="3" t="s">
        <v>1</v>
      </c>
      <c r="B2" s="101"/>
      <c r="C2" s="101"/>
      <c r="D2" s="3" t="s">
        <v>99</v>
      </c>
      <c r="E2" s="101"/>
      <c r="F2" s="101"/>
      <c r="G2" s="101"/>
      <c r="H2" s="101"/>
      <c r="I2" s="4"/>
      <c r="J2" s="127" t="s">
        <v>103</v>
      </c>
      <c r="K2" s="128"/>
      <c r="L2" s="129"/>
    </row>
    <row r="3" spans="1:19" ht="20.100000000000001" customHeight="1">
      <c r="A3" s="3" t="s">
        <v>117</v>
      </c>
      <c r="B3" s="101"/>
      <c r="C3" s="101"/>
      <c r="D3" s="101"/>
      <c r="E3" s="130">
        <f>+L3</f>
        <v>45652</v>
      </c>
      <c r="F3" s="130"/>
      <c r="G3" s="130"/>
      <c r="H3" s="130"/>
      <c r="I3" s="130"/>
      <c r="J3" s="101"/>
      <c r="K3" s="101"/>
      <c r="L3" s="122">
        <v>45652</v>
      </c>
      <c r="M3" s="4"/>
    </row>
    <row r="4" spans="1:19" ht="15.95" customHeight="1">
      <c r="A4" s="131" t="s">
        <v>2</v>
      </c>
      <c r="B4" s="132" t="s">
        <v>3</v>
      </c>
      <c r="C4" s="132"/>
      <c r="D4" s="133" t="s">
        <v>4</v>
      </c>
      <c r="E4" s="134"/>
      <c r="F4" s="135"/>
      <c r="G4" s="139" t="s">
        <v>5</v>
      </c>
      <c r="H4" s="141" t="s">
        <v>6</v>
      </c>
      <c r="I4" s="141" t="s">
        <v>97</v>
      </c>
      <c r="J4" s="131" t="s">
        <v>98</v>
      </c>
      <c r="K4" s="141" t="s">
        <v>0</v>
      </c>
      <c r="L4" s="132" t="s">
        <v>7</v>
      </c>
    </row>
    <row r="5" spans="1:19" ht="15.95" customHeight="1">
      <c r="A5" s="131"/>
      <c r="B5" s="132"/>
      <c r="C5" s="132"/>
      <c r="D5" s="136"/>
      <c r="E5" s="137"/>
      <c r="F5" s="138"/>
      <c r="G5" s="140"/>
      <c r="H5" s="142"/>
      <c r="I5" s="142"/>
      <c r="J5" s="131"/>
      <c r="K5" s="142"/>
      <c r="L5" s="132"/>
    </row>
    <row r="6" spans="1:19" ht="22.5" customHeight="1">
      <c r="A6" s="5">
        <f t="shared" ref="A6:A15" si="0">ROW(A1)</f>
        <v>1</v>
      </c>
      <c r="B6" s="143" t="s">
        <v>106</v>
      </c>
      <c r="C6" s="144"/>
      <c r="D6" s="145" t="s">
        <v>101</v>
      </c>
      <c r="E6" s="146"/>
      <c r="F6" s="147"/>
      <c r="G6" s="111" t="s">
        <v>102</v>
      </c>
      <c r="H6" s="112">
        <v>1</v>
      </c>
      <c r="I6" s="113">
        <v>87</v>
      </c>
      <c r="J6" s="113">
        <f>H6*I6</f>
        <v>87</v>
      </c>
      <c r="K6" s="114" t="s">
        <v>115</v>
      </c>
      <c r="L6" s="115" t="s">
        <v>105</v>
      </c>
      <c r="S6" s="106"/>
    </row>
    <row r="7" spans="1:19" ht="22.5" customHeight="1">
      <c r="A7" s="5">
        <f t="shared" si="0"/>
        <v>2</v>
      </c>
      <c r="B7" s="143"/>
      <c r="C7" s="144"/>
      <c r="D7" s="148"/>
      <c r="E7" s="146"/>
      <c r="F7" s="147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43"/>
      <c r="C8" s="144"/>
      <c r="D8" s="145"/>
      <c r="E8" s="146"/>
      <c r="F8" s="147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43"/>
      <c r="C9" s="144"/>
      <c r="D9" s="145"/>
      <c r="E9" s="146"/>
      <c r="F9" s="147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49"/>
      <c r="C10" s="149"/>
      <c r="D10" s="150"/>
      <c r="E10" s="150"/>
      <c r="F10" s="150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3"/>
      <c r="C11" s="144"/>
      <c r="D11" s="145"/>
      <c r="E11" s="146"/>
      <c r="F11" s="147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49"/>
      <c r="C12" s="149"/>
      <c r="D12" s="150"/>
      <c r="E12" s="150"/>
      <c r="F12" s="150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3"/>
      <c r="C13" s="144"/>
      <c r="D13" s="145"/>
      <c r="E13" s="146"/>
      <c r="F13" s="147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3"/>
      <c r="C14" s="144"/>
      <c r="D14" s="145"/>
      <c r="E14" s="146"/>
      <c r="F14" s="147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3"/>
      <c r="C15" s="144"/>
      <c r="D15" s="145"/>
      <c r="E15" s="146"/>
      <c r="F15" s="147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1" t="s">
        <v>8</v>
      </c>
      <c r="B16" s="152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87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3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4"/>
      <c r="T19" s="14"/>
      <c r="U19" s="15"/>
      <c r="V19" s="14"/>
    </row>
    <row r="20" spans="1:22" ht="17.100000000000001" customHeight="1">
      <c r="O20" s="11"/>
      <c r="P20" s="11"/>
      <c r="Q20" s="11"/>
      <c r="S20" s="155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6" t="s">
        <v>17</v>
      </c>
      <c r="Q21" s="156" t="s">
        <v>18</v>
      </c>
    </row>
    <row r="22" spans="1:22" ht="18" customHeight="1">
      <c r="O22" s="18" t="s">
        <v>19</v>
      </c>
      <c r="P22" s="157"/>
      <c r="Q22" s="157"/>
      <c r="S22" s="153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4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5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8"/>
      <c r="P27" s="158"/>
      <c r="Q27" s="158"/>
    </row>
    <row r="28" spans="1:22" ht="19.899999999999999" customHeight="1">
      <c r="O28" s="158"/>
      <c r="P28" s="158"/>
      <c r="Q28" s="15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6" t="s">
        <v>21</v>
      </c>
    </row>
    <row r="41" spans="15:22" ht="19.899999999999999" customHeight="1">
      <c r="T41" s="157"/>
    </row>
    <row r="42" spans="15:22" ht="64.900000000000006" customHeight="1">
      <c r="T42" s="14"/>
    </row>
    <row r="46" spans="15:22" ht="21" customHeight="1">
      <c r="O46" s="156" t="s">
        <v>21</v>
      </c>
      <c r="P46" s="156" t="s">
        <v>21</v>
      </c>
      <c r="Q46" s="156" t="s">
        <v>21</v>
      </c>
      <c r="T46" s="156" t="s">
        <v>22</v>
      </c>
      <c r="U46" s="156" t="s">
        <v>13</v>
      </c>
      <c r="V46" s="156" t="s">
        <v>21</v>
      </c>
    </row>
    <row r="47" spans="15:22" ht="21" customHeight="1">
      <c r="O47" s="157"/>
      <c r="P47" s="157"/>
      <c r="Q47" s="157"/>
      <c r="T47" s="155"/>
      <c r="U47" s="155"/>
      <c r="V47" s="15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6" t="s">
        <v>21</v>
      </c>
      <c r="P50" s="156" t="s">
        <v>21</v>
      </c>
      <c r="Q50" s="156" t="s">
        <v>21</v>
      </c>
      <c r="T50" s="156" t="s">
        <v>13</v>
      </c>
      <c r="U50" s="156" t="s">
        <v>22</v>
      </c>
      <c r="V50" s="156" t="s">
        <v>21</v>
      </c>
    </row>
    <row r="51" spans="15:22" ht="21" customHeight="1">
      <c r="O51" s="157"/>
      <c r="P51" s="157"/>
      <c r="Q51" s="157"/>
      <c r="T51" s="155"/>
      <c r="U51" s="155"/>
      <c r="V51" s="15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100</v>
      </c>
      <c r="B1" s="100"/>
      <c r="C1" s="100"/>
      <c r="D1" s="100"/>
      <c r="E1" s="100"/>
      <c r="F1" s="100"/>
      <c r="G1" s="1"/>
      <c r="J1" s="124" t="str">
        <f>+MRS!J1</f>
        <v>DAESHIN PLANT</v>
      </c>
      <c r="K1" s="126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(Sang Yeun Cho)</v>
      </c>
      <c r="E2" s="101"/>
      <c r="F2" s="101"/>
      <c r="G2" s="20"/>
      <c r="H2" s="20"/>
      <c r="I2" s="20"/>
      <c r="J2" s="127" t="str">
        <f>+MRS!J2</f>
        <v>Subcontract name ()</v>
      </c>
      <c r="K2" s="129"/>
    </row>
    <row r="3" spans="1:18" ht="24.95" customHeight="1">
      <c r="A3" s="3" t="str">
        <f>+MRS!A3</f>
        <v xml:space="preserve">  MRS No : SAC2-DS-MRS-0015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45652</v>
      </c>
    </row>
    <row r="4" spans="1:18" ht="15.95" customHeight="1">
      <c r="A4" s="159" t="s">
        <v>2</v>
      </c>
      <c r="B4" s="160" t="s">
        <v>23</v>
      </c>
      <c r="C4" s="160"/>
      <c r="D4" s="159" t="s">
        <v>4</v>
      </c>
      <c r="E4" s="159"/>
      <c r="F4" s="159"/>
      <c r="G4" s="160" t="s">
        <v>5</v>
      </c>
      <c r="H4" s="159" t="s">
        <v>93</v>
      </c>
      <c r="I4" s="159" t="s">
        <v>24</v>
      </c>
      <c r="J4" s="159" t="s">
        <v>25</v>
      </c>
      <c r="K4" s="160" t="s">
        <v>7</v>
      </c>
    </row>
    <row r="5" spans="1:18" ht="15.95" customHeight="1">
      <c r="A5" s="159"/>
      <c r="B5" s="160"/>
      <c r="C5" s="160"/>
      <c r="D5" s="159"/>
      <c r="E5" s="159"/>
      <c r="F5" s="159"/>
      <c r="G5" s="160"/>
      <c r="H5" s="159"/>
      <c r="I5" s="159"/>
      <c r="J5" s="159"/>
      <c r="K5" s="160"/>
    </row>
    <row r="6" spans="1:18" ht="105" customHeight="1">
      <c r="A6" s="21">
        <f>+MRS!A6</f>
        <v>1</v>
      </c>
      <c r="B6" s="161" t="str">
        <f>MRS!B6</f>
        <v>Rigger Level II</v>
      </c>
      <c r="C6" s="162"/>
      <c r="D6" s="163" t="str">
        <f>MRS!D6</f>
        <v>Aramco Certified</v>
      </c>
      <c r="E6" s="164"/>
      <c r="F6" s="165"/>
      <c r="G6" s="103" t="str">
        <f>MRS!G6</f>
        <v>EA</v>
      </c>
      <c r="H6" s="103">
        <f>MRS!H6</f>
        <v>1</v>
      </c>
      <c r="I6" s="104">
        <f>MRS!I6</f>
        <v>87</v>
      </c>
      <c r="J6" s="104">
        <f>MRS!J6</f>
        <v>87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1">
        <f>MRS!B7</f>
        <v>0</v>
      </c>
      <c r="C7" s="162"/>
      <c r="D7" s="163">
        <f>MRS!D7</f>
        <v>0</v>
      </c>
      <c r="E7" s="164"/>
      <c r="F7" s="165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1">
        <f>MRS!B8</f>
        <v>0</v>
      </c>
      <c r="C8" s="162"/>
      <c r="D8" s="163">
        <f>MRS!D8</f>
        <v>0</v>
      </c>
      <c r="E8" s="164"/>
      <c r="F8" s="165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1">
        <f>MRS!B9</f>
        <v>0</v>
      </c>
      <c r="C9" s="162"/>
      <c r="D9" s="163">
        <f>MRS!D9</f>
        <v>0</v>
      </c>
      <c r="E9" s="164"/>
      <c r="F9" s="165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1">
        <f>MRS!B10</f>
        <v>0</v>
      </c>
      <c r="C10" s="162"/>
      <c r="D10" s="163">
        <f>MRS!D10</f>
        <v>0</v>
      </c>
      <c r="E10" s="164"/>
      <c r="F10" s="165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1">
        <f>MRS!B11</f>
        <v>0</v>
      </c>
      <c r="C11" s="162"/>
      <c r="D11" s="163">
        <f>MRS!D11</f>
        <v>0</v>
      </c>
      <c r="E11" s="164"/>
      <c r="F11" s="165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6"/>
      <c r="C12" s="167"/>
      <c r="D12" s="168"/>
      <c r="E12" s="169"/>
      <c r="F12" s="170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6"/>
      <c r="C13" s="167"/>
      <c r="D13" s="168"/>
      <c r="E13" s="169"/>
      <c r="F13" s="170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6"/>
      <c r="C14" s="167"/>
      <c r="D14" s="168"/>
      <c r="E14" s="169"/>
      <c r="F14" s="170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6"/>
      <c r="C15" s="167"/>
      <c r="D15" s="168"/>
      <c r="E15" s="169"/>
      <c r="F15" s="170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6"/>
      <c r="C16" s="167"/>
      <c r="D16" s="168"/>
      <c r="E16" s="169"/>
      <c r="F16" s="170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6"/>
      <c r="C17" s="167"/>
      <c r="D17" s="168"/>
      <c r="E17" s="169"/>
      <c r="F17" s="170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6" zoomScale="130" zoomScaleNormal="100" zoomScaleSheetLayoutView="130" workbookViewId="0">
      <selection activeCell="H31" sqref="H31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107</v>
      </c>
      <c r="D9" s="39"/>
      <c r="E9" s="39"/>
    </row>
    <row r="10" spans="2:13" s="39" customFormat="1">
      <c r="B10" s="72"/>
      <c r="C10" s="39" t="s">
        <v>33</v>
      </c>
      <c r="D10" s="76" t="s">
        <v>109</v>
      </c>
      <c r="J10" s="39" t="s">
        <v>34</v>
      </c>
      <c r="K10" s="172">
        <f>MRS!L3</f>
        <v>45652</v>
      </c>
      <c r="L10" s="173"/>
      <c r="M10" s="173"/>
    </row>
    <row r="11" spans="2:13" s="39" customFormat="1">
      <c r="B11" s="72"/>
      <c r="C11" s="75" t="s">
        <v>35</v>
      </c>
      <c r="D11" s="76" t="s">
        <v>110</v>
      </c>
      <c r="J11" s="39" t="s">
        <v>36</v>
      </c>
      <c r="K11" s="174" t="str">
        <f>SUBSTITUTE(SUBSTITUTE(+MRS!A3,"  MRS No : ",""),"-MRS","-PO")</f>
        <v>SAC2-DS-PO-0015</v>
      </c>
      <c r="L11" s="174"/>
      <c r="M11" s="174"/>
    </row>
    <row r="12" spans="2:13" s="39" customFormat="1">
      <c r="B12" s="72"/>
      <c r="C12" s="75" t="s">
        <v>37</v>
      </c>
      <c r="D12" s="39" t="s">
        <v>108</v>
      </c>
      <c r="J12" s="39" t="s">
        <v>38</v>
      </c>
    </row>
    <row r="13" spans="2:13" s="39" customFormat="1">
      <c r="B13" s="72"/>
      <c r="C13" s="77"/>
      <c r="D13" s="76" t="s">
        <v>111</v>
      </c>
      <c r="J13" s="39" t="s">
        <v>39</v>
      </c>
    </row>
    <row r="14" spans="2:13" s="39" customFormat="1">
      <c r="B14" s="72"/>
      <c r="C14" s="77" t="s">
        <v>112</v>
      </c>
      <c r="J14" s="39" t="s">
        <v>40</v>
      </c>
      <c r="K14" s="39" t="s">
        <v>116</v>
      </c>
    </row>
    <row r="15" spans="2:13" s="39" customFormat="1">
      <c r="B15" s="72"/>
      <c r="C15" s="77" t="s">
        <v>113</v>
      </c>
      <c r="J15" s="39" t="s">
        <v>41</v>
      </c>
      <c r="K15" s="78">
        <v>45637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5" t="s">
        <v>42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31" customFormat="1" ht="12" customHeight="1">
      <c r="B20" s="176" t="s">
        <v>43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44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31" customFormat="1" ht="12" customHeight="1">
      <c r="B22" s="176" t="s">
        <v>45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114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79" t="s">
        <v>105</v>
      </c>
      <c r="G29" s="179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79"/>
      <c r="G30" s="179"/>
    </row>
    <row r="31" spans="2:13" ht="15" customHeight="1">
      <c r="B31" s="32"/>
      <c r="C31" s="26" t="s">
        <v>52</v>
      </c>
      <c r="D31" s="35"/>
      <c r="E31" s="26" t="s">
        <v>50</v>
      </c>
      <c r="F31" s="179"/>
      <c r="G31" s="179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95</v>
      </c>
      <c r="P49" s="82"/>
    </row>
    <row r="50" spans="1:16" s="83" customFormat="1" ht="15" customHeight="1">
      <c r="B50" s="84" t="s">
        <v>66</v>
      </c>
      <c r="C50" s="81" t="s">
        <v>96</v>
      </c>
    </row>
    <row r="51" spans="1:16" s="83" customFormat="1" ht="15" customHeight="1">
      <c r="B51" s="84" t="s">
        <v>66</v>
      </c>
      <c r="C51" s="81" t="s">
        <v>94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">
        <v>108</v>
      </c>
    </row>
    <row r="60" spans="1:16" ht="18" customHeight="1">
      <c r="B60" s="26" t="s">
        <v>72</v>
      </c>
      <c r="J60" s="26" t="s">
        <v>73</v>
      </c>
      <c r="K60" s="22" t="s">
        <v>104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76</v>
      </c>
      <c r="J62" s="180" t="str">
        <f>C9</f>
        <v>AMAA(Abdullah Mohammed Al-Aklabi for Gen. Cont. Est.</v>
      </c>
      <c r="K62" s="180"/>
      <c r="L62" s="180"/>
      <c r="M62" s="180"/>
    </row>
    <row r="63" spans="1:16" ht="27.95" customHeight="1">
      <c r="A63" s="171" t="s">
        <v>77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G16" sqref="G1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SAC2-DS-PO-0015</v>
      </c>
      <c r="C2" s="183" t="s">
        <v>79</v>
      </c>
      <c r="D2" s="183"/>
      <c r="E2" s="183"/>
      <c r="F2" s="183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45652</v>
      </c>
      <c r="C3" s="51"/>
      <c r="D3" s="52"/>
      <c r="E3" s="184" t="s">
        <v>81</v>
      </c>
      <c r="F3" s="184"/>
      <c r="G3" s="184"/>
      <c r="H3" s="184"/>
      <c r="I3" s="53"/>
    </row>
    <row r="4" spans="1:13" s="55" customFormat="1" ht="28.5" customHeight="1" thickTop="1">
      <c r="A4" s="185" t="s">
        <v>82</v>
      </c>
      <c r="B4" s="187" t="s">
        <v>83</v>
      </c>
      <c r="C4" s="188"/>
      <c r="D4" s="191" t="s">
        <v>84</v>
      </c>
      <c r="E4" s="191" t="s">
        <v>85</v>
      </c>
      <c r="F4" s="193" t="str">
        <f>'PO 1st page'!C9</f>
        <v>AMAA(Abdullah Mohammed Al-Aklabi for Gen. Cont. Est.</v>
      </c>
      <c r="G4" s="194"/>
      <c r="H4" s="195" t="s">
        <v>86</v>
      </c>
      <c r="K4" s="56"/>
      <c r="L4" s="56"/>
      <c r="M4" s="56"/>
    </row>
    <row r="5" spans="1:13" s="55" customFormat="1" ht="21.95" customHeight="1">
      <c r="A5" s="186"/>
      <c r="B5" s="189"/>
      <c r="C5" s="190"/>
      <c r="D5" s="192"/>
      <c r="E5" s="192"/>
      <c r="F5" s="57" t="s">
        <v>87</v>
      </c>
      <c r="G5" s="57" t="s">
        <v>52</v>
      </c>
      <c r="H5" s="196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1" t="str">
        <f>+'MRS LIST'!B6</f>
        <v>Rigger Level II</v>
      </c>
      <c r="C6" s="182"/>
      <c r="D6" s="86" t="str">
        <f>+'MRS LIST'!G6</f>
        <v>EA</v>
      </c>
      <c r="E6" s="87">
        <f>+'MRS LIST'!H6</f>
        <v>1</v>
      </c>
      <c r="F6" s="88">
        <f>+'MRS LIST'!I6</f>
        <v>87</v>
      </c>
      <c r="G6" s="89">
        <f>+'MRS LIST'!J6</f>
        <v>87</v>
      </c>
      <c r="H6" s="90" t="str">
        <f>MRS!L6</f>
        <v>Hourly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81"/>
      <c r="C7" s="182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1"/>
      <c r="C8" s="182"/>
      <c r="D8" s="86"/>
      <c r="E8" s="87"/>
      <c r="F8" s="88"/>
      <c r="G8" s="89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1"/>
      <c r="C9" s="182"/>
      <c r="D9" s="86"/>
      <c r="E9" s="87"/>
      <c r="F9" s="88"/>
      <c r="G9" s="89"/>
      <c r="H9" s="98"/>
    </row>
    <row r="10" spans="1:13" s="55" customFormat="1" ht="32.1" customHeight="1">
      <c r="A10" s="93">
        <f t="shared" si="0"/>
        <v>5</v>
      </c>
      <c r="B10" s="181"/>
      <c r="C10" s="182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1"/>
      <c r="C11" s="182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201"/>
      <c r="C12" s="202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1"/>
      <c r="C13" s="202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1"/>
      <c r="C14" s="202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1"/>
      <c r="C15" s="202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1"/>
      <c r="C16" s="202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1"/>
      <c r="C17" s="202"/>
      <c r="D17" s="94"/>
      <c r="E17" s="95"/>
      <c r="F17" s="96"/>
      <c r="G17" s="97"/>
      <c r="H17" s="98"/>
    </row>
    <row r="18" spans="1:13" s="55" customFormat="1" ht="23.1" customHeight="1">
      <c r="A18" s="197" t="s">
        <v>88</v>
      </c>
      <c r="B18" s="198"/>
      <c r="C18" s="198"/>
      <c r="D18" s="198"/>
      <c r="E18" s="198"/>
      <c r="F18" s="198"/>
      <c r="G18" s="58">
        <f>SUM(G6:G17)</f>
        <v>87</v>
      </c>
      <c r="H18" s="59"/>
    </row>
    <row r="19" spans="1:13" s="55" customFormat="1" ht="23.1" customHeight="1">
      <c r="A19" s="197" t="s">
        <v>51</v>
      </c>
      <c r="B19" s="198"/>
      <c r="C19" s="198"/>
      <c r="D19" s="198"/>
      <c r="E19" s="198"/>
      <c r="F19" s="198"/>
      <c r="G19" s="58">
        <f>+G18*0.15</f>
        <v>13.049999999999999</v>
      </c>
      <c r="H19" s="59"/>
    </row>
    <row r="20" spans="1:13" s="55" customFormat="1" ht="24.95" customHeight="1" thickBot="1">
      <c r="A20" s="199" t="s">
        <v>89</v>
      </c>
      <c r="B20" s="200"/>
      <c r="C20" s="200"/>
      <c r="D20" s="200"/>
      <c r="E20" s="200"/>
      <c r="F20" s="200"/>
      <c r="G20" s="60">
        <f>G19+G18</f>
        <v>100.05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AGC-20238877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1" t="s">
        <v>91</v>
      </c>
      <c r="B24" s="171"/>
      <c r="C24" s="171"/>
      <c r="D24" s="171"/>
      <c r="E24" s="171"/>
      <c r="F24" s="171"/>
      <c r="G24" s="171"/>
      <c r="H24" s="171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2024-12-29T07:44:20Z</cp:lastPrinted>
  <dcterms:created xsi:type="dcterms:W3CDTF">2024-10-20T11:50:19Z</dcterms:created>
  <dcterms:modified xsi:type="dcterms:W3CDTF">2024-12-29T07:44:22Z</dcterms:modified>
</cp:coreProperties>
</file>