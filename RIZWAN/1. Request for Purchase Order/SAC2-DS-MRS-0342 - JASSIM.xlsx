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D60C81DD-1337-4A57-B3CE-5FAD79F6B3F2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4" l="1"/>
  <c r="D7" i="4"/>
  <c r="B7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F7" i="4" s="1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9" i="2"/>
  <c r="A10" i="2"/>
  <c r="A11" i="2"/>
  <c r="A12" i="1"/>
  <c r="A12" i="2" s="1"/>
  <c r="A13" i="1"/>
  <c r="A13" i="2" s="1"/>
  <c r="A14" i="1"/>
  <c r="A14" i="2" s="1"/>
  <c r="A15" i="1"/>
  <c r="J15" i="1"/>
  <c r="J15" i="2" s="1"/>
  <c r="J14" i="1"/>
  <c r="J14" i="2" s="1"/>
  <c r="J13" i="1"/>
  <c r="J13" i="2" s="1"/>
  <c r="J12" i="2"/>
  <c r="J11" i="2"/>
  <c r="J10" i="2"/>
  <c r="J9" i="2"/>
  <c r="J8" i="2"/>
  <c r="J7" i="1"/>
  <c r="J7" i="2" s="1"/>
  <c r="G7" i="4" s="1"/>
  <c r="J6" i="1"/>
  <c r="J6" i="2" s="1"/>
  <c r="J16" i="1" l="1"/>
  <c r="K67" i="3"/>
  <c r="E3" i="1"/>
  <c r="K10" i="3" l="1"/>
  <c r="A25" i="4" l="1"/>
  <c r="I6" i="2"/>
  <c r="F6" i="4" s="1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F29" i="3" s="1"/>
  <c r="G23" i="4" l="1"/>
  <c r="F30" i="3" s="1"/>
  <c r="G24" i="4" l="1"/>
  <c r="F31" i="3" s="1"/>
</calcChain>
</file>

<file path=xl/sharedStrings.xml><?xml version="1.0" encoding="utf-8"?>
<sst xmlns="http://schemas.openxmlformats.org/spreadsheetml/2006/main" count="159" uniqueCount="131">
  <si>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</si>
  <si>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</si>
  <si>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</si>
  <si>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</si>
  <si>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</si>
  <si>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</si>
  <si>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</si>
  <si>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</si>
  <si>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</si>
  <si>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</si>
  <si>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</si>
  <si>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</si>
  <si>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</si>
  <si>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</si>
  <si>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</si>
  <si>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</si>
  <si>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</si>
  <si>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</si>
  <si>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</si>
  <si>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</si>
  <si>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</si>
  <si>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</si>
  <si>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</si>
  <si>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</si>
  <si>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</si>
  <si>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</si>
  <si>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</si>
  <si>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</si>
  <si>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</si>
  <si>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</si>
  <si>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</si>
  <si>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</si>
  <si>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</si>
  <si>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</si>
  <si>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</si>
  <si>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</si>
  <si>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</si>
  <si>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</si>
  <si>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</si>
  <si>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</si>
  <si>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</si>
  <si>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</si>
  <si>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</si>
  <si>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</si>
  <si>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</si>
  <si>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</si>
  <si>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</si>
  <si>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</si>
  <si>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</si>
  <si>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</si>
  <si>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</si>
  <si>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</si>
  <si>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</si>
  <si>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</si>
  <si>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</si>
  <si>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</si>
  <si>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</si>
  <si>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</si>
  <si>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</si>
  <si>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</si>
  <si>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</si>
  <si>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</si>
  <si>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</si>
  <si>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</si>
  <si>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</si>
  <si>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</si>
  <si>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</si>
  <si>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</si>
  <si>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</si>
  <si>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</si>
  <si>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</si>
  <si>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</si>
  <si>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</si>
  <si>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</si>
  <si>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</si>
  <si>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</si>
  <si>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</si>
  <si>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</si>
  <si>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</si>
  <si>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</si>
  <si>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</si>
  <si>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</si>
  <si>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</si>
  <si>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</si>
  <si>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</si>
  <si>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</si>
  <si>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</si>
  <si>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</si>
  <si>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</si>
  <si>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</si>
  <si>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</si>
  <si>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</si>
  <si>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</si>
  <si>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</si>
  <si>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</si>
  <si>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</si>
  <si>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</si>
  <si>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</si>
  <si>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</si>
  <si>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</si>
  <si>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</si>
  <si>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</si>
  <si>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</si>
  <si>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</si>
  <si>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</si>
  <si>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</si>
  <si>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</si>
  <si>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</si>
  <si>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</si>
  <si>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</si>
  <si>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</si>
  <si>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</si>
  <si>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</si>
  <si>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</si>
  <si>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</si>
  <si>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</si>
  <si>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</si>
  <si>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</si>
  <si>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</si>
  <si>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</si>
  <si>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</si>
  <si>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</si>
  <si>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</si>
  <si>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</si>
  <si>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t>Welding Rod</t>
  </si>
  <si>
    <t>KG</t>
  </si>
  <si>
    <t>Welding Rods</t>
  </si>
  <si>
    <t xml:space="preserve"> E7018 H4R 2.6mm S-7018.1H Vac-Pack Hyundai Korea</t>
  </si>
  <si>
    <t xml:space="preserve"> E7018 H4R 3.2mm S-7018.1H Vac-Pack Hyundai Korea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</si>
  <si>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-MRS-0342</t>
    </r>
  </si>
  <si>
    <t>Q-20263210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</si>
</sst>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17</xdr:row>
          <xdr:rowOff>20054</xdr:rowOff>
        </xdr:from>
        <xdr:to>
          <xdr:col>12</xdr:col>
          <xdr:colOff>499</xdr:colOff>
          <xdr:row>24</xdr:row>
          <xdr:rowOff>30082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31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L4" sqref="L4:L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6" width="19.285156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35" t="s">
        <v>87</v>
      </c>
      <c r="K1" s="136"/>
      <c r="L1" s="137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38" t="s">
        <v>94</v>
      </c>
      <c r="K2" s="139"/>
      <c r="L2" s="140"/>
    </row>
    <row r="3" spans="1:18" ht="20.100000000000001" customHeight="1">
      <c r="A3" s="3" t="s">
        <v>129</v>
      </c>
      <c r="B3" s="93"/>
      <c r="C3" s="93"/>
      <c r="D3" s="93"/>
      <c r="E3" s="141">
        <f>+L3</f>
        <v>46204</v>
      </c>
      <c r="F3" s="141"/>
      <c r="G3" s="141"/>
      <c r="H3" s="141"/>
      <c r="I3" s="141"/>
      <c r="J3" s="93"/>
      <c r="K3" s="93"/>
      <c r="L3" s="105">
        <v>46204</v>
      </c>
      <c r="M3" s="4"/>
    </row>
    <row r="4" spans="1:18" ht="15.95" customHeight="1">
      <c r="A4" s="144" t="s">
        <v>2</v>
      </c>
      <c r="B4" s="145" t="s">
        <v>3</v>
      </c>
      <c r="C4" s="145"/>
      <c r="D4" s="146" t="s">
        <v>4</v>
      </c>
      <c r="E4" s="147"/>
      <c r="F4" s="148"/>
      <c r="G4" s="152" t="s">
        <v>5</v>
      </c>
      <c r="H4" s="142" t="s">
        <v>6</v>
      </c>
      <c r="I4" s="142" t="s">
        <v>91</v>
      </c>
      <c r="J4" s="144" t="s">
        <v>92</v>
      </c>
      <c r="K4" s="142" t="s">
        <v>0</v>
      </c>
      <c r="L4" s="145" t="s">
        <v>7</v>
      </c>
    </row>
    <row r="5" spans="1:18" ht="15.95" customHeight="1">
      <c r="A5" s="144"/>
      <c r="B5" s="145"/>
      <c r="C5" s="145"/>
      <c r="D5" s="149"/>
      <c r="E5" s="150"/>
      <c r="F5" s="151"/>
      <c r="G5" s="153"/>
      <c r="H5" s="143"/>
      <c r="I5" s="143"/>
      <c r="J5" s="144"/>
      <c r="K5" s="143"/>
      <c r="L5" s="145"/>
    </row>
    <row r="6" spans="1:18" ht="35.25" customHeight="1">
      <c r="A6" s="5">
        <f t="shared" ref="A6:A15" si="0">ROW(A1)</f>
        <v>1</v>
      </c>
      <c r="B6" s="130" t="s">
        <v>124</v>
      </c>
      <c r="C6" s="131"/>
      <c r="D6" s="132" t="s">
        <v>127</v>
      </c>
      <c r="E6" s="133"/>
      <c r="F6" s="134"/>
      <c r="G6" s="112" t="s">
        <v>125</v>
      </c>
      <c r="H6" s="112">
        <v>1000</v>
      </c>
      <c r="I6" s="113">
        <v>19</v>
      </c>
      <c r="J6" s="100">
        <f>H6*I6</f>
        <v>19000</v>
      </c>
      <c r="K6" s="101" t="s">
        <v>98</v>
      </c>
      <c r="L6" s="102" t="s">
        <v>106</v>
      </c>
      <c r="R6" s="98"/>
    </row>
    <row r="7" spans="1:18" ht="35.25" customHeight="1">
      <c r="A7" s="5">
        <f t="shared" si="0"/>
        <v>2</v>
      </c>
      <c r="B7" s="130" t="s">
        <v>124</v>
      </c>
      <c r="C7" s="131"/>
      <c r="D7" s="132" t="s">
        <v>128</v>
      </c>
      <c r="E7" s="133"/>
      <c r="F7" s="134"/>
      <c r="G7" s="112" t="s">
        <v>125</v>
      </c>
      <c r="H7" s="112">
        <v>1000</v>
      </c>
      <c r="I7" s="113">
        <v>18</v>
      </c>
      <c r="J7" s="100">
        <f t="shared" ref="J7:J15" si="1">H7*I7</f>
        <v>18000</v>
      </c>
      <c r="K7" s="101"/>
      <c r="L7" s="102"/>
      <c r="R7" s="98"/>
    </row>
    <row r="8" spans="1:18" ht="35.25" customHeight="1">
      <c r="A8" s="5"/>
      <c r="B8" s="130"/>
      <c r="C8" s="131"/>
      <c r="D8" s="132"/>
      <c r="E8" s="133"/>
      <c r="F8" s="134"/>
      <c r="G8" s="112"/>
      <c r="H8" s="112"/>
      <c r="I8" s="113"/>
      <c r="J8" s="100"/>
      <c r="K8" s="101"/>
      <c r="L8" s="102"/>
      <c r="R8" s="98"/>
    </row>
    <row r="9" spans="1:18" ht="35.25" customHeight="1">
      <c r="A9" s="5"/>
      <c r="B9" s="130"/>
      <c r="C9" s="131"/>
      <c r="D9" s="132"/>
      <c r="E9" s="133"/>
      <c r="F9" s="134"/>
      <c r="G9" s="112"/>
      <c r="H9" s="112"/>
      <c r="I9" s="113"/>
      <c r="J9" s="100"/>
      <c r="K9" s="101"/>
      <c r="L9" s="102"/>
      <c r="R9" s="98"/>
    </row>
    <row r="10" spans="1:18" ht="35.25" customHeight="1">
      <c r="A10" s="5"/>
      <c r="B10" s="130"/>
      <c r="C10" s="131"/>
      <c r="D10" s="132"/>
      <c r="E10" s="133"/>
      <c r="F10" s="134"/>
      <c r="G10" s="112"/>
      <c r="H10" s="112"/>
      <c r="I10" s="113"/>
      <c r="J10" s="100"/>
      <c r="K10" s="101"/>
      <c r="L10" s="102"/>
      <c r="R10" s="98"/>
    </row>
    <row r="11" spans="1:18" ht="35.25" customHeight="1">
      <c r="A11" s="5"/>
      <c r="B11" s="130"/>
      <c r="C11" s="131"/>
      <c r="D11" s="132"/>
      <c r="E11" s="133"/>
      <c r="F11" s="134"/>
      <c r="G11" s="112"/>
      <c r="H11" s="112"/>
      <c r="I11" s="113"/>
      <c r="J11" s="100"/>
      <c r="K11" s="101"/>
      <c r="L11" s="102"/>
      <c r="R11" s="98"/>
    </row>
    <row r="12" spans="1:18" ht="23.25" hidden="1" customHeight="1">
      <c r="A12" s="5">
        <f t="shared" si="0"/>
        <v>7</v>
      </c>
      <c r="B12" s="130"/>
      <c r="C12" s="131"/>
      <c r="D12" s="132"/>
      <c r="E12" s="133"/>
      <c r="F12" s="134"/>
      <c r="G12" s="112"/>
      <c r="H12" s="112"/>
      <c r="I12" s="113"/>
      <c r="J12" s="100"/>
      <c r="K12" s="101"/>
      <c r="L12" s="102"/>
      <c r="R12" s="98"/>
    </row>
    <row r="13" spans="1:18" ht="23.25" hidden="1" customHeight="1">
      <c r="A13" s="5">
        <f t="shared" si="0"/>
        <v>8</v>
      </c>
      <c r="B13" s="130"/>
      <c r="C13" s="131"/>
      <c r="D13" s="132"/>
      <c r="E13" s="133"/>
      <c r="F13" s="161"/>
      <c r="G13" s="112"/>
      <c r="H13" s="112"/>
      <c r="I13" s="113"/>
      <c r="J13" s="100">
        <f t="shared" si="1"/>
        <v>0</v>
      </c>
      <c r="K13" s="101"/>
      <c r="L13" s="102"/>
      <c r="R13" s="98"/>
    </row>
    <row r="14" spans="1:18" ht="23.25" hidden="1" customHeight="1">
      <c r="A14" s="5">
        <f t="shared" si="0"/>
        <v>9</v>
      </c>
      <c r="B14" s="130"/>
      <c r="C14" s="131"/>
      <c r="D14" s="132"/>
      <c r="E14" s="133"/>
      <c r="F14" s="161"/>
      <c r="G14" s="112"/>
      <c r="H14" s="112"/>
      <c r="I14" s="113"/>
      <c r="J14" s="100">
        <f t="shared" si="1"/>
        <v>0</v>
      </c>
      <c r="K14" s="101"/>
      <c r="L14" s="102"/>
      <c r="R14" s="98"/>
    </row>
    <row r="15" spans="1:18" ht="23.25" hidden="1" customHeight="1">
      <c r="A15" s="5">
        <f t="shared" si="0"/>
        <v>10</v>
      </c>
      <c r="B15" s="130"/>
      <c r="C15" s="131"/>
      <c r="D15" s="132"/>
      <c r="E15" s="133"/>
      <c r="F15" s="161"/>
      <c r="G15" s="112"/>
      <c r="H15" s="112"/>
      <c r="I15" s="113"/>
      <c r="J15" s="100">
        <f t="shared" si="1"/>
        <v>0</v>
      </c>
      <c r="K15" s="101"/>
      <c r="L15" s="102"/>
      <c r="R15" s="98"/>
    </row>
    <row r="16" spans="1:18" ht="23.25" customHeight="1">
      <c r="A16" s="154" t="s">
        <v>8</v>
      </c>
      <c r="B16" s="155"/>
      <c r="C16" s="103"/>
      <c r="D16" s="109"/>
      <c r="E16" s="109"/>
      <c r="F16" s="109"/>
      <c r="G16" s="110"/>
      <c r="H16" s="110"/>
      <c r="I16" s="111" t="s">
        <v>9</v>
      </c>
      <c r="J16" s="100">
        <f>SUM(J6:J15)</f>
        <v>37000</v>
      </c>
      <c r="K16" s="100"/>
      <c r="L16" s="104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6" t="s">
        <v>11</v>
      </c>
      <c r="S18" s="13" t="s">
        <v>12</v>
      </c>
    </row>
    <row r="19" spans="1:19" ht="48.75" customHeight="1">
      <c r="R19" s="157"/>
      <c r="S19" s="15"/>
    </row>
    <row r="20" spans="1:19" ht="17.100000000000001" customHeight="1">
      <c r="O20" s="11"/>
      <c r="P20" s="11"/>
      <c r="R20" s="158"/>
      <c r="S20" s="15" t="s">
        <v>13</v>
      </c>
    </row>
    <row r="21" spans="1:19" ht="15" customHeight="1">
      <c r="O21" s="17" t="s">
        <v>14</v>
      </c>
      <c r="P21" s="159" t="s">
        <v>15</v>
      </c>
    </row>
    <row r="22" spans="1:19" ht="18" customHeight="1">
      <c r="O22" s="18" t="s">
        <v>16</v>
      </c>
      <c r="P22" s="160"/>
      <c r="R22" s="156" t="s">
        <v>17</v>
      </c>
      <c r="S22" s="12" t="s">
        <v>12</v>
      </c>
    </row>
    <row r="23" spans="1:19" ht="50.1" customHeight="1">
      <c r="O23" s="14"/>
      <c r="P23" s="14"/>
      <c r="R23" s="157"/>
      <c r="S23" s="19"/>
    </row>
    <row r="24" spans="1:19" ht="17.100000000000001" customHeight="1">
      <c r="O24" s="16" t="s">
        <v>13</v>
      </c>
      <c r="P24" s="16" t="s">
        <v>13</v>
      </c>
      <c r="R24" s="15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2"/>
      <c r="P27" s="162"/>
    </row>
    <row r="28" spans="1:19" ht="19.899999999999999" customHeight="1">
      <c r="O28" s="162"/>
      <c r="P28" s="162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9" t="s">
        <v>18</v>
      </c>
      <c r="P46" s="159" t="s">
        <v>18</v>
      </c>
      <c r="S46" s="159" t="s">
        <v>12</v>
      </c>
    </row>
    <row r="47" spans="15:19" ht="21" customHeight="1">
      <c r="O47" s="160"/>
      <c r="P47" s="160"/>
      <c r="S47" s="15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9" t="s">
        <v>18</v>
      </c>
      <c r="P50" s="159" t="s">
        <v>18</v>
      </c>
      <c r="S50" s="159" t="s">
        <v>19</v>
      </c>
    </row>
    <row r="51" spans="15:19" ht="21" customHeight="1">
      <c r="O51" s="160"/>
      <c r="P51" s="160"/>
      <c r="S51" s="158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A16:B16"/>
    <mergeCell ref="R18:R20"/>
    <mergeCell ref="P21:P22"/>
    <mergeCell ref="R22:R24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77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8" sqref="D8:F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35" t="str">
        <f>+MRS!J1</f>
        <v>DAESHIN PLANT</v>
      </c>
      <c r="K1" s="137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38" t="str">
        <f>+MRS!J2</f>
        <v>Subcontract name (SAC2-SC-IK-SMP-01)</v>
      </c>
      <c r="K2" s="140"/>
    </row>
    <row r="3" spans="1:18" ht="24.95" customHeight="1">
      <c r="A3" s="3" t="str">
        <f>+MRS!A3</f>
        <v xml:space="preserve">  MRS No : SAC2-DS-MRS-0342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46204</v>
      </c>
    </row>
    <row r="4" spans="1:18" ht="15.95" customHeight="1">
      <c r="A4" s="168" t="s">
        <v>2</v>
      </c>
      <c r="B4" s="169" t="s">
        <v>20</v>
      </c>
      <c r="C4" s="169"/>
      <c r="D4" s="168" t="s">
        <v>4</v>
      </c>
      <c r="E4" s="168"/>
      <c r="F4" s="168"/>
      <c r="G4" s="169" t="s">
        <v>5</v>
      </c>
      <c r="H4" s="168" t="s">
        <v>88</v>
      </c>
      <c r="I4" s="168" t="s">
        <v>21</v>
      </c>
      <c r="J4" s="168" t="s">
        <v>22</v>
      </c>
      <c r="K4" s="169" t="s">
        <v>7</v>
      </c>
    </row>
    <row r="5" spans="1:18" ht="15.95" customHeight="1">
      <c r="A5" s="168"/>
      <c r="B5" s="169"/>
      <c r="C5" s="169"/>
      <c r="D5" s="168"/>
      <c r="E5" s="168"/>
      <c r="F5" s="168"/>
      <c r="G5" s="169"/>
      <c r="H5" s="168"/>
      <c r="I5" s="168"/>
      <c r="J5" s="168"/>
      <c r="K5" s="169"/>
    </row>
    <row r="6" spans="1:18" ht="105" customHeight="1">
      <c r="A6" s="21">
        <f>+MRS!A6</f>
        <v>1</v>
      </c>
      <c r="B6" s="163" t="str">
        <f>MRS!B6</f>
        <v>Welding Rod</v>
      </c>
      <c r="C6" s="164"/>
      <c r="D6" s="165" t="str">
        <f>MRS!D6</f>
        <v xml:space="preserve"> E7018 H4R 2.6mm S-7018.1H Vac-Pack Hyundai Korea</v>
      </c>
      <c r="E6" s="166"/>
      <c r="F6" s="167"/>
      <c r="G6" s="95" t="str">
        <f>MRS!G6</f>
        <v>KG</v>
      </c>
      <c r="H6" s="95">
        <f>MRS!H6</f>
        <v>1000</v>
      </c>
      <c r="I6" s="96">
        <f>MRS!I6</f>
        <v>19</v>
      </c>
      <c r="J6" s="96">
        <f>MRS!J6</f>
        <v>19000</v>
      </c>
      <c r="K6" s="97"/>
      <c r="O6" s="98"/>
      <c r="P6" s="98"/>
      <c r="R6" s="98"/>
    </row>
    <row r="7" spans="1:18" ht="105" customHeight="1">
      <c r="A7" s="21">
        <f>+MRS!A7</f>
        <v>2</v>
      </c>
      <c r="B7" s="163" t="str">
        <f>MRS!B7</f>
        <v>Welding Rod</v>
      </c>
      <c r="C7" s="164"/>
      <c r="D7" s="165" t="str">
        <f>MRS!D7</f>
        <v xml:space="preserve"> E7018 H4R 3.2mm S-7018.1H Vac-Pack Hyundai Korea</v>
      </c>
      <c r="E7" s="166"/>
      <c r="F7" s="167"/>
      <c r="G7" s="95" t="str">
        <f>MRS!G7</f>
        <v>KG</v>
      </c>
      <c r="H7" s="95">
        <f>MRS!H7</f>
        <v>1000</v>
      </c>
      <c r="I7" s="96">
        <f>MRS!I7</f>
        <v>18</v>
      </c>
      <c r="J7" s="96">
        <f>MRS!J7</f>
        <v>18000</v>
      </c>
      <c r="K7" s="97"/>
      <c r="O7" s="98"/>
      <c r="P7" s="98"/>
      <c r="R7" s="98"/>
    </row>
    <row r="8" spans="1:18" ht="105" customHeight="1">
      <c r="A8" s="21">
        <f>+MRS!A8</f>
        <v>0</v>
      </c>
      <c r="B8" s="163">
        <f>MRS!B8</f>
        <v>0</v>
      </c>
      <c r="C8" s="164"/>
      <c r="D8" s="165">
        <f>MRS!D8</f>
        <v>0</v>
      </c>
      <c r="E8" s="166"/>
      <c r="F8" s="167"/>
      <c r="G8" s="95">
        <f>MRS!G8</f>
        <v>0</v>
      </c>
      <c r="H8" s="95">
        <f>MRS!H8</f>
        <v>0</v>
      </c>
      <c r="I8" s="96">
        <f>MRS!I8</f>
        <v>0</v>
      </c>
      <c r="J8" s="96">
        <f>MRS!J8</f>
        <v>0</v>
      </c>
      <c r="K8" s="97"/>
      <c r="O8" s="98"/>
      <c r="P8" s="98"/>
      <c r="R8" s="98"/>
    </row>
    <row r="9" spans="1:18" ht="105" customHeight="1">
      <c r="A9" s="21">
        <f>+MRS!A9</f>
        <v>0</v>
      </c>
      <c r="B9" s="163">
        <f>MRS!B9</f>
        <v>0</v>
      </c>
      <c r="C9" s="164"/>
      <c r="D9" s="165">
        <f>MRS!D9</f>
        <v>0</v>
      </c>
      <c r="E9" s="166"/>
      <c r="F9" s="167"/>
      <c r="G9" s="95">
        <f>MRS!G9</f>
        <v>0</v>
      </c>
      <c r="H9" s="95">
        <f>MRS!H9</f>
        <v>0</v>
      </c>
      <c r="I9" s="96">
        <f>MRS!I9</f>
        <v>0</v>
      </c>
      <c r="J9" s="96">
        <f>MRS!J9</f>
        <v>0</v>
      </c>
      <c r="K9" s="97"/>
      <c r="O9" s="98"/>
      <c r="P9" s="98"/>
      <c r="R9" s="98"/>
    </row>
    <row r="10" spans="1:18" ht="105" customHeight="1">
      <c r="A10" s="21">
        <f>+MRS!A10</f>
        <v>0</v>
      </c>
      <c r="B10" s="163">
        <f>MRS!B10</f>
        <v>0</v>
      </c>
      <c r="C10" s="164"/>
      <c r="D10" s="165">
        <f>MRS!D10</f>
        <v>0</v>
      </c>
      <c r="E10" s="166"/>
      <c r="F10" s="167"/>
      <c r="G10" s="95">
        <f>MRS!G10</f>
        <v>0</v>
      </c>
      <c r="H10" s="95">
        <f>MRS!H10</f>
        <v>0</v>
      </c>
      <c r="I10" s="96">
        <f>MRS!I10</f>
        <v>0</v>
      </c>
      <c r="J10" s="96">
        <f>MRS!J10</f>
        <v>0</v>
      </c>
      <c r="K10" s="97"/>
      <c r="O10" s="98"/>
      <c r="P10" s="98"/>
      <c r="R10" s="98"/>
    </row>
    <row r="11" spans="1:18" ht="105" customHeight="1">
      <c r="A11" s="21">
        <f>+MRS!A11</f>
        <v>0</v>
      </c>
      <c r="B11" s="163">
        <f>MRS!B11</f>
        <v>0</v>
      </c>
      <c r="C11" s="164"/>
      <c r="D11" s="165">
        <f>MRS!D11</f>
        <v>0</v>
      </c>
      <c r="E11" s="166"/>
      <c r="F11" s="167"/>
      <c r="G11" s="95">
        <f>MRS!G11</f>
        <v>0</v>
      </c>
      <c r="H11" s="95">
        <f>MRS!H11</f>
        <v>0</v>
      </c>
      <c r="I11" s="96">
        <f>MRS!I11</f>
        <v>0</v>
      </c>
      <c r="J11" s="96">
        <f>MRS!J11</f>
        <v>0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63">
        <f>MRS!B12</f>
        <v>0</v>
      </c>
      <c r="C12" s="164"/>
      <c r="D12" s="165">
        <f>MRS!D12</f>
        <v>0</v>
      </c>
      <c r="E12" s="166"/>
      <c r="F12" s="167"/>
      <c r="G12" s="95">
        <f>MRS!G12</f>
        <v>0</v>
      </c>
      <c r="H12" s="95">
        <f>MRS!H12</f>
        <v>0</v>
      </c>
      <c r="I12" s="96">
        <f>MRS!I12</f>
        <v>0</v>
      </c>
      <c r="J12" s="96">
        <f>MRS!J12</f>
        <v>0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63">
        <f>MRS!B13</f>
        <v>0</v>
      </c>
      <c r="C13" s="164"/>
      <c r="D13" s="165">
        <f>MRS!D13</f>
        <v>0</v>
      </c>
      <c r="E13" s="166"/>
      <c r="F13" s="167"/>
      <c r="G13" s="95">
        <f>MRS!G13</f>
        <v>0</v>
      </c>
      <c r="H13" s="95">
        <f>MRS!H13</f>
        <v>0</v>
      </c>
      <c r="I13" s="96">
        <f>MRS!I13</f>
        <v>0</v>
      </c>
      <c r="J13" s="96">
        <f>MRS!J13</f>
        <v>0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63">
        <f>MRS!B14</f>
        <v>0</v>
      </c>
      <c r="C14" s="164"/>
      <c r="D14" s="165">
        <f>MRS!D14</f>
        <v>0</v>
      </c>
      <c r="E14" s="166"/>
      <c r="F14" s="167"/>
      <c r="G14" s="95">
        <f>MRS!G14</f>
        <v>0</v>
      </c>
      <c r="H14" s="95">
        <f>MRS!H14</f>
        <v>0</v>
      </c>
      <c r="I14" s="96">
        <f>MRS!I14</f>
        <v>0</v>
      </c>
      <c r="J14" s="96">
        <f>MRS!J14</f>
        <v>0</v>
      </c>
      <c r="K14" s="97"/>
      <c r="O14" s="98"/>
      <c r="P14" s="98"/>
      <c r="R14" s="98"/>
    </row>
    <row r="15" spans="1:18" ht="105" customHeight="1">
      <c r="A15" s="21">
        <f>+MRS!A15</f>
        <v>10</v>
      </c>
      <c r="B15" s="163">
        <f>MRS!B15</f>
        <v>0</v>
      </c>
      <c r="C15" s="164"/>
      <c r="D15" s="165">
        <f>MRS!D15</f>
        <v>0</v>
      </c>
      <c r="E15" s="166"/>
      <c r="F15" s="167"/>
      <c r="G15" s="95">
        <f>MRS!G15</f>
        <v>0</v>
      </c>
      <c r="H15" s="95">
        <f>MRS!H15</f>
        <v>0</v>
      </c>
      <c r="I15" s="96">
        <f>MRS!I15</f>
        <v>0</v>
      </c>
      <c r="J15" s="96">
        <f>MRS!J15</f>
        <v>0</v>
      </c>
      <c r="K15" s="97"/>
      <c r="O15" s="98"/>
      <c r="P15" s="98"/>
      <c r="R15" s="98"/>
    </row>
    <row r="16" spans="1:18" ht="105" customHeight="1">
      <c r="A16" s="21"/>
      <c r="B16" s="163"/>
      <c r="C16" s="164"/>
      <c r="D16" s="165"/>
      <c r="E16" s="166"/>
      <c r="F16" s="167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63"/>
      <c r="C17" s="164"/>
      <c r="D17" s="165"/>
      <c r="E17" s="166"/>
      <c r="F17" s="167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63"/>
      <c r="C18" s="164"/>
      <c r="D18" s="165"/>
      <c r="E18" s="166"/>
      <c r="F18" s="167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63"/>
      <c r="C19" s="164"/>
      <c r="D19" s="165"/>
      <c r="E19" s="166"/>
      <c r="F19" s="167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63"/>
      <c r="C20" s="164"/>
      <c r="D20" s="165"/>
      <c r="E20" s="166"/>
      <c r="F20" s="167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63"/>
      <c r="C21" s="164"/>
      <c r="D21" s="165"/>
      <c r="E21" s="166"/>
      <c r="F21" s="167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99</v>
      </c>
      <c r="D9" s="38"/>
      <c r="E9" s="38"/>
    </row>
    <row r="10" spans="2:13" s="38" customFormat="1">
      <c r="B10" s="69"/>
      <c r="C10" s="38" t="s">
        <v>29</v>
      </c>
      <c r="D10" s="73" t="s">
        <v>100</v>
      </c>
      <c r="J10" s="38" t="s">
        <v>30</v>
      </c>
      <c r="K10" s="122">
        <f>MRS!L3</f>
        <v>46204</v>
      </c>
      <c r="L10" s="123"/>
      <c r="M10" s="123"/>
    </row>
    <row r="11" spans="2:13" s="38" customFormat="1">
      <c r="B11" s="69"/>
      <c r="C11" s="72" t="s">
        <v>31</v>
      </c>
      <c r="D11" s="73" t="s">
        <v>101</v>
      </c>
      <c r="J11" s="38" t="s">
        <v>32</v>
      </c>
      <c r="K11" s="124" t="str">
        <f>SUBSTITUTE(SUBSTITUTE(+MRS!A3,"  MRS No : ",""),"-MRS","-PO")</f>
        <v>SAC2-DS-PO-0342</v>
      </c>
      <c r="L11" s="124"/>
      <c r="M11" s="124"/>
    </row>
    <row r="12" spans="2:13" s="38" customFormat="1">
      <c r="B12" s="69"/>
      <c r="C12" s="72" t="s">
        <v>33</v>
      </c>
      <c r="D12" s="38" t="s">
        <v>102</v>
      </c>
      <c r="J12" s="38" t="s">
        <v>34</v>
      </c>
    </row>
    <row r="13" spans="2:13" s="38" customFormat="1">
      <c r="B13" s="69"/>
      <c r="C13" s="74"/>
      <c r="D13" s="73" t="s">
        <v>103</v>
      </c>
      <c r="J13" s="38" t="s">
        <v>35</v>
      </c>
    </row>
    <row r="14" spans="2:13" s="38" customFormat="1">
      <c r="B14" s="69"/>
      <c r="C14" s="115" t="s">
        <v>108</v>
      </c>
      <c r="J14" s="38" t="s">
        <v>36</v>
      </c>
      <c r="K14" s="38" t="s">
        <v>130</v>
      </c>
    </row>
    <row r="15" spans="2:13" s="38" customFormat="1">
      <c r="B15" s="69"/>
      <c r="C15" s="72" t="s">
        <v>104</v>
      </c>
      <c r="J15" s="38" t="s">
        <v>37</v>
      </c>
      <c r="K15" s="75">
        <v>46203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25" t="s">
        <v>38</v>
      </c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</row>
    <row r="19" spans="2:13" ht="12" customHeight="1"/>
    <row r="20" spans="2:13" s="31" customFormat="1" ht="12" customHeight="1">
      <c r="B20" s="126" t="s">
        <v>39</v>
      </c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</row>
    <row r="21" spans="2:13" s="31" customFormat="1" ht="12" customHeight="1">
      <c r="B21" s="126" t="s">
        <v>40</v>
      </c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</row>
    <row r="22" spans="2:13" s="31" customFormat="1" ht="12" customHeight="1">
      <c r="B22" s="126" t="s">
        <v>41</v>
      </c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</row>
    <row r="23" spans="2:13" ht="3.75" customHeight="1"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</row>
    <row r="24" spans="2:13" ht="6.95" customHeight="1"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126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6">
        <f>'PO 2nd page'!G22</f>
        <v>37000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6">
        <f>'PO 2nd page'!G23</f>
        <v>5550</v>
      </c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6">
        <f>'PO 2nd page'!G24</f>
        <v>42550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110</v>
      </c>
    </row>
    <row r="54" spans="2:16" ht="12" customHeight="1">
      <c r="B54" s="81" t="s">
        <v>62</v>
      </c>
      <c r="C54" s="117" t="s">
        <v>116</v>
      </c>
      <c r="F54" s="26" t="s">
        <v>111</v>
      </c>
    </row>
    <row r="55" spans="2:16" ht="12" customHeight="1">
      <c r="B55" s="81" t="s">
        <v>62</v>
      </c>
      <c r="C55" s="117" t="s">
        <v>117</v>
      </c>
      <c r="F55" s="118" t="s">
        <v>112</v>
      </c>
    </row>
    <row r="56" spans="2:16" ht="12" customHeight="1">
      <c r="B56" s="81" t="s">
        <v>62</v>
      </c>
      <c r="C56" s="117" t="s">
        <v>118</v>
      </c>
      <c r="F56" s="26" t="s">
        <v>123</v>
      </c>
    </row>
    <row r="57" spans="2:16" ht="12" customHeight="1">
      <c r="B57" s="81" t="s">
        <v>62</v>
      </c>
      <c r="C57" s="117" t="s">
        <v>119</v>
      </c>
      <c r="F57" s="26" t="s">
        <v>113</v>
      </c>
    </row>
    <row r="58" spans="2:16" ht="12" customHeight="1">
      <c r="B58" s="81" t="s">
        <v>62</v>
      </c>
      <c r="C58" s="117" t="s">
        <v>120</v>
      </c>
      <c r="F58" s="26" t="s">
        <v>114</v>
      </c>
    </row>
    <row r="59" spans="2:16" ht="12" customHeight="1">
      <c r="B59" s="81" t="s">
        <v>62</v>
      </c>
      <c r="C59" s="117" t="s">
        <v>121</v>
      </c>
      <c r="F59" s="26" t="s">
        <v>115</v>
      </c>
    </row>
    <row r="60" spans="2:16" ht="12" customHeight="1">
      <c r="B60" s="81"/>
      <c r="C60" s="117" t="s">
        <v>122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Shashank Kamra</v>
      </c>
    </row>
    <row r="68" spans="1:13" ht="13.5" customHeight="1">
      <c r="B68" s="26" t="s">
        <v>68</v>
      </c>
      <c r="J68" s="26" t="s">
        <v>69</v>
      </c>
      <c r="K68" s="22" t="s">
        <v>105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107</v>
      </c>
      <c r="J70" s="129" t="str">
        <f>C9</f>
        <v>JSAJ(Jassim Saif Amer Aljaberi Trading Est.)</v>
      </c>
      <c r="K70" s="129"/>
      <c r="L70" s="129"/>
      <c r="M70" s="129"/>
    </row>
    <row r="71" spans="1:13" ht="27.95" customHeight="1">
      <c r="A71" s="121" t="s">
        <v>72</v>
      </c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SAC2-DS-PO-0342</v>
      </c>
      <c r="C2" s="172" t="s">
        <v>74</v>
      </c>
      <c r="D2" s="172"/>
      <c r="E2" s="172"/>
      <c r="F2" s="172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46204</v>
      </c>
      <c r="C3" s="48"/>
      <c r="D3" s="49"/>
      <c r="E3" s="173" t="s">
        <v>76</v>
      </c>
      <c r="F3" s="173"/>
      <c r="G3" s="173"/>
      <c r="H3" s="173"/>
      <c r="I3" s="50"/>
    </row>
    <row r="4" spans="1:13" s="52" customFormat="1" ht="28.5" customHeight="1" thickTop="1">
      <c r="A4" s="174" t="s">
        <v>77</v>
      </c>
      <c r="B4" s="176" t="s">
        <v>78</v>
      </c>
      <c r="C4" s="177"/>
      <c r="D4" s="180" t="s">
        <v>79</v>
      </c>
      <c r="E4" s="180" t="s">
        <v>80</v>
      </c>
      <c r="F4" s="182" t="str">
        <f>'PO 1st page'!C9</f>
        <v>JSAJ(Jassim Saif Amer Aljaberi Trading Est.)</v>
      </c>
      <c r="G4" s="183"/>
      <c r="H4" s="184" t="s">
        <v>81</v>
      </c>
      <c r="K4" s="53"/>
      <c r="L4" s="53"/>
      <c r="M4" s="53"/>
    </row>
    <row r="5" spans="1:13" s="52" customFormat="1" ht="21.95" customHeight="1">
      <c r="A5" s="175"/>
      <c r="B5" s="178"/>
      <c r="C5" s="179"/>
      <c r="D5" s="181"/>
      <c r="E5" s="181"/>
      <c r="F5" s="54" t="s">
        <v>82</v>
      </c>
      <c r="G5" s="54" t="s">
        <v>48</v>
      </c>
      <c r="H5" s="185"/>
      <c r="K5" s="53"/>
      <c r="L5" s="53"/>
      <c r="M5" s="53"/>
    </row>
    <row r="6" spans="1:13" s="52" customFormat="1" ht="32.1" customHeight="1">
      <c r="A6" s="82">
        <f t="shared" ref="A6:A15" si="0">ROW(A1)</f>
        <v>1</v>
      </c>
      <c r="B6" s="170" t="str">
        <f>MRS!B6&amp;" "&amp;MRS!D6</f>
        <v>Welding Rod  E7018 H4R 2.6mm S-7018.1H Vac-Pack Hyundai Korea</v>
      </c>
      <c r="C6" s="171"/>
      <c r="D6" s="83" t="str">
        <f>MRS!G6</f>
        <v>KG</v>
      </c>
      <c r="E6" s="84">
        <f>MRS!H6</f>
        <v>1000</v>
      </c>
      <c r="F6" s="85">
        <f>+'MRS LIST'!I6</f>
        <v>19</v>
      </c>
      <c r="G6" s="86">
        <f>+'MRS LIST'!J6</f>
        <v>19000</v>
      </c>
      <c r="H6" s="87" t="s">
        <v>106</v>
      </c>
      <c r="K6" s="88"/>
      <c r="L6" s="89"/>
      <c r="M6" s="53"/>
    </row>
    <row r="7" spans="1:13" s="52" customFormat="1" ht="32.1" customHeight="1">
      <c r="A7" s="82">
        <f t="shared" si="0"/>
        <v>2</v>
      </c>
      <c r="B7" s="170" t="str">
        <f>MRS!B7&amp;" "&amp;MRS!D7</f>
        <v>Welding Rod  E7018 H4R 3.2mm S-7018.1H Vac-Pack Hyundai Korea</v>
      </c>
      <c r="C7" s="171"/>
      <c r="D7" s="83" t="str">
        <f>MRS!G7</f>
        <v>KG</v>
      </c>
      <c r="E7" s="84">
        <f>MRS!H7</f>
        <v>1000</v>
      </c>
      <c r="F7" s="85">
        <f>+'MRS LIST'!I7</f>
        <v>18</v>
      </c>
      <c r="G7" s="86">
        <f>+'MRS LIST'!J7</f>
        <v>18000</v>
      </c>
      <c r="H7" s="87"/>
      <c r="K7" s="88"/>
      <c r="L7" s="89"/>
      <c r="M7" s="53"/>
    </row>
    <row r="8" spans="1:13" s="52" customFormat="1" ht="32.1" customHeight="1">
      <c r="A8" s="90"/>
      <c r="B8" s="170"/>
      <c r="C8" s="171"/>
      <c r="D8" s="83"/>
      <c r="E8" s="84"/>
      <c r="F8" s="85"/>
      <c r="G8" s="86"/>
      <c r="H8" s="87"/>
      <c r="K8" s="53"/>
      <c r="L8" s="53"/>
      <c r="M8" s="53"/>
    </row>
    <row r="9" spans="1:13" s="52" customFormat="1" ht="32.1" customHeight="1">
      <c r="A9" s="90"/>
      <c r="B9" s="170"/>
      <c r="C9" s="171"/>
      <c r="D9" s="83"/>
      <c r="E9" s="84"/>
      <c r="F9" s="85"/>
      <c r="G9" s="86"/>
      <c r="H9" s="91"/>
    </row>
    <row r="10" spans="1:13" s="52" customFormat="1" ht="32.1" customHeight="1">
      <c r="A10" s="90"/>
      <c r="B10" s="170"/>
      <c r="C10" s="171"/>
      <c r="D10" s="83"/>
      <c r="E10" s="84"/>
      <c r="F10" s="85"/>
      <c r="G10" s="86"/>
      <c r="H10" s="91"/>
    </row>
    <row r="11" spans="1:13" s="52" customFormat="1" ht="32.1" customHeight="1">
      <c r="A11" s="90"/>
      <c r="B11" s="170"/>
      <c r="C11" s="171"/>
      <c r="D11" s="83"/>
      <c r="E11" s="84"/>
      <c r="F11" s="85"/>
      <c r="G11" s="86"/>
      <c r="H11" s="91"/>
    </row>
    <row r="12" spans="1:13" s="52" customFormat="1" ht="32.1" customHeight="1">
      <c r="A12" s="90"/>
      <c r="B12" s="170"/>
      <c r="C12" s="171"/>
      <c r="D12" s="83"/>
      <c r="E12" s="84"/>
      <c r="F12" s="85"/>
      <c r="G12" s="86"/>
      <c r="H12" s="91"/>
    </row>
    <row r="13" spans="1:13" s="52" customFormat="1" ht="32.1" customHeight="1">
      <c r="A13" s="90"/>
      <c r="B13" s="170"/>
      <c r="C13" s="171"/>
      <c r="D13" s="83"/>
      <c r="E13" s="84"/>
      <c r="F13" s="85"/>
      <c r="G13" s="86"/>
      <c r="H13" s="91"/>
    </row>
    <row r="14" spans="1:13" s="52" customFormat="1" ht="32.1" customHeight="1">
      <c r="A14" s="90"/>
      <c r="B14" s="170"/>
      <c r="C14" s="171"/>
      <c r="D14" s="83"/>
      <c r="E14" s="84"/>
      <c r="F14" s="85"/>
      <c r="G14" s="86"/>
      <c r="H14" s="91"/>
    </row>
    <row r="15" spans="1:13" s="52" customFormat="1" ht="32.1" customHeight="1">
      <c r="A15" s="90"/>
      <c r="B15" s="170"/>
      <c r="C15" s="171"/>
      <c r="D15" s="83"/>
      <c r="E15" s="84"/>
      <c r="F15" s="85"/>
      <c r="G15" s="86"/>
      <c r="H15" s="91"/>
    </row>
    <row r="16" spans="1:13" s="52" customFormat="1" ht="32.1" customHeight="1">
      <c r="A16" s="90"/>
      <c r="B16" s="170"/>
      <c r="C16" s="171"/>
      <c r="D16" s="83"/>
      <c r="E16" s="84"/>
      <c r="F16" s="85"/>
      <c r="G16" s="86"/>
      <c r="H16" s="91"/>
    </row>
    <row r="17" spans="1:13" s="52" customFormat="1" ht="32.1" customHeight="1">
      <c r="A17" s="90"/>
      <c r="B17" s="170"/>
      <c r="C17" s="171"/>
      <c r="D17" s="83"/>
      <c r="E17" s="84"/>
      <c r="F17" s="85"/>
      <c r="G17" s="86"/>
      <c r="H17" s="91"/>
    </row>
    <row r="18" spans="1:13" s="52" customFormat="1" ht="32.1" customHeight="1">
      <c r="A18" s="90"/>
      <c r="B18" s="170"/>
      <c r="C18" s="171"/>
      <c r="D18" s="83"/>
      <c r="E18" s="84"/>
      <c r="F18" s="85"/>
      <c r="G18" s="86"/>
      <c r="H18" s="91"/>
    </row>
    <row r="19" spans="1:13" s="52" customFormat="1" ht="32.1" customHeight="1">
      <c r="A19" s="90"/>
      <c r="B19" s="170"/>
      <c r="C19" s="171"/>
      <c r="D19" s="83"/>
      <c r="E19" s="84"/>
      <c r="F19" s="85"/>
      <c r="G19" s="86"/>
      <c r="H19" s="91"/>
    </row>
    <row r="20" spans="1:13" s="52" customFormat="1" ht="32.1" customHeight="1">
      <c r="A20" s="90"/>
      <c r="B20" s="170"/>
      <c r="C20" s="171"/>
      <c r="D20" s="83"/>
      <c r="E20" s="84"/>
      <c r="F20" s="85"/>
      <c r="G20" s="86"/>
      <c r="H20" s="91"/>
    </row>
    <row r="21" spans="1:13" s="52" customFormat="1" ht="32.1" customHeight="1">
      <c r="A21" s="90"/>
      <c r="B21" s="170"/>
      <c r="C21" s="171"/>
      <c r="D21" s="83"/>
      <c r="E21" s="84"/>
      <c r="F21" s="85"/>
      <c r="G21" s="86"/>
      <c r="H21" s="91"/>
    </row>
    <row r="22" spans="1:13" s="52" customFormat="1" ht="23.1" customHeight="1">
      <c r="A22" s="186" t="s">
        <v>83</v>
      </c>
      <c r="B22" s="187"/>
      <c r="C22" s="187"/>
      <c r="D22" s="187"/>
      <c r="E22" s="187"/>
      <c r="F22" s="187"/>
      <c r="G22" s="55">
        <f>SUM(G6:G21)</f>
        <v>37000</v>
      </c>
      <c r="H22" s="56"/>
    </row>
    <row r="23" spans="1:13" s="52" customFormat="1" ht="23.1" customHeight="1">
      <c r="A23" s="186" t="s">
        <v>47</v>
      </c>
      <c r="B23" s="187"/>
      <c r="C23" s="187"/>
      <c r="D23" s="187"/>
      <c r="E23" s="187"/>
      <c r="F23" s="187"/>
      <c r="G23" s="55">
        <f>+G22*0.15</f>
        <v>5550</v>
      </c>
      <c r="H23" s="56"/>
    </row>
    <row r="24" spans="1:13" s="52" customFormat="1" ht="24.95" customHeight="1" thickBot="1">
      <c r="A24" s="188" t="s">
        <v>84</v>
      </c>
      <c r="B24" s="189"/>
      <c r="C24" s="189"/>
      <c r="D24" s="189"/>
      <c r="E24" s="189"/>
      <c r="F24" s="189"/>
      <c r="G24" s="57">
        <f>G23+G22</f>
        <v>42550</v>
      </c>
      <c r="H24" s="58"/>
    </row>
    <row r="25" spans="1:13" ht="15.75" thickTop="1">
      <c r="A25" s="59" t="str">
        <f>" 1) Above Price are as per your quotation with ref "&amp;'PO 1st page'!K14</f>
        <v xml:space="preserve"> 1) Above Price are as per your quotation with ref Q-20263210</v>
      </c>
      <c r="B25" s="60"/>
      <c r="C25" s="60"/>
      <c r="D25" s="61"/>
      <c r="E25" s="61"/>
      <c r="F25" s="61"/>
      <c r="G25" s="61"/>
      <c r="H25" s="61"/>
    </row>
    <row r="26" spans="1:13" ht="15">
      <c r="A26" s="62" t="s">
        <v>85</v>
      </c>
      <c r="B26" s="63"/>
      <c r="C26" s="63"/>
      <c r="D26" s="64"/>
      <c r="E26" s="64"/>
      <c r="F26" s="64"/>
      <c r="G26" s="64"/>
      <c r="H26" s="64"/>
      <c r="I26" s="65"/>
    </row>
    <row r="27" spans="1:13" ht="15.75">
      <c r="A27" s="66"/>
    </row>
    <row r="28" spans="1:13">
      <c r="A28" s="121" t="s">
        <v>86</v>
      </c>
      <c r="B28" s="121"/>
      <c r="C28" s="121"/>
      <c r="D28" s="121"/>
      <c r="E28" s="121"/>
      <c r="F28" s="121"/>
      <c r="G28" s="121"/>
      <c r="H28" s="121"/>
      <c r="I28" s="67"/>
      <c r="J28" s="67"/>
      <c r="K28" s="67"/>
      <c r="L28" s="67"/>
      <c r="M28" s="67"/>
    </row>
    <row r="29" spans="1:13" ht="15.75">
      <c r="A29" s="66"/>
      <c r="C29" s="68"/>
    </row>
    <row r="30" spans="1:13" ht="15.75">
      <c r="A30" s="66"/>
      <c r="C30" s="68"/>
    </row>
    <row r="32" spans="1:13" ht="12" customHeight="1"/>
  </sheetData>
  <mergeCells count="28"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2026-07-01T08:49:59Z</cp:lastPrinted>
  <dcterms:created xsi:type="dcterms:W3CDTF">2024-10-20T11:50:19Z</dcterms:created>
  <dcterms:modified xsi:type="dcterms:W3CDTF">2026-07-01T08:50:02Z</dcterms:modified>
</cp:coreProperties>
</file>