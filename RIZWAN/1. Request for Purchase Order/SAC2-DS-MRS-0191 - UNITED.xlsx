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866D971E-283B-4AAA-8EC5-208A11F4BD69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H6" i="4" l="1"/>
  <c r="K67" i="3"/>
  <c r="E3" i="1"/>
  <c r="H7" i="2"/>
  <c r="G7" i="2"/>
  <c r="D7" i="2"/>
  <c r="B7" i="2"/>
  <c r="J7" i="1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<sst xmlns="http://schemas.openxmlformats.org/spreadsheetml/2006/main" count="173" uniqueCount="134">
  <si>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</si>
  <si>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</si>
  <si>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</si>
  <si>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</si>
  <si>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</si>
  <si>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</si>
  <si>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</si>
  <si>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</si>
  <si>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</si>
  <si>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</si>
  <si>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</si>
  <si>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</si>
  <si>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</si>
  <si>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</si>
  <si>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</si>
  <si>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</si>
  <si>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</si>
  <si>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</si>
  <si>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</si>
  <si>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</si>
  <si>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</si>
  <si>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</si>
  <si>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</si>
  <si>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</si>
  <si>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</si>
  <si>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</si>
  <si>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</si>
  <si>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</si>
  <si>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</si>
  <si>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</si>
  <si>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</si>
  <si>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</si>
  <si>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</si>
  <si>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</si>
  <si>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</si>
  <si>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</si>
  <si>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</si>
  <si>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</si>
  <si>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</si>
  <si>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</si>
  <si>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</si>
  <si>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</si>
  <si>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</si>
  <si>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</si>
  <si>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</si>
  <si>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</si>
  <si>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</si>
  <si>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</si>
  <si>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</si>
  <si>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</si>
  <si>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</si>
  <si>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</si>
  <si>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</si>
  <si>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</si>
  <si>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</si>
  <si>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</si>
  <si>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</si>
  <si>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</si>
  <si>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</si>
  <si>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</si>
  <si>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</si>
  <si>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</si>
  <si>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</si>
  <si>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</si>
  <si>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</si>
  <si>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</si>
  <si>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</si>
  <si>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</si>
  <si>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</si>
  <si>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</si>
  <si>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</si>
  <si>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</si>
  <si>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</si>
  <si>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</si>
  <si>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</si>
  <si>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</si>
  <si>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</si>
  <si>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</si>
  <si>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</si>
  <si>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</si>
  <si>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</si>
  <si>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</si>
  <si>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</si>
  <si>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</si>
  <si>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</si>
  <si>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</si>
  <si>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</si>
  <si>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</si>
  <si>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</si>
  <si>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</si>
  <si>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</si>
  <si>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</si>
  <si>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</si>
  <si>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</si>
  <si>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</si>
  <si>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</si>
  <si>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</si>
  <si>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</si>
  <si>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</si>
  <si>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t>Business Development Manager</t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</si>
  <si>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</si>
  <si>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UTCC</t>
  </si>
  <si>
    <t>UTCC(United Technology Contracting Co. Ltd.)</t>
  </si>
  <si>
    <t>Muhammed Huzaifa</t>
  </si>
  <si>
    <t>2055009069</t>
  </si>
  <si>
    <t>Landline: +966 136 6080 / Mobile : +966 54 6313999</t>
  </si>
  <si>
    <t>Bldg No . 9278 King Abdul Aziz Street,Tebah District , Al Jubail</t>
  </si>
  <si>
    <t>+966 54 631 3999 / Email:operation@unitedco.uk</t>
  </si>
  <si>
    <t>Monthly based</t>
  </si>
  <si>
    <t>Monthly Based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</si>
  <si>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</si>
  <si>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</si>
  <si>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</si>
  <si>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</si>
  <si>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310157378500003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</si>
  <si>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</si>
  <si>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</si>
  <si>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</si>
  <si>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</si>
  <si>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</si>
  <si>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</si>
  <si>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</si>
  <si>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</si>
  <si>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</si>
  <si>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UNITED TECHNOLOGY CONTRACTING CO. LTD.</t>
  </si>
  <si>
    <t>SA3745000000836010116001</t>
  </si>
  <si>
    <t>SABB</t>
  </si>
  <si>
    <t>SABBSARI</t>
  </si>
  <si>
    <t>Flat Bed Trailer</t>
  </si>
  <si>
    <t>With Driver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</si>
  <si>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-MRS-0191</t>
    </r>
  </si>
  <si>
    <t>UT-EQUO-25-3700</t>
  </si>
  <si>
    <t>Flat Bed Trailer with driver</t>
  </si>
  <si>
    <t>836010116001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</si>
</sst>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9"/>
      <color theme="1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49" fillId="3" borderId="0" xfId="5" applyFont="1" applyFill="1"/>
    <xf numFmtId="0" fontId="50" fillId="2" borderId="0" xfId="1" applyFont="1" applyFill="1" applyAlignment="1">
      <alignment vertical="center"/>
    </xf>
    <xf numFmtId="0" fontId="55" fillId="3" borderId="0" xfId="5" applyFont="1" applyFill="1"/>
    <xf numFmtId="0" fontId="18" fillId="3" borderId="0" xfId="5" quotePrefix="1" applyFont="1" applyFill="1"/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15">
    <cellStyle name="Comma [0]" xfId="10" builtinId="6"/>
    <cellStyle name="Normal" xfId="0" builtinId="0"/>
    <cellStyle name="쉼표 [0] 2 2" xfId="4" xr:uid="{95D71F5C-65D6-4E85-84FE-774413508E1E}"/>
    <cellStyle name="쉼표 [0] 2 2 2" xfId="12" xr:uid="{FC4F5859-1642-4A5E-9D4F-8B998B2D65DC}"/>
    <cellStyle name="쉼표 2" xfId="9" xr:uid="{F2A3A689-A30F-4FCA-9C51-F28F11796A46}"/>
    <cellStyle name="쉼표 2 2" xfId="14" xr:uid="{31735F8C-8A25-4F7E-870C-A852BB5972AE}"/>
    <cellStyle name="표준 2 2" xfId="2" xr:uid="{12B761D3-4229-4E14-8168-D5975293A996}"/>
    <cellStyle name="표준 2 2 2" xfId="11" xr:uid="{DDC358A7-52FB-42BA-9761-C1397E913397}"/>
    <cellStyle name="표준 2 3 2 2" xfId="5" xr:uid="{BD51BFCC-3D36-446B-BE80-7856DF8371E9}"/>
    <cellStyle name="표준 2 3 2 2 2" xfId="13" xr:uid="{995CDC77-06B6-408A-90E5-9B92116D334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10026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5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26605" y="4983079"/>
              <a:ext cx="3780423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5" t="s">
        <v>111</v>
      </c>
      <c r="B1" s="110"/>
      <c r="C1" s="110"/>
      <c r="D1" s="110"/>
      <c r="E1" s="110"/>
      <c r="F1" s="110"/>
      <c r="G1" s="1"/>
      <c r="J1" s="128" t="s">
        <v>92</v>
      </c>
      <c r="K1" s="129"/>
      <c r="L1" s="130"/>
    </row>
    <row r="2" spans="1:19" ht="20.100000000000001" customHeight="1">
      <c r="A2" s="3" t="s">
        <v>1</v>
      </c>
      <c r="B2" s="101"/>
      <c r="C2" s="101"/>
      <c r="D2" s="3" t="s">
        <v>112</v>
      </c>
      <c r="E2" s="101"/>
      <c r="F2" s="101"/>
      <c r="G2" s="101"/>
      <c r="H2" s="101"/>
      <c r="I2" s="4"/>
      <c r="J2" s="144" t="s">
        <v>110</v>
      </c>
      <c r="K2" s="145"/>
      <c r="L2" s="146"/>
    </row>
    <row r="3" spans="1:19" ht="20.100000000000001" customHeight="1">
      <c r="A3" s="3" t="s">
        <v>130</v>
      </c>
      <c r="B3" s="101"/>
      <c r="C3" s="101"/>
      <c r="D3" s="101"/>
      <c r="E3" s="131">
        <f>+L3</f>
        <v>46018</v>
      </c>
      <c r="F3" s="131"/>
      <c r="G3" s="131"/>
      <c r="H3" s="131"/>
      <c r="I3" s="131"/>
      <c r="J3" s="101"/>
      <c r="K3" s="101"/>
      <c r="L3" s="122">
        <v>46018</v>
      </c>
      <c r="M3" s="4"/>
    </row>
    <row r="4" spans="1:19" ht="15.95" customHeight="1">
      <c r="A4" s="132" t="s">
        <v>2</v>
      </c>
      <c r="B4" s="133" t="s">
        <v>3</v>
      </c>
      <c r="C4" s="133"/>
      <c r="D4" s="134" t="s">
        <v>4</v>
      </c>
      <c r="E4" s="135"/>
      <c r="F4" s="136"/>
      <c r="G4" s="140" t="s">
        <v>5</v>
      </c>
      <c r="H4" s="142" t="s">
        <v>6</v>
      </c>
      <c r="I4" s="142" t="s">
        <v>97</v>
      </c>
      <c r="J4" s="132" t="s">
        <v>98</v>
      </c>
      <c r="K4" s="142" t="s">
        <v>0</v>
      </c>
      <c r="L4" s="133" t="s">
        <v>7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7" t="s">
        <v>128</v>
      </c>
      <c r="C6" s="148"/>
      <c r="D6" s="149" t="s">
        <v>129</v>
      </c>
      <c r="E6" s="150"/>
      <c r="F6" s="151"/>
      <c r="G6" s="111" t="s">
        <v>93</v>
      </c>
      <c r="H6" s="112">
        <v>1</v>
      </c>
      <c r="I6" s="113">
        <v>13000</v>
      </c>
      <c r="J6" s="113">
        <f>H6*I6</f>
        <v>13000</v>
      </c>
      <c r="K6" s="114" t="s">
        <v>101</v>
      </c>
      <c r="L6" s="115" t="s">
        <v>109</v>
      </c>
      <c r="S6" s="106"/>
    </row>
    <row r="7" spans="1:19" ht="22.5" customHeight="1">
      <c r="A7" s="5">
        <f t="shared" si="0"/>
        <v>2</v>
      </c>
      <c r="B7" s="147"/>
      <c r="C7" s="148"/>
      <c r="D7" s="152"/>
      <c r="E7" s="150"/>
      <c r="F7" s="151"/>
      <c r="G7" s="111"/>
      <c r="H7" s="112"/>
      <c r="I7" s="113"/>
      <c r="J7" s="113">
        <f>H7*I7</f>
        <v>0</v>
      </c>
      <c r="K7" s="114"/>
      <c r="L7" s="115"/>
      <c r="S7" s="106"/>
    </row>
    <row r="8" spans="1:19" ht="22.5" customHeight="1">
      <c r="A8" s="5">
        <f t="shared" si="0"/>
        <v>3</v>
      </c>
      <c r="B8" s="147"/>
      <c r="C8" s="148"/>
      <c r="D8" s="149"/>
      <c r="E8" s="150"/>
      <c r="F8" s="151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7"/>
      <c r="C9" s="148"/>
      <c r="D9" s="149"/>
      <c r="E9" s="150"/>
      <c r="F9" s="151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3"/>
      <c r="C10" s="153"/>
      <c r="D10" s="154"/>
      <c r="E10" s="154"/>
      <c r="F10" s="154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7"/>
      <c r="C11" s="148"/>
      <c r="D11" s="149"/>
      <c r="E11" s="150"/>
      <c r="F11" s="151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3"/>
      <c r="C12" s="153"/>
      <c r="D12" s="154"/>
      <c r="E12" s="154"/>
      <c r="F12" s="154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7"/>
      <c r="C13" s="148"/>
      <c r="D13" s="149"/>
      <c r="E13" s="150"/>
      <c r="F13" s="151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7"/>
      <c r="C14" s="148"/>
      <c r="D14" s="149"/>
      <c r="E14" s="150"/>
      <c r="F14" s="151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7"/>
      <c r="C15" s="148"/>
      <c r="D15" s="149"/>
      <c r="E15" s="150"/>
      <c r="F15" s="151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5" t="s">
        <v>8</v>
      </c>
      <c r="B16" s="156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13000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7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8"/>
      <c r="T19" s="14"/>
      <c r="U19" s="15"/>
      <c r="V19" s="14"/>
    </row>
    <row r="20" spans="1:22" ht="17.100000000000001" customHeight="1">
      <c r="O20" s="11"/>
      <c r="P20" s="11"/>
      <c r="Q20" s="11"/>
      <c r="S20" s="159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60" t="s">
        <v>17</v>
      </c>
      <c r="Q21" s="160" t="s">
        <v>18</v>
      </c>
    </row>
    <row r="22" spans="1:22" ht="18" customHeight="1">
      <c r="O22" s="18" t="s">
        <v>19</v>
      </c>
      <c r="P22" s="161"/>
      <c r="Q22" s="161"/>
      <c r="S22" s="157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8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9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2"/>
      <c r="P27" s="162"/>
      <c r="Q27" s="162"/>
    </row>
    <row r="28" spans="1:22" ht="19.899999999999999" customHeight="1">
      <c r="O28" s="162"/>
      <c r="P28" s="162"/>
      <c r="Q28" s="162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0" t="s">
        <v>21</v>
      </c>
    </row>
    <row r="41" spans="15:22" ht="19.899999999999999" customHeight="1">
      <c r="T41" s="161"/>
    </row>
    <row r="42" spans="15:22" ht="64.900000000000006" customHeight="1">
      <c r="T42" s="14"/>
    </row>
    <row r="46" spans="15:22" ht="21" customHeight="1">
      <c r="O46" s="160" t="s">
        <v>21</v>
      </c>
      <c r="P46" s="160" t="s">
        <v>21</v>
      </c>
      <c r="Q46" s="160" t="s">
        <v>21</v>
      </c>
      <c r="T46" s="160" t="s">
        <v>22</v>
      </c>
      <c r="U46" s="160" t="s">
        <v>13</v>
      </c>
      <c r="V46" s="160" t="s">
        <v>21</v>
      </c>
    </row>
    <row r="47" spans="15:22" ht="21" customHeight="1">
      <c r="O47" s="161"/>
      <c r="P47" s="161"/>
      <c r="Q47" s="161"/>
      <c r="T47" s="159"/>
      <c r="U47" s="159"/>
      <c r="V47" s="161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0" t="s">
        <v>21</v>
      </c>
      <c r="P50" s="160" t="s">
        <v>21</v>
      </c>
      <c r="Q50" s="160" t="s">
        <v>21</v>
      </c>
      <c r="T50" s="160" t="s">
        <v>13</v>
      </c>
      <c r="U50" s="160" t="s">
        <v>22</v>
      </c>
      <c r="V50" s="160" t="s">
        <v>21</v>
      </c>
    </row>
    <row r="51" spans="15:22" ht="21" customHeight="1">
      <c r="O51" s="161"/>
      <c r="P51" s="161"/>
      <c r="Q51" s="161"/>
      <c r="T51" s="159"/>
      <c r="U51" s="159"/>
      <c r="V51" s="161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O9" sqref="O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100</v>
      </c>
      <c r="B1" s="100"/>
      <c r="C1" s="100"/>
      <c r="D1" s="100"/>
      <c r="E1" s="100"/>
      <c r="F1" s="100"/>
      <c r="G1" s="1"/>
      <c r="J1" s="128" t="str">
        <f>+MRS!J1</f>
        <v>DAESHIN PLANT</v>
      </c>
      <c r="K1" s="130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SAC2-DS-MRS-0191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46018</v>
      </c>
    </row>
    <row r="4" spans="1:18" ht="15.95" customHeight="1">
      <c r="A4" s="163" t="s">
        <v>2</v>
      </c>
      <c r="B4" s="164" t="s">
        <v>23</v>
      </c>
      <c r="C4" s="164"/>
      <c r="D4" s="163" t="s">
        <v>4</v>
      </c>
      <c r="E4" s="163"/>
      <c r="F4" s="163"/>
      <c r="G4" s="164" t="s">
        <v>5</v>
      </c>
      <c r="H4" s="163" t="s">
        <v>94</v>
      </c>
      <c r="I4" s="163" t="s">
        <v>24</v>
      </c>
      <c r="J4" s="163" t="s">
        <v>25</v>
      </c>
      <c r="K4" s="164" t="s">
        <v>7</v>
      </c>
    </row>
    <row r="5" spans="1:18" ht="15.95" customHeight="1">
      <c r="A5" s="163"/>
      <c r="B5" s="164"/>
      <c r="C5" s="164"/>
      <c r="D5" s="163"/>
      <c r="E5" s="163"/>
      <c r="F5" s="163"/>
      <c r="G5" s="164"/>
      <c r="H5" s="163"/>
      <c r="I5" s="163"/>
      <c r="J5" s="163"/>
      <c r="K5" s="164"/>
    </row>
    <row r="6" spans="1:18" ht="105" customHeight="1">
      <c r="A6" s="21">
        <f>+MRS!A6</f>
        <v>1</v>
      </c>
      <c r="B6" s="165" t="str">
        <f>MRS!B6</f>
        <v>Flat Bed Trailer</v>
      </c>
      <c r="C6" s="166"/>
      <c r="D6" s="167" t="str">
        <f>MRS!D6</f>
        <v>With Driver</v>
      </c>
      <c r="E6" s="168"/>
      <c r="F6" s="169"/>
      <c r="G6" s="103" t="str">
        <f>MRS!G6</f>
        <v>Month</v>
      </c>
      <c r="H6" s="103">
        <f>MRS!H6</f>
        <v>1</v>
      </c>
      <c r="I6" s="104">
        <f>MRS!I6</f>
        <v>13000</v>
      </c>
      <c r="J6" s="104">
        <f>MRS!J6</f>
        <v>13000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70"/>
      <c r="C8" s="171"/>
      <c r="D8" s="172"/>
      <c r="E8" s="173"/>
      <c r="F8" s="174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70"/>
      <c r="C9" s="171"/>
      <c r="D9" s="172"/>
      <c r="E9" s="173"/>
      <c r="F9" s="174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70"/>
      <c r="C10" s="171"/>
      <c r="D10" s="172"/>
      <c r="E10" s="173"/>
      <c r="F10" s="174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70"/>
      <c r="C11" s="171"/>
      <c r="D11" s="172"/>
      <c r="E11" s="173"/>
      <c r="F11" s="174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70"/>
      <c r="C12" s="171"/>
      <c r="D12" s="172"/>
      <c r="E12" s="173"/>
      <c r="F12" s="174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70"/>
      <c r="C13" s="171"/>
      <c r="D13" s="172"/>
      <c r="E13" s="173"/>
      <c r="F13" s="174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70"/>
      <c r="C14" s="171"/>
      <c r="D14" s="172"/>
      <c r="E14" s="173"/>
      <c r="F14" s="174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70"/>
      <c r="C15" s="171"/>
      <c r="D15" s="172"/>
      <c r="E15" s="173"/>
      <c r="F15" s="174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70"/>
      <c r="C16" s="171"/>
      <c r="D16" s="172"/>
      <c r="E16" s="173"/>
      <c r="F16" s="174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70"/>
      <c r="C17" s="171"/>
      <c r="D17" s="172"/>
      <c r="E17" s="173"/>
      <c r="F17" s="174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F56" sqref="F5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1.42578125" style="26" bestFit="1" customWidth="1"/>
    <col min="7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102</v>
      </c>
      <c r="D9" s="39"/>
      <c r="E9" s="39"/>
    </row>
    <row r="10" spans="2:13" s="39" customFormat="1">
      <c r="B10" s="72"/>
      <c r="C10" s="39" t="s">
        <v>33</v>
      </c>
      <c r="D10" s="76" t="s">
        <v>104</v>
      </c>
      <c r="J10" s="39" t="s">
        <v>34</v>
      </c>
      <c r="K10" s="176">
        <f>MRS!L3</f>
        <v>46018</v>
      </c>
      <c r="L10" s="177"/>
      <c r="M10" s="177"/>
    </row>
    <row r="11" spans="2:13" s="39" customFormat="1">
      <c r="B11" s="72"/>
      <c r="C11" s="75" t="s">
        <v>35</v>
      </c>
      <c r="D11" s="76" t="s">
        <v>114</v>
      </c>
      <c r="J11" s="39" t="s">
        <v>36</v>
      </c>
      <c r="K11" s="178" t="str">
        <f>SUBSTITUTE(SUBSTITUTE(+MRS!A3,"  MRS No : ",""),"-MRS","-PO")</f>
        <v>SAC2-DS-PO-0191</v>
      </c>
      <c r="L11" s="178"/>
      <c r="M11" s="178"/>
    </row>
    <row r="12" spans="2:13" s="39" customFormat="1">
      <c r="B12" s="72"/>
      <c r="C12" s="75" t="s">
        <v>37</v>
      </c>
      <c r="D12" s="39" t="s">
        <v>103</v>
      </c>
      <c r="J12" s="39" t="s">
        <v>38</v>
      </c>
    </row>
    <row r="13" spans="2:13" s="39" customFormat="1">
      <c r="B13" s="72"/>
      <c r="C13" s="77"/>
      <c r="D13" s="76" t="s">
        <v>107</v>
      </c>
      <c r="J13" s="39" t="s">
        <v>39</v>
      </c>
    </row>
    <row r="14" spans="2:13" s="39" customFormat="1">
      <c r="B14" s="72"/>
      <c r="C14" s="77" t="s">
        <v>106</v>
      </c>
      <c r="J14" s="39" t="s">
        <v>40</v>
      </c>
      <c r="K14" s="39" t="s">
        <v>131</v>
      </c>
    </row>
    <row r="15" spans="2:13" s="39" customFormat="1">
      <c r="B15" s="72"/>
      <c r="C15" s="77" t="s">
        <v>105</v>
      </c>
      <c r="J15" s="39" t="s">
        <v>41</v>
      </c>
      <c r="K15" s="78">
        <v>46014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9" t="s">
        <v>42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</row>
    <row r="19" spans="2:13" ht="12" customHeight="1"/>
    <row r="20" spans="2:13" s="31" customFormat="1" ht="12" customHeight="1">
      <c r="B20" s="180" t="s">
        <v>43</v>
      </c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</row>
    <row r="21" spans="2:13" s="31" customFormat="1" ht="12" customHeight="1">
      <c r="B21" s="180" t="s">
        <v>44</v>
      </c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</row>
    <row r="22" spans="2:13" s="31" customFormat="1" ht="12" customHeight="1">
      <c r="B22" s="180" t="s">
        <v>45</v>
      </c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</row>
    <row r="23" spans="2:13" ht="6.95" customHeight="1"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2:13" ht="6.95" customHeight="1"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</row>
    <row r="25" spans="2:13" s="32" customFormat="1" ht="15" customHeight="1">
      <c r="B25" s="32">
        <v>1</v>
      </c>
      <c r="C25" s="32" t="s">
        <v>46</v>
      </c>
    </row>
    <row r="26" spans="2:13" s="39" customFormat="1" ht="12" customHeight="1">
      <c r="B26" s="73"/>
      <c r="C26" s="76" t="s">
        <v>132</v>
      </c>
      <c r="M26" s="79" t="s">
        <v>47</v>
      </c>
    </row>
    <row r="27" spans="2:13" ht="11.1" customHeight="1">
      <c r="B27" s="32"/>
    </row>
    <row r="28" spans="2:13" ht="15" customHeight="1">
      <c r="B28" s="32">
        <v>2</v>
      </c>
      <c r="C28" s="32" t="s">
        <v>48</v>
      </c>
    </row>
    <row r="29" spans="2:13" ht="12" customHeight="1">
      <c r="B29" s="32"/>
      <c r="C29" s="26" t="s">
        <v>49</v>
      </c>
      <c r="E29" s="26" t="s">
        <v>50</v>
      </c>
      <c r="F29" s="183" t="s">
        <v>108</v>
      </c>
      <c r="G29" s="183"/>
      <c r="H29" s="33"/>
      <c r="M29" s="34"/>
    </row>
    <row r="30" spans="2:13" ht="12" customHeight="1">
      <c r="B30" s="32"/>
      <c r="C30" s="26" t="s">
        <v>51</v>
      </c>
      <c r="E30" s="26" t="s">
        <v>50</v>
      </c>
      <c r="F30" s="183"/>
      <c r="G30" s="183"/>
    </row>
    <row r="31" spans="2:13" ht="12" customHeight="1">
      <c r="B31" s="32"/>
      <c r="C31" s="26" t="s">
        <v>52</v>
      </c>
      <c r="D31" s="35"/>
      <c r="E31" s="26" t="s">
        <v>50</v>
      </c>
      <c r="F31" s="183"/>
      <c r="G31" s="183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53</v>
      </c>
    </row>
    <row r="34" spans="2:13" ht="12" customHeight="1">
      <c r="B34" s="32"/>
      <c r="C34" s="22" t="s">
        <v>54</v>
      </c>
    </row>
    <row r="35" spans="2:13" ht="12" customHeight="1">
      <c r="B35" s="32"/>
      <c r="C35" s="22" t="s">
        <v>55</v>
      </c>
    </row>
    <row r="36" spans="2:13" ht="12" customHeight="1">
      <c r="B36" s="32"/>
      <c r="C36" s="22" t="s">
        <v>56</v>
      </c>
    </row>
    <row r="37" spans="2:13" ht="11.1" customHeight="1">
      <c r="B37" s="32"/>
    </row>
    <row r="38" spans="2:13" ht="15" customHeight="1">
      <c r="B38" s="32">
        <v>4</v>
      </c>
      <c r="C38" s="32" t="s">
        <v>57</v>
      </c>
    </row>
    <row r="39" spans="2:13" ht="12" customHeight="1">
      <c r="B39" s="32"/>
      <c r="C39" s="26" t="s">
        <v>58</v>
      </c>
    </row>
    <row r="40" spans="2:13" ht="11.1" customHeight="1">
      <c r="B40" s="32"/>
    </row>
    <row r="41" spans="2:13" ht="15" customHeight="1">
      <c r="B41" s="32">
        <v>5</v>
      </c>
      <c r="C41" s="32" t="s">
        <v>59</v>
      </c>
    </row>
    <row r="42" spans="2:13" ht="12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65</v>
      </c>
    </row>
    <row r="49" spans="2:16" s="39" customFormat="1" ht="12" customHeight="1">
      <c r="B49" s="80" t="s">
        <v>66</v>
      </c>
      <c r="C49" s="81" t="s">
        <v>113</v>
      </c>
      <c r="P49" s="82"/>
    </row>
    <row r="50" spans="2:16" s="83" customFormat="1" ht="12" customHeight="1">
      <c r="B50" s="84" t="s">
        <v>66</v>
      </c>
      <c r="C50" s="81" t="s">
        <v>96</v>
      </c>
    </row>
    <row r="51" spans="2:16" s="83" customFormat="1" ht="12" customHeight="1">
      <c r="B51" s="84" t="s">
        <v>66</v>
      </c>
      <c r="C51" s="81" t="s">
        <v>95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115</v>
      </c>
    </row>
    <row r="54" spans="2:16" ht="12" customHeight="1">
      <c r="B54" s="84" t="s">
        <v>66</v>
      </c>
      <c r="C54" s="126" t="s">
        <v>116</v>
      </c>
      <c r="F54" s="26" t="s">
        <v>124</v>
      </c>
      <c r="P54" s="26" t="str">
        <f>UPPER(F54)</f>
        <v>UNITED TECHNOLOGY CONTRACTING CO. LTD.</v>
      </c>
    </row>
    <row r="55" spans="2:16" ht="12" customHeight="1">
      <c r="B55" s="84" t="s">
        <v>66</v>
      </c>
      <c r="C55" s="126" t="s">
        <v>117</v>
      </c>
      <c r="F55" s="127" t="s">
        <v>133</v>
      </c>
    </row>
    <row r="56" spans="2:16" ht="12" customHeight="1">
      <c r="B56" s="84" t="s">
        <v>66</v>
      </c>
      <c r="C56" s="126" t="s">
        <v>118</v>
      </c>
      <c r="F56" s="127" t="s">
        <v>125</v>
      </c>
    </row>
    <row r="57" spans="2:16" ht="12" customHeight="1">
      <c r="B57" s="84" t="s">
        <v>66</v>
      </c>
      <c r="C57" s="126" t="s">
        <v>119</v>
      </c>
      <c r="F57" s="26" t="s">
        <v>126</v>
      </c>
    </row>
    <row r="58" spans="2:16" ht="12" customHeight="1">
      <c r="B58" s="84" t="s">
        <v>66</v>
      </c>
      <c r="C58" s="126" t="s">
        <v>120</v>
      </c>
      <c r="F58" s="26" t="s">
        <v>127</v>
      </c>
    </row>
    <row r="59" spans="2:16" ht="12" customHeight="1">
      <c r="B59" s="84" t="s">
        <v>66</v>
      </c>
      <c r="C59" s="126" t="s">
        <v>121</v>
      </c>
      <c r="F59" s="26" t="s">
        <v>122</v>
      </c>
    </row>
    <row r="60" spans="2:16" ht="12" customHeight="1">
      <c r="B60" s="84"/>
      <c r="C60" s="126" t="s">
        <v>123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67</v>
      </c>
      <c r="J64" s="32" t="s">
        <v>68</v>
      </c>
    </row>
    <row r="65" spans="1:13" ht="45.75" customHeight="1"/>
    <row r="66" spans="1:13" ht="18" customHeight="1">
      <c r="B66" s="26" t="s">
        <v>69</v>
      </c>
      <c r="J66" s="26" t="s">
        <v>69</v>
      </c>
    </row>
    <row r="67" spans="1:13" ht="18" customHeight="1">
      <c r="B67" s="26" t="s">
        <v>70</v>
      </c>
      <c r="J67" s="26" t="s">
        <v>71</v>
      </c>
      <c r="K67" s="22" t="str">
        <f>D12</f>
        <v>Muhammed Huzaifa</v>
      </c>
    </row>
    <row r="68" spans="1:13" ht="18" customHeight="1">
      <c r="B68" s="26" t="s">
        <v>72</v>
      </c>
      <c r="J68" s="26" t="s">
        <v>73</v>
      </c>
      <c r="K68" s="22" t="s">
        <v>99</v>
      </c>
    </row>
    <row r="69" spans="1:13" ht="15" customHeight="1">
      <c r="B69" s="26" t="s">
        <v>74</v>
      </c>
      <c r="J69" s="26" t="s">
        <v>75</v>
      </c>
    </row>
    <row r="70" spans="1:13" s="28" customFormat="1" ht="15" customHeight="1">
      <c r="B70" s="25" t="s">
        <v>76</v>
      </c>
      <c r="J70" s="124" t="str">
        <f>C9</f>
        <v>UTCC(United Technology Contracting Co. Ltd.)</v>
      </c>
    </row>
    <row r="71" spans="1:13" ht="27.95" customHeight="1">
      <c r="A71" s="175" t="s">
        <v>77</v>
      </c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1" man="1"/>
  </colBreaks>
  <ignoredErrors>
    <ignoredError sqref="D10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SAC2-DS-PO-0191</v>
      </c>
      <c r="C2" s="186" t="s">
        <v>79</v>
      </c>
      <c r="D2" s="186"/>
      <c r="E2" s="186"/>
      <c r="F2" s="186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46018</v>
      </c>
      <c r="C3" s="51"/>
      <c r="D3" s="52"/>
      <c r="E3" s="187" t="s">
        <v>81</v>
      </c>
      <c r="F3" s="187"/>
      <c r="G3" s="187"/>
      <c r="H3" s="187"/>
      <c r="I3" s="53"/>
    </row>
    <row r="4" spans="1:13" s="55" customFormat="1" ht="28.5" customHeight="1" thickTop="1">
      <c r="A4" s="188" t="s">
        <v>82</v>
      </c>
      <c r="B4" s="190" t="s">
        <v>83</v>
      </c>
      <c r="C4" s="191"/>
      <c r="D4" s="194" t="s">
        <v>84</v>
      </c>
      <c r="E4" s="194" t="s">
        <v>85</v>
      </c>
      <c r="F4" s="196" t="str">
        <f>'PO 1st page'!C9</f>
        <v>UTCC(United Technology Contracting Co. Ltd.)</v>
      </c>
      <c r="G4" s="197"/>
      <c r="H4" s="198" t="s">
        <v>86</v>
      </c>
      <c r="K4" s="56"/>
      <c r="L4" s="56"/>
      <c r="M4" s="56"/>
    </row>
    <row r="5" spans="1:13" s="55" customFormat="1" ht="21.95" customHeight="1">
      <c r="A5" s="189"/>
      <c r="B5" s="192"/>
      <c r="C5" s="193"/>
      <c r="D5" s="195"/>
      <c r="E5" s="195"/>
      <c r="F5" s="57" t="s">
        <v>87</v>
      </c>
      <c r="G5" s="57" t="s">
        <v>52</v>
      </c>
      <c r="H5" s="199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0" t="str">
        <f>+'MRS LIST'!B6</f>
        <v>Flat Bed Trailer</v>
      </c>
      <c r="C6" s="201"/>
      <c r="D6" s="86" t="str">
        <f>+'MRS LIST'!G6</f>
        <v>Month</v>
      </c>
      <c r="E6" s="87">
        <f>+'MRS LIST'!H6</f>
        <v>1</v>
      </c>
      <c r="F6" s="88">
        <f>+'MRS LIST'!I6</f>
        <v>13000</v>
      </c>
      <c r="G6" s="89">
        <f>+'MRS LIST'!J6</f>
        <v>13000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0"/>
      <c r="C7" s="201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4"/>
      <c r="C8" s="185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4"/>
      <c r="C9" s="185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4"/>
      <c r="C10" s="185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4"/>
      <c r="C11" s="185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4"/>
      <c r="C12" s="185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4"/>
      <c r="C13" s="185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4"/>
      <c r="C14" s="185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4"/>
      <c r="C15" s="185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4"/>
      <c r="C16" s="185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4"/>
      <c r="C17" s="185"/>
      <c r="D17" s="94"/>
      <c r="E17" s="95"/>
      <c r="F17" s="96"/>
      <c r="G17" s="97"/>
      <c r="H17" s="98"/>
    </row>
    <row r="18" spans="1:13" s="55" customFormat="1" ht="23.1" customHeight="1">
      <c r="A18" s="202" t="s">
        <v>88</v>
      </c>
      <c r="B18" s="203"/>
      <c r="C18" s="203"/>
      <c r="D18" s="203"/>
      <c r="E18" s="203"/>
      <c r="F18" s="203"/>
      <c r="G18" s="58">
        <f>SUM(G6:G17)</f>
        <v>13000</v>
      </c>
      <c r="H18" s="59"/>
    </row>
    <row r="19" spans="1:13" s="55" customFormat="1" ht="23.1" customHeight="1">
      <c r="A19" s="202" t="s">
        <v>51</v>
      </c>
      <c r="B19" s="203"/>
      <c r="C19" s="203"/>
      <c r="D19" s="203"/>
      <c r="E19" s="203"/>
      <c r="F19" s="203"/>
      <c r="G19" s="58">
        <f>+G18*0.15</f>
        <v>1950</v>
      </c>
      <c r="H19" s="59"/>
    </row>
    <row r="20" spans="1:13" s="55" customFormat="1" ht="24.95" customHeight="1" thickBot="1">
      <c r="A20" s="204" t="s">
        <v>89</v>
      </c>
      <c r="B20" s="205"/>
      <c r="C20" s="205"/>
      <c r="D20" s="205"/>
      <c r="E20" s="205"/>
      <c r="F20" s="205"/>
      <c r="G20" s="60">
        <f>G19+G18</f>
        <v>14950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UT-EQUO-25-3700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5" t="s">
        <v>91</v>
      </c>
      <c r="B24" s="175"/>
      <c r="C24" s="175"/>
      <c r="D24" s="175"/>
      <c r="E24" s="175"/>
      <c r="F24" s="175"/>
      <c r="G24" s="175"/>
      <c r="H24" s="175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2025-12-27T12:19:24Z</cp:lastPrinted>
  <dcterms:created xsi:type="dcterms:W3CDTF">2024-10-20T11:50:19Z</dcterms:created>
  <dcterms:modified xsi:type="dcterms:W3CDTF">2025-12-27T12:19:26Z</dcterms:modified>
</cp:coreProperties>
</file>