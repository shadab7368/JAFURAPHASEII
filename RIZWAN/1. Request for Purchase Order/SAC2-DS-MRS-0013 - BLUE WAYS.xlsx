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C19A84C6-0326-4525-9918-0869293F8D81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4" l="1"/>
  <c r="G10" i="4"/>
  <c r="G9" i="4"/>
  <c r="J11" i="2"/>
  <c r="I11" i="2"/>
  <c r="F11" i="4" s="1"/>
  <c r="H11" i="2"/>
  <c r="E11" i="4" s="1"/>
  <c r="G11" i="2"/>
  <c r="D11" i="4" s="1"/>
  <c r="D11" i="2"/>
  <c r="B11" i="2"/>
  <c r="B11" i="4" s="1"/>
  <c r="J10" i="2"/>
  <c r="I10" i="2"/>
  <c r="F10" i="4" s="1"/>
  <c r="H10" i="2"/>
  <c r="E10" i="4" s="1"/>
  <c r="G10" i="2"/>
  <c r="D10" i="4" s="1"/>
  <c r="D10" i="2"/>
  <c r="B10" i="2"/>
  <c r="J9" i="2"/>
  <c r="I9" i="2"/>
  <c r="F9" i="4" s="1"/>
  <c r="H9" i="2"/>
  <c r="G9" i="2"/>
  <c r="D9" i="4" s="1"/>
  <c r="D9" i="2"/>
  <c r="B9" i="2"/>
  <c r="B9" i="4" s="1"/>
  <c r="J8" i="2"/>
  <c r="I8" i="2"/>
  <c r="H8" i="2"/>
  <c r="E8" i="4" s="1"/>
  <c r="G8" i="2"/>
  <c r="D8" i="4" s="1"/>
  <c r="D8" i="2"/>
  <c r="B8" i="2"/>
  <c r="B8" i="4" s="1"/>
  <c r="E9" i="4"/>
  <c r="F8" i="4"/>
  <c r="F7" i="4"/>
  <c r="E7" i="4"/>
  <c r="D7" i="4"/>
  <c r="B10" i="4"/>
  <c r="B7" i="4"/>
  <c r="F30" i="3"/>
  <c r="F31" i="3" s="1"/>
  <c r="G8" i="4"/>
  <c r="G7" i="4"/>
  <c r="F29" i="3"/>
  <c r="J11" i="1"/>
  <c r="J10" i="1"/>
  <c r="J9" i="1"/>
  <c r="J8" i="1"/>
  <c r="J7" i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<sst xmlns="http://schemas.openxmlformats.org/spreadsheetml/2006/main" count="170" uniqueCount="126">
  <si>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</si>
  <si>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</si>
  <si>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</si>
  <si>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</si>
  <si>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</si>
  <si>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</si>
  <si>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</si>
  <si>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</si>
  <si>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</si>
  <si>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</si>
  <si>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</si>
  <si>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</si>
  <si>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</si>
  <si>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</si>
  <si>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</si>
  <si>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</si>
  <si>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</si>
  <si>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</si>
  <si>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</si>
  <si>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</si>
  <si>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</si>
  <si>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</si>
  <si>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</si>
  <si>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</si>
  <si>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</si>
  <si>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</si>
  <si>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</si>
  <si>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</si>
  <si>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</si>
  <si>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</si>
  <si>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</si>
  <si>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</si>
  <si>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</si>
  <si>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</si>
  <si>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</si>
  <si>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</si>
  <si>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</si>
  <si>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</si>
  <si>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</si>
  <si>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</si>
  <si>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</si>
  <si>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</si>
  <si>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</si>
  <si>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</si>
  <si>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</si>
  <si>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</si>
  <si>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</si>
  <si>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</si>
  <si>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</si>
  <si>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</si>
  <si>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</si>
  <si>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</si>
  <si>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</si>
  <si>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</si>
  <si>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</si>
  <si>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</si>
  <si>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</si>
  <si>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</si>
  <si>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</si>
  <si>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</si>
  <si>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</si>
  <si>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</si>
  <si>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</si>
  <si>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</si>
  <si>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</si>
  <si>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</si>
  <si>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</si>
  <si>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</si>
  <si>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</si>
  <si>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</si>
  <si>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</si>
  <si>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</si>
  <si>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</si>
  <si>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</si>
  <si>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</si>
  <si>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</si>
  <si>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</si>
  <si>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</si>
  <si>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</si>
  <si>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</si>
  <si>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</si>
  <si>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</si>
  <si>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</si>
  <si>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</si>
  <si>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</si>
  <si>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</si>
  <si>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</si>
  <si>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</si>
  <si>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</si>
  <si>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</si>
  <si>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</si>
  <si>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</si>
  <si>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</si>
  <si>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</si>
  <si>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</si>
  <si>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</si>
  <si>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</si>
  <si>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</si>
  <si>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</si>
  <si>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</si>
  <si>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</si>
  <si>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Aramco Certified</t>
  </si>
  <si>
    <t>Water Dispenser</t>
  </si>
  <si>
    <t>EA</t>
  </si>
  <si>
    <t>BWCT</t>
  </si>
  <si>
    <t>Kettle</t>
  </si>
  <si>
    <t>Tea Kettle</t>
  </si>
  <si>
    <t>Monitor</t>
  </si>
  <si>
    <t>Dell 24 inch</t>
  </si>
  <si>
    <t>PC</t>
  </si>
  <si>
    <t>Dell PC Vostro 8 gb</t>
  </si>
  <si>
    <t>RAM</t>
  </si>
  <si>
    <t>RAM LAXAR 32GB</t>
  </si>
  <si>
    <t>92 LTR</t>
  </si>
  <si>
    <t>Office Materials &amp; Consumables</t>
  </si>
  <si>
    <t>Refrigerator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</si>
  <si>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-MRS-0013</t>
    </r>
  </si>
  <si>
    <t>Subcontract name ()</t>
  </si>
  <si>
    <t>QT-BWC-2024-320</t>
  </si>
  <si>
    <t>BWCT(Blue Arabian Ways Co. for Trading)</t>
  </si>
  <si>
    <t>311461390400003</t>
  </si>
  <si>
    <t>Mustafa Mohammed Ali</t>
  </si>
  <si>
    <t>+966 56 431 5378 / Email:bluearabiaways@gmail.com</t>
  </si>
  <si>
    <t>Floor No. 2 Office No. 11, Dammam Al Anud 32426 KSA</t>
  </si>
  <si>
    <t>Mobile : +966 56 431 5378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</si>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</sst>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4" sqref="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43" t="s">
        <v>117</v>
      </c>
      <c r="K2" s="144"/>
      <c r="L2" s="145"/>
    </row>
    <row r="3" spans="1:19" ht="20.100000000000001" customHeight="1">
      <c r="A3" s="3" t="s">
        <v>116</v>
      </c>
      <c r="B3" s="101"/>
      <c r="C3" s="101"/>
      <c r="D3" s="101"/>
      <c r="E3" s="146">
        <f>+L3</f>
        <v>45652</v>
      </c>
      <c r="F3" s="146"/>
      <c r="G3" s="146"/>
      <c r="H3" s="146"/>
      <c r="I3" s="146"/>
      <c r="J3" s="101"/>
      <c r="K3" s="101"/>
      <c r="L3" s="122">
        <v>45652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97</v>
      </c>
      <c r="J4" s="147" t="s">
        <v>98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102</v>
      </c>
      <c r="C6" s="129"/>
      <c r="D6" s="130" t="s">
        <v>101</v>
      </c>
      <c r="E6" s="131"/>
      <c r="F6" s="132"/>
      <c r="G6" s="111" t="s">
        <v>103</v>
      </c>
      <c r="H6" s="112">
        <v>1</v>
      </c>
      <c r="I6" s="113">
        <v>420</v>
      </c>
      <c r="J6" s="113">
        <f>H6*I6</f>
        <v>420</v>
      </c>
      <c r="K6" s="114" t="s">
        <v>104</v>
      </c>
      <c r="L6" s="115"/>
      <c r="S6" s="106"/>
    </row>
    <row r="7" spans="1:19" ht="22.5" customHeight="1">
      <c r="A7" s="5">
        <f t="shared" si="0"/>
        <v>2</v>
      </c>
      <c r="B7" s="128" t="s">
        <v>105</v>
      </c>
      <c r="C7" s="129"/>
      <c r="D7" s="139" t="s">
        <v>106</v>
      </c>
      <c r="E7" s="131"/>
      <c r="F7" s="132"/>
      <c r="G7" s="111" t="s">
        <v>103</v>
      </c>
      <c r="H7" s="112">
        <v>1</v>
      </c>
      <c r="I7" s="113">
        <v>48.75</v>
      </c>
      <c r="J7" s="113">
        <f t="shared" ref="J7:J11" si="1">H7*I7</f>
        <v>48.75</v>
      </c>
      <c r="K7" s="114" t="s">
        <v>104</v>
      </c>
      <c r="L7" s="115"/>
      <c r="S7" s="106"/>
    </row>
    <row r="8" spans="1:19" ht="22.5" customHeight="1">
      <c r="A8" s="5">
        <f t="shared" si="0"/>
        <v>3</v>
      </c>
      <c r="B8" s="128" t="s">
        <v>107</v>
      </c>
      <c r="C8" s="129"/>
      <c r="D8" s="130" t="s">
        <v>108</v>
      </c>
      <c r="E8" s="131"/>
      <c r="F8" s="132"/>
      <c r="G8" s="111" t="s">
        <v>103</v>
      </c>
      <c r="H8" s="112">
        <v>2</v>
      </c>
      <c r="I8" s="113">
        <v>437.5</v>
      </c>
      <c r="J8" s="113">
        <f t="shared" si="1"/>
        <v>875</v>
      </c>
      <c r="K8" s="114" t="s">
        <v>104</v>
      </c>
      <c r="L8" s="115"/>
      <c r="S8" s="106"/>
    </row>
    <row r="9" spans="1:19" ht="22.5" customHeight="1">
      <c r="A9" s="5">
        <f t="shared" si="0"/>
        <v>4</v>
      </c>
      <c r="B9" s="128" t="s">
        <v>109</v>
      </c>
      <c r="C9" s="129"/>
      <c r="D9" s="130" t="s">
        <v>110</v>
      </c>
      <c r="E9" s="131"/>
      <c r="F9" s="132"/>
      <c r="G9" s="111" t="s">
        <v>103</v>
      </c>
      <c r="H9" s="112">
        <v>2</v>
      </c>
      <c r="I9" s="113">
        <v>1920</v>
      </c>
      <c r="J9" s="113">
        <f t="shared" si="1"/>
        <v>3840</v>
      </c>
      <c r="K9" s="114" t="s">
        <v>104</v>
      </c>
      <c r="L9" s="115"/>
      <c r="S9" s="106"/>
    </row>
    <row r="10" spans="1:19" ht="22.5" customHeight="1">
      <c r="A10" s="5">
        <f t="shared" si="0"/>
        <v>5</v>
      </c>
      <c r="B10" s="137" t="s">
        <v>111</v>
      </c>
      <c r="C10" s="137"/>
      <c r="D10" s="138" t="s">
        <v>112</v>
      </c>
      <c r="E10" s="138"/>
      <c r="F10" s="138"/>
      <c r="G10" s="111" t="s">
        <v>103</v>
      </c>
      <c r="H10" s="112">
        <v>2</v>
      </c>
      <c r="I10" s="116">
        <v>293</v>
      </c>
      <c r="J10" s="113">
        <f t="shared" si="1"/>
        <v>586</v>
      </c>
      <c r="K10" s="114" t="s">
        <v>104</v>
      </c>
      <c r="L10" s="111"/>
      <c r="S10" s="106"/>
    </row>
    <row r="11" spans="1:19" ht="22.5" customHeight="1">
      <c r="A11" s="5">
        <f t="shared" si="0"/>
        <v>6</v>
      </c>
      <c r="B11" s="128" t="s">
        <v>115</v>
      </c>
      <c r="C11" s="129"/>
      <c r="D11" s="130" t="s">
        <v>113</v>
      </c>
      <c r="E11" s="131"/>
      <c r="F11" s="132"/>
      <c r="G11" s="111" t="s">
        <v>103</v>
      </c>
      <c r="H11" s="112">
        <v>3</v>
      </c>
      <c r="I11" s="113">
        <v>575</v>
      </c>
      <c r="J11" s="113">
        <f t="shared" si="1"/>
        <v>1725</v>
      </c>
      <c r="K11" s="114" t="s">
        <v>104</v>
      </c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7494.75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3" t="str">
        <f>+MRS!J2</f>
        <v>Subcontract name ()</v>
      </c>
      <c r="K2" s="145"/>
    </row>
    <row r="3" spans="1:18" ht="24.95" customHeight="1">
      <c r="A3" s="3" t="str">
        <f>+MRS!A3</f>
        <v xml:space="preserve">  MRS No : SAC2-DS-MRS-0013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45652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Water Dispenser</v>
      </c>
      <c r="C6" s="165"/>
      <c r="D6" s="166" t="str">
        <f>MRS!D6</f>
        <v>Aramco Certified</v>
      </c>
      <c r="E6" s="167"/>
      <c r="F6" s="168"/>
      <c r="G6" s="103" t="str">
        <f>MRS!G6</f>
        <v>EA</v>
      </c>
      <c r="H6" s="103">
        <f>MRS!H6</f>
        <v>1</v>
      </c>
      <c r="I6" s="104">
        <f>MRS!I6</f>
        <v>420</v>
      </c>
      <c r="J6" s="104">
        <f>MRS!J6</f>
        <v>420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 t="str">
        <f>MRS!B7</f>
        <v>Kettle</v>
      </c>
      <c r="C7" s="165"/>
      <c r="D7" s="166" t="str">
        <f>MRS!D7</f>
        <v>Tea Kettle</v>
      </c>
      <c r="E7" s="167"/>
      <c r="F7" s="168"/>
      <c r="G7" s="103" t="str">
        <f>MRS!G7</f>
        <v>EA</v>
      </c>
      <c r="H7" s="103">
        <f>MRS!H7</f>
        <v>1</v>
      </c>
      <c r="I7" s="104">
        <f>MRS!I7</f>
        <v>48.75</v>
      </c>
      <c r="J7" s="104">
        <f>MRS!J7</f>
        <v>48.75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 t="str">
        <f>MRS!B8</f>
        <v>Monitor</v>
      </c>
      <c r="C8" s="165"/>
      <c r="D8" s="166" t="str">
        <f>MRS!D8</f>
        <v>Dell 24 inch</v>
      </c>
      <c r="E8" s="167"/>
      <c r="F8" s="168"/>
      <c r="G8" s="103" t="str">
        <f>MRS!G8</f>
        <v>EA</v>
      </c>
      <c r="H8" s="103">
        <f>MRS!H8</f>
        <v>2</v>
      </c>
      <c r="I8" s="104">
        <f>MRS!I8</f>
        <v>437.5</v>
      </c>
      <c r="J8" s="104">
        <f>MRS!J8</f>
        <v>875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 t="str">
        <f>MRS!B9</f>
        <v>PC</v>
      </c>
      <c r="C9" s="165"/>
      <c r="D9" s="166" t="str">
        <f>MRS!D9</f>
        <v>Dell PC Vostro 8 gb</v>
      </c>
      <c r="E9" s="167"/>
      <c r="F9" s="168"/>
      <c r="G9" s="103" t="str">
        <f>MRS!G9</f>
        <v>EA</v>
      </c>
      <c r="H9" s="103">
        <f>MRS!H9</f>
        <v>2</v>
      </c>
      <c r="I9" s="104">
        <f>MRS!I9</f>
        <v>1920</v>
      </c>
      <c r="J9" s="104">
        <f>MRS!J9</f>
        <v>3840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 t="str">
        <f>MRS!B10</f>
        <v>RAM</v>
      </c>
      <c r="C10" s="165"/>
      <c r="D10" s="166" t="str">
        <f>MRS!D10</f>
        <v>RAM LAXAR 32GB</v>
      </c>
      <c r="E10" s="167"/>
      <c r="F10" s="168"/>
      <c r="G10" s="103" t="str">
        <f>MRS!G10</f>
        <v>EA</v>
      </c>
      <c r="H10" s="103">
        <f>MRS!H10</f>
        <v>2</v>
      </c>
      <c r="I10" s="104">
        <f>MRS!I10</f>
        <v>293</v>
      </c>
      <c r="J10" s="104">
        <f>MRS!J10</f>
        <v>586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 t="str">
        <f>MRS!B11</f>
        <v>Refrigerator</v>
      </c>
      <c r="C11" s="165"/>
      <c r="D11" s="166" t="str">
        <f>MRS!D11</f>
        <v>92 LTR</v>
      </c>
      <c r="E11" s="167"/>
      <c r="F11" s="168"/>
      <c r="G11" s="103" t="str">
        <f>MRS!G11</f>
        <v>EA</v>
      </c>
      <c r="H11" s="103">
        <f>MRS!H11</f>
        <v>3</v>
      </c>
      <c r="I11" s="104">
        <f>MRS!I11</f>
        <v>575</v>
      </c>
      <c r="J11" s="104">
        <f>MRS!J11</f>
        <v>1725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P25" sqref="P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119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72">
        <f>MRS!L3</f>
        <v>45652</v>
      </c>
      <c r="L10" s="173"/>
      <c r="M10" s="173"/>
    </row>
    <row r="11" spans="2:13" s="39" customFormat="1">
      <c r="B11" s="72"/>
      <c r="C11" s="75" t="s">
        <v>35</v>
      </c>
      <c r="D11" s="76" t="s">
        <v>120</v>
      </c>
      <c r="J11" s="39" t="s">
        <v>36</v>
      </c>
      <c r="K11" s="174" t="str">
        <f>SUBSTITUTE(SUBSTITUTE(+MRS!A3,"  MRS No : ",""),"-MRS","-PO")</f>
        <v>SAC2-DS-PO-0013</v>
      </c>
      <c r="L11" s="174"/>
      <c r="M11" s="174"/>
    </row>
    <row r="12" spans="2:13" s="39" customFormat="1">
      <c r="B12" s="72"/>
      <c r="C12" s="75" t="s">
        <v>37</v>
      </c>
      <c r="D12" s="39" t="s">
        <v>121</v>
      </c>
      <c r="J12" s="39" t="s">
        <v>38</v>
      </c>
    </row>
    <row r="13" spans="2:13" s="39" customFormat="1">
      <c r="B13" s="72"/>
      <c r="C13" s="77"/>
      <c r="D13" s="76" t="s">
        <v>122</v>
      </c>
      <c r="J13" s="39" t="s">
        <v>39</v>
      </c>
    </row>
    <row r="14" spans="2:13" s="39" customFormat="1">
      <c r="B14" s="72"/>
      <c r="C14" s="77" t="s">
        <v>123</v>
      </c>
      <c r="J14" s="39" t="s">
        <v>40</v>
      </c>
      <c r="K14" s="39" t="s">
        <v>118</v>
      </c>
    </row>
    <row r="15" spans="2:13" s="39" customFormat="1">
      <c r="B15" s="72"/>
      <c r="C15" s="77" t="s">
        <v>124</v>
      </c>
      <c r="J15" s="39" t="s">
        <v>41</v>
      </c>
      <c r="K15" s="78">
        <v>45633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114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>
        <f>MRS!J16</f>
        <v>7494.75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>
        <f>F29*15%</f>
        <v>1124.2124999999999</v>
      </c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>
        <f>+F29+F30</f>
        <v>8618.9624999999996</v>
      </c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Mustafa Mohammed Ali</v>
      </c>
    </row>
    <row r="60" spans="1:16" ht="18" customHeight="1">
      <c r="B60" s="26" t="s">
        <v>72</v>
      </c>
      <c r="J60" s="26" t="s">
        <v>73</v>
      </c>
      <c r="K60" s="22" t="s">
        <v>125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BWCT(Blue Arabian Ways Co. for Trading)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O14" sqref="O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SAC2-DS-PO-0013</v>
      </c>
      <c r="C2" s="189" t="s">
        <v>79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45652</v>
      </c>
      <c r="C3" s="51"/>
      <c r="D3" s="52"/>
      <c r="E3" s="190" t="s">
        <v>81</v>
      </c>
      <c r="F3" s="190"/>
      <c r="G3" s="190"/>
      <c r="H3" s="190"/>
      <c r="I3" s="53"/>
    </row>
    <row r="4" spans="1:13" s="55" customFormat="1" ht="28.5" customHeight="1" thickTop="1">
      <c r="A4" s="191" t="s">
        <v>82</v>
      </c>
      <c r="B4" s="193" t="s">
        <v>83</v>
      </c>
      <c r="C4" s="194"/>
      <c r="D4" s="197" t="s">
        <v>84</v>
      </c>
      <c r="E4" s="197" t="s">
        <v>85</v>
      </c>
      <c r="F4" s="199" t="str">
        <f>'PO 1st page'!C9</f>
        <v>BWCT(Blue Arabian Ways Co. for Trading)</v>
      </c>
      <c r="G4" s="200"/>
      <c r="H4" s="201" t="s">
        <v>86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87</v>
      </c>
      <c r="G5" s="57" t="s">
        <v>52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7" t="str">
        <f>+'MRS LIST'!B6</f>
        <v>Water Dispenser</v>
      </c>
      <c r="C6" s="188"/>
      <c r="D6" s="86" t="str">
        <f>+'MRS LIST'!G6</f>
        <v>EA</v>
      </c>
      <c r="E6" s="87">
        <f>+'MRS LIST'!H6</f>
        <v>1</v>
      </c>
      <c r="F6" s="88">
        <f>+'MRS LIST'!I6</f>
        <v>420</v>
      </c>
      <c r="G6" s="89">
        <f>+'MRS LIST'!J6</f>
        <v>420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7" t="str">
        <f>+'MRS LIST'!B7</f>
        <v>Kettle</v>
      </c>
      <c r="C7" s="188"/>
      <c r="D7" s="86" t="str">
        <f>+'MRS LIST'!G7</f>
        <v>EA</v>
      </c>
      <c r="E7" s="87">
        <f>+'MRS LIST'!H7</f>
        <v>1</v>
      </c>
      <c r="F7" s="88">
        <f>+'MRS LIST'!I7</f>
        <v>48.75</v>
      </c>
      <c r="G7" s="89">
        <f>+'MRS LIST'!J7</f>
        <v>48.75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 t="str">
        <f>+'MRS LIST'!B8</f>
        <v>Monitor</v>
      </c>
      <c r="C8" s="188"/>
      <c r="D8" s="86" t="str">
        <f>+'MRS LIST'!G8</f>
        <v>EA</v>
      </c>
      <c r="E8" s="87">
        <f>+'MRS LIST'!H8</f>
        <v>2</v>
      </c>
      <c r="F8" s="88">
        <f>+'MRS LIST'!I8</f>
        <v>437.5</v>
      </c>
      <c r="G8" s="89">
        <f>+'MRS LIST'!J8</f>
        <v>875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 t="str">
        <f>+'MRS LIST'!B9</f>
        <v>PC</v>
      </c>
      <c r="C9" s="188"/>
      <c r="D9" s="86" t="str">
        <f>+'MRS LIST'!G9</f>
        <v>EA</v>
      </c>
      <c r="E9" s="87">
        <f>+'MRS LIST'!H9</f>
        <v>2</v>
      </c>
      <c r="F9" s="88">
        <f>+'MRS LIST'!I9</f>
        <v>1920</v>
      </c>
      <c r="G9" s="89">
        <f>+'MRS LIST'!J9</f>
        <v>3840</v>
      </c>
      <c r="H9" s="98"/>
    </row>
    <row r="10" spans="1:13" s="55" customFormat="1" ht="32.1" customHeight="1">
      <c r="A10" s="93">
        <f t="shared" si="0"/>
        <v>5</v>
      </c>
      <c r="B10" s="187" t="str">
        <f>+'MRS LIST'!B10</f>
        <v>RAM</v>
      </c>
      <c r="C10" s="188"/>
      <c r="D10" s="86" t="str">
        <f>+'MRS LIST'!G10</f>
        <v>EA</v>
      </c>
      <c r="E10" s="87">
        <f>+'MRS LIST'!H10</f>
        <v>2</v>
      </c>
      <c r="F10" s="88">
        <f>+'MRS LIST'!I10</f>
        <v>293</v>
      </c>
      <c r="G10" s="89">
        <f>+'MRS LIST'!J10</f>
        <v>586</v>
      </c>
      <c r="H10" s="98"/>
    </row>
    <row r="11" spans="1:13" s="55" customFormat="1" ht="32.1" customHeight="1">
      <c r="A11" s="93">
        <f t="shared" si="0"/>
        <v>6</v>
      </c>
      <c r="B11" s="187" t="str">
        <f>+'MRS LIST'!B11</f>
        <v>Refrigerator</v>
      </c>
      <c r="C11" s="188"/>
      <c r="D11" s="86" t="str">
        <f>+'MRS LIST'!G11</f>
        <v>EA</v>
      </c>
      <c r="E11" s="87">
        <f>+'MRS LIST'!H11</f>
        <v>3</v>
      </c>
      <c r="F11" s="88">
        <f>+'MRS LIST'!I11</f>
        <v>575</v>
      </c>
      <c r="G11" s="89">
        <f>+'MRS LIST'!J11</f>
        <v>1725</v>
      </c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7494.75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1124.2124999999999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8618.9624999999996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QT-BWC-2024-320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2024-12-28T13:45:39Z</cp:lastPrinted>
  <dcterms:created xsi:type="dcterms:W3CDTF">2024-10-20T11:50:19Z</dcterms:created>
  <dcterms:modified xsi:type="dcterms:W3CDTF">2024-12-28T13:55:14Z</dcterms:modified>
</cp:coreProperties>
</file>