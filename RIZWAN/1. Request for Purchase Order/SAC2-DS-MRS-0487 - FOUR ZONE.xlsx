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1FEE5614-314B-4707-93C1-D38879389AA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C27" i="3"/>
  <c r="C26" i="3"/>
  <c r="E3" i="1"/>
  <c r="H7" i="4"/>
  <c r="F7" i="4"/>
  <c r="E7" i="4"/>
  <c r="D7" i="4"/>
  <c r="J7" i="1"/>
  <c r="G7" i="4" s="1"/>
  <c r="E6" i="4" l="1"/>
  <c r="F6" i="4"/>
  <c r="D6" i="4"/>
  <c r="B9" i="4"/>
  <c r="B8" i="4"/>
  <c r="J9" i="1"/>
  <c r="J8" i="1"/>
  <c r="P54" i="3" l="1"/>
  <c r="B6" i="4" l="1"/>
  <c r="H6" i="4"/>
  <c r="J8" i="2"/>
  <c r="I8" i="2"/>
  <c r="H8" i="2"/>
  <c r="G8" i="2"/>
  <c r="I7" i="2"/>
  <c r="H7" i="2"/>
  <c r="G7" i="2"/>
  <c r="D8" i="2"/>
  <c r="B8" i="2"/>
  <c r="D7" i="2"/>
  <c r="B7" i="2"/>
  <c r="J7" i="2" l="1"/>
  <c r="J6" i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<sst xmlns="http://schemas.openxmlformats.org/spreadsheetml/2006/main" count="168" uniqueCount="138">
  <si>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</si>
  <si>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</si>
  <si>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</si>
  <si>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</si>
  <si>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</si>
  <si>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</si>
  <si>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</si>
  <si>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</si>
  <si>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</si>
  <si>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</si>
  <si>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</si>
  <si>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</si>
  <si>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</si>
  <si>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</si>
  <si>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</si>
  <si>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</si>
  <si>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</si>
  <si>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</si>
  <si>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</si>
  <si>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</si>
  <si>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</si>
  <si>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</si>
  <si>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</si>
  <si>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</si>
  <si>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</si>
  <si>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</si>
  <si>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</si>
  <si>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</si>
  <si>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</si>
  <si>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</si>
  <si>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</si>
  <si>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</si>
  <si>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</si>
  <si>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</si>
  <si>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</si>
  <si>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</si>
  <si>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</si>
  <si>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</si>
  <si>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</si>
  <si>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</si>
  <si>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</si>
  <si>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</si>
  <si>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</si>
  <si>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</si>
  <si>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</si>
  <si>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</si>
  <si>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</si>
  <si>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</si>
  <si>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</si>
  <si>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</si>
  <si>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</si>
  <si>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</si>
  <si>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</si>
  <si>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</si>
  <si>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</si>
  <si>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</si>
  <si>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</si>
  <si>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</si>
  <si>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</si>
  <si>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</si>
  <si>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</si>
  <si>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</si>
  <si>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</si>
  <si>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</si>
  <si>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</si>
  <si>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</si>
  <si>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</si>
  <si>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</si>
  <si>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</si>
  <si>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</si>
  <si>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</si>
  <si>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</si>
  <si>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</si>
  <si>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</si>
  <si>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</si>
  <si>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</si>
  <si>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</si>
  <si>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</si>
  <si>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</si>
  <si>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</si>
  <si>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</si>
  <si>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</si>
  <si>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</si>
  <si>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FZCE</t>
  </si>
  <si>
    <t>310790022700003</t>
  </si>
  <si>
    <t>Bldg No . 7766 Al Dana, Al Jubail 35514, Kingdom of Saudi Arabia</t>
  </si>
  <si>
    <t>Monthly Based</t>
  </si>
  <si>
    <t>DAESHIN PLANT</t>
    <phoneticPr fontId="7" type="noConversion"/>
  </si>
  <si>
    <t xml:space="preserve">  PJT :  SACE2           </t>
    <phoneticPr fontId="7" type="noConversion"/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</si>
  <si>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</si>
  <si>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</si>
  <si>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</si>
  <si>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</si>
  <si>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Shahid</t>
  </si>
  <si>
    <t xml:space="preserve">+966 57 022 0960 / info@fourzonecontracting.com </t>
  </si>
  <si>
    <t>Mobile : +966 57 022 0960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</si>
  <si>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</si>
  <si>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</si>
  <si>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</si>
  <si>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</si>
  <si>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</si>
  <si>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</si>
  <si>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</si>
  <si>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</si>
  <si>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</si>
  <si>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FOUR ZONE CONTRACTING EST.</t>
  </si>
  <si>
    <t>THE SAUDI NATIONAL BANK</t>
  </si>
  <si>
    <t>NCBKSAJE</t>
  </si>
  <si>
    <t>Sales Executive</t>
  </si>
  <si>
    <t>01400013788710</t>
  </si>
  <si>
    <t>SA34 1000 0001 4000 1378 8710</t>
  </si>
  <si>
    <t>Month</t>
  </si>
  <si>
    <t>Mob. &amp; De-Mob. / per unit - lump sum</t>
  </si>
  <si>
    <t>L / S</t>
  </si>
  <si>
    <t>One Time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</si>
  <si>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</si>
  <si>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</si>
  <si>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</si>
  <si>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</si>
  <si>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</si>
  <si>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</si>
  <si>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</si>
  <si>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</si>
  <si>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</si>
  <si>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</si>
  <si>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</si>
  <si>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</si>
  <si>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</si>
  <si>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</si>
  <si>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</si>
  <si>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</si>
  <si>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-MRS-0487</t>
    </r>
  </si>
  <si>
    <t>Air Compressor</t>
  </si>
  <si>
    <t>1600 CFM Oil free, Air Dryer, Manifold and 2 Hoses</t>
  </si>
  <si>
    <t>Air Compressor Mob &amp; De-Mob. Charge</t>
  </si>
  <si>
    <t xml:space="preserve"> In Charge :</t>
  </si>
  <si>
    <t>FZCE (Four Zone Contracting Est.)</t>
  </si>
  <si>
    <t>FZ-OFFR-2026-1880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</si>
</sst>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53" fillId="3" borderId="0" xfId="5" applyFont="1" applyFill="1"/>
    <xf numFmtId="0" fontId="18" fillId="3" borderId="0" xfId="5" quotePrefix="1" applyFont="1" applyFill="1"/>
    <xf numFmtId="0" fontId="14" fillId="3" borderId="0" xfId="5" applyFont="1" applyFill="1" applyAlignment="1">
      <alignment horizontal="right" vertical="center" indent="1"/>
    </xf>
    <xf numFmtId="0" fontId="5" fillId="2" borderId="21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70" fontId="58" fillId="0" borderId="7" xfId="3" applyNumberFormat="1" applyFont="1" applyBorder="1" applyAlignment="1">
      <alignment horizontal="right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50" fillId="2" borderId="1" xfId="1" applyFont="1" applyFill="1" applyBorder="1" applyAlignment="1">
      <alignment horizontal="center" vertical="center"/>
    </xf>
    <xf numFmtId="0" fontId="50" fillId="2" borderId="2" xfId="1" applyFont="1" applyFill="1" applyBorder="1" applyAlignment="1">
      <alignment horizontal="center" vertical="center"/>
    </xf>
    <xf numFmtId="0" fontId="50" fillId="2" borderId="3" xfId="1" applyFont="1" applyFill="1" applyBorder="1" applyAlignment="1">
      <alignment horizontal="center" vertical="center"/>
    </xf>
    <xf numFmtId="0" fontId="51" fillId="2" borderId="4" xfId="1" applyFont="1" applyFill="1" applyBorder="1" applyAlignment="1">
      <alignment horizontal="center" vertical="center"/>
    </xf>
    <xf numFmtId="0" fontId="51" fillId="2" borderId="5" xfId="1" applyFont="1" applyFill="1" applyBorder="1" applyAlignment="1">
      <alignment horizontal="center" vertical="center"/>
    </xf>
    <xf numFmtId="0" fontId="51" fillId="2" borderId="6" xfId="1" applyFont="1" applyFill="1" applyBorder="1" applyAlignment="1">
      <alignment horizontal="center" vertical="center"/>
    </xf>
    <xf numFmtId="165" fontId="52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quotePrefix="1" applyFont="1" applyFill="1"/>
    <xf numFmtId="0" fontId="53" fillId="3" borderId="0" xfId="5" quotePrefix="1" applyFont="1" applyFill="1" applyAlignment="1">
      <alignment horizontal="left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397043</xdr:colOff>
          <xdr:row>17</xdr:row>
          <xdr:rowOff>93245</xdr:rowOff>
        </xdr:from>
        <xdr:to>
          <xdr:col>11</xdr:col>
          <xdr:colOff>1465348</xdr:colOff>
          <xdr:row>23</xdr:row>
          <xdr:rowOff>331370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1D52D3E-E64D-CC95-60A7-74054D7F87F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1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73017" y="5256798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C20" sqref="C2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6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7" t="s">
        <v>127</v>
      </c>
      <c r="B1" s="128"/>
      <c r="C1" s="105"/>
      <c r="D1" s="105"/>
      <c r="E1" s="105"/>
      <c r="F1" s="105"/>
      <c r="G1" s="1"/>
      <c r="J1" s="153" t="s">
        <v>87</v>
      </c>
      <c r="K1" s="154"/>
      <c r="L1" s="155"/>
    </row>
    <row r="2" spans="1:19" ht="20.100000000000001" customHeight="1">
      <c r="A2" s="3" t="s">
        <v>88</v>
      </c>
      <c r="B2" s="96"/>
      <c r="C2" s="96"/>
      <c r="D2" s="3" t="s">
        <v>128</v>
      </c>
      <c r="E2" s="96"/>
      <c r="F2" s="96"/>
      <c r="G2" s="96"/>
      <c r="H2" s="96"/>
      <c r="I2" s="4"/>
      <c r="J2" s="156" t="s">
        <v>89</v>
      </c>
      <c r="K2" s="157"/>
      <c r="L2" s="158"/>
    </row>
    <row r="3" spans="1:19" ht="20.100000000000001" customHeight="1">
      <c r="A3" s="3" t="s">
        <v>131</v>
      </c>
      <c r="B3" s="96"/>
      <c r="C3" s="96"/>
      <c r="D3" s="96"/>
      <c r="E3" s="159">
        <f>+L3+3</f>
        <v>46305</v>
      </c>
      <c r="F3" s="159"/>
      <c r="G3" s="159"/>
      <c r="H3" s="159"/>
      <c r="I3" s="159"/>
      <c r="J3" s="96"/>
      <c r="K3" s="96"/>
      <c r="L3" s="129">
        <v>46302</v>
      </c>
      <c r="M3" s="4"/>
    </row>
    <row r="4" spans="1:19" ht="15.95" customHeight="1">
      <c r="A4" s="160" t="s">
        <v>1</v>
      </c>
      <c r="B4" s="161" t="s">
        <v>2</v>
      </c>
      <c r="C4" s="161"/>
      <c r="D4" s="162" t="s">
        <v>3</v>
      </c>
      <c r="E4" s="163"/>
      <c r="F4" s="164"/>
      <c r="G4" s="168" t="s">
        <v>4</v>
      </c>
      <c r="H4" s="170" t="s">
        <v>5</v>
      </c>
      <c r="I4" s="170" t="s">
        <v>129</v>
      </c>
      <c r="J4" s="160" t="s">
        <v>130</v>
      </c>
      <c r="K4" s="170" t="s">
        <v>0</v>
      </c>
      <c r="L4" s="161" t="s">
        <v>6</v>
      </c>
    </row>
    <row r="5" spans="1:19" ht="27.75" customHeight="1">
      <c r="A5" s="160"/>
      <c r="B5" s="161"/>
      <c r="C5" s="161"/>
      <c r="D5" s="165"/>
      <c r="E5" s="166"/>
      <c r="F5" s="167"/>
      <c r="G5" s="169"/>
      <c r="H5" s="171"/>
      <c r="I5" s="171"/>
      <c r="J5" s="160"/>
      <c r="K5" s="171"/>
      <c r="L5" s="161"/>
    </row>
    <row r="6" spans="1:19" ht="25.5" customHeight="1">
      <c r="A6" s="5">
        <f t="shared" ref="A6:A15" si="0">ROW(A1)</f>
        <v>1</v>
      </c>
      <c r="B6" s="172" t="s">
        <v>132</v>
      </c>
      <c r="C6" s="173"/>
      <c r="D6" s="174" t="s">
        <v>133</v>
      </c>
      <c r="E6" s="175"/>
      <c r="F6" s="176"/>
      <c r="G6" s="106" t="s">
        <v>111</v>
      </c>
      <c r="H6" s="107">
        <v>1</v>
      </c>
      <c r="I6" s="108">
        <v>106000</v>
      </c>
      <c r="J6" s="108">
        <f>H6*I6</f>
        <v>106000</v>
      </c>
      <c r="K6" s="109" t="s">
        <v>83</v>
      </c>
      <c r="L6" s="110" t="s">
        <v>86</v>
      </c>
      <c r="S6" s="101"/>
    </row>
    <row r="7" spans="1:19" ht="22.5" customHeight="1">
      <c r="A7" s="5">
        <f t="shared" si="0"/>
        <v>2</v>
      </c>
      <c r="B7" s="172" t="s">
        <v>134</v>
      </c>
      <c r="C7" s="173"/>
      <c r="D7" s="174" t="s">
        <v>112</v>
      </c>
      <c r="E7" s="175"/>
      <c r="F7" s="176"/>
      <c r="G7" s="106" t="s">
        <v>113</v>
      </c>
      <c r="H7" s="107">
        <v>2</v>
      </c>
      <c r="I7" s="108">
        <v>2500</v>
      </c>
      <c r="J7" s="108">
        <f>H7*I7</f>
        <v>5000</v>
      </c>
      <c r="K7" s="109"/>
      <c r="L7" s="110" t="s">
        <v>114</v>
      </c>
      <c r="S7" s="101"/>
    </row>
    <row r="8" spans="1:19" ht="22.5" customHeight="1">
      <c r="A8" s="5">
        <f t="shared" si="0"/>
        <v>3</v>
      </c>
      <c r="B8" s="172"/>
      <c r="C8" s="173"/>
      <c r="D8" s="177"/>
      <c r="E8" s="175"/>
      <c r="F8" s="176"/>
      <c r="G8" s="106"/>
      <c r="H8" s="107"/>
      <c r="I8" s="108"/>
      <c r="J8" s="108">
        <f>H8*I8</f>
        <v>0</v>
      </c>
      <c r="K8" s="109"/>
      <c r="L8" s="110"/>
      <c r="S8" s="101"/>
    </row>
    <row r="9" spans="1:19" ht="22.5" customHeight="1">
      <c r="A9" s="5">
        <f t="shared" si="0"/>
        <v>4</v>
      </c>
      <c r="B9" s="172"/>
      <c r="C9" s="173"/>
      <c r="D9" s="174"/>
      <c r="E9" s="175"/>
      <c r="F9" s="176"/>
      <c r="G9" s="106"/>
      <c r="H9" s="107"/>
      <c r="I9" s="108"/>
      <c r="J9" s="108">
        <f>H9*I9</f>
        <v>0</v>
      </c>
      <c r="K9" s="109"/>
      <c r="L9" s="110"/>
      <c r="S9" s="101"/>
    </row>
    <row r="10" spans="1:19" ht="22.5" customHeight="1">
      <c r="A10" s="5">
        <f t="shared" si="0"/>
        <v>5</v>
      </c>
      <c r="B10" s="178"/>
      <c r="C10" s="178"/>
      <c r="D10" s="179"/>
      <c r="E10" s="179"/>
      <c r="F10" s="179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f t="shared" si="0"/>
        <v>6</v>
      </c>
      <c r="B11" s="172"/>
      <c r="C11" s="173"/>
      <c r="D11" s="177"/>
      <c r="E11" s="175"/>
      <c r="F11" s="176"/>
      <c r="G11" s="106"/>
      <c r="H11" s="107"/>
      <c r="I11" s="108"/>
      <c r="J11" s="108"/>
      <c r="K11" s="109"/>
      <c r="L11" s="110"/>
      <c r="S11" s="101"/>
    </row>
    <row r="12" spans="1:19" ht="22.5" customHeight="1">
      <c r="A12" s="5">
        <f t="shared" si="0"/>
        <v>7</v>
      </c>
      <c r="B12" s="178"/>
      <c r="C12" s="178"/>
      <c r="D12" s="179"/>
      <c r="E12" s="179"/>
      <c r="F12" s="179"/>
      <c r="G12" s="106"/>
      <c r="H12" s="107"/>
      <c r="I12" s="111"/>
      <c r="J12" s="108"/>
      <c r="K12" s="109"/>
      <c r="L12" s="106"/>
      <c r="S12" s="101"/>
    </row>
    <row r="13" spans="1:19" ht="22.5" customHeight="1">
      <c r="A13" s="5">
        <f t="shared" si="0"/>
        <v>8</v>
      </c>
      <c r="B13" s="172"/>
      <c r="C13" s="173"/>
      <c r="D13" s="177"/>
      <c r="E13" s="175"/>
      <c r="F13" s="176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72"/>
      <c r="C14" s="173"/>
      <c r="D14" s="177"/>
      <c r="E14" s="175"/>
      <c r="F14" s="176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72"/>
      <c r="C15" s="173"/>
      <c r="D15" s="177"/>
      <c r="E15" s="175"/>
      <c r="F15" s="176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80" t="s">
        <v>7</v>
      </c>
      <c r="B16" s="181"/>
      <c r="C16" s="112"/>
      <c r="D16" s="113"/>
      <c r="E16" s="113"/>
      <c r="F16" s="113"/>
      <c r="G16" s="114"/>
      <c r="H16" s="114"/>
      <c r="I16" s="115" t="s">
        <v>8</v>
      </c>
      <c r="J16" s="108">
        <f>SUM(J6:J15)</f>
        <v>111000</v>
      </c>
      <c r="K16" s="108"/>
      <c r="L16" s="116"/>
    </row>
    <row r="17" spans="1:26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91"/>
      <c r="Z18" s="11"/>
    </row>
    <row r="19" spans="1:26" ht="50.1" customHeight="1">
      <c r="Y19" s="192"/>
    </row>
    <row r="20" spans="1:26" ht="15" customHeight="1">
      <c r="O20" s="187" t="s">
        <v>115</v>
      </c>
      <c r="P20" s="193"/>
      <c r="Q20" s="193"/>
      <c r="R20" s="188"/>
      <c r="S20" s="120"/>
      <c r="T20" s="187" t="s">
        <v>116</v>
      </c>
      <c r="U20" s="193"/>
      <c r="V20" s="193"/>
      <c r="W20" s="193"/>
      <c r="X20" s="193"/>
      <c r="Y20" s="188"/>
    </row>
    <row r="21" spans="1:26" ht="15" customHeight="1">
      <c r="O21" s="184" t="s">
        <v>117</v>
      </c>
      <c r="P21" s="182" t="s">
        <v>118</v>
      </c>
      <c r="Q21" s="184" t="s">
        <v>119</v>
      </c>
      <c r="R21" s="182" t="s">
        <v>120</v>
      </c>
      <c r="S21" s="120"/>
      <c r="T21" s="184" t="s">
        <v>121</v>
      </c>
      <c r="U21" s="182" t="s">
        <v>122</v>
      </c>
      <c r="V21" s="187" t="s">
        <v>123</v>
      </c>
      <c r="W21" s="193"/>
      <c r="X21" s="188"/>
      <c r="Y21" s="182" t="s">
        <v>124</v>
      </c>
    </row>
    <row r="22" spans="1:26" ht="18" customHeight="1">
      <c r="O22" s="185"/>
      <c r="P22" s="183"/>
      <c r="Q22" s="185"/>
      <c r="R22" s="183"/>
      <c r="S22" s="121"/>
      <c r="T22" s="185"/>
      <c r="U22" s="183"/>
      <c r="V22" s="13" t="s">
        <v>117</v>
      </c>
      <c r="W22" s="194" t="s">
        <v>125</v>
      </c>
      <c r="X22" s="195"/>
      <c r="Y22" s="183"/>
    </row>
    <row r="23" spans="1:26" ht="50.1" customHeight="1">
      <c r="O23" s="14"/>
      <c r="P23" s="14"/>
      <c r="Q23" s="14"/>
      <c r="R23" s="14"/>
      <c r="S23" s="120"/>
      <c r="T23" s="14"/>
      <c r="U23" s="14"/>
      <c r="V23" s="14"/>
      <c r="W23" s="187"/>
      <c r="X23" s="188"/>
      <c r="Y23" s="122"/>
    </row>
    <row r="24" spans="1:26" ht="36" customHeight="1">
      <c r="W24" s="123"/>
      <c r="X24" s="189" t="s">
        <v>126</v>
      </c>
      <c r="Y24" s="12" t="s">
        <v>124</v>
      </c>
    </row>
    <row r="25" spans="1:26" ht="50.1" customHeight="1">
      <c r="O25" s="124"/>
      <c r="P25" s="124"/>
      <c r="Q25" s="124"/>
      <c r="R25" s="124"/>
      <c r="S25" s="124"/>
      <c r="T25" s="124"/>
      <c r="U25" s="124"/>
      <c r="V25" s="124"/>
      <c r="W25" s="125"/>
      <c r="X25" s="190"/>
      <c r="Y25" s="126"/>
    </row>
    <row r="26" spans="1:26" ht="19.899999999999999" customHeight="1"/>
    <row r="27" spans="1:26" ht="17.45" customHeight="1">
      <c r="O27" s="186"/>
      <c r="P27" s="186"/>
      <c r="Q27" s="186"/>
    </row>
    <row r="28" spans="1:26" ht="19.899999999999999" customHeight="1">
      <c r="O28" s="186"/>
      <c r="P28" s="186"/>
      <c r="Q28" s="18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82" t="s">
        <v>11</v>
      </c>
    </row>
    <row r="41" spans="15:22" ht="19.899999999999999" customHeight="1">
      <c r="T41" s="183"/>
    </row>
    <row r="42" spans="15:22" ht="64.900000000000006" customHeight="1">
      <c r="T42" s="14"/>
    </row>
    <row r="46" spans="15:22" ht="21" customHeight="1">
      <c r="O46" s="182" t="s">
        <v>11</v>
      </c>
      <c r="P46" s="182" t="s">
        <v>11</v>
      </c>
      <c r="Q46" s="182" t="s">
        <v>11</v>
      </c>
      <c r="T46" s="182" t="s">
        <v>12</v>
      </c>
      <c r="U46" s="182" t="s">
        <v>10</v>
      </c>
      <c r="V46" s="182" t="s">
        <v>11</v>
      </c>
    </row>
    <row r="47" spans="15:22" ht="21" customHeight="1">
      <c r="O47" s="183"/>
      <c r="P47" s="183"/>
      <c r="Q47" s="183"/>
      <c r="T47" s="185"/>
      <c r="U47" s="185"/>
      <c r="V47" s="18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82" t="s">
        <v>11</v>
      </c>
      <c r="P50" s="182" t="s">
        <v>11</v>
      </c>
      <c r="Q50" s="182" t="s">
        <v>11</v>
      </c>
      <c r="T50" s="182" t="s">
        <v>10</v>
      </c>
      <c r="U50" s="182" t="s">
        <v>12</v>
      </c>
      <c r="V50" s="182" t="s">
        <v>11</v>
      </c>
    </row>
    <row r="51" spans="15:22" ht="21" customHeight="1">
      <c r="O51" s="183"/>
      <c r="P51" s="183"/>
      <c r="Q51" s="183"/>
      <c r="T51" s="185"/>
      <c r="U51" s="185"/>
      <c r="V51" s="18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4" t="s">
        <v>82</v>
      </c>
      <c r="B1" s="95"/>
      <c r="C1" s="95"/>
      <c r="D1" s="95"/>
      <c r="E1" s="95"/>
      <c r="F1" s="95"/>
      <c r="G1" s="1"/>
      <c r="J1" s="196" t="str">
        <f>+MRS!J1</f>
        <v>DAESHIN PLANT</v>
      </c>
      <c r="K1" s="197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98" t="str">
        <f>+MRS!J2</f>
        <v>Subcontract name (SAC2-SC-IK-SMP-01)</v>
      </c>
      <c r="K2" s="199"/>
    </row>
    <row r="3" spans="1:18" ht="24.95" customHeight="1">
      <c r="A3" s="3" t="str">
        <f>+MRS!A3</f>
        <v xml:space="preserve">  MRS No : SAC2-DS-MRS-0487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46302</v>
      </c>
    </row>
    <row r="4" spans="1:18" ht="15.95" customHeight="1">
      <c r="A4" s="200" t="s">
        <v>1</v>
      </c>
      <c r="B4" s="201" t="s">
        <v>13</v>
      </c>
      <c r="C4" s="201"/>
      <c r="D4" s="200" t="s">
        <v>3</v>
      </c>
      <c r="E4" s="200"/>
      <c r="F4" s="200"/>
      <c r="G4" s="201" t="s">
        <v>4</v>
      </c>
      <c r="H4" s="200" t="s">
        <v>79</v>
      </c>
      <c r="I4" s="200" t="s">
        <v>14</v>
      </c>
      <c r="J4" s="200" t="s">
        <v>15</v>
      </c>
      <c r="K4" s="201" t="s">
        <v>6</v>
      </c>
    </row>
    <row r="5" spans="1:18" ht="15.95" customHeight="1">
      <c r="A5" s="200"/>
      <c r="B5" s="201"/>
      <c r="C5" s="201"/>
      <c r="D5" s="200"/>
      <c r="E5" s="200"/>
      <c r="F5" s="200"/>
      <c r="G5" s="201"/>
      <c r="H5" s="200"/>
      <c r="I5" s="200"/>
      <c r="J5" s="200"/>
      <c r="K5" s="201"/>
    </row>
    <row r="6" spans="1:18" ht="105" customHeight="1">
      <c r="A6" s="17">
        <f>+MRS!A6</f>
        <v>1</v>
      </c>
      <c r="B6" s="202" t="str">
        <f>MRS!B6</f>
        <v>Air Compressor</v>
      </c>
      <c r="C6" s="203"/>
      <c r="D6" s="204" t="str">
        <f>MRS!D6</f>
        <v>1600 CFM Oil free, Air Dryer, Manifold and 2 Hoses</v>
      </c>
      <c r="E6" s="205"/>
      <c r="F6" s="206"/>
      <c r="G6" s="98" t="str">
        <f>MRS!G6</f>
        <v>Month</v>
      </c>
      <c r="H6" s="98">
        <f>MRS!H6</f>
        <v>1</v>
      </c>
      <c r="I6" s="99">
        <f>MRS!I6</f>
        <v>106000</v>
      </c>
      <c r="J6" s="99">
        <f>MRS!J6</f>
        <v>106000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202" t="str">
        <f>MRS!B7</f>
        <v>Air Compressor Mob &amp; De-Mob. Charge</v>
      </c>
      <c r="C7" s="203"/>
      <c r="D7" s="204" t="str">
        <f>MRS!D7</f>
        <v>Mob. &amp; De-Mob. / per unit - lump sum</v>
      </c>
      <c r="E7" s="205"/>
      <c r="F7" s="206"/>
      <c r="G7" s="98" t="str">
        <f>MRS!G7</f>
        <v>L / S</v>
      </c>
      <c r="H7" s="98">
        <f>MRS!H7</f>
        <v>2</v>
      </c>
      <c r="I7" s="99">
        <f>MRS!I7</f>
        <v>2500</v>
      </c>
      <c r="J7" s="99">
        <f>MRS!J7</f>
        <v>5000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202">
        <f>MRS!B8</f>
        <v>0</v>
      </c>
      <c r="C8" s="203"/>
      <c r="D8" s="204">
        <f>MRS!D8</f>
        <v>0</v>
      </c>
      <c r="E8" s="205"/>
      <c r="F8" s="206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207"/>
      <c r="C9" s="208"/>
      <c r="D9" s="209"/>
      <c r="E9" s="210"/>
      <c r="F9" s="211"/>
      <c r="G9" s="102"/>
      <c r="H9" s="103"/>
      <c r="I9" s="104"/>
      <c r="J9" s="104"/>
      <c r="K9" s="100"/>
      <c r="O9" s="101"/>
      <c r="P9" s="101"/>
      <c r="R9" s="101"/>
    </row>
    <row r="10" spans="1:18" ht="105" customHeight="1">
      <c r="A10" s="17">
        <f>+MRS!A10</f>
        <v>5</v>
      </c>
      <c r="B10" s="207"/>
      <c r="C10" s="208"/>
      <c r="D10" s="209"/>
      <c r="E10" s="210"/>
      <c r="F10" s="211"/>
      <c r="G10" s="102"/>
      <c r="H10" s="103"/>
      <c r="I10" s="104"/>
      <c r="J10" s="104"/>
      <c r="K10" s="100"/>
      <c r="O10" s="101"/>
      <c r="P10" s="101"/>
      <c r="R10" s="101"/>
    </row>
    <row r="11" spans="1:18" ht="105" customHeight="1">
      <c r="A11" s="17">
        <f>+MRS!A11</f>
        <v>6</v>
      </c>
      <c r="B11" s="207"/>
      <c r="C11" s="208"/>
      <c r="D11" s="209"/>
      <c r="E11" s="210"/>
      <c r="F11" s="211"/>
      <c r="G11" s="102"/>
      <c r="H11" s="103"/>
      <c r="I11" s="104"/>
      <c r="J11" s="104"/>
      <c r="K11" s="100"/>
      <c r="O11" s="101"/>
      <c r="P11" s="101"/>
      <c r="R11" s="101"/>
    </row>
    <row r="12" spans="1:18" ht="105" customHeight="1">
      <c r="A12" s="17">
        <f>+MRS!A12</f>
        <v>7</v>
      </c>
      <c r="B12" s="207"/>
      <c r="C12" s="208"/>
      <c r="D12" s="209"/>
      <c r="E12" s="210"/>
      <c r="F12" s="211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207"/>
      <c r="C13" s="208"/>
      <c r="D13" s="209"/>
      <c r="E13" s="210"/>
      <c r="F13" s="211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207"/>
      <c r="C14" s="208"/>
      <c r="D14" s="209"/>
      <c r="E14" s="210"/>
      <c r="F14" s="211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207"/>
      <c r="C15" s="208"/>
      <c r="D15" s="209"/>
      <c r="E15" s="210"/>
      <c r="F15" s="211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207"/>
      <c r="C16" s="208"/>
      <c r="D16" s="209"/>
      <c r="E16" s="210"/>
      <c r="F16" s="211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207"/>
      <c r="C17" s="208"/>
      <c r="D17" s="209"/>
      <c r="E17" s="210"/>
      <c r="F17" s="211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K16" sqref="K1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92</v>
      </c>
    </row>
    <row r="3" spans="2:13" s="18" customFormat="1">
      <c r="M3" s="20" t="s">
        <v>16</v>
      </c>
    </row>
    <row r="4" spans="2:13" s="18" customFormat="1">
      <c r="M4" s="20" t="s">
        <v>17</v>
      </c>
    </row>
    <row r="5" spans="2:13" s="18" customFormat="1">
      <c r="B5" s="21" t="s">
        <v>18</v>
      </c>
      <c r="M5" s="20" t="s">
        <v>19</v>
      </c>
    </row>
    <row r="6" spans="2:13" s="18" customFormat="1">
      <c r="M6" s="20" t="s">
        <v>20</v>
      </c>
    </row>
    <row r="7" spans="2:13">
      <c r="M7" s="23"/>
    </row>
    <row r="8" spans="2:13">
      <c r="M8" s="23"/>
    </row>
    <row r="9" spans="2:13" s="70" customFormat="1" ht="13.5">
      <c r="B9" s="68" t="s">
        <v>21</v>
      </c>
      <c r="C9" s="69" t="s">
        <v>136</v>
      </c>
      <c r="D9" s="35"/>
      <c r="E9" s="35"/>
    </row>
    <row r="10" spans="2:13" s="35" customFormat="1">
      <c r="B10" s="68"/>
      <c r="C10" s="35" t="s">
        <v>22</v>
      </c>
      <c r="D10" s="32">
        <v>2055133627</v>
      </c>
      <c r="J10" s="35" t="s">
        <v>23</v>
      </c>
      <c r="K10" s="212">
        <f>MRS!L3</f>
        <v>46302</v>
      </c>
      <c r="L10" s="213"/>
      <c r="M10" s="213"/>
    </row>
    <row r="11" spans="2:13" s="35" customFormat="1">
      <c r="B11" s="68"/>
      <c r="C11" s="71" t="s">
        <v>24</v>
      </c>
      <c r="D11" s="72" t="s">
        <v>84</v>
      </c>
      <c r="J11" s="35" t="s">
        <v>25</v>
      </c>
      <c r="K11" s="214" t="str">
        <f>SUBSTITUTE(SUBSTITUTE(+MRS!A3,"  MRS No : ",""),"-MRS","-PO")</f>
        <v>SAC2-DS-PO-0487</v>
      </c>
      <c r="L11" s="214"/>
      <c r="M11" s="214"/>
    </row>
    <row r="12" spans="2:13" s="35" customFormat="1">
      <c r="B12" s="68"/>
      <c r="C12" s="71" t="s">
        <v>135</v>
      </c>
      <c r="D12" s="35" t="s">
        <v>93</v>
      </c>
      <c r="J12" s="35" t="s">
        <v>26</v>
      </c>
    </row>
    <row r="13" spans="2:13" s="35" customFormat="1">
      <c r="B13" s="68"/>
      <c r="C13" s="73"/>
      <c r="D13" s="72" t="s">
        <v>94</v>
      </c>
      <c r="J13" s="35" t="s">
        <v>27</v>
      </c>
    </row>
    <row r="14" spans="2:13" s="35" customFormat="1">
      <c r="B14" s="68"/>
      <c r="C14" s="73" t="s">
        <v>85</v>
      </c>
      <c r="J14" s="35" t="s">
        <v>28</v>
      </c>
      <c r="K14" s="35" t="s">
        <v>137</v>
      </c>
    </row>
    <row r="15" spans="2:13" s="35" customFormat="1">
      <c r="B15" s="68"/>
      <c r="C15" s="73" t="s">
        <v>95</v>
      </c>
      <c r="J15" s="35" t="s">
        <v>29</v>
      </c>
      <c r="K15" s="74">
        <v>46300</v>
      </c>
    </row>
    <row r="16" spans="2:13" s="35" customFormat="1">
      <c r="C16" s="73"/>
      <c r="K16" s="74"/>
    </row>
    <row r="17" spans="2:13" ht="12" customHeight="1">
      <c r="C17" s="25"/>
      <c r="K17" s="26"/>
    </row>
    <row r="18" spans="2:13" ht="20.25">
      <c r="B18" s="215" t="s">
        <v>30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</row>
    <row r="19" spans="2:13" ht="12" customHeight="1"/>
    <row r="20" spans="2:13" s="27" customFormat="1" ht="12" customHeight="1">
      <c r="B20" s="216" t="s">
        <v>31</v>
      </c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</row>
    <row r="21" spans="2:13" s="27" customFormat="1" ht="12" customHeight="1">
      <c r="B21" s="216" t="s">
        <v>32</v>
      </c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</row>
    <row r="22" spans="2:13" s="27" customFormat="1" ht="12" customHeight="1">
      <c r="B22" s="216" t="s">
        <v>33</v>
      </c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</row>
    <row r="23" spans="2:13" ht="6.95" customHeight="1"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</row>
    <row r="24" spans="2:13" ht="6.95" customHeight="1">
      <c r="B24" s="218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</row>
    <row r="25" spans="2:13" s="28" customFormat="1" ht="15" customHeight="1">
      <c r="B25" s="28">
        <v>1</v>
      </c>
      <c r="C25" s="28" t="s">
        <v>34</v>
      </c>
    </row>
    <row r="26" spans="2:13" s="35" customFormat="1" ht="12" customHeight="1">
      <c r="B26" s="69"/>
      <c r="C26" s="220" t="str">
        <f>MRS!B6</f>
        <v>Air Compressor</v>
      </c>
      <c r="M26" s="119" t="s">
        <v>35</v>
      </c>
    </row>
    <row r="27" spans="2:13" ht="11.1" customHeight="1">
      <c r="B27" s="28"/>
      <c r="C27" s="221" t="str">
        <f>MRS!D6</f>
        <v>1600 CFM Oil free, Air Dryer, Manifold and 2 Hoses</v>
      </c>
    </row>
    <row r="28" spans="2:13" ht="15" customHeight="1">
      <c r="B28" s="28">
        <v>2</v>
      </c>
      <c r="C28" s="28" t="s">
        <v>36</v>
      </c>
    </row>
    <row r="29" spans="2:13" ht="12" customHeight="1">
      <c r="B29" s="28"/>
      <c r="C29" s="22" t="s">
        <v>37</v>
      </c>
      <c r="E29" s="22" t="s">
        <v>38</v>
      </c>
      <c r="F29" s="219" t="s">
        <v>86</v>
      </c>
      <c r="G29" s="219"/>
      <c r="H29" s="29"/>
      <c r="M29" s="30"/>
    </row>
    <row r="30" spans="2:13" ht="12" customHeight="1">
      <c r="B30" s="28"/>
      <c r="C30" s="22" t="s">
        <v>39</v>
      </c>
      <c r="E30" s="22" t="s">
        <v>38</v>
      </c>
      <c r="F30" s="219"/>
      <c r="G30" s="219"/>
    </row>
    <row r="31" spans="2:13" ht="12" customHeight="1">
      <c r="B31" s="28"/>
      <c r="C31" s="22" t="s">
        <v>40</v>
      </c>
      <c r="D31" s="31"/>
      <c r="E31" s="22" t="s">
        <v>38</v>
      </c>
      <c r="F31" s="219"/>
      <c r="G31" s="219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41</v>
      </c>
    </row>
    <row r="34" spans="2:13" ht="12" customHeight="1">
      <c r="B34" s="28"/>
      <c r="C34" s="18" t="s">
        <v>42</v>
      </c>
    </row>
    <row r="35" spans="2:13" ht="12" customHeight="1">
      <c r="B35" s="28"/>
      <c r="C35" s="18" t="s">
        <v>43</v>
      </c>
    </row>
    <row r="36" spans="2:13" ht="12" customHeight="1">
      <c r="B36" s="28"/>
      <c r="C36" s="18" t="s">
        <v>44</v>
      </c>
    </row>
    <row r="37" spans="2:13" ht="11.1" customHeight="1">
      <c r="B37" s="28"/>
    </row>
    <row r="38" spans="2:13" ht="15" customHeight="1">
      <c r="B38" s="28">
        <v>4</v>
      </c>
      <c r="C38" s="28" t="s">
        <v>45</v>
      </c>
    </row>
    <row r="39" spans="2:13" ht="12" customHeight="1">
      <c r="B39" s="28"/>
      <c r="C39" s="22" t="s">
        <v>46</v>
      </c>
    </row>
    <row r="40" spans="2:13" ht="11.1" customHeight="1">
      <c r="B40" s="28"/>
    </row>
    <row r="41" spans="2:13" ht="15" customHeight="1">
      <c r="B41" s="28">
        <v>5</v>
      </c>
      <c r="C41" s="28" t="s">
        <v>47</v>
      </c>
    </row>
    <row r="42" spans="2:13" ht="12" customHeight="1">
      <c r="B42" s="28"/>
      <c r="C42" s="32" t="s">
        <v>48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49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50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51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52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11.1" customHeight="1">
      <c r="B47" s="28"/>
    </row>
    <row r="48" spans="2:13" ht="15" customHeight="1">
      <c r="B48" s="28">
        <v>6</v>
      </c>
      <c r="C48" s="28" t="s">
        <v>53</v>
      </c>
    </row>
    <row r="49" spans="2:16" s="35" customFormat="1" ht="12" customHeight="1">
      <c r="B49" s="75" t="s">
        <v>54</v>
      </c>
      <c r="C49" s="76" t="s">
        <v>90</v>
      </c>
      <c r="P49" s="77"/>
    </row>
    <row r="50" spans="2:16" s="78" customFormat="1" ht="12" customHeight="1">
      <c r="B50" s="79" t="s">
        <v>54</v>
      </c>
      <c r="C50" s="76" t="s">
        <v>81</v>
      </c>
    </row>
    <row r="51" spans="2:16" s="78" customFormat="1" ht="12" customHeight="1">
      <c r="B51" s="79" t="s">
        <v>54</v>
      </c>
      <c r="C51" s="76" t="s">
        <v>80</v>
      </c>
    </row>
    <row r="52" spans="2:16" s="78" customFormat="1" ht="6" customHeight="1">
      <c r="B52" s="79"/>
      <c r="C52" s="76"/>
    </row>
    <row r="53" spans="2:16" ht="15" customHeight="1">
      <c r="B53" s="38">
        <v>7</v>
      </c>
      <c r="C53" s="28" t="s">
        <v>96</v>
      </c>
    </row>
    <row r="54" spans="2:16" ht="12" customHeight="1">
      <c r="B54" s="79" t="s">
        <v>54</v>
      </c>
      <c r="C54" s="117" t="s">
        <v>97</v>
      </c>
      <c r="F54" s="22" t="s">
        <v>105</v>
      </c>
      <c r="P54" s="22" t="str">
        <f>UPPER(F54)</f>
        <v>FOUR ZONE CONTRACTING EST.</v>
      </c>
    </row>
    <row r="55" spans="2:16" ht="12" customHeight="1">
      <c r="B55" s="79" t="s">
        <v>54</v>
      </c>
      <c r="C55" s="117" t="s">
        <v>98</v>
      </c>
      <c r="F55" s="118" t="s">
        <v>109</v>
      </c>
    </row>
    <row r="56" spans="2:16" ht="12" customHeight="1">
      <c r="B56" s="79" t="s">
        <v>54</v>
      </c>
      <c r="C56" s="117" t="s">
        <v>99</v>
      </c>
      <c r="F56" s="118" t="s">
        <v>110</v>
      </c>
    </row>
    <row r="57" spans="2:16" ht="12" customHeight="1">
      <c r="B57" s="79" t="s">
        <v>54</v>
      </c>
      <c r="C57" s="117" t="s">
        <v>100</v>
      </c>
      <c r="F57" s="22" t="s">
        <v>106</v>
      </c>
    </row>
    <row r="58" spans="2:16" ht="12" customHeight="1">
      <c r="B58" s="79" t="s">
        <v>54</v>
      </c>
      <c r="C58" s="117" t="s">
        <v>101</v>
      </c>
      <c r="F58" s="22" t="s">
        <v>107</v>
      </c>
    </row>
    <row r="59" spans="2:16" ht="12" customHeight="1">
      <c r="B59" s="79" t="s">
        <v>54</v>
      </c>
      <c r="C59" s="117" t="s">
        <v>102</v>
      </c>
      <c r="F59" s="22" t="s">
        <v>103</v>
      </c>
    </row>
    <row r="60" spans="2:16" ht="12" customHeight="1">
      <c r="B60" s="79"/>
      <c r="C60" s="117" t="s">
        <v>104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7.5" customHeight="1">
      <c r="B63" s="38"/>
    </row>
    <row r="64" spans="2:16">
      <c r="B64" s="28" t="s">
        <v>55</v>
      </c>
      <c r="J64" s="28" t="s">
        <v>56</v>
      </c>
    </row>
    <row r="65" spans="1:13" ht="42.75" customHeight="1"/>
    <row r="66" spans="1:13" ht="18" customHeight="1">
      <c r="B66" s="22" t="s">
        <v>57</v>
      </c>
      <c r="J66" s="22" t="s">
        <v>57</v>
      </c>
    </row>
    <row r="67" spans="1:13" ht="18" customHeight="1">
      <c r="B67" s="22" t="s">
        <v>58</v>
      </c>
      <c r="J67" s="22" t="s">
        <v>59</v>
      </c>
      <c r="K67" s="18" t="str">
        <f>UPPER(D12)</f>
        <v>SHAHID</v>
      </c>
    </row>
    <row r="68" spans="1:13" ht="18" customHeight="1">
      <c r="B68" s="22" t="s">
        <v>60</v>
      </c>
      <c r="J68" s="22" t="s">
        <v>61</v>
      </c>
      <c r="K68" s="18" t="s">
        <v>108</v>
      </c>
    </row>
    <row r="69" spans="1:13" ht="15" customHeight="1">
      <c r="B69" s="22" t="s">
        <v>62</v>
      </c>
      <c r="J69" s="22" t="s">
        <v>63</v>
      </c>
    </row>
    <row r="70" spans="1:13" s="24" customFormat="1" ht="15" customHeight="1">
      <c r="B70" s="21" t="s">
        <v>91</v>
      </c>
      <c r="J70" s="21" t="str">
        <f>C9</f>
        <v>FZCE (Four Zone Contracting Est.)</v>
      </c>
    </row>
    <row r="71" spans="1:13" ht="27.95" customHeight="1">
      <c r="A71" s="152" t="s">
        <v>64</v>
      </c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65</v>
      </c>
      <c r="B2" s="43" t="str">
        <f>+'PO 1st page'!K11</f>
        <v>SAC2-DS-PO-0487</v>
      </c>
      <c r="C2" s="132" t="s">
        <v>66</v>
      </c>
      <c r="D2" s="132"/>
      <c r="E2" s="132"/>
      <c r="F2" s="132"/>
      <c r="G2" s="44"/>
      <c r="H2" s="44"/>
    </row>
    <row r="3" spans="1:13" s="50" customFormat="1" ht="28.5" customHeight="1" thickBot="1">
      <c r="A3" s="45" t="s">
        <v>67</v>
      </c>
      <c r="B3" s="46">
        <f>+'PO 1st page'!K10</f>
        <v>46302</v>
      </c>
      <c r="C3" s="47"/>
      <c r="D3" s="48"/>
      <c r="E3" s="133" t="s">
        <v>68</v>
      </c>
      <c r="F3" s="133"/>
      <c r="G3" s="133"/>
      <c r="H3" s="133"/>
      <c r="I3" s="49"/>
    </row>
    <row r="4" spans="1:13" s="51" customFormat="1" ht="28.5" customHeight="1" thickTop="1">
      <c r="A4" s="134" t="s">
        <v>69</v>
      </c>
      <c r="B4" s="136" t="s">
        <v>70</v>
      </c>
      <c r="C4" s="137"/>
      <c r="D4" s="140" t="s">
        <v>71</v>
      </c>
      <c r="E4" s="140" t="s">
        <v>72</v>
      </c>
      <c r="F4" s="142" t="str">
        <f>'PO 1st page'!C9</f>
        <v>FZCE (Four Zone Contracting Est.)</v>
      </c>
      <c r="G4" s="143"/>
      <c r="H4" s="144" t="s">
        <v>73</v>
      </c>
      <c r="K4" s="52"/>
      <c r="L4" s="52"/>
      <c r="M4" s="52"/>
    </row>
    <row r="5" spans="1:13" s="51" customFormat="1" ht="21.95" customHeight="1">
      <c r="A5" s="135"/>
      <c r="B5" s="138"/>
      <c r="C5" s="139"/>
      <c r="D5" s="141"/>
      <c r="E5" s="141"/>
      <c r="F5" s="53" t="s">
        <v>74</v>
      </c>
      <c r="G5" s="53" t="s">
        <v>40</v>
      </c>
      <c r="H5" s="145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146" t="str">
        <f>CONCATENATE(MRS!B6," ",MRS!D6)</f>
        <v>Air Compressor 1600 CFM Oil free, Air Dryer, Manifold and 2 Hoses</v>
      </c>
      <c r="C6" s="147"/>
      <c r="D6" s="81" t="str">
        <f>MRS!G6</f>
        <v>Month</v>
      </c>
      <c r="E6" s="81">
        <f>MRS!H6</f>
        <v>1</v>
      </c>
      <c r="F6" s="82">
        <f>MRS!I6</f>
        <v>106000</v>
      </c>
      <c r="G6" s="83">
        <f>MRS!J6</f>
        <v>106000</v>
      </c>
      <c r="H6" s="84" t="str">
        <f>MRS!L6</f>
        <v>Monthly Based</v>
      </c>
      <c r="K6" s="85"/>
      <c r="L6" s="86"/>
      <c r="M6" s="52"/>
    </row>
    <row r="7" spans="1:13" s="51" customFormat="1" ht="32.1" customHeight="1">
      <c r="A7" s="80">
        <f t="shared" si="0"/>
        <v>2</v>
      </c>
      <c r="B7" s="146" t="str">
        <f>MRS!B7</f>
        <v>Air Compressor Mob &amp; De-Mob. Charge</v>
      </c>
      <c r="C7" s="147"/>
      <c r="D7" s="81" t="str">
        <f>MRS!G7</f>
        <v>L / S</v>
      </c>
      <c r="E7" s="81">
        <f>MRS!H7</f>
        <v>2</v>
      </c>
      <c r="F7" s="82">
        <f>MRS!I7</f>
        <v>2500</v>
      </c>
      <c r="G7" s="83">
        <f>MRS!J7</f>
        <v>5000</v>
      </c>
      <c r="H7" s="84" t="str">
        <f>MRS!L7</f>
        <v>One Time</v>
      </c>
      <c r="K7" s="85"/>
      <c r="L7" s="86"/>
      <c r="M7" s="52"/>
    </row>
    <row r="8" spans="1:13" s="51" customFormat="1" ht="32.1" customHeight="1">
      <c r="A8" s="87">
        <f t="shared" si="0"/>
        <v>3</v>
      </c>
      <c r="B8" s="146" t="str">
        <f>CONCATENATE(MRS!B8," ",MRS!D8)</f>
        <v xml:space="preserve"> </v>
      </c>
      <c r="C8" s="147"/>
      <c r="D8" s="81"/>
      <c r="E8" s="81"/>
      <c r="F8" s="82"/>
      <c r="G8" s="83"/>
      <c r="H8" s="84"/>
      <c r="K8" s="52"/>
      <c r="L8" s="52"/>
      <c r="M8" s="52"/>
    </row>
    <row r="9" spans="1:13" s="51" customFormat="1" ht="32.1" customHeight="1">
      <c r="A9" s="87">
        <f t="shared" si="0"/>
        <v>4</v>
      </c>
      <c r="B9" s="146" t="str">
        <f>CONCATENATE(MRS!B9," ",MRS!D9)</f>
        <v xml:space="preserve"> </v>
      </c>
      <c r="C9" s="147"/>
      <c r="D9" s="81"/>
      <c r="E9" s="81"/>
      <c r="F9" s="82"/>
      <c r="G9" s="83"/>
      <c r="H9" s="84"/>
    </row>
    <row r="10" spans="1:13" s="51" customFormat="1" ht="32.1" customHeight="1">
      <c r="A10" s="87">
        <f t="shared" si="0"/>
        <v>5</v>
      </c>
      <c r="B10" s="130"/>
      <c r="C10" s="131"/>
      <c r="D10" s="88"/>
      <c r="E10" s="89"/>
      <c r="F10" s="90"/>
      <c r="G10" s="91"/>
      <c r="H10" s="92"/>
    </row>
    <row r="11" spans="1:13" s="51" customFormat="1" ht="32.1" customHeight="1">
      <c r="A11" s="87">
        <f t="shared" si="0"/>
        <v>6</v>
      </c>
      <c r="B11" s="130"/>
      <c r="C11" s="131"/>
      <c r="D11" s="88"/>
      <c r="E11" s="89"/>
      <c r="F11" s="90"/>
      <c r="G11" s="91"/>
      <c r="H11" s="92"/>
    </row>
    <row r="12" spans="1:13" s="51" customFormat="1" ht="32.1" customHeight="1">
      <c r="A12" s="87">
        <f t="shared" si="0"/>
        <v>7</v>
      </c>
      <c r="B12" s="130"/>
      <c r="C12" s="131"/>
      <c r="D12" s="88"/>
      <c r="E12" s="89"/>
      <c r="F12" s="90"/>
      <c r="G12" s="91"/>
      <c r="H12" s="92"/>
    </row>
    <row r="13" spans="1:13" s="51" customFormat="1" ht="32.1" customHeight="1">
      <c r="A13" s="87">
        <f t="shared" si="0"/>
        <v>8</v>
      </c>
      <c r="B13" s="130"/>
      <c r="C13" s="131"/>
      <c r="D13" s="88"/>
      <c r="E13" s="89"/>
      <c r="F13" s="90"/>
      <c r="G13" s="91"/>
      <c r="H13" s="92"/>
    </row>
    <row r="14" spans="1:13" s="51" customFormat="1" ht="32.1" customHeight="1">
      <c r="A14" s="87">
        <f t="shared" si="0"/>
        <v>9</v>
      </c>
      <c r="B14" s="130"/>
      <c r="C14" s="131"/>
      <c r="D14" s="88"/>
      <c r="E14" s="89"/>
      <c r="F14" s="93"/>
      <c r="G14" s="91"/>
      <c r="H14" s="92"/>
    </row>
    <row r="15" spans="1:13" s="51" customFormat="1" ht="32.1" customHeight="1">
      <c r="A15" s="87">
        <f t="shared" si="0"/>
        <v>10</v>
      </c>
      <c r="B15" s="130"/>
      <c r="C15" s="131"/>
      <c r="D15" s="88"/>
      <c r="E15" s="89"/>
      <c r="F15" s="93"/>
      <c r="G15" s="91"/>
      <c r="H15" s="92"/>
    </row>
    <row r="16" spans="1:13" s="51" customFormat="1" ht="32.1" customHeight="1">
      <c r="A16" s="87">
        <f t="shared" si="0"/>
        <v>11</v>
      </c>
      <c r="B16" s="130"/>
      <c r="C16" s="131"/>
      <c r="D16" s="88"/>
      <c r="E16" s="89"/>
      <c r="F16" s="90"/>
      <c r="G16" s="91"/>
      <c r="H16" s="92"/>
    </row>
    <row r="17" spans="1:13" s="51" customFormat="1" ht="32.1" customHeight="1">
      <c r="A17" s="87">
        <f t="shared" si="0"/>
        <v>12</v>
      </c>
      <c r="B17" s="130"/>
      <c r="C17" s="131"/>
      <c r="D17" s="88"/>
      <c r="E17" s="89"/>
      <c r="F17" s="90"/>
      <c r="G17" s="91"/>
      <c r="H17" s="92"/>
    </row>
    <row r="18" spans="1:13" s="51" customFormat="1" ht="23.1" customHeight="1">
      <c r="A18" s="148" t="s">
        <v>75</v>
      </c>
      <c r="B18" s="149"/>
      <c r="C18" s="149"/>
      <c r="D18" s="149"/>
      <c r="E18" s="149"/>
      <c r="F18" s="149"/>
      <c r="G18" s="54">
        <f>SUM(G6:G17)</f>
        <v>111000</v>
      </c>
      <c r="H18" s="55"/>
    </row>
    <row r="19" spans="1:13" s="51" customFormat="1" ht="23.1" customHeight="1">
      <c r="A19" s="148" t="s">
        <v>39</v>
      </c>
      <c r="B19" s="149"/>
      <c r="C19" s="149"/>
      <c r="D19" s="149"/>
      <c r="E19" s="149"/>
      <c r="F19" s="149"/>
      <c r="G19" s="54">
        <f>+G18*0.15</f>
        <v>16650</v>
      </c>
      <c r="H19" s="55"/>
    </row>
    <row r="20" spans="1:13" s="51" customFormat="1" ht="24.95" customHeight="1" thickBot="1">
      <c r="A20" s="150" t="s">
        <v>76</v>
      </c>
      <c r="B20" s="151"/>
      <c r="C20" s="151"/>
      <c r="D20" s="151"/>
      <c r="E20" s="151"/>
      <c r="F20" s="151"/>
      <c r="G20" s="56">
        <f>G19+G18</f>
        <v>127650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FZ-OFFR-2026-1880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77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52" t="s">
        <v>78</v>
      </c>
      <c r="B24" s="152"/>
      <c r="C24" s="152"/>
      <c r="D24" s="152"/>
      <c r="E24" s="152"/>
      <c r="F24" s="152"/>
      <c r="G24" s="152"/>
      <c r="H24" s="152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2026-10-07T12:13:53Z</cp:lastPrinted>
  <dcterms:created xsi:type="dcterms:W3CDTF">2024-10-20T11:50:19Z</dcterms:created>
  <dcterms:modified xsi:type="dcterms:W3CDTF">2026-10-07T12:13:56Z</dcterms:modified>
</cp:coreProperties>
</file>