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8EE0FE7C-10D6-4408-82D8-60AF66B11067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K68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20" i="4" l="1"/>
</calcChain>
</file>

<file path=xl/sharedStrings.xml><?xml version="1.0" encoding="utf-8"?>
<sst xmlns="http://schemas.openxmlformats.org/spreadsheetml/2006/main" count="166" uniqueCount="125">
  <si>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</si>
  <si>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</si>
  <si>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</si>
  <si>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</si>
  <si>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</si>
  <si>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</si>
  <si>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</si>
  <si>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</si>
  <si>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</si>
  <si>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</si>
  <si>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</si>
  <si>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</si>
  <si>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</si>
  <si>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</si>
  <si>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</si>
  <si>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</si>
  <si>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</si>
  <si>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</si>
  <si>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</si>
  <si>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</si>
  <si>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</si>
  <si>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</si>
  <si>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</si>
  <si>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</si>
  <si>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</si>
  <si>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</si>
  <si>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</si>
  <si>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</si>
  <si>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</si>
  <si>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</si>
  <si>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</si>
  <si>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</si>
  <si>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</si>
  <si>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</si>
  <si>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</si>
  <si>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</si>
  <si>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</si>
  <si>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</si>
  <si>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</si>
  <si>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</si>
  <si>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</si>
  <si>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</si>
  <si>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</si>
  <si>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</si>
  <si>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</si>
  <si>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</si>
  <si>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</si>
  <si>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: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</si>
  <si>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</si>
  <si>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</si>
  <si>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</si>
  <si>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</si>
  <si>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</si>
  <si>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</si>
  <si>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</si>
  <si>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</si>
  <si>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</si>
  <si>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</si>
  <si>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</si>
  <si>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</si>
  <si>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</si>
  <si>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</si>
  <si>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</si>
  <si>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</si>
  <si>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</si>
  <si>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</si>
  <si>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</si>
  <si>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</si>
  <si>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</si>
  <si>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</si>
  <si>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</si>
  <si>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</si>
  <si>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</si>
  <si>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</si>
  <si>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</si>
  <si>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</si>
  <si>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</si>
  <si>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</si>
  <si>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</si>
  <si>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</si>
  <si>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</si>
  <si>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</si>
  <si>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</si>
  <si>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</si>
  <si>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</si>
  <si>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</si>
  <si>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</si>
  <si>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</si>
  <si>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</si>
  <si>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</si>
  <si>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</si>
  <si>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</si>
  <si>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</si>
  <si>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Subcontract name (SAC2-SC-IK-SMP-01)</t>
  </si>
  <si>
    <t>■ Purchase Requisition of Material / Manpower / Equipment Rental / ETC.</t>
  </si>
  <si>
    <t>Branch of Hyundai Engineering and Const. Co., Ltd. (HDEC)</t>
  </si>
  <si>
    <t>BRANCH OF HYUNDAI ENG. &amp; CONST. CO., LTD.</t>
  </si>
  <si>
    <t>Recruitment Charges</t>
  </si>
  <si>
    <t>Visa Fee, Mandatory Insurance, Agency Fee</t>
  </si>
  <si>
    <t>EA</t>
  </si>
  <si>
    <r>
      <t>Unit Price (</t>
    </r>
    <r>
      <rPr>
        <b/>
        <sz val="10"/>
        <color rgb="FFFF0000"/>
        <rFont val="Arial"/>
        <family val="2"/>
      </rPr>
      <t>USD</t>
    </r>
    <r>
      <rPr>
        <b/>
        <sz val="10"/>
        <rFont val="Arial"/>
        <family val="2"/>
      </rPr>
      <t>)
(Exclude VAT)</t>
    </r>
  </si>
  <si>
    <r>
      <t>Total Price (</t>
    </r>
    <r>
      <rPr>
        <b/>
        <sz val="10"/>
        <color rgb="FFFF0000"/>
        <rFont val="Arial"/>
        <family val="2"/>
      </rPr>
      <t>USD</t>
    </r>
    <r>
      <rPr>
        <b/>
        <sz val="10"/>
        <rFont val="Arial"/>
        <family val="2"/>
      </rPr>
      <t>)
(Exclude VAT)</t>
    </r>
  </si>
  <si>
    <t>OMANFIL</t>
  </si>
  <si>
    <t>One Time</t>
  </si>
  <si>
    <r>
      <t xml:space="preserve">Grand Total in </t>
    </r>
    <r>
      <rPr>
        <b/>
        <sz val="11"/>
        <color rgb="FFFF0000"/>
        <rFont val="Arial"/>
        <family val="2"/>
      </rPr>
      <t>USD</t>
    </r>
  </si>
  <si>
    <t>Omanfil International Manpower Development Corporation</t>
  </si>
  <si>
    <t>OVERSEAS</t>
  </si>
  <si>
    <t>L.La-anan / M. Mecader</t>
  </si>
  <si>
    <t>+632 8821 1650 / Email:manpower@omanfil.com</t>
  </si>
  <si>
    <t>Manila (PHILIPPINES)</t>
  </si>
  <si>
    <t>Sum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</si>
  <si>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</si>
  <si>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</si>
  <si>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</si>
  <si>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</si>
  <si>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</si>
  <si>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</si>
  <si>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</si>
  <si>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</si>
  <si>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ROSALINDA R. DE OCAMPO</t>
  </si>
  <si>
    <t>0064-0000-12</t>
  </si>
  <si>
    <t>BANK OF THE PHILIPPINE ISLANDS</t>
  </si>
  <si>
    <t>BOPIPHMM</t>
  </si>
  <si>
    <t>USD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</si>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</sst>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  <numFmt numFmtId="175" formatCode="_([$USD]\ * #,##0.00_);_([$USD]\ * \(#,##0.00\);_([$USD]\ * &quot;-&quot;??_);_(@_)"/>
  </numFmts>
  <fonts count="54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  <font>
      <b/>
      <sz val="11"/>
      <color rgb="FFFF0000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0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175" fontId="51" fillId="0" borderId="43" xfId="6" applyNumberFormat="1" applyFont="1" applyBorder="1" applyAlignment="1">
      <alignment horizontal="center" vertical="center" wrapText="1"/>
    </xf>
    <xf numFmtId="175" fontId="7" fillId="0" borderId="16" xfId="0" applyNumberFormat="1" applyFont="1" applyBorder="1" applyAlignment="1">
      <alignment horizontal="right" vertical="center" wrapText="1"/>
    </xf>
    <xf numFmtId="0" fontId="52" fillId="3" borderId="0" xfId="5" applyFont="1" applyFill="1"/>
    <xf numFmtId="0" fontId="17" fillId="3" borderId="0" xfId="5" quotePrefix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5" fontId="17" fillId="3" borderId="0" xfId="5" applyNumberFormat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53" fillId="3" borderId="0" xfId="5" applyFont="1" applyFill="1"/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3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94</v>
      </c>
      <c r="B1" s="109"/>
      <c r="C1" s="109"/>
      <c r="D1" s="109"/>
      <c r="E1" s="109"/>
      <c r="F1" s="109"/>
      <c r="G1" s="1"/>
      <c r="J1" s="129" t="s">
        <v>86</v>
      </c>
      <c r="K1" s="130"/>
      <c r="L1" s="131"/>
    </row>
    <row r="2" spans="1:19" ht="20.100000000000001" customHeight="1">
      <c r="A2" s="3" t="s">
        <v>1</v>
      </c>
      <c r="B2" s="100"/>
      <c r="C2" s="100"/>
      <c r="D2" s="3" t="s">
        <v>92</v>
      </c>
      <c r="E2" s="100"/>
      <c r="F2" s="100"/>
      <c r="G2" s="100"/>
      <c r="H2" s="100"/>
      <c r="I2" s="4"/>
      <c r="J2" s="132" t="s">
        <v>93</v>
      </c>
      <c r="K2" s="133"/>
      <c r="L2" s="134"/>
    </row>
    <row r="3" spans="1:19" ht="20.100000000000001" customHeight="1">
      <c r="A3" s="3" t="s">
        <v>124</v>
      </c>
      <c r="B3" s="100"/>
      <c r="C3" s="100"/>
      <c r="D3" s="100"/>
      <c r="E3" s="135">
        <f>+L3</f>
        <v>46065</v>
      </c>
      <c r="F3" s="135"/>
      <c r="G3" s="135"/>
      <c r="H3" s="135"/>
      <c r="I3" s="135"/>
      <c r="J3" s="100"/>
      <c r="K3" s="100"/>
      <c r="L3" s="121">
        <v>46065</v>
      </c>
      <c r="M3" s="4"/>
    </row>
    <row r="4" spans="1:19" ht="15.95" customHeight="1">
      <c r="A4" s="136" t="s">
        <v>2</v>
      </c>
      <c r="B4" s="137" t="s">
        <v>3</v>
      </c>
      <c r="C4" s="137"/>
      <c r="D4" s="138" t="s">
        <v>4</v>
      </c>
      <c r="E4" s="139"/>
      <c r="F4" s="140"/>
      <c r="G4" s="144" t="s">
        <v>5</v>
      </c>
      <c r="H4" s="146" t="s">
        <v>6</v>
      </c>
      <c r="I4" s="146" t="s">
        <v>100</v>
      </c>
      <c r="J4" s="136" t="s">
        <v>101</v>
      </c>
      <c r="K4" s="146" t="s">
        <v>0</v>
      </c>
      <c r="L4" s="137" t="s">
        <v>7</v>
      </c>
    </row>
    <row r="5" spans="1:19" ht="15.95" customHeight="1">
      <c r="A5" s="136"/>
      <c r="B5" s="137"/>
      <c r="C5" s="137"/>
      <c r="D5" s="141"/>
      <c r="E5" s="142"/>
      <c r="F5" s="143"/>
      <c r="G5" s="145"/>
      <c r="H5" s="147"/>
      <c r="I5" s="147"/>
      <c r="J5" s="136"/>
      <c r="K5" s="147"/>
      <c r="L5" s="137"/>
    </row>
    <row r="6" spans="1:19" ht="22.5" customHeight="1">
      <c r="A6" s="5">
        <f t="shared" ref="A6:A15" si="0">ROW(A1)</f>
        <v>1</v>
      </c>
      <c r="B6" s="148" t="s">
        <v>97</v>
      </c>
      <c r="C6" s="149"/>
      <c r="D6" s="150" t="s">
        <v>98</v>
      </c>
      <c r="E6" s="151"/>
      <c r="F6" s="152"/>
      <c r="G6" s="110" t="s">
        <v>99</v>
      </c>
      <c r="H6" s="111">
        <v>1</v>
      </c>
      <c r="I6" s="112">
        <v>2026</v>
      </c>
      <c r="J6" s="112">
        <f>H6*I6</f>
        <v>2026</v>
      </c>
      <c r="K6" s="113" t="s">
        <v>102</v>
      </c>
      <c r="L6" s="114" t="s">
        <v>103</v>
      </c>
      <c r="S6" s="105"/>
    </row>
    <row r="7" spans="1:19" ht="22.5" customHeight="1">
      <c r="A7" s="5">
        <f t="shared" si="0"/>
        <v>2</v>
      </c>
      <c r="B7" s="148"/>
      <c r="C7" s="149"/>
      <c r="D7" s="153"/>
      <c r="E7" s="151"/>
      <c r="F7" s="152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48"/>
      <c r="C8" s="149"/>
      <c r="D8" s="150"/>
      <c r="E8" s="151"/>
      <c r="F8" s="152"/>
      <c r="G8" s="110"/>
      <c r="H8" s="111"/>
      <c r="I8" s="112"/>
      <c r="J8" s="112"/>
      <c r="K8" s="113"/>
      <c r="L8" s="114"/>
      <c r="S8" s="105"/>
    </row>
    <row r="9" spans="1:19" ht="22.5" customHeight="1">
      <c r="A9" s="5">
        <f t="shared" si="0"/>
        <v>4</v>
      </c>
      <c r="B9" s="148"/>
      <c r="C9" s="149"/>
      <c r="D9" s="150"/>
      <c r="E9" s="151"/>
      <c r="F9" s="152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54"/>
      <c r="C10" s="154"/>
      <c r="D10" s="155"/>
      <c r="E10" s="155"/>
      <c r="F10" s="155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8"/>
      <c r="C11" s="149"/>
      <c r="D11" s="150"/>
      <c r="E11" s="151"/>
      <c r="F11" s="152"/>
      <c r="G11" s="110"/>
      <c r="H11" s="111"/>
      <c r="I11" s="112"/>
      <c r="J11" s="112"/>
      <c r="K11" s="113"/>
      <c r="L11" s="114"/>
      <c r="S11" s="105"/>
    </row>
    <row r="12" spans="1:19" ht="22.5" customHeight="1">
      <c r="A12" s="5">
        <f t="shared" si="0"/>
        <v>7</v>
      </c>
      <c r="B12" s="154"/>
      <c r="C12" s="154"/>
      <c r="D12" s="155"/>
      <c r="E12" s="155"/>
      <c r="F12" s="155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8"/>
      <c r="C13" s="149"/>
      <c r="D13" s="150"/>
      <c r="E13" s="151"/>
      <c r="F13" s="152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8"/>
      <c r="C14" s="149"/>
      <c r="D14" s="150"/>
      <c r="E14" s="151"/>
      <c r="F14" s="152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8"/>
      <c r="C15" s="149"/>
      <c r="D15" s="150"/>
      <c r="E15" s="151"/>
      <c r="F15" s="152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6" t="s">
        <v>8</v>
      </c>
      <c r="B16" s="157"/>
      <c r="C16" s="116"/>
      <c r="D16" s="117"/>
      <c r="E16" s="117"/>
      <c r="F16" s="117"/>
      <c r="G16" s="118"/>
      <c r="H16" s="118"/>
      <c r="I16" s="119" t="s">
        <v>110</v>
      </c>
      <c r="J16" s="126">
        <f>SUM(J6:J15)</f>
        <v>2026</v>
      </c>
      <c r="K16" s="112"/>
      <c r="L16" s="120"/>
    </row>
    <row r="17" spans="1:22" ht="20.100000000000001" customHeight="1">
      <c r="A17" s="6" t="s">
        <v>9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8" t="s">
        <v>10</v>
      </c>
      <c r="T18" s="12" t="s">
        <v>11</v>
      </c>
      <c r="U18" s="13" t="s">
        <v>12</v>
      </c>
      <c r="V18" s="12" t="s">
        <v>13</v>
      </c>
    </row>
    <row r="19" spans="1:22" ht="50.1" customHeight="1">
      <c r="S19" s="159"/>
      <c r="T19" s="14"/>
      <c r="U19" s="15"/>
      <c r="V19" s="14"/>
    </row>
    <row r="20" spans="1:22" ht="17.100000000000001" customHeight="1">
      <c r="O20" s="11"/>
      <c r="P20" s="11"/>
      <c r="Q20" s="11"/>
      <c r="S20" s="160"/>
      <c r="T20" s="15" t="s">
        <v>14</v>
      </c>
      <c r="U20" s="15" t="s">
        <v>14</v>
      </c>
      <c r="V20" s="16" t="s">
        <v>14</v>
      </c>
    </row>
    <row r="21" spans="1:22" ht="15" customHeight="1">
      <c r="O21" s="17" t="s">
        <v>15</v>
      </c>
      <c r="P21" s="161" t="s">
        <v>16</v>
      </c>
      <c r="Q21" s="161" t="s">
        <v>17</v>
      </c>
    </row>
    <row r="22" spans="1:22" ht="18" customHeight="1">
      <c r="O22" s="18" t="s">
        <v>18</v>
      </c>
      <c r="P22" s="162"/>
      <c r="Q22" s="162"/>
      <c r="S22" s="158" t="s">
        <v>19</v>
      </c>
      <c r="T22" s="12" t="s">
        <v>11</v>
      </c>
      <c r="U22" s="12" t="s">
        <v>12</v>
      </c>
      <c r="V22" s="12" t="s">
        <v>13</v>
      </c>
    </row>
    <row r="23" spans="1:22" ht="50.1" customHeight="1">
      <c r="O23" s="14"/>
      <c r="P23" s="14"/>
      <c r="Q23" s="14"/>
      <c r="S23" s="159"/>
      <c r="T23" s="19"/>
      <c r="U23" s="19"/>
      <c r="V23" s="14"/>
    </row>
    <row r="24" spans="1:22" ht="17.100000000000001" customHeight="1">
      <c r="O24" s="16" t="s">
        <v>14</v>
      </c>
      <c r="P24" s="16" t="s">
        <v>14</v>
      </c>
      <c r="Q24" s="16" t="s">
        <v>14</v>
      </c>
      <c r="S24" s="160"/>
      <c r="T24" s="15" t="s">
        <v>14</v>
      </c>
      <c r="U24" s="15" t="s">
        <v>14</v>
      </c>
      <c r="V24" s="16" t="s">
        <v>14</v>
      </c>
    </row>
    <row r="25" spans="1:22" ht="9.9499999999999993" customHeight="1"/>
    <row r="26" spans="1:22" ht="19.899999999999999" customHeight="1"/>
    <row r="27" spans="1:22" ht="17.45" customHeight="1">
      <c r="O27" s="163"/>
      <c r="P27" s="163"/>
      <c r="Q27" s="163"/>
    </row>
    <row r="28" spans="1:22" ht="19.899999999999999" customHeight="1">
      <c r="O28" s="163"/>
      <c r="P28" s="163"/>
      <c r="Q28" s="163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61" t="s">
        <v>20</v>
      </c>
    </row>
    <row r="41" spans="15:22" ht="19.899999999999999" customHeight="1">
      <c r="T41" s="162"/>
    </row>
    <row r="42" spans="15:22" ht="64.900000000000006" customHeight="1">
      <c r="T42" s="14"/>
    </row>
    <row r="46" spans="15:22" ht="21" customHeight="1">
      <c r="O46" s="161" t="s">
        <v>20</v>
      </c>
      <c r="P46" s="161" t="s">
        <v>20</v>
      </c>
      <c r="Q46" s="161" t="s">
        <v>20</v>
      </c>
      <c r="T46" s="161" t="s">
        <v>21</v>
      </c>
      <c r="U46" s="161" t="s">
        <v>12</v>
      </c>
      <c r="V46" s="161" t="s">
        <v>20</v>
      </c>
    </row>
    <row r="47" spans="15:22" ht="21" customHeight="1">
      <c r="O47" s="162"/>
      <c r="P47" s="162"/>
      <c r="Q47" s="162"/>
      <c r="T47" s="160"/>
      <c r="U47" s="160"/>
      <c r="V47" s="162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61" t="s">
        <v>20</v>
      </c>
      <c r="P50" s="161" t="s">
        <v>20</v>
      </c>
      <c r="Q50" s="161" t="s">
        <v>20</v>
      </c>
      <c r="T50" s="161" t="s">
        <v>12</v>
      </c>
      <c r="U50" s="161" t="s">
        <v>21</v>
      </c>
      <c r="V50" s="161" t="s">
        <v>20</v>
      </c>
    </row>
    <row r="51" spans="15:22" ht="21" customHeight="1">
      <c r="O51" s="162"/>
      <c r="P51" s="162"/>
      <c r="Q51" s="162"/>
      <c r="T51" s="160"/>
      <c r="U51" s="160"/>
      <c r="V51" s="162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91</v>
      </c>
      <c r="B1" s="99"/>
      <c r="C1" s="99"/>
      <c r="D1" s="99"/>
      <c r="E1" s="99"/>
      <c r="F1" s="99"/>
      <c r="G1" s="1"/>
      <c r="J1" s="129" t="str">
        <f>+MRS!J1</f>
        <v>DAESHIN PLANT</v>
      </c>
      <c r="K1" s="131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32" t="str">
        <f>+MRS!J2</f>
        <v>Subcontract name (SAC2-SC-IK-SMP-01)</v>
      </c>
      <c r="K2" s="134"/>
    </row>
    <row r="3" spans="1:18" ht="24.95" customHeight="1">
      <c r="A3" s="3" t="str">
        <f>+MRS!A3</f>
        <v xml:space="preserve">  MRS No : SAC2-DS-MRS-0224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46065</v>
      </c>
    </row>
    <row r="4" spans="1:18" ht="15.95" customHeight="1">
      <c r="A4" s="164" t="s">
        <v>2</v>
      </c>
      <c r="B4" s="165" t="s">
        <v>22</v>
      </c>
      <c r="C4" s="165"/>
      <c r="D4" s="164" t="s">
        <v>4</v>
      </c>
      <c r="E4" s="164"/>
      <c r="F4" s="164"/>
      <c r="G4" s="165" t="s">
        <v>5</v>
      </c>
      <c r="H4" s="164" t="s">
        <v>87</v>
      </c>
      <c r="I4" s="164" t="s">
        <v>23</v>
      </c>
      <c r="J4" s="164" t="s">
        <v>24</v>
      </c>
      <c r="K4" s="165" t="s">
        <v>7</v>
      </c>
    </row>
    <row r="5" spans="1:18" ht="15.95" customHeight="1">
      <c r="A5" s="164"/>
      <c r="B5" s="165"/>
      <c r="C5" s="165"/>
      <c r="D5" s="164"/>
      <c r="E5" s="164"/>
      <c r="F5" s="164"/>
      <c r="G5" s="165"/>
      <c r="H5" s="164"/>
      <c r="I5" s="164"/>
      <c r="J5" s="164"/>
      <c r="K5" s="165"/>
    </row>
    <row r="6" spans="1:18" ht="105" customHeight="1">
      <c r="A6" s="21">
        <f>+MRS!A6</f>
        <v>1</v>
      </c>
      <c r="B6" s="166" t="str">
        <f>MRS!B6</f>
        <v>Recruitment Charges</v>
      </c>
      <c r="C6" s="167"/>
      <c r="D6" s="168" t="str">
        <f>MRS!D6</f>
        <v>Visa Fee, Mandatory Insurance, Agency Fee</v>
      </c>
      <c r="E6" s="169"/>
      <c r="F6" s="170"/>
      <c r="G6" s="102" t="str">
        <f>MRS!G6</f>
        <v>EA</v>
      </c>
      <c r="H6" s="102">
        <f>MRS!H6</f>
        <v>1</v>
      </c>
      <c r="I6" s="103">
        <f>MRS!I6</f>
        <v>2026</v>
      </c>
      <c r="J6" s="103">
        <f>MRS!J6</f>
        <v>2026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6">
        <f>MRS!B7</f>
        <v>0</v>
      </c>
      <c r="C7" s="167"/>
      <c r="D7" s="168">
        <f>MRS!D7</f>
        <v>0</v>
      </c>
      <c r="E7" s="169"/>
      <c r="F7" s="170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6">
        <f>MRS!B8</f>
        <v>0</v>
      </c>
      <c r="C8" s="167"/>
      <c r="D8" s="168">
        <f>MRS!D8</f>
        <v>0</v>
      </c>
      <c r="E8" s="169"/>
      <c r="F8" s="170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6">
        <f>MRS!B9</f>
        <v>0</v>
      </c>
      <c r="C9" s="167"/>
      <c r="D9" s="168">
        <f>MRS!D9</f>
        <v>0</v>
      </c>
      <c r="E9" s="169"/>
      <c r="F9" s="170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6">
        <f>MRS!B10</f>
        <v>0</v>
      </c>
      <c r="C10" s="167"/>
      <c r="D10" s="168">
        <f>MRS!D10</f>
        <v>0</v>
      </c>
      <c r="E10" s="169"/>
      <c r="F10" s="170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6">
        <f>MRS!B11</f>
        <v>0</v>
      </c>
      <c r="C11" s="167"/>
      <c r="D11" s="168">
        <f>MRS!D11</f>
        <v>0</v>
      </c>
      <c r="E11" s="169"/>
      <c r="F11" s="170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71"/>
      <c r="C12" s="172"/>
      <c r="D12" s="173"/>
      <c r="E12" s="174"/>
      <c r="F12" s="175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71"/>
      <c r="C13" s="172"/>
      <c r="D13" s="173"/>
      <c r="E13" s="174"/>
      <c r="F13" s="175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71"/>
      <c r="C14" s="172"/>
      <c r="D14" s="173"/>
      <c r="E14" s="174"/>
      <c r="F14" s="175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71"/>
      <c r="C15" s="172"/>
      <c r="D15" s="173"/>
      <c r="E15" s="174"/>
      <c r="F15" s="175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71"/>
      <c r="C16" s="172"/>
      <c r="D16" s="173"/>
      <c r="E16" s="174"/>
      <c r="F16" s="175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71"/>
      <c r="C17" s="172"/>
      <c r="D17" s="173"/>
      <c r="E17" s="174"/>
      <c r="F17" s="175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C26" sqref="C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96</v>
      </c>
    </row>
    <row r="3" spans="2:13" s="22" customFormat="1">
      <c r="M3" s="24" t="s">
        <v>25</v>
      </c>
    </row>
    <row r="4" spans="2:13" s="22" customFormat="1">
      <c r="M4" s="24" t="s">
        <v>26</v>
      </c>
    </row>
    <row r="5" spans="2:13" s="22" customFormat="1">
      <c r="B5" s="25" t="s">
        <v>27</v>
      </c>
      <c r="M5" s="24" t="s">
        <v>28</v>
      </c>
    </row>
    <row r="6" spans="2:13" s="22" customFormat="1">
      <c r="M6" s="24" t="s">
        <v>29</v>
      </c>
    </row>
    <row r="7" spans="2:13">
      <c r="M7" s="27"/>
    </row>
    <row r="8" spans="2:13">
      <c r="M8" s="27"/>
    </row>
    <row r="9" spans="2:13" s="73" customFormat="1" ht="13.5">
      <c r="B9" s="71" t="s">
        <v>30</v>
      </c>
      <c r="C9" s="72" t="s">
        <v>105</v>
      </c>
      <c r="D9" s="39"/>
      <c r="E9" s="39"/>
    </row>
    <row r="10" spans="2:13" s="39" customFormat="1">
      <c r="B10" s="71"/>
      <c r="C10" s="39" t="s">
        <v>31</v>
      </c>
      <c r="D10" s="75" t="s">
        <v>106</v>
      </c>
      <c r="J10" s="39" t="s">
        <v>32</v>
      </c>
      <c r="K10" s="177">
        <f>MRS!L3</f>
        <v>46065</v>
      </c>
      <c r="L10" s="178"/>
      <c r="M10" s="178"/>
    </row>
    <row r="11" spans="2:13" s="39" customFormat="1">
      <c r="B11" s="71"/>
      <c r="C11" s="74" t="s">
        <v>33</v>
      </c>
      <c r="D11" s="75" t="s">
        <v>106</v>
      </c>
      <c r="J11" s="39" t="s">
        <v>34</v>
      </c>
      <c r="K11" s="179" t="str">
        <f>SUBSTITUTE(SUBSTITUTE(+MRS!A3,"  MRS No : ",""),"-MRS","-PO")</f>
        <v>SAC2-DS-PO-0224</v>
      </c>
      <c r="L11" s="179"/>
      <c r="M11" s="179"/>
    </row>
    <row r="12" spans="2:13" s="39" customFormat="1">
      <c r="B12" s="71"/>
      <c r="C12" s="74" t="s">
        <v>35</v>
      </c>
      <c r="D12" s="39" t="s">
        <v>107</v>
      </c>
      <c r="J12" s="39" t="s">
        <v>36</v>
      </c>
    </row>
    <row r="13" spans="2:13" s="39" customFormat="1">
      <c r="B13" s="71"/>
      <c r="C13" s="76"/>
      <c r="D13" s="75" t="s">
        <v>108</v>
      </c>
      <c r="J13" s="39" t="s">
        <v>37</v>
      </c>
    </row>
    <row r="14" spans="2:13" s="39" customFormat="1">
      <c r="B14" s="71"/>
      <c r="C14" s="76"/>
      <c r="D14" s="39" t="s">
        <v>109</v>
      </c>
      <c r="J14" s="39" t="s">
        <v>38</v>
      </c>
      <c r="K14" s="39" t="s">
        <v>62</v>
      </c>
    </row>
    <row r="15" spans="2:13" s="39" customFormat="1">
      <c r="B15" s="71"/>
      <c r="C15" s="76"/>
      <c r="J15" s="39" t="s">
        <v>39</v>
      </c>
      <c r="K15" s="77" t="s">
        <v>62</v>
      </c>
    </row>
    <row r="16" spans="2:13" s="39" customFormat="1">
      <c r="C16" s="76"/>
      <c r="K16" s="77"/>
    </row>
    <row r="17" spans="2:13" ht="6" customHeight="1">
      <c r="C17" s="29"/>
      <c r="K17" s="30"/>
    </row>
    <row r="18" spans="2:13" ht="20.25">
      <c r="B18" s="180" t="s">
        <v>40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41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42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43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44</v>
      </c>
    </row>
    <row r="26" spans="2:13" s="39" customFormat="1" ht="15" customHeight="1">
      <c r="B26" s="72"/>
      <c r="C26" s="75" t="s">
        <v>97</v>
      </c>
      <c r="M26" s="78" t="s">
        <v>45</v>
      </c>
    </row>
    <row r="27" spans="2:13" ht="12" customHeight="1">
      <c r="B27" s="32"/>
      <c r="C27" s="124"/>
    </row>
    <row r="28" spans="2:13" ht="15" customHeight="1">
      <c r="B28" s="32">
        <v>2</v>
      </c>
      <c r="C28" s="32" t="s">
        <v>46</v>
      </c>
    </row>
    <row r="29" spans="2:13" ht="3.75" customHeight="1">
      <c r="B29" s="32"/>
      <c r="F29" s="184"/>
      <c r="G29" s="184"/>
      <c r="H29" s="33"/>
      <c r="M29" s="34"/>
    </row>
    <row r="30" spans="2:13" ht="3.75" customHeight="1">
      <c r="B30" s="32"/>
      <c r="F30" s="185"/>
      <c r="G30" s="185"/>
    </row>
    <row r="31" spans="2:13" ht="12" customHeight="1">
      <c r="B31" s="32"/>
      <c r="C31" s="26" t="s">
        <v>48</v>
      </c>
      <c r="D31" s="35"/>
      <c r="E31" s="26" t="s">
        <v>47</v>
      </c>
      <c r="F31" s="184">
        <v>2026</v>
      </c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6" t="s">
        <v>56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57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58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59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60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9" customFormat="1" ht="12" customHeight="1">
      <c r="B49" s="79" t="s">
        <v>62</v>
      </c>
      <c r="C49" s="80" t="s">
        <v>89</v>
      </c>
      <c r="P49" s="81"/>
    </row>
    <row r="50" spans="2:16" s="82" customFormat="1" ht="12" customHeight="1">
      <c r="B50" s="83" t="s">
        <v>62</v>
      </c>
      <c r="C50" s="80" t="s">
        <v>90</v>
      </c>
    </row>
    <row r="51" spans="2:16" s="82" customFormat="1" ht="12" customHeight="1">
      <c r="B51" s="83" t="s">
        <v>62</v>
      </c>
      <c r="C51" s="80" t="s">
        <v>88</v>
      </c>
    </row>
    <row r="52" spans="2:16" s="82" customFormat="1" ht="6" customHeight="1">
      <c r="B52" s="83"/>
      <c r="C52" s="80"/>
    </row>
    <row r="53" spans="2:16" ht="15" customHeight="1">
      <c r="B53" s="42">
        <v>7</v>
      </c>
      <c r="C53" s="32" t="s">
        <v>111</v>
      </c>
    </row>
    <row r="54" spans="2:16" ht="12" customHeight="1">
      <c r="B54" s="83" t="s">
        <v>62</v>
      </c>
      <c r="C54" s="127" t="s">
        <v>112</v>
      </c>
      <c r="F54" s="26" t="s">
        <v>119</v>
      </c>
    </row>
    <row r="55" spans="2:16" ht="12" customHeight="1">
      <c r="B55" s="83" t="s">
        <v>62</v>
      </c>
      <c r="C55" s="127" t="s">
        <v>113</v>
      </c>
      <c r="F55" s="128" t="s">
        <v>120</v>
      </c>
    </row>
    <row r="56" spans="2:16" ht="12" customHeight="1">
      <c r="B56" s="83" t="s">
        <v>62</v>
      </c>
      <c r="C56" s="127" t="s">
        <v>114</v>
      </c>
      <c r="F56" s="26" t="s">
        <v>62</v>
      </c>
    </row>
    <row r="57" spans="2:16" ht="12" customHeight="1">
      <c r="B57" s="83" t="s">
        <v>62</v>
      </c>
      <c r="C57" s="127" t="s">
        <v>115</v>
      </c>
      <c r="F57" s="26" t="s">
        <v>121</v>
      </c>
    </row>
    <row r="58" spans="2:16" ht="12" customHeight="1">
      <c r="B58" s="83" t="s">
        <v>62</v>
      </c>
      <c r="C58" s="127" t="s">
        <v>116</v>
      </c>
      <c r="F58" s="26" t="s">
        <v>122</v>
      </c>
    </row>
    <row r="59" spans="2:16" ht="12" customHeight="1">
      <c r="B59" s="83" t="s">
        <v>62</v>
      </c>
      <c r="C59" s="127" t="s">
        <v>117</v>
      </c>
      <c r="F59" s="26" t="s">
        <v>123</v>
      </c>
    </row>
    <row r="60" spans="2:16" ht="15" customHeight="1">
      <c r="B60" s="83"/>
      <c r="C60" s="209" t="s">
        <v>118</v>
      </c>
    </row>
    <row r="61" spans="2:16" ht="6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11.1" customHeight="1">
      <c r="B64" s="42"/>
    </row>
    <row r="65" spans="1:13">
      <c r="B65" s="32" t="s">
        <v>63</v>
      </c>
      <c r="J65" s="32" t="s">
        <v>64</v>
      </c>
    </row>
    <row r="66" spans="1:13" ht="50.1" customHeight="1"/>
    <row r="67" spans="1:13" ht="18" customHeight="1">
      <c r="B67" s="26" t="s">
        <v>65</v>
      </c>
      <c r="J67" s="26" t="s">
        <v>65</v>
      </c>
    </row>
    <row r="68" spans="1:13" ht="18" customHeight="1">
      <c r="B68" s="26" t="s">
        <v>66</v>
      </c>
      <c r="J68" s="26" t="s">
        <v>67</v>
      </c>
      <c r="K68" s="22" t="str">
        <f>D12</f>
        <v>L.La-anan / M. Mecader</v>
      </c>
    </row>
    <row r="69" spans="1:13" ht="18" customHeight="1">
      <c r="B69" s="26" t="s">
        <v>68</v>
      </c>
      <c r="J69" s="26" t="s">
        <v>69</v>
      </c>
      <c r="K69" s="22"/>
    </row>
    <row r="70" spans="1:13" ht="15" customHeight="1">
      <c r="B70" s="26" t="s">
        <v>70</v>
      </c>
      <c r="J70" s="26" t="s">
        <v>71</v>
      </c>
    </row>
    <row r="71" spans="1:13" s="28" customFormat="1" ht="24.75" customHeight="1">
      <c r="B71" s="25" t="s">
        <v>95</v>
      </c>
      <c r="J71" s="186" t="str">
        <f>C9</f>
        <v>Omanfil International Manpower Development Corporation</v>
      </c>
      <c r="K71" s="186"/>
      <c r="L71" s="186"/>
      <c r="M71" s="186"/>
    </row>
    <row r="72" spans="1:13" ht="27.95" customHeight="1">
      <c r="A72" s="176" t="s">
        <v>72</v>
      </c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F4" sqref="F4:G4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73</v>
      </c>
      <c r="B2" s="47" t="str">
        <f>+'PO 1st page'!K11</f>
        <v>SAC2-DS-PO-0224</v>
      </c>
      <c r="C2" s="189" t="s">
        <v>74</v>
      </c>
      <c r="D2" s="189"/>
      <c r="E2" s="189"/>
      <c r="F2" s="189"/>
      <c r="G2" s="48"/>
      <c r="H2" s="48"/>
    </row>
    <row r="3" spans="1:13" s="54" customFormat="1" ht="28.5" customHeight="1" thickBot="1">
      <c r="A3" s="49" t="s">
        <v>75</v>
      </c>
      <c r="B3" s="50">
        <f>+'PO 1st page'!K10</f>
        <v>46065</v>
      </c>
      <c r="C3" s="51"/>
      <c r="D3" s="52"/>
      <c r="E3" s="190" t="s">
        <v>76</v>
      </c>
      <c r="F3" s="190"/>
      <c r="G3" s="190"/>
      <c r="H3" s="190"/>
      <c r="I3" s="53"/>
    </row>
    <row r="4" spans="1:13" s="55" customFormat="1" ht="28.5" customHeight="1" thickTop="1">
      <c r="A4" s="191" t="s">
        <v>77</v>
      </c>
      <c r="B4" s="193" t="s">
        <v>78</v>
      </c>
      <c r="C4" s="194"/>
      <c r="D4" s="197" t="s">
        <v>79</v>
      </c>
      <c r="E4" s="197" t="s">
        <v>80</v>
      </c>
      <c r="F4" s="199" t="str">
        <f>'PO 1st page'!C9</f>
        <v>Omanfil International Manpower Development Corporation</v>
      </c>
      <c r="G4" s="200"/>
      <c r="H4" s="201" t="s">
        <v>81</v>
      </c>
      <c r="K4" s="56"/>
      <c r="L4" s="56"/>
      <c r="M4" s="56"/>
    </row>
    <row r="5" spans="1:13" s="55" customFormat="1" ht="21.95" customHeight="1">
      <c r="A5" s="192"/>
      <c r="B5" s="195"/>
      <c r="C5" s="196"/>
      <c r="D5" s="198"/>
      <c r="E5" s="198"/>
      <c r="F5" s="57" t="s">
        <v>82</v>
      </c>
      <c r="G5" s="57" t="s">
        <v>48</v>
      </c>
      <c r="H5" s="202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87" t="str">
        <f>CONCATENATE(MRS!B6," ",MRS!D6)</f>
        <v>Recruitment Charges Visa Fee, Mandatory Insurance, Agency Fee</v>
      </c>
      <c r="C6" s="188"/>
      <c r="D6" s="85" t="str">
        <f>+'MRS LIST'!G6</f>
        <v>EA</v>
      </c>
      <c r="E6" s="86">
        <f>+'MRS LIST'!H6</f>
        <v>1</v>
      </c>
      <c r="F6" s="87">
        <f>+'MRS LIST'!I6</f>
        <v>2026</v>
      </c>
      <c r="G6" s="88">
        <f>+'MRS LIST'!J6</f>
        <v>2026</v>
      </c>
      <c r="H6" s="89" t="str">
        <f>MRS!L6</f>
        <v>One Time</v>
      </c>
      <c r="K6" s="90"/>
      <c r="L6" s="91"/>
      <c r="M6" s="56"/>
    </row>
    <row r="7" spans="1:13" s="55" customFormat="1" ht="32.1" customHeight="1">
      <c r="A7" s="84">
        <f t="shared" si="0"/>
        <v>2</v>
      </c>
      <c r="B7" s="187"/>
      <c r="C7" s="188"/>
      <c r="D7" s="85"/>
      <c r="E7" s="86"/>
      <c r="F7" s="87"/>
      <c r="G7" s="88"/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87"/>
      <c r="C8" s="188"/>
      <c r="D8" s="85"/>
      <c r="E8" s="86"/>
      <c r="F8" s="87"/>
      <c r="G8" s="88"/>
      <c r="H8" s="97"/>
      <c r="K8" s="56"/>
      <c r="L8" s="56"/>
      <c r="M8" s="56"/>
    </row>
    <row r="9" spans="1:13" s="55" customFormat="1" ht="32.1" customHeight="1">
      <c r="A9" s="92">
        <f t="shared" si="0"/>
        <v>4</v>
      </c>
      <c r="B9" s="187"/>
      <c r="C9" s="188"/>
      <c r="D9" s="85"/>
      <c r="E9" s="86"/>
      <c r="F9" s="87"/>
      <c r="G9" s="88"/>
      <c r="H9" s="97"/>
    </row>
    <row r="10" spans="1:13" s="55" customFormat="1" ht="32.1" customHeight="1">
      <c r="A10" s="92">
        <f t="shared" si="0"/>
        <v>5</v>
      </c>
      <c r="B10" s="187"/>
      <c r="C10" s="188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87"/>
      <c r="C11" s="188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207"/>
      <c r="C12" s="208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207"/>
      <c r="C13" s="208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207"/>
      <c r="C14" s="208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207"/>
      <c r="C15" s="208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207"/>
      <c r="C16" s="208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207"/>
      <c r="C17" s="208"/>
      <c r="D17" s="93"/>
      <c r="E17" s="94"/>
      <c r="F17" s="95"/>
      <c r="G17" s="96"/>
      <c r="H17" s="97"/>
    </row>
    <row r="18" spans="1:13" s="55" customFormat="1" ht="23.1" customHeight="1">
      <c r="A18" s="203" t="s">
        <v>83</v>
      </c>
      <c r="B18" s="204"/>
      <c r="C18" s="204"/>
      <c r="D18" s="204"/>
      <c r="E18" s="204"/>
      <c r="F18" s="204"/>
      <c r="G18" s="58">
        <f>SUM(G6:G17)</f>
        <v>2026</v>
      </c>
      <c r="H18" s="59"/>
    </row>
    <row r="19" spans="1:13" s="55" customFormat="1" ht="23.1" customHeight="1">
      <c r="A19" s="203"/>
      <c r="B19" s="204"/>
      <c r="C19" s="204"/>
      <c r="D19" s="204"/>
      <c r="E19" s="204"/>
      <c r="F19" s="204"/>
      <c r="G19" s="58"/>
      <c r="H19" s="59"/>
    </row>
    <row r="20" spans="1:13" s="55" customFormat="1" ht="24.95" customHeight="1" thickBot="1">
      <c r="A20" s="205" t="s">
        <v>104</v>
      </c>
      <c r="B20" s="206"/>
      <c r="C20" s="206"/>
      <c r="D20" s="206"/>
      <c r="E20" s="206"/>
      <c r="F20" s="206"/>
      <c r="G20" s="125">
        <f>G19+G18</f>
        <v>2026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-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84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6" t="s">
        <v>85</v>
      </c>
      <c r="B24" s="176"/>
      <c r="C24" s="176"/>
      <c r="D24" s="176"/>
      <c r="E24" s="176"/>
      <c r="F24" s="176"/>
      <c r="G24" s="176"/>
      <c r="H24" s="176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2026-02-12T04:09:44Z</cp:lastPrinted>
  <dcterms:created xsi:type="dcterms:W3CDTF">2024-10-20T11:50:19Z</dcterms:created>
  <dcterms:modified xsi:type="dcterms:W3CDTF">2026-02-12T04:09:47Z</dcterms:modified>
</cp:coreProperties>
</file>