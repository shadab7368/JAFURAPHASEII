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696B939-3B1E-49EE-945A-BF5C88E2EF89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MRS!$A$1:$L$66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page'!$A$1:$H$60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2" l="1"/>
  <c r="G53" i="4" s="1"/>
  <c r="I53" i="2"/>
  <c r="H53" i="2"/>
  <c r="G53" i="2"/>
  <c r="J52" i="2"/>
  <c r="I52" i="2"/>
  <c r="H52" i="2"/>
  <c r="G52" i="2"/>
  <c r="J51" i="2"/>
  <c r="I51" i="2"/>
  <c r="H51" i="2"/>
  <c r="G51" i="2"/>
  <c r="J50" i="2"/>
  <c r="G50" i="4" s="1"/>
  <c r="I50" i="2"/>
  <c r="H50" i="2"/>
  <c r="G50" i="2"/>
  <c r="J49" i="2"/>
  <c r="I49" i="2"/>
  <c r="H49" i="2"/>
  <c r="G49" i="2"/>
  <c r="J48" i="2"/>
  <c r="I48" i="2"/>
  <c r="H48" i="2"/>
  <c r="G48" i="2"/>
  <c r="J47" i="2"/>
  <c r="G47" i="4" s="1"/>
  <c r="I47" i="2"/>
  <c r="H47" i="2"/>
  <c r="G47" i="2"/>
  <c r="J46" i="2"/>
  <c r="I46" i="2"/>
  <c r="H46" i="2"/>
  <c r="G46" i="2"/>
  <c r="J45" i="2"/>
  <c r="I45" i="2"/>
  <c r="H45" i="2"/>
  <c r="G45" i="2"/>
  <c r="J44" i="2"/>
  <c r="G44" i="4" s="1"/>
  <c r="I44" i="2"/>
  <c r="H44" i="2"/>
  <c r="G44" i="2"/>
  <c r="J43" i="2"/>
  <c r="I43" i="2"/>
  <c r="H43" i="2"/>
  <c r="G43" i="2"/>
  <c r="J42" i="2"/>
  <c r="I42" i="2"/>
  <c r="H42" i="2"/>
  <c r="G42" i="2"/>
  <c r="J41" i="2"/>
  <c r="G41" i="4" s="1"/>
  <c r="I41" i="2"/>
  <c r="H41" i="2"/>
  <c r="G41" i="2"/>
  <c r="J40" i="2"/>
  <c r="I40" i="2"/>
  <c r="H40" i="2"/>
  <c r="G40" i="2"/>
  <c r="J39" i="2"/>
  <c r="I39" i="2"/>
  <c r="H39" i="2"/>
  <c r="G39" i="2"/>
  <c r="J38" i="2"/>
  <c r="G38" i="4" s="1"/>
  <c r="I38" i="2"/>
  <c r="H38" i="2"/>
  <c r="G38" i="2"/>
  <c r="J37" i="2"/>
  <c r="I37" i="2"/>
  <c r="H37" i="2"/>
  <c r="G37" i="2"/>
  <c r="J36" i="2"/>
  <c r="I36" i="2"/>
  <c r="H36" i="2"/>
  <c r="G36" i="2"/>
  <c r="J35" i="2"/>
  <c r="G35" i="4" s="1"/>
  <c r="I35" i="2"/>
  <c r="H35" i="2"/>
  <c r="G35" i="2"/>
  <c r="J34" i="2"/>
  <c r="I34" i="2"/>
  <c r="H34" i="2"/>
  <c r="G34" i="2"/>
  <c r="J33" i="2"/>
  <c r="I33" i="2"/>
  <c r="H33" i="2"/>
  <c r="G33" i="2"/>
  <c r="J32" i="2"/>
  <c r="G32" i="4" s="1"/>
  <c r="I32" i="2"/>
  <c r="H32" i="2"/>
  <c r="G32" i="2"/>
  <c r="J31" i="2"/>
  <c r="I31" i="2"/>
  <c r="H31" i="2"/>
  <c r="G31" i="2"/>
  <c r="J30" i="2"/>
  <c r="I30" i="2"/>
  <c r="H30" i="2"/>
  <c r="G30" i="2"/>
  <c r="J29" i="2"/>
  <c r="G29" i="4" s="1"/>
  <c r="I29" i="2"/>
  <c r="H29" i="2"/>
  <c r="G29" i="2"/>
  <c r="J28" i="2"/>
  <c r="I28" i="2"/>
  <c r="H28" i="2"/>
  <c r="G28" i="2"/>
  <c r="J27" i="2"/>
  <c r="I27" i="2"/>
  <c r="H27" i="2"/>
  <c r="G27" i="2"/>
  <c r="J26" i="2"/>
  <c r="G26" i="4" s="1"/>
  <c r="I26" i="2"/>
  <c r="H26" i="2"/>
  <c r="G26" i="2"/>
  <c r="J25" i="2"/>
  <c r="I25" i="2"/>
  <c r="H25" i="2"/>
  <c r="G25" i="2"/>
  <c r="J24" i="2"/>
  <c r="I24" i="2"/>
  <c r="H24" i="2"/>
  <c r="G24" i="2"/>
  <c r="J23" i="2"/>
  <c r="G23" i="4" s="1"/>
  <c r="I23" i="2"/>
  <c r="H23" i="2"/>
  <c r="G23" i="2"/>
  <c r="J22" i="2"/>
  <c r="I22" i="2"/>
  <c r="H22" i="2"/>
  <c r="G22" i="2"/>
  <c r="J21" i="2"/>
  <c r="I21" i="2"/>
  <c r="H21" i="2"/>
  <c r="G21" i="2"/>
  <c r="J20" i="2"/>
  <c r="G20" i="4" s="1"/>
  <c r="I20" i="2"/>
  <c r="H20" i="2"/>
  <c r="G20" i="2"/>
  <c r="J19" i="2"/>
  <c r="I19" i="2"/>
  <c r="H19" i="2"/>
  <c r="G19" i="2"/>
  <c r="J18" i="2"/>
  <c r="I18" i="2"/>
  <c r="H18" i="2"/>
  <c r="G18" i="2"/>
  <c r="J17" i="2"/>
  <c r="G17" i="4" s="1"/>
  <c r="I17" i="2"/>
  <c r="H17" i="2"/>
  <c r="G17" i="2"/>
  <c r="J16" i="2"/>
  <c r="I16" i="2"/>
  <c r="H16" i="2"/>
  <c r="G16" i="2"/>
  <c r="J15" i="2"/>
  <c r="I15" i="2"/>
  <c r="H15" i="2"/>
  <c r="G15" i="2"/>
  <c r="J14" i="2"/>
  <c r="G14" i="4" s="1"/>
  <c r="I14" i="2"/>
  <c r="H14" i="2"/>
  <c r="G14" i="2"/>
  <c r="J13" i="2"/>
  <c r="I13" i="2"/>
  <c r="H13" i="2"/>
  <c r="G13" i="2"/>
  <c r="J12" i="2"/>
  <c r="I12" i="2"/>
  <c r="H12" i="2"/>
  <c r="G12" i="2"/>
  <c r="J11" i="2"/>
  <c r="G11" i="4" s="1"/>
  <c r="I11" i="2"/>
  <c r="H11" i="2"/>
  <c r="G11" i="2"/>
  <c r="J10" i="2"/>
  <c r="I10" i="2"/>
  <c r="H10" i="2"/>
  <c r="G10" i="2"/>
  <c r="J9" i="2"/>
  <c r="I9" i="2"/>
  <c r="H9" i="2"/>
  <c r="G9" i="2"/>
  <c r="J8" i="2"/>
  <c r="G8" i="4" s="1"/>
  <c r="I8" i="2"/>
  <c r="H8" i="2"/>
  <c r="G8" i="2"/>
  <c r="J7" i="2"/>
  <c r="I7" i="2"/>
  <c r="H7" i="2"/>
  <c r="G7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F53" i="4"/>
  <c r="E53" i="4"/>
  <c r="D53" i="4"/>
  <c r="G52" i="4"/>
  <c r="F52" i="4"/>
  <c r="E52" i="4"/>
  <c r="D52" i="4"/>
  <c r="G51" i="4"/>
  <c r="F51" i="4"/>
  <c r="E51" i="4"/>
  <c r="D51" i="4"/>
  <c r="F50" i="4"/>
  <c r="E50" i="4"/>
  <c r="D50" i="4"/>
  <c r="G49" i="4"/>
  <c r="F49" i="4"/>
  <c r="E49" i="4"/>
  <c r="D49" i="4"/>
  <c r="G48" i="4"/>
  <c r="F48" i="4"/>
  <c r="E48" i="4"/>
  <c r="D48" i="4"/>
  <c r="F47" i="4"/>
  <c r="E47" i="4"/>
  <c r="D47" i="4"/>
  <c r="G46" i="4"/>
  <c r="F46" i="4"/>
  <c r="E46" i="4"/>
  <c r="D46" i="4"/>
  <c r="G45" i="4"/>
  <c r="F45" i="4"/>
  <c r="E45" i="4"/>
  <c r="D45" i="4"/>
  <c r="F44" i="4"/>
  <c r="E44" i="4"/>
  <c r="D44" i="4"/>
  <c r="G43" i="4"/>
  <c r="F43" i="4"/>
  <c r="E43" i="4"/>
  <c r="D43" i="4"/>
  <c r="G42" i="4"/>
  <c r="F42" i="4"/>
  <c r="E42" i="4"/>
  <c r="D42" i="4"/>
  <c r="F41" i="4"/>
  <c r="E41" i="4"/>
  <c r="D41" i="4"/>
  <c r="G40" i="4"/>
  <c r="F40" i="4"/>
  <c r="E40" i="4"/>
  <c r="D40" i="4"/>
  <c r="G39" i="4"/>
  <c r="F39" i="4"/>
  <c r="E39" i="4"/>
  <c r="D39" i="4"/>
  <c r="F38" i="4"/>
  <c r="E38" i="4"/>
  <c r="D38" i="4"/>
  <c r="G37" i="4"/>
  <c r="F37" i="4"/>
  <c r="E37" i="4"/>
  <c r="D37" i="4"/>
  <c r="G36" i="4"/>
  <c r="F36" i="4"/>
  <c r="E36" i="4"/>
  <c r="D36" i="4"/>
  <c r="F35" i="4"/>
  <c r="E35" i="4"/>
  <c r="D35" i="4"/>
  <c r="G34" i="4"/>
  <c r="F34" i="4"/>
  <c r="E34" i="4"/>
  <c r="D34" i="4"/>
  <c r="G33" i="4"/>
  <c r="F33" i="4"/>
  <c r="E33" i="4"/>
  <c r="D33" i="4"/>
  <c r="F32" i="4"/>
  <c r="E32" i="4"/>
  <c r="D32" i="4"/>
  <c r="G31" i="4"/>
  <c r="F31" i="4"/>
  <c r="E31" i="4"/>
  <c r="D31" i="4"/>
  <c r="G30" i="4"/>
  <c r="F30" i="4"/>
  <c r="E30" i="4"/>
  <c r="D30" i="4"/>
  <c r="F29" i="4"/>
  <c r="E29" i="4"/>
  <c r="D29" i="4"/>
  <c r="G28" i="4"/>
  <c r="F28" i="4"/>
  <c r="E28" i="4"/>
  <c r="D28" i="4"/>
  <c r="G27" i="4"/>
  <c r="F27" i="4"/>
  <c r="E27" i="4"/>
  <c r="D27" i="4"/>
  <c r="F26" i="4"/>
  <c r="E26" i="4"/>
  <c r="D26" i="4"/>
  <c r="G25" i="4"/>
  <c r="F25" i="4"/>
  <c r="E25" i="4"/>
  <c r="D25" i="4"/>
  <c r="G24" i="4"/>
  <c r="F24" i="4"/>
  <c r="E24" i="4"/>
  <c r="D24" i="4"/>
  <c r="F23" i="4"/>
  <c r="E23" i="4"/>
  <c r="D23" i="4"/>
  <c r="G22" i="4"/>
  <c r="F22" i="4"/>
  <c r="E22" i="4"/>
  <c r="D22" i="4"/>
  <c r="G21" i="4"/>
  <c r="F21" i="4"/>
  <c r="E21" i="4"/>
  <c r="D21" i="4"/>
  <c r="F20" i="4"/>
  <c r="E20" i="4"/>
  <c r="D20" i="4"/>
  <c r="G19" i="4"/>
  <c r="F19" i="4"/>
  <c r="E19" i="4"/>
  <c r="D19" i="4"/>
  <c r="G18" i="4"/>
  <c r="F18" i="4"/>
  <c r="E18" i="4"/>
  <c r="D18" i="4"/>
  <c r="F17" i="4"/>
  <c r="E17" i="4"/>
  <c r="D17" i="4"/>
  <c r="G16" i="4"/>
  <c r="F16" i="4"/>
  <c r="E16" i="4"/>
  <c r="D16" i="4"/>
  <c r="G15" i="4"/>
  <c r="F15" i="4"/>
  <c r="E15" i="4"/>
  <c r="D15" i="4"/>
  <c r="F14" i="4"/>
  <c r="E14" i="4"/>
  <c r="D14" i="4"/>
  <c r="G13" i="4"/>
  <c r="F13" i="4"/>
  <c r="E13" i="4"/>
  <c r="D13" i="4"/>
  <c r="G12" i="4"/>
  <c r="F12" i="4"/>
  <c r="E12" i="4"/>
  <c r="D12" i="4"/>
  <c r="F11" i="4"/>
  <c r="E11" i="4"/>
  <c r="D11" i="4"/>
  <c r="G10" i="4"/>
  <c r="F10" i="4"/>
  <c r="E10" i="4"/>
  <c r="D10" i="4"/>
  <c r="G9" i="4"/>
  <c r="F9" i="4"/>
  <c r="E9" i="4"/>
  <c r="D9" i="4"/>
  <c r="F8" i="4"/>
  <c r="E8" i="4"/>
  <c r="D8" i="4"/>
  <c r="G7" i="4"/>
  <c r="F7" i="4"/>
  <c r="E7" i="4"/>
  <c r="D7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B16" i="4"/>
  <c r="B15" i="4"/>
  <c r="B14" i="4"/>
  <c r="B13" i="4"/>
  <c r="B12" i="4"/>
  <c r="B11" i="4"/>
  <c r="B10" i="4"/>
  <c r="B9" i="4"/>
  <c r="B8" i="4"/>
  <c r="B7" i="4"/>
  <c r="E3" i="1"/>
  <c r="J53" i="1" l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B6" i="4" l="1"/>
  <c r="H6" i="2"/>
  <c r="G6" i="2"/>
  <c r="D6" i="2"/>
  <c r="B7" i="2"/>
  <c r="B6" i="2"/>
  <c r="E6" i="4"/>
  <c r="D6" i="4"/>
  <c r="A12" i="4"/>
  <c r="A9" i="2"/>
  <c r="A10" i="2"/>
  <c r="A11" i="2"/>
  <c r="A54" i="1"/>
  <c r="A12" i="2" s="1"/>
  <c r="A55" i="1"/>
  <c r="A13" i="2" s="1"/>
  <c r="A56" i="1"/>
  <c r="A14" i="2" s="1"/>
  <c r="A57" i="1"/>
  <c r="A15" i="2" s="1"/>
  <c r="J57" i="1"/>
  <c r="J56" i="1"/>
  <c r="J55" i="1"/>
  <c r="J6" i="1"/>
  <c r="J6" i="2" s="1"/>
  <c r="J58" i="1" l="1"/>
  <c r="K67" i="3"/>
  <c r="K10" i="3" l="1"/>
  <c r="A57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54" i="4" s="1"/>
  <c r="F29" i="3" s="1"/>
  <c r="G55" i="4" l="1"/>
  <c r="F30" i="3" s="1"/>
  <c r="G56" i="4" l="1"/>
  <c r="F31" i="3" s="1"/>
</calcChain>
</file>

<file path=xl/sharedStrings.xml><?xml version="1.0" encoding="utf-8"?>
<sst xmlns="http://schemas.openxmlformats.org/spreadsheetml/2006/main" count="296" uniqueCount="218">
  <si>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</si>
  <si>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</si>
  <si>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</si>
  <si>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</si>
  <si>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</si>
  <si>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</si>
  <si>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</si>
  <si>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</si>
  <si>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</si>
  <si>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</si>
  <si>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</si>
  <si>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</si>
  <si>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</si>
  <si>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</si>
  <si>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</si>
  <si>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</si>
  <si>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</si>
  <si>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</si>
  <si>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</si>
  <si>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</si>
  <si>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</si>
  <si>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</si>
  <si>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</si>
  <si>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</si>
  <si>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</si>
  <si>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</si>
  <si>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</si>
  <si>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</si>
  <si>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</si>
  <si>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</si>
  <si>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</si>
  <si>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</si>
  <si>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</si>
  <si>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</si>
  <si>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</si>
  <si>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</si>
  <si>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</si>
  <si>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</si>
  <si>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</si>
  <si>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</si>
  <si>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</si>
  <si>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</si>
  <si>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</si>
  <si>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</si>
  <si>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</si>
  <si>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</si>
  <si>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</si>
  <si>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</si>
  <si>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</si>
  <si>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</si>
  <si>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</si>
  <si>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</si>
  <si>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</si>
  <si>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</si>
  <si>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</si>
  <si>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</si>
  <si>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</si>
  <si>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</si>
  <si>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</si>
  <si>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</si>
  <si>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</si>
  <si>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</si>
  <si>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</si>
  <si>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</si>
  <si>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</si>
  <si>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</si>
  <si>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</si>
  <si>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</si>
  <si>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</si>
  <si>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</si>
  <si>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</si>
  <si>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</si>
  <si>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</si>
  <si>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</si>
  <si>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</si>
  <si>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</si>
  <si>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</si>
  <si>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</si>
  <si>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</si>
  <si>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</si>
  <si>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</si>
  <si>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</si>
  <si>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</si>
  <si>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</si>
  <si>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</si>
  <si>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</si>
  <si>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</si>
  <si>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</si>
  <si>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</si>
  <si>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</si>
  <si>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</si>
  <si>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</si>
  <si>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</si>
  <si>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</si>
  <si>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</si>
  <si>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</si>
  <si>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</si>
  <si>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</si>
  <si>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</si>
  <si>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</si>
  <si>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</si>
  <si>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</si>
  <si>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</si>
  <si>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</si>
  <si>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</si>
  <si>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</si>
  <si>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</si>
  <si>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</si>
  <si>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</si>
  <si>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</si>
  <si>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</si>
  <si>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</si>
  <si>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</si>
  <si>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</si>
  <si>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</si>
  <si>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</si>
  <si>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</si>
  <si>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</si>
  <si>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</si>
  <si>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</si>
  <si>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</si>
  <si>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</si>
  <si>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</si>
  <si>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</si>
  <si>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</si>
  <si>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</si>
  <si>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</si>
  <si>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</si>
  <si>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Electric Insulation Tape Black</t>
  </si>
  <si>
    <t>Ear Plug with Corded</t>
  </si>
  <si>
    <t>Smoke Detector</t>
  </si>
  <si>
    <t>Magnetic Drill Bit TCT 24x50mm</t>
  </si>
  <si>
    <t xml:space="preserve">Latex Half Coated Gloves </t>
  </si>
  <si>
    <t>Orange/Green Crinkled</t>
  </si>
  <si>
    <t>Flap Disc C/S</t>
  </si>
  <si>
    <t xml:space="preserve"> 4" 80 Grit</t>
  </si>
  <si>
    <t>Flap Disc S/S</t>
  </si>
  <si>
    <t xml:space="preserve">Dust Mask </t>
  </si>
  <si>
    <t>N95 Venus</t>
  </si>
  <si>
    <t xml:space="preserve">Welding Glass </t>
  </si>
  <si>
    <t>Dark #10</t>
  </si>
  <si>
    <t>Dark #11</t>
  </si>
  <si>
    <t xml:space="preserve">Tungsten Electrode </t>
  </si>
  <si>
    <t>2.4mm</t>
  </si>
  <si>
    <t xml:space="preserve">Ceramic Nozzle </t>
  </si>
  <si>
    <t>350A #6</t>
  </si>
  <si>
    <t xml:space="preserve">Double Ear Clamp S/S </t>
  </si>
  <si>
    <t>11-13mm</t>
  </si>
  <si>
    <t>Double Ear Clamp S/S</t>
  </si>
  <si>
    <t xml:space="preserve"> 13-15mm</t>
  </si>
  <si>
    <t>Angle Grinder</t>
  </si>
  <si>
    <t xml:space="preserve"> 4" 220V with Paddle Switch DWE4002-B5 Dewalt</t>
  </si>
  <si>
    <t xml:space="preserve">Tig Torch Remote Cable </t>
  </si>
  <si>
    <t>3Cx0.75x90mtr</t>
  </si>
  <si>
    <t xml:space="preserve">Two Way Radio Walkie Talkie </t>
  </si>
  <si>
    <t>Baofeng BF-888S</t>
  </si>
  <si>
    <t>Welding Cable Connector</t>
  </si>
  <si>
    <t xml:space="preserve"> 50-70mm2 Male &amp; Female</t>
  </si>
  <si>
    <t>Low Chloride Paint Marker</t>
  </si>
  <si>
    <t xml:space="preserve"> Blue</t>
  </si>
  <si>
    <t>Drill Machine</t>
  </si>
  <si>
    <t xml:space="preserve"> 13mm in Steel M0801KB Makita</t>
  </si>
  <si>
    <t>Split A/C</t>
  </si>
  <si>
    <t xml:space="preserve"> 1.5Ton Heat &amp; Cooling Inverter Zamil</t>
  </si>
  <si>
    <t>A/C Copper Tube Set</t>
  </si>
  <si>
    <t xml:space="preserve"> 1/2"x15mtr</t>
  </si>
  <si>
    <t xml:space="preserve"> 1/4"x15mtr</t>
  </si>
  <si>
    <t>Insulation for Copper Tube,</t>
  </si>
  <si>
    <t xml:space="preserve"> 1/2" × 15 m</t>
  </si>
  <si>
    <t xml:space="preserve"> 1/4" × 15 m</t>
  </si>
  <si>
    <t xml:space="preserve">Magnetic Drill Machine </t>
  </si>
  <si>
    <t>50mm ECO.50S+ Euroboor (UL Listed)</t>
  </si>
  <si>
    <t xml:space="preserve">CS Angle </t>
  </si>
  <si>
    <t>50x50x3, 6mtr</t>
  </si>
  <si>
    <t>Chipping Pointed Chisel</t>
  </si>
  <si>
    <t xml:space="preserve"> 16x400mm SDS Max</t>
  </si>
  <si>
    <t xml:space="preserve">Tig Torch Cable &amp; Hose Connector </t>
  </si>
  <si>
    <t>PVC Clear Hose</t>
  </si>
  <si>
    <t xml:space="preserve"> 1/4"x18mtr</t>
  </si>
  <si>
    <t>Welding Earth Clamp Brass</t>
  </si>
  <si>
    <t xml:space="preserve"> G-Type 500A</t>
  </si>
  <si>
    <t xml:space="preserve">Welding Electrode Holder </t>
  </si>
  <si>
    <t>500A Kasweld</t>
  </si>
  <si>
    <t>Hand Tap Set</t>
  </si>
  <si>
    <t xml:space="preserve"> M12mm P1.25</t>
  </si>
  <si>
    <t xml:space="preserve">Wheelbarrow Trolley </t>
  </si>
  <si>
    <t xml:space="preserve">2-Wheel </t>
  </si>
  <si>
    <t>Feeler Gauge S/S</t>
  </si>
  <si>
    <t xml:space="preserve"> 0.02-1mm 150mm</t>
  </si>
  <si>
    <t xml:space="preserve">Magnetic Drill Bit </t>
  </si>
  <si>
    <t>TCT 6x50mm</t>
  </si>
  <si>
    <t>Magnetic Drill Bit</t>
  </si>
  <si>
    <t xml:space="preserve"> TCT 8x50mm</t>
  </si>
  <si>
    <t xml:space="preserve"> TCT 10x50mm</t>
  </si>
  <si>
    <t>TCT 18x50mm</t>
  </si>
  <si>
    <t>TCT 22x50mm</t>
  </si>
  <si>
    <t>TCT 26x50mm</t>
  </si>
  <si>
    <t>Safety Grip Chipping Hammer</t>
  </si>
  <si>
    <t xml:space="preserve"> 250g</t>
  </si>
  <si>
    <t>Plumb Bob Magnetic</t>
  </si>
  <si>
    <t xml:space="preserve"> 400gx6mtr</t>
  </si>
  <si>
    <t xml:space="preserve">Two Way Radio </t>
  </si>
  <si>
    <t>VHF GPS DP4401 EX Motorola ATEX/IECEx Ex-Proof</t>
  </si>
  <si>
    <t xml:space="preserve"> M12mm P1.0</t>
  </si>
  <si>
    <t xml:space="preserve">Hammer Drill Machine </t>
  </si>
  <si>
    <t>SDS Plus 800W GBH2-24 Bosch</t>
  </si>
  <si>
    <t>50x50x6mm, 6mtr</t>
  </si>
  <si>
    <t xml:space="preserve">Retractable Fall Arrest Blocks with GI Rope </t>
  </si>
  <si>
    <t>60ft Karam PCGS 60FT with TPI Certificate</t>
  </si>
  <si>
    <t>Nos</t>
  </si>
  <si>
    <t>Pair</t>
  </si>
  <si>
    <t>Roll</t>
  </si>
  <si>
    <t>Set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</si>
  <si>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</si>
  <si>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</si>
  <si>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Site Tools &amp; Materials</t>
  </si>
  <si>
    <t>Q-20263232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</si>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</sst>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2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6" xfId="5" applyFont="1" applyFill="1" applyBorder="1"/>
    <xf numFmtId="0" fontId="17" fillId="3" borderId="46" xfId="5" applyFont="1" applyFill="1" applyBorder="1"/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7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2" fillId="2" borderId="15" xfId="4" applyNumberFormat="1" applyFont="1" applyFill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/>
    </xf>
    <xf numFmtId="40" fontId="13" fillId="0" borderId="50" xfId="0" applyNumberFormat="1" applyFont="1" applyBorder="1">
      <alignment vertical="center"/>
    </xf>
    <xf numFmtId="167" fontId="2" fillId="0" borderId="13" xfId="0" applyNumberFormat="1" applyFont="1" applyBorder="1" applyAlignment="1">
      <alignment horizontal="right" vertical="center" wrapText="1"/>
    </xf>
    <xf numFmtId="167" fontId="2" fillId="0" borderId="13" xfId="0" applyNumberFormat="1" applyFont="1" applyBorder="1" applyAlignment="1">
      <alignment horizontal="center" vertical="center" wrapText="1"/>
    </xf>
    <xf numFmtId="0" fontId="2" fillId="0" borderId="15" xfId="0" quotePrefix="1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1389145</xdr:colOff>
          <xdr:row>59</xdr:row>
          <xdr:rowOff>105777</xdr:rowOff>
        </xdr:from>
        <xdr:to>
          <xdr:col>11</xdr:col>
          <xdr:colOff>1565107</xdr:colOff>
          <xdr:row>65</xdr:row>
          <xdr:rowOff>343902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62:$Y$67" spid="_x0000_s13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181224" y="23838066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94"/>
  <sheetViews>
    <sheetView showGridLines="0" view="pageBreakPreview" zoomScale="95" zoomScaleNormal="95" zoomScaleSheetLayoutView="95" workbookViewId="0">
      <selection activeCell="P18" sqref="P1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5.28515625" style="2" customWidth="1"/>
    <col min="4" max="4" width="17.28515625" style="2" customWidth="1"/>
    <col min="5" max="5" width="6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213</v>
      </c>
      <c r="B1" s="122"/>
      <c r="C1" s="95"/>
      <c r="D1" s="95"/>
      <c r="E1" s="95"/>
      <c r="F1" s="95"/>
      <c r="G1" s="1"/>
      <c r="J1" s="163" t="s">
        <v>81</v>
      </c>
      <c r="K1" s="164"/>
      <c r="L1" s="165"/>
    </row>
    <row r="2" spans="1:18" ht="20.100000000000001" customHeight="1">
      <c r="A2" s="3" t="s">
        <v>1</v>
      </c>
      <c r="B2" s="89"/>
      <c r="C2" s="89"/>
      <c r="D2" s="3" t="s">
        <v>214</v>
      </c>
      <c r="E2" s="89"/>
      <c r="F2" s="89"/>
      <c r="G2" s="89"/>
      <c r="H2" s="89"/>
      <c r="I2" s="4"/>
      <c r="J2" s="166" t="s">
        <v>88</v>
      </c>
      <c r="K2" s="167"/>
      <c r="L2" s="168"/>
    </row>
    <row r="3" spans="1:18" ht="20.100000000000001" customHeight="1">
      <c r="A3" s="3" t="s">
        <v>217</v>
      </c>
      <c r="B3" s="89"/>
      <c r="C3" s="89"/>
      <c r="D3" s="89"/>
      <c r="E3" s="169">
        <f>+L3+3</f>
        <v>46259</v>
      </c>
      <c r="F3" s="169"/>
      <c r="G3" s="169"/>
      <c r="H3" s="169"/>
      <c r="I3" s="169"/>
      <c r="J3" s="89"/>
      <c r="K3" s="89"/>
      <c r="L3" s="123">
        <v>46256</v>
      </c>
      <c r="M3" s="4"/>
    </row>
    <row r="4" spans="1:18" ht="15.95" customHeight="1">
      <c r="A4" s="138" t="s">
        <v>2</v>
      </c>
      <c r="B4" s="140" t="s">
        <v>3</v>
      </c>
      <c r="C4" s="140"/>
      <c r="D4" s="142" t="s">
        <v>4</v>
      </c>
      <c r="E4" s="143"/>
      <c r="F4" s="144"/>
      <c r="G4" s="141" t="s">
        <v>5</v>
      </c>
      <c r="H4" s="139" t="s">
        <v>6</v>
      </c>
      <c r="I4" s="139" t="s">
        <v>85</v>
      </c>
      <c r="J4" s="138" t="s">
        <v>86</v>
      </c>
      <c r="K4" s="139" t="s">
        <v>0</v>
      </c>
      <c r="L4" s="140" t="s">
        <v>7</v>
      </c>
    </row>
    <row r="5" spans="1:18" ht="15.95" customHeight="1">
      <c r="A5" s="139"/>
      <c r="B5" s="141"/>
      <c r="C5" s="141"/>
      <c r="D5" s="145"/>
      <c r="E5" s="146"/>
      <c r="F5" s="147"/>
      <c r="G5" s="148"/>
      <c r="H5" s="149"/>
      <c r="I5" s="149"/>
      <c r="J5" s="139"/>
      <c r="K5" s="149"/>
      <c r="L5" s="141"/>
    </row>
    <row r="6" spans="1:18" ht="24" customHeight="1">
      <c r="A6" s="5">
        <f t="shared" ref="A6:A53" si="0">ROW(A1)</f>
        <v>1</v>
      </c>
      <c r="B6" s="162" t="s">
        <v>132</v>
      </c>
      <c r="C6" s="162"/>
      <c r="D6" s="170" t="s">
        <v>133</v>
      </c>
      <c r="E6" s="170"/>
      <c r="F6" s="170"/>
      <c r="G6" s="130" t="s">
        <v>209</v>
      </c>
      <c r="H6" s="130">
        <v>4000</v>
      </c>
      <c r="I6" s="131">
        <v>1.3</v>
      </c>
      <c r="J6" s="132">
        <f>H6*I6</f>
        <v>5200</v>
      </c>
      <c r="K6" s="133" t="s">
        <v>90</v>
      </c>
      <c r="L6" s="98" t="s">
        <v>98</v>
      </c>
      <c r="R6" s="94"/>
    </row>
    <row r="7" spans="1:18" ht="24" customHeight="1">
      <c r="A7" s="5">
        <f t="shared" si="0"/>
        <v>2</v>
      </c>
      <c r="B7" s="162" t="s">
        <v>134</v>
      </c>
      <c r="C7" s="162"/>
      <c r="D7" s="170" t="s">
        <v>135</v>
      </c>
      <c r="E7" s="170"/>
      <c r="F7" s="170"/>
      <c r="G7" s="130" t="s">
        <v>209</v>
      </c>
      <c r="H7" s="130">
        <v>2000</v>
      </c>
      <c r="I7" s="131">
        <v>2.2999999999999998</v>
      </c>
      <c r="J7" s="132">
        <f t="shared" ref="J7:J53" si="1">H7*I7</f>
        <v>4600</v>
      </c>
      <c r="K7" s="133"/>
      <c r="L7" s="98"/>
      <c r="R7" s="94"/>
    </row>
    <row r="8" spans="1:18" ht="24" customHeight="1">
      <c r="A8" s="5">
        <f t="shared" si="0"/>
        <v>3</v>
      </c>
      <c r="B8" s="162" t="s">
        <v>136</v>
      </c>
      <c r="C8" s="162"/>
      <c r="D8" s="170" t="s">
        <v>135</v>
      </c>
      <c r="E8" s="170"/>
      <c r="F8" s="170"/>
      <c r="G8" s="130" t="s">
        <v>209</v>
      </c>
      <c r="H8" s="130">
        <v>5000</v>
      </c>
      <c r="I8" s="131">
        <v>3.1</v>
      </c>
      <c r="J8" s="132">
        <f t="shared" si="1"/>
        <v>15500</v>
      </c>
      <c r="K8" s="133"/>
      <c r="L8" s="98"/>
      <c r="R8" s="94"/>
    </row>
    <row r="9" spans="1:18" ht="24" customHeight="1">
      <c r="A9" s="5">
        <f t="shared" si="0"/>
        <v>4</v>
      </c>
      <c r="B9" s="162" t="s">
        <v>128</v>
      </c>
      <c r="C9" s="162"/>
      <c r="D9" s="170"/>
      <c r="E9" s="170"/>
      <c r="F9" s="170"/>
      <c r="G9" s="130" t="s">
        <v>209</v>
      </c>
      <c r="H9" s="130">
        <v>200</v>
      </c>
      <c r="I9" s="131">
        <v>2</v>
      </c>
      <c r="J9" s="132">
        <f t="shared" si="1"/>
        <v>400</v>
      </c>
      <c r="K9" s="133"/>
      <c r="L9" s="98"/>
      <c r="R9" s="94"/>
    </row>
    <row r="10" spans="1:18" ht="24" customHeight="1">
      <c r="A10" s="5">
        <f t="shared" si="0"/>
        <v>5</v>
      </c>
      <c r="B10" s="162" t="s">
        <v>129</v>
      </c>
      <c r="C10" s="162"/>
      <c r="D10" s="170"/>
      <c r="E10" s="170"/>
      <c r="F10" s="170"/>
      <c r="G10" s="130" t="s">
        <v>210</v>
      </c>
      <c r="H10" s="130">
        <v>3300</v>
      </c>
      <c r="I10" s="131">
        <v>0.55000000000000004</v>
      </c>
      <c r="J10" s="132">
        <f t="shared" si="1"/>
        <v>1815.0000000000002</v>
      </c>
      <c r="K10" s="133"/>
      <c r="L10" s="98"/>
      <c r="R10" s="94"/>
    </row>
    <row r="11" spans="1:18" ht="24" customHeight="1">
      <c r="A11" s="5">
        <f t="shared" si="0"/>
        <v>6</v>
      </c>
      <c r="B11" s="162" t="s">
        <v>137</v>
      </c>
      <c r="C11" s="162"/>
      <c r="D11" s="170" t="s">
        <v>138</v>
      </c>
      <c r="E11" s="170"/>
      <c r="F11" s="170"/>
      <c r="G11" s="130" t="s">
        <v>209</v>
      </c>
      <c r="H11" s="130">
        <v>3600</v>
      </c>
      <c r="I11" s="131">
        <v>1.35</v>
      </c>
      <c r="J11" s="132">
        <f t="shared" si="1"/>
        <v>4860</v>
      </c>
      <c r="K11" s="133"/>
      <c r="L11" s="98"/>
      <c r="R11" s="94"/>
    </row>
    <row r="12" spans="1:18" ht="24" customHeight="1">
      <c r="A12" s="5">
        <f t="shared" si="0"/>
        <v>7</v>
      </c>
      <c r="B12" s="162" t="s">
        <v>139</v>
      </c>
      <c r="C12" s="162"/>
      <c r="D12" s="170" t="s">
        <v>140</v>
      </c>
      <c r="E12" s="170"/>
      <c r="F12" s="170"/>
      <c r="G12" s="130" t="s">
        <v>209</v>
      </c>
      <c r="H12" s="130">
        <v>100</v>
      </c>
      <c r="I12" s="131">
        <v>0.9</v>
      </c>
      <c r="J12" s="132">
        <f t="shared" si="1"/>
        <v>90</v>
      </c>
      <c r="K12" s="133"/>
      <c r="L12" s="98"/>
      <c r="R12" s="94"/>
    </row>
    <row r="13" spans="1:18" ht="24" customHeight="1">
      <c r="A13" s="5">
        <f t="shared" si="0"/>
        <v>8</v>
      </c>
      <c r="B13" s="162" t="s">
        <v>139</v>
      </c>
      <c r="C13" s="162"/>
      <c r="D13" s="170" t="s">
        <v>141</v>
      </c>
      <c r="E13" s="170"/>
      <c r="F13" s="170"/>
      <c r="G13" s="130" t="s">
        <v>209</v>
      </c>
      <c r="H13" s="130">
        <v>150</v>
      </c>
      <c r="I13" s="131">
        <v>0.9</v>
      </c>
      <c r="J13" s="132">
        <f t="shared" si="1"/>
        <v>135</v>
      </c>
      <c r="K13" s="133"/>
      <c r="L13" s="98"/>
      <c r="R13" s="94"/>
    </row>
    <row r="14" spans="1:18" ht="24" customHeight="1">
      <c r="A14" s="5">
        <f t="shared" si="0"/>
        <v>9</v>
      </c>
      <c r="B14" s="162" t="s">
        <v>142</v>
      </c>
      <c r="C14" s="162"/>
      <c r="D14" s="170" t="s">
        <v>143</v>
      </c>
      <c r="E14" s="170"/>
      <c r="F14" s="170"/>
      <c r="G14" s="130" t="s">
        <v>209</v>
      </c>
      <c r="H14" s="130">
        <v>900</v>
      </c>
      <c r="I14" s="131">
        <v>21</v>
      </c>
      <c r="J14" s="132">
        <f t="shared" si="1"/>
        <v>18900</v>
      </c>
      <c r="K14" s="133"/>
      <c r="L14" s="98"/>
      <c r="R14" s="94"/>
    </row>
    <row r="15" spans="1:18" ht="24" customHeight="1">
      <c r="A15" s="5">
        <f t="shared" si="0"/>
        <v>10</v>
      </c>
      <c r="B15" s="162" t="s">
        <v>144</v>
      </c>
      <c r="C15" s="162"/>
      <c r="D15" s="170" t="s">
        <v>145</v>
      </c>
      <c r="E15" s="170"/>
      <c r="F15" s="170"/>
      <c r="G15" s="130" t="s">
        <v>209</v>
      </c>
      <c r="H15" s="130">
        <v>400</v>
      </c>
      <c r="I15" s="131">
        <v>12</v>
      </c>
      <c r="J15" s="132">
        <f t="shared" si="1"/>
        <v>4800</v>
      </c>
      <c r="K15" s="133"/>
      <c r="L15" s="98"/>
      <c r="R15" s="94"/>
    </row>
    <row r="16" spans="1:18" ht="24" customHeight="1">
      <c r="A16" s="5">
        <f t="shared" si="0"/>
        <v>11</v>
      </c>
      <c r="B16" s="162" t="s">
        <v>146</v>
      </c>
      <c r="C16" s="162"/>
      <c r="D16" s="170" t="s">
        <v>147</v>
      </c>
      <c r="E16" s="170"/>
      <c r="F16" s="170"/>
      <c r="G16" s="130" t="s">
        <v>209</v>
      </c>
      <c r="H16" s="130">
        <v>500</v>
      </c>
      <c r="I16" s="131">
        <v>4.7</v>
      </c>
      <c r="J16" s="132">
        <f t="shared" si="1"/>
        <v>2350</v>
      </c>
      <c r="K16" s="133"/>
      <c r="L16" s="98"/>
      <c r="R16" s="94"/>
    </row>
    <row r="17" spans="1:18" ht="24" customHeight="1">
      <c r="A17" s="5">
        <f t="shared" si="0"/>
        <v>12</v>
      </c>
      <c r="B17" s="162" t="s">
        <v>148</v>
      </c>
      <c r="C17" s="162"/>
      <c r="D17" s="170" t="s">
        <v>149</v>
      </c>
      <c r="E17" s="170"/>
      <c r="F17" s="170"/>
      <c r="G17" s="130" t="s">
        <v>209</v>
      </c>
      <c r="H17" s="130">
        <v>450</v>
      </c>
      <c r="I17" s="131">
        <v>4.7</v>
      </c>
      <c r="J17" s="132">
        <f t="shared" si="1"/>
        <v>2115</v>
      </c>
      <c r="K17" s="133"/>
      <c r="L17" s="98"/>
      <c r="R17" s="94"/>
    </row>
    <row r="18" spans="1:18" ht="32.25" customHeight="1">
      <c r="A18" s="5">
        <f t="shared" si="0"/>
        <v>13</v>
      </c>
      <c r="B18" s="162" t="s">
        <v>150</v>
      </c>
      <c r="C18" s="162"/>
      <c r="D18" s="170" t="s">
        <v>151</v>
      </c>
      <c r="E18" s="170"/>
      <c r="F18" s="170"/>
      <c r="G18" s="130" t="s">
        <v>209</v>
      </c>
      <c r="H18" s="130">
        <v>107</v>
      </c>
      <c r="I18" s="131">
        <v>320</v>
      </c>
      <c r="J18" s="132">
        <f t="shared" si="1"/>
        <v>34240</v>
      </c>
      <c r="K18" s="133"/>
      <c r="L18" s="98"/>
      <c r="R18" s="94"/>
    </row>
    <row r="19" spans="1:18" ht="24" customHeight="1">
      <c r="A19" s="5">
        <f t="shared" si="0"/>
        <v>14</v>
      </c>
      <c r="B19" s="162" t="s">
        <v>152</v>
      </c>
      <c r="C19" s="162"/>
      <c r="D19" s="170" t="s">
        <v>153</v>
      </c>
      <c r="E19" s="170"/>
      <c r="F19" s="170"/>
      <c r="G19" s="130" t="s">
        <v>211</v>
      </c>
      <c r="H19" s="130">
        <v>10</v>
      </c>
      <c r="I19" s="131">
        <v>270</v>
      </c>
      <c r="J19" s="132">
        <f t="shared" si="1"/>
        <v>2700</v>
      </c>
      <c r="K19" s="133"/>
      <c r="L19" s="98"/>
      <c r="R19" s="94"/>
    </row>
    <row r="20" spans="1:18" ht="24" customHeight="1">
      <c r="A20" s="5">
        <f t="shared" si="0"/>
        <v>15</v>
      </c>
      <c r="B20" s="162" t="s">
        <v>154</v>
      </c>
      <c r="C20" s="162"/>
      <c r="D20" s="170" t="s">
        <v>155</v>
      </c>
      <c r="E20" s="170"/>
      <c r="F20" s="170"/>
      <c r="G20" s="130" t="s">
        <v>209</v>
      </c>
      <c r="H20" s="130">
        <v>50</v>
      </c>
      <c r="I20" s="131">
        <v>125</v>
      </c>
      <c r="J20" s="132">
        <f t="shared" si="1"/>
        <v>6250</v>
      </c>
      <c r="K20" s="133"/>
      <c r="L20" s="98"/>
      <c r="R20" s="94"/>
    </row>
    <row r="21" spans="1:18" ht="24" customHeight="1">
      <c r="A21" s="5">
        <f t="shared" si="0"/>
        <v>16</v>
      </c>
      <c r="B21" s="162" t="s">
        <v>158</v>
      </c>
      <c r="C21" s="162"/>
      <c r="D21" s="170" t="s">
        <v>159</v>
      </c>
      <c r="E21" s="170"/>
      <c r="F21" s="170"/>
      <c r="G21" s="130" t="s">
        <v>209</v>
      </c>
      <c r="H21" s="130">
        <v>600</v>
      </c>
      <c r="I21" s="131">
        <v>12.8</v>
      </c>
      <c r="J21" s="132">
        <f t="shared" si="1"/>
        <v>7680</v>
      </c>
      <c r="K21" s="133"/>
      <c r="L21" s="98"/>
      <c r="R21" s="94"/>
    </row>
    <row r="22" spans="1:18" ht="24" customHeight="1">
      <c r="A22" s="5">
        <f t="shared" si="0"/>
        <v>17</v>
      </c>
      <c r="B22" s="162" t="s">
        <v>156</v>
      </c>
      <c r="C22" s="162"/>
      <c r="D22" s="170" t="s">
        <v>157</v>
      </c>
      <c r="E22" s="170"/>
      <c r="F22" s="170"/>
      <c r="G22" s="130" t="s">
        <v>212</v>
      </c>
      <c r="H22" s="130">
        <v>375</v>
      </c>
      <c r="I22" s="131">
        <v>15</v>
      </c>
      <c r="J22" s="132">
        <f t="shared" si="1"/>
        <v>5625</v>
      </c>
      <c r="K22" s="133"/>
      <c r="L22" s="98"/>
      <c r="R22" s="94"/>
    </row>
    <row r="23" spans="1:18" ht="24" customHeight="1">
      <c r="A23" s="5">
        <f t="shared" si="0"/>
        <v>18</v>
      </c>
      <c r="B23" s="162" t="s">
        <v>160</v>
      </c>
      <c r="C23" s="162"/>
      <c r="D23" s="170" t="s">
        <v>161</v>
      </c>
      <c r="E23" s="170"/>
      <c r="F23" s="170"/>
      <c r="G23" s="130" t="s">
        <v>209</v>
      </c>
      <c r="H23" s="130">
        <v>3</v>
      </c>
      <c r="I23" s="131">
        <v>210</v>
      </c>
      <c r="J23" s="132">
        <f t="shared" si="1"/>
        <v>630</v>
      </c>
      <c r="K23" s="133"/>
      <c r="L23" s="98"/>
      <c r="R23" s="94"/>
    </row>
    <row r="24" spans="1:18" ht="24" customHeight="1">
      <c r="A24" s="5">
        <f t="shared" si="0"/>
        <v>19</v>
      </c>
      <c r="B24" s="162" t="s">
        <v>162</v>
      </c>
      <c r="C24" s="162"/>
      <c r="D24" s="170" t="s">
        <v>163</v>
      </c>
      <c r="E24" s="170"/>
      <c r="F24" s="170"/>
      <c r="G24" s="130" t="s">
        <v>209</v>
      </c>
      <c r="H24" s="130">
        <v>3</v>
      </c>
      <c r="I24" s="131">
        <v>2240</v>
      </c>
      <c r="J24" s="132">
        <f t="shared" si="1"/>
        <v>6720</v>
      </c>
      <c r="K24" s="133"/>
      <c r="L24" s="98"/>
      <c r="R24" s="94"/>
    </row>
    <row r="25" spans="1:18" ht="24" customHeight="1">
      <c r="A25" s="5">
        <f t="shared" si="0"/>
        <v>20</v>
      </c>
      <c r="B25" s="162" t="s">
        <v>164</v>
      </c>
      <c r="C25" s="162"/>
      <c r="D25" s="170" t="s">
        <v>165</v>
      </c>
      <c r="E25" s="170"/>
      <c r="F25" s="170"/>
      <c r="G25" s="130" t="s">
        <v>209</v>
      </c>
      <c r="H25" s="130">
        <v>3</v>
      </c>
      <c r="I25" s="131">
        <v>340</v>
      </c>
      <c r="J25" s="132">
        <f t="shared" si="1"/>
        <v>1020</v>
      </c>
      <c r="K25" s="133"/>
      <c r="L25" s="98"/>
      <c r="R25" s="94"/>
    </row>
    <row r="26" spans="1:18" ht="24" customHeight="1">
      <c r="A26" s="5">
        <f t="shared" si="0"/>
        <v>21</v>
      </c>
      <c r="B26" s="162" t="s">
        <v>164</v>
      </c>
      <c r="C26" s="162"/>
      <c r="D26" s="170" t="s">
        <v>166</v>
      </c>
      <c r="E26" s="170"/>
      <c r="F26" s="170"/>
      <c r="G26" s="130" t="s">
        <v>209</v>
      </c>
      <c r="H26" s="130">
        <v>3</v>
      </c>
      <c r="I26" s="131">
        <v>143</v>
      </c>
      <c r="J26" s="132">
        <f t="shared" si="1"/>
        <v>429</v>
      </c>
      <c r="K26" s="133"/>
      <c r="L26" s="98"/>
      <c r="R26" s="94"/>
    </row>
    <row r="27" spans="1:18" ht="24" customHeight="1">
      <c r="A27" s="5">
        <f t="shared" si="0"/>
        <v>22</v>
      </c>
      <c r="B27" s="162" t="s">
        <v>167</v>
      </c>
      <c r="C27" s="162"/>
      <c r="D27" s="170" t="s">
        <v>168</v>
      </c>
      <c r="E27" s="170"/>
      <c r="F27" s="170"/>
      <c r="G27" s="130" t="s">
        <v>209</v>
      </c>
      <c r="H27" s="130">
        <v>17</v>
      </c>
      <c r="I27" s="131">
        <v>18</v>
      </c>
      <c r="J27" s="132">
        <f t="shared" si="1"/>
        <v>306</v>
      </c>
      <c r="K27" s="133"/>
      <c r="L27" s="98"/>
      <c r="R27" s="94"/>
    </row>
    <row r="28" spans="1:18" ht="24" customHeight="1">
      <c r="A28" s="5">
        <f t="shared" si="0"/>
        <v>23</v>
      </c>
      <c r="B28" s="162" t="s">
        <v>167</v>
      </c>
      <c r="C28" s="162"/>
      <c r="D28" s="170" t="s">
        <v>169</v>
      </c>
      <c r="E28" s="170"/>
      <c r="F28" s="170"/>
      <c r="G28" s="130" t="s">
        <v>209</v>
      </c>
      <c r="H28" s="130">
        <v>22</v>
      </c>
      <c r="I28" s="131">
        <v>12</v>
      </c>
      <c r="J28" s="132">
        <f t="shared" si="1"/>
        <v>264</v>
      </c>
      <c r="K28" s="133"/>
      <c r="L28" s="98"/>
      <c r="R28" s="94"/>
    </row>
    <row r="29" spans="1:18" ht="24" customHeight="1">
      <c r="A29" s="5">
        <f t="shared" si="0"/>
        <v>24</v>
      </c>
      <c r="B29" s="162" t="s">
        <v>170</v>
      </c>
      <c r="C29" s="162"/>
      <c r="D29" s="170" t="s">
        <v>171</v>
      </c>
      <c r="E29" s="170"/>
      <c r="F29" s="170"/>
      <c r="G29" s="130" t="s">
        <v>212</v>
      </c>
      <c r="H29" s="130">
        <v>3</v>
      </c>
      <c r="I29" s="131">
        <v>4900</v>
      </c>
      <c r="J29" s="132">
        <f t="shared" si="1"/>
        <v>14700</v>
      </c>
      <c r="K29" s="133"/>
      <c r="L29" s="98"/>
      <c r="R29" s="94"/>
    </row>
    <row r="30" spans="1:18" ht="24" customHeight="1">
      <c r="A30" s="5">
        <f t="shared" si="0"/>
        <v>25</v>
      </c>
      <c r="B30" s="162" t="s">
        <v>130</v>
      </c>
      <c r="C30" s="162"/>
      <c r="D30" s="170"/>
      <c r="E30" s="170"/>
      <c r="F30" s="170"/>
      <c r="G30" s="130" t="s">
        <v>209</v>
      </c>
      <c r="H30" s="130">
        <v>15</v>
      </c>
      <c r="I30" s="131">
        <v>24</v>
      </c>
      <c r="J30" s="132">
        <f t="shared" si="1"/>
        <v>360</v>
      </c>
      <c r="K30" s="133"/>
      <c r="L30" s="98"/>
      <c r="R30" s="94"/>
    </row>
    <row r="31" spans="1:18" ht="24" customHeight="1">
      <c r="A31" s="5">
        <f t="shared" si="0"/>
        <v>26</v>
      </c>
      <c r="B31" s="162" t="s">
        <v>172</v>
      </c>
      <c r="C31" s="162"/>
      <c r="D31" s="170" t="s">
        <v>173</v>
      </c>
      <c r="E31" s="170"/>
      <c r="F31" s="170"/>
      <c r="G31" s="130" t="s">
        <v>209</v>
      </c>
      <c r="H31" s="130">
        <v>50</v>
      </c>
      <c r="I31" s="131">
        <v>56</v>
      </c>
      <c r="J31" s="132">
        <f t="shared" si="1"/>
        <v>2800</v>
      </c>
      <c r="K31" s="133"/>
      <c r="L31" s="98"/>
      <c r="R31" s="94"/>
    </row>
    <row r="32" spans="1:18" ht="24" customHeight="1">
      <c r="A32" s="5">
        <f t="shared" si="0"/>
        <v>27</v>
      </c>
      <c r="B32" s="162" t="s">
        <v>174</v>
      </c>
      <c r="C32" s="162"/>
      <c r="D32" s="170" t="s">
        <v>175</v>
      </c>
      <c r="E32" s="170"/>
      <c r="F32" s="170"/>
      <c r="G32" s="130" t="s">
        <v>209</v>
      </c>
      <c r="H32" s="130">
        <v>5</v>
      </c>
      <c r="I32" s="131">
        <v>37</v>
      </c>
      <c r="J32" s="132">
        <f t="shared" si="1"/>
        <v>185</v>
      </c>
      <c r="K32" s="133"/>
      <c r="L32" s="98"/>
      <c r="R32" s="94"/>
    </row>
    <row r="33" spans="1:18" ht="24" customHeight="1">
      <c r="A33" s="5">
        <f t="shared" si="0"/>
        <v>28</v>
      </c>
      <c r="B33" s="162" t="s">
        <v>176</v>
      </c>
      <c r="C33" s="162"/>
      <c r="D33" s="170"/>
      <c r="E33" s="170"/>
      <c r="F33" s="170"/>
      <c r="G33" s="130" t="s">
        <v>209</v>
      </c>
      <c r="H33" s="130">
        <v>200</v>
      </c>
      <c r="I33" s="131">
        <v>34</v>
      </c>
      <c r="J33" s="132">
        <f t="shared" si="1"/>
        <v>6800</v>
      </c>
      <c r="K33" s="133"/>
      <c r="L33" s="98"/>
      <c r="R33" s="94"/>
    </row>
    <row r="34" spans="1:18" ht="24" customHeight="1">
      <c r="A34" s="5">
        <f t="shared" si="0"/>
        <v>29</v>
      </c>
      <c r="B34" s="162" t="s">
        <v>177</v>
      </c>
      <c r="C34" s="162"/>
      <c r="D34" s="170" t="s">
        <v>178</v>
      </c>
      <c r="E34" s="170"/>
      <c r="F34" s="170"/>
      <c r="G34" s="130" t="s">
        <v>211</v>
      </c>
      <c r="H34" s="130">
        <v>20</v>
      </c>
      <c r="I34" s="131">
        <v>38.5</v>
      </c>
      <c r="J34" s="132">
        <f t="shared" si="1"/>
        <v>770</v>
      </c>
      <c r="K34" s="133"/>
      <c r="L34" s="98"/>
      <c r="R34" s="94"/>
    </row>
    <row r="35" spans="1:18" ht="24" customHeight="1">
      <c r="A35" s="5">
        <f t="shared" si="0"/>
        <v>30</v>
      </c>
      <c r="B35" s="162" t="s">
        <v>179</v>
      </c>
      <c r="C35" s="162"/>
      <c r="D35" s="170" t="s">
        <v>180</v>
      </c>
      <c r="E35" s="170"/>
      <c r="F35" s="170"/>
      <c r="G35" s="130" t="s">
        <v>209</v>
      </c>
      <c r="H35" s="130">
        <v>100</v>
      </c>
      <c r="I35" s="131">
        <v>85</v>
      </c>
      <c r="J35" s="132">
        <f t="shared" si="1"/>
        <v>8500</v>
      </c>
      <c r="K35" s="133"/>
      <c r="L35" s="98"/>
      <c r="R35" s="94"/>
    </row>
    <row r="36" spans="1:18" ht="24" customHeight="1">
      <c r="A36" s="5">
        <f t="shared" si="0"/>
        <v>31</v>
      </c>
      <c r="B36" s="162" t="s">
        <v>181</v>
      </c>
      <c r="C36" s="162"/>
      <c r="D36" s="170" t="s">
        <v>182</v>
      </c>
      <c r="E36" s="170"/>
      <c r="F36" s="170"/>
      <c r="G36" s="130" t="s">
        <v>209</v>
      </c>
      <c r="H36" s="130">
        <v>50</v>
      </c>
      <c r="I36" s="131">
        <v>28</v>
      </c>
      <c r="J36" s="132">
        <f t="shared" si="1"/>
        <v>1400</v>
      </c>
      <c r="K36" s="133"/>
      <c r="L36" s="98"/>
      <c r="R36" s="94"/>
    </row>
    <row r="37" spans="1:18" ht="24" customHeight="1">
      <c r="A37" s="5">
        <f t="shared" si="0"/>
        <v>32</v>
      </c>
      <c r="B37" s="162" t="s">
        <v>183</v>
      </c>
      <c r="C37" s="162"/>
      <c r="D37" s="170" t="s">
        <v>184</v>
      </c>
      <c r="E37" s="170"/>
      <c r="F37" s="170"/>
      <c r="G37" s="130" t="s">
        <v>209</v>
      </c>
      <c r="H37" s="130">
        <v>2</v>
      </c>
      <c r="I37" s="131">
        <v>30</v>
      </c>
      <c r="J37" s="132">
        <f t="shared" si="1"/>
        <v>60</v>
      </c>
      <c r="K37" s="133"/>
      <c r="L37" s="98"/>
      <c r="R37" s="94"/>
    </row>
    <row r="38" spans="1:18" ht="24" customHeight="1">
      <c r="A38" s="5">
        <f t="shared" si="0"/>
        <v>33</v>
      </c>
      <c r="B38" s="162" t="s">
        <v>185</v>
      </c>
      <c r="C38" s="162"/>
      <c r="D38" s="170" t="s">
        <v>186</v>
      </c>
      <c r="E38" s="170"/>
      <c r="F38" s="170"/>
      <c r="G38" s="130" t="s">
        <v>209</v>
      </c>
      <c r="H38" s="130">
        <v>2</v>
      </c>
      <c r="I38" s="131">
        <v>195</v>
      </c>
      <c r="J38" s="132">
        <f t="shared" si="1"/>
        <v>390</v>
      </c>
      <c r="K38" s="133"/>
      <c r="L38" s="98"/>
      <c r="R38" s="94"/>
    </row>
    <row r="39" spans="1:18" ht="24" customHeight="1">
      <c r="A39" s="5">
        <f t="shared" si="0"/>
        <v>34</v>
      </c>
      <c r="B39" s="162" t="s">
        <v>187</v>
      </c>
      <c r="C39" s="162"/>
      <c r="D39" s="170" t="s">
        <v>188</v>
      </c>
      <c r="E39" s="170"/>
      <c r="F39" s="170"/>
      <c r="G39" s="130" t="s">
        <v>209</v>
      </c>
      <c r="H39" s="130">
        <v>30</v>
      </c>
      <c r="I39" s="131">
        <v>65</v>
      </c>
      <c r="J39" s="132">
        <f t="shared" si="1"/>
        <v>1950</v>
      </c>
      <c r="K39" s="133"/>
      <c r="L39" s="98"/>
      <c r="R39" s="94"/>
    </row>
    <row r="40" spans="1:18" ht="24" customHeight="1">
      <c r="A40" s="5">
        <f t="shared" si="0"/>
        <v>35</v>
      </c>
      <c r="B40" s="162" t="s">
        <v>189</v>
      </c>
      <c r="C40" s="162"/>
      <c r="D40" s="170" t="s">
        <v>190</v>
      </c>
      <c r="E40" s="170"/>
      <c r="F40" s="170"/>
      <c r="G40" s="130" t="s">
        <v>209</v>
      </c>
      <c r="H40" s="130">
        <v>5</v>
      </c>
      <c r="I40" s="131">
        <v>71</v>
      </c>
      <c r="J40" s="132">
        <f t="shared" si="1"/>
        <v>355</v>
      </c>
      <c r="K40" s="133"/>
      <c r="L40" s="98"/>
      <c r="R40" s="94"/>
    </row>
    <row r="41" spans="1:18" ht="24" customHeight="1">
      <c r="A41" s="5">
        <f t="shared" si="0"/>
        <v>36</v>
      </c>
      <c r="B41" s="162" t="s">
        <v>191</v>
      </c>
      <c r="C41" s="162"/>
      <c r="D41" s="170" t="s">
        <v>192</v>
      </c>
      <c r="E41" s="170"/>
      <c r="F41" s="170"/>
      <c r="G41" s="130" t="s">
        <v>209</v>
      </c>
      <c r="H41" s="130">
        <v>5</v>
      </c>
      <c r="I41" s="131">
        <v>71.5</v>
      </c>
      <c r="J41" s="132">
        <f t="shared" si="1"/>
        <v>357.5</v>
      </c>
      <c r="K41" s="133"/>
      <c r="L41" s="98"/>
      <c r="R41" s="94"/>
    </row>
    <row r="42" spans="1:18" ht="24" customHeight="1">
      <c r="A42" s="5">
        <f t="shared" si="0"/>
        <v>37</v>
      </c>
      <c r="B42" s="162" t="s">
        <v>191</v>
      </c>
      <c r="C42" s="162"/>
      <c r="D42" s="170" t="s">
        <v>193</v>
      </c>
      <c r="E42" s="170"/>
      <c r="F42" s="170"/>
      <c r="G42" s="130" t="s">
        <v>209</v>
      </c>
      <c r="H42" s="130">
        <v>5</v>
      </c>
      <c r="I42" s="131">
        <v>74</v>
      </c>
      <c r="J42" s="132">
        <f t="shared" si="1"/>
        <v>370</v>
      </c>
      <c r="K42" s="133"/>
      <c r="L42" s="98"/>
      <c r="R42" s="94"/>
    </row>
    <row r="43" spans="1:18" ht="24" customHeight="1">
      <c r="A43" s="5">
        <f t="shared" si="0"/>
        <v>38</v>
      </c>
      <c r="B43" s="162" t="s">
        <v>189</v>
      </c>
      <c r="C43" s="162"/>
      <c r="D43" s="170" t="s">
        <v>194</v>
      </c>
      <c r="E43" s="170"/>
      <c r="F43" s="170"/>
      <c r="G43" s="130" t="s">
        <v>209</v>
      </c>
      <c r="H43" s="130">
        <v>5</v>
      </c>
      <c r="I43" s="131">
        <v>142</v>
      </c>
      <c r="J43" s="132">
        <f t="shared" si="1"/>
        <v>710</v>
      </c>
      <c r="K43" s="133"/>
      <c r="L43" s="98"/>
      <c r="R43" s="94"/>
    </row>
    <row r="44" spans="1:18" ht="24" customHeight="1">
      <c r="A44" s="5">
        <f t="shared" si="0"/>
        <v>39</v>
      </c>
      <c r="B44" s="162" t="s">
        <v>189</v>
      </c>
      <c r="C44" s="162"/>
      <c r="D44" s="170" t="s">
        <v>195</v>
      </c>
      <c r="E44" s="170"/>
      <c r="F44" s="170"/>
      <c r="G44" s="130" t="s">
        <v>209</v>
      </c>
      <c r="H44" s="130">
        <v>50</v>
      </c>
      <c r="I44" s="131">
        <v>153</v>
      </c>
      <c r="J44" s="132">
        <f t="shared" si="1"/>
        <v>7650</v>
      </c>
      <c r="K44" s="133"/>
      <c r="L44" s="98"/>
      <c r="R44" s="94"/>
    </row>
    <row r="45" spans="1:18" ht="24" customHeight="1">
      <c r="A45" s="5">
        <f t="shared" si="0"/>
        <v>40</v>
      </c>
      <c r="B45" s="162" t="s">
        <v>131</v>
      </c>
      <c r="C45" s="162"/>
      <c r="D45" s="170" t="s">
        <v>195</v>
      </c>
      <c r="E45" s="170"/>
      <c r="F45" s="170"/>
      <c r="G45" s="130" t="s">
        <v>209</v>
      </c>
      <c r="H45" s="130">
        <v>5</v>
      </c>
      <c r="I45" s="131">
        <v>162</v>
      </c>
      <c r="J45" s="132">
        <f t="shared" si="1"/>
        <v>810</v>
      </c>
      <c r="K45" s="133"/>
      <c r="L45" s="98"/>
      <c r="R45" s="94"/>
    </row>
    <row r="46" spans="1:18" ht="24" customHeight="1">
      <c r="A46" s="5">
        <f t="shared" si="0"/>
        <v>41</v>
      </c>
      <c r="B46" s="162" t="s">
        <v>189</v>
      </c>
      <c r="C46" s="162"/>
      <c r="D46" s="170" t="s">
        <v>196</v>
      </c>
      <c r="E46" s="170"/>
      <c r="F46" s="170"/>
      <c r="G46" s="130" t="s">
        <v>209</v>
      </c>
      <c r="H46" s="130">
        <v>10</v>
      </c>
      <c r="I46" s="131">
        <v>166</v>
      </c>
      <c r="J46" s="132">
        <f t="shared" si="1"/>
        <v>1660</v>
      </c>
      <c r="K46" s="133"/>
      <c r="L46" s="98"/>
      <c r="R46" s="94"/>
    </row>
    <row r="47" spans="1:18" ht="24" customHeight="1">
      <c r="A47" s="5">
        <f t="shared" si="0"/>
        <v>42</v>
      </c>
      <c r="B47" s="162" t="s">
        <v>197</v>
      </c>
      <c r="C47" s="162"/>
      <c r="D47" s="170" t="s">
        <v>198</v>
      </c>
      <c r="E47" s="170"/>
      <c r="F47" s="170"/>
      <c r="G47" s="130" t="s">
        <v>209</v>
      </c>
      <c r="H47" s="130">
        <v>30</v>
      </c>
      <c r="I47" s="131">
        <v>10</v>
      </c>
      <c r="J47" s="132">
        <f t="shared" si="1"/>
        <v>300</v>
      </c>
      <c r="K47" s="133"/>
      <c r="L47" s="98"/>
      <c r="R47" s="94"/>
    </row>
    <row r="48" spans="1:18" ht="24" customHeight="1">
      <c r="A48" s="5">
        <f t="shared" si="0"/>
        <v>43</v>
      </c>
      <c r="B48" s="162" t="s">
        <v>199</v>
      </c>
      <c r="C48" s="162"/>
      <c r="D48" s="170" t="s">
        <v>200</v>
      </c>
      <c r="E48" s="170"/>
      <c r="F48" s="170"/>
      <c r="G48" s="130" t="s">
        <v>209</v>
      </c>
      <c r="H48" s="130">
        <v>17</v>
      </c>
      <c r="I48" s="131">
        <v>42</v>
      </c>
      <c r="J48" s="132">
        <f t="shared" si="1"/>
        <v>714</v>
      </c>
      <c r="K48" s="133"/>
      <c r="L48" s="98"/>
      <c r="R48" s="94"/>
    </row>
    <row r="49" spans="1:26" ht="35.25" customHeight="1">
      <c r="A49" s="5">
        <f t="shared" si="0"/>
        <v>44</v>
      </c>
      <c r="B49" s="162" t="s">
        <v>201</v>
      </c>
      <c r="C49" s="162"/>
      <c r="D49" s="170" t="s">
        <v>202</v>
      </c>
      <c r="E49" s="170"/>
      <c r="F49" s="170"/>
      <c r="G49" s="130" t="s">
        <v>212</v>
      </c>
      <c r="H49" s="130">
        <v>6</v>
      </c>
      <c r="I49" s="131">
        <v>5985</v>
      </c>
      <c r="J49" s="132">
        <f t="shared" si="1"/>
        <v>35910</v>
      </c>
      <c r="K49" s="133"/>
      <c r="L49" s="98"/>
      <c r="R49" s="94"/>
    </row>
    <row r="50" spans="1:26" ht="24.75" customHeight="1">
      <c r="A50" s="5">
        <f t="shared" si="0"/>
        <v>45</v>
      </c>
      <c r="B50" s="162" t="s">
        <v>183</v>
      </c>
      <c r="C50" s="162"/>
      <c r="D50" s="170" t="s">
        <v>203</v>
      </c>
      <c r="E50" s="170"/>
      <c r="F50" s="170"/>
      <c r="G50" s="130" t="s">
        <v>209</v>
      </c>
      <c r="H50" s="130">
        <v>1</v>
      </c>
      <c r="I50" s="131">
        <v>30</v>
      </c>
      <c r="J50" s="132">
        <f t="shared" si="1"/>
        <v>30</v>
      </c>
      <c r="K50" s="133"/>
      <c r="L50" s="98"/>
      <c r="R50" s="94"/>
    </row>
    <row r="51" spans="1:26" ht="35.25" customHeight="1">
      <c r="A51" s="5">
        <f t="shared" si="0"/>
        <v>46</v>
      </c>
      <c r="B51" s="162" t="s">
        <v>204</v>
      </c>
      <c r="C51" s="162"/>
      <c r="D51" s="170" t="s">
        <v>205</v>
      </c>
      <c r="E51" s="170"/>
      <c r="F51" s="170"/>
      <c r="G51" s="130" t="s">
        <v>209</v>
      </c>
      <c r="H51" s="130">
        <v>2</v>
      </c>
      <c r="I51" s="131">
        <v>830</v>
      </c>
      <c r="J51" s="132">
        <f t="shared" si="1"/>
        <v>1660</v>
      </c>
      <c r="K51" s="133"/>
      <c r="L51" s="98"/>
      <c r="R51" s="94"/>
    </row>
    <row r="52" spans="1:26" ht="28.5" customHeight="1">
      <c r="A52" s="5">
        <f t="shared" si="0"/>
        <v>47</v>
      </c>
      <c r="B52" s="162" t="s">
        <v>172</v>
      </c>
      <c r="C52" s="162"/>
      <c r="D52" s="170" t="s">
        <v>206</v>
      </c>
      <c r="E52" s="170"/>
      <c r="F52" s="170"/>
      <c r="G52" s="130" t="s">
        <v>209</v>
      </c>
      <c r="H52" s="130">
        <v>100</v>
      </c>
      <c r="I52" s="131">
        <v>82</v>
      </c>
      <c r="J52" s="132">
        <f t="shared" si="1"/>
        <v>8200</v>
      </c>
      <c r="K52" s="133"/>
      <c r="L52" s="98"/>
      <c r="R52" s="94"/>
    </row>
    <row r="53" spans="1:26" ht="35.25" customHeight="1">
      <c r="A53" s="5">
        <f t="shared" si="0"/>
        <v>48</v>
      </c>
      <c r="B53" s="162" t="s">
        <v>207</v>
      </c>
      <c r="C53" s="162"/>
      <c r="D53" s="170" t="s">
        <v>208</v>
      </c>
      <c r="E53" s="170"/>
      <c r="F53" s="170"/>
      <c r="G53" s="130" t="s">
        <v>212</v>
      </c>
      <c r="H53" s="130">
        <v>11</v>
      </c>
      <c r="I53" s="131">
        <v>1665</v>
      </c>
      <c r="J53" s="132">
        <f t="shared" si="1"/>
        <v>18315</v>
      </c>
      <c r="K53" s="133"/>
      <c r="L53" s="98"/>
      <c r="R53" s="94"/>
    </row>
    <row r="54" spans="1:26" ht="23.25" hidden="1" customHeight="1">
      <c r="A54" s="124">
        <f>ROW(A7)</f>
        <v>7</v>
      </c>
      <c r="B54" s="157"/>
      <c r="C54" s="158"/>
      <c r="D54" s="159"/>
      <c r="E54" s="160"/>
      <c r="F54" s="161"/>
      <c r="G54" s="125"/>
      <c r="H54" s="125"/>
      <c r="I54" s="126"/>
      <c r="J54" s="127"/>
      <c r="K54" s="128"/>
      <c r="L54" s="129"/>
      <c r="R54" s="94"/>
    </row>
    <row r="55" spans="1:26" ht="23.25" hidden="1" customHeight="1">
      <c r="A55" s="5" t="e">
        <f>ROW(#REF!)</f>
        <v>#REF!</v>
      </c>
      <c r="B55" s="152"/>
      <c r="C55" s="153"/>
      <c r="D55" s="154"/>
      <c r="E55" s="155"/>
      <c r="F55" s="156"/>
      <c r="G55" s="106"/>
      <c r="H55" s="106"/>
      <c r="I55" s="107"/>
      <c r="J55" s="96">
        <f t="shared" ref="J55:J57" si="2">H55*I55</f>
        <v>0</v>
      </c>
      <c r="K55" s="97"/>
      <c r="L55" s="98"/>
      <c r="R55" s="94"/>
    </row>
    <row r="56" spans="1:26" ht="23.25" hidden="1" customHeight="1">
      <c r="A56" s="5" t="e">
        <f>ROW(#REF!)</f>
        <v>#REF!</v>
      </c>
      <c r="B56" s="152"/>
      <c r="C56" s="153"/>
      <c r="D56" s="154"/>
      <c r="E56" s="155"/>
      <c r="F56" s="156"/>
      <c r="G56" s="106"/>
      <c r="H56" s="106"/>
      <c r="I56" s="107"/>
      <c r="J56" s="96">
        <f t="shared" si="2"/>
        <v>0</v>
      </c>
      <c r="K56" s="97"/>
      <c r="L56" s="98"/>
      <c r="R56" s="94"/>
    </row>
    <row r="57" spans="1:26" ht="23.25" hidden="1" customHeight="1">
      <c r="A57" s="5" t="e">
        <f>ROW(#REF!)</f>
        <v>#REF!</v>
      </c>
      <c r="B57" s="152"/>
      <c r="C57" s="153"/>
      <c r="D57" s="154"/>
      <c r="E57" s="155"/>
      <c r="F57" s="156"/>
      <c r="G57" s="106"/>
      <c r="H57" s="106"/>
      <c r="I57" s="107"/>
      <c r="J57" s="96">
        <f t="shared" si="2"/>
        <v>0</v>
      </c>
      <c r="K57" s="97"/>
      <c r="L57" s="98"/>
      <c r="R57" s="94"/>
    </row>
    <row r="58" spans="1:26" ht="23.25" customHeight="1">
      <c r="A58" s="150" t="s">
        <v>8</v>
      </c>
      <c r="B58" s="151"/>
      <c r="C58" s="99"/>
      <c r="D58" s="103"/>
      <c r="E58" s="103"/>
      <c r="F58" s="103"/>
      <c r="G58" s="104"/>
      <c r="H58" s="104"/>
      <c r="I58" s="105" t="s">
        <v>9</v>
      </c>
      <c r="J58" s="96">
        <f>SUM(J6:J57)</f>
        <v>241585.5</v>
      </c>
      <c r="K58" s="96"/>
      <c r="L58" s="100"/>
    </row>
    <row r="59" spans="1:26" ht="20.100000000000001" customHeight="1">
      <c r="A59" s="6" t="s">
        <v>10</v>
      </c>
      <c r="B59" s="7"/>
      <c r="C59" s="7"/>
      <c r="D59" s="7"/>
      <c r="E59" s="7"/>
      <c r="F59" s="7"/>
      <c r="G59" s="7"/>
      <c r="H59" s="7"/>
      <c r="I59" s="7"/>
      <c r="J59" s="7"/>
      <c r="K59" s="8"/>
      <c r="L59" s="9"/>
    </row>
    <row r="60" spans="1:26" ht="18" customHeight="1">
      <c r="A60" s="10"/>
      <c r="J60" s="1"/>
      <c r="K60" s="1"/>
      <c r="O60" s="11"/>
      <c r="P60" s="11"/>
      <c r="Q60" s="11"/>
      <c r="R60" s="11"/>
      <c r="S60" s="11"/>
      <c r="T60" s="11"/>
      <c r="U60" s="11"/>
      <c r="V60" s="11"/>
      <c r="W60" s="11"/>
      <c r="Y60" s="175"/>
      <c r="Z60" s="11"/>
    </row>
    <row r="61" spans="1:26" ht="50.1" customHeight="1">
      <c r="Y61" s="176"/>
    </row>
    <row r="62" spans="1:26" ht="15" customHeight="1">
      <c r="O62" s="171" t="s">
        <v>116</v>
      </c>
      <c r="P62" s="177"/>
      <c r="Q62" s="177"/>
      <c r="R62" s="172"/>
      <c r="S62" s="114"/>
      <c r="T62" s="171" t="s">
        <v>117</v>
      </c>
      <c r="U62" s="177"/>
      <c r="V62" s="177"/>
      <c r="W62" s="177"/>
      <c r="X62" s="177"/>
      <c r="Y62" s="172"/>
    </row>
    <row r="63" spans="1:26" ht="15" customHeight="1">
      <c r="O63" s="178" t="s">
        <v>118</v>
      </c>
      <c r="P63" s="134" t="s">
        <v>119</v>
      </c>
      <c r="Q63" s="178" t="s">
        <v>120</v>
      </c>
      <c r="R63" s="134" t="s">
        <v>121</v>
      </c>
      <c r="S63" s="114"/>
      <c r="T63" s="178" t="s">
        <v>122</v>
      </c>
      <c r="U63" s="134" t="s">
        <v>123</v>
      </c>
      <c r="V63" s="171" t="s">
        <v>124</v>
      </c>
      <c r="W63" s="177"/>
      <c r="X63" s="172"/>
      <c r="Y63" s="134" t="s">
        <v>125</v>
      </c>
    </row>
    <row r="64" spans="1:26" ht="18" customHeight="1">
      <c r="O64" s="135"/>
      <c r="P64" s="136"/>
      <c r="Q64" s="135"/>
      <c r="R64" s="136"/>
      <c r="S64" s="115"/>
      <c r="T64" s="135"/>
      <c r="U64" s="136"/>
      <c r="V64" s="13" t="s">
        <v>118</v>
      </c>
      <c r="W64" s="179" t="s">
        <v>126</v>
      </c>
      <c r="X64" s="180"/>
      <c r="Y64" s="136"/>
    </row>
    <row r="65" spans="15:25" ht="50.1" customHeight="1">
      <c r="O65" s="14"/>
      <c r="P65" s="14"/>
      <c r="Q65" s="14"/>
      <c r="R65" s="14"/>
      <c r="S65" s="114"/>
      <c r="T65" s="14"/>
      <c r="U65" s="14"/>
      <c r="V65" s="14"/>
      <c r="W65" s="171"/>
      <c r="X65" s="172"/>
      <c r="Y65" s="116"/>
    </row>
    <row r="66" spans="15:25" ht="36" customHeight="1">
      <c r="W66" s="117"/>
      <c r="X66" s="173" t="s">
        <v>127</v>
      </c>
      <c r="Y66" s="12" t="s">
        <v>125</v>
      </c>
    </row>
    <row r="67" spans="15:25" ht="50.1" customHeight="1">
      <c r="O67" s="118"/>
      <c r="P67" s="118"/>
      <c r="Q67" s="118"/>
      <c r="R67" s="118"/>
      <c r="S67" s="118"/>
      <c r="T67" s="118"/>
      <c r="U67" s="118"/>
      <c r="V67" s="118"/>
      <c r="W67" s="119"/>
      <c r="X67" s="174"/>
      <c r="Y67" s="120"/>
    </row>
    <row r="68" spans="15:25" ht="19.899999999999999" customHeight="1"/>
    <row r="69" spans="15:25" ht="17.45" customHeight="1">
      <c r="O69" s="137"/>
      <c r="P69" s="137"/>
    </row>
    <row r="70" spans="15:25" ht="19.899999999999999" customHeight="1">
      <c r="O70" s="137"/>
      <c r="P70" s="137"/>
    </row>
    <row r="71" spans="15:25" ht="14.25">
      <c r="O71" s="11"/>
      <c r="P71" s="11"/>
    </row>
    <row r="72" spans="15:25" ht="65.099999999999994" customHeight="1"/>
    <row r="73" spans="15:25" ht="14.25">
      <c r="O73" s="11"/>
      <c r="P73" s="11"/>
    </row>
    <row r="74" spans="15:25" ht="19.899999999999999" customHeight="1"/>
    <row r="75" spans="15:25" ht="14.25"/>
    <row r="76" spans="15:25" ht="19.899999999999999" customHeight="1"/>
    <row r="77" spans="15:25" ht="14.25"/>
    <row r="78" spans="15:25" ht="19.899999999999999" customHeight="1"/>
    <row r="79" spans="15:25" ht="19.899999999999999" customHeight="1"/>
    <row r="80" spans="15:25" ht="64.900000000000006" customHeight="1"/>
    <row r="82" spans="15:19" ht="19.899999999999999" customHeight="1"/>
    <row r="83" spans="15:19" ht="19.899999999999999" customHeight="1"/>
    <row r="84" spans="15:19" ht="64.900000000000006" customHeight="1"/>
    <row r="88" spans="15:19" ht="21" customHeight="1">
      <c r="O88" s="134" t="s">
        <v>12</v>
      </c>
      <c r="P88" s="134" t="s">
        <v>12</v>
      </c>
      <c r="S88" s="134" t="s">
        <v>11</v>
      </c>
    </row>
    <row r="89" spans="15:19" ht="21" customHeight="1">
      <c r="O89" s="136"/>
      <c r="P89" s="136"/>
      <c r="S89" s="135"/>
    </row>
    <row r="90" spans="15:19" ht="64.900000000000006" customHeight="1">
      <c r="O90" s="14"/>
      <c r="P90" s="14"/>
      <c r="S90" s="15"/>
    </row>
    <row r="91" spans="15:19" ht="7.15" customHeight="1"/>
    <row r="92" spans="15:19" ht="21" customHeight="1">
      <c r="O92" s="134" t="s">
        <v>12</v>
      </c>
      <c r="P92" s="134" t="s">
        <v>12</v>
      </c>
      <c r="S92" s="134" t="s">
        <v>13</v>
      </c>
    </row>
    <row r="93" spans="15:19" ht="21" customHeight="1">
      <c r="O93" s="136"/>
      <c r="P93" s="136"/>
      <c r="S93" s="135"/>
    </row>
    <row r="94" spans="15:19" ht="64.900000000000006" customHeight="1">
      <c r="O94" s="14"/>
      <c r="P94" s="14"/>
      <c r="S94" s="14"/>
    </row>
  </sheetData>
  <mergeCells count="139">
    <mergeCell ref="D53:F53"/>
    <mergeCell ref="D48:F48"/>
    <mergeCell ref="D49:F49"/>
    <mergeCell ref="D50:F50"/>
    <mergeCell ref="D51:F51"/>
    <mergeCell ref="D52:F52"/>
    <mergeCell ref="D43:F43"/>
    <mergeCell ref="D44:F44"/>
    <mergeCell ref="D45:F45"/>
    <mergeCell ref="D46:F46"/>
    <mergeCell ref="D47:F47"/>
    <mergeCell ref="D38:F38"/>
    <mergeCell ref="D39:F39"/>
    <mergeCell ref="D40:F40"/>
    <mergeCell ref="D41:F41"/>
    <mergeCell ref="D42:F42"/>
    <mergeCell ref="D33:F33"/>
    <mergeCell ref="D34:F34"/>
    <mergeCell ref="D35:F35"/>
    <mergeCell ref="D36:F36"/>
    <mergeCell ref="D37:F37"/>
    <mergeCell ref="D28:F28"/>
    <mergeCell ref="D29:F29"/>
    <mergeCell ref="D30:F30"/>
    <mergeCell ref="D31:F31"/>
    <mergeCell ref="D32:F32"/>
    <mergeCell ref="D23:F23"/>
    <mergeCell ref="D24:F24"/>
    <mergeCell ref="D25:F25"/>
    <mergeCell ref="D26:F26"/>
    <mergeCell ref="D27:F27"/>
    <mergeCell ref="B53:C53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B48:C48"/>
    <mergeCell ref="B49:C49"/>
    <mergeCell ref="B50:C50"/>
    <mergeCell ref="B51:C51"/>
    <mergeCell ref="B52:C52"/>
    <mergeCell ref="B43:C43"/>
    <mergeCell ref="B44:C44"/>
    <mergeCell ref="B45:C45"/>
    <mergeCell ref="B24:C24"/>
    <mergeCell ref="B25:C25"/>
    <mergeCell ref="B26:C26"/>
    <mergeCell ref="B27:C27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18:C18"/>
    <mergeCell ref="B19:C19"/>
    <mergeCell ref="B20:C20"/>
    <mergeCell ref="B21:C21"/>
    <mergeCell ref="B22:C22"/>
    <mergeCell ref="W65:X65"/>
    <mergeCell ref="X66:X67"/>
    <mergeCell ref="Y60:Y61"/>
    <mergeCell ref="O62:R62"/>
    <mergeCell ref="T62:Y62"/>
    <mergeCell ref="O63:O64"/>
    <mergeCell ref="Q63:Q64"/>
    <mergeCell ref="R63:R64"/>
    <mergeCell ref="T63:T64"/>
    <mergeCell ref="U63:U64"/>
    <mergeCell ref="V63:X63"/>
    <mergeCell ref="Y63:Y64"/>
    <mergeCell ref="W64:X64"/>
    <mergeCell ref="B28:C28"/>
    <mergeCell ref="B29:C29"/>
    <mergeCell ref="B30:C30"/>
    <mergeCell ref="B31:C31"/>
    <mergeCell ref="B32:C32"/>
    <mergeCell ref="B23:C23"/>
    <mergeCell ref="B14:C14"/>
    <mergeCell ref="B15:C15"/>
    <mergeCell ref="B16:C16"/>
    <mergeCell ref="B17:C17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B9:C9"/>
    <mergeCell ref="B10:C10"/>
    <mergeCell ref="B11:C11"/>
    <mergeCell ref="B12:C12"/>
    <mergeCell ref="S88:S89"/>
    <mergeCell ref="O92:O93"/>
    <mergeCell ref="P92:P93"/>
    <mergeCell ref="S92:S93"/>
    <mergeCell ref="O69:O70"/>
    <mergeCell ref="P69:P70"/>
    <mergeCell ref="O88:O89"/>
    <mergeCell ref="P88:P89"/>
    <mergeCell ref="A4:A5"/>
    <mergeCell ref="B4:C5"/>
    <mergeCell ref="D4:F5"/>
    <mergeCell ref="G4:G5"/>
    <mergeCell ref="H4:H5"/>
    <mergeCell ref="A58:B58"/>
    <mergeCell ref="P63:P64"/>
    <mergeCell ref="B55:C55"/>
    <mergeCell ref="D55:F55"/>
    <mergeCell ref="B56:C56"/>
    <mergeCell ref="D56:F56"/>
    <mergeCell ref="B57:C57"/>
    <mergeCell ref="D57:F57"/>
    <mergeCell ref="B54:C54"/>
    <mergeCell ref="D54:F54"/>
    <mergeCell ref="B13:C13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42" activePane="bottomLeft" state="frozen"/>
      <selection activeCell="D30" sqref="D30"/>
      <selection pane="bottomLeft" activeCell="I56" sqref="I5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1" t="s">
        <v>87</v>
      </c>
      <c r="B1" s="88"/>
      <c r="C1" s="88"/>
      <c r="D1" s="88"/>
      <c r="E1" s="88"/>
      <c r="F1" s="88"/>
      <c r="G1" s="1"/>
      <c r="J1" s="163" t="str">
        <f>+MRS!J1</f>
        <v>DAESHIN PLANT</v>
      </c>
      <c r="K1" s="165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66" t="str">
        <f>+MRS!J2</f>
        <v>Subcontract name (SAC2-SC-IK-SMP-01)</v>
      </c>
      <c r="K2" s="168"/>
    </row>
    <row r="3" spans="1:18" ht="24.95" customHeight="1">
      <c r="A3" s="3" t="str">
        <f>+MRS!A3</f>
        <v xml:space="preserve">  MRS No : SAC2-DS-MRS-0428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46256</v>
      </c>
    </row>
    <row r="4" spans="1:18" ht="15.95" customHeight="1">
      <c r="A4" s="186" t="s">
        <v>2</v>
      </c>
      <c r="B4" s="187" t="s">
        <v>14</v>
      </c>
      <c r="C4" s="187"/>
      <c r="D4" s="186" t="s">
        <v>4</v>
      </c>
      <c r="E4" s="186"/>
      <c r="F4" s="186"/>
      <c r="G4" s="187" t="s">
        <v>5</v>
      </c>
      <c r="H4" s="186" t="s">
        <v>82</v>
      </c>
      <c r="I4" s="186" t="s">
        <v>15</v>
      </c>
      <c r="J4" s="186" t="s">
        <v>16</v>
      </c>
      <c r="K4" s="187" t="s">
        <v>7</v>
      </c>
    </row>
    <row r="5" spans="1:18" ht="15.95" customHeight="1">
      <c r="A5" s="186"/>
      <c r="B5" s="187"/>
      <c r="C5" s="187"/>
      <c r="D5" s="186"/>
      <c r="E5" s="186"/>
      <c r="F5" s="186"/>
      <c r="G5" s="187"/>
      <c r="H5" s="186"/>
      <c r="I5" s="186"/>
      <c r="J5" s="186"/>
      <c r="K5" s="187"/>
    </row>
    <row r="6" spans="1:18" ht="105" customHeight="1">
      <c r="A6" s="17">
        <f>+MRS!A6</f>
        <v>1</v>
      </c>
      <c r="B6" s="181" t="str">
        <f>MRS!B6</f>
        <v xml:space="preserve">Latex Half Coated Gloves </v>
      </c>
      <c r="C6" s="182"/>
      <c r="D6" s="183" t="str">
        <f>MRS!D6</f>
        <v>Orange/Green Crinkled</v>
      </c>
      <c r="E6" s="184"/>
      <c r="F6" s="185"/>
      <c r="G6" s="91" t="str">
        <f>MRS!G6</f>
        <v>Nos</v>
      </c>
      <c r="H6" s="91">
        <f>MRS!H6</f>
        <v>4000</v>
      </c>
      <c r="I6" s="92">
        <f>MRS!I6</f>
        <v>1.3</v>
      </c>
      <c r="J6" s="92">
        <f>MRS!J6</f>
        <v>5200</v>
      </c>
      <c r="K6" s="93"/>
      <c r="O6" s="94"/>
      <c r="P6" s="94"/>
      <c r="R6" s="94"/>
    </row>
    <row r="7" spans="1:18" ht="105" customHeight="1">
      <c r="A7" s="17">
        <f>+MRS!A7</f>
        <v>2</v>
      </c>
      <c r="B7" s="181" t="str">
        <f>MRS!B7</f>
        <v>Flap Disc C/S</v>
      </c>
      <c r="C7" s="182"/>
      <c r="D7" s="183" t="str">
        <f>MRS!D7</f>
        <v xml:space="preserve"> 4" 80 Grit</v>
      </c>
      <c r="E7" s="184"/>
      <c r="F7" s="185"/>
      <c r="G7" s="91" t="str">
        <f>MRS!G7</f>
        <v>Nos</v>
      </c>
      <c r="H7" s="91">
        <f>MRS!H7</f>
        <v>2000</v>
      </c>
      <c r="I7" s="92">
        <f>MRS!I7</f>
        <v>2.2999999999999998</v>
      </c>
      <c r="J7" s="92">
        <f>MRS!J7</f>
        <v>4600</v>
      </c>
      <c r="K7" s="93"/>
      <c r="O7" s="94"/>
      <c r="P7" s="94"/>
      <c r="R7" s="94"/>
    </row>
    <row r="8" spans="1:18" ht="105" customHeight="1">
      <c r="A8" s="17" t="e">
        <f>+MRS!#REF!</f>
        <v>#REF!</v>
      </c>
      <c r="B8" s="181" t="str">
        <f>MRS!B8</f>
        <v>Flap Disc S/S</v>
      </c>
      <c r="C8" s="182"/>
      <c r="D8" s="183" t="str">
        <f>MRS!D8</f>
        <v xml:space="preserve"> 4" 80 Grit</v>
      </c>
      <c r="E8" s="184"/>
      <c r="F8" s="185"/>
      <c r="G8" s="91" t="str">
        <f>MRS!G8</f>
        <v>Nos</v>
      </c>
      <c r="H8" s="91">
        <f>MRS!H8</f>
        <v>5000</v>
      </c>
      <c r="I8" s="92">
        <f>MRS!I8</f>
        <v>3.1</v>
      </c>
      <c r="J8" s="92">
        <f>MRS!J8</f>
        <v>15500</v>
      </c>
      <c r="K8" s="93"/>
      <c r="O8" s="94"/>
      <c r="P8" s="94"/>
      <c r="R8" s="94"/>
    </row>
    <row r="9" spans="1:18" ht="105" customHeight="1">
      <c r="A9" s="17" t="e">
        <f>+MRS!#REF!</f>
        <v>#REF!</v>
      </c>
      <c r="B9" s="181" t="str">
        <f>MRS!B9</f>
        <v>Electric Insulation Tape Black</v>
      </c>
      <c r="C9" s="182"/>
      <c r="D9" s="183">
        <f>MRS!D9</f>
        <v>0</v>
      </c>
      <c r="E9" s="184"/>
      <c r="F9" s="185"/>
      <c r="G9" s="91" t="str">
        <f>MRS!G9</f>
        <v>Nos</v>
      </c>
      <c r="H9" s="91">
        <f>MRS!H9</f>
        <v>200</v>
      </c>
      <c r="I9" s="92">
        <f>MRS!I9</f>
        <v>2</v>
      </c>
      <c r="J9" s="92">
        <f>MRS!J9</f>
        <v>400</v>
      </c>
      <c r="K9" s="93"/>
      <c r="O9" s="94"/>
      <c r="P9" s="94"/>
      <c r="R9" s="94"/>
    </row>
    <row r="10" spans="1:18" ht="105" customHeight="1">
      <c r="A10" s="17" t="e">
        <f>+MRS!#REF!</f>
        <v>#REF!</v>
      </c>
      <c r="B10" s="181" t="str">
        <f>MRS!B10</f>
        <v>Ear Plug with Corded</v>
      </c>
      <c r="C10" s="182"/>
      <c r="D10" s="183">
        <f>MRS!D10</f>
        <v>0</v>
      </c>
      <c r="E10" s="184"/>
      <c r="F10" s="185"/>
      <c r="G10" s="91" t="str">
        <f>MRS!G10</f>
        <v>Pair</v>
      </c>
      <c r="H10" s="91">
        <f>MRS!H10</f>
        <v>3300</v>
      </c>
      <c r="I10" s="92">
        <f>MRS!I10</f>
        <v>0.55000000000000004</v>
      </c>
      <c r="J10" s="92">
        <f>MRS!J10</f>
        <v>1815.0000000000002</v>
      </c>
      <c r="K10" s="93"/>
      <c r="O10" s="94"/>
      <c r="P10" s="94"/>
      <c r="R10" s="94"/>
    </row>
    <row r="11" spans="1:18" ht="105" customHeight="1">
      <c r="A11" s="17" t="e">
        <f>+MRS!#REF!</f>
        <v>#REF!</v>
      </c>
      <c r="B11" s="181" t="str">
        <f>MRS!B11</f>
        <v xml:space="preserve">Dust Mask </v>
      </c>
      <c r="C11" s="182"/>
      <c r="D11" s="183" t="str">
        <f>MRS!D11</f>
        <v>N95 Venus</v>
      </c>
      <c r="E11" s="184"/>
      <c r="F11" s="185"/>
      <c r="G11" s="91" t="str">
        <f>MRS!G11</f>
        <v>Nos</v>
      </c>
      <c r="H11" s="91">
        <f>MRS!H11</f>
        <v>3600</v>
      </c>
      <c r="I11" s="92">
        <f>MRS!I11</f>
        <v>1.35</v>
      </c>
      <c r="J11" s="92">
        <f>MRS!J11</f>
        <v>4860</v>
      </c>
      <c r="K11" s="93"/>
      <c r="O11" s="94"/>
      <c r="P11" s="94"/>
      <c r="R11" s="94"/>
    </row>
    <row r="12" spans="1:18" ht="105" customHeight="1">
      <c r="A12" s="17">
        <f>+MRS!A54</f>
        <v>7</v>
      </c>
      <c r="B12" s="181" t="str">
        <f>MRS!B12</f>
        <v xml:space="preserve">Welding Glass </v>
      </c>
      <c r="C12" s="182"/>
      <c r="D12" s="183" t="str">
        <f>MRS!D12</f>
        <v>Dark #10</v>
      </c>
      <c r="E12" s="184"/>
      <c r="F12" s="185"/>
      <c r="G12" s="91" t="str">
        <f>MRS!G12</f>
        <v>Nos</v>
      </c>
      <c r="H12" s="91">
        <f>MRS!H12</f>
        <v>100</v>
      </c>
      <c r="I12" s="92">
        <f>MRS!I12</f>
        <v>0.9</v>
      </c>
      <c r="J12" s="92">
        <f>MRS!J12</f>
        <v>90</v>
      </c>
      <c r="K12" s="93"/>
      <c r="O12" s="94"/>
      <c r="P12" s="94"/>
      <c r="R12" s="94"/>
    </row>
    <row r="13" spans="1:18" ht="105" customHeight="1">
      <c r="A13" s="17" t="e">
        <f>+MRS!A55</f>
        <v>#REF!</v>
      </c>
      <c r="B13" s="181" t="str">
        <f>MRS!B13</f>
        <v xml:space="preserve">Welding Glass </v>
      </c>
      <c r="C13" s="182"/>
      <c r="D13" s="183" t="str">
        <f>MRS!D13</f>
        <v>Dark #11</v>
      </c>
      <c r="E13" s="184"/>
      <c r="F13" s="185"/>
      <c r="G13" s="91" t="str">
        <f>MRS!G13</f>
        <v>Nos</v>
      </c>
      <c r="H13" s="91">
        <f>MRS!H13</f>
        <v>150</v>
      </c>
      <c r="I13" s="92">
        <f>MRS!I13</f>
        <v>0.9</v>
      </c>
      <c r="J13" s="92">
        <f>MRS!J13</f>
        <v>135</v>
      </c>
      <c r="K13" s="93"/>
      <c r="O13" s="94"/>
      <c r="P13" s="94"/>
      <c r="R13" s="94"/>
    </row>
    <row r="14" spans="1:18" ht="105" customHeight="1">
      <c r="A14" s="17" t="e">
        <f>+MRS!A56</f>
        <v>#REF!</v>
      </c>
      <c r="B14" s="181" t="str">
        <f>MRS!B14</f>
        <v xml:space="preserve">Tungsten Electrode </v>
      </c>
      <c r="C14" s="182"/>
      <c r="D14" s="183" t="str">
        <f>MRS!D14</f>
        <v>2.4mm</v>
      </c>
      <c r="E14" s="184"/>
      <c r="F14" s="185"/>
      <c r="G14" s="91" t="str">
        <f>MRS!G14</f>
        <v>Nos</v>
      </c>
      <c r="H14" s="91">
        <f>MRS!H14</f>
        <v>900</v>
      </c>
      <c r="I14" s="92">
        <f>MRS!I14</f>
        <v>21</v>
      </c>
      <c r="J14" s="92">
        <f>MRS!J14</f>
        <v>18900</v>
      </c>
      <c r="K14" s="93"/>
      <c r="O14" s="94"/>
      <c r="P14" s="94"/>
      <c r="R14" s="94"/>
    </row>
    <row r="15" spans="1:18" ht="105" customHeight="1">
      <c r="A15" s="17" t="e">
        <f>+MRS!A57</f>
        <v>#REF!</v>
      </c>
      <c r="B15" s="181" t="str">
        <f>MRS!B15</f>
        <v xml:space="preserve">Ceramic Nozzle </v>
      </c>
      <c r="C15" s="182"/>
      <c r="D15" s="183" t="str">
        <f>MRS!D15</f>
        <v>350A #6</v>
      </c>
      <c r="E15" s="184"/>
      <c r="F15" s="185"/>
      <c r="G15" s="91" t="str">
        <f>MRS!G15</f>
        <v>Nos</v>
      </c>
      <c r="H15" s="91">
        <f>MRS!H15</f>
        <v>400</v>
      </c>
      <c r="I15" s="92">
        <f>MRS!I15</f>
        <v>12</v>
      </c>
      <c r="J15" s="92">
        <f>MRS!J15</f>
        <v>4800</v>
      </c>
      <c r="K15" s="93"/>
      <c r="O15" s="94"/>
      <c r="P15" s="94"/>
      <c r="R15" s="94"/>
    </row>
    <row r="16" spans="1:18" ht="105" customHeight="1">
      <c r="A16" s="17"/>
      <c r="B16" s="181" t="str">
        <f>MRS!B16</f>
        <v xml:space="preserve">Double Ear Clamp S/S </v>
      </c>
      <c r="C16" s="182"/>
      <c r="D16" s="183" t="str">
        <f>MRS!D16</f>
        <v>11-13mm</v>
      </c>
      <c r="E16" s="184"/>
      <c r="F16" s="185"/>
      <c r="G16" s="91" t="str">
        <f>MRS!G16</f>
        <v>Nos</v>
      </c>
      <c r="H16" s="91">
        <f>MRS!H16</f>
        <v>500</v>
      </c>
      <c r="I16" s="92">
        <f>MRS!I16</f>
        <v>4.7</v>
      </c>
      <c r="J16" s="92">
        <f>MRS!J16</f>
        <v>2350</v>
      </c>
      <c r="K16" s="93"/>
      <c r="O16" s="94"/>
      <c r="P16" s="94"/>
      <c r="R16" s="94"/>
    </row>
    <row r="17" spans="1:18" ht="105" customHeight="1">
      <c r="A17" s="17"/>
      <c r="B17" s="181" t="str">
        <f>MRS!B17</f>
        <v>Double Ear Clamp S/S</v>
      </c>
      <c r="C17" s="182"/>
      <c r="D17" s="183" t="str">
        <f>MRS!D17</f>
        <v xml:space="preserve"> 13-15mm</v>
      </c>
      <c r="E17" s="184"/>
      <c r="F17" s="185"/>
      <c r="G17" s="91" t="str">
        <f>MRS!G17</f>
        <v>Nos</v>
      </c>
      <c r="H17" s="91">
        <f>MRS!H17</f>
        <v>450</v>
      </c>
      <c r="I17" s="92">
        <f>MRS!I17</f>
        <v>4.7</v>
      </c>
      <c r="J17" s="92">
        <f>MRS!J17</f>
        <v>2115</v>
      </c>
      <c r="K17" s="93"/>
      <c r="O17" s="94"/>
      <c r="P17" s="94"/>
      <c r="R17" s="94"/>
    </row>
    <row r="18" spans="1:18" ht="105" customHeight="1">
      <c r="A18" s="17"/>
      <c r="B18" s="181" t="str">
        <f>MRS!B18</f>
        <v>Angle Grinder</v>
      </c>
      <c r="C18" s="182"/>
      <c r="D18" s="183" t="str">
        <f>MRS!D18</f>
        <v xml:space="preserve"> 4" 220V with Paddle Switch DWE4002-B5 Dewalt</v>
      </c>
      <c r="E18" s="184"/>
      <c r="F18" s="185"/>
      <c r="G18" s="91" t="str">
        <f>MRS!G18</f>
        <v>Nos</v>
      </c>
      <c r="H18" s="91">
        <f>MRS!H18</f>
        <v>107</v>
      </c>
      <c r="I18" s="92">
        <f>MRS!I18</f>
        <v>320</v>
      </c>
      <c r="J18" s="92">
        <f>MRS!J18</f>
        <v>34240</v>
      </c>
      <c r="K18" s="93"/>
      <c r="O18" s="94"/>
      <c r="P18" s="94"/>
      <c r="R18" s="94"/>
    </row>
    <row r="19" spans="1:18" ht="105" customHeight="1">
      <c r="A19" s="17"/>
      <c r="B19" s="181" t="str">
        <f>MRS!B19</f>
        <v xml:space="preserve">Tig Torch Remote Cable </v>
      </c>
      <c r="C19" s="182"/>
      <c r="D19" s="183" t="str">
        <f>MRS!D19</f>
        <v>3Cx0.75x90mtr</v>
      </c>
      <c r="E19" s="184"/>
      <c r="F19" s="185"/>
      <c r="G19" s="91" t="str">
        <f>MRS!G19</f>
        <v>Roll</v>
      </c>
      <c r="H19" s="91">
        <f>MRS!H19</f>
        <v>10</v>
      </c>
      <c r="I19" s="92">
        <f>MRS!I19</f>
        <v>270</v>
      </c>
      <c r="J19" s="92">
        <f>MRS!J19</f>
        <v>2700</v>
      </c>
      <c r="K19" s="93"/>
      <c r="O19" s="94"/>
      <c r="P19" s="94"/>
      <c r="R19" s="94"/>
    </row>
    <row r="20" spans="1:18" ht="105" customHeight="1">
      <c r="A20" s="17"/>
      <c r="B20" s="181" t="str">
        <f>MRS!B20</f>
        <v xml:space="preserve">Two Way Radio Walkie Talkie </v>
      </c>
      <c r="C20" s="182"/>
      <c r="D20" s="183" t="str">
        <f>MRS!D20</f>
        <v>Baofeng BF-888S</v>
      </c>
      <c r="E20" s="184"/>
      <c r="F20" s="185"/>
      <c r="G20" s="91" t="str">
        <f>MRS!G20</f>
        <v>Nos</v>
      </c>
      <c r="H20" s="91">
        <f>MRS!H20</f>
        <v>50</v>
      </c>
      <c r="I20" s="92">
        <f>MRS!I20</f>
        <v>125</v>
      </c>
      <c r="J20" s="92">
        <f>MRS!J20</f>
        <v>6250</v>
      </c>
      <c r="K20" s="93"/>
      <c r="O20" s="94"/>
      <c r="P20" s="94"/>
      <c r="R20" s="94"/>
    </row>
    <row r="21" spans="1:18" ht="105" customHeight="1">
      <c r="A21" s="17"/>
      <c r="B21" s="181" t="str">
        <f>MRS!B21</f>
        <v>Low Chloride Paint Marker</v>
      </c>
      <c r="C21" s="182"/>
      <c r="D21" s="183" t="str">
        <f>MRS!D21</f>
        <v xml:space="preserve"> Blue</v>
      </c>
      <c r="E21" s="184"/>
      <c r="F21" s="185"/>
      <c r="G21" s="91" t="str">
        <f>MRS!G21</f>
        <v>Nos</v>
      </c>
      <c r="H21" s="91">
        <f>MRS!H21</f>
        <v>600</v>
      </c>
      <c r="I21" s="92">
        <f>MRS!I21</f>
        <v>12.8</v>
      </c>
      <c r="J21" s="92">
        <f>MRS!J21</f>
        <v>7680</v>
      </c>
      <c r="K21" s="93"/>
      <c r="O21" s="94"/>
      <c r="P21" s="94"/>
      <c r="R21" s="94"/>
    </row>
    <row r="22" spans="1:18" ht="21" customHeight="1">
      <c r="B22" s="181" t="str">
        <f>MRS!B22</f>
        <v>Welding Cable Connector</v>
      </c>
      <c r="C22" s="182"/>
      <c r="D22" s="183" t="str">
        <f>MRS!D22</f>
        <v xml:space="preserve"> 50-70mm2 Male &amp; Female</v>
      </c>
      <c r="E22" s="184"/>
      <c r="F22" s="185"/>
      <c r="G22" s="91" t="str">
        <f>MRS!G22</f>
        <v>Set</v>
      </c>
      <c r="H22" s="91">
        <f>MRS!H22</f>
        <v>375</v>
      </c>
      <c r="I22" s="92">
        <f>MRS!I22</f>
        <v>15</v>
      </c>
      <c r="J22" s="92">
        <f>MRS!J22</f>
        <v>5625</v>
      </c>
    </row>
    <row r="23" spans="1:18" ht="21" customHeight="1">
      <c r="B23" s="181" t="str">
        <f>MRS!B23</f>
        <v>Drill Machine</v>
      </c>
      <c r="C23" s="182"/>
      <c r="D23" s="183" t="str">
        <f>MRS!D23</f>
        <v xml:space="preserve"> 13mm in Steel M0801KB Makita</v>
      </c>
      <c r="E23" s="184"/>
      <c r="F23" s="185"/>
      <c r="G23" s="91" t="str">
        <f>MRS!G23</f>
        <v>Nos</v>
      </c>
      <c r="H23" s="91">
        <f>MRS!H23</f>
        <v>3</v>
      </c>
      <c r="I23" s="92">
        <f>MRS!I23</f>
        <v>210</v>
      </c>
      <c r="J23" s="92">
        <f>MRS!J23</f>
        <v>630</v>
      </c>
    </row>
    <row r="24" spans="1:18" ht="21" customHeight="1">
      <c r="B24" s="181" t="str">
        <f>MRS!B24</f>
        <v>Split A/C</v>
      </c>
      <c r="C24" s="182"/>
      <c r="D24" s="183" t="str">
        <f>MRS!D24</f>
        <v xml:space="preserve"> 1.5Ton Heat &amp; Cooling Inverter Zamil</v>
      </c>
      <c r="E24" s="184"/>
      <c r="F24" s="185"/>
      <c r="G24" s="91" t="str">
        <f>MRS!G24</f>
        <v>Nos</v>
      </c>
      <c r="H24" s="91">
        <f>MRS!H24</f>
        <v>3</v>
      </c>
      <c r="I24" s="92">
        <f>MRS!I24</f>
        <v>2240</v>
      </c>
      <c r="J24" s="92">
        <f>MRS!J24</f>
        <v>6720</v>
      </c>
    </row>
    <row r="25" spans="1:18" ht="21" customHeight="1">
      <c r="B25" s="181" t="str">
        <f>MRS!B25</f>
        <v>A/C Copper Tube Set</v>
      </c>
      <c r="C25" s="182"/>
      <c r="D25" s="183" t="str">
        <f>MRS!D25</f>
        <v xml:space="preserve"> 1/2"x15mtr</v>
      </c>
      <c r="E25" s="184"/>
      <c r="F25" s="185"/>
      <c r="G25" s="91" t="str">
        <f>MRS!G25</f>
        <v>Nos</v>
      </c>
      <c r="H25" s="91">
        <f>MRS!H25</f>
        <v>3</v>
      </c>
      <c r="I25" s="92">
        <f>MRS!I25</f>
        <v>340</v>
      </c>
      <c r="J25" s="92">
        <f>MRS!J25</f>
        <v>1020</v>
      </c>
    </row>
    <row r="26" spans="1:18" ht="21" customHeight="1">
      <c r="B26" s="181" t="str">
        <f>MRS!B26</f>
        <v>A/C Copper Tube Set</v>
      </c>
      <c r="C26" s="182"/>
      <c r="D26" s="183" t="str">
        <f>MRS!D26</f>
        <v xml:space="preserve"> 1/4"x15mtr</v>
      </c>
      <c r="E26" s="184"/>
      <c r="F26" s="185"/>
      <c r="G26" s="91" t="str">
        <f>MRS!G26</f>
        <v>Nos</v>
      </c>
      <c r="H26" s="91">
        <f>MRS!H26</f>
        <v>3</v>
      </c>
      <c r="I26" s="92">
        <f>MRS!I26</f>
        <v>143</v>
      </c>
      <c r="J26" s="92">
        <f>MRS!J26</f>
        <v>429</v>
      </c>
    </row>
    <row r="27" spans="1:18" ht="21" customHeight="1">
      <c r="B27" s="181" t="str">
        <f>MRS!B27</f>
        <v>Insulation for Copper Tube,</v>
      </c>
      <c r="C27" s="182"/>
      <c r="D27" s="183" t="str">
        <f>MRS!D27</f>
        <v xml:space="preserve"> 1/2" × 15 m</v>
      </c>
      <c r="E27" s="184"/>
      <c r="F27" s="185"/>
      <c r="G27" s="91" t="str">
        <f>MRS!G27</f>
        <v>Nos</v>
      </c>
      <c r="H27" s="91">
        <f>MRS!H27</f>
        <v>17</v>
      </c>
      <c r="I27" s="92">
        <f>MRS!I27</f>
        <v>18</v>
      </c>
      <c r="J27" s="92">
        <f>MRS!J27</f>
        <v>306</v>
      </c>
    </row>
    <row r="28" spans="1:18" ht="21" customHeight="1">
      <c r="B28" s="181" t="str">
        <f>MRS!B28</f>
        <v>Insulation for Copper Tube,</v>
      </c>
      <c r="C28" s="182"/>
      <c r="D28" s="183" t="str">
        <f>MRS!D28</f>
        <v xml:space="preserve"> 1/4" × 15 m</v>
      </c>
      <c r="E28" s="184"/>
      <c r="F28" s="185"/>
      <c r="G28" s="91" t="str">
        <f>MRS!G28</f>
        <v>Nos</v>
      </c>
      <c r="H28" s="91">
        <f>MRS!H28</f>
        <v>22</v>
      </c>
      <c r="I28" s="92">
        <f>MRS!I28</f>
        <v>12</v>
      </c>
      <c r="J28" s="92">
        <f>MRS!J28</f>
        <v>264</v>
      </c>
    </row>
    <row r="29" spans="1:18" ht="21" customHeight="1">
      <c r="B29" s="181" t="str">
        <f>MRS!B29</f>
        <v xml:space="preserve">Magnetic Drill Machine </v>
      </c>
      <c r="C29" s="182"/>
      <c r="D29" s="183" t="str">
        <f>MRS!D29</f>
        <v>50mm ECO.50S+ Euroboor (UL Listed)</v>
      </c>
      <c r="E29" s="184"/>
      <c r="F29" s="185"/>
      <c r="G29" s="91" t="str">
        <f>MRS!G29</f>
        <v>Set</v>
      </c>
      <c r="H29" s="91">
        <f>MRS!H29</f>
        <v>3</v>
      </c>
      <c r="I29" s="92">
        <f>MRS!I29</f>
        <v>4900</v>
      </c>
      <c r="J29" s="92">
        <f>MRS!J29</f>
        <v>14700</v>
      </c>
    </row>
    <row r="30" spans="1:18" ht="21" customHeight="1">
      <c r="B30" s="181" t="str">
        <f>MRS!B30</f>
        <v>Smoke Detector</v>
      </c>
      <c r="C30" s="182"/>
      <c r="D30" s="183">
        <f>MRS!D30</f>
        <v>0</v>
      </c>
      <c r="E30" s="184"/>
      <c r="F30" s="185"/>
      <c r="G30" s="91" t="str">
        <f>MRS!G30</f>
        <v>Nos</v>
      </c>
      <c r="H30" s="91">
        <f>MRS!H30</f>
        <v>15</v>
      </c>
      <c r="I30" s="92">
        <f>MRS!I30</f>
        <v>24</v>
      </c>
      <c r="J30" s="92">
        <f>MRS!J30</f>
        <v>360</v>
      </c>
    </row>
    <row r="31" spans="1:18" ht="21" customHeight="1">
      <c r="B31" s="181" t="str">
        <f>MRS!B31</f>
        <v xml:space="preserve">CS Angle </v>
      </c>
      <c r="C31" s="182"/>
      <c r="D31" s="183" t="str">
        <f>MRS!D31</f>
        <v>50x50x3, 6mtr</v>
      </c>
      <c r="E31" s="184"/>
      <c r="F31" s="185"/>
      <c r="G31" s="91" t="str">
        <f>MRS!G31</f>
        <v>Nos</v>
      </c>
      <c r="H31" s="91">
        <f>MRS!H31</f>
        <v>50</v>
      </c>
      <c r="I31" s="92">
        <f>MRS!I31</f>
        <v>56</v>
      </c>
      <c r="J31" s="92">
        <f>MRS!J31</f>
        <v>2800</v>
      </c>
    </row>
    <row r="32" spans="1:18" ht="21" customHeight="1">
      <c r="B32" s="181" t="str">
        <f>MRS!B32</f>
        <v>Chipping Pointed Chisel</v>
      </c>
      <c r="C32" s="182"/>
      <c r="D32" s="183" t="str">
        <f>MRS!D32</f>
        <v xml:space="preserve"> 16x400mm SDS Max</v>
      </c>
      <c r="E32" s="184"/>
      <c r="F32" s="185"/>
      <c r="G32" s="91" t="str">
        <f>MRS!G32</f>
        <v>Nos</v>
      </c>
      <c r="H32" s="91">
        <f>MRS!H32</f>
        <v>5</v>
      </c>
      <c r="I32" s="92">
        <f>MRS!I32</f>
        <v>37</v>
      </c>
      <c r="J32" s="92">
        <f>MRS!J32</f>
        <v>185</v>
      </c>
    </row>
    <row r="33" spans="2:10" ht="21" customHeight="1">
      <c r="B33" s="181" t="str">
        <f>MRS!B33</f>
        <v xml:space="preserve">Tig Torch Cable &amp; Hose Connector </v>
      </c>
      <c r="C33" s="182"/>
      <c r="D33" s="183">
        <f>MRS!D33</f>
        <v>0</v>
      </c>
      <c r="E33" s="184"/>
      <c r="F33" s="185"/>
      <c r="G33" s="91" t="str">
        <f>MRS!G33</f>
        <v>Nos</v>
      </c>
      <c r="H33" s="91">
        <f>MRS!H33</f>
        <v>200</v>
      </c>
      <c r="I33" s="92">
        <f>MRS!I33</f>
        <v>34</v>
      </c>
      <c r="J33" s="92">
        <f>MRS!J33</f>
        <v>6800</v>
      </c>
    </row>
    <row r="34" spans="2:10" ht="21" customHeight="1">
      <c r="B34" s="181" t="str">
        <f>MRS!B34</f>
        <v>PVC Clear Hose</v>
      </c>
      <c r="C34" s="182"/>
      <c r="D34" s="183" t="str">
        <f>MRS!D34</f>
        <v xml:space="preserve"> 1/4"x18mtr</v>
      </c>
      <c r="E34" s="184"/>
      <c r="F34" s="185"/>
      <c r="G34" s="91" t="str">
        <f>MRS!G34</f>
        <v>Roll</v>
      </c>
      <c r="H34" s="91">
        <f>MRS!H34</f>
        <v>20</v>
      </c>
      <c r="I34" s="92">
        <f>MRS!I34</f>
        <v>38.5</v>
      </c>
      <c r="J34" s="92">
        <f>MRS!J34</f>
        <v>770</v>
      </c>
    </row>
    <row r="35" spans="2:10" ht="21" customHeight="1">
      <c r="B35" s="181" t="str">
        <f>MRS!B35</f>
        <v>Welding Earth Clamp Brass</v>
      </c>
      <c r="C35" s="182"/>
      <c r="D35" s="183" t="str">
        <f>MRS!D35</f>
        <v xml:space="preserve"> G-Type 500A</v>
      </c>
      <c r="E35" s="184"/>
      <c r="F35" s="185"/>
      <c r="G35" s="91" t="str">
        <f>MRS!G35</f>
        <v>Nos</v>
      </c>
      <c r="H35" s="91">
        <f>MRS!H35</f>
        <v>100</v>
      </c>
      <c r="I35" s="92">
        <f>MRS!I35</f>
        <v>85</v>
      </c>
      <c r="J35" s="92">
        <f>MRS!J35</f>
        <v>8500</v>
      </c>
    </row>
    <row r="36" spans="2:10" ht="21" customHeight="1">
      <c r="B36" s="181" t="str">
        <f>MRS!B36</f>
        <v xml:space="preserve">Welding Electrode Holder </v>
      </c>
      <c r="C36" s="182"/>
      <c r="D36" s="183" t="str">
        <f>MRS!D36</f>
        <v>500A Kasweld</v>
      </c>
      <c r="E36" s="184"/>
      <c r="F36" s="185"/>
      <c r="G36" s="91" t="str">
        <f>MRS!G36</f>
        <v>Nos</v>
      </c>
      <c r="H36" s="91">
        <f>MRS!H36</f>
        <v>50</v>
      </c>
      <c r="I36" s="92">
        <f>MRS!I36</f>
        <v>28</v>
      </c>
      <c r="J36" s="92">
        <f>MRS!J36</f>
        <v>1400</v>
      </c>
    </row>
    <row r="37" spans="2:10" ht="21" customHeight="1">
      <c r="B37" s="181" t="str">
        <f>MRS!B37</f>
        <v>Hand Tap Set</v>
      </c>
      <c r="C37" s="182"/>
      <c r="D37" s="183" t="str">
        <f>MRS!D37</f>
        <v xml:space="preserve"> M12mm P1.25</v>
      </c>
      <c r="E37" s="184"/>
      <c r="F37" s="185"/>
      <c r="G37" s="91" t="str">
        <f>MRS!G37</f>
        <v>Nos</v>
      </c>
      <c r="H37" s="91">
        <f>MRS!H37</f>
        <v>2</v>
      </c>
      <c r="I37" s="92">
        <f>MRS!I37</f>
        <v>30</v>
      </c>
      <c r="J37" s="92">
        <f>MRS!J37</f>
        <v>60</v>
      </c>
    </row>
    <row r="38" spans="2:10" ht="21" customHeight="1">
      <c r="B38" s="181" t="str">
        <f>MRS!B38</f>
        <v xml:space="preserve">Wheelbarrow Trolley </v>
      </c>
      <c r="C38" s="182"/>
      <c r="D38" s="183" t="str">
        <f>MRS!D38</f>
        <v xml:space="preserve">2-Wheel </v>
      </c>
      <c r="E38" s="184"/>
      <c r="F38" s="185"/>
      <c r="G38" s="91" t="str">
        <f>MRS!G38</f>
        <v>Nos</v>
      </c>
      <c r="H38" s="91">
        <f>MRS!H38</f>
        <v>2</v>
      </c>
      <c r="I38" s="92">
        <f>MRS!I38</f>
        <v>195</v>
      </c>
      <c r="J38" s="92">
        <f>MRS!J38</f>
        <v>390</v>
      </c>
    </row>
    <row r="39" spans="2:10" ht="21" customHeight="1">
      <c r="B39" s="181" t="str">
        <f>MRS!B39</f>
        <v>Feeler Gauge S/S</v>
      </c>
      <c r="C39" s="182"/>
      <c r="D39" s="183" t="str">
        <f>MRS!D39</f>
        <v xml:space="preserve"> 0.02-1mm 150mm</v>
      </c>
      <c r="E39" s="184"/>
      <c r="F39" s="185"/>
      <c r="G39" s="91" t="str">
        <f>MRS!G39</f>
        <v>Nos</v>
      </c>
      <c r="H39" s="91">
        <f>MRS!H39</f>
        <v>30</v>
      </c>
      <c r="I39" s="92">
        <f>MRS!I39</f>
        <v>65</v>
      </c>
      <c r="J39" s="92">
        <f>MRS!J39</f>
        <v>1950</v>
      </c>
    </row>
    <row r="40" spans="2:10" ht="21" customHeight="1">
      <c r="B40" s="181" t="str">
        <f>MRS!B40</f>
        <v xml:space="preserve">Magnetic Drill Bit </v>
      </c>
      <c r="C40" s="182"/>
      <c r="D40" s="183" t="str">
        <f>MRS!D40</f>
        <v>TCT 6x50mm</v>
      </c>
      <c r="E40" s="184"/>
      <c r="F40" s="185"/>
      <c r="G40" s="91" t="str">
        <f>MRS!G40</f>
        <v>Nos</v>
      </c>
      <c r="H40" s="91">
        <f>MRS!H40</f>
        <v>5</v>
      </c>
      <c r="I40" s="92">
        <f>MRS!I40</f>
        <v>71</v>
      </c>
      <c r="J40" s="92">
        <f>MRS!J40</f>
        <v>355</v>
      </c>
    </row>
    <row r="41" spans="2:10" ht="21" customHeight="1">
      <c r="B41" s="181" t="str">
        <f>MRS!B41</f>
        <v>Magnetic Drill Bit</v>
      </c>
      <c r="C41" s="182"/>
      <c r="D41" s="183" t="str">
        <f>MRS!D41</f>
        <v xml:space="preserve"> TCT 8x50mm</v>
      </c>
      <c r="E41" s="184"/>
      <c r="F41" s="185"/>
      <c r="G41" s="91" t="str">
        <f>MRS!G41</f>
        <v>Nos</v>
      </c>
      <c r="H41" s="91">
        <f>MRS!H41</f>
        <v>5</v>
      </c>
      <c r="I41" s="92">
        <f>MRS!I41</f>
        <v>71.5</v>
      </c>
      <c r="J41" s="92">
        <f>MRS!J41</f>
        <v>357.5</v>
      </c>
    </row>
    <row r="42" spans="2:10" ht="21" customHeight="1">
      <c r="B42" s="181" t="str">
        <f>MRS!B42</f>
        <v>Magnetic Drill Bit</v>
      </c>
      <c r="C42" s="182"/>
      <c r="D42" s="183" t="str">
        <f>MRS!D42</f>
        <v xml:space="preserve"> TCT 10x50mm</v>
      </c>
      <c r="E42" s="184"/>
      <c r="F42" s="185"/>
      <c r="G42" s="91" t="str">
        <f>MRS!G42</f>
        <v>Nos</v>
      </c>
      <c r="H42" s="91">
        <f>MRS!H42</f>
        <v>5</v>
      </c>
      <c r="I42" s="92">
        <f>MRS!I42</f>
        <v>74</v>
      </c>
      <c r="J42" s="92">
        <f>MRS!J42</f>
        <v>370</v>
      </c>
    </row>
    <row r="43" spans="2:10" ht="21" customHeight="1">
      <c r="B43" s="181" t="str">
        <f>MRS!B43</f>
        <v xml:space="preserve">Magnetic Drill Bit </v>
      </c>
      <c r="C43" s="182"/>
      <c r="D43" s="183" t="str">
        <f>MRS!D43</f>
        <v>TCT 18x50mm</v>
      </c>
      <c r="E43" s="184"/>
      <c r="F43" s="185"/>
      <c r="G43" s="91" t="str">
        <f>MRS!G43</f>
        <v>Nos</v>
      </c>
      <c r="H43" s="91">
        <f>MRS!H43</f>
        <v>5</v>
      </c>
      <c r="I43" s="92">
        <f>MRS!I43</f>
        <v>142</v>
      </c>
      <c r="J43" s="92">
        <f>MRS!J43</f>
        <v>710</v>
      </c>
    </row>
    <row r="44" spans="2:10" ht="21" customHeight="1">
      <c r="B44" s="181" t="str">
        <f>MRS!B44</f>
        <v xml:space="preserve">Magnetic Drill Bit </v>
      </c>
      <c r="C44" s="182"/>
      <c r="D44" s="183" t="str">
        <f>MRS!D44</f>
        <v>TCT 22x50mm</v>
      </c>
      <c r="E44" s="184"/>
      <c r="F44" s="185"/>
      <c r="G44" s="91" t="str">
        <f>MRS!G44</f>
        <v>Nos</v>
      </c>
      <c r="H44" s="91">
        <f>MRS!H44</f>
        <v>50</v>
      </c>
      <c r="I44" s="92">
        <f>MRS!I44</f>
        <v>153</v>
      </c>
      <c r="J44" s="92">
        <f>MRS!J44</f>
        <v>7650</v>
      </c>
    </row>
    <row r="45" spans="2:10" ht="21" customHeight="1">
      <c r="B45" s="181" t="str">
        <f>MRS!B45</f>
        <v>Magnetic Drill Bit TCT 24x50mm</v>
      </c>
      <c r="C45" s="182"/>
      <c r="D45" s="183" t="str">
        <f>MRS!D45</f>
        <v>TCT 22x50mm</v>
      </c>
      <c r="E45" s="184"/>
      <c r="F45" s="185"/>
      <c r="G45" s="91" t="str">
        <f>MRS!G45</f>
        <v>Nos</v>
      </c>
      <c r="H45" s="91">
        <f>MRS!H45</f>
        <v>5</v>
      </c>
      <c r="I45" s="92">
        <f>MRS!I45</f>
        <v>162</v>
      </c>
      <c r="J45" s="92">
        <f>MRS!J45</f>
        <v>810</v>
      </c>
    </row>
    <row r="46" spans="2:10" ht="21" customHeight="1">
      <c r="B46" s="181" t="str">
        <f>MRS!B46</f>
        <v xml:space="preserve">Magnetic Drill Bit </v>
      </c>
      <c r="C46" s="182"/>
      <c r="D46" s="183" t="str">
        <f>MRS!D46</f>
        <v>TCT 26x50mm</v>
      </c>
      <c r="E46" s="184"/>
      <c r="F46" s="185"/>
      <c r="G46" s="91" t="str">
        <f>MRS!G46</f>
        <v>Nos</v>
      </c>
      <c r="H46" s="91">
        <f>MRS!H46</f>
        <v>10</v>
      </c>
      <c r="I46" s="92">
        <f>MRS!I46</f>
        <v>166</v>
      </c>
      <c r="J46" s="92">
        <f>MRS!J46</f>
        <v>1660</v>
      </c>
    </row>
    <row r="47" spans="2:10" ht="21" customHeight="1">
      <c r="B47" s="181" t="str">
        <f>MRS!B47</f>
        <v>Safety Grip Chipping Hammer</v>
      </c>
      <c r="C47" s="182"/>
      <c r="D47" s="183" t="str">
        <f>MRS!D47</f>
        <v xml:space="preserve"> 250g</v>
      </c>
      <c r="E47" s="184"/>
      <c r="F47" s="185"/>
      <c r="G47" s="91" t="str">
        <f>MRS!G47</f>
        <v>Nos</v>
      </c>
      <c r="H47" s="91">
        <f>MRS!H47</f>
        <v>30</v>
      </c>
      <c r="I47" s="92">
        <f>MRS!I47</f>
        <v>10</v>
      </c>
      <c r="J47" s="92">
        <f>MRS!J47</f>
        <v>300</v>
      </c>
    </row>
    <row r="48" spans="2:10" ht="21" customHeight="1">
      <c r="B48" s="181" t="str">
        <f>MRS!B48</f>
        <v>Plumb Bob Magnetic</v>
      </c>
      <c r="C48" s="182"/>
      <c r="D48" s="183" t="str">
        <f>MRS!D48</f>
        <v xml:space="preserve"> 400gx6mtr</v>
      </c>
      <c r="E48" s="184"/>
      <c r="F48" s="185"/>
      <c r="G48" s="91" t="str">
        <f>MRS!G48</f>
        <v>Nos</v>
      </c>
      <c r="H48" s="91">
        <f>MRS!H48</f>
        <v>17</v>
      </c>
      <c r="I48" s="92">
        <f>MRS!I48</f>
        <v>42</v>
      </c>
      <c r="J48" s="92">
        <f>MRS!J48</f>
        <v>714</v>
      </c>
    </row>
    <row r="49" spans="2:10" ht="21" customHeight="1">
      <c r="B49" s="181" t="str">
        <f>MRS!B49</f>
        <v xml:space="preserve">Two Way Radio </v>
      </c>
      <c r="C49" s="182"/>
      <c r="D49" s="183" t="str">
        <f>MRS!D49</f>
        <v>VHF GPS DP4401 EX Motorola ATEX/IECEx Ex-Proof</v>
      </c>
      <c r="E49" s="184"/>
      <c r="F49" s="185"/>
      <c r="G49" s="91" t="str">
        <f>MRS!G49</f>
        <v>Set</v>
      </c>
      <c r="H49" s="91">
        <f>MRS!H49</f>
        <v>6</v>
      </c>
      <c r="I49" s="92">
        <f>MRS!I49</f>
        <v>5985</v>
      </c>
      <c r="J49" s="92">
        <f>MRS!J49</f>
        <v>35910</v>
      </c>
    </row>
    <row r="50" spans="2:10" ht="21" customHeight="1">
      <c r="B50" s="181" t="str">
        <f>MRS!B50</f>
        <v>Hand Tap Set</v>
      </c>
      <c r="C50" s="182"/>
      <c r="D50" s="183" t="str">
        <f>MRS!D50</f>
        <v xml:space="preserve"> M12mm P1.0</v>
      </c>
      <c r="E50" s="184"/>
      <c r="F50" s="185"/>
      <c r="G50" s="91" t="str">
        <f>MRS!G50</f>
        <v>Nos</v>
      </c>
      <c r="H50" s="91">
        <f>MRS!H50</f>
        <v>1</v>
      </c>
      <c r="I50" s="92">
        <f>MRS!I50</f>
        <v>30</v>
      </c>
      <c r="J50" s="92">
        <f>MRS!J50</f>
        <v>30</v>
      </c>
    </row>
    <row r="51" spans="2:10" ht="21" customHeight="1">
      <c r="B51" s="181" t="str">
        <f>MRS!B51</f>
        <v xml:space="preserve">Hammer Drill Machine </v>
      </c>
      <c r="C51" s="182"/>
      <c r="D51" s="183" t="str">
        <f>MRS!D51</f>
        <v>SDS Plus 800W GBH2-24 Bosch</v>
      </c>
      <c r="E51" s="184"/>
      <c r="F51" s="185"/>
      <c r="G51" s="91" t="str">
        <f>MRS!G51</f>
        <v>Nos</v>
      </c>
      <c r="H51" s="91">
        <f>MRS!H51</f>
        <v>2</v>
      </c>
      <c r="I51" s="92">
        <f>MRS!I51</f>
        <v>830</v>
      </c>
      <c r="J51" s="92">
        <f>MRS!J51</f>
        <v>1660</v>
      </c>
    </row>
    <row r="52" spans="2:10" ht="21" customHeight="1">
      <c r="B52" s="181" t="str">
        <f>MRS!B52</f>
        <v xml:space="preserve">CS Angle </v>
      </c>
      <c r="C52" s="182"/>
      <c r="D52" s="183" t="str">
        <f>MRS!D52</f>
        <v>50x50x6mm, 6mtr</v>
      </c>
      <c r="E52" s="184"/>
      <c r="F52" s="185"/>
      <c r="G52" s="91" t="str">
        <f>MRS!G52</f>
        <v>Nos</v>
      </c>
      <c r="H52" s="91">
        <f>MRS!H52</f>
        <v>100</v>
      </c>
      <c r="I52" s="92">
        <f>MRS!I52</f>
        <v>82</v>
      </c>
      <c r="J52" s="92">
        <f>MRS!J52</f>
        <v>8200</v>
      </c>
    </row>
    <row r="53" spans="2:10" ht="21" customHeight="1">
      <c r="B53" s="181" t="str">
        <f>MRS!B53</f>
        <v xml:space="preserve">Retractable Fall Arrest Blocks with GI Rope </v>
      </c>
      <c r="C53" s="182"/>
      <c r="D53" s="183" t="str">
        <f>MRS!D53</f>
        <v>60ft Karam PCGS 60FT with TPI Certificate</v>
      </c>
      <c r="E53" s="184"/>
      <c r="F53" s="185"/>
      <c r="G53" s="91" t="str">
        <f>MRS!G53</f>
        <v>Set</v>
      </c>
      <c r="H53" s="91">
        <f>MRS!H53</f>
        <v>11</v>
      </c>
      <c r="I53" s="92">
        <f>MRS!I53</f>
        <v>1665</v>
      </c>
      <c r="J53" s="92">
        <f>MRS!J53</f>
        <v>18315</v>
      </c>
    </row>
    <row r="54" spans="2:10" ht="21" customHeight="1">
      <c r="B54" s="181">
        <f>MRS!B54</f>
        <v>0</v>
      </c>
      <c r="C54" s="182"/>
    </row>
    <row r="55" spans="2:10" ht="21" customHeight="1">
      <c r="B55" s="181">
        <f>MRS!B55</f>
        <v>0</v>
      </c>
      <c r="C55" s="182"/>
    </row>
    <row r="56" spans="2:10" ht="21" customHeight="1">
      <c r="B56" s="181">
        <f>MRS!B56</f>
        <v>0</v>
      </c>
      <c r="C56" s="182"/>
    </row>
    <row r="57" spans="2:10" ht="21" customHeight="1">
      <c r="B57" s="181">
        <f>MRS!B57</f>
        <v>0</v>
      </c>
      <c r="C57" s="182"/>
    </row>
    <row r="58" spans="2:10" ht="21" customHeight="1">
      <c r="B58" s="181">
        <f>MRS!B58</f>
        <v>0</v>
      </c>
      <c r="C58" s="182"/>
    </row>
  </sheetData>
  <mergeCells count="111"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A4:A5"/>
    <mergeCell ref="B4:C5"/>
    <mergeCell ref="D4:F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Normal="100" zoomScaleSheetLayoutView="130" workbookViewId="0">
      <selection activeCell="H31" sqref="H31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91</v>
      </c>
      <c r="D9" s="34"/>
      <c r="E9" s="34"/>
    </row>
    <row r="10" spans="2:13" s="34" customFormat="1">
      <c r="B10" s="65"/>
      <c r="C10" s="34" t="s">
        <v>23</v>
      </c>
      <c r="D10" s="69" t="s">
        <v>92</v>
      </c>
      <c r="J10" s="34" t="s">
        <v>24</v>
      </c>
      <c r="K10" s="189">
        <f>MRS!L3</f>
        <v>46256</v>
      </c>
      <c r="L10" s="190"/>
      <c r="M10" s="190"/>
    </row>
    <row r="11" spans="2:13" s="34" customFormat="1">
      <c r="B11" s="65"/>
      <c r="C11" s="68" t="s">
        <v>25</v>
      </c>
      <c r="D11" s="69" t="s">
        <v>93</v>
      </c>
      <c r="J11" s="34" t="s">
        <v>26</v>
      </c>
      <c r="K11" s="191" t="str">
        <f>SUBSTITUTE(SUBSTITUTE(+MRS!A3,"  MRS No : ",""),"-MRS","-PO")</f>
        <v>SAC2-DS-PO-0428</v>
      </c>
      <c r="L11" s="191"/>
      <c r="M11" s="191"/>
    </row>
    <row r="12" spans="2:13" s="34" customFormat="1">
      <c r="B12" s="65"/>
      <c r="C12" s="68" t="s">
        <v>27</v>
      </c>
      <c r="D12" s="34" t="s">
        <v>94</v>
      </c>
      <c r="J12" s="34" t="s">
        <v>28</v>
      </c>
    </row>
    <row r="13" spans="2:13" s="34" customFormat="1">
      <c r="B13" s="65"/>
      <c r="C13" s="70"/>
      <c r="D13" s="69" t="s">
        <v>95</v>
      </c>
      <c r="J13" s="34" t="s">
        <v>29</v>
      </c>
    </row>
    <row r="14" spans="2:13" s="34" customFormat="1">
      <c r="B14" s="65"/>
      <c r="C14" s="108" t="s">
        <v>100</v>
      </c>
      <c r="J14" s="34" t="s">
        <v>30</v>
      </c>
      <c r="K14" s="34" t="s">
        <v>216</v>
      </c>
    </row>
    <row r="15" spans="2:13" s="34" customFormat="1">
      <c r="B15" s="65"/>
      <c r="C15" s="68" t="s">
        <v>96</v>
      </c>
      <c r="J15" s="34" t="s">
        <v>31</v>
      </c>
      <c r="K15" s="71">
        <v>46254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92" t="s">
        <v>32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33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34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35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3.7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215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9">
        <f>'PO 2nd page'!G54</f>
        <v>241585.5</v>
      </c>
      <c r="G29" s="102"/>
      <c r="H29" s="102"/>
      <c r="M29" s="29"/>
    </row>
    <row r="30" spans="2:13" ht="15" customHeight="1">
      <c r="B30" s="28"/>
      <c r="C30" s="22" t="s">
        <v>41</v>
      </c>
      <c r="E30" s="22" t="s">
        <v>40</v>
      </c>
      <c r="F30" s="109">
        <f>'PO 2nd page'!G55</f>
        <v>36237.824999999997</v>
      </c>
      <c r="G30" s="102"/>
      <c r="H30" s="102"/>
    </row>
    <row r="31" spans="2:13" ht="15" customHeight="1">
      <c r="B31" s="28"/>
      <c r="C31" s="22" t="s">
        <v>42</v>
      </c>
      <c r="D31" s="30"/>
      <c r="E31" s="22" t="s">
        <v>40</v>
      </c>
      <c r="F31" s="109">
        <f>'PO 2nd page'!G56</f>
        <v>277823.32500000001</v>
      </c>
      <c r="G31" s="102"/>
      <c r="H31" s="102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102</v>
      </c>
    </row>
    <row r="54" spans="2:16" ht="12" customHeight="1">
      <c r="B54" s="77" t="s">
        <v>56</v>
      </c>
      <c r="C54" s="110" t="s">
        <v>108</v>
      </c>
      <c r="F54" s="22" t="s">
        <v>103</v>
      </c>
    </row>
    <row r="55" spans="2:16" ht="12" customHeight="1">
      <c r="B55" s="77" t="s">
        <v>56</v>
      </c>
      <c r="C55" s="110" t="s">
        <v>109</v>
      </c>
      <c r="F55" s="111" t="s">
        <v>104</v>
      </c>
    </row>
    <row r="56" spans="2:16" ht="12" customHeight="1">
      <c r="B56" s="77" t="s">
        <v>56</v>
      </c>
      <c r="C56" s="110" t="s">
        <v>110</v>
      </c>
      <c r="F56" s="22" t="s">
        <v>115</v>
      </c>
    </row>
    <row r="57" spans="2:16" ht="12" customHeight="1">
      <c r="B57" s="77" t="s">
        <v>56</v>
      </c>
      <c r="C57" s="110" t="s">
        <v>111</v>
      </c>
      <c r="F57" s="22" t="s">
        <v>105</v>
      </c>
    </row>
    <row r="58" spans="2:16" ht="12" customHeight="1">
      <c r="B58" s="77" t="s">
        <v>56</v>
      </c>
      <c r="C58" s="110" t="s">
        <v>112</v>
      </c>
      <c r="F58" s="22" t="s">
        <v>106</v>
      </c>
    </row>
    <row r="59" spans="2:16" ht="12" customHeight="1">
      <c r="B59" s="77" t="s">
        <v>56</v>
      </c>
      <c r="C59" s="110" t="s">
        <v>113</v>
      </c>
      <c r="F59" s="22" t="s">
        <v>107</v>
      </c>
    </row>
    <row r="60" spans="2:16" ht="12" customHeight="1">
      <c r="B60" s="77"/>
      <c r="C60" s="110" t="s">
        <v>114</v>
      </c>
    </row>
    <row r="61" spans="2:16" ht="6.75" customHeight="1">
      <c r="B61" s="77"/>
      <c r="C61" s="110"/>
    </row>
    <row r="62" spans="2:16" ht="6" customHeight="1">
      <c r="B62" s="112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97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99</v>
      </c>
      <c r="J70" s="196" t="str">
        <f>C9</f>
        <v>JSAJ(Jassim Saif Amer Aljaberi Trading Est.)</v>
      </c>
      <c r="K70" s="196"/>
      <c r="L70" s="196"/>
      <c r="M70" s="196"/>
    </row>
    <row r="71" spans="1:13" ht="27.95" customHeight="1">
      <c r="A71" s="188" t="s">
        <v>66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4"/>
  <sheetViews>
    <sheetView showGridLines="0" tabSelected="1" view="pageBreakPreview" zoomScaleSheetLayoutView="100" zoomScalePageLayoutView="55" workbookViewId="0">
      <selection activeCell="J16" sqref="J16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SAC2-DS-PO-0428</v>
      </c>
      <c r="C2" s="203" t="s">
        <v>68</v>
      </c>
      <c r="D2" s="203"/>
      <c r="E2" s="203"/>
      <c r="F2" s="203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46256</v>
      </c>
      <c r="C3" s="44"/>
      <c r="D3" s="45"/>
      <c r="E3" s="204" t="s">
        <v>70</v>
      </c>
      <c r="F3" s="204"/>
      <c r="G3" s="204"/>
      <c r="H3" s="204"/>
      <c r="I3" s="46"/>
    </row>
    <row r="4" spans="1:13" s="48" customFormat="1" ht="28.5" customHeight="1" thickTop="1">
      <c r="A4" s="205" t="s">
        <v>71</v>
      </c>
      <c r="B4" s="207" t="s">
        <v>72</v>
      </c>
      <c r="C4" s="208"/>
      <c r="D4" s="211" t="s">
        <v>73</v>
      </c>
      <c r="E4" s="211" t="s">
        <v>74</v>
      </c>
      <c r="F4" s="213" t="str">
        <f>'PO 1st page'!C9</f>
        <v>JSAJ(Jassim Saif Amer Aljaberi Trading Est.)</v>
      </c>
      <c r="G4" s="214"/>
      <c r="H4" s="215" t="s">
        <v>75</v>
      </c>
      <c r="K4" s="49"/>
      <c r="L4" s="49"/>
      <c r="M4" s="49"/>
    </row>
    <row r="5" spans="1:13" s="48" customFormat="1" ht="21.95" customHeight="1">
      <c r="A5" s="206"/>
      <c r="B5" s="209"/>
      <c r="C5" s="210"/>
      <c r="D5" s="212"/>
      <c r="E5" s="212"/>
      <c r="F5" s="50" t="s">
        <v>76</v>
      </c>
      <c r="G5" s="50" t="s">
        <v>42</v>
      </c>
      <c r="H5" s="216"/>
      <c r="K5" s="49"/>
      <c r="L5" s="49"/>
      <c r="M5" s="49"/>
    </row>
    <row r="6" spans="1:13" s="48" customFormat="1" ht="32.1" customHeight="1">
      <c r="A6" s="78">
        <f t="shared" ref="A6:A53" si="0">ROW(A1)</f>
        <v>1</v>
      </c>
      <c r="B6" s="201" t="str">
        <f>MRS!B6&amp;" "&amp;MRS!D6</f>
        <v>Latex Half Coated Gloves  Orange/Green Crinkled</v>
      </c>
      <c r="C6" s="202"/>
      <c r="D6" s="79" t="str">
        <f>MRS!G6</f>
        <v>Nos</v>
      </c>
      <c r="E6" s="80">
        <f>MRS!H6</f>
        <v>4000</v>
      </c>
      <c r="F6" s="81">
        <f>+'MRS LIST'!I6</f>
        <v>1.3</v>
      </c>
      <c r="G6" s="82">
        <f>+'MRS LIST'!J6</f>
        <v>5200</v>
      </c>
      <c r="H6" s="83" t="s">
        <v>98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201" t="str">
        <f>MRS!B7&amp;" "&amp;MRS!D7</f>
        <v>Flap Disc C/S  4" 80 Grit</v>
      </c>
      <c r="C7" s="202"/>
      <c r="D7" s="79" t="str">
        <f>MRS!G7</f>
        <v>Nos</v>
      </c>
      <c r="E7" s="80">
        <f>MRS!H7</f>
        <v>2000</v>
      </c>
      <c r="F7" s="81">
        <f>+'MRS LIST'!I7</f>
        <v>2.2999999999999998</v>
      </c>
      <c r="G7" s="82">
        <f>+'MRS LIST'!J7</f>
        <v>4600</v>
      </c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201" t="str">
        <f>MRS!B8&amp;" "&amp;MRS!D8</f>
        <v>Flap Disc S/S  4" 80 Grit</v>
      </c>
      <c r="C8" s="202"/>
      <c r="D8" s="79" t="str">
        <f>MRS!G8</f>
        <v>Nos</v>
      </c>
      <c r="E8" s="80">
        <f>MRS!H8</f>
        <v>5000</v>
      </c>
      <c r="F8" s="81">
        <f>+'MRS LIST'!I8</f>
        <v>3.1</v>
      </c>
      <c r="G8" s="82">
        <f>+'MRS LIST'!J8</f>
        <v>15500</v>
      </c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201" t="str">
        <f>MRS!B9&amp;" "&amp;MRS!D9</f>
        <v xml:space="preserve">Electric Insulation Tape Black </v>
      </c>
      <c r="C9" s="202"/>
      <c r="D9" s="79" t="str">
        <f>MRS!G9</f>
        <v>Nos</v>
      </c>
      <c r="E9" s="80">
        <f>MRS!H9</f>
        <v>200</v>
      </c>
      <c r="F9" s="81">
        <f>+'MRS LIST'!I9</f>
        <v>2</v>
      </c>
      <c r="G9" s="82">
        <f>+'MRS LIST'!J9</f>
        <v>400</v>
      </c>
      <c r="H9" s="87"/>
    </row>
    <row r="10" spans="1:13" s="48" customFormat="1" ht="32.1" customHeight="1">
      <c r="A10" s="86">
        <f t="shared" si="0"/>
        <v>5</v>
      </c>
      <c r="B10" s="201" t="str">
        <f>MRS!B10&amp;" "&amp;MRS!D10</f>
        <v xml:space="preserve">Ear Plug with Corded </v>
      </c>
      <c r="C10" s="202"/>
      <c r="D10" s="79" t="str">
        <f>MRS!G10</f>
        <v>Pair</v>
      </c>
      <c r="E10" s="80">
        <f>MRS!H10</f>
        <v>3300</v>
      </c>
      <c r="F10" s="81">
        <f>+'MRS LIST'!I10</f>
        <v>0.55000000000000004</v>
      </c>
      <c r="G10" s="82">
        <f>+'MRS LIST'!J10</f>
        <v>1815.0000000000002</v>
      </c>
      <c r="H10" s="87"/>
    </row>
    <row r="11" spans="1:13" s="48" customFormat="1" ht="32.1" customHeight="1">
      <c r="A11" s="86">
        <f t="shared" si="0"/>
        <v>6</v>
      </c>
      <c r="B11" s="201" t="str">
        <f>MRS!B11&amp;" "&amp;MRS!D11</f>
        <v>Dust Mask  N95 Venus</v>
      </c>
      <c r="C11" s="202"/>
      <c r="D11" s="79" t="str">
        <f>MRS!G11</f>
        <v>Nos</v>
      </c>
      <c r="E11" s="80">
        <f>MRS!H11</f>
        <v>3600</v>
      </c>
      <c r="F11" s="81">
        <f>+'MRS LIST'!I11</f>
        <v>1.35</v>
      </c>
      <c r="G11" s="82">
        <f>+'MRS LIST'!J11</f>
        <v>4860</v>
      </c>
      <c r="H11" s="87"/>
    </row>
    <row r="12" spans="1:13" s="48" customFormat="1" ht="32.1" customHeight="1">
      <c r="A12" s="86">
        <f t="shared" si="0"/>
        <v>7</v>
      </c>
      <c r="B12" s="201" t="str">
        <f>MRS!B12&amp;" "&amp;MRS!D12</f>
        <v>Welding Glass  Dark #10</v>
      </c>
      <c r="C12" s="202"/>
      <c r="D12" s="79" t="str">
        <f>MRS!G12</f>
        <v>Nos</v>
      </c>
      <c r="E12" s="80">
        <f>MRS!H12</f>
        <v>100</v>
      </c>
      <c r="F12" s="81">
        <f>+'MRS LIST'!I12</f>
        <v>0.9</v>
      </c>
      <c r="G12" s="82">
        <f>+'MRS LIST'!J12</f>
        <v>90</v>
      </c>
      <c r="H12" s="87"/>
    </row>
    <row r="13" spans="1:13" s="48" customFormat="1" ht="32.1" customHeight="1">
      <c r="A13" s="86">
        <f t="shared" si="0"/>
        <v>8</v>
      </c>
      <c r="B13" s="201" t="str">
        <f>MRS!B13&amp;" "&amp;MRS!D13</f>
        <v>Welding Glass  Dark #11</v>
      </c>
      <c r="C13" s="202"/>
      <c r="D13" s="79" t="str">
        <f>MRS!G13</f>
        <v>Nos</v>
      </c>
      <c r="E13" s="80">
        <f>MRS!H13</f>
        <v>150</v>
      </c>
      <c r="F13" s="81">
        <f>+'MRS LIST'!I13</f>
        <v>0.9</v>
      </c>
      <c r="G13" s="82">
        <f>+'MRS LIST'!J13</f>
        <v>135</v>
      </c>
      <c r="H13" s="87"/>
    </row>
    <row r="14" spans="1:13" s="48" customFormat="1" ht="32.1" customHeight="1">
      <c r="A14" s="86">
        <f t="shared" si="0"/>
        <v>9</v>
      </c>
      <c r="B14" s="201" t="str">
        <f>MRS!B14&amp;" "&amp;MRS!D14</f>
        <v>Tungsten Electrode  2.4mm</v>
      </c>
      <c r="C14" s="202"/>
      <c r="D14" s="79" t="str">
        <f>MRS!G14</f>
        <v>Nos</v>
      </c>
      <c r="E14" s="80">
        <f>MRS!H14</f>
        <v>900</v>
      </c>
      <c r="F14" s="81">
        <f>+'MRS LIST'!I14</f>
        <v>21</v>
      </c>
      <c r="G14" s="82">
        <f>+'MRS LIST'!J14</f>
        <v>18900</v>
      </c>
      <c r="H14" s="87"/>
    </row>
    <row r="15" spans="1:13" s="48" customFormat="1" ht="32.1" customHeight="1">
      <c r="A15" s="86">
        <f t="shared" si="0"/>
        <v>10</v>
      </c>
      <c r="B15" s="201" t="str">
        <f>MRS!B15&amp;" "&amp;MRS!D15</f>
        <v>Ceramic Nozzle  350A #6</v>
      </c>
      <c r="C15" s="202"/>
      <c r="D15" s="79" t="str">
        <f>MRS!G15</f>
        <v>Nos</v>
      </c>
      <c r="E15" s="80">
        <f>MRS!H15</f>
        <v>400</v>
      </c>
      <c r="F15" s="81">
        <f>+'MRS LIST'!I15</f>
        <v>12</v>
      </c>
      <c r="G15" s="82">
        <f>+'MRS LIST'!J15</f>
        <v>4800</v>
      </c>
      <c r="H15" s="87"/>
    </row>
    <row r="16" spans="1:13" s="48" customFormat="1" ht="32.1" customHeight="1">
      <c r="A16" s="86">
        <f t="shared" si="0"/>
        <v>11</v>
      </c>
      <c r="B16" s="201" t="str">
        <f>MRS!B16&amp;" "&amp;MRS!D16</f>
        <v>Double Ear Clamp S/S  11-13mm</v>
      </c>
      <c r="C16" s="202"/>
      <c r="D16" s="79" t="str">
        <f>MRS!G16</f>
        <v>Nos</v>
      </c>
      <c r="E16" s="80">
        <f>MRS!H16</f>
        <v>500</v>
      </c>
      <c r="F16" s="81">
        <f>+'MRS LIST'!I16</f>
        <v>4.7</v>
      </c>
      <c r="G16" s="82">
        <f>+'MRS LIST'!J16</f>
        <v>2350</v>
      </c>
      <c r="H16" s="87"/>
    </row>
    <row r="17" spans="1:8" s="48" customFormat="1" ht="32.1" customHeight="1">
      <c r="A17" s="86">
        <f t="shared" si="0"/>
        <v>12</v>
      </c>
      <c r="B17" s="201" t="str">
        <f>MRS!B17&amp;" "&amp;MRS!D17</f>
        <v>Double Ear Clamp S/S  13-15mm</v>
      </c>
      <c r="C17" s="202"/>
      <c r="D17" s="79" t="str">
        <f>MRS!G17</f>
        <v>Nos</v>
      </c>
      <c r="E17" s="80">
        <f>MRS!H17</f>
        <v>450</v>
      </c>
      <c r="F17" s="81">
        <f>+'MRS LIST'!I17</f>
        <v>4.7</v>
      </c>
      <c r="G17" s="82">
        <f>+'MRS LIST'!J17</f>
        <v>2115</v>
      </c>
      <c r="H17" s="87"/>
    </row>
    <row r="18" spans="1:8" s="48" customFormat="1" ht="32.1" customHeight="1">
      <c r="A18" s="86">
        <f t="shared" si="0"/>
        <v>13</v>
      </c>
      <c r="B18" s="201" t="str">
        <f>MRS!B18&amp;" "&amp;MRS!D18</f>
        <v>Angle Grinder  4" 220V with Paddle Switch DWE4002-B5 Dewalt</v>
      </c>
      <c r="C18" s="202"/>
      <c r="D18" s="79" t="str">
        <f>MRS!G18</f>
        <v>Nos</v>
      </c>
      <c r="E18" s="80">
        <f>MRS!H18</f>
        <v>107</v>
      </c>
      <c r="F18" s="81">
        <f>+'MRS LIST'!I18</f>
        <v>320</v>
      </c>
      <c r="G18" s="82">
        <f>+'MRS LIST'!J18</f>
        <v>34240</v>
      </c>
      <c r="H18" s="87"/>
    </row>
    <row r="19" spans="1:8" s="48" customFormat="1" ht="32.1" customHeight="1">
      <c r="A19" s="86">
        <f t="shared" si="0"/>
        <v>14</v>
      </c>
      <c r="B19" s="201" t="str">
        <f>MRS!B19&amp;" "&amp;MRS!D19</f>
        <v>Tig Torch Remote Cable  3Cx0.75x90mtr</v>
      </c>
      <c r="C19" s="202"/>
      <c r="D19" s="79" t="str">
        <f>MRS!G19</f>
        <v>Roll</v>
      </c>
      <c r="E19" s="80">
        <f>MRS!H19</f>
        <v>10</v>
      </c>
      <c r="F19" s="81">
        <f>+'MRS LIST'!I19</f>
        <v>270</v>
      </c>
      <c r="G19" s="82">
        <f>+'MRS LIST'!J19</f>
        <v>2700</v>
      </c>
      <c r="H19" s="87"/>
    </row>
    <row r="20" spans="1:8" s="48" customFormat="1" ht="32.1" customHeight="1">
      <c r="A20" s="86">
        <f t="shared" si="0"/>
        <v>15</v>
      </c>
      <c r="B20" s="201" t="str">
        <f>MRS!B20&amp;" "&amp;MRS!D20</f>
        <v>Two Way Radio Walkie Talkie  Baofeng BF-888S</v>
      </c>
      <c r="C20" s="202"/>
      <c r="D20" s="79" t="str">
        <f>MRS!G20</f>
        <v>Nos</v>
      </c>
      <c r="E20" s="80">
        <f>MRS!H20</f>
        <v>50</v>
      </c>
      <c r="F20" s="81">
        <f>+'MRS LIST'!I20</f>
        <v>125</v>
      </c>
      <c r="G20" s="82">
        <f>+'MRS LIST'!J20</f>
        <v>6250</v>
      </c>
      <c r="H20" s="87"/>
    </row>
    <row r="21" spans="1:8" s="48" customFormat="1" ht="32.1" customHeight="1">
      <c r="A21" s="86">
        <f t="shared" si="0"/>
        <v>16</v>
      </c>
      <c r="B21" s="201" t="str">
        <f>MRS!B21&amp;" "&amp;MRS!D21</f>
        <v>Low Chloride Paint Marker  Blue</v>
      </c>
      <c r="C21" s="202"/>
      <c r="D21" s="79" t="str">
        <f>MRS!G21</f>
        <v>Nos</v>
      </c>
      <c r="E21" s="80">
        <f>MRS!H21</f>
        <v>600</v>
      </c>
      <c r="F21" s="81">
        <f>+'MRS LIST'!I21</f>
        <v>12.8</v>
      </c>
      <c r="G21" s="82">
        <f>+'MRS LIST'!J21</f>
        <v>7680</v>
      </c>
      <c r="H21" s="87"/>
    </row>
    <row r="22" spans="1:8" s="48" customFormat="1" ht="32.1" customHeight="1">
      <c r="A22" s="86">
        <f t="shared" si="0"/>
        <v>17</v>
      </c>
      <c r="B22" s="201" t="str">
        <f>MRS!B22&amp;" "&amp;MRS!D22</f>
        <v>Welding Cable Connector  50-70mm2 Male &amp; Female</v>
      </c>
      <c r="C22" s="202"/>
      <c r="D22" s="79" t="str">
        <f>MRS!G22</f>
        <v>Set</v>
      </c>
      <c r="E22" s="80">
        <f>MRS!H22</f>
        <v>375</v>
      </c>
      <c r="F22" s="81">
        <f>+'MRS LIST'!I22</f>
        <v>15</v>
      </c>
      <c r="G22" s="82">
        <f>+'MRS LIST'!J22</f>
        <v>5625</v>
      </c>
      <c r="H22" s="87"/>
    </row>
    <row r="23" spans="1:8" s="48" customFormat="1" ht="32.1" customHeight="1">
      <c r="A23" s="86">
        <f t="shared" si="0"/>
        <v>18</v>
      </c>
      <c r="B23" s="201" t="str">
        <f>MRS!B23&amp;" "&amp;MRS!D23</f>
        <v>Drill Machine  13mm in Steel M0801KB Makita</v>
      </c>
      <c r="C23" s="202"/>
      <c r="D23" s="79" t="str">
        <f>MRS!G23</f>
        <v>Nos</v>
      </c>
      <c r="E23" s="80">
        <f>MRS!H23</f>
        <v>3</v>
      </c>
      <c r="F23" s="81">
        <f>+'MRS LIST'!I23</f>
        <v>210</v>
      </c>
      <c r="G23" s="82">
        <f>+'MRS LIST'!J23</f>
        <v>630</v>
      </c>
      <c r="H23" s="87"/>
    </row>
    <row r="24" spans="1:8" s="48" customFormat="1" ht="32.1" customHeight="1">
      <c r="A24" s="86">
        <f t="shared" si="0"/>
        <v>19</v>
      </c>
      <c r="B24" s="201" t="str">
        <f>MRS!B24&amp;" "&amp;MRS!D24</f>
        <v>Split A/C  1.5Ton Heat &amp; Cooling Inverter Zamil</v>
      </c>
      <c r="C24" s="202"/>
      <c r="D24" s="79" t="str">
        <f>MRS!G24</f>
        <v>Nos</v>
      </c>
      <c r="E24" s="80">
        <f>MRS!H24</f>
        <v>3</v>
      </c>
      <c r="F24" s="81">
        <f>+'MRS LIST'!I24</f>
        <v>2240</v>
      </c>
      <c r="G24" s="82">
        <f>+'MRS LIST'!J24</f>
        <v>6720</v>
      </c>
      <c r="H24" s="87"/>
    </row>
    <row r="25" spans="1:8" s="48" customFormat="1" ht="32.1" customHeight="1">
      <c r="A25" s="86">
        <f t="shared" si="0"/>
        <v>20</v>
      </c>
      <c r="B25" s="201" t="str">
        <f>MRS!B25&amp;" "&amp;MRS!D25</f>
        <v>A/C Copper Tube Set  1/2"x15mtr</v>
      </c>
      <c r="C25" s="202"/>
      <c r="D25" s="79" t="str">
        <f>MRS!G25</f>
        <v>Nos</v>
      </c>
      <c r="E25" s="80">
        <f>MRS!H25</f>
        <v>3</v>
      </c>
      <c r="F25" s="81">
        <f>+'MRS LIST'!I25</f>
        <v>340</v>
      </c>
      <c r="G25" s="82">
        <f>+'MRS LIST'!J25</f>
        <v>1020</v>
      </c>
      <c r="H25" s="87"/>
    </row>
    <row r="26" spans="1:8" s="48" customFormat="1" ht="32.1" customHeight="1">
      <c r="A26" s="86">
        <f t="shared" si="0"/>
        <v>21</v>
      </c>
      <c r="B26" s="201" t="str">
        <f>MRS!B26&amp;" "&amp;MRS!D26</f>
        <v>A/C Copper Tube Set  1/4"x15mtr</v>
      </c>
      <c r="C26" s="202"/>
      <c r="D26" s="79" t="str">
        <f>MRS!G26</f>
        <v>Nos</v>
      </c>
      <c r="E26" s="80">
        <f>MRS!H26</f>
        <v>3</v>
      </c>
      <c r="F26" s="81">
        <f>+'MRS LIST'!I26</f>
        <v>143</v>
      </c>
      <c r="G26" s="82">
        <f>+'MRS LIST'!J26</f>
        <v>429</v>
      </c>
      <c r="H26" s="87"/>
    </row>
    <row r="27" spans="1:8" s="48" customFormat="1" ht="32.1" customHeight="1">
      <c r="A27" s="86">
        <f t="shared" si="0"/>
        <v>22</v>
      </c>
      <c r="B27" s="201" t="str">
        <f>MRS!B27&amp;" "&amp;MRS!D27</f>
        <v>Insulation for Copper Tube,  1/2" × 15 m</v>
      </c>
      <c r="C27" s="202"/>
      <c r="D27" s="79" t="str">
        <f>MRS!G27</f>
        <v>Nos</v>
      </c>
      <c r="E27" s="80">
        <f>MRS!H27</f>
        <v>17</v>
      </c>
      <c r="F27" s="81">
        <f>+'MRS LIST'!I27</f>
        <v>18</v>
      </c>
      <c r="G27" s="82">
        <f>+'MRS LIST'!J27</f>
        <v>306</v>
      </c>
      <c r="H27" s="87"/>
    </row>
    <row r="28" spans="1:8" s="48" customFormat="1" ht="32.1" customHeight="1">
      <c r="A28" s="86">
        <f t="shared" si="0"/>
        <v>23</v>
      </c>
      <c r="B28" s="201" t="str">
        <f>MRS!B28&amp;" "&amp;MRS!D28</f>
        <v>Insulation for Copper Tube,  1/4" × 15 m</v>
      </c>
      <c r="C28" s="202"/>
      <c r="D28" s="79" t="str">
        <f>MRS!G28</f>
        <v>Nos</v>
      </c>
      <c r="E28" s="80">
        <f>MRS!H28</f>
        <v>22</v>
      </c>
      <c r="F28" s="81">
        <f>+'MRS LIST'!I28</f>
        <v>12</v>
      </c>
      <c r="G28" s="82">
        <f>+'MRS LIST'!J28</f>
        <v>264</v>
      </c>
      <c r="H28" s="87"/>
    </row>
    <row r="29" spans="1:8" s="48" customFormat="1" ht="32.1" customHeight="1">
      <c r="A29" s="86">
        <f t="shared" si="0"/>
        <v>24</v>
      </c>
      <c r="B29" s="201" t="str">
        <f>MRS!B29&amp;" "&amp;MRS!D29</f>
        <v>Magnetic Drill Machine  50mm ECO.50S+ Euroboor (UL Listed)</v>
      </c>
      <c r="C29" s="202"/>
      <c r="D29" s="79" t="str">
        <f>MRS!G29</f>
        <v>Set</v>
      </c>
      <c r="E29" s="80">
        <f>MRS!H29</f>
        <v>3</v>
      </c>
      <c r="F29" s="81">
        <f>+'MRS LIST'!I29</f>
        <v>4900</v>
      </c>
      <c r="G29" s="82">
        <f>+'MRS LIST'!J29</f>
        <v>14700</v>
      </c>
      <c r="H29" s="87"/>
    </row>
    <row r="30" spans="1:8" s="48" customFormat="1" ht="32.1" customHeight="1">
      <c r="A30" s="86">
        <f t="shared" si="0"/>
        <v>25</v>
      </c>
      <c r="B30" s="201" t="str">
        <f>MRS!B30&amp;" "&amp;MRS!D30</f>
        <v xml:space="preserve">Smoke Detector </v>
      </c>
      <c r="C30" s="202"/>
      <c r="D30" s="79" t="str">
        <f>MRS!G30</f>
        <v>Nos</v>
      </c>
      <c r="E30" s="80">
        <f>MRS!H30</f>
        <v>15</v>
      </c>
      <c r="F30" s="81">
        <f>+'MRS LIST'!I30</f>
        <v>24</v>
      </c>
      <c r="G30" s="82">
        <f>+'MRS LIST'!J30</f>
        <v>360</v>
      </c>
      <c r="H30" s="87"/>
    </row>
    <row r="31" spans="1:8" s="48" customFormat="1" ht="32.1" customHeight="1">
      <c r="A31" s="86">
        <f t="shared" si="0"/>
        <v>26</v>
      </c>
      <c r="B31" s="201" t="str">
        <f>MRS!B31&amp;" "&amp;MRS!D31</f>
        <v>CS Angle  50x50x3, 6mtr</v>
      </c>
      <c r="C31" s="202"/>
      <c r="D31" s="79" t="str">
        <f>MRS!G31</f>
        <v>Nos</v>
      </c>
      <c r="E31" s="80">
        <f>MRS!H31</f>
        <v>50</v>
      </c>
      <c r="F31" s="81">
        <f>+'MRS LIST'!I31</f>
        <v>56</v>
      </c>
      <c r="G31" s="82">
        <f>+'MRS LIST'!J31</f>
        <v>2800</v>
      </c>
      <c r="H31" s="87"/>
    </row>
    <row r="32" spans="1:8" s="48" customFormat="1" ht="32.1" customHeight="1">
      <c r="A32" s="86">
        <f t="shared" si="0"/>
        <v>27</v>
      </c>
      <c r="B32" s="201" t="str">
        <f>MRS!B32&amp;" "&amp;MRS!D32</f>
        <v>Chipping Pointed Chisel  16x400mm SDS Max</v>
      </c>
      <c r="C32" s="202"/>
      <c r="D32" s="79" t="str">
        <f>MRS!G32</f>
        <v>Nos</v>
      </c>
      <c r="E32" s="80">
        <f>MRS!H32</f>
        <v>5</v>
      </c>
      <c r="F32" s="81">
        <f>+'MRS LIST'!I32</f>
        <v>37</v>
      </c>
      <c r="G32" s="82">
        <f>+'MRS LIST'!J32</f>
        <v>185</v>
      </c>
      <c r="H32" s="87"/>
    </row>
    <row r="33" spans="1:8" s="48" customFormat="1" ht="32.1" customHeight="1">
      <c r="A33" s="86">
        <f t="shared" si="0"/>
        <v>28</v>
      </c>
      <c r="B33" s="201" t="str">
        <f>MRS!B33&amp;" "&amp;MRS!D33</f>
        <v xml:space="preserve">Tig Torch Cable &amp; Hose Connector  </v>
      </c>
      <c r="C33" s="202"/>
      <c r="D33" s="79" t="str">
        <f>MRS!G33</f>
        <v>Nos</v>
      </c>
      <c r="E33" s="80">
        <f>MRS!H33</f>
        <v>200</v>
      </c>
      <c r="F33" s="81">
        <f>+'MRS LIST'!I33</f>
        <v>34</v>
      </c>
      <c r="G33" s="82">
        <f>+'MRS LIST'!J33</f>
        <v>6800</v>
      </c>
      <c r="H33" s="87"/>
    </row>
    <row r="34" spans="1:8" s="48" customFormat="1" ht="32.1" customHeight="1">
      <c r="A34" s="86">
        <f t="shared" si="0"/>
        <v>29</v>
      </c>
      <c r="B34" s="201" t="str">
        <f>MRS!B34&amp;" "&amp;MRS!D34</f>
        <v>PVC Clear Hose  1/4"x18mtr</v>
      </c>
      <c r="C34" s="202"/>
      <c r="D34" s="79" t="str">
        <f>MRS!G34</f>
        <v>Roll</v>
      </c>
      <c r="E34" s="80">
        <f>MRS!H34</f>
        <v>20</v>
      </c>
      <c r="F34" s="81">
        <f>+'MRS LIST'!I34</f>
        <v>38.5</v>
      </c>
      <c r="G34" s="82">
        <f>+'MRS LIST'!J34</f>
        <v>770</v>
      </c>
      <c r="H34" s="87"/>
    </row>
    <row r="35" spans="1:8" s="48" customFormat="1" ht="32.1" customHeight="1">
      <c r="A35" s="86">
        <f t="shared" si="0"/>
        <v>30</v>
      </c>
      <c r="B35" s="201" t="str">
        <f>MRS!B35&amp;" "&amp;MRS!D35</f>
        <v>Welding Earth Clamp Brass  G-Type 500A</v>
      </c>
      <c r="C35" s="202"/>
      <c r="D35" s="79" t="str">
        <f>MRS!G35</f>
        <v>Nos</v>
      </c>
      <c r="E35" s="80">
        <f>MRS!H35</f>
        <v>100</v>
      </c>
      <c r="F35" s="81">
        <f>+'MRS LIST'!I35</f>
        <v>85</v>
      </c>
      <c r="G35" s="82">
        <f>+'MRS LIST'!J35</f>
        <v>8500</v>
      </c>
      <c r="H35" s="87"/>
    </row>
    <row r="36" spans="1:8" s="48" customFormat="1" ht="32.1" customHeight="1">
      <c r="A36" s="86">
        <f t="shared" si="0"/>
        <v>31</v>
      </c>
      <c r="B36" s="201" t="str">
        <f>MRS!B36&amp;" "&amp;MRS!D36</f>
        <v>Welding Electrode Holder  500A Kasweld</v>
      </c>
      <c r="C36" s="202"/>
      <c r="D36" s="79" t="str">
        <f>MRS!G36</f>
        <v>Nos</v>
      </c>
      <c r="E36" s="80">
        <f>MRS!H36</f>
        <v>50</v>
      </c>
      <c r="F36" s="81">
        <f>+'MRS LIST'!I36</f>
        <v>28</v>
      </c>
      <c r="G36" s="82">
        <f>+'MRS LIST'!J36</f>
        <v>1400</v>
      </c>
      <c r="H36" s="87"/>
    </row>
    <row r="37" spans="1:8" s="48" customFormat="1" ht="32.1" customHeight="1">
      <c r="A37" s="86">
        <f t="shared" si="0"/>
        <v>32</v>
      </c>
      <c r="B37" s="201" t="str">
        <f>MRS!B37&amp;" "&amp;MRS!D37</f>
        <v>Hand Tap Set  M12mm P1.25</v>
      </c>
      <c r="C37" s="202"/>
      <c r="D37" s="79" t="str">
        <f>MRS!G37</f>
        <v>Nos</v>
      </c>
      <c r="E37" s="80">
        <f>MRS!H37</f>
        <v>2</v>
      </c>
      <c r="F37" s="81">
        <f>+'MRS LIST'!I37</f>
        <v>30</v>
      </c>
      <c r="G37" s="82">
        <f>+'MRS LIST'!J37</f>
        <v>60</v>
      </c>
      <c r="H37" s="87"/>
    </row>
    <row r="38" spans="1:8" s="48" customFormat="1" ht="32.1" customHeight="1">
      <c r="A38" s="86">
        <f t="shared" si="0"/>
        <v>33</v>
      </c>
      <c r="B38" s="201" t="str">
        <f>MRS!B38&amp;" "&amp;MRS!D38</f>
        <v xml:space="preserve">Wheelbarrow Trolley  2-Wheel </v>
      </c>
      <c r="C38" s="202"/>
      <c r="D38" s="79" t="str">
        <f>MRS!G38</f>
        <v>Nos</v>
      </c>
      <c r="E38" s="80">
        <f>MRS!H38</f>
        <v>2</v>
      </c>
      <c r="F38" s="81">
        <f>+'MRS LIST'!I38</f>
        <v>195</v>
      </c>
      <c r="G38" s="82">
        <f>+'MRS LIST'!J38</f>
        <v>390</v>
      </c>
      <c r="H38" s="87"/>
    </row>
    <row r="39" spans="1:8" s="48" customFormat="1" ht="32.1" customHeight="1">
      <c r="A39" s="86">
        <f t="shared" si="0"/>
        <v>34</v>
      </c>
      <c r="B39" s="201" t="str">
        <f>MRS!B39&amp;" "&amp;MRS!D39</f>
        <v>Feeler Gauge S/S  0.02-1mm 150mm</v>
      </c>
      <c r="C39" s="202"/>
      <c r="D39" s="79" t="str">
        <f>MRS!G39</f>
        <v>Nos</v>
      </c>
      <c r="E39" s="80">
        <f>MRS!H39</f>
        <v>30</v>
      </c>
      <c r="F39" s="81">
        <f>+'MRS LIST'!I39</f>
        <v>65</v>
      </c>
      <c r="G39" s="82">
        <f>+'MRS LIST'!J39</f>
        <v>1950</v>
      </c>
      <c r="H39" s="87"/>
    </row>
    <row r="40" spans="1:8" s="48" customFormat="1" ht="32.1" customHeight="1">
      <c r="A40" s="86">
        <f t="shared" si="0"/>
        <v>35</v>
      </c>
      <c r="B40" s="201" t="str">
        <f>MRS!B40&amp;" "&amp;MRS!D40</f>
        <v>Magnetic Drill Bit  TCT 6x50mm</v>
      </c>
      <c r="C40" s="202"/>
      <c r="D40" s="79" t="str">
        <f>MRS!G40</f>
        <v>Nos</v>
      </c>
      <c r="E40" s="80">
        <f>MRS!H40</f>
        <v>5</v>
      </c>
      <c r="F40" s="81">
        <f>+'MRS LIST'!I40</f>
        <v>71</v>
      </c>
      <c r="G40" s="82">
        <f>+'MRS LIST'!J40</f>
        <v>355</v>
      </c>
      <c r="H40" s="87"/>
    </row>
    <row r="41" spans="1:8" s="48" customFormat="1" ht="32.1" customHeight="1">
      <c r="A41" s="86">
        <f t="shared" si="0"/>
        <v>36</v>
      </c>
      <c r="B41" s="201" t="str">
        <f>MRS!B41&amp;" "&amp;MRS!D41</f>
        <v>Magnetic Drill Bit  TCT 8x50mm</v>
      </c>
      <c r="C41" s="202"/>
      <c r="D41" s="79" t="str">
        <f>MRS!G41</f>
        <v>Nos</v>
      </c>
      <c r="E41" s="80">
        <f>MRS!H41</f>
        <v>5</v>
      </c>
      <c r="F41" s="81">
        <f>+'MRS LIST'!I41</f>
        <v>71.5</v>
      </c>
      <c r="G41" s="82">
        <f>+'MRS LIST'!J41</f>
        <v>357.5</v>
      </c>
      <c r="H41" s="87"/>
    </row>
    <row r="42" spans="1:8" s="48" customFormat="1" ht="32.1" customHeight="1">
      <c r="A42" s="86">
        <f t="shared" si="0"/>
        <v>37</v>
      </c>
      <c r="B42" s="201" t="str">
        <f>MRS!B42&amp;" "&amp;MRS!D42</f>
        <v>Magnetic Drill Bit  TCT 10x50mm</v>
      </c>
      <c r="C42" s="202"/>
      <c r="D42" s="79" t="str">
        <f>MRS!G42</f>
        <v>Nos</v>
      </c>
      <c r="E42" s="80">
        <f>MRS!H42</f>
        <v>5</v>
      </c>
      <c r="F42" s="81">
        <f>+'MRS LIST'!I42</f>
        <v>74</v>
      </c>
      <c r="G42" s="82">
        <f>+'MRS LIST'!J42</f>
        <v>370</v>
      </c>
      <c r="H42" s="87"/>
    </row>
    <row r="43" spans="1:8" s="48" customFormat="1" ht="32.1" customHeight="1">
      <c r="A43" s="86">
        <f t="shared" si="0"/>
        <v>38</v>
      </c>
      <c r="B43" s="201" t="str">
        <f>MRS!B43&amp;" "&amp;MRS!D43</f>
        <v>Magnetic Drill Bit  TCT 18x50mm</v>
      </c>
      <c r="C43" s="202"/>
      <c r="D43" s="79" t="str">
        <f>MRS!G43</f>
        <v>Nos</v>
      </c>
      <c r="E43" s="80">
        <f>MRS!H43</f>
        <v>5</v>
      </c>
      <c r="F43" s="81">
        <f>+'MRS LIST'!I43</f>
        <v>142</v>
      </c>
      <c r="G43" s="82">
        <f>+'MRS LIST'!J43</f>
        <v>710</v>
      </c>
      <c r="H43" s="87"/>
    </row>
    <row r="44" spans="1:8" s="48" customFormat="1" ht="32.1" customHeight="1">
      <c r="A44" s="86">
        <f t="shared" si="0"/>
        <v>39</v>
      </c>
      <c r="B44" s="201" t="str">
        <f>MRS!B44&amp;" "&amp;MRS!D44</f>
        <v>Magnetic Drill Bit  TCT 22x50mm</v>
      </c>
      <c r="C44" s="202"/>
      <c r="D44" s="79" t="str">
        <f>MRS!G44</f>
        <v>Nos</v>
      </c>
      <c r="E44" s="80">
        <f>MRS!H44</f>
        <v>50</v>
      </c>
      <c r="F44" s="81">
        <f>+'MRS LIST'!I44</f>
        <v>153</v>
      </c>
      <c r="G44" s="82">
        <f>+'MRS LIST'!J44</f>
        <v>7650</v>
      </c>
      <c r="H44" s="87"/>
    </row>
    <row r="45" spans="1:8" s="48" customFormat="1" ht="32.1" customHeight="1">
      <c r="A45" s="86">
        <f t="shared" si="0"/>
        <v>40</v>
      </c>
      <c r="B45" s="201" t="str">
        <f>MRS!B45&amp;" "&amp;MRS!D45</f>
        <v>Magnetic Drill Bit TCT 24x50mm TCT 22x50mm</v>
      </c>
      <c r="C45" s="202"/>
      <c r="D45" s="79" t="str">
        <f>MRS!G45</f>
        <v>Nos</v>
      </c>
      <c r="E45" s="80">
        <f>MRS!H45</f>
        <v>5</v>
      </c>
      <c r="F45" s="81">
        <f>+'MRS LIST'!I45</f>
        <v>162</v>
      </c>
      <c r="G45" s="82">
        <f>+'MRS LIST'!J45</f>
        <v>810</v>
      </c>
      <c r="H45" s="87"/>
    </row>
    <row r="46" spans="1:8" s="48" customFormat="1" ht="32.1" customHeight="1">
      <c r="A46" s="86">
        <f t="shared" si="0"/>
        <v>41</v>
      </c>
      <c r="B46" s="201" t="str">
        <f>MRS!B46&amp;" "&amp;MRS!D46</f>
        <v>Magnetic Drill Bit  TCT 26x50mm</v>
      </c>
      <c r="C46" s="202"/>
      <c r="D46" s="79" t="str">
        <f>MRS!G46</f>
        <v>Nos</v>
      </c>
      <c r="E46" s="80">
        <f>MRS!H46</f>
        <v>10</v>
      </c>
      <c r="F46" s="81">
        <f>+'MRS LIST'!I46</f>
        <v>166</v>
      </c>
      <c r="G46" s="82">
        <f>+'MRS LIST'!J46</f>
        <v>1660</v>
      </c>
      <c r="H46" s="87"/>
    </row>
    <row r="47" spans="1:8" s="48" customFormat="1" ht="32.1" customHeight="1">
      <c r="A47" s="86">
        <f t="shared" si="0"/>
        <v>42</v>
      </c>
      <c r="B47" s="201" t="str">
        <f>MRS!B47&amp;" "&amp;MRS!D47</f>
        <v>Safety Grip Chipping Hammer  250g</v>
      </c>
      <c r="C47" s="202"/>
      <c r="D47" s="79" t="str">
        <f>MRS!G47</f>
        <v>Nos</v>
      </c>
      <c r="E47" s="80">
        <f>MRS!H47</f>
        <v>30</v>
      </c>
      <c r="F47" s="81">
        <f>+'MRS LIST'!I47</f>
        <v>10</v>
      </c>
      <c r="G47" s="82">
        <f>+'MRS LIST'!J47</f>
        <v>300</v>
      </c>
      <c r="H47" s="87"/>
    </row>
    <row r="48" spans="1:8" s="48" customFormat="1" ht="32.1" customHeight="1">
      <c r="A48" s="86">
        <f t="shared" si="0"/>
        <v>43</v>
      </c>
      <c r="B48" s="201" t="str">
        <f>MRS!B48&amp;" "&amp;MRS!D48</f>
        <v>Plumb Bob Magnetic  400gx6mtr</v>
      </c>
      <c r="C48" s="202"/>
      <c r="D48" s="79" t="str">
        <f>MRS!G48</f>
        <v>Nos</v>
      </c>
      <c r="E48" s="80">
        <f>MRS!H48</f>
        <v>17</v>
      </c>
      <c r="F48" s="81">
        <f>+'MRS LIST'!I48</f>
        <v>42</v>
      </c>
      <c r="G48" s="82">
        <f>+'MRS LIST'!J48</f>
        <v>714</v>
      </c>
      <c r="H48" s="87"/>
    </row>
    <row r="49" spans="1:13" s="48" customFormat="1" ht="32.1" customHeight="1">
      <c r="A49" s="86">
        <f t="shared" si="0"/>
        <v>44</v>
      </c>
      <c r="B49" s="201" t="str">
        <f>MRS!B49&amp;" "&amp;MRS!D49</f>
        <v>Two Way Radio  VHF GPS DP4401 EX Motorola ATEX/IECEx Ex-Proof</v>
      </c>
      <c r="C49" s="202"/>
      <c r="D49" s="79" t="str">
        <f>MRS!G49</f>
        <v>Set</v>
      </c>
      <c r="E49" s="80">
        <f>MRS!H49</f>
        <v>6</v>
      </c>
      <c r="F49" s="81">
        <f>+'MRS LIST'!I49</f>
        <v>5985</v>
      </c>
      <c r="G49" s="82">
        <f>+'MRS LIST'!J49</f>
        <v>35910</v>
      </c>
      <c r="H49" s="87"/>
    </row>
    <row r="50" spans="1:13" s="48" customFormat="1" ht="32.1" customHeight="1">
      <c r="A50" s="86">
        <f t="shared" si="0"/>
        <v>45</v>
      </c>
      <c r="B50" s="201" t="str">
        <f>MRS!B50&amp;" "&amp;MRS!D50</f>
        <v>Hand Tap Set  M12mm P1.0</v>
      </c>
      <c r="C50" s="202"/>
      <c r="D50" s="79" t="str">
        <f>MRS!G50</f>
        <v>Nos</v>
      </c>
      <c r="E50" s="80">
        <f>MRS!H50</f>
        <v>1</v>
      </c>
      <c r="F50" s="81">
        <f>+'MRS LIST'!I50</f>
        <v>30</v>
      </c>
      <c r="G50" s="82">
        <f>+'MRS LIST'!J50</f>
        <v>30</v>
      </c>
      <c r="H50" s="87"/>
    </row>
    <row r="51" spans="1:13" s="48" customFormat="1" ht="32.1" customHeight="1">
      <c r="A51" s="86">
        <f t="shared" si="0"/>
        <v>46</v>
      </c>
      <c r="B51" s="201" t="str">
        <f>MRS!B51&amp;" "&amp;MRS!D51</f>
        <v>Hammer Drill Machine  SDS Plus 800W GBH2-24 Bosch</v>
      </c>
      <c r="C51" s="202"/>
      <c r="D51" s="79" t="str">
        <f>MRS!G51</f>
        <v>Nos</v>
      </c>
      <c r="E51" s="80">
        <f>MRS!H51</f>
        <v>2</v>
      </c>
      <c r="F51" s="81">
        <f>+'MRS LIST'!I51</f>
        <v>830</v>
      </c>
      <c r="G51" s="82">
        <f>+'MRS LIST'!J51</f>
        <v>1660</v>
      </c>
      <c r="H51" s="87"/>
    </row>
    <row r="52" spans="1:13" s="48" customFormat="1" ht="32.1" customHeight="1">
      <c r="A52" s="86">
        <f t="shared" si="0"/>
        <v>47</v>
      </c>
      <c r="B52" s="201" t="str">
        <f>MRS!B52&amp;" "&amp;MRS!D52</f>
        <v>CS Angle  50x50x6mm, 6mtr</v>
      </c>
      <c r="C52" s="202"/>
      <c r="D52" s="79" t="str">
        <f>MRS!G52</f>
        <v>Nos</v>
      </c>
      <c r="E52" s="80">
        <f>MRS!H52</f>
        <v>100</v>
      </c>
      <c r="F52" s="81">
        <f>+'MRS LIST'!I52</f>
        <v>82</v>
      </c>
      <c r="G52" s="82">
        <f>+'MRS LIST'!J52</f>
        <v>8200</v>
      </c>
      <c r="H52" s="87"/>
    </row>
    <row r="53" spans="1:13" s="48" customFormat="1" ht="32.1" customHeight="1">
      <c r="A53" s="86">
        <f t="shared" si="0"/>
        <v>48</v>
      </c>
      <c r="B53" s="201" t="str">
        <f>MRS!B53&amp;" "&amp;MRS!D53</f>
        <v>Retractable Fall Arrest Blocks with GI Rope  60ft Karam PCGS 60FT with TPI Certificate</v>
      </c>
      <c r="C53" s="202"/>
      <c r="D53" s="79" t="str">
        <f>MRS!G53</f>
        <v>Set</v>
      </c>
      <c r="E53" s="80">
        <f>MRS!H53</f>
        <v>11</v>
      </c>
      <c r="F53" s="81">
        <f>+'MRS LIST'!I53</f>
        <v>1665</v>
      </c>
      <c r="G53" s="82">
        <f>+'MRS LIST'!J53</f>
        <v>18315</v>
      </c>
      <c r="H53" s="87"/>
    </row>
    <row r="54" spans="1:13" s="48" customFormat="1" ht="23.1" customHeight="1">
      <c r="A54" s="197" t="s">
        <v>77</v>
      </c>
      <c r="B54" s="198"/>
      <c r="C54" s="198"/>
      <c r="D54" s="198"/>
      <c r="E54" s="198"/>
      <c r="F54" s="198"/>
      <c r="G54" s="51">
        <f>SUM(G6:G53)</f>
        <v>241585.5</v>
      </c>
      <c r="H54" s="52"/>
    </row>
    <row r="55" spans="1:13" s="48" customFormat="1" ht="23.1" customHeight="1">
      <c r="A55" s="197" t="s">
        <v>41</v>
      </c>
      <c r="B55" s="198"/>
      <c r="C55" s="198"/>
      <c r="D55" s="198"/>
      <c r="E55" s="198"/>
      <c r="F55" s="198"/>
      <c r="G55" s="51">
        <f>+G54*0.15</f>
        <v>36237.824999999997</v>
      </c>
      <c r="H55" s="52"/>
    </row>
    <row r="56" spans="1:13" s="48" customFormat="1" ht="24.95" customHeight="1" thickBot="1">
      <c r="A56" s="199" t="s">
        <v>78</v>
      </c>
      <c r="B56" s="200"/>
      <c r="C56" s="200"/>
      <c r="D56" s="200"/>
      <c r="E56" s="200"/>
      <c r="F56" s="200"/>
      <c r="G56" s="53">
        <f>G55+G54</f>
        <v>277823.32500000001</v>
      </c>
      <c r="H56" s="54"/>
    </row>
    <row r="57" spans="1:13" ht="15.75" thickTop="1">
      <c r="A57" s="55" t="str">
        <f>" 1) Above Price are as per your quotation with ref "&amp;'PO 1st page'!K14</f>
        <v xml:space="preserve"> 1) Above Price are as per your quotation with ref Q-20263232</v>
      </c>
      <c r="B57" s="56"/>
      <c r="C57" s="56"/>
      <c r="D57" s="57"/>
      <c r="E57" s="57"/>
      <c r="F57" s="57"/>
      <c r="G57" s="57"/>
      <c r="H57" s="57"/>
    </row>
    <row r="58" spans="1:13" ht="15">
      <c r="A58" s="58" t="s">
        <v>79</v>
      </c>
      <c r="B58" s="59"/>
      <c r="C58" s="59"/>
      <c r="D58" s="60"/>
      <c r="E58" s="60"/>
      <c r="F58" s="60"/>
      <c r="G58" s="60"/>
      <c r="H58" s="60"/>
      <c r="I58" s="61"/>
    </row>
    <row r="59" spans="1:13" ht="15.75">
      <c r="A59" s="62"/>
    </row>
    <row r="60" spans="1:13">
      <c r="A60" s="188" t="s">
        <v>80</v>
      </c>
      <c r="B60" s="188"/>
      <c r="C60" s="188"/>
      <c r="D60" s="188"/>
      <c r="E60" s="188"/>
      <c r="F60" s="188"/>
      <c r="G60" s="188"/>
      <c r="H60" s="188"/>
      <c r="I60" s="63"/>
      <c r="J60" s="63"/>
      <c r="K60" s="63"/>
      <c r="L60" s="63"/>
      <c r="M60" s="63"/>
    </row>
    <row r="61" spans="1:13" ht="15.75">
      <c r="A61" s="62"/>
      <c r="C61" s="64"/>
    </row>
    <row r="62" spans="1:13" ht="15.75">
      <c r="A62" s="62"/>
      <c r="C62" s="64"/>
    </row>
    <row r="64" spans="1:13" ht="12" customHeight="1"/>
  </sheetData>
  <mergeCells count="60"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54:F54"/>
    <mergeCell ref="A55:F55"/>
    <mergeCell ref="A56:F56"/>
    <mergeCell ref="A60:H60"/>
    <mergeCell ref="B12:C12"/>
    <mergeCell ref="B14:C14"/>
    <mergeCell ref="B15:C15"/>
    <mergeCell ref="B16:C16"/>
    <mergeCell ref="B13:C13"/>
    <mergeCell ref="B17:C17"/>
    <mergeCell ref="B18:C18"/>
    <mergeCell ref="B19:C19"/>
    <mergeCell ref="B20:C20"/>
    <mergeCell ref="B21:C21"/>
    <mergeCell ref="B22:C22"/>
    <mergeCell ref="B23:C23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2026-09-05T02:15:54Z</cp:lastPrinted>
  <dcterms:created xsi:type="dcterms:W3CDTF">2024-10-20T11:50:19Z</dcterms:created>
  <dcterms:modified xsi:type="dcterms:W3CDTF">2026-09-05T02:21:20Z</dcterms:modified>
</cp:coreProperties>
</file>