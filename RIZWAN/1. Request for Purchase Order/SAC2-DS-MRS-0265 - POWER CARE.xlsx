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79E0265-6623-4ED5-AF86-8279749938F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6" i="4"/>
  <c r="D7" i="4"/>
  <c r="E7" i="4"/>
  <c r="F7" i="4"/>
  <c r="G7" i="4"/>
  <c r="D8" i="4"/>
  <c r="E8" i="4"/>
  <c r="F8" i="4"/>
  <c r="G8" i="4"/>
  <c r="E6" i="4"/>
  <c r="F6" i="4"/>
  <c r="G6" i="4"/>
  <c r="D6" i="4"/>
  <c r="B8" i="4"/>
  <c r="B7" i="4"/>
  <c r="J8" i="1"/>
  <c r="B6" i="4"/>
  <c r="T54" i="3"/>
  <c r="J7" i="1" l="1"/>
  <c r="K67" i="3" l="1"/>
  <c r="E3" i="1"/>
  <c r="H7" i="2"/>
  <c r="G7" i="2"/>
  <c r="D7" i="2"/>
  <c r="B7" i="2"/>
  <c r="J6" i="1" l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<sst xmlns="http://schemas.openxmlformats.org/spreadsheetml/2006/main" count="165" uniqueCount="136">
  <si>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</si>
  <si>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</si>
  <si>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</si>
  <si>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</si>
  <si>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</si>
  <si>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</si>
  <si>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</si>
  <si>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</si>
  <si>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</si>
  <si>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</si>
  <si>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</si>
  <si>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</si>
  <si>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</si>
  <si>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</si>
  <si>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</si>
  <si>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</si>
  <si>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</si>
  <si>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</si>
  <si>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</si>
  <si>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</si>
  <si>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</si>
  <si>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</si>
  <si>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</si>
  <si>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</si>
  <si>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</si>
  <si>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</si>
  <si>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</si>
  <si>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</si>
  <si>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</si>
  <si>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</si>
  <si>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</si>
  <si>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</si>
  <si>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</si>
  <si>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</si>
  <si>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</si>
  <si>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</si>
  <si>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</si>
  <si>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</si>
  <si>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</si>
  <si>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</si>
  <si>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</si>
  <si>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</si>
  <si>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</si>
  <si>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</si>
  <si>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</si>
  <si>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</si>
  <si>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</si>
  <si>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</si>
  <si>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</si>
  <si>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</si>
  <si>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</si>
  <si>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</si>
  <si>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</si>
  <si>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</si>
  <si>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</si>
  <si>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</si>
  <si>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</si>
  <si>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</si>
  <si>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</si>
  <si>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</si>
  <si>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</si>
  <si>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</si>
  <si>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</si>
  <si>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</si>
  <si>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</si>
  <si>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</si>
  <si>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</si>
  <si>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</si>
  <si>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</si>
  <si>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</si>
  <si>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</si>
  <si>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</si>
  <si>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</si>
  <si>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</si>
  <si>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</si>
  <si>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</si>
  <si>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</si>
  <si>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</si>
  <si>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</si>
  <si>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</si>
  <si>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</si>
  <si>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</si>
  <si>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</si>
  <si>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</si>
  <si>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</si>
  <si>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</si>
  <si>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</si>
  <si>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</si>
  <si>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</si>
  <si>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</si>
  <si>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</si>
  <si>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</si>
  <si>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</si>
  <si>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</si>
  <si>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</si>
  <si>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</si>
  <si>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</si>
  <si>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</si>
  <si>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</si>
  <si>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</si>
  <si>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</si>
  <si>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</si>
  <si>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</si>
  <si>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</si>
  <si>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</si>
  <si>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</si>
  <si>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</si>
  <si>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</si>
  <si>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</si>
  <si>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</si>
  <si>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</si>
  <si>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</si>
  <si>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</si>
  <si>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</si>
  <si>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</si>
  <si>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</si>
  <si>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</si>
  <si>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</si>
  <si>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</si>
  <si>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</si>
  <si>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</si>
  <si>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</si>
  <si>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</si>
  <si>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</si>
  <si>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</si>
  <si>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t>Generator</t>
  </si>
  <si>
    <t>350 KVA TUV Certified with Sound Attenuated Enclosure</t>
  </si>
  <si>
    <t>SA92 1000 0006 0000 0038 9408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</si>
  <si>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-MRS-0265</t>
    </r>
  </si>
  <si>
    <t>150 KVA TUV Certified with Sound Attenuated Enclosure</t>
  </si>
  <si>
    <t>Trip</t>
  </si>
  <si>
    <t>Generator Mob. &amp; De-Mob. Charge</t>
  </si>
  <si>
    <t>Mob. &amp; De-Mob. / per unit - lump sum</t>
  </si>
  <si>
    <t>PCCL (Power Care Co. Ltd.)</t>
  </si>
  <si>
    <t>PC-EQTN2026-2152</t>
  </si>
  <si>
    <t>Generator 350 &amp; 150 KVA TUV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</si>
</sst>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9" sqref="B9:C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109</v>
      </c>
      <c r="B1" s="109"/>
      <c r="C1" s="109"/>
      <c r="D1" s="109"/>
      <c r="E1" s="109"/>
      <c r="F1" s="109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0"/>
      <c r="C2" s="100"/>
      <c r="D2" s="3" t="s">
        <v>107</v>
      </c>
      <c r="E2" s="100"/>
      <c r="F2" s="100"/>
      <c r="G2" s="100"/>
      <c r="H2" s="100"/>
      <c r="I2" s="4"/>
      <c r="J2" s="130" t="s">
        <v>110</v>
      </c>
      <c r="K2" s="131"/>
      <c r="L2" s="132"/>
    </row>
    <row r="3" spans="1:18" ht="20.100000000000001" customHeight="1">
      <c r="A3" s="3" t="s">
        <v>128</v>
      </c>
      <c r="B3" s="100"/>
      <c r="C3" s="100"/>
      <c r="D3" s="100"/>
      <c r="E3" s="133">
        <f>+L3</f>
        <v>46096</v>
      </c>
      <c r="F3" s="133"/>
      <c r="G3" s="133"/>
      <c r="H3" s="133"/>
      <c r="I3" s="133"/>
      <c r="J3" s="100"/>
      <c r="K3" s="100"/>
      <c r="L3" s="121">
        <v>46096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94</v>
      </c>
      <c r="J4" s="134" t="s">
        <v>95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2.5" customHeight="1">
      <c r="A6" s="5">
        <f t="shared" ref="A6:A15" si="0">ROW(A1)</f>
        <v>1</v>
      </c>
      <c r="B6" s="146" t="s">
        <v>125</v>
      </c>
      <c r="C6" s="147"/>
      <c r="D6" s="148" t="s">
        <v>126</v>
      </c>
      <c r="E6" s="149"/>
      <c r="F6" s="150"/>
      <c r="G6" s="110" t="s">
        <v>90</v>
      </c>
      <c r="H6" s="111">
        <v>2</v>
      </c>
      <c r="I6" s="112">
        <v>9000</v>
      </c>
      <c r="J6" s="112">
        <f>H6*I6</f>
        <v>18000</v>
      </c>
      <c r="K6" s="113" t="s">
        <v>99</v>
      </c>
      <c r="L6" s="114" t="s">
        <v>98</v>
      </c>
      <c r="R6" s="105"/>
    </row>
    <row r="7" spans="1:18" ht="22.5" customHeight="1">
      <c r="A7" s="5">
        <f t="shared" si="0"/>
        <v>2</v>
      </c>
      <c r="B7" s="146" t="s">
        <v>125</v>
      </c>
      <c r="C7" s="147"/>
      <c r="D7" s="148" t="s">
        <v>129</v>
      </c>
      <c r="E7" s="149"/>
      <c r="F7" s="150"/>
      <c r="G7" s="110" t="s">
        <v>90</v>
      </c>
      <c r="H7" s="111">
        <v>1</v>
      </c>
      <c r="I7" s="112">
        <v>5000</v>
      </c>
      <c r="J7" s="112">
        <f>H7*I7</f>
        <v>5000</v>
      </c>
      <c r="K7" s="113" t="s">
        <v>111</v>
      </c>
      <c r="L7" s="114" t="s">
        <v>111</v>
      </c>
      <c r="R7" s="105"/>
    </row>
    <row r="8" spans="1:18" ht="22.5" customHeight="1">
      <c r="A8" s="5">
        <f t="shared" si="0"/>
        <v>3</v>
      </c>
      <c r="B8" s="146" t="s">
        <v>131</v>
      </c>
      <c r="C8" s="147"/>
      <c r="D8" s="151" t="s">
        <v>132</v>
      </c>
      <c r="E8" s="149"/>
      <c r="F8" s="150"/>
      <c r="G8" s="110" t="s">
        <v>130</v>
      </c>
      <c r="H8" s="111">
        <v>6</v>
      </c>
      <c r="I8" s="112">
        <v>1000</v>
      </c>
      <c r="J8" s="112">
        <f>H8*I8</f>
        <v>6000</v>
      </c>
      <c r="K8" s="113" t="s">
        <v>111</v>
      </c>
      <c r="L8" s="114" t="s">
        <v>106</v>
      </c>
      <c r="R8" s="105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29000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SAC2-DS-MRS-0265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46096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91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Generator</v>
      </c>
      <c r="C6" s="165"/>
      <c r="D6" s="166" t="str">
        <f>MRS!D6</f>
        <v>350 KVA TUV Certified with Sound Attenuated Enclosure</v>
      </c>
      <c r="E6" s="167"/>
      <c r="F6" s="168"/>
      <c r="G6" s="102" t="str">
        <f>MRS!G6</f>
        <v>Month</v>
      </c>
      <c r="H6" s="102">
        <f>MRS!H6</f>
        <v>2</v>
      </c>
      <c r="I6" s="103">
        <f>MRS!I6</f>
        <v>9000</v>
      </c>
      <c r="J6" s="103">
        <f>MRS!J6</f>
        <v>18000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Generator</v>
      </c>
      <c r="C7" s="165"/>
      <c r="D7" s="166" t="str">
        <f>MRS!D7</f>
        <v>150 KVA TUV Certified with Sound Attenuated Enclosure</v>
      </c>
      <c r="E7" s="167"/>
      <c r="F7" s="168"/>
      <c r="G7" s="102" t="str">
        <f>MRS!G7</f>
        <v>Month</v>
      </c>
      <c r="H7" s="102">
        <f>MRS!H7</f>
        <v>1</v>
      </c>
      <c r="I7" s="103">
        <f>MRS!I7</f>
        <v>5000</v>
      </c>
      <c r="J7" s="103">
        <f>MRS!J7</f>
        <v>5000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9"/>
      <c r="C8" s="170"/>
      <c r="D8" s="171"/>
      <c r="E8" s="172"/>
      <c r="F8" s="173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9"/>
      <c r="C9" s="170"/>
      <c r="D9" s="171"/>
      <c r="E9" s="172"/>
      <c r="F9" s="17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9"/>
      <c r="C10" s="170"/>
      <c r="D10" s="171"/>
      <c r="E10" s="172"/>
      <c r="F10" s="17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9"/>
      <c r="C11" s="170"/>
      <c r="D11" s="171"/>
      <c r="E11" s="172"/>
      <c r="F11" s="17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133</v>
      </c>
      <c r="D9" s="39"/>
      <c r="E9" s="39"/>
    </row>
    <row r="10" spans="2:13" s="39" customFormat="1">
      <c r="B10" s="72"/>
      <c r="C10" s="39" t="s">
        <v>30</v>
      </c>
      <c r="D10" s="124">
        <v>2055132011</v>
      </c>
      <c r="J10" s="39" t="s">
        <v>31</v>
      </c>
      <c r="K10" s="175">
        <f>MRS!L3</f>
        <v>46096</v>
      </c>
      <c r="L10" s="176"/>
      <c r="M10" s="176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77" t="str">
        <f>SUBSTITUTE(SUBSTITUTE(+MRS!A3,"  MRS No : ",""),"-MRS","-PO")</f>
        <v>SAC2-DS-PO-0265</v>
      </c>
      <c r="L11" s="177"/>
      <c r="M11" s="177"/>
    </row>
    <row r="12" spans="2:13" s="39" customFormat="1">
      <c r="B12" s="72"/>
      <c r="C12" s="75" t="s">
        <v>34</v>
      </c>
      <c r="D12" s="39" t="s">
        <v>100</v>
      </c>
      <c r="J12" s="39" t="s">
        <v>35</v>
      </c>
    </row>
    <row r="13" spans="2:13" s="39" customFormat="1">
      <c r="B13" s="72"/>
      <c r="C13" s="77"/>
      <c r="D13" s="76" t="s">
        <v>101</v>
      </c>
      <c r="J13" s="39" t="s">
        <v>36</v>
      </c>
    </row>
    <row r="14" spans="2:13" s="39" customFormat="1">
      <c r="B14" s="72"/>
      <c r="C14" s="77" t="s">
        <v>104</v>
      </c>
      <c r="J14" s="39" t="s">
        <v>37</v>
      </c>
      <c r="K14" s="39" t="s">
        <v>134</v>
      </c>
    </row>
    <row r="15" spans="2:13" s="39" customFormat="1">
      <c r="B15" s="72"/>
      <c r="C15" s="77" t="s">
        <v>102</v>
      </c>
      <c r="J15" s="39" t="s">
        <v>38</v>
      </c>
      <c r="K15" s="78">
        <v>46095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135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 t="s">
        <v>97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/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108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112</v>
      </c>
    </row>
    <row r="54" spans="2:20" ht="12" customHeight="1">
      <c r="B54" s="84" t="s">
        <v>63</v>
      </c>
      <c r="C54" s="125" t="s">
        <v>113</v>
      </c>
      <c r="F54" s="26" t="s">
        <v>120</v>
      </c>
      <c r="T54" s="26" t="str">
        <f>UPPER(F54)</f>
        <v>POWER CARE CO. LTD.</v>
      </c>
    </row>
    <row r="55" spans="2:20" ht="12" customHeight="1">
      <c r="B55" s="84" t="s">
        <v>63</v>
      </c>
      <c r="C55" s="125" t="s">
        <v>114</v>
      </c>
      <c r="F55" s="126" t="s">
        <v>121</v>
      </c>
    </row>
    <row r="56" spans="2:20" ht="12" customHeight="1">
      <c r="B56" s="84" t="s">
        <v>63</v>
      </c>
      <c r="C56" s="125" t="s">
        <v>115</v>
      </c>
      <c r="F56" s="26" t="s">
        <v>127</v>
      </c>
    </row>
    <row r="57" spans="2:20" ht="12" customHeight="1">
      <c r="B57" s="84" t="s">
        <v>63</v>
      </c>
      <c r="C57" s="125" t="s">
        <v>116</v>
      </c>
      <c r="F57" s="26" t="s">
        <v>122</v>
      </c>
    </row>
    <row r="58" spans="2:20" ht="12" customHeight="1">
      <c r="B58" s="84" t="s">
        <v>63</v>
      </c>
      <c r="C58" s="125" t="s">
        <v>117</v>
      </c>
      <c r="F58" s="26" t="s">
        <v>123</v>
      </c>
    </row>
    <row r="59" spans="2:20" ht="12" customHeight="1">
      <c r="B59" s="84" t="s">
        <v>63</v>
      </c>
      <c r="C59" s="125" t="s">
        <v>118</v>
      </c>
      <c r="F59" s="26" t="s">
        <v>119</v>
      </c>
    </row>
    <row r="60" spans="2:20" ht="12" customHeight="1">
      <c r="B60" s="84"/>
      <c r="C60" s="125" t="s">
        <v>124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103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PCCL (Power Care Co. Ltd.)</v>
      </c>
      <c r="K70" s="183"/>
      <c r="L70" s="183"/>
      <c r="M70" s="183"/>
    </row>
    <row r="71" spans="1:13" ht="27.95" customHeight="1">
      <c r="A71" s="174" t="s">
        <v>74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9" sqref="D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SAC2-DS-PO-0265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46096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PCCL (Power Care Co. Ltd.)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0" t="str">
        <f>_xlfn.CONCAT(MRS!B6," ",MRS!D6)</f>
        <v>Generator 350 KVA TUV Certified with Sound Attenuated Enclosure</v>
      </c>
      <c r="C6" s="201"/>
      <c r="D6" s="86" t="str">
        <f>MRS!G6</f>
        <v>Month</v>
      </c>
      <c r="E6" s="86">
        <f>MRS!H6</f>
        <v>2</v>
      </c>
      <c r="F6" s="87">
        <f>MRS!I6</f>
        <v>9000</v>
      </c>
      <c r="G6" s="88">
        <f>MRS!J6</f>
        <v>18000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0" t="str">
        <f>_xlfn.CONCAT(MRS!B7," ",MRS!D7)</f>
        <v>Generator 150 KVA TUV Certified with Sound Attenuated Enclosure</v>
      </c>
      <c r="C7" s="201"/>
      <c r="D7" s="86" t="str">
        <f>MRS!G7</f>
        <v>Month</v>
      </c>
      <c r="E7" s="86">
        <f>MRS!H7</f>
        <v>1</v>
      </c>
      <c r="F7" s="87">
        <f>MRS!I7</f>
        <v>5000</v>
      </c>
      <c r="G7" s="88">
        <f>MRS!J7</f>
        <v>5000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0" t="str">
        <f>_xlfn.CONCAT(MRS!B8," ",MRS!D8)</f>
        <v>Generator Mob. &amp; De-Mob. Charge Mob. &amp; De-Mob. / per unit - lump sum</v>
      </c>
      <c r="C8" s="201"/>
      <c r="D8" s="86" t="str">
        <f>MRS!G8</f>
        <v>Trip</v>
      </c>
      <c r="E8" s="86">
        <f>MRS!H8</f>
        <v>6</v>
      </c>
      <c r="F8" s="87">
        <f>MRS!I8</f>
        <v>1000</v>
      </c>
      <c r="G8" s="88">
        <f>MRS!J8</f>
        <v>6000</v>
      </c>
      <c r="H8" s="89" t="str">
        <f>MRS!L8</f>
        <v>One Time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4"/>
      <c r="C9" s="185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4"/>
      <c r="C10" s="185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4"/>
      <c r="C11" s="185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29000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4350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33350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PC-EQTN2026-2152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2026-03-15T05:13:00Z</cp:lastPrinted>
  <dcterms:created xsi:type="dcterms:W3CDTF">2024-10-20T11:50:19Z</dcterms:created>
  <dcterms:modified xsi:type="dcterms:W3CDTF">2026-03-15T05:14:27Z</dcterms:modified>
</cp:coreProperties>
</file>