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6553DFEE-BE5A-4C1B-99C0-3A525C35421F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29" i="3"/>
  <c r="J7" i="1"/>
  <c r="H7" i="4"/>
  <c r="H6" i="4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59" i="3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2"/>
  <c r="A8" i="2"/>
  <c r="A7" i="2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<sst xmlns="http://schemas.openxmlformats.org/spreadsheetml/2006/main" count="158" uniqueCount="123">
  <si>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</si>
  <si>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</si>
  <si>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</si>
  <si>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</si>
  <si>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</si>
  <si>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</si>
  <si>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</si>
  <si>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</si>
  <si>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</si>
  <si>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</si>
  <si>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</si>
  <si>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</si>
  <si>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</si>
  <si>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</si>
  <si>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</si>
  <si>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</si>
  <si>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</si>
  <si>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</si>
  <si>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</si>
  <si>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</si>
  <si>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</si>
  <si>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</si>
  <si>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</si>
  <si>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</si>
  <si>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</si>
  <si>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</si>
  <si>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</si>
  <si>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</si>
  <si>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</si>
  <si>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</si>
  <si>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</si>
  <si>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</si>
  <si>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</si>
  <si>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</si>
  <si>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</si>
  <si>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</si>
  <si>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</si>
  <si>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</si>
  <si>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</si>
  <si>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</si>
  <si>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</si>
  <si>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</si>
  <si>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</si>
  <si>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</si>
  <si>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</si>
  <si>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</si>
  <si>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</si>
  <si>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</si>
  <si>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</si>
  <si>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</si>
  <si>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</si>
  <si>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</si>
  <si>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</si>
  <si>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</si>
  <si>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</si>
  <si>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</si>
  <si>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</si>
  <si>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</si>
  <si>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</si>
  <si>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</si>
  <si>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</si>
  <si>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</si>
  <si>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</si>
  <si>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</si>
  <si>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</si>
  <si>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</si>
  <si>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</si>
  <si>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</si>
  <si>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</si>
  <si>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</si>
  <si>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</si>
  <si>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</si>
  <si>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</si>
  <si>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</si>
  <si>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</si>
  <si>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</si>
  <si>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</si>
  <si>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</si>
  <si>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</si>
  <si>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</si>
  <si>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</si>
  <si>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</si>
  <si>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</si>
  <si>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</si>
  <si>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</si>
  <si>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</si>
  <si>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</si>
  <si>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</si>
  <si>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</si>
  <si>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</si>
  <si>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</si>
  <si>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</si>
  <si>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</si>
  <si>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</si>
  <si>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</si>
  <si>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</si>
  <si>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</si>
  <si>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</si>
  <si>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</si>
  <si>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</si>
  <si>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</si>
  <si>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</si>
  <si>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</si>
  <si>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[Excludes Vat]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</si>
  <si>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-MRS-0043</t>
    </r>
  </si>
  <si>
    <t>Emergency Response Training</t>
  </si>
  <si>
    <t>Work at Height and Confined Space Entry Theory and Practical</t>
  </si>
  <si>
    <t>EA</t>
  </si>
  <si>
    <t>ASTC</t>
  </si>
  <si>
    <t>Per Person</t>
  </si>
  <si>
    <t>Administration Charge</t>
  </si>
  <si>
    <t>3% of Total Amount</t>
  </si>
  <si>
    <t>L/S</t>
  </si>
  <si>
    <t>ASTC(Arabian Safety Training Center)</t>
  </si>
  <si>
    <t>2051052936</t>
  </si>
  <si>
    <t>300385678100003</t>
  </si>
  <si>
    <t>Mobile : +966 50 343 2892</t>
  </si>
  <si>
    <t>ASTC-QUOT-J-06339-Rev4</t>
  </si>
  <si>
    <t>Marketing Department</t>
  </si>
  <si>
    <t>One Time</t>
  </si>
  <si>
    <t xml:space="preserve">Mohammed Yousef </t>
  </si>
  <si>
    <t>+966 56 204 9224 /  Email:safety1@arabiansafety.com</t>
  </si>
  <si>
    <t>7420 Al Ameer Sultan, 4067 2nd Industrial City Dammam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</si>
</sst>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8" sqref="P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99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1" t="s">
        <v>101</v>
      </c>
      <c r="K2" s="142"/>
      <c r="L2" s="143"/>
    </row>
    <row r="3" spans="1:19" ht="20.100000000000001" customHeight="1">
      <c r="A3" s="3" t="s">
        <v>104</v>
      </c>
      <c r="B3" s="101"/>
      <c r="C3" s="101"/>
      <c r="D3" s="101"/>
      <c r="E3" s="128">
        <f>+L3</f>
        <v>45754</v>
      </c>
      <c r="F3" s="128"/>
      <c r="G3" s="128"/>
      <c r="H3" s="128"/>
      <c r="I3" s="128"/>
      <c r="J3" s="101"/>
      <c r="K3" s="101"/>
      <c r="L3" s="122">
        <v>45754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96</v>
      </c>
      <c r="J4" s="129" t="s">
        <v>97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2.5" customHeight="1">
      <c r="A6" s="5">
        <f t="shared" ref="A6:A15" si="0">ROW(A1)</f>
        <v>1</v>
      </c>
      <c r="B6" s="144" t="s">
        <v>105</v>
      </c>
      <c r="C6" s="145"/>
      <c r="D6" s="149" t="s">
        <v>106</v>
      </c>
      <c r="E6" s="150"/>
      <c r="F6" s="151"/>
      <c r="G6" s="111" t="s">
        <v>107</v>
      </c>
      <c r="H6" s="112">
        <v>8</v>
      </c>
      <c r="I6" s="113">
        <v>155</v>
      </c>
      <c r="J6" s="113">
        <f>H6*I6</f>
        <v>1240</v>
      </c>
      <c r="K6" s="114" t="s">
        <v>108</v>
      </c>
      <c r="L6" s="115" t="s">
        <v>109</v>
      </c>
      <c r="S6" s="106"/>
    </row>
    <row r="7" spans="1:19" ht="22.5" customHeight="1">
      <c r="A7" s="5">
        <v>2</v>
      </c>
      <c r="B7" s="144" t="s">
        <v>110</v>
      </c>
      <c r="C7" s="145"/>
      <c r="D7" s="146" t="s">
        <v>111</v>
      </c>
      <c r="E7" s="147"/>
      <c r="F7" s="148"/>
      <c r="G7" s="111" t="s">
        <v>112</v>
      </c>
      <c r="H7" s="112">
        <v>1</v>
      </c>
      <c r="I7" s="113">
        <v>37.200000000000003</v>
      </c>
      <c r="J7" s="113">
        <f>H7*I7</f>
        <v>37.200000000000003</v>
      </c>
      <c r="K7" s="114" t="s">
        <v>108</v>
      </c>
      <c r="L7" s="115" t="s">
        <v>119</v>
      </c>
      <c r="S7" s="106"/>
    </row>
    <row r="8" spans="1:19" ht="22.5" customHeight="1">
      <c r="A8" s="5">
        <v>34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v>3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1277.2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9" t="s">
        <v>17</v>
      </c>
      <c r="Q21" s="159" t="s">
        <v>18</v>
      </c>
    </row>
    <row r="22" spans="1:22" ht="18" customHeight="1">
      <c r="O22" s="18" t="s">
        <v>19</v>
      </c>
      <c r="P22" s="160"/>
      <c r="Q22" s="160"/>
      <c r="S22" s="15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21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21</v>
      </c>
      <c r="P46" s="159" t="s">
        <v>21</v>
      </c>
      <c r="Q46" s="159" t="s">
        <v>21</v>
      </c>
      <c r="T46" s="159" t="s">
        <v>22</v>
      </c>
      <c r="U46" s="159" t="s">
        <v>13</v>
      </c>
      <c r="V46" s="159" t="s">
        <v>21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21</v>
      </c>
      <c r="P50" s="159" t="s">
        <v>21</v>
      </c>
      <c r="Q50" s="159" t="s">
        <v>21</v>
      </c>
      <c r="T50" s="159" t="s">
        <v>13</v>
      </c>
      <c r="U50" s="159" t="s">
        <v>22</v>
      </c>
      <c r="V50" s="159" t="s">
        <v>21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B7:C7"/>
    <mergeCell ref="B8:C8"/>
    <mergeCell ref="D8:F8"/>
    <mergeCell ref="D6:F6"/>
    <mergeCell ref="D7:F7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SAC2-DS-MRS-0043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45754</v>
      </c>
    </row>
    <row r="4" spans="1:18" ht="15.95" customHeight="1">
      <c r="A4" s="162" t="s">
        <v>2</v>
      </c>
      <c r="B4" s="163" t="s">
        <v>23</v>
      </c>
      <c r="C4" s="163"/>
      <c r="D4" s="162" t="s">
        <v>4</v>
      </c>
      <c r="E4" s="162"/>
      <c r="F4" s="162"/>
      <c r="G4" s="163" t="s">
        <v>5</v>
      </c>
      <c r="H4" s="162" t="s">
        <v>93</v>
      </c>
      <c r="I4" s="162" t="s">
        <v>24</v>
      </c>
      <c r="J4" s="162" t="s">
        <v>25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Emergency Response Training</v>
      </c>
      <c r="C6" s="165"/>
      <c r="D6" s="166" t="str">
        <f>MRS!D6</f>
        <v>Work at Height and Confined Space Entry Theory and Practical</v>
      </c>
      <c r="E6" s="167"/>
      <c r="F6" s="168"/>
      <c r="G6" s="103" t="str">
        <f>MRS!G6</f>
        <v>EA</v>
      </c>
      <c r="H6" s="103">
        <f>MRS!H6</f>
        <v>8</v>
      </c>
      <c r="I6" s="104">
        <f>MRS!I6</f>
        <v>155</v>
      </c>
      <c r="J6" s="104">
        <f>MRS!J6</f>
        <v>1240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 t="str">
        <f>MRS!B7</f>
        <v>Administration Charge</v>
      </c>
      <c r="C7" s="165"/>
      <c r="D7" s="166" t="str">
        <f>MRS!D7</f>
        <v>3% of Total Amount</v>
      </c>
      <c r="E7" s="167"/>
      <c r="F7" s="168"/>
      <c r="G7" s="103" t="str">
        <f>MRS!G7</f>
        <v>L/S</v>
      </c>
      <c r="H7" s="103">
        <f>MRS!H7</f>
        <v>1</v>
      </c>
      <c r="I7" s="104">
        <f>MRS!I7</f>
        <v>37.200000000000003</v>
      </c>
      <c r="J7" s="104">
        <f>MRS!J7</f>
        <v>37.200000000000003</v>
      </c>
      <c r="K7" s="105"/>
      <c r="O7" s="106"/>
      <c r="P7" s="106"/>
      <c r="R7" s="106"/>
    </row>
    <row r="8" spans="1:18" ht="105" customHeight="1">
      <c r="A8" s="21">
        <f>+MRS!A8</f>
        <v>34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3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P63" sqref="P6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113</v>
      </c>
      <c r="D9" s="39"/>
      <c r="E9" s="39"/>
    </row>
    <row r="10" spans="2:13" s="39" customFormat="1">
      <c r="B10" s="72"/>
      <c r="C10" s="39" t="s">
        <v>33</v>
      </c>
      <c r="D10" s="76" t="s">
        <v>114</v>
      </c>
      <c r="J10" s="39" t="s">
        <v>34</v>
      </c>
      <c r="K10" s="175">
        <f>MRS!L3</f>
        <v>45754</v>
      </c>
      <c r="L10" s="176"/>
      <c r="M10" s="176"/>
    </row>
    <row r="11" spans="2:13" s="39" customFormat="1">
      <c r="B11" s="72"/>
      <c r="C11" s="75" t="s">
        <v>35</v>
      </c>
      <c r="D11" s="76" t="s">
        <v>115</v>
      </c>
      <c r="J11" s="39" t="s">
        <v>36</v>
      </c>
      <c r="K11" s="177" t="str">
        <f>SUBSTITUTE(SUBSTITUTE(+MRS!A3,"  MRS No : ",""),"-MRS","-PO")</f>
        <v>SAC2-DS-PO-0043</v>
      </c>
      <c r="L11" s="177"/>
      <c r="M11" s="177"/>
    </row>
    <row r="12" spans="2:13" s="39" customFormat="1">
      <c r="B12" s="72"/>
      <c r="C12" s="75" t="s">
        <v>37</v>
      </c>
      <c r="D12" s="39" t="s">
        <v>120</v>
      </c>
      <c r="J12" s="39" t="s">
        <v>38</v>
      </c>
    </row>
    <row r="13" spans="2:13" s="39" customFormat="1">
      <c r="B13" s="72"/>
      <c r="C13" s="77"/>
      <c r="D13" s="76" t="s">
        <v>121</v>
      </c>
      <c r="J13" s="39" t="s">
        <v>39</v>
      </c>
    </row>
    <row r="14" spans="2:13" s="39" customFormat="1">
      <c r="B14" s="72"/>
      <c r="C14" s="77" t="s">
        <v>122</v>
      </c>
      <c r="J14" s="39" t="s">
        <v>40</v>
      </c>
      <c r="K14" s="39" t="s">
        <v>117</v>
      </c>
    </row>
    <row r="15" spans="2:13" s="39" customFormat="1">
      <c r="B15" s="72"/>
      <c r="C15" s="77" t="s">
        <v>116</v>
      </c>
      <c r="J15" s="39" t="s">
        <v>41</v>
      </c>
      <c r="K15" s="78">
        <v>45720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42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44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45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105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2">
        <f>'PO 2nd page'!G18</f>
        <v>1277.2</v>
      </c>
      <c r="G29" s="182"/>
      <c r="H29" s="33" t="s">
        <v>103</v>
      </c>
      <c r="M29" s="34"/>
    </row>
    <row r="30" spans="2:13" ht="15" customHeight="1">
      <c r="B30" s="32"/>
      <c r="C30" s="26" t="s">
        <v>51</v>
      </c>
      <c r="E30" s="26" t="s">
        <v>50</v>
      </c>
      <c r="F30" s="182">
        <f>'PO 2nd page'!G19</f>
        <v>191.58</v>
      </c>
      <c r="G30" s="182"/>
    </row>
    <row r="31" spans="2:13" ht="15" customHeight="1">
      <c r="B31" s="32"/>
      <c r="C31" s="26" t="s">
        <v>52</v>
      </c>
      <c r="D31" s="35"/>
      <c r="E31" s="26" t="s">
        <v>50</v>
      </c>
      <c r="F31" s="182">
        <f>'PO 2nd page'!G20</f>
        <v>1468.78</v>
      </c>
      <c r="G31" s="182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102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 xml:space="preserve">Mohammed Yousef </v>
      </c>
    </row>
    <row r="60" spans="1:16" ht="18" customHeight="1">
      <c r="B60" s="26" t="s">
        <v>72</v>
      </c>
      <c r="J60" s="26" t="s">
        <v>73</v>
      </c>
      <c r="K60" s="22" t="s">
        <v>118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3" t="str">
        <f>C9</f>
        <v>ASTC(Arabian Safety Training Center)</v>
      </c>
      <c r="K62" s="183"/>
      <c r="L62" s="183"/>
      <c r="M62" s="183"/>
    </row>
    <row r="63" spans="1:16" ht="27.95" customHeight="1">
      <c r="A63" s="174" t="s">
        <v>77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L14" sqref="L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SAC2-DS-PO-0043</v>
      </c>
      <c r="C2" s="186" t="s">
        <v>79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45754</v>
      </c>
      <c r="C3" s="51"/>
      <c r="D3" s="52"/>
      <c r="E3" s="187" t="s">
        <v>81</v>
      </c>
      <c r="F3" s="187"/>
      <c r="G3" s="187"/>
      <c r="H3" s="187"/>
      <c r="I3" s="53"/>
    </row>
    <row r="4" spans="1:13" s="55" customFormat="1" ht="28.5" customHeight="1" thickTop="1">
      <c r="A4" s="188" t="s">
        <v>82</v>
      </c>
      <c r="B4" s="190" t="s">
        <v>83</v>
      </c>
      <c r="C4" s="191"/>
      <c r="D4" s="194" t="s">
        <v>84</v>
      </c>
      <c r="E4" s="194" t="s">
        <v>85</v>
      </c>
      <c r="F4" s="196" t="str">
        <f>'PO 1st page'!C9</f>
        <v>ASTC(Arabian Safety Training Center)</v>
      </c>
      <c r="G4" s="197"/>
      <c r="H4" s="198" t="s">
        <v>86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87</v>
      </c>
      <c r="G5" s="57" t="s">
        <v>52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4" t="str">
        <f>+'MRS LIST'!B6</f>
        <v>Emergency Response Training</v>
      </c>
      <c r="C6" s="185"/>
      <c r="D6" s="86" t="str">
        <f>+'MRS LIST'!G6</f>
        <v>EA</v>
      </c>
      <c r="E6" s="87">
        <f>+'MRS LIST'!H6</f>
        <v>8</v>
      </c>
      <c r="F6" s="88">
        <f>+'MRS LIST'!I6</f>
        <v>155</v>
      </c>
      <c r="G6" s="89">
        <f>+'MRS LIST'!J6</f>
        <v>1240</v>
      </c>
      <c r="H6" s="90" t="str">
        <f>MRS!L6</f>
        <v>Per Person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4" t="str">
        <f>+'MRS LIST'!B7</f>
        <v>Administration Charge</v>
      </c>
      <c r="C7" s="185"/>
      <c r="D7" s="86" t="str">
        <f>+'MRS LIST'!G7</f>
        <v>L/S</v>
      </c>
      <c r="E7" s="87">
        <f>+'MRS LIST'!H7</f>
        <v>1</v>
      </c>
      <c r="F7" s="88">
        <f>+'MRS LIST'!I7</f>
        <v>37.200000000000003</v>
      </c>
      <c r="G7" s="89">
        <f>+'MRS LIST'!J7</f>
        <v>37.200000000000003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4"/>
      <c r="C10" s="18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4"/>
      <c r="C12" s="20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4"/>
      <c r="C13" s="20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4"/>
      <c r="C14" s="20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4"/>
      <c r="C15" s="20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4"/>
      <c r="C16" s="20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4"/>
      <c r="C17" s="205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1277.2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191.58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1468.78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ASTC-QUOT-J-06339-Rev4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91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2025-04-09T11:41:32Z</cp:lastPrinted>
  <dcterms:created xsi:type="dcterms:W3CDTF">2024-10-20T11:50:19Z</dcterms:created>
  <dcterms:modified xsi:type="dcterms:W3CDTF">2025-04-09T11:43:14Z</dcterms:modified>
</cp:coreProperties>
</file>