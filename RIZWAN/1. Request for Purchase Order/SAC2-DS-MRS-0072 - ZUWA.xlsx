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63362B39-5D66-40F8-ACDE-B53A4EE79618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4" l="1"/>
  <c r="F14" i="4"/>
  <c r="E14" i="4"/>
  <c r="D14" i="4"/>
  <c r="B14" i="4"/>
  <c r="J14" i="2"/>
  <c r="I14" i="2"/>
  <c r="H14" i="2"/>
  <c r="G14" i="2"/>
  <c r="D14" i="2"/>
  <c r="B14" i="2"/>
  <c r="J13" i="2"/>
  <c r="I13" i="2"/>
  <c r="H13" i="2"/>
  <c r="G13" i="2"/>
  <c r="D13" i="2"/>
  <c r="B13" i="2"/>
  <c r="B13" i="4" s="1"/>
  <c r="G13" i="4"/>
  <c r="F13" i="4"/>
  <c r="E13" i="4"/>
  <c r="D13" i="4"/>
  <c r="G12" i="4"/>
  <c r="F12" i="4"/>
  <c r="E12" i="4"/>
  <c r="D12" i="4"/>
  <c r="B12" i="4"/>
  <c r="J12" i="2"/>
  <c r="I12" i="2"/>
  <c r="H12" i="2"/>
  <c r="G12" i="2"/>
  <c r="D12" i="2"/>
  <c r="B12" i="2"/>
  <c r="G11" i="4"/>
  <c r="F11" i="4"/>
  <c r="E11" i="4"/>
  <c r="D11" i="4"/>
  <c r="B11" i="4"/>
  <c r="G10" i="4"/>
  <c r="F10" i="4"/>
  <c r="E10" i="4"/>
  <c r="D10" i="4"/>
  <c r="B10" i="4"/>
  <c r="G9" i="4"/>
  <c r="F9" i="4"/>
  <c r="E9" i="4"/>
  <c r="D9" i="4"/>
  <c r="B9" i="4"/>
  <c r="G8" i="4"/>
  <c r="F8" i="4"/>
  <c r="E8" i="4"/>
  <c r="D8" i="4"/>
  <c r="B8" i="4"/>
  <c r="H6" i="4"/>
  <c r="J16" i="1"/>
  <c r="J14" i="1"/>
  <c r="J13" i="1"/>
  <c r="J12" i="1"/>
  <c r="E7" i="4"/>
  <c r="D7" i="4"/>
  <c r="J10" i="1"/>
  <c r="J9" i="1"/>
  <c r="J8" i="1"/>
  <c r="J7" i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<sst xmlns="http://schemas.openxmlformats.org/spreadsheetml/2006/main" count="168" uniqueCount="126">
  <si>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</si>
  <si>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</si>
  <si>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</si>
  <si>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</si>
  <si>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</si>
  <si>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</si>
  <si>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</si>
  <si>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</si>
  <si>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</si>
  <si>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</si>
  <si>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</si>
  <si>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</si>
  <si>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</si>
  <si>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</si>
  <si>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</si>
  <si>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</si>
  <si>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</si>
  <si>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</si>
  <si>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</si>
  <si>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</si>
  <si>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</si>
  <si>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</si>
  <si>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</si>
  <si>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</si>
  <si>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</si>
  <si>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</si>
  <si>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</si>
  <si>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</si>
  <si>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</si>
  <si>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</si>
  <si>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</si>
  <si>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</si>
  <si>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</si>
  <si>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</si>
  <si>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</si>
  <si>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</si>
  <si>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</si>
  <si>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</si>
  <si>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</si>
  <si>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</si>
  <si>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</si>
  <si>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</si>
  <si>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</si>
  <si>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</si>
  <si>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</si>
  <si>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</si>
  <si>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</si>
  <si>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</si>
  <si>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</si>
  <si>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</si>
  <si>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</si>
  <si>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</si>
  <si>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</si>
  <si>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</si>
  <si>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</si>
  <si>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</si>
  <si>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</si>
  <si>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</si>
  <si>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</si>
  <si>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</si>
  <si>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</si>
  <si>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</si>
  <si>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</si>
  <si>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</si>
  <si>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</si>
  <si>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</si>
  <si>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</si>
  <si>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</si>
  <si>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</si>
  <si>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</si>
  <si>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</si>
  <si>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</si>
  <si>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</si>
  <si>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</si>
  <si>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</si>
  <si>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</si>
  <si>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</si>
  <si>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</si>
  <si>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</si>
  <si>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</si>
  <si>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</si>
  <si>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</si>
  <si>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</si>
  <si>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</si>
  <si>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</si>
  <si>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</si>
  <si>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</si>
  <si>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</si>
  <si>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</si>
  <si>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</si>
  <si>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</si>
  <si>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</si>
  <si>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</si>
  <si>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</si>
  <si>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</si>
  <si>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</si>
  <si>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</si>
  <si>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</si>
  <si>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</si>
  <si>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</si>
  <si>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</si>
  <si>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</si>
  <si>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HYUNDAI ENG. &amp; CONST. CO., LTD.</t>
  </si>
  <si>
    <t>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</si>
  <si>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-MRS-0072</t>
    </r>
  </si>
  <si>
    <t>Witness charges of TPI inspector (the rate shakk be applicable for a minimum 10 hour per day including travel and additional hour will be calculated as overtime by hourly based</t>
  </si>
  <si>
    <t>RT charges for one test coupon 8 inches diameter</t>
  </si>
  <si>
    <t>Tensile Test with elongation</t>
  </si>
  <si>
    <t>Bend Test</t>
  </si>
  <si>
    <t>Hardness Test</t>
  </si>
  <si>
    <t>Impact Test</t>
  </si>
  <si>
    <t>Macro test</t>
  </si>
  <si>
    <t>Certificate &amp; Card</t>
  </si>
  <si>
    <t>Fillet Fracture</t>
  </si>
  <si>
    <t>ZGCC</t>
  </si>
  <si>
    <t>ZGCC(Zuwa General Contracting Company)</t>
  </si>
  <si>
    <t>300467376500003</t>
  </si>
  <si>
    <t>'2055132241</t>
  </si>
  <si>
    <t>Abdullah Al Fafi</t>
  </si>
  <si>
    <t>ZUW-QT-2025-249 REV 0</t>
  </si>
  <si>
    <t>WQT PQR, RT Services</t>
  </si>
  <si>
    <t>Monthly Based</t>
  </si>
  <si>
    <t>10th Cross King Faisal St. Ash Sham Aliyah, Al Khobar, KSA</t>
  </si>
  <si>
    <t>+966 50 1479676 / Email:opeartion@zuwasales.com</t>
  </si>
  <si>
    <t>Mobile : +966 50 1479676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</si>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</sst>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2" fillId="0" borderId="8" xfId="0" quotePrefix="1" applyFont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E19" sqref="E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100</v>
      </c>
      <c r="B1" s="109"/>
      <c r="C1" s="109"/>
      <c r="D1" s="109"/>
      <c r="E1" s="109"/>
      <c r="F1" s="109"/>
      <c r="G1" s="1"/>
      <c r="J1" s="142" t="s">
        <v>90</v>
      </c>
      <c r="K1" s="143"/>
      <c r="L1" s="144"/>
    </row>
    <row r="2" spans="1:19" ht="20.100000000000001" customHeight="1">
      <c r="A2" s="3" t="s">
        <v>1</v>
      </c>
      <c r="B2" s="100"/>
      <c r="C2" s="100"/>
      <c r="D2" s="3" t="s">
        <v>99</v>
      </c>
      <c r="E2" s="100"/>
      <c r="F2" s="100"/>
      <c r="G2" s="100"/>
      <c r="H2" s="100"/>
      <c r="I2" s="4"/>
      <c r="J2" s="145" t="s">
        <v>98</v>
      </c>
      <c r="K2" s="146"/>
      <c r="L2" s="147"/>
    </row>
    <row r="3" spans="1:19" ht="20.100000000000001" customHeight="1">
      <c r="A3" s="3" t="s">
        <v>104</v>
      </c>
      <c r="B3" s="100"/>
      <c r="C3" s="100"/>
      <c r="D3" s="100"/>
      <c r="E3" s="148">
        <f>+L3</f>
        <v>45789</v>
      </c>
      <c r="F3" s="148"/>
      <c r="G3" s="148"/>
      <c r="H3" s="148"/>
      <c r="I3" s="148"/>
      <c r="J3" s="100"/>
      <c r="K3" s="100"/>
      <c r="L3" s="121">
        <v>45789</v>
      </c>
      <c r="M3" s="4"/>
    </row>
    <row r="4" spans="1:19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94</v>
      </c>
      <c r="J4" s="149" t="s">
        <v>95</v>
      </c>
      <c r="K4" s="159" t="s">
        <v>0</v>
      </c>
      <c r="L4" s="150" t="s">
        <v>7</v>
      </c>
    </row>
    <row r="5" spans="1:19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9" ht="48.75" customHeight="1">
      <c r="A6" s="5">
        <f t="shared" ref="A6:A15" si="0">ROW(A1)</f>
        <v>1</v>
      </c>
      <c r="B6" s="130" t="s">
        <v>105</v>
      </c>
      <c r="C6" s="141"/>
      <c r="D6" s="141"/>
      <c r="E6" s="141"/>
      <c r="F6" s="131"/>
      <c r="G6" s="110" t="s">
        <v>97</v>
      </c>
      <c r="H6" s="111">
        <v>1</v>
      </c>
      <c r="I6" s="112">
        <v>1000</v>
      </c>
      <c r="J6" s="112">
        <f>H6*I6</f>
        <v>1000</v>
      </c>
      <c r="K6" s="113" t="s">
        <v>114</v>
      </c>
      <c r="L6" s="125" t="s">
        <v>121</v>
      </c>
      <c r="S6" s="105"/>
    </row>
    <row r="7" spans="1:19" ht="22.5" customHeight="1">
      <c r="A7" s="5">
        <f t="shared" si="0"/>
        <v>2</v>
      </c>
      <c r="B7" s="130" t="s">
        <v>106</v>
      </c>
      <c r="C7" s="141"/>
      <c r="D7" s="141"/>
      <c r="E7" s="141"/>
      <c r="F7" s="131"/>
      <c r="G7" s="110" t="s">
        <v>97</v>
      </c>
      <c r="H7" s="111">
        <v>1</v>
      </c>
      <c r="I7" s="112">
        <v>170</v>
      </c>
      <c r="J7" s="112">
        <f t="shared" ref="J7:J10" si="1">H7*I7</f>
        <v>170</v>
      </c>
      <c r="K7" s="113"/>
      <c r="L7" s="114"/>
      <c r="S7" s="105"/>
    </row>
    <row r="8" spans="1:19" ht="22.5" customHeight="1">
      <c r="A8" s="5">
        <f t="shared" si="0"/>
        <v>3</v>
      </c>
      <c r="B8" s="130" t="s">
        <v>107</v>
      </c>
      <c r="C8" s="131"/>
      <c r="D8" s="132"/>
      <c r="E8" s="133"/>
      <c r="F8" s="134"/>
      <c r="G8" s="110" t="s">
        <v>97</v>
      </c>
      <c r="H8" s="111">
        <v>1</v>
      </c>
      <c r="I8" s="112">
        <v>400</v>
      </c>
      <c r="J8" s="112">
        <f t="shared" si="1"/>
        <v>400</v>
      </c>
      <c r="K8" s="113"/>
      <c r="L8" s="114"/>
      <c r="S8" s="105"/>
    </row>
    <row r="9" spans="1:19" ht="22.5" customHeight="1">
      <c r="A9" s="5">
        <f t="shared" si="0"/>
        <v>4</v>
      </c>
      <c r="B9" s="130" t="s">
        <v>108</v>
      </c>
      <c r="C9" s="131"/>
      <c r="D9" s="132"/>
      <c r="E9" s="133"/>
      <c r="F9" s="134"/>
      <c r="G9" s="110" t="s">
        <v>97</v>
      </c>
      <c r="H9" s="111">
        <v>1</v>
      </c>
      <c r="I9" s="112">
        <v>275</v>
      </c>
      <c r="J9" s="112">
        <f t="shared" si="1"/>
        <v>275</v>
      </c>
      <c r="K9" s="113"/>
      <c r="L9" s="114"/>
      <c r="S9" s="105"/>
    </row>
    <row r="10" spans="1:19" ht="22.5" customHeight="1">
      <c r="A10" s="5">
        <f t="shared" si="0"/>
        <v>5</v>
      </c>
      <c r="B10" s="130" t="s">
        <v>109</v>
      </c>
      <c r="C10" s="131"/>
      <c r="D10" s="140"/>
      <c r="E10" s="140"/>
      <c r="F10" s="140"/>
      <c r="G10" s="110" t="s">
        <v>97</v>
      </c>
      <c r="H10" s="111">
        <v>1</v>
      </c>
      <c r="I10" s="112">
        <v>275</v>
      </c>
      <c r="J10" s="112">
        <f t="shared" si="1"/>
        <v>275</v>
      </c>
      <c r="K10" s="113"/>
      <c r="L10" s="110"/>
      <c r="S10" s="105"/>
    </row>
    <row r="11" spans="1:19" ht="22.5" customHeight="1">
      <c r="A11" s="5">
        <f t="shared" si="0"/>
        <v>6</v>
      </c>
      <c r="B11" s="130" t="s">
        <v>110</v>
      </c>
      <c r="C11" s="131"/>
      <c r="D11" s="132"/>
      <c r="E11" s="133"/>
      <c r="F11" s="134"/>
      <c r="G11" s="110" t="s">
        <v>97</v>
      </c>
      <c r="H11" s="111">
        <v>1</v>
      </c>
      <c r="I11" s="112">
        <v>925</v>
      </c>
      <c r="J11" s="112">
        <f t="shared" ref="J11:J14" si="2">H11*I11</f>
        <v>925</v>
      </c>
      <c r="K11" s="113"/>
      <c r="L11" s="114"/>
      <c r="S11" s="105"/>
    </row>
    <row r="12" spans="1:19" ht="22.5" customHeight="1">
      <c r="A12" s="5">
        <f t="shared" si="0"/>
        <v>7</v>
      </c>
      <c r="B12" s="139" t="s">
        <v>111</v>
      </c>
      <c r="C12" s="139"/>
      <c r="D12" s="140"/>
      <c r="E12" s="140"/>
      <c r="F12" s="140"/>
      <c r="G12" s="110" t="s">
        <v>97</v>
      </c>
      <c r="H12" s="111">
        <v>1</v>
      </c>
      <c r="I12" s="115">
        <v>425</v>
      </c>
      <c r="J12" s="112">
        <f t="shared" si="2"/>
        <v>425</v>
      </c>
      <c r="K12" s="113"/>
      <c r="L12" s="110"/>
      <c r="S12" s="105"/>
    </row>
    <row r="13" spans="1:19" ht="22.5" customHeight="1">
      <c r="A13" s="5">
        <f t="shared" si="0"/>
        <v>8</v>
      </c>
      <c r="B13" s="130" t="s">
        <v>112</v>
      </c>
      <c r="C13" s="131"/>
      <c r="D13" s="132"/>
      <c r="E13" s="133"/>
      <c r="F13" s="134"/>
      <c r="G13" s="110" t="s">
        <v>97</v>
      </c>
      <c r="H13" s="111">
        <v>1</v>
      </c>
      <c r="I13" s="112">
        <v>100</v>
      </c>
      <c r="J13" s="112">
        <f t="shared" si="2"/>
        <v>100</v>
      </c>
      <c r="K13" s="113"/>
      <c r="L13" s="114"/>
      <c r="S13" s="105"/>
    </row>
    <row r="14" spans="1:19" ht="22.5" customHeight="1">
      <c r="A14" s="5">
        <f t="shared" si="0"/>
        <v>9</v>
      </c>
      <c r="B14" s="130" t="s">
        <v>113</v>
      </c>
      <c r="C14" s="131"/>
      <c r="D14" s="132"/>
      <c r="E14" s="133"/>
      <c r="F14" s="134"/>
      <c r="G14" s="110" t="s">
        <v>97</v>
      </c>
      <c r="H14" s="111">
        <v>1</v>
      </c>
      <c r="I14" s="112">
        <v>275</v>
      </c>
      <c r="J14" s="112">
        <f t="shared" si="2"/>
        <v>275</v>
      </c>
      <c r="K14" s="113"/>
      <c r="L14" s="114"/>
      <c r="S14" s="105"/>
    </row>
    <row r="15" spans="1:19" ht="22.5" customHeight="1">
      <c r="A15" s="5">
        <f t="shared" si="0"/>
        <v>10</v>
      </c>
      <c r="B15" s="130"/>
      <c r="C15" s="131"/>
      <c r="D15" s="132"/>
      <c r="E15" s="133"/>
      <c r="F15" s="134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5" t="s">
        <v>8</v>
      </c>
      <c r="B16" s="136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3845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8"/>
      <c r="T19" s="14"/>
      <c r="U19" s="15"/>
      <c r="V19" s="14"/>
    </row>
    <row r="20" spans="1:22" ht="17.100000000000001" customHeight="1">
      <c r="O20" s="11"/>
      <c r="P20" s="11"/>
      <c r="Q20" s="11"/>
      <c r="S20" s="12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6" t="s">
        <v>17</v>
      </c>
      <c r="Q21" s="126" t="s">
        <v>18</v>
      </c>
    </row>
    <row r="22" spans="1:22" ht="18" customHeight="1">
      <c r="O22" s="18" t="s">
        <v>19</v>
      </c>
      <c r="P22" s="128"/>
      <c r="Q22" s="128"/>
      <c r="S22" s="13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9"/>
      <c r="P27" s="129"/>
      <c r="Q27" s="129"/>
    </row>
    <row r="28" spans="1:22" ht="19.899999999999999" customHeight="1">
      <c r="O28" s="129"/>
      <c r="P28" s="129"/>
      <c r="Q28" s="12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6" t="s">
        <v>21</v>
      </c>
    </row>
    <row r="41" spans="15:22" ht="19.899999999999999" customHeight="1">
      <c r="T41" s="128"/>
    </row>
    <row r="42" spans="15:22" ht="64.900000000000006" customHeight="1">
      <c r="T42" s="14"/>
    </row>
    <row r="46" spans="15:22" ht="21" customHeight="1">
      <c r="O46" s="126" t="s">
        <v>21</v>
      </c>
      <c r="P46" s="126" t="s">
        <v>21</v>
      </c>
      <c r="Q46" s="126" t="s">
        <v>21</v>
      </c>
      <c r="T46" s="126" t="s">
        <v>22</v>
      </c>
      <c r="U46" s="126" t="s">
        <v>13</v>
      </c>
      <c r="V46" s="126" t="s">
        <v>21</v>
      </c>
    </row>
    <row r="47" spans="15:22" ht="21" customHeight="1">
      <c r="O47" s="128"/>
      <c r="P47" s="128"/>
      <c r="Q47" s="128"/>
      <c r="T47" s="127"/>
      <c r="U47" s="127"/>
      <c r="V47" s="12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6" t="s">
        <v>21</v>
      </c>
      <c r="P50" s="126" t="s">
        <v>21</v>
      </c>
      <c r="Q50" s="126" t="s">
        <v>21</v>
      </c>
      <c r="T50" s="126" t="s">
        <v>13</v>
      </c>
      <c r="U50" s="126" t="s">
        <v>22</v>
      </c>
      <c r="V50" s="126" t="s">
        <v>21</v>
      </c>
    </row>
    <row r="51" spans="15:22" ht="21" customHeight="1">
      <c r="O51" s="128"/>
      <c r="P51" s="128"/>
      <c r="Q51" s="128"/>
      <c r="T51" s="127"/>
      <c r="U51" s="127"/>
      <c r="V51" s="12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A4:A5"/>
    <mergeCell ref="B4:C5"/>
    <mergeCell ref="D4:F5"/>
    <mergeCell ref="G4:G5"/>
    <mergeCell ref="H4:H5"/>
    <mergeCell ref="B8:C8"/>
    <mergeCell ref="D8:F8"/>
    <mergeCell ref="B6:F6"/>
    <mergeCell ref="B7:F7"/>
    <mergeCell ref="J1:L1"/>
    <mergeCell ref="J2:L2"/>
    <mergeCell ref="E3:I3"/>
    <mergeCell ref="I4:I5"/>
    <mergeCell ref="J4:J5"/>
    <mergeCell ref="K4:K5"/>
    <mergeCell ref="L4:L5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11" activePane="bottomLeft" state="frozen"/>
      <selection activeCell="D30" sqref="D30"/>
      <selection pane="bottomLeft" activeCell="B14" sqref="B14:J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SAC2-DS-MRS-0072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45789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91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Witness charges of TPI inspector (the rate shakk be applicable for a minimum 10 hour per day including travel and additional hour will be calculated as overtime by hourly based</v>
      </c>
      <c r="C6" s="167"/>
      <c r="D6" s="168">
        <f>MRS!D6</f>
        <v>0</v>
      </c>
      <c r="E6" s="169"/>
      <c r="F6" s="170"/>
      <c r="G6" s="102" t="str">
        <f>MRS!G6</f>
        <v>EA</v>
      </c>
      <c r="H6" s="102">
        <f>MRS!H6</f>
        <v>1</v>
      </c>
      <c r="I6" s="103">
        <f>MRS!I6</f>
        <v>1000</v>
      </c>
      <c r="J6" s="103">
        <f>MRS!J6</f>
        <v>1000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6" t="str">
        <f>MRS!B7</f>
        <v>RT charges for one test coupon 8 inches diameter</v>
      </c>
      <c r="C7" s="167"/>
      <c r="D7" s="168">
        <f>MRS!D7</f>
        <v>0</v>
      </c>
      <c r="E7" s="169"/>
      <c r="F7" s="170"/>
      <c r="G7" s="102" t="str">
        <f>MRS!G7</f>
        <v>EA</v>
      </c>
      <c r="H7" s="102">
        <f>MRS!H7</f>
        <v>1</v>
      </c>
      <c r="I7" s="103">
        <f>MRS!I7</f>
        <v>170</v>
      </c>
      <c r="J7" s="103">
        <f>MRS!J7</f>
        <v>170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6" t="str">
        <f>MRS!B8</f>
        <v>Tensile Test with elongation</v>
      </c>
      <c r="C8" s="167"/>
      <c r="D8" s="168">
        <f>MRS!D8</f>
        <v>0</v>
      </c>
      <c r="E8" s="169"/>
      <c r="F8" s="170"/>
      <c r="G8" s="102" t="str">
        <f>MRS!G8</f>
        <v>EA</v>
      </c>
      <c r="H8" s="102">
        <f>MRS!H8</f>
        <v>1</v>
      </c>
      <c r="I8" s="103">
        <f>MRS!I8</f>
        <v>400</v>
      </c>
      <c r="J8" s="103">
        <f>MRS!J8</f>
        <v>400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6" t="str">
        <f>MRS!B9</f>
        <v>Bend Test</v>
      </c>
      <c r="C9" s="167"/>
      <c r="D9" s="168">
        <f>MRS!D9</f>
        <v>0</v>
      </c>
      <c r="E9" s="169"/>
      <c r="F9" s="170"/>
      <c r="G9" s="102" t="str">
        <f>MRS!G9</f>
        <v>EA</v>
      </c>
      <c r="H9" s="102">
        <f>MRS!H9</f>
        <v>1</v>
      </c>
      <c r="I9" s="103">
        <f>MRS!I9</f>
        <v>275</v>
      </c>
      <c r="J9" s="103">
        <f>MRS!J9</f>
        <v>275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6" t="str">
        <f>MRS!B10</f>
        <v>Hardness Test</v>
      </c>
      <c r="C10" s="167"/>
      <c r="D10" s="168">
        <f>MRS!D10</f>
        <v>0</v>
      </c>
      <c r="E10" s="169"/>
      <c r="F10" s="170"/>
      <c r="G10" s="102" t="str">
        <f>MRS!G10</f>
        <v>EA</v>
      </c>
      <c r="H10" s="102">
        <f>MRS!H10</f>
        <v>1</v>
      </c>
      <c r="I10" s="103">
        <f>MRS!I10</f>
        <v>275</v>
      </c>
      <c r="J10" s="103">
        <f>MRS!J10</f>
        <v>275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6" t="str">
        <f>MRS!B11</f>
        <v>Impact Test</v>
      </c>
      <c r="C11" s="167"/>
      <c r="D11" s="168">
        <f>MRS!D11</f>
        <v>0</v>
      </c>
      <c r="E11" s="169"/>
      <c r="F11" s="170"/>
      <c r="G11" s="102" t="str">
        <f>MRS!G11</f>
        <v>EA</v>
      </c>
      <c r="H11" s="102">
        <f>MRS!H11</f>
        <v>1</v>
      </c>
      <c r="I11" s="103">
        <f>MRS!I11</f>
        <v>925</v>
      </c>
      <c r="J11" s="103">
        <f>MRS!J11</f>
        <v>925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6" t="str">
        <f>MRS!B12</f>
        <v>Macro test</v>
      </c>
      <c r="C12" s="167"/>
      <c r="D12" s="168">
        <f>MRS!D12</f>
        <v>0</v>
      </c>
      <c r="E12" s="169"/>
      <c r="F12" s="170"/>
      <c r="G12" s="102" t="str">
        <f>MRS!G12</f>
        <v>EA</v>
      </c>
      <c r="H12" s="102">
        <f>MRS!H12</f>
        <v>1</v>
      </c>
      <c r="I12" s="103">
        <f>MRS!I12</f>
        <v>425</v>
      </c>
      <c r="J12" s="103">
        <f>MRS!J12</f>
        <v>425</v>
      </c>
      <c r="K12" s="104"/>
      <c r="O12" s="105"/>
      <c r="P12" s="105"/>
      <c r="R12" s="105"/>
    </row>
    <row r="13" spans="1:18" ht="105" customHeight="1">
      <c r="A13" s="21">
        <f>+MRS!A13</f>
        <v>8</v>
      </c>
      <c r="B13" s="166" t="str">
        <f>MRS!B13</f>
        <v>Certificate &amp; Card</v>
      </c>
      <c r="C13" s="167"/>
      <c r="D13" s="168">
        <f>MRS!D13</f>
        <v>0</v>
      </c>
      <c r="E13" s="169"/>
      <c r="F13" s="170"/>
      <c r="G13" s="102" t="str">
        <f>MRS!G13</f>
        <v>EA</v>
      </c>
      <c r="H13" s="102">
        <f>MRS!H13</f>
        <v>1</v>
      </c>
      <c r="I13" s="103">
        <f>MRS!I13</f>
        <v>100</v>
      </c>
      <c r="J13" s="103">
        <f>MRS!J13</f>
        <v>100</v>
      </c>
      <c r="K13" s="104"/>
      <c r="O13" s="105"/>
      <c r="P13" s="105"/>
      <c r="R13" s="105"/>
    </row>
    <row r="14" spans="1:18" ht="105" customHeight="1">
      <c r="A14" s="21">
        <f>+MRS!A14</f>
        <v>9</v>
      </c>
      <c r="B14" s="166" t="str">
        <f>MRS!B14</f>
        <v>Fillet Fracture</v>
      </c>
      <c r="C14" s="167"/>
      <c r="D14" s="168">
        <f>MRS!D14</f>
        <v>0</v>
      </c>
      <c r="E14" s="169"/>
      <c r="F14" s="170"/>
      <c r="G14" s="102" t="str">
        <f>MRS!G14</f>
        <v>EA</v>
      </c>
      <c r="H14" s="102">
        <f>MRS!H14</f>
        <v>1</v>
      </c>
      <c r="I14" s="103">
        <f>MRS!I14</f>
        <v>275</v>
      </c>
      <c r="J14" s="103">
        <f>MRS!J14</f>
        <v>275</v>
      </c>
      <c r="K14" s="104"/>
      <c r="O14" s="105"/>
      <c r="P14" s="105"/>
      <c r="R14" s="105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41" zoomScale="130" zoomScaleNormal="100" zoomScaleSheetLayoutView="130" workbookViewId="0">
      <selection activeCell="K59" sqref="K5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102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115</v>
      </c>
      <c r="D9" s="38"/>
      <c r="E9" s="38"/>
    </row>
    <row r="10" spans="2:13" s="38" customFormat="1">
      <c r="B10" s="71"/>
      <c r="C10" s="38" t="s">
        <v>32</v>
      </c>
      <c r="D10" s="75" t="s">
        <v>117</v>
      </c>
      <c r="J10" s="38" t="s">
        <v>33</v>
      </c>
      <c r="K10" s="174">
        <f>MRS!L3</f>
        <v>45789</v>
      </c>
      <c r="L10" s="175"/>
      <c r="M10" s="175"/>
    </row>
    <row r="11" spans="2:13" s="38" customFormat="1">
      <c r="B11" s="71"/>
      <c r="C11" s="74" t="s">
        <v>34</v>
      </c>
      <c r="D11" s="75" t="s">
        <v>116</v>
      </c>
      <c r="J11" s="38" t="s">
        <v>35</v>
      </c>
      <c r="K11" s="176" t="str">
        <f>SUBSTITUTE(SUBSTITUTE(+MRS!A3,"  MRS No : ",""),"-MRS","-PO")</f>
        <v>SAC2-DS-PO-0072</v>
      </c>
      <c r="L11" s="176"/>
      <c r="M11" s="176"/>
    </row>
    <row r="12" spans="2:13" s="38" customFormat="1">
      <c r="B12" s="71"/>
      <c r="C12" s="74" t="s">
        <v>36</v>
      </c>
      <c r="D12" s="38" t="s">
        <v>118</v>
      </c>
      <c r="J12" s="38" t="s">
        <v>37</v>
      </c>
    </row>
    <row r="13" spans="2:13" s="38" customFormat="1">
      <c r="B13" s="71"/>
      <c r="C13" s="76"/>
      <c r="D13" s="75" t="s">
        <v>123</v>
      </c>
      <c r="J13" s="38" t="s">
        <v>38</v>
      </c>
    </row>
    <row r="14" spans="2:13" s="38" customFormat="1">
      <c r="B14" s="71"/>
      <c r="C14" s="76" t="s">
        <v>122</v>
      </c>
      <c r="J14" s="38" t="s">
        <v>39</v>
      </c>
      <c r="K14" s="38" t="s">
        <v>119</v>
      </c>
    </row>
    <row r="15" spans="2:13" s="38" customFormat="1">
      <c r="B15" s="71"/>
      <c r="C15" s="76" t="s">
        <v>124</v>
      </c>
      <c r="J15" s="38" t="s">
        <v>40</v>
      </c>
      <c r="K15" s="77">
        <v>45768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7" t="s">
        <v>41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42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43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44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120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121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101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Abdullah Al Fafi</v>
      </c>
    </row>
    <row r="60" spans="1:16" ht="18" customHeight="1">
      <c r="B60" s="26" t="s">
        <v>71</v>
      </c>
      <c r="J60" s="26" t="s">
        <v>72</v>
      </c>
      <c r="K60" s="22" t="s">
        <v>125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103</v>
      </c>
      <c r="J62" s="181" t="str">
        <f>C9</f>
        <v>ZGCC(Zuwa General Contracting Company)</v>
      </c>
      <c r="K62" s="181"/>
      <c r="L62" s="181"/>
      <c r="M62" s="181"/>
    </row>
    <row r="63" spans="1:16" ht="27.95" customHeight="1">
      <c r="A63" s="173" t="s">
        <v>75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topLeftCell="A4" zoomScaleSheetLayoutView="100" zoomScalePageLayoutView="55" workbookViewId="0">
      <selection activeCell="N15" sqref="N15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SAC2-DS-PO-0072</v>
      </c>
      <c r="C2" s="190" t="s">
        <v>77</v>
      </c>
      <c r="D2" s="190"/>
      <c r="E2" s="190"/>
      <c r="F2" s="190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45789</v>
      </c>
      <c r="C3" s="50"/>
      <c r="D3" s="51"/>
      <c r="E3" s="191" t="s">
        <v>79</v>
      </c>
      <c r="F3" s="191"/>
      <c r="G3" s="191"/>
      <c r="H3" s="191"/>
      <c r="I3" s="52"/>
    </row>
    <row r="4" spans="1:13" s="54" customFormat="1" ht="28.5" customHeight="1" thickTop="1">
      <c r="A4" s="192" t="s">
        <v>80</v>
      </c>
      <c r="B4" s="194" t="s">
        <v>81</v>
      </c>
      <c r="C4" s="195"/>
      <c r="D4" s="198" t="s">
        <v>82</v>
      </c>
      <c r="E4" s="198" t="s">
        <v>83</v>
      </c>
      <c r="F4" s="200" t="str">
        <f>'PO 1st page'!C9</f>
        <v>ZGCC(Zuwa General Contracting Company)</v>
      </c>
      <c r="G4" s="201"/>
      <c r="H4" s="202" t="s">
        <v>84</v>
      </c>
      <c r="K4" s="55"/>
      <c r="L4" s="55"/>
      <c r="M4" s="55"/>
    </row>
    <row r="5" spans="1:13" s="54" customFormat="1" ht="21.95" customHeight="1">
      <c r="A5" s="193"/>
      <c r="B5" s="196"/>
      <c r="C5" s="197"/>
      <c r="D5" s="199"/>
      <c r="E5" s="199"/>
      <c r="F5" s="56" t="s">
        <v>85</v>
      </c>
      <c r="G5" s="56" t="s">
        <v>51</v>
      </c>
      <c r="H5" s="203"/>
      <c r="K5" s="55"/>
      <c r="L5" s="55"/>
      <c r="M5" s="55"/>
    </row>
    <row r="6" spans="1:13" s="54" customFormat="1" ht="81.75" customHeight="1">
      <c r="A6" s="84">
        <f t="shared" ref="A6:A17" si="0">ROW(A1)</f>
        <v>1</v>
      </c>
      <c r="B6" s="186" t="str">
        <f>+'MRS LIST'!B6</f>
        <v>Witness charges of TPI inspector (the rate shakk be applicable for a minimum 10 hour per day including travel and additional hour will be calculated as overtime by hourly based</v>
      </c>
      <c r="C6" s="187"/>
      <c r="D6" s="85" t="str">
        <f>+'MRS LIST'!G6</f>
        <v>EA</v>
      </c>
      <c r="E6" s="86">
        <f>+'MRS LIST'!H6</f>
        <v>1</v>
      </c>
      <c r="F6" s="87">
        <f>+'MRS LIST'!I6</f>
        <v>1000</v>
      </c>
      <c r="G6" s="88">
        <f>+'MRS LIST'!J6</f>
        <v>1000</v>
      </c>
      <c r="H6" s="89" t="str">
        <f>MRS!L6</f>
        <v>Monthly Based</v>
      </c>
      <c r="K6" s="90"/>
      <c r="L6" s="91"/>
      <c r="M6" s="55"/>
    </row>
    <row r="7" spans="1:13" s="54" customFormat="1" ht="40.5" customHeight="1">
      <c r="A7" s="84">
        <f t="shared" si="0"/>
        <v>2</v>
      </c>
      <c r="B7" s="186" t="str">
        <f>+'MRS LIST'!B7</f>
        <v>RT charges for one test coupon 8 inches diameter</v>
      </c>
      <c r="C7" s="187"/>
      <c r="D7" s="85" t="str">
        <f>+'MRS LIST'!G7</f>
        <v>EA</v>
      </c>
      <c r="E7" s="86">
        <f>+'MRS LIST'!H7</f>
        <v>1</v>
      </c>
      <c r="F7" s="87">
        <f>+'MRS LIST'!I7</f>
        <v>170</v>
      </c>
      <c r="G7" s="88">
        <f>+'MRS LIST'!J7</f>
        <v>170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6" t="str">
        <f>+'MRS LIST'!B8</f>
        <v>Tensile Test with elongation</v>
      </c>
      <c r="C8" s="187"/>
      <c r="D8" s="85" t="str">
        <f>+'MRS LIST'!G8</f>
        <v>EA</v>
      </c>
      <c r="E8" s="86">
        <f>+'MRS LIST'!H8</f>
        <v>1</v>
      </c>
      <c r="F8" s="87">
        <f>+'MRS LIST'!I8</f>
        <v>400</v>
      </c>
      <c r="G8" s="88">
        <f>+'MRS LIST'!J8</f>
        <v>400</v>
      </c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6" t="str">
        <f>+'MRS LIST'!B9</f>
        <v>Bend Test</v>
      </c>
      <c r="C9" s="187"/>
      <c r="D9" s="85" t="str">
        <f>+'MRS LIST'!G9</f>
        <v>EA</v>
      </c>
      <c r="E9" s="86">
        <f>+'MRS LIST'!H9</f>
        <v>1</v>
      </c>
      <c r="F9" s="87">
        <f>+'MRS LIST'!I9</f>
        <v>275</v>
      </c>
      <c r="G9" s="88">
        <f>+'MRS LIST'!J9</f>
        <v>275</v>
      </c>
      <c r="H9" s="97"/>
    </row>
    <row r="10" spans="1:13" s="54" customFormat="1" ht="32.1" customHeight="1">
      <c r="A10" s="92">
        <f t="shared" si="0"/>
        <v>5</v>
      </c>
      <c r="B10" s="186" t="str">
        <f>+'MRS LIST'!B10</f>
        <v>Hardness Test</v>
      </c>
      <c r="C10" s="187"/>
      <c r="D10" s="85" t="str">
        <f>+'MRS LIST'!G10</f>
        <v>EA</v>
      </c>
      <c r="E10" s="86">
        <f>+'MRS LIST'!H10</f>
        <v>1</v>
      </c>
      <c r="F10" s="87">
        <f>+'MRS LIST'!I10</f>
        <v>275</v>
      </c>
      <c r="G10" s="88">
        <f>+'MRS LIST'!J10</f>
        <v>275</v>
      </c>
      <c r="H10" s="97"/>
    </row>
    <row r="11" spans="1:13" s="54" customFormat="1" ht="32.1" customHeight="1">
      <c r="A11" s="92">
        <f t="shared" si="0"/>
        <v>6</v>
      </c>
      <c r="B11" s="186" t="str">
        <f>+'MRS LIST'!B11</f>
        <v>Impact Test</v>
      </c>
      <c r="C11" s="187"/>
      <c r="D11" s="85" t="str">
        <f>+'MRS LIST'!G11</f>
        <v>EA</v>
      </c>
      <c r="E11" s="86">
        <f>+'MRS LIST'!H11</f>
        <v>1</v>
      </c>
      <c r="F11" s="87">
        <f>+'MRS LIST'!I11</f>
        <v>925</v>
      </c>
      <c r="G11" s="88">
        <f>+'MRS LIST'!J11</f>
        <v>925</v>
      </c>
      <c r="H11" s="97"/>
    </row>
    <row r="12" spans="1:13" s="54" customFormat="1" ht="32.1" customHeight="1">
      <c r="A12" s="92">
        <f t="shared" si="0"/>
        <v>7</v>
      </c>
      <c r="B12" s="186" t="str">
        <f>+'MRS LIST'!B12</f>
        <v>Macro test</v>
      </c>
      <c r="C12" s="187"/>
      <c r="D12" s="85" t="str">
        <f>+'MRS LIST'!G12</f>
        <v>EA</v>
      </c>
      <c r="E12" s="86">
        <f>+'MRS LIST'!H12</f>
        <v>1</v>
      </c>
      <c r="F12" s="87">
        <f>+'MRS LIST'!I12</f>
        <v>425</v>
      </c>
      <c r="G12" s="88">
        <f>+'MRS LIST'!J12</f>
        <v>425</v>
      </c>
      <c r="H12" s="97"/>
    </row>
    <row r="13" spans="1:13" s="54" customFormat="1" ht="32.1" customHeight="1">
      <c r="A13" s="92">
        <f t="shared" si="0"/>
        <v>8</v>
      </c>
      <c r="B13" s="186" t="str">
        <f>+'MRS LIST'!B13</f>
        <v>Certificate &amp; Card</v>
      </c>
      <c r="C13" s="187"/>
      <c r="D13" s="85" t="str">
        <f>+'MRS LIST'!G13</f>
        <v>EA</v>
      </c>
      <c r="E13" s="86">
        <f>+'MRS LIST'!H13</f>
        <v>1</v>
      </c>
      <c r="F13" s="87">
        <f>+'MRS LIST'!I13</f>
        <v>100</v>
      </c>
      <c r="G13" s="88">
        <f>+'MRS LIST'!J13</f>
        <v>100</v>
      </c>
      <c r="H13" s="97"/>
    </row>
    <row r="14" spans="1:13" s="54" customFormat="1" ht="32.1" customHeight="1">
      <c r="A14" s="92">
        <f t="shared" si="0"/>
        <v>9</v>
      </c>
      <c r="B14" s="186" t="str">
        <f>+'MRS LIST'!B14</f>
        <v>Fillet Fracture</v>
      </c>
      <c r="C14" s="187"/>
      <c r="D14" s="85" t="str">
        <f>+'MRS LIST'!G14</f>
        <v>EA</v>
      </c>
      <c r="E14" s="86">
        <f>+'MRS LIST'!H14</f>
        <v>1</v>
      </c>
      <c r="F14" s="87">
        <f>+'MRS LIST'!I14</f>
        <v>275</v>
      </c>
      <c r="G14" s="88">
        <f>+'MRS LIST'!J14</f>
        <v>275</v>
      </c>
      <c r="H14" s="97"/>
    </row>
    <row r="15" spans="1:13" s="54" customFormat="1" ht="32.1" customHeight="1">
      <c r="A15" s="92">
        <f t="shared" si="0"/>
        <v>10</v>
      </c>
      <c r="B15" s="188"/>
      <c r="C15" s="189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8"/>
      <c r="C16" s="189"/>
      <c r="D16" s="93"/>
      <c r="E16" s="94"/>
      <c r="F16" s="95"/>
      <c r="G16" s="96"/>
      <c r="H16" s="97"/>
    </row>
    <row r="17" spans="1:13" s="54" customFormat="1" ht="32.1" customHeight="1">
      <c r="A17" s="92">
        <f t="shared" si="0"/>
        <v>12</v>
      </c>
      <c r="B17" s="188"/>
      <c r="C17" s="189"/>
      <c r="D17" s="93"/>
      <c r="E17" s="94"/>
      <c r="F17" s="95"/>
      <c r="G17" s="96"/>
      <c r="H17" s="97"/>
    </row>
    <row r="18" spans="1:13" s="54" customFormat="1" ht="23.1" customHeight="1">
      <c r="A18" s="182" t="s">
        <v>86</v>
      </c>
      <c r="B18" s="183"/>
      <c r="C18" s="183"/>
      <c r="D18" s="183"/>
      <c r="E18" s="183"/>
      <c r="F18" s="183"/>
      <c r="G18" s="57">
        <f>SUM(G6:G17)</f>
        <v>3845</v>
      </c>
      <c r="H18" s="58"/>
    </row>
    <row r="19" spans="1:13" s="54" customFormat="1" ht="23.1" customHeight="1">
      <c r="A19" s="182" t="s">
        <v>50</v>
      </c>
      <c r="B19" s="183"/>
      <c r="C19" s="183"/>
      <c r="D19" s="183"/>
      <c r="E19" s="183"/>
      <c r="F19" s="183"/>
      <c r="G19" s="57">
        <f>+G18*0.15</f>
        <v>576.75</v>
      </c>
      <c r="H19" s="58"/>
    </row>
    <row r="20" spans="1:13" s="54" customFormat="1" ht="24.95" customHeight="1" thickBot="1">
      <c r="A20" s="184" t="s">
        <v>87</v>
      </c>
      <c r="B20" s="185"/>
      <c r="C20" s="185"/>
      <c r="D20" s="185"/>
      <c r="E20" s="185"/>
      <c r="F20" s="185"/>
      <c r="G20" s="59">
        <f>G19+G18</f>
        <v>4421.75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ZUW-QT-2025-249 REV 0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3" t="s">
        <v>89</v>
      </c>
      <c r="B24" s="173"/>
      <c r="C24" s="173"/>
      <c r="D24" s="173"/>
      <c r="E24" s="173"/>
      <c r="F24" s="173"/>
      <c r="G24" s="173"/>
      <c r="H24" s="173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2025-05-14T13:51:16Z</cp:lastPrinted>
  <dcterms:created xsi:type="dcterms:W3CDTF">2024-10-20T11:50:19Z</dcterms:created>
  <dcterms:modified xsi:type="dcterms:W3CDTF">2025-05-14T13:59:36Z</dcterms:modified>
</cp:coreProperties>
</file>