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18ABE6A-FD98-4CE6-A60D-E7F00A74AC3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<sst xmlns="http://schemas.openxmlformats.org/spreadsheetml/2006/main" count="173" uniqueCount="133">
  <si>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</si>
  <si>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</si>
  <si>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</si>
  <si>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</si>
  <si>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</si>
  <si>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</si>
  <si>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</si>
  <si>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</si>
  <si>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</si>
  <si>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</si>
  <si>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</si>
  <si>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</si>
  <si>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</si>
  <si>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</si>
  <si>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</si>
  <si>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</si>
  <si>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</si>
  <si>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</si>
  <si>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</si>
  <si>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</si>
  <si>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</si>
  <si>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</si>
  <si>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</si>
  <si>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</si>
  <si>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</si>
  <si>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</si>
  <si>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</si>
  <si>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</si>
  <si>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</si>
  <si>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</si>
  <si>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</si>
  <si>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</si>
  <si>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</si>
  <si>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</si>
  <si>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</si>
  <si>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</si>
  <si>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</si>
  <si>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</si>
  <si>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</si>
  <si>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</si>
  <si>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</si>
  <si>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</si>
  <si>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</si>
  <si>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</si>
  <si>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</si>
  <si>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</si>
  <si>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</si>
  <si>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</si>
  <si>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</si>
  <si>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</si>
  <si>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</si>
  <si>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</si>
  <si>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</si>
  <si>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</si>
  <si>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</si>
  <si>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</si>
  <si>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</si>
  <si>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</si>
  <si>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</si>
  <si>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</si>
  <si>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</si>
  <si>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</si>
  <si>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</si>
  <si>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</si>
  <si>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</si>
  <si>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</si>
  <si>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</si>
  <si>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</si>
  <si>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</si>
  <si>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</si>
  <si>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</si>
  <si>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</si>
  <si>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</si>
  <si>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</si>
  <si>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</si>
  <si>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</si>
  <si>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</si>
  <si>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</si>
  <si>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</si>
  <si>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</si>
  <si>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</si>
  <si>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</si>
  <si>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</si>
  <si>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</si>
  <si>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</si>
  <si>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</si>
  <si>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</si>
  <si>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</si>
  <si>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</si>
  <si>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</si>
  <si>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</si>
  <si>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</si>
  <si>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</si>
  <si>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</si>
  <si>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</si>
  <si>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</si>
  <si>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</si>
  <si>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</si>
  <si>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</si>
  <si>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</si>
  <si>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</si>
  <si>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</si>
  <si>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</si>
  <si>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</si>
  <si>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</si>
  <si>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Aramco Approved</t>
  </si>
  <si>
    <t>ZMBAC</t>
  </si>
  <si>
    <t>1149002321</t>
  </si>
  <si>
    <t>312491304600003</t>
  </si>
  <si>
    <t>Mohammed Nayeem</t>
  </si>
  <si>
    <t>+966 53 856 9694 / Email: nahim.s@zaidmazail.com</t>
  </si>
  <si>
    <t>Mobile : +966 53 856 9694</t>
  </si>
  <si>
    <t>Sales Executive</t>
  </si>
  <si>
    <t>Building No. 4865, Al Jubail 35514, KSA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</si>
  <si>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-MRS-0277</t>
    </r>
  </si>
  <si>
    <t>Rigger III</t>
  </si>
  <si>
    <t>ZMBAC (Zaid Mazail Binia Al Aslami Company)</t>
  </si>
  <si>
    <t>5052</t>
  </si>
  <si>
    <t>Rigger III 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</si>
  <si>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</si>
  <si>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</si>
  <si>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</si>
  <si>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</si>
  <si>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</si>
  <si>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</si>
  <si>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</si>
  <si>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</si>
  <si>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</si>
  <si>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468608016072105</t>
  </si>
  <si>
    <t>SA07 8000 0468 6080 1607 2105</t>
  </si>
  <si>
    <t>ALRAJHI BAML</t>
  </si>
  <si>
    <t>RJHISARI</t>
  </si>
  <si>
    <t>ZAID MAZAIL BINIA AL ASLAMI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</si>
</sst>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51" t="s">
        <v>90</v>
      </c>
      <c r="K1" s="152"/>
      <c r="L1" s="153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54" t="s">
        <v>100</v>
      </c>
      <c r="K2" s="155"/>
      <c r="L2" s="156"/>
    </row>
    <row r="3" spans="1:19" ht="20.100000000000001" customHeight="1">
      <c r="A3" s="3" t="s">
        <v>114</v>
      </c>
      <c r="B3" s="101"/>
      <c r="C3" s="101"/>
      <c r="D3" s="101"/>
      <c r="E3" s="157">
        <f>+L3</f>
        <v>46116</v>
      </c>
      <c r="F3" s="157"/>
      <c r="G3" s="157"/>
      <c r="H3" s="157"/>
      <c r="I3" s="157"/>
      <c r="J3" s="101"/>
      <c r="K3" s="101"/>
      <c r="L3" s="122">
        <v>46116</v>
      </c>
      <c r="M3" s="4"/>
    </row>
    <row r="4" spans="1:19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95</v>
      </c>
      <c r="J4" s="158" t="s">
        <v>96</v>
      </c>
      <c r="K4" s="168" t="s">
        <v>0</v>
      </c>
      <c r="L4" s="159" t="s">
        <v>7</v>
      </c>
    </row>
    <row r="5" spans="1:19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9" ht="22.5" customHeight="1">
      <c r="A6" s="5">
        <f t="shared" ref="A6:A15" si="0">ROW(A1)</f>
        <v>1</v>
      </c>
      <c r="B6" s="140" t="s">
        <v>115</v>
      </c>
      <c r="C6" s="141"/>
      <c r="D6" s="142" t="s">
        <v>105</v>
      </c>
      <c r="E6" s="143"/>
      <c r="F6" s="144"/>
      <c r="G6" s="111" t="s">
        <v>99</v>
      </c>
      <c r="H6" s="112">
        <v>1</v>
      </c>
      <c r="I6" s="113">
        <v>65</v>
      </c>
      <c r="J6" s="113">
        <f>H6*I6</f>
        <v>65</v>
      </c>
      <c r="K6" s="114" t="s">
        <v>106</v>
      </c>
      <c r="L6" s="115" t="s">
        <v>102</v>
      </c>
      <c r="S6" s="106"/>
    </row>
    <row r="7" spans="1:19" ht="22.5" customHeight="1">
      <c r="A7" s="5">
        <f t="shared" si="0"/>
        <v>2</v>
      </c>
      <c r="B7" s="140"/>
      <c r="C7" s="141"/>
      <c r="D7" s="142"/>
      <c r="E7" s="143"/>
      <c r="F7" s="144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0"/>
      <c r="C8" s="141"/>
      <c r="D8" s="142"/>
      <c r="E8" s="143"/>
      <c r="F8" s="14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0"/>
      <c r="C9" s="141"/>
      <c r="D9" s="142"/>
      <c r="E9" s="143"/>
      <c r="F9" s="14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0"/>
      <c r="C11" s="141"/>
      <c r="D11" s="142"/>
      <c r="E11" s="143"/>
      <c r="F11" s="14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0"/>
      <c r="C13" s="141"/>
      <c r="D13" s="142"/>
      <c r="E13" s="143"/>
      <c r="F13" s="14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0"/>
      <c r="C14" s="141"/>
      <c r="D14" s="142"/>
      <c r="E14" s="143"/>
      <c r="F14" s="14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0"/>
      <c r="C15" s="141"/>
      <c r="D15" s="142"/>
      <c r="E15" s="143"/>
      <c r="F15" s="14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45" t="s">
        <v>8</v>
      </c>
      <c r="B16" s="14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8"/>
      <c r="T19" s="14"/>
      <c r="U19" s="15"/>
      <c r="V19" s="14"/>
    </row>
    <row r="20" spans="1:22" ht="17.100000000000001" customHeight="1">
      <c r="O20" s="11"/>
      <c r="P20" s="11"/>
      <c r="Q20" s="11"/>
      <c r="S20" s="13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6" t="s">
        <v>17</v>
      </c>
      <c r="Q21" s="136" t="s">
        <v>18</v>
      </c>
    </row>
    <row r="22" spans="1:22" ht="18" customHeight="1">
      <c r="O22" s="18" t="s">
        <v>19</v>
      </c>
      <c r="P22" s="138"/>
      <c r="Q22" s="138"/>
      <c r="S22" s="14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9"/>
      <c r="P27" s="139"/>
      <c r="Q27" s="139"/>
    </row>
    <row r="28" spans="1:22" ht="19.899999999999999" customHeight="1">
      <c r="O28" s="139"/>
      <c r="P28" s="139"/>
      <c r="Q28" s="13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6" t="s">
        <v>21</v>
      </c>
    </row>
    <row r="41" spans="15:22" ht="19.899999999999999" customHeight="1">
      <c r="T41" s="138"/>
    </row>
    <row r="42" spans="15:22" ht="64.900000000000006" customHeight="1">
      <c r="T42" s="14"/>
    </row>
    <row r="46" spans="15:22" ht="21" customHeight="1">
      <c r="O46" s="136" t="s">
        <v>21</v>
      </c>
      <c r="P46" s="136" t="s">
        <v>21</v>
      </c>
      <c r="Q46" s="136" t="s">
        <v>21</v>
      </c>
      <c r="T46" s="136" t="s">
        <v>22</v>
      </c>
      <c r="U46" s="136" t="s">
        <v>13</v>
      </c>
      <c r="V46" s="136" t="s">
        <v>21</v>
      </c>
    </row>
    <row r="47" spans="15:22" ht="21" customHeight="1">
      <c r="O47" s="138"/>
      <c r="P47" s="138"/>
      <c r="Q47" s="138"/>
      <c r="T47" s="137"/>
      <c r="U47" s="137"/>
      <c r="V47" s="13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6" t="s">
        <v>21</v>
      </c>
      <c r="P50" s="136" t="s">
        <v>21</v>
      </c>
      <c r="Q50" s="136" t="s">
        <v>21</v>
      </c>
      <c r="T50" s="136" t="s">
        <v>13</v>
      </c>
      <c r="U50" s="136" t="s">
        <v>22</v>
      </c>
      <c r="V50" s="136" t="s">
        <v>21</v>
      </c>
    </row>
    <row r="51" spans="15:22" ht="21" customHeight="1">
      <c r="O51" s="138"/>
      <c r="P51" s="138"/>
      <c r="Q51" s="138"/>
      <c r="T51" s="137"/>
      <c r="U51" s="137"/>
      <c r="V51" s="13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SAC2-DS-MRS-0277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46116</v>
      </c>
    </row>
    <row r="4" spans="1:18" ht="15.95" customHeight="1">
      <c r="A4" s="180" t="s">
        <v>2</v>
      </c>
      <c r="B4" s="181" t="s">
        <v>23</v>
      </c>
      <c r="C4" s="181"/>
      <c r="D4" s="180" t="s">
        <v>4</v>
      </c>
      <c r="E4" s="180"/>
      <c r="F4" s="180"/>
      <c r="G4" s="181" t="s">
        <v>5</v>
      </c>
      <c r="H4" s="180" t="s">
        <v>91</v>
      </c>
      <c r="I4" s="180" t="s">
        <v>24</v>
      </c>
      <c r="J4" s="180" t="s">
        <v>25</v>
      </c>
      <c r="K4" s="181" t="s">
        <v>7</v>
      </c>
    </row>
    <row r="5" spans="1:18" ht="15.95" customHeight="1">
      <c r="A5" s="180"/>
      <c r="B5" s="181"/>
      <c r="C5" s="181"/>
      <c r="D5" s="180"/>
      <c r="E5" s="180"/>
      <c r="F5" s="180"/>
      <c r="G5" s="181"/>
      <c r="H5" s="180"/>
      <c r="I5" s="180"/>
      <c r="J5" s="180"/>
      <c r="K5" s="181"/>
    </row>
    <row r="6" spans="1:18" ht="105" customHeight="1">
      <c r="A6" s="21">
        <f>+MRS!A6</f>
        <v>1</v>
      </c>
      <c r="B6" s="175" t="str">
        <f>MRS!B6</f>
        <v>Rigger III</v>
      </c>
      <c r="C6" s="176"/>
      <c r="D6" s="177" t="str">
        <f>MRS!D6</f>
        <v>Aramco Approved</v>
      </c>
      <c r="E6" s="178"/>
      <c r="F6" s="179"/>
      <c r="G6" s="103" t="str">
        <f>MRS!G6</f>
        <v>Hour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5">
        <f>MRS!B7</f>
        <v>0</v>
      </c>
      <c r="C7" s="176"/>
      <c r="D7" s="177">
        <f>MRS!D7</f>
        <v>0</v>
      </c>
      <c r="E7" s="178"/>
      <c r="F7" s="17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5">
        <f>MRS!B8</f>
        <v>0</v>
      </c>
      <c r="C8" s="176"/>
      <c r="D8" s="177">
        <f>MRS!D8</f>
        <v>0</v>
      </c>
      <c r="E8" s="178"/>
      <c r="F8" s="17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5">
        <f>MRS!B9</f>
        <v>0</v>
      </c>
      <c r="C9" s="176"/>
      <c r="D9" s="177">
        <f>MRS!D9</f>
        <v>0</v>
      </c>
      <c r="E9" s="178"/>
      <c r="F9" s="17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75">
        <f>MRS!B10</f>
        <v>0</v>
      </c>
      <c r="C10" s="176"/>
      <c r="D10" s="177">
        <f>MRS!D10</f>
        <v>0</v>
      </c>
      <c r="E10" s="178"/>
      <c r="F10" s="17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75">
        <f>MRS!B11</f>
        <v>0</v>
      </c>
      <c r="C11" s="176"/>
      <c r="D11" s="177">
        <f>MRS!D11</f>
        <v>0</v>
      </c>
      <c r="E11" s="178"/>
      <c r="F11" s="17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16" sqref="D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116</v>
      </c>
      <c r="D9" s="39"/>
      <c r="E9" s="39"/>
    </row>
    <row r="10" spans="2:13" s="39" customFormat="1">
      <c r="B10" s="72"/>
      <c r="C10" s="39" t="s">
        <v>32</v>
      </c>
      <c r="D10" s="76" t="s">
        <v>107</v>
      </c>
      <c r="J10" s="39" t="s">
        <v>33</v>
      </c>
      <c r="K10" s="127">
        <f>MRS!L3</f>
        <v>46116</v>
      </c>
      <c r="L10" s="128"/>
      <c r="M10" s="128"/>
    </row>
    <row r="11" spans="2:13" s="39" customFormat="1">
      <c r="B11" s="72"/>
      <c r="C11" s="75" t="s">
        <v>34</v>
      </c>
      <c r="D11" s="76" t="s">
        <v>108</v>
      </c>
      <c r="J11" s="39" t="s">
        <v>35</v>
      </c>
      <c r="K11" s="129" t="str">
        <f>SUBSTITUTE(SUBSTITUTE(+MRS!A3,"  MRS No : ",""),"-MRS","-PO")</f>
        <v>SAC2-DS-PO-0277</v>
      </c>
      <c r="L11" s="129"/>
      <c r="M11" s="129"/>
    </row>
    <row r="12" spans="2:13" s="39" customFormat="1">
      <c r="B12" s="72"/>
      <c r="C12" s="75" t="s">
        <v>36</v>
      </c>
      <c r="D12" s="39" t="s">
        <v>109</v>
      </c>
      <c r="J12" s="39" t="s">
        <v>37</v>
      </c>
    </row>
    <row r="13" spans="2:13" s="39" customFormat="1">
      <c r="B13" s="72"/>
      <c r="C13" s="77"/>
      <c r="D13" s="76" t="s">
        <v>110</v>
      </c>
      <c r="J13" s="39" t="s">
        <v>38</v>
      </c>
    </row>
    <row r="14" spans="2:13" s="39" customFormat="1">
      <c r="B14" s="72"/>
      <c r="C14" s="77" t="s">
        <v>113</v>
      </c>
      <c r="J14" s="39" t="s">
        <v>39</v>
      </c>
      <c r="K14" s="76" t="s">
        <v>117</v>
      </c>
    </row>
    <row r="15" spans="2:13" s="39" customFormat="1">
      <c r="B15" s="72"/>
      <c r="C15" s="77" t="s">
        <v>111</v>
      </c>
      <c r="D15" s="76"/>
      <c r="J15" s="39" t="s">
        <v>40</v>
      </c>
      <c r="K15" s="78">
        <v>46113</v>
      </c>
    </row>
    <row r="16" spans="2:13" s="39" customFormat="1">
      <c r="C16" s="77"/>
      <c r="D16" s="76"/>
      <c r="K16" s="78"/>
    </row>
    <row r="17" spans="2:13" ht="6" customHeight="1">
      <c r="C17" s="29"/>
      <c r="K17" s="30"/>
    </row>
    <row r="18" spans="2:13" ht="20.25">
      <c r="B18" s="130" t="s">
        <v>41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</row>
    <row r="19" spans="2:13" ht="12" customHeight="1"/>
    <row r="20" spans="2:13" s="31" customFormat="1" ht="12" customHeight="1">
      <c r="B20" s="131" t="s">
        <v>42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</row>
    <row r="21" spans="2:13" s="31" customFormat="1" ht="12" customHeight="1">
      <c r="B21" s="131" t="s">
        <v>43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</row>
    <row r="22" spans="2:13" s="31" customFormat="1" ht="12" customHeight="1">
      <c r="B22" s="131" t="s">
        <v>44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</row>
    <row r="23" spans="2:13" ht="6.95" customHeight="1"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</row>
    <row r="24" spans="2:13" ht="6.95" customHeight="1"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118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34" t="s">
        <v>102</v>
      </c>
      <c r="G29" s="134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34"/>
      <c r="G30" s="134"/>
    </row>
    <row r="31" spans="2:13" ht="12" customHeight="1">
      <c r="B31" s="32"/>
      <c r="C31" s="26" t="s">
        <v>51</v>
      </c>
      <c r="D31" s="35"/>
      <c r="E31" s="26" t="s">
        <v>49</v>
      </c>
      <c r="F31" s="134"/>
      <c r="G31" s="13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119</v>
      </c>
    </row>
    <row r="54" spans="2:16" ht="12" customHeight="1">
      <c r="B54" s="84" t="s">
        <v>65</v>
      </c>
      <c r="C54" s="204" t="s">
        <v>120</v>
      </c>
      <c r="F54" s="26" t="s">
        <v>132</v>
      </c>
      <c r="P54" s="26" t="str">
        <f>UPPER(F54)</f>
        <v>ZAID MAZAIL BINIA AL ASLAMI COMPANY</v>
      </c>
    </row>
    <row r="55" spans="2:16" ht="12" customHeight="1">
      <c r="B55" s="84" t="s">
        <v>65</v>
      </c>
      <c r="C55" s="204" t="s">
        <v>121</v>
      </c>
      <c r="F55" s="205" t="s">
        <v>128</v>
      </c>
    </row>
    <row r="56" spans="2:16" ht="12" customHeight="1">
      <c r="B56" s="84" t="s">
        <v>65</v>
      </c>
      <c r="C56" s="204" t="s">
        <v>122</v>
      </c>
      <c r="F56" s="26" t="s">
        <v>129</v>
      </c>
    </row>
    <row r="57" spans="2:16" ht="12" customHeight="1">
      <c r="B57" s="84" t="s">
        <v>65</v>
      </c>
      <c r="C57" s="204" t="s">
        <v>123</v>
      </c>
      <c r="F57" s="26" t="s">
        <v>130</v>
      </c>
    </row>
    <row r="58" spans="2:16" ht="12" customHeight="1">
      <c r="B58" s="84" t="s">
        <v>65</v>
      </c>
      <c r="C58" s="204" t="s">
        <v>124</v>
      </c>
      <c r="F58" s="26" t="s">
        <v>131</v>
      </c>
    </row>
    <row r="59" spans="2:16" ht="12" customHeight="1">
      <c r="B59" s="84" t="s">
        <v>65</v>
      </c>
      <c r="C59" s="204" t="s">
        <v>125</v>
      </c>
      <c r="F59" s="26" t="s">
        <v>126</v>
      </c>
    </row>
    <row r="60" spans="2:16" ht="12" customHeight="1">
      <c r="B60" s="84"/>
      <c r="C60" s="206" t="s">
        <v>127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Nayeem</v>
      </c>
    </row>
    <row r="68" spans="1:13" ht="18" customHeight="1">
      <c r="B68" s="26" t="s">
        <v>71</v>
      </c>
      <c r="J68" s="26" t="s">
        <v>72</v>
      </c>
      <c r="K68" s="22" t="s">
        <v>112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35" t="str">
        <f>C9</f>
        <v>ZMBAC (Zaid Mazail Binia Al Aslami Company)</v>
      </c>
      <c r="K70" s="135"/>
      <c r="L70" s="135"/>
      <c r="M70" s="135"/>
    </row>
    <row r="71" spans="1:13" ht="27.95" customHeight="1">
      <c r="A71" s="126" t="s">
        <v>75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SAC2-DS-PO-0277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46116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ZMBAC (Zaid Mazail Binia Al Aslami Company)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CONCATENATE(MRS!B6," ",MRS!D6)</f>
        <v>Rigger III Aramco Approved</v>
      </c>
      <c r="C6" s="189"/>
      <c r="D6" s="86" t="str">
        <f>+'MRS LIST'!G6</f>
        <v>Hour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8" t="str">
        <f>CONCATENATE(MRS!B7," ",MRS!D7)</f>
        <v xml:space="preserve"> </v>
      </c>
      <c r="C7" s="18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 t="str">
        <f>CONCATENATE(MRS!B8," ",MRS!D8)</f>
        <v xml:space="preserve"> </v>
      </c>
      <c r="C8" s="189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65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9.75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5052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6" t="s">
        <v>89</v>
      </c>
      <c r="B24" s="126"/>
      <c r="C24" s="126"/>
      <c r="D24" s="126"/>
      <c r="E24" s="126"/>
      <c r="F24" s="126"/>
      <c r="G24" s="126"/>
      <c r="H24" s="12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2026-04-04T04:09:04Z</cp:lastPrinted>
  <dcterms:created xsi:type="dcterms:W3CDTF">2024-10-20T11:50:19Z</dcterms:created>
  <dcterms:modified xsi:type="dcterms:W3CDTF">2026-04-04T04:09:06Z</dcterms:modified>
</cp:coreProperties>
</file>