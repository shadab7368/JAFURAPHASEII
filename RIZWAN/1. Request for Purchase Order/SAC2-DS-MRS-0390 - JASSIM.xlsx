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1D39484-AF39-44B0-B66C-A61BEF126745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MRS!$A$1:$L$102</definedName>
    <definedName name="_xlnm.Print_Area" localSheetId="1">'MRS LIST'!$A$1:$K$93</definedName>
    <definedName name="_xlnm.Print_Area" localSheetId="2">'PO 1st page'!$A$1:$N$71</definedName>
    <definedName name="_xlnm.Print_Area" localSheetId="3">'PO 2nd page'!$A$1:$H$100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K10" i="3" l="1"/>
  <c r="H6" i="4"/>
  <c r="G93" i="4"/>
  <c r="F93" i="4"/>
  <c r="E93" i="4"/>
  <c r="D93" i="4"/>
  <c r="G92" i="4"/>
  <c r="F92" i="4"/>
  <c r="E92" i="4"/>
  <c r="D92" i="4"/>
  <c r="G91" i="4"/>
  <c r="F91" i="4"/>
  <c r="E91" i="4"/>
  <c r="D91" i="4"/>
  <c r="G90" i="4"/>
  <c r="F90" i="4"/>
  <c r="E90" i="4"/>
  <c r="D90" i="4"/>
  <c r="G89" i="4"/>
  <c r="F89" i="4"/>
  <c r="E89" i="4"/>
  <c r="D89" i="4"/>
  <c r="G88" i="4"/>
  <c r="F88" i="4"/>
  <c r="E88" i="4"/>
  <c r="D88" i="4"/>
  <c r="G87" i="4"/>
  <c r="F87" i="4"/>
  <c r="E87" i="4"/>
  <c r="D87" i="4"/>
  <c r="G86" i="4"/>
  <c r="F86" i="4"/>
  <c r="E86" i="4"/>
  <c r="D86" i="4"/>
  <c r="G85" i="4"/>
  <c r="F85" i="4"/>
  <c r="E85" i="4"/>
  <c r="D85" i="4"/>
  <c r="G84" i="4"/>
  <c r="F84" i="4"/>
  <c r="E84" i="4"/>
  <c r="D84" i="4"/>
  <c r="G83" i="4"/>
  <c r="F83" i="4"/>
  <c r="E83" i="4"/>
  <c r="D83" i="4"/>
  <c r="G82" i="4"/>
  <c r="F82" i="4"/>
  <c r="E82" i="4"/>
  <c r="D82" i="4"/>
  <c r="G81" i="4"/>
  <c r="F81" i="4"/>
  <c r="E81" i="4"/>
  <c r="D81" i="4"/>
  <c r="G80" i="4"/>
  <c r="F80" i="4"/>
  <c r="E80" i="4"/>
  <c r="D80" i="4"/>
  <c r="G79" i="4"/>
  <c r="F79" i="4"/>
  <c r="E79" i="4"/>
  <c r="D79" i="4"/>
  <c r="G78" i="4"/>
  <c r="F78" i="4"/>
  <c r="E78" i="4"/>
  <c r="D78" i="4"/>
  <c r="G77" i="4"/>
  <c r="F77" i="4"/>
  <c r="E77" i="4"/>
  <c r="D77" i="4"/>
  <c r="G76" i="4"/>
  <c r="F76" i="4"/>
  <c r="E76" i="4"/>
  <c r="D76" i="4"/>
  <c r="G75" i="4"/>
  <c r="F75" i="4"/>
  <c r="E75" i="4"/>
  <c r="D75" i="4"/>
  <c r="G74" i="4"/>
  <c r="F74" i="4"/>
  <c r="E74" i="4"/>
  <c r="D74" i="4"/>
  <c r="G73" i="4"/>
  <c r="F73" i="4"/>
  <c r="E73" i="4"/>
  <c r="D73" i="4"/>
  <c r="G72" i="4"/>
  <c r="F72" i="4"/>
  <c r="E72" i="4"/>
  <c r="D72" i="4"/>
  <c r="G71" i="4"/>
  <c r="F71" i="4"/>
  <c r="E71" i="4"/>
  <c r="D71" i="4"/>
  <c r="G70" i="4"/>
  <c r="F70" i="4"/>
  <c r="E70" i="4"/>
  <c r="D70" i="4"/>
  <c r="G69" i="4"/>
  <c r="F69" i="4"/>
  <c r="E69" i="4"/>
  <c r="D69" i="4"/>
  <c r="G68" i="4"/>
  <c r="F68" i="4"/>
  <c r="E68" i="4"/>
  <c r="D68" i="4"/>
  <c r="G67" i="4"/>
  <c r="F67" i="4"/>
  <c r="E67" i="4"/>
  <c r="D67" i="4"/>
  <c r="G66" i="4"/>
  <c r="F66" i="4"/>
  <c r="E66" i="4"/>
  <c r="D66" i="4"/>
  <c r="G65" i="4"/>
  <c r="F65" i="4"/>
  <c r="E65" i="4"/>
  <c r="D65" i="4"/>
  <c r="G64" i="4"/>
  <c r="F64" i="4"/>
  <c r="E64" i="4"/>
  <c r="D64" i="4"/>
  <c r="G63" i="4"/>
  <c r="F63" i="4"/>
  <c r="E63" i="4"/>
  <c r="D63" i="4"/>
  <c r="G62" i="4"/>
  <c r="F62" i="4"/>
  <c r="E62" i="4"/>
  <c r="D62" i="4"/>
  <c r="G61" i="4"/>
  <c r="F61" i="4"/>
  <c r="E61" i="4"/>
  <c r="D61" i="4"/>
  <c r="G60" i="4"/>
  <c r="F60" i="4"/>
  <c r="E60" i="4"/>
  <c r="D60" i="4"/>
  <c r="G59" i="4"/>
  <c r="F59" i="4"/>
  <c r="E59" i="4"/>
  <c r="D59" i="4"/>
  <c r="G58" i="4"/>
  <c r="F58" i="4"/>
  <c r="E58" i="4"/>
  <c r="D58" i="4"/>
  <c r="G57" i="4"/>
  <c r="F57" i="4"/>
  <c r="E57" i="4"/>
  <c r="D57" i="4"/>
  <c r="G56" i="4"/>
  <c r="F56" i="4"/>
  <c r="E56" i="4"/>
  <c r="D56" i="4"/>
  <c r="G55" i="4"/>
  <c r="F55" i="4"/>
  <c r="E55" i="4"/>
  <c r="D55" i="4"/>
  <c r="G54" i="4"/>
  <c r="F54" i="4"/>
  <c r="E54" i="4"/>
  <c r="D54" i="4"/>
  <c r="G53" i="4"/>
  <c r="F53" i="4"/>
  <c r="E53" i="4"/>
  <c r="D53" i="4"/>
  <c r="G52" i="4"/>
  <c r="F52" i="4"/>
  <c r="E52" i="4"/>
  <c r="D52" i="4"/>
  <c r="G51" i="4"/>
  <c r="F51" i="4"/>
  <c r="E51" i="4"/>
  <c r="D51" i="4"/>
  <c r="G50" i="4"/>
  <c r="F50" i="4"/>
  <c r="E50" i="4"/>
  <c r="D50" i="4"/>
  <c r="G49" i="4"/>
  <c r="F49" i="4"/>
  <c r="E49" i="4"/>
  <c r="D49" i="4"/>
  <c r="G48" i="4"/>
  <c r="F48" i="4"/>
  <c r="E48" i="4"/>
  <c r="D48" i="4"/>
  <c r="G47" i="4"/>
  <c r="F47" i="4"/>
  <c r="E47" i="4"/>
  <c r="D47" i="4"/>
  <c r="G46" i="4"/>
  <c r="F46" i="4"/>
  <c r="E46" i="4"/>
  <c r="D46" i="4"/>
  <c r="G45" i="4"/>
  <c r="F45" i="4"/>
  <c r="E45" i="4"/>
  <c r="D45" i="4"/>
  <c r="G44" i="4"/>
  <c r="F44" i="4"/>
  <c r="E44" i="4"/>
  <c r="D44" i="4"/>
  <c r="G43" i="4"/>
  <c r="F43" i="4"/>
  <c r="E43" i="4"/>
  <c r="D43" i="4"/>
  <c r="G42" i="4"/>
  <c r="F42" i="4"/>
  <c r="E42" i="4"/>
  <c r="D42" i="4"/>
  <c r="G41" i="4"/>
  <c r="F41" i="4"/>
  <c r="E41" i="4"/>
  <c r="D41" i="4"/>
  <c r="G40" i="4"/>
  <c r="F40" i="4"/>
  <c r="E40" i="4"/>
  <c r="D40" i="4"/>
  <c r="G39" i="4"/>
  <c r="F39" i="4"/>
  <c r="E39" i="4"/>
  <c r="D39" i="4"/>
  <c r="G38" i="4"/>
  <c r="F38" i="4"/>
  <c r="E38" i="4"/>
  <c r="D38" i="4"/>
  <c r="G37" i="4"/>
  <c r="F37" i="4"/>
  <c r="E37" i="4"/>
  <c r="D37" i="4"/>
  <c r="G36" i="4"/>
  <c r="F36" i="4"/>
  <c r="E36" i="4"/>
  <c r="D36" i="4"/>
  <c r="G35" i="4"/>
  <c r="F35" i="4"/>
  <c r="E35" i="4"/>
  <c r="D35" i="4"/>
  <c r="G34" i="4"/>
  <c r="F34" i="4"/>
  <c r="E34" i="4"/>
  <c r="D34" i="4"/>
  <c r="G33" i="4"/>
  <c r="F33" i="4"/>
  <c r="E33" i="4"/>
  <c r="D33" i="4"/>
  <c r="G32" i="4"/>
  <c r="F32" i="4"/>
  <c r="E32" i="4"/>
  <c r="D32" i="4"/>
  <c r="G31" i="4"/>
  <c r="F31" i="4"/>
  <c r="E31" i="4"/>
  <c r="D31" i="4"/>
  <c r="G30" i="4"/>
  <c r="F30" i="4"/>
  <c r="E30" i="4"/>
  <c r="D30" i="4"/>
  <c r="G29" i="4"/>
  <c r="F29" i="4"/>
  <c r="E29" i="4"/>
  <c r="D29" i="4"/>
  <c r="G28" i="4"/>
  <c r="F28" i="4"/>
  <c r="E28" i="4"/>
  <c r="D28" i="4"/>
  <c r="G27" i="4"/>
  <c r="F27" i="4"/>
  <c r="E27" i="4"/>
  <c r="D27" i="4"/>
  <c r="G26" i="4"/>
  <c r="F26" i="4"/>
  <c r="E26" i="4"/>
  <c r="D26" i="4"/>
  <c r="G25" i="4"/>
  <c r="F25" i="4"/>
  <c r="E25" i="4"/>
  <c r="D25" i="4"/>
  <c r="G24" i="4"/>
  <c r="F24" i="4"/>
  <c r="E24" i="4"/>
  <c r="D24" i="4"/>
  <c r="G23" i="4"/>
  <c r="F23" i="4"/>
  <c r="E23" i="4"/>
  <c r="D23" i="4"/>
  <c r="G22" i="4"/>
  <c r="F22" i="4"/>
  <c r="E22" i="4"/>
  <c r="D22" i="4"/>
  <c r="G21" i="4"/>
  <c r="F21" i="4"/>
  <c r="E21" i="4"/>
  <c r="D21" i="4"/>
  <c r="G20" i="4"/>
  <c r="F20" i="4"/>
  <c r="E20" i="4"/>
  <c r="D20" i="4"/>
  <c r="G19" i="4"/>
  <c r="F19" i="4"/>
  <c r="E19" i="4"/>
  <c r="D19" i="4"/>
  <c r="G18" i="4"/>
  <c r="F18" i="4"/>
  <c r="E18" i="4"/>
  <c r="D18" i="4"/>
  <c r="G17" i="4"/>
  <c r="F17" i="4"/>
  <c r="E17" i="4"/>
  <c r="D17" i="4"/>
  <c r="G16" i="4"/>
  <c r="F16" i="4"/>
  <c r="E16" i="4"/>
  <c r="D16" i="4"/>
  <c r="G15" i="4"/>
  <c r="F15" i="4"/>
  <c r="E15" i="4"/>
  <c r="D15" i="4"/>
  <c r="G14" i="4"/>
  <c r="F14" i="4"/>
  <c r="E14" i="4"/>
  <c r="D14" i="4"/>
  <c r="G13" i="4"/>
  <c r="F13" i="4"/>
  <c r="E13" i="4"/>
  <c r="D13" i="4"/>
  <c r="G12" i="4"/>
  <c r="F12" i="4"/>
  <c r="E12" i="4"/>
  <c r="D12" i="4"/>
  <c r="G11" i="4"/>
  <c r="F11" i="4"/>
  <c r="E11" i="4"/>
  <c r="D11" i="4"/>
  <c r="G10" i="4"/>
  <c r="F10" i="4"/>
  <c r="E10" i="4"/>
  <c r="D10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G9" i="4"/>
  <c r="F9" i="4"/>
  <c r="E9" i="4"/>
  <c r="D9" i="4"/>
  <c r="B9" i="4"/>
  <c r="J93" i="2"/>
  <c r="I93" i="2"/>
  <c r="H93" i="2"/>
  <c r="G93" i="2"/>
  <c r="I92" i="2"/>
  <c r="H92" i="2"/>
  <c r="J92" i="2" s="1"/>
  <c r="G92" i="2"/>
  <c r="I91" i="2"/>
  <c r="H91" i="2"/>
  <c r="J91" i="2" s="1"/>
  <c r="G91" i="2"/>
  <c r="J90" i="2"/>
  <c r="I90" i="2"/>
  <c r="H90" i="2"/>
  <c r="G90" i="2"/>
  <c r="I89" i="2"/>
  <c r="H89" i="2"/>
  <c r="J89" i="2" s="1"/>
  <c r="G89" i="2"/>
  <c r="I88" i="2"/>
  <c r="H88" i="2"/>
  <c r="J88" i="2" s="1"/>
  <c r="G88" i="2"/>
  <c r="J87" i="2"/>
  <c r="I87" i="2"/>
  <c r="H87" i="2"/>
  <c r="G87" i="2"/>
  <c r="I86" i="2"/>
  <c r="H86" i="2"/>
  <c r="J86" i="2" s="1"/>
  <c r="G86" i="2"/>
  <c r="I85" i="2"/>
  <c r="H85" i="2"/>
  <c r="J85" i="2" s="1"/>
  <c r="G85" i="2"/>
  <c r="J84" i="2"/>
  <c r="I84" i="2"/>
  <c r="H84" i="2"/>
  <c r="G84" i="2"/>
  <c r="I83" i="2"/>
  <c r="H83" i="2"/>
  <c r="J83" i="2" s="1"/>
  <c r="G83" i="2"/>
  <c r="I82" i="2"/>
  <c r="H82" i="2"/>
  <c r="J82" i="2" s="1"/>
  <c r="G82" i="2"/>
  <c r="J81" i="2"/>
  <c r="I81" i="2"/>
  <c r="H81" i="2"/>
  <c r="G81" i="2"/>
  <c r="I80" i="2"/>
  <c r="H80" i="2"/>
  <c r="J80" i="2" s="1"/>
  <c r="G80" i="2"/>
  <c r="I79" i="2"/>
  <c r="H79" i="2"/>
  <c r="J79" i="2" s="1"/>
  <c r="G79" i="2"/>
  <c r="J78" i="2"/>
  <c r="I78" i="2"/>
  <c r="H78" i="2"/>
  <c r="G78" i="2"/>
  <c r="I77" i="2"/>
  <c r="H77" i="2"/>
  <c r="J77" i="2" s="1"/>
  <c r="G77" i="2"/>
  <c r="I76" i="2"/>
  <c r="H76" i="2"/>
  <c r="J76" i="2" s="1"/>
  <c r="G76" i="2"/>
  <c r="I75" i="2"/>
  <c r="H75" i="2"/>
  <c r="J75" i="2" s="1"/>
  <c r="G75" i="2"/>
  <c r="I74" i="2"/>
  <c r="H74" i="2"/>
  <c r="J74" i="2" s="1"/>
  <c r="G74" i="2"/>
  <c r="I73" i="2"/>
  <c r="H73" i="2"/>
  <c r="J73" i="2" s="1"/>
  <c r="G73" i="2"/>
  <c r="I72" i="2"/>
  <c r="H72" i="2"/>
  <c r="J72" i="2" s="1"/>
  <c r="G72" i="2"/>
  <c r="I71" i="2"/>
  <c r="H71" i="2"/>
  <c r="J71" i="2" s="1"/>
  <c r="G71" i="2"/>
  <c r="I70" i="2"/>
  <c r="H70" i="2"/>
  <c r="J70" i="2" s="1"/>
  <c r="G70" i="2"/>
  <c r="I69" i="2"/>
  <c r="H69" i="2"/>
  <c r="J69" i="2" s="1"/>
  <c r="G69" i="2"/>
  <c r="I68" i="2"/>
  <c r="H68" i="2"/>
  <c r="J68" i="2" s="1"/>
  <c r="G68" i="2"/>
  <c r="I67" i="2"/>
  <c r="H67" i="2"/>
  <c r="J67" i="2" s="1"/>
  <c r="G67" i="2"/>
  <c r="I66" i="2"/>
  <c r="H66" i="2"/>
  <c r="J66" i="2" s="1"/>
  <c r="G66" i="2"/>
  <c r="I65" i="2"/>
  <c r="H65" i="2"/>
  <c r="J65" i="2" s="1"/>
  <c r="G65" i="2"/>
  <c r="I64" i="2"/>
  <c r="H64" i="2"/>
  <c r="J64" i="2" s="1"/>
  <c r="G64" i="2"/>
  <c r="I63" i="2"/>
  <c r="H63" i="2"/>
  <c r="J63" i="2" s="1"/>
  <c r="G63" i="2"/>
  <c r="I62" i="2"/>
  <c r="H62" i="2"/>
  <c r="J62" i="2" s="1"/>
  <c r="G62" i="2"/>
  <c r="I61" i="2"/>
  <c r="H61" i="2"/>
  <c r="J61" i="2" s="1"/>
  <c r="G61" i="2"/>
  <c r="I60" i="2"/>
  <c r="H60" i="2"/>
  <c r="J60" i="2" s="1"/>
  <c r="G60" i="2"/>
  <c r="I59" i="2"/>
  <c r="H59" i="2"/>
  <c r="J59" i="2" s="1"/>
  <c r="G59" i="2"/>
  <c r="I58" i="2"/>
  <c r="H58" i="2"/>
  <c r="J58" i="2" s="1"/>
  <c r="G58" i="2"/>
  <c r="I57" i="2"/>
  <c r="H57" i="2"/>
  <c r="J57" i="2" s="1"/>
  <c r="G57" i="2"/>
  <c r="I56" i="2"/>
  <c r="H56" i="2"/>
  <c r="J56" i="2" s="1"/>
  <c r="G56" i="2"/>
  <c r="I55" i="2"/>
  <c r="H55" i="2"/>
  <c r="J55" i="2" s="1"/>
  <c r="G55" i="2"/>
  <c r="I54" i="2"/>
  <c r="H54" i="2"/>
  <c r="J54" i="2" s="1"/>
  <c r="G54" i="2"/>
  <c r="I53" i="2"/>
  <c r="H53" i="2"/>
  <c r="J53" i="2" s="1"/>
  <c r="G53" i="2"/>
  <c r="I52" i="2"/>
  <c r="H52" i="2"/>
  <c r="J52" i="2" s="1"/>
  <c r="G52" i="2"/>
  <c r="I51" i="2"/>
  <c r="H51" i="2"/>
  <c r="J51" i="2" s="1"/>
  <c r="G51" i="2"/>
  <c r="I50" i="2"/>
  <c r="H50" i="2"/>
  <c r="J50" i="2" s="1"/>
  <c r="G50" i="2"/>
  <c r="I49" i="2"/>
  <c r="H49" i="2"/>
  <c r="J49" i="2" s="1"/>
  <c r="G49" i="2"/>
  <c r="I48" i="2"/>
  <c r="H48" i="2"/>
  <c r="J48" i="2" s="1"/>
  <c r="G48" i="2"/>
  <c r="I47" i="2"/>
  <c r="H47" i="2"/>
  <c r="J47" i="2" s="1"/>
  <c r="G47" i="2"/>
  <c r="I46" i="2"/>
  <c r="H46" i="2"/>
  <c r="J46" i="2" s="1"/>
  <c r="G46" i="2"/>
  <c r="I45" i="2"/>
  <c r="H45" i="2"/>
  <c r="J45" i="2" s="1"/>
  <c r="G45" i="2"/>
  <c r="I44" i="2"/>
  <c r="H44" i="2"/>
  <c r="J44" i="2" s="1"/>
  <c r="G44" i="2"/>
  <c r="I43" i="2"/>
  <c r="H43" i="2"/>
  <c r="J43" i="2" s="1"/>
  <c r="G43" i="2"/>
  <c r="I42" i="2"/>
  <c r="H42" i="2"/>
  <c r="J42" i="2" s="1"/>
  <c r="G42" i="2"/>
  <c r="I41" i="2"/>
  <c r="H41" i="2"/>
  <c r="J41" i="2" s="1"/>
  <c r="G41" i="2"/>
  <c r="I40" i="2"/>
  <c r="H40" i="2"/>
  <c r="J40" i="2" s="1"/>
  <c r="G40" i="2"/>
  <c r="I39" i="2"/>
  <c r="H39" i="2"/>
  <c r="J39" i="2" s="1"/>
  <c r="G39" i="2"/>
  <c r="I38" i="2"/>
  <c r="H38" i="2"/>
  <c r="J38" i="2" s="1"/>
  <c r="G38" i="2"/>
  <c r="I37" i="2"/>
  <c r="H37" i="2"/>
  <c r="J37" i="2" s="1"/>
  <c r="G37" i="2"/>
  <c r="I36" i="2"/>
  <c r="H36" i="2"/>
  <c r="J36" i="2" s="1"/>
  <c r="G36" i="2"/>
  <c r="I35" i="2"/>
  <c r="H35" i="2"/>
  <c r="J35" i="2" s="1"/>
  <c r="G35" i="2"/>
  <c r="I34" i="2"/>
  <c r="H34" i="2"/>
  <c r="J34" i="2" s="1"/>
  <c r="G34" i="2"/>
  <c r="I33" i="2"/>
  <c r="H33" i="2"/>
  <c r="J33" i="2" s="1"/>
  <c r="G33" i="2"/>
  <c r="I32" i="2"/>
  <c r="H32" i="2"/>
  <c r="J32" i="2" s="1"/>
  <c r="G32" i="2"/>
  <c r="I31" i="2"/>
  <c r="H31" i="2"/>
  <c r="J31" i="2" s="1"/>
  <c r="G31" i="2"/>
  <c r="I30" i="2"/>
  <c r="H30" i="2"/>
  <c r="J30" i="2" s="1"/>
  <c r="G30" i="2"/>
  <c r="I29" i="2"/>
  <c r="H29" i="2"/>
  <c r="J29" i="2" s="1"/>
  <c r="G29" i="2"/>
  <c r="I28" i="2"/>
  <c r="H28" i="2"/>
  <c r="J28" i="2" s="1"/>
  <c r="G28" i="2"/>
  <c r="I27" i="2"/>
  <c r="H27" i="2"/>
  <c r="J27" i="2" s="1"/>
  <c r="G27" i="2"/>
  <c r="I26" i="2"/>
  <c r="H26" i="2"/>
  <c r="J26" i="2" s="1"/>
  <c r="G26" i="2"/>
  <c r="I25" i="2"/>
  <c r="H25" i="2"/>
  <c r="J25" i="2" s="1"/>
  <c r="G25" i="2"/>
  <c r="I24" i="2"/>
  <c r="H24" i="2"/>
  <c r="J24" i="2" s="1"/>
  <c r="G24" i="2"/>
  <c r="I23" i="2"/>
  <c r="H23" i="2"/>
  <c r="J23" i="2" s="1"/>
  <c r="G23" i="2"/>
  <c r="I22" i="2"/>
  <c r="H22" i="2"/>
  <c r="J22" i="2" s="1"/>
  <c r="G22" i="2"/>
  <c r="I21" i="2"/>
  <c r="H21" i="2"/>
  <c r="J21" i="2" s="1"/>
  <c r="G21" i="2"/>
  <c r="I20" i="2"/>
  <c r="H20" i="2"/>
  <c r="J20" i="2" s="1"/>
  <c r="G20" i="2"/>
  <c r="I19" i="2"/>
  <c r="H19" i="2"/>
  <c r="J19" i="2" s="1"/>
  <c r="G19" i="2"/>
  <c r="I18" i="2"/>
  <c r="H18" i="2"/>
  <c r="J18" i="2" s="1"/>
  <c r="G18" i="2"/>
  <c r="I17" i="2"/>
  <c r="H17" i="2"/>
  <c r="J17" i="2" s="1"/>
  <c r="G17" i="2"/>
  <c r="I16" i="2"/>
  <c r="H16" i="2"/>
  <c r="J16" i="2" s="1"/>
  <c r="G16" i="2"/>
  <c r="I15" i="2"/>
  <c r="H15" i="2"/>
  <c r="J15" i="2" s="1"/>
  <c r="G15" i="2"/>
  <c r="I14" i="2"/>
  <c r="H14" i="2"/>
  <c r="J14" i="2" s="1"/>
  <c r="G14" i="2"/>
  <c r="I13" i="2"/>
  <c r="H13" i="2"/>
  <c r="J13" i="2" s="1"/>
  <c r="G13" i="2"/>
  <c r="I12" i="2"/>
  <c r="H12" i="2"/>
  <c r="J12" i="2" s="1"/>
  <c r="G12" i="2"/>
  <c r="I11" i="2"/>
  <c r="H11" i="2"/>
  <c r="J11" i="2" s="1"/>
  <c r="G11" i="2"/>
  <c r="I10" i="2"/>
  <c r="H10" i="2"/>
  <c r="J10" i="2" s="1"/>
  <c r="G10" i="2"/>
  <c r="I9" i="2"/>
  <c r="H9" i="2"/>
  <c r="J9" i="2" s="1"/>
  <c r="G9" i="2"/>
  <c r="I8" i="2"/>
  <c r="H8" i="2"/>
  <c r="J8" i="2" s="1"/>
  <c r="G8" i="2"/>
  <c r="I7" i="2"/>
  <c r="H7" i="2"/>
  <c r="J7" i="2" s="1"/>
  <c r="G7" i="4" s="1"/>
  <c r="G7" i="2"/>
  <c r="D7" i="4" s="1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4" i="4" s="1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F7" i="4"/>
  <c r="B7" i="4"/>
  <c r="I6" i="2"/>
  <c r="H6" i="2"/>
  <c r="J6" i="2" s="1"/>
  <c r="G6" i="2"/>
  <c r="D6" i="2"/>
  <c r="B6" i="2"/>
  <c r="A92" i="2"/>
  <c r="A91" i="2"/>
  <c r="A90" i="2"/>
  <c r="A89" i="2"/>
  <c r="A87" i="2"/>
  <c r="A86" i="2"/>
  <c r="A85" i="2"/>
  <c r="A84" i="2"/>
  <c r="A82" i="2"/>
  <c r="A81" i="2"/>
  <c r="A80" i="2"/>
  <c r="A79" i="2"/>
  <c r="A77" i="2"/>
  <c r="A76" i="2"/>
  <c r="A75" i="2"/>
  <c r="A74" i="2"/>
  <c r="A72" i="2"/>
  <c r="A71" i="2"/>
  <c r="A70" i="2"/>
  <c r="A69" i="2"/>
  <c r="A67" i="2"/>
  <c r="A66" i="2"/>
  <c r="A65" i="2"/>
  <c r="A64" i="2"/>
  <c r="A62" i="2"/>
  <c r="A61" i="2"/>
  <c r="A60" i="2"/>
  <c r="A59" i="2"/>
  <c r="A57" i="2"/>
  <c r="A56" i="2"/>
  <c r="A55" i="2"/>
  <c r="A54" i="2"/>
  <c r="A52" i="2"/>
  <c r="A51" i="2"/>
  <c r="A50" i="2"/>
  <c r="A49" i="2"/>
  <c r="A47" i="2"/>
  <c r="A46" i="2"/>
  <c r="A45" i="2"/>
  <c r="A44" i="2"/>
  <c r="A42" i="2"/>
  <c r="A41" i="2"/>
  <c r="A40" i="2"/>
  <c r="A39" i="2"/>
  <c r="A37" i="2"/>
  <c r="A36" i="2"/>
  <c r="A35" i="2"/>
  <c r="A34" i="2"/>
  <c r="A32" i="2"/>
  <c r="A31" i="2"/>
  <c r="A30" i="2"/>
  <c r="A29" i="2"/>
  <c r="A27" i="2"/>
  <c r="A26" i="2"/>
  <c r="A25" i="2"/>
  <c r="A24" i="2"/>
  <c r="A22" i="2"/>
  <c r="A21" i="2"/>
  <c r="A20" i="2"/>
  <c r="A19" i="2"/>
  <c r="A17" i="2"/>
  <c r="A16" i="2"/>
  <c r="A15" i="2"/>
  <c r="A14" i="2"/>
  <c r="A12" i="2"/>
  <c r="A11" i="2"/>
  <c r="A10" i="2"/>
  <c r="B8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E7" i="4" l="1"/>
  <c r="J94" i="1" l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A93" i="1" l="1"/>
  <c r="A93" i="2" s="1"/>
  <c r="A92" i="1"/>
  <c r="A91" i="1"/>
  <c r="A90" i="1"/>
  <c r="A89" i="1"/>
  <c r="A88" i="1"/>
  <c r="A88" i="2" s="1"/>
  <c r="A87" i="1"/>
  <c r="A86" i="1"/>
  <c r="A85" i="1"/>
  <c r="A84" i="1"/>
  <c r="A83" i="1"/>
  <c r="A83" i="2" s="1"/>
  <c r="A82" i="1"/>
  <c r="A81" i="1"/>
  <c r="A80" i="1"/>
  <c r="A79" i="1"/>
  <c r="A78" i="1"/>
  <c r="A78" i="2" s="1"/>
  <c r="A77" i="1"/>
  <c r="A76" i="1"/>
  <c r="A75" i="1"/>
  <c r="A74" i="1"/>
  <c r="A73" i="1"/>
  <c r="A73" i="2" s="1"/>
  <c r="A72" i="1"/>
  <c r="A71" i="1"/>
  <c r="A70" i="1"/>
  <c r="A69" i="1"/>
  <c r="A68" i="1"/>
  <c r="A68" i="2" s="1"/>
  <c r="A67" i="1"/>
  <c r="A66" i="1"/>
  <c r="A65" i="1"/>
  <c r="A64" i="1"/>
  <c r="A63" i="1"/>
  <c r="A63" i="2" s="1"/>
  <c r="A62" i="1"/>
  <c r="A61" i="1"/>
  <c r="A60" i="1"/>
  <c r="A59" i="1"/>
  <c r="A58" i="1"/>
  <c r="A58" i="2" s="1"/>
  <c r="A57" i="1"/>
  <c r="A56" i="1"/>
  <c r="A55" i="1"/>
  <c r="A54" i="1"/>
  <c r="A53" i="1"/>
  <c r="A53" i="2" s="1"/>
  <c r="A52" i="1"/>
  <c r="A51" i="1"/>
  <c r="A50" i="1"/>
  <c r="A49" i="1"/>
  <c r="A48" i="1"/>
  <c r="A48" i="2" s="1"/>
  <c r="A47" i="1"/>
  <c r="A46" i="1"/>
  <c r="A45" i="1"/>
  <c r="A44" i="1"/>
  <c r="A43" i="1"/>
  <c r="A43" i="2" s="1"/>
  <c r="A42" i="1"/>
  <c r="A41" i="1"/>
  <c r="A40" i="1"/>
  <c r="A39" i="1"/>
  <c r="A38" i="1"/>
  <c r="A38" i="2" s="1"/>
  <c r="A37" i="1"/>
  <c r="A36" i="1"/>
  <c r="A35" i="1"/>
  <c r="A34" i="1"/>
  <c r="A33" i="1"/>
  <c r="A33" i="2" s="1"/>
  <c r="A32" i="1"/>
  <c r="A31" i="1"/>
  <c r="A30" i="1"/>
  <c r="A29" i="1"/>
  <c r="A28" i="1"/>
  <c r="A28" i="2" s="1"/>
  <c r="A27" i="1"/>
  <c r="A26" i="1"/>
  <c r="A25" i="1"/>
  <c r="A24" i="1"/>
  <c r="A23" i="1"/>
  <c r="A23" i="2" s="1"/>
  <c r="A22" i="1"/>
  <c r="A21" i="1"/>
  <c r="A20" i="1"/>
  <c r="A19" i="1"/>
  <c r="A18" i="1"/>
  <c r="A18" i="2" s="1"/>
  <c r="A17" i="1"/>
  <c r="A16" i="1"/>
  <c r="A15" i="1"/>
  <c r="A14" i="1"/>
  <c r="A13" i="1"/>
  <c r="A13" i="2" s="1"/>
  <c r="A12" i="1"/>
  <c r="A11" i="1"/>
  <c r="A10" i="1"/>
  <c r="A9" i="1"/>
  <c r="A8" i="1"/>
  <c r="A7" i="1"/>
  <c r="A97" i="4" l="1"/>
  <c r="A11" i="4"/>
  <c r="A10" i="4"/>
  <c r="A9" i="4"/>
  <c r="G8" i="4"/>
  <c r="F8" i="4"/>
  <c r="E8" i="4"/>
  <c r="D8" i="4"/>
  <c r="A8" i="4"/>
  <c r="A7" i="4"/>
  <c r="G6" i="4"/>
  <c r="F6" i="4"/>
  <c r="E6" i="4"/>
  <c r="D6" i="4"/>
  <c r="B6" i="4"/>
  <c r="A6" i="4"/>
  <c r="F4" i="4"/>
  <c r="B3" i="4"/>
  <c r="J70" i="3"/>
  <c r="K67" i="3"/>
  <c r="K11" i="3"/>
  <c r="B2" i="4" s="1"/>
  <c r="K3" i="2"/>
  <c r="A3" i="2"/>
  <c r="J2" i="2"/>
  <c r="D2" i="2"/>
  <c r="A2" i="2"/>
  <c r="J1" i="2"/>
  <c r="A9" i="2"/>
  <c r="A8" i="2"/>
  <c r="A7" i="2"/>
  <c r="A6" i="1"/>
  <c r="A6" i="2" s="1"/>
  <c r="G94" i="4" l="1"/>
  <c r="G95" i="4" s="1"/>
  <c r="G96" i="4" s="1"/>
  <c r="F28" i="3" l="1"/>
  <c r="F30" i="3"/>
  <c r="F29" i="3"/>
</calcChain>
</file>

<file path=xl/sharedStrings.xml><?xml version="1.0" encoding="utf-8"?>
<sst xmlns="http://schemas.openxmlformats.org/spreadsheetml/2006/main" count="413" uniqueCount="291">
  <si>
    <t>Vendor Name</t>
    <phoneticPr fontId="12" type="noConversion"/>
  </si>
  <si>
    <t xml:space="preserve">  PJT :  SACE2           </t>
    <phoneticPr fontId="12" type="noConversion"/>
  </si>
  <si>
    <t>No</t>
    <phoneticPr fontId="17" type="noConversion"/>
  </si>
  <si>
    <t>Item</t>
    <phoneticPr fontId="17" type="noConversion"/>
  </si>
  <si>
    <t>Specification
(Model / Manufacturer / Size)</t>
    <phoneticPr fontId="17" type="noConversion"/>
  </si>
  <si>
    <t>Unit</t>
    <phoneticPr fontId="17" type="noConversion"/>
  </si>
  <si>
    <t xml:space="preserve">Qty </t>
    <phoneticPr fontId="12" type="noConversion"/>
  </si>
  <si>
    <t>Remarks</t>
    <phoneticPr fontId="17" type="noConversion"/>
  </si>
  <si>
    <t>Purpose</t>
    <phoneticPr fontId="17" type="noConversion"/>
  </si>
  <si>
    <t>Sum</t>
    <phoneticPr fontId="12" type="noConversion"/>
  </si>
  <si>
    <t xml:space="preserve">  * There will be an additional administration expense and financial expense (Depend on contract) deduction of total provision cost price.</t>
    <phoneticPr fontId="17" type="noConversion"/>
  </si>
  <si>
    <t>ADM</t>
    <phoneticPr fontId="7" type="noConversion"/>
  </si>
  <si>
    <t>PROJECT
MANAGER</t>
  </si>
  <si>
    <t>PCM</t>
  </si>
  <si>
    <r>
      <rPr>
        <b/>
        <sz val="19"/>
        <rFont val="Segoe UI Symbol"/>
        <family val="2"/>
      </rPr>
      <t>■</t>
    </r>
    <r>
      <rPr>
        <b/>
        <sz val="19"/>
        <rFont val="Arial"/>
        <family val="2"/>
      </rPr>
      <t xml:space="preserve"> Purchase Requisition of </t>
    </r>
    <r>
      <rPr>
        <b/>
        <sz val="14"/>
        <color rgb="FFFF0000"/>
        <rFont val="Arial"/>
        <family val="2"/>
      </rPr>
      <t>Material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Manpower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Equipment</t>
    </r>
    <r>
      <rPr>
        <b/>
        <sz val="14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Rental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ETC.</t>
    </r>
    <phoneticPr fontId="12" type="noConversion"/>
  </si>
  <si>
    <t>Item</t>
  </si>
  <si>
    <t>Qty (Liter)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</si>
  <si>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</si>
  <si>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</si>
  <si>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</si>
  <si>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</si>
  <si>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</si>
  <si>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</si>
  <si>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</si>
  <si>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</si>
  <si>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</si>
  <si>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</si>
  <si>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</si>
  <si>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</si>
  <si>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</si>
  <si>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</si>
  <si>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</si>
  <si>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</si>
  <si>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</si>
  <si>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</si>
  <si>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</si>
  <si>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</si>
  <si>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12" type="noConversion"/>
  </si>
  <si>
    <t>P/O AMOUNT</t>
  </si>
  <si>
    <t>Material Value</t>
  </si>
  <si>
    <t>:</t>
  </si>
  <si>
    <t>[Excludes Vat]</t>
  </si>
  <si>
    <t>VAT 15%</t>
  </si>
  <si>
    <t>Total Amount</t>
  </si>
  <si>
    <t>PAYMENT TERMS</t>
  </si>
  <si>
    <t>100% Payment after Delivery within 35 days with submission of the following Documents.</t>
    <phoneticPr fontId="12" type="noConversion"/>
  </si>
  <si>
    <t>a)  Tax E-Invoice (From Zakat, Tax and Customs Authority)</t>
  </si>
  <si>
    <t>b)  Delivery/Dispatch Note [Counter signed by Site Representative]</t>
    <phoneticPr fontId="12" type="noConversion"/>
  </si>
  <si>
    <t>DELIVERY TERMS</t>
  </si>
  <si>
    <t>Delivery by Seller to Jafurah HYUNDAI Laydown within a Week after receipt of PO.</t>
    <phoneticPr fontId="12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</si>
  <si>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</si>
  <si>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12" type="noConversion"/>
  </si>
  <si>
    <t xml:space="preserve">    by Seller to Buyer at no extra costs</t>
    <phoneticPr fontId="12" type="noConversion"/>
  </si>
  <si>
    <t xml:space="preserve">b) Material Certificate, Data Sheet, Safety Data Sheet and other documents which may required by ARAMCO in material receiving </t>
    <phoneticPr fontId="12" type="noConversion"/>
  </si>
  <si>
    <t xml:space="preserve">    inspection should be submitted to Buyer</t>
    <phoneticPr fontId="12" type="noConversion"/>
  </si>
  <si>
    <t>c) MTC / MSDS, Others, If required by Client</t>
    <phoneticPr fontId="12" type="noConversion"/>
  </si>
  <si>
    <t>CONTACT POINT:</t>
  </si>
  <si>
    <t>-</t>
  </si>
  <si>
    <t>Client</t>
  </si>
  <si>
    <t>Contractor</t>
  </si>
  <si>
    <t>Signature:</t>
  </si>
  <si>
    <t>Name      : DONG HWAN HAN</t>
    <phoneticPr fontId="33" type="noConversion"/>
  </si>
  <si>
    <t>Name      :</t>
  </si>
  <si>
    <t>Title        :  Administrative Manager</t>
    <phoneticPr fontId="3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</si>
  <si>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</si>
  <si>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</si>
  <si>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</si>
  <si>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12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</si>
  <si>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</si>
  <si>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</si>
  <si>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</si>
  <si>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</si>
  <si>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12" type="noConversion"/>
  </si>
  <si>
    <t xml:space="preserve"> S. NO</t>
  </si>
  <si>
    <t>DESCRIPTION</t>
    <phoneticPr fontId="8" type="noConversion"/>
  </si>
  <si>
    <t>QTY</t>
    <phoneticPr fontId="8" type="noConversion"/>
  </si>
  <si>
    <t>UNIT</t>
    <phoneticPr fontId="8" type="noConversion"/>
  </si>
  <si>
    <r>
      <t xml:space="preserve">Remarks
</t>
    </r>
    <r>
      <rPr>
        <b/>
        <sz val="8"/>
        <rFont val="Arial"/>
        <family val="2"/>
      </rPr>
      <t>(Details)</t>
    </r>
    <phoneticPr fontId="12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</si>
  <si>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</si>
  <si>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</si>
  <si>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</si>
  <si>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12" type="noConversion"/>
  </si>
  <si>
    <t>Page 2/2</t>
    <phoneticPr fontId="12" type="noConversion"/>
  </si>
  <si>
    <t>PCM</t>
    <phoneticPr fontId="7" type="noConversion"/>
  </si>
  <si>
    <t>PM</t>
    <phoneticPr fontId="7" type="noConversion"/>
  </si>
  <si>
    <t>SUB-CON</t>
    <phoneticPr fontId="7" type="noConversion"/>
  </si>
  <si>
    <t>HDEC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</si>
  <si>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</si>
  <si>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</si>
  <si>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</si>
  <si>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In Charge</t>
    <phoneticPr fontId="7" type="noConversion"/>
  </si>
  <si>
    <t>Manager</t>
    <phoneticPr fontId="7" type="noConversion"/>
  </si>
  <si>
    <t>ADM</t>
    <phoneticPr fontId="12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</si>
  <si>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</si>
  <si>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</si>
  <si>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5" type="noConversion"/>
  </si>
  <si>
    <t>Subcontract name (SAC2-SC-IK-SMP-01)</t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</si>
  <si>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</si>
  <si>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Electric Concrete Mixing Machine</t>
  </si>
  <si>
    <t>Ear Plug with Corded</t>
  </si>
  <si>
    <t>Wrapping Film Roll 50cm 50mtr 3Kg</t>
  </si>
  <si>
    <t>Double Ear Clamp S/S 11-13mm</t>
  </si>
  <si>
    <t>Concrete Mixing Paddle</t>
  </si>
  <si>
    <t>Silicon Sealant White</t>
  </si>
  <si>
    <t>Neon Line Tester</t>
  </si>
  <si>
    <t xml:space="preserve">Measuring Cup </t>
  </si>
  <si>
    <t>1000ml (Set of 3)</t>
  </si>
  <si>
    <t xml:space="preserve">Ceramic Backing Tape </t>
  </si>
  <si>
    <t>10x27x600mm CBS-W600</t>
  </si>
  <si>
    <t xml:space="preserve">Cutting Disc C/S </t>
  </si>
  <si>
    <t>5"x1mm Maks</t>
  </si>
  <si>
    <t xml:space="preserve">PVC Bucket with Lid </t>
  </si>
  <si>
    <t>Heavy Duty 20Ltr White</t>
  </si>
  <si>
    <t>Plastic Storage Drum</t>
  </si>
  <si>
    <t xml:space="preserve"> Blue 300Ltr</t>
  </si>
  <si>
    <t xml:space="preserve">PE Water Tank Vertical </t>
  </si>
  <si>
    <t>500Ltr</t>
  </si>
  <si>
    <t>Window A/C</t>
  </si>
  <si>
    <t xml:space="preserve"> 2Ton Super General</t>
  </si>
  <si>
    <t>5000ml</t>
  </si>
  <si>
    <t>Flap Disc S/S</t>
  </si>
  <si>
    <t xml:space="preserve"> 4" 80 Grit</t>
  </si>
  <si>
    <t>Flap Wheel S/S</t>
  </si>
  <si>
    <t xml:space="preserve"> 25x20x6mm</t>
  </si>
  <si>
    <t>Cup Brush C/S Crimped</t>
  </si>
  <si>
    <t xml:space="preserve"> M10x75mm</t>
  </si>
  <si>
    <t xml:space="preserve">Teflon Tape </t>
  </si>
  <si>
    <t>19mm x 40yard</t>
  </si>
  <si>
    <t xml:space="preserve">Welding Cable Connector </t>
  </si>
  <si>
    <t>35-50mm2 Male &amp; Female</t>
  </si>
  <si>
    <t>50-70mm2 Male &amp; Female</t>
  </si>
  <si>
    <t xml:space="preserve">Tig Collet Body </t>
  </si>
  <si>
    <t>350A 2.4mm</t>
  </si>
  <si>
    <t xml:space="preserve">Tig Collet Pin </t>
  </si>
  <si>
    <t xml:space="preserve">Tungsten Electrode </t>
  </si>
  <si>
    <t>2.4mm</t>
  </si>
  <si>
    <t xml:space="preserve">Ceramic Nozzle </t>
  </si>
  <si>
    <t>250A #7 10N47</t>
  </si>
  <si>
    <t>Ceramic Nozzle</t>
  </si>
  <si>
    <t xml:space="preserve"> 350A #5</t>
  </si>
  <si>
    <t>350A #6</t>
  </si>
  <si>
    <t>350A #8</t>
  </si>
  <si>
    <t>Double Ear Clamp S/S</t>
  </si>
  <si>
    <t xml:space="preserve"> 13-15mm</t>
  </si>
  <si>
    <t>Right Angle</t>
  </si>
  <si>
    <t xml:space="preserve"> 12"</t>
  </si>
  <si>
    <t xml:space="preserve"> 24"</t>
  </si>
  <si>
    <t xml:space="preserve">Plastic Sandbag Heavy Duty </t>
  </si>
  <si>
    <t>(Gunny Sack) 50kg</t>
  </si>
  <si>
    <t xml:space="preserve">Dust Mask </t>
  </si>
  <si>
    <t>N95 Venus</t>
  </si>
  <si>
    <t xml:space="preserve">Power Cable </t>
  </si>
  <si>
    <t>CU/XLPE/PVC 4Cx35mm2</t>
  </si>
  <si>
    <t xml:space="preserve">Spiral Screw Extractor </t>
  </si>
  <si>
    <t>(3/8", 3/16", 1/8", 1/4", 1/2", 1")</t>
  </si>
  <si>
    <t xml:space="preserve">Handsaw </t>
  </si>
  <si>
    <t>18"</t>
  </si>
  <si>
    <t xml:space="preserve">Measuring Tape </t>
  </si>
  <si>
    <t>15mtr</t>
  </si>
  <si>
    <t>Paint Scraper</t>
  </si>
  <si>
    <t xml:space="preserve"> 2"</t>
  </si>
  <si>
    <t xml:space="preserve"> 3"</t>
  </si>
  <si>
    <t xml:space="preserve"> 4"</t>
  </si>
  <si>
    <t xml:space="preserve">Welding Tig Gloves </t>
  </si>
  <si>
    <t>10"</t>
  </si>
  <si>
    <t>Tungsten Electrode</t>
  </si>
  <si>
    <t xml:space="preserve"> 3.2mm</t>
  </si>
  <si>
    <t xml:space="preserve">Electric Insulation </t>
  </si>
  <si>
    <t>Tape Yellow</t>
  </si>
  <si>
    <t>Low Chloride Paint Marker</t>
  </si>
  <si>
    <t xml:space="preserve"> Blue</t>
  </si>
  <si>
    <t xml:space="preserve">Flap Wheel S/S </t>
  </si>
  <si>
    <t>40x20x6mm</t>
  </si>
  <si>
    <t>Flap Disc C/S</t>
  </si>
  <si>
    <t>Grinding Disc S/S</t>
  </si>
  <si>
    <t xml:space="preserve"> 4"x6mm Maks</t>
  </si>
  <si>
    <t xml:space="preserve">Cutting Disc S/S </t>
  </si>
  <si>
    <t>4"x3mm Maks</t>
  </si>
  <si>
    <t>Cutting Disc S/S</t>
  </si>
  <si>
    <t xml:space="preserve"> 4"x1mm Maks</t>
  </si>
  <si>
    <t xml:space="preserve">Warning Tape </t>
  </si>
  <si>
    <t>Yellow/Black 3"</t>
  </si>
  <si>
    <t>Die Grinder</t>
  </si>
  <si>
    <t xml:space="preserve"> 6mm 220V with Paddle Switch GD0600 Makita</t>
  </si>
  <si>
    <t xml:space="preserve">Magnetic Drill Machine </t>
  </si>
  <si>
    <t>50mm DEW1622K-B5 Dewalt (TUV)</t>
  </si>
  <si>
    <t xml:space="preserve">Cordless Angle Grinder </t>
  </si>
  <si>
    <t>5" PD SW with 2-Bat(5Ah)+Charger Dewalt (TUV)</t>
  </si>
  <si>
    <t xml:space="preserve">Angle Grinder </t>
  </si>
  <si>
    <t>4" 220V with Paddle Switch DWE4002-B5 Dewalt (TUV)</t>
  </si>
  <si>
    <t xml:space="preserve">PVC Union </t>
  </si>
  <si>
    <t>2"</t>
  </si>
  <si>
    <t>PVC Union</t>
  </si>
  <si>
    <t xml:space="preserve"> 1-1/2"</t>
  </si>
  <si>
    <t xml:space="preserve">Drill Machine </t>
  </si>
  <si>
    <t>13mm in Steel M0801KB Makita</t>
  </si>
  <si>
    <t>Screw Driver T-Series VDE Insulated</t>
  </si>
  <si>
    <t xml:space="preserve"> 7pcs/set ST09303 SATA</t>
  </si>
  <si>
    <t>Extech IR267</t>
  </si>
  <si>
    <t xml:space="preserve">High Pressure Hose </t>
  </si>
  <si>
    <t>420bar 1/2" 20mtr NPT Male &amp; Female Fittings</t>
  </si>
  <si>
    <t>CS FULL COUPLING</t>
  </si>
  <si>
    <t xml:space="preserve"> 3/4" A105/A105M CL3000 NPT</t>
  </si>
  <si>
    <t>CS NIPPLE</t>
  </si>
  <si>
    <t xml:space="preserve"> 3/4"x150mm TOE A106-B SCH80 NPT</t>
  </si>
  <si>
    <t>5mtr</t>
  </si>
  <si>
    <t>Measuring Tape</t>
  </si>
  <si>
    <t xml:space="preserve"> 7.5mtr</t>
  </si>
  <si>
    <t xml:space="preserve">Latex Half Coated Gloves </t>
  </si>
  <si>
    <t>Orange/Green Crinkled</t>
  </si>
  <si>
    <t xml:space="preserve">Carbide Burr Cone Shape </t>
  </si>
  <si>
    <t>G1225x06</t>
  </si>
  <si>
    <t xml:space="preserve">Sledge Hammer </t>
  </si>
  <si>
    <t>2LB</t>
  </si>
  <si>
    <t xml:space="preserve">Rubber Hammer </t>
  </si>
  <si>
    <t>750g</t>
  </si>
  <si>
    <t>Hand Wire Brush S/S</t>
  </si>
  <si>
    <t xml:space="preserve"> (Non-magnetic)</t>
  </si>
  <si>
    <t xml:space="preserve">Drill Bit HSS Cobalt (S/S) </t>
  </si>
  <si>
    <t>8mm</t>
  </si>
  <si>
    <t>6mm</t>
  </si>
  <si>
    <t xml:space="preserve">Acetone </t>
  </si>
  <si>
    <t>4liter (Flammable Liquid)</t>
  </si>
  <si>
    <t xml:space="preserve">Inverter ARC Welding Machine </t>
  </si>
  <si>
    <t>200A ARC200 Jasic</t>
  </si>
  <si>
    <t>4" 220V with Paddle Switch DWE4002-B5 Dewalt</t>
  </si>
  <si>
    <t>Deep Impact Socket</t>
  </si>
  <si>
    <t xml:space="preserve"> 1/2"dr x 36mm</t>
  </si>
  <si>
    <t>Adjustable Wrench</t>
  </si>
  <si>
    <t xml:space="preserve"> 18"</t>
  </si>
  <si>
    <t>Gear Oil</t>
  </si>
  <si>
    <t xml:space="preserve"> SAE VG-150 20Ltr</t>
  </si>
  <si>
    <t xml:space="preserve">Grease </t>
  </si>
  <si>
    <t>MP 2CL+ Petromin</t>
  </si>
  <si>
    <t xml:space="preserve">Screw Driver Flat </t>
  </si>
  <si>
    <t>6x300mm</t>
  </si>
  <si>
    <t>Disposable Coverall</t>
  </si>
  <si>
    <t xml:space="preserve"> 2XL</t>
  </si>
  <si>
    <t>Combination Spanner</t>
  </si>
  <si>
    <t xml:space="preserve"> 13mm</t>
  </si>
  <si>
    <t xml:space="preserve">Combination Spanner </t>
  </si>
  <si>
    <t>14mm</t>
  </si>
  <si>
    <t xml:space="preserve"> 16mm</t>
  </si>
  <si>
    <t xml:space="preserve"> 17mm</t>
  </si>
  <si>
    <t>18mm</t>
  </si>
  <si>
    <t xml:space="preserve"> 19mm</t>
  </si>
  <si>
    <t xml:space="preserve">Rubber Gloves XL </t>
  </si>
  <si>
    <t>Heavy Duty Sun</t>
  </si>
  <si>
    <t>Nos</t>
  </si>
  <si>
    <t>Pair</t>
  </si>
  <si>
    <t>Roll</t>
  </si>
  <si>
    <t>Set</t>
  </si>
  <si>
    <t>Mtr</t>
  </si>
  <si>
    <t>JSAJ</t>
  </si>
  <si>
    <t>One Time</t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</si>
  <si>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</si>
  <si>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</si>
  <si>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JSAJ(Jassim Saif Amer Aljaberi Trading Est.)</t>
  </si>
  <si>
    <t xml:space="preserve"> CR No. :</t>
  </si>
  <si>
    <t>2051247436</t>
  </si>
  <si>
    <t xml:space="preserve"> VAT No. : </t>
  </si>
  <si>
    <t>311625046900003</t>
  </si>
  <si>
    <t xml:space="preserve"> In Charge :</t>
  </si>
  <si>
    <t>Shashank Kamra</t>
  </si>
  <si>
    <t>Mobile No. +966 539222074</t>
  </si>
  <si>
    <t>Building No. 6634, Al Khobar 34423, KSA</t>
  </si>
  <si>
    <t>Mobile: +966 539222074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</si>
  <si>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</t>
    </r>
    <r>
      <rPr>
        <sz val="10"/>
        <color rgb="FF0000FF"/>
        <rFont val="Arial"/>
        <family val="2"/>
      </rPr>
      <t>-0390</t>
    </r>
  </si>
  <si>
    <t>Site Materials</t>
  </si>
  <si>
    <t>Sales Manager</t>
  </si>
  <si>
    <t>Q-20263219</t>
  </si>
  <si>
    <t xml:space="preserve">Infrared Thermometer </t>
  </si>
  <si>
    <t xml:space="preserve">PVC Transparent Y-Strainer </t>
  </si>
  <si>
    <t>1"</t>
  </si>
  <si>
    <t xml:space="preserve">  Delivery &amp; Payment : Dong Chang Kim / Daeshin Admin. [ Mobile No. : +966 53 748 5762 / Email : kdchjs@daeshinplant.com ]</t>
  </si>
  <si>
    <t xml:space="preserve">  Commercial (Purchaser) : Youngkyu Choi / Daeshin Planning [ Mobile No. : +966 53 952 0931 / Email : ykchoi@daeshinplant.com ]</t>
  </si>
  <si>
    <t xml:space="preserve">  Invoicing : Nehal Kauser / HDEC Purchase PIC [ Mobile No. : +966 50 610 2363 / Email : nehal_kauser@hdec.co.kr ]</t>
  </si>
  <si>
    <t>Bank Account Details:</t>
  </si>
  <si>
    <t xml:space="preserve">  ACCOUNT NAME    </t>
  </si>
  <si>
    <t>JASSIM SAIF AMER ALJABERI TRADING EST.</t>
  </si>
  <si>
    <t xml:space="preserve">  ACCOUNT NUMBER        </t>
  </si>
  <si>
    <t>95400006184205</t>
  </si>
  <si>
    <t xml:space="preserve">  IBAN                         </t>
  </si>
  <si>
    <t>SA96 1000 0095 4000 0618 4205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</si>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</sst>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&quot;Required delivery date : &quot;[$-409]d&quot;-&quot;mmm&quot;-&quot;yyyy;@"/>
    <numFmt numFmtId="165" formatCode="&quot;Date of writing :&quot;\ dd/mmm/yyyy"/>
    <numFmt numFmtId="166" formatCode="#,##0;[Red]\-#,##0;"/>
    <numFmt numFmtId="167" formatCode="#,##0.00\ ;\-#,##0.00\ ;"/>
    <numFmt numFmtId="168" formatCode="#,##0;\-#,##0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</numFmts>
  <fonts count="65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b/>
      <sz val="28"/>
      <color rgb="FFFF0000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2"/>
      <color rgb="FFFF0000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9"/>
      <name val="Arial"/>
      <family val="2"/>
    </font>
    <font>
      <b/>
      <sz val="19"/>
      <name val="Segoe UI Symbol"/>
      <family val="2"/>
    </font>
    <font>
      <b/>
      <sz val="12"/>
      <name val="Arial"/>
      <family val="2"/>
    </font>
    <font>
      <sz val="11"/>
      <color rgb="FFFF0000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"/>
      <color theme="1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2"/>
      <color rgb="FFFF0000"/>
      <name val="Arial"/>
      <family val="2"/>
    </font>
    <font>
      <sz val="11"/>
      <color indexed="8"/>
      <name val="맑은 고딕"/>
      <family val="3"/>
      <charset val="129"/>
    </font>
    <font>
      <b/>
      <sz val="10"/>
      <color rgb="FFFF0000"/>
      <name val="현대하모니 L"/>
      <family val="1"/>
    </font>
    <font>
      <b/>
      <sz val="11"/>
      <name val="현대하모니 L"/>
      <family val="1"/>
      <charset val="129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1"/>
      <color rgb="FF0000FF"/>
      <name val="Arial"/>
      <family val="2"/>
    </font>
    <font>
      <sz val="9.5"/>
      <color rgb="FF0000FF"/>
      <name val="Arial"/>
      <family val="2"/>
    </font>
    <font>
      <sz val="10.5"/>
      <color rgb="FF0000FF"/>
      <name val="Arial"/>
      <family val="2"/>
    </font>
    <font>
      <sz val="12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0">
    <xf numFmtId="0" fontId="0" fillId="0" borderId="0">
      <alignment vertical="center"/>
    </xf>
    <xf numFmtId="0" fontId="1" fillId="0" borderId="0"/>
    <xf numFmtId="0" fontId="8" fillId="0" borderId="0"/>
    <xf numFmtId="0" fontId="1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/>
    <xf numFmtId="0" fontId="41" fillId="0" borderId="0" applyBorder="0"/>
    <xf numFmtId="0" fontId="51" fillId="0" borderId="0">
      <alignment vertical="center"/>
    </xf>
    <xf numFmtId="0" fontId="1" fillId="0" borderId="0"/>
    <xf numFmtId="43" fontId="8" fillId="0" borderId="0" applyFont="0" applyFill="0" applyBorder="0" applyAlignment="0" applyProtection="0"/>
  </cellStyleXfs>
  <cellXfs count="211">
    <xf numFmtId="0" fontId="0" fillId="0" borderId="0" xfId="0">
      <alignment vertical="center"/>
    </xf>
    <xf numFmtId="0" fontId="2" fillId="2" borderId="0" xfId="1" applyFont="1" applyFill="1" applyAlignment="1">
      <alignment vertical="center"/>
    </xf>
    <xf numFmtId="0" fontId="9" fillId="0" borderId="0" xfId="2" applyFont="1" applyAlignment="1">
      <alignment vertical="center"/>
    </xf>
    <xf numFmtId="0" fontId="10" fillId="2" borderId="0" xfId="1" applyFont="1" applyFill="1" applyAlignment="1">
      <alignment vertical="center"/>
    </xf>
    <xf numFmtId="0" fontId="10" fillId="2" borderId="0" xfId="1" applyFont="1" applyFill="1" applyAlignment="1">
      <alignment horizontal="center" vertical="center"/>
    </xf>
    <xf numFmtId="0" fontId="13" fillId="2" borderId="0" xfId="1" applyFont="1" applyFill="1" applyAlignment="1">
      <alignment horizontal="left" vertical="center"/>
    </xf>
    <xf numFmtId="0" fontId="1" fillId="2" borderId="0" xfId="1" applyFill="1" applyAlignment="1">
      <alignment horizontal="center" vertical="center"/>
    </xf>
    <xf numFmtId="0" fontId="15" fillId="2" borderId="0" xfId="1" applyFont="1" applyFill="1" applyAlignment="1">
      <alignment vertical="center"/>
    </xf>
    <xf numFmtId="165" fontId="19" fillId="0" borderId="7" xfId="3" applyNumberFormat="1" applyFont="1" applyBorder="1" applyAlignment="1">
      <alignment horizontal="right"/>
    </xf>
    <xf numFmtId="0" fontId="1" fillId="2" borderId="8" xfId="4" applyNumberFormat="1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0" fontId="14" fillId="2" borderId="20" xfId="1" quotePrefix="1" applyFont="1" applyFill="1" applyBorder="1" applyAlignment="1">
      <alignment vertical="center"/>
    </xf>
    <xf numFmtId="0" fontId="20" fillId="2" borderId="18" xfId="1" applyFont="1" applyFill="1" applyBorder="1" applyAlignment="1">
      <alignment vertical="center"/>
    </xf>
    <xf numFmtId="0" fontId="20" fillId="2" borderId="18" xfId="1" applyFont="1" applyFill="1" applyBorder="1" applyAlignment="1">
      <alignment vertical="center" wrapText="1"/>
    </xf>
    <xf numFmtId="0" fontId="22" fillId="2" borderId="8" xfId="1" applyFont="1" applyFill="1" applyBorder="1" applyAlignment="1">
      <alignment horizontal="center" vertical="center"/>
    </xf>
    <xf numFmtId="167" fontId="22" fillId="0" borderId="16" xfId="0" applyNumberFormat="1" applyFont="1" applyBorder="1" applyAlignment="1">
      <alignment horizontal="right" vertical="center" wrapText="1"/>
    </xf>
    <xf numFmtId="0" fontId="20" fillId="2" borderId="8" xfId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14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10" fillId="2" borderId="0" xfId="1" applyFont="1" applyFill="1" applyAlignment="1">
      <alignment horizontal="center" vertical="center" wrapText="1"/>
    </xf>
    <xf numFmtId="0" fontId="10" fillId="2" borderId="12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 wrapText="1"/>
    </xf>
    <xf numFmtId="0" fontId="23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5" fillId="2" borderId="0" xfId="1" applyFont="1" applyFill="1" applyAlignment="1">
      <alignment vertical="center"/>
    </xf>
    <xf numFmtId="0" fontId="10" fillId="2" borderId="22" xfId="1" applyFont="1" applyFill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/>
    </xf>
    <xf numFmtId="168" fontId="26" fillId="0" borderId="22" xfId="0" applyNumberFormat="1" applyFont="1" applyBorder="1" applyAlignment="1">
      <alignment horizontal="center" vertical="center"/>
    </xf>
    <xf numFmtId="167" fontId="26" fillId="0" borderId="22" xfId="0" applyNumberFormat="1" applyFont="1" applyBorder="1" applyAlignment="1">
      <alignment horizontal="right" vertical="center"/>
    </xf>
    <xf numFmtId="0" fontId="26" fillId="2" borderId="22" xfId="1" applyFont="1" applyFill="1" applyBorder="1" applyAlignment="1">
      <alignment horizontal="center" vertical="center"/>
    </xf>
    <xf numFmtId="0" fontId="22" fillId="3" borderId="0" xfId="5" applyFont="1" applyFill="1"/>
    <xf numFmtId="0" fontId="27" fillId="3" borderId="0" xfId="5" applyFont="1" applyFill="1" applyAlignment="1">
      <alignment horizontal="right"/>
    </xf>
    <xf numFmtId="0" fontId="22" fillId="3" borderId="0" xfId="5" applyFont="1" applyFill="1" applyAlignment="1">
      <alignment horizontal="right"/>
    </xf>
    <xf numFmtId="0" fontId="28" fillId="3" borderId="0" xfId="5" applyFont="1" applyFill="1"/>
    <xf numFmtId="0" fontId="29" fillId="3" borderId="0" xfId="5" applyFont="1" applyFill="1"/>
    <xf numFmtId="0" fontId="29" fillId="3" borderId="0" xfId="5" applyFont="1" applyFill="1" applyAlignment="1">
      <alignment horizontal="right"/>
    </xf>
    <xf numFmtId="0" fontId="30" fillId="3" borderId="0" xfId="5" applyFont="1" applyFill="1"/>
    <xf numFmtId="0" fontId="14" fillId="3" borderId="0" xfId="5" applyFont="1" applyFill="1" applyAlignment="1">
      <alignment horizontal="left" vertical="center"/>
    </xf>
    <xf numFmtId="0" fontId="35" fillId="3" borderId="0" xfId="5" applyFont="1" applyFill="1"/>
    <xf numFmtId="0" fontId="32" fillId="3" borderId="0" xfId="5" applyFont="1" applyFill="1"/>
    <xf numFmtId="0" fontId="29" fillId="3" borderId="0" xfId="5" applyFont="1" applyFill="1" applyAlignment="1">
      <alignment horizontal="right" vertical="center" indent="1"/>
    </xf>
    <xf numFmtId="0" fontId="36" fillId="3" borderId="0" xfId="5" applyFont="1" applyFill="1"/>
    <xf numFmtId="0" fontId="29" fillId="3" borderId="0" xfId="5" applyFont="1" applyFill="1" applyAlignment="1">
      <alignment horizontal="right" vertical="center"/>
    </xf>
    <xf numFmtId="0" fontId="37" fillId="3" borderId="0" xfId="5" applyFont="1" applyFill="1"/>
    <xf numFmtId="0" fontId="38" fillId="3" borderId="0" xfId="5" applyFont="1" applyFill="1" applyAlignment="1">
      <alignment horizontal="left"/>
    </xf>
    <xf numFmtId="0" fontId="38" fillId="3" borderId="0" xfId="5" applyFont="1" applyFill="1" applyAlignment="1">
      <alignment wrapText="1"/>
    </xf>
    <xf numFmtId="0" fontId="31" fillId="3" borderId="0" xfId="5" applyFont="1" applyFill="1" applyAlignment="1">
      <alignment wrapText="1"/>
    </xf>
    <xf numFmtId="0" fontId="38" fillId="3" borderId="0" xfId="5" applyFont="1" applyFill="1"/>
    <xf numFmtId="0" fontId="38" fillId="3" borderId="0" xfId="5" applyFont="1" applyFill="1" applyAlignment="1">
      <alignment horizontal="left" wrapText="1"/>
    </xf>
    <xf numFmtId="0" fontId="31" fillId="3" borderId="0" xfId="5" applyFont="1" applyFill="1" applyAlignment="1">
      <alignment horizontal="left" wrapText="1"/>
    </xf>
    <xf numFmtId="0" fontId="28" fillId="3" borderId="0" xfId="5" quotePrefix="1" applyFont="1" applyFill="1" applyAlignment="1">
      <alignment horizontal="right" vertical="center"/>
    </xf>
    <xf numFmtId="0" fontId="39" fillId="3" borderId="0" xfId="5" applyFont="1" applyFill="1"/>
    <xf numFmtId="0" fontId="29" fillId="3" borderId="0" xfId="0" applyFont="1" applyFill="1" applyAlignment="1"/>
    <xf numFmtId="0" fontId="28" fillId="3" borderId="0" xfId="0" quotePrefix="1" applyFont="1" applyFill="1" applyAlignment="1">
      <alignment horizontal="right" vertical="center"/>
    </xf>
    <xf numFmtId="0" fontId="32" fillId="3" borderId="0" xfId="5" quotePrefix="1" applyFont="1" applyFill="1" applyAlignment="1">
      <alignment horizontal="right" vertical="center"/>
    </xf>
    <xf numFmtId="0" fontId="32" fillId="3" borderId="26" xfId="5" applyFont="1" applyFill="1" applyBorder="1"/>
    <xf numFmtId="0" fontId="29" fillId="3" borderId="26" xfId="5" applyFont="1" applyFill="1" applyBorder="1"/>
    <xf numFmtId="0" fontId="42" fillId="0" borderId="0" xfId="6" applyFont="1"/>
    <xf numFmtId="0" fontId="42" fillId="0" borderId="0" xfId="6" applyFont="1" applyAlignment="1">
      <alignment vertical="center"/>
    </xf>
    <xf numFmtId="0" fontId="13" fillId="0" borderId="0" xfId="6" applyFont="1" applyAlignment="1">
      <alignment vertical="center"/>
    </xf>
    <xf numFmtId="0" fontId="44" fillId="0" borderId="0" xfId="6" applyFont="1" applyAlignment="1">
      <alignment vertical="center"/>
    </xf>
    <xf numFmtId="0" fontId="13" fillId="0" borderId="0" xfId="6" applyFont="1" applyAlignment="1">
      <alignment vertical="top"/>
    </xf>
    <xf numFmtId="169" fontId="13" fillId="0" borderId="0" xfId="6" quotePrefix="1" applyNumberFormat="1" applyFont="1" applyAlignment="1">
      <alignment horizontal="left" vertical="top"/>
    </xf>
    <xf numFmtId="172" fontId="45" fillId="0" borderId="0" xfId="6" quotePrefix="1" applyNumberFormat="1" applyFont="1" applyAlignment="1">
      <alignment vertical="center"/>
    </xf>
    <xf numFmtId="0" fontId="38" fillId="0" borderId="0" xfId="6" applyFont="1" applyAlignment="1">
      <alignment vertical="top"/>
    </xf>
    <xf numFmtId="0" fontId="46" fillId="0" borderId="0" xfId="6" applyFont="1" applyBorder="1" applyAlignment="1">
      <alignment vertical="center"/>
    </xf>
    <xf numFmtId="0" fontId="47" fillId="0" borderId="0" xfId="6" applyFont="1" applyAlignment="1">
      <alignment vertical="top"/>
    </xf>
    <xf numFmtId="0" fontId="49" fillId="0" borderId="0" xfId="6" applyFont="1"/>
    <xf numFmtId="0" fontId="49" fillId="0" borderId="0" xfId="6" applyFont="1" applyBorder="1"/>
    <xf numFmtId="0" fontId="13" fillId="4" borderId="22" xfId="6" applyFont="1" applyFill="1" applyBorder="1" applyAlignment="1">
      <alignment horizontal="center" vertical="center" wrapText="1"/>
    </xf>
    <xf numFmtId="0" fontId="52" fillId="0" borderId="0" xfId="6" applyFont="1"/>
    <xf numFmtId="0" fontId="50" fillId="3" borderId="0" xfId="5" applyFont="1" applyFill="1" applyAlignment="1">
      <alignment horizontal="left" vertical="center" wrapText="1"/>
    </xf>
    <xf numFmtId="0" fontId="50" fillId="3" borderId="0" xfId="5" applyFont="1" applyFill="1" applyAlignment="1">
      <alignment horizontal="center" vertical="center" wrapText="1"/>
    </xf>
    <xf numFmtId="0" fontId="52" fillId="0" borderId="0" xfId="6" applyFont="1" applyBorder="1"/>
    <xf numFmtId="0" fontId="13" fillId="0" borderId="36" xfId="6" applyFont="1" applyBorder="1"/>
    <xf numFmtId="171" fontId="15" fillId="0" borderId="43" xfId="6" applyNumberFormat="1" applyFont="1" applyBorder="1" applyAlignment="1">
      <alignment horizontal="center" vertical="center" wrapText="1"/>
    </xf>
    <xf numFmtId="0" fontId="13" fillId="0" borderId="44" xfId="6" applyFont="1" applyBorder="1"/>
    <xf numFmtId="0" fontId="15" fillId="0" borderId="0" xfId="6" applyFont="1" applyAlignment="1">
      <alignment vertical="center"/>
    </xf>
    <xf numFmtId="0" fontId="38" fillId="0" borderId="45" xfId="6" applyFont="1" applyBorder="1" applyAlignment="1">
      <alignment vertical="center"/>
    </xf>
    <xf numFmtId="0" fontId="38" fillId="0" borderId="45" xfId="6" applyFont="1" applyBorder="1"/>
    <xf numFmtId="0" fontId="15" fillId="0" borderId="0" xfId="6" applyFont="1" applyBorder="1" applyAlignment="1">
      <alignment vertical="center"/>
    </xf>
    <xf numFmtId="0" fontId="38" fillId="0" borderId="0" xfId="6" applyFont="1" applyBorder="1" applyAlignment="1">
      <alignment vertical="center"/>
    </xf>
    <xf numFmtId="0" fontId="38" fillId="0" borderId="0" xfId="6" applyFont="1" applyBorder="1"/>
    <xf numFmtId="0" fontId="42" fillId="0" borderId="0" xfId="6" applyFont="1" applyBorder="1"/>
    <xf numFmtId="0" fontId="53" fillId="0" borderId="0" xfId="6" applyFont="1"/>
    <xf numFmtId="0" fontId="40" fillId="3" borderId="0" xfId="5" applyFont="1" applyFill="1"/>
    <xf numFmtId="0" fontId="53" fillId="0" borderId="0" xfId="6" applyFont="1" applyAlignment="1">
      <alignment vertical="center"/>
    </xf>
    <xf numFmtId="0" fontId="10" fillId="2" borderId="21" xfId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 wrapText="1"/>
    </xf>
    <xf numFmtId="0" fontId="10" fillId="2" borderId="17" xfId="1" applyFont="1" applyFill="1" applyBorder="1" applyAlignment="1">
      <alignment vertical="center"/>
    </xf>
    <xf numFmtId="0" fontId="21" fillId="3" borderId="0" xfId="0" applyFont="1" applyFill="1">
      <alignment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vertical="center" wrapText="1"/>
    </xf>
    <xf numFmtId="0" fontId="21" fillId="3" borderId="46" xfId="0" applyFont="1" applyFill="1" applyBorder="1">
      <alignment vertical="center"/>
    </xf>
    <xf numFmtId="14" fontId="60" fillId="0" borderId="7" xfId="3" applyNumberFormat="1" applyFont="1" applyBorder="1" applyAlignment="1">
      <alignment horizontal="right"/>
    </xf>
    <xf numFmtId="0" fontId="1" fillId="0" borderId="8" xfId="0" applyFont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7" fontId="1" fillId="0" borderId="16" xfId="0" applyNumberFormat="1" applyFont="1" applyBorder="1" applyAlignment="1">
      <alignment horizontal="right" vertical="center" wrapText="1"/>
    </xf>
    <xf numFmtId="167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7" fontId="1" fillId="0" borderId="8" xfId="0" applyNumberFormat="1" applyFont="1" applyBorder="1" applyAlignment="1">
      <alignment horizontal="right" vertical="center" wrapText="1"/>
    </xf>
    <xf numFmtId="0" fontId="61" fillId="3" borderId="0" xfId="5" applyFont="1" applyFill="1"/>
    <xf numFmtId="0" fontId="62" fillId="3" borderId="0" xfId="5" applyFont="1" applyFill="1"/>
    <xf numFmtId="0" fontId="10" fillId="0" borderId="37" xfId="6" quotePrefix="1" applyFont="1" applyBorder="1" applyAlignment="1">
      <alignment horizontal="center" vertical="center"/>
    </xf>
    <xf numFmtId="0" fontId="10" fillId="2" borderId="40" xfId="7" applyFont="1" applyFill="1" applyBorder="1" applyAlignment="1">
      <alignment horizontal="center" vertical="center" wrapText="1"/>
    </xf>
    <xf numFmtId="0" fontId="10" fillId="2" borderId="40" xfId="8" applyFont="1" applyFill="1" applyBorder="1" applyAlignment="1">
      <alignment horizontal="center" vertical="center"/>
    </xf>
    <xf numFmtId="43" fontId="10" fillId="0" borderId="40" xfId="9" quotePrefix="1" applyFont="1" applyFill="1" applyBorder="1" applyAlignment="1">
      <alignment vertical="center"/>
    </xf>
    <xf numFmtId="43" fontId="10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10" fillId="0" borderId="35" xfId="6" quotePrefix="1" applyFont="1" applyBorder="1" applyAlignment="1">
      <alignment horizontal="center" vertical="center"/>
    </xf>
    <xf numFmtId="0" fontId="10" fillId="2" borderId="22" xfId="7" applyFont="1" applyFill="1" applyBorder="1" applyAlignment="1">
      <alignment horizontal="center" vertical="center" wrapText="1"/>
    </xf>
    <xf numFmtId="0" fontId="10" fillId="2" borderId="22" xfId="8" applyFont="1" applyFill="1" applyBorder="1" applyAlignment="1">
      <alignment horizontal="center" vertical="center"/>
    </xf>
    <xf numFmtId="43" fontId="10" fillId="0" borderId="22" xfId="9" quotePrefix="1" applyFont="1" applyFill="1" applyBorder="1" applyAlignment="1">
      <alignment vertical="center"/>
    </xf>
    <xf numFmtId="43" fontId="10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10" fillId="0" borderId="22" xfId="6" quotePrefix="1" applyNumberFormat="1" applyFont="1" applyBorder="1" applyAlignment="1">
      <alignment vertical="center" wrapText="1"/>
    </xf>
    <xf numFmtId="0" fontId="45" fillId="3" borderId="0" xfId="5" applyFont="1" applyFill="1"/>
    <xf numFmtId="0" fontId="1" fillId="3" borderId="0" xfId="5" applyFont="1" applyFill="1" applyAlignment="1">
      <alignment horizontal="left" vertical="center"/>
    </xf>
    <xf numFmtId="0" fontId="13" fillId="3" borderId="0" xfId="5" applyFont="1" applyFill="1" applyAlignment="1">
      <alignment horizontal="left" vertical="center"/>
    </xf>
    <xf numFmtId="170" fontId="38" fillId="3" borderId="0" xfId="5" applyNumberFormat="1" applyFont="1" applyFill="1"/>
    <xf numFmtId="0" fontId="38" fillId="3" borderId="0" xfId="5" quotePrefix="1" applyFont="1" applyFill="1"/>
    <xf numFmtId="0" fontId="64" fillId="3" borderId="0" xfId="0" applyFont="1" applyFill="1" applyAlignment="1"/>
    <xf numFmtId="0" fontId="38" fillId="3" borderId="0" xfId="0" applyFont="1" applyFill="1" applyAlignment="1"/>
    <xf numFmtId="0" fontId="13" fillId="3" borderId="0" xfId="0" quotePrefix="1" applyFont="1" applyFill="1" applyAlignment="1">
      <alignment horizontal="right" vertical="center"/>
    </xf>
    <xf numFmtId="0" fontId="29" fillId="3" borderId="0" xfId="5" quotePrefix="1" applyFont="1" applyFill="1"/>
    <xf numFmtId="0" fontId="40" fillId="3" borderId="0" xfId="5" applyFont="1" applyFill="1" applyAlignment="1">
      <alignment horizontal="center"/>
    </xf>
    <xf numFmtId="169" fontId="45" fillId="3" borderId="0" xfId="5" quotePrefix="1" applyNumberFormat="1" applyFont="1" applyFill="1" applyAlignment="1">
      <alignment horizontal="left" vertical="center"/>
    </xf>
    <xf numFmtId="169" fontId="45" fillId="3" borderId="0" xfId="5" applyNumberFormat="1" applyFont="1" applyFill="1" applyAlignment="1">
      <alignment horizontal="left" vertical="center"/>
    </xf>
    <xf numFmtId="0" fontId="45" fillId="3" borderId="0" xfId="5" applyFont="1" applyFill="1" applyAlignment="1">
      <alignment horizontal="left"/>
    </xf>
    <xf numFmtId="0" fontId="34" fillId="3" borderId="0" xfId="5" applyFont="1" applyFill="1" applyAlignment="1">
      <alignment horizontal="center"/>
    </xf>
    <xf numFmtId="0" fontId="35" fillId="3" borderId="0" xfId="5" applyFont="1" applyFill="1" applyAlignment="1">
      <alignment horizontal="left" vertical="center"/>
    </xf>
    <xf numFmtId="0" fontId="29" fillId="3" borderId="26" xfId="5" quotePrefix="1" applyFont="1" applyFill="1" applyBorder="1" applyAlignment="1">
      <alignment horizontal="center"/>
    </xf>
    <xf numFmtId="0" fontId="29" fillId="3" borderId="0" xfId="5" quotePrefix="1" applyFont="1" applyFill="1" applyAlignment="1">
      <alignment horizontal="center"/>
    </xf>
    <xf numFmtId="171" fontId="29" fillId="3" borderId="0" xfId="5" applyNumberFormat="1" applyFont="1" applyFill="1" applyAlignment="1">
      <alignment horizont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10" fillId="2" borderId="12" xfId="1" applyFont="1" applyFill="1" applyBorder="1" applyAlignment="1">
      <alignment horizontal="center" vertical="center" wrapText="1"/>
    </xf>
    <xf numFmtId="0" fontId="10" fillId="2" borderId="15" xfId="1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 wrapText="1"/>
    </xf>
    <xf numFmtId="0" fontId="10" fillId="2" borderId="16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/>
    </xf>
    <xf numFmtId="0" fontId="10" fillId="2" borderId="17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center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56" fillId="2" borderId="1" xfId="1" applyFont="1" applyFill="1" applyBorder="1" applyAlignment="1">
      <alignment horizontal="center" vertical="center"/>
    </xf>
    <xf numFmtId="0" fontId="56" fillId="2" borderId="2" xfId="1" applyFont="1" applyFill="1" applyBorder="1" applyAlignment="1">
      <alignment horizontal="center" vertical="center"/>
    </xf>
    <xf numFmtId="0" fontId="56" fillId="2" borderId="3" xfId="1" applyFont="1" applyFill="1" applyBorder="1" applyAlignment="1">
      <alignment horizontal="center" vertical="center"/>
    </xf>
    <xf numFmtId="0" fontId="57" fillId="2" borderId="4" xfId="1" applyFont="1" applyFill="1" applyBorder="1" applyAlignment="1">
      <alignment horizontal="center" vertical="center"/>
    </xf>
    <xf numFmtId="0" fontId="57" fillId="2" borderId="5" xfId="1" applyFont="1" applyFill="1" applyBorder="1" applyAlignment="1">
      <alignment horizontal="center" vertical="center"/>
    </xf>
    <xf numFmtId="0" fontId="57" fillId="2" borderId="6" xfId="1" applyFont="1" applyFill="1" applyBorder="1" applyAlignment="1">
      <alignment horizontal="center" vertical="center"/>
    </xf>
    <xf numFmtId="164" fontId="59" fillId="2" borderId="7" xfId="1" applyNumberFormat="1" applyFont="1" applyFill="1" applyBorder="1" applyAlignment="1">
      <alignment horizontal="left" vertical="center"/>
    </xf>
    <xf numFmtId="0" fontId="13" fillId="2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 wrapText="1"/>
    </xf>
    <xf numFmtId="0" fontId="13" fillId="2" borderId="10" xfId="1" applyFont="1" applyFill="1" applyBorder="1" applyAlignment="1">
      <alignment horizontal="center" vertical="center" wrapText="1"/>
    </xf>
    <xf numFmtId="0" fontId="13" fillId="2" borderId="11" xfId="1" applyFont="1" applyFill="1" applyBorder="1" applyAlignment="1">
      <alignment horizontal="center" vertical="center" wrapText="1"/>
    </xf>
    <xf numFmtId="0" fontId="13" fillId="2" borderId="13" xfId="1" applyFont="1" applyFill="1" applyBorder="1" applyAlignment="1">
      <alignment horizontal="center" vertical="center" wrapText="1"/>
    </xf>
    <xf numFmtId="0" fontId="13" fillId="2" borderId="7" xfId="1" applyFont="1" applyFill="1" applyBorder="1" applyAlignment="1">
      <alignment horizontal="center" vertical="center" wrapText="1"/>
    </xf>
    <xf numFmtId="0" fontId="13" fillId="2" borderId="14" xfId="1" applyFont="1" applyFill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/>
    </xf>
    <xf numFmtId="0" fontId="13" fillId="2" borderId="12" xfId="1" applyFont="1" applyFill="1" applyBorder="1" applyAlignment="1">
      <alignment horizontal="center" vertical="center" wrapText="1"/>
    </xf>
    <xf numFmtId="0" fontId="13" fillId="2" borderId="15" xfId="1" applyFont="1" applyFill="1" applyBorder="1" applyAlignment="1">
      <alignment horizontal="center" vertical="center" wrapText="1"/>
    </xf>
    <xf numFmtId="0" fontId="26" fillId="0" borderId="23" xfId="0" applyFont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26" fillId="3" borderId="23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3" borderId="24" xfId="0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63" fillId="3" borderId="38" xfId="5" applyFont="1" applyFill="1" applyBorder="1" applyAlignment="1">
      <alignment horizontal="left" vertical="center" wrapText="1"/>
    </xf>
    <xf numFmtId="0" fontId="63" fillId="3" borderId="39" xfId="5" applyFont="1" applyFill="1" applyBorder="1" applyAlignment="1">
      <alignment horizontal="left" vertical="center" wrapText="1"/>
    </xf>
    <xf numFmtId="0" fontId="10" fillId="0" borderId="35" xfId="6" quotePrefix="1" applyFont="1" applyBorder="1" applyAlignment="1">
      <alignment horizontal="right" vertical="center"/>
    </xf>
    <xf numFmtId="0" fontId="10" fillId="0" borderId="22" xfId="6" quotePrefix="1" applyFont="1" applyBorder="1" applyAlignment="1">
      <alignment horizontal="right" vertical="center"/>
    </xf>
    <xf numFmtId="0" fontId="15" fillId="0" borderId="42" xfId="6" quotePrefix="1" applyFont="1" applyBorder="1" applyAlignment="1">
      <alignment horizontal="right" vertical="center"/>
    </xf>
    <xf numFmtId="0" fontId="15" fillId="0" borderId="43" xfId="6" quotePrefix="1" applyFont="1" applyBorder="1" applyAlignment="1">
      <alignment horizontal="right" vertical="center"/>
    </xf>
    <xf numFmtId="0" fontId="43" fillId="0" borderId="0" xfId="6" applyFont="1" applyAlignment="1">
      <alignment horizontal="center" vertical="center"/>
    </xf>
    <xf numFmtId="0" fontId="46" fillId="0" borderId="27" xfId="6" applyFont="1" applyBorder="1" applyAlignment="1">
      <alignment horizontal="right" vertical="center"/>
    </xf>
    <xf numFmtId="0" fontId="13" fillId="4" borderId="28" xfId="6" applyFont="1" applyFill="1" applyBorder="1" applyAlignment="1">
      <alignment horizontal="center" vertical="center" wrapText="1"/>
    </xf>
    <xf numFmtId="0" fontId="13" fillId="4" borderId="35" xfId="6" applyFont="1" applyFill="1" applyBorder="1" applyAlignment="1">
      <alignment horizontal="center" vertical="center" wrapText="1"/>
    </xf>
    <xf numFmtId="0" fontId="13" fillId="4" borderId="29" xfId="6" applyFont="1" applyFill="1" applyBorder="1" applyAlignment="1">
      <alignment horizontal="center" vertical="center" wrapText="1"/>
    </xf>
    <xf numFmtId="0" fontId="13" fillId="4" borderId="30" xfId="6" applyFont="1" applyFill="1" applyBorder="1" applyAlignment="1">
      <alignment horizontal="center" vertical="center" wrapText="1"/>
    </xf>
    <xf numFmtId="0" fontId="13" fillId="4" borderId="4" xfId="6" applyFont="1" applyFill="1" applyBorder="1" applyAlignment="1">
      <alignment horizontal="center" vertical="center" wrapText="1"/>
    </xf>
    <xf numFmtId="0" fontId="13" fillId="4" borderId="6" xfId="6" applyFont="1" applyFill="1" applyBorder="1" applyAlignment="1">
      <alignment horizontal="center" vertical="center" wrapText="1"/>
    </xf>
    <xf numFmtId="0" fontId="13" fillId="4" borderId="31" xfId="6" applyFont="1" applyFill="1" applyBorder="1" applyAlignment="1">
      <alignment horizontal="center" vertical="center" wrapText="1"/>
    </xf>
    <xf numFmtId="0" fontId="13" fillId="4" borderId="22" xfId="6" applyFont="1" applyFill="1" applyBorder="1" applyAlignment="1">
      <alignment horizontal="center" vertical="center" wrapText="1"/>
    </xf>
    <xf numFmtId="0" fontId="13" fillId="4" borderId="32" xfId="6" applyFont="1" applyFill="1" applyBorder="1" applyAlignment="1">
      <alignment horizontal="center" vertical="center" wrapText="1"/>
    </xf>
    <xf numFmtId="0" fontId="13" fillId="4" borderId="33" xfId="6" applyFont="1" applyFill="1" applyBorder="1" applyAlignment="1">
      <alignment horizontal="center" vertical="center" wrapText="1"/>
    </xf>
    <xf numFmtId="0" fontId="13" fillId="4" borderId="34" xfId="6" applyFont="1" applyFill="1" applyBorder="1" applyAlignment="1">
      <alignment horizontal="center" vertical="center" wrapText="1"/>
    </xf>
    <xf numFmtId="0" fontId="13" fillId="4" borderId="36" xfId="6" applyFont="1" applyFill="1" applyBorder="1" applyAlignment="1">
      <alignment horizontal="center" vertical="center" wrapText="1"/>
    </xf>
  </cellXfs>
  <cellStyles count="10"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  <color rgb="FF0F2E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730624</xdr:colOff>
          <xdr:row>95</xdr:row>
          <xdr:rowOff>106456</xdr:rowOff>
        </xdr:from>
        <xdr:to>
          <xdr:col>11</xdr:col>
          <xdr:colOff>1612527</xdr:colOff>
          <xdr:row>101</xdr:row>
          <xdr:rowOff>365312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6E47C065-C61B-1CA0-5BA7-C612E822179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98:$Y$103" spid="_x0000_s107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 bwMode="auto">
            <a:xfrm>
              <a:off x="1521199" y="30167356"/>
              <a:ext cx="8501903" cy="235435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93</xdr:row>
      <xdr:rowOff>0</xdr:rowOff>
    </xdr:from>
    <xdr:to>
      <xdr:col>15</xdr:col>
      <xdr:colOff>543942</xdr:colOff>
      <xdr:row>93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93</xdr:row>
      <xdr:rowOff>0</xdr:rowOff>
    </xdr:from>
    <xdr:to>
      <xdr:col>15</xdr:col>
      <xdr:colOff>543942</xdr:colOff>
      <xdr:row>93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777757</xdr:colOff>
      <xdr:row>5</xdr:row>
      <xdr:rowOff>103391</xdr:rowOff>
    </xdr:from>
    <xdr:to>
      <xdr:col>10</xdr:col>
      <xdr:colOff>2136322</xdr:colOff>
      <xdr:row>5</xdr:row>
      <xdr:rowOff>1175943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9655057" y="176074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737655</xdr:colOff>
      <xdr:row>6</xdr:row>
      <xdr:rowOff>92352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4955" y="3083202"/>
          <a:ext cx="1408616" cy="1094960"/>
        </a:xfrm>
        <a:prstGeom prst="rect">
          <a:avLst/>
        </a:prstGeom>
      </xdr:spPr>
    </xdr:pic>
    <xdr:clientData/>
  </xdr:oneCellAnchor>
  <xdr:oneCellAnchor>
    <xdr:from>
      <xdr:col>10</xdr:col>
      <xdr:colOff>737655</xdr:colOff>
      <xdr:row>7</xdr:row>
      <xdr:rowOff>92352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4955" y="4416702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130"/>
  <sheetViews>
    <sheetView showGridLines="0" tabSelected="1" view="pageBreakPreview" zoomScaleNormal="95" zoomScaleSheetLayoutView="100" workbookViewId="0">
      <selection activeCell="L3" sqref="L3"/>
    </sheetView>
  </sheetViews>
  <sheetFormatPr defaultColWidth="9" defaultRowHeight="21" customHeight="1"/>
  <cols>
    <col min="1" max="1" width="3.7109375" style="4" customWidth="1"/>
    <col min="2" max="2" width="8.140625" style="4" customWidth="1"/>
    <col min="3" max="3" width="22.28515625" style="4" customWidth="1"/>
    <col min="4" max="4" width="17.28515625" style="4" customWidth="1"/>
    <col min="5" max="5" width="6" style="4" customWidth="1"/>
    <col min="6" max="6" width="7.7109375" style="4" customWidth="1"/>
    <col min="7" max="7" width="6.28515625" style="4" customWidth="1"/>
    <col min="8" max="8" width="8" style="4" customWidth="1"/>
    <col min="9" max="11" width="15.5703125" style="4" customWidth="1"/>
    <col min="12" max="12" width="25.5703125" style="4" customWidth="1"/>
    <col min="13" max="13" width="2.42578125" style="4" customWidth="1"/>
    <col min="14" max="14" width="9" style="4"/>
    <col min="15" max="18" width="13.5703125" style="4" customWidth="1"/>
    <col min="19" max="19" width="3.5703125" style="4" customWidth="1"/>
    <col min="20" max="22" width="13.5703125" style="4" customWidth="1"/>
    <col min="23" max="23" width="10.140625" style="4" customWidth="1"/>
    <col min="24" max="24" width="5.85546875" style="4" customWidth="1"/>
    <col min="25" max="25" width="14.140625" style="4" customWidth="1"/>
    <col min="26" max="26" width="13.5703125" style="4" customWidth="1"/>
    <col min="27" max="16384" width="9" style="4"/>
  </cols>
  <sheetData>
    <row r="1" spans="1:25" ht="49.9" customHeight="1">
      <c r="A1" s="1" t="s">
        <v>94</v>
      </c>
      <c r="B1" s="2"/>
      <c r="C1" s="2"/>
      <c r="D1" s="2"/>
      <c r="E1" s="2"/>
      <c r="F1" s="2"/>
      <c r="G1" s="3"/>
      <c r="J1" s="161" t="s">
        <v>95</v>
      </c>
      <c r="K1" s="162"/>
      <c r="L1" s="163"/>
    </row>
    <row r="2" spans="1:25" ht="20.100000000000001" customHeight="1">
      <c r="A2" s="5" t="s">
        <v>1</v>
      </c>
      <c r="B2" s="6"/>
      <c r="C2" s="6"/>
      <c r="D2" s="5" t="s">
        <v>97</v>
      </c>
      <c r="E2" s="6"/>
      <c r="F2" s="6"/>
      <c r="G2" s="6"/>
      <c r="H2" s="6"/>
      <c r="I2" s="7"/>
      <c r="J2" s="164" t="s">
        <v>96</v>
      </c>
      <c r="K2" s="165"/>
      <c r="L2" s="166"/>
    </row>
    <row r="3" spans="1:25" ht="20.100000000000001" customHeight="1">
      <c r="A3" s="5" t="s">
        <v>267</v>
      </c>
      <c r="B3" s="6"/>
      <c r="C3" s="6"/>
      <c r="D3" s="6"/>
      <c r="E3" s="167">
        <f>+L3+3</f>
        <v>46240</v>
      </c>
      <c r="F3" s="167"/>
      <c r="G3" s="167"/>
      <c r="H3" s="167"/>
      <c r="I3" s="167"/>
      <c r="J3" s="6"/>
      <c r="K3" s="6"/>
      <c r="L3" s="100">
        <v>46237</v>
      </c>
      <c r="M3" s="7"/>
    </row>
    <row r="4" spans="1:25" ht="15.95" customHeight="1">
      <c r="A4" s="168" t="s">
        <v>2</v>
      </c>
      <c r="B4" s="169" t="s">
        <v>3</v>
      </c>
      <c r="C4" s="169"/>
      <c r="D4" s="170" t="s">
        <v>4</v>
      </c>
      <c r="E4" s="171"/>
      <c r="F4" s="172"/>
      <c r="G4" s="176" t="s">
        <v>5</v>
      </c>
      <c r="H4" s="178" t="s">
        <v>6</v>
      </c>
      <c r="I4" s="178" t="s">
        <v>255</v>
      </c>
      <c r="J4" s="168" t="s">
        <v>256</v>
      </c>
      <c r="K4" s="178" t="s">
        <v>0</v>
      </c>
      <c r="L4" s="169" t="s">
        <v>7</v>
      </c>
    </row>
    <row r="5" spans="1:25" ht="25.5" customHeight="1">
      <c r="A5" s="168"/>
      <c r="B5" s="169"/>
      <c r="C5" s="169"/>
      <c r="D5" s="173"/>
      <c r="E5" s="174"/>
      <c r="F5" s="175"/>
      <c r="G5" s="177"/>
      <c r="H5" s="179"/>
      <c r="I5" s="179"/>
      <c r="J5" s="168"/>
      <c r="K5" s="179"/>
      <c r="L5" s="169"/>
    </row>
    <row r="6" spans="1:25" ht="27" customHeight="1">
      <c r="A6" s="9">
        <f t="shared" ref="A6:A69" si="0">ROW(A1)</f>
        <v>1</v>
      </c>
      <c r="B6" s="140" t="s">
        <v>105</v>
      </c>
      <c r="C6" s="141"/>
      <c r="D6" s="142" t="s">
        <v>106</v>
      </c>
      <c r="E6" s="143"/>
      <c r="F6" s="144"/>
      <c r="G6" s="101" t="s">
        <v>248</v>
      </c>
      <c r="H6" s="102">
        <v>4</v>
      </c>
      <c r="I6" s="103">
        <v>16</v>
      </c>
      <c r="J6" s="103">
        <f>+H6*I6</f>
        <v>64</v>
      </c>
      <c r="K6" s="104" t="s">
        <v>253</v>
      </c>
      <c r="L6" s="105" t="s">
        <v>254</v>
      </c>
      <c r="Y6" s="10"/>
    </row>
    <row r="7" spans="1:25" ht="27" customHeight="1">
      <c r="A7" s="9">
        <f t="shared" si="0"/>
        <v>2</v>
      </c>
      <c r="B7" s="140" t="s">
        <v>107</v>
      </c>
      <c r="C7" s="141"/>
      <c r="D7" s="142" t="s">
        <v>108</v>
      </c>
      <c r="E7" s="143"/>
      <c r="F7" s="144"/>
      <c r="G7" s="101" t="s">
        <v>248</v>
      </c>
      <c r="H7" s="102">
        <v>40</v>
      </c>
      <c r="I7" s="103">
        <v>20</v>
      </c>
      <c r="J7" s="103">
        <f t="shared" ref="J7:J70" si="1">+H7*I7</f>
        <v>800</v>
      </c>
      <c r="K7" s="104"/>
      <c r="L7" s="105"/>
      <c r="Y7" s="10"/>
    </row>
    <row r="8" spans="1:25" ht="27" customHeight="1">
      <c r="A8" s="9">
        <f t="shared" si="0"/>
        <v>3</v>
      </c>
      <c r="B8" s="140" t="s">
        <v>109</v>
      </c>
      <c r="C8" s="141"/>
      <c r="D8" s="142" t="s">
        <v>110</v>
      </c>
      <c r="E8" s="143"/>
      <c r="F8" s="144"/>
      <c r="G8" s="101" t="s">
        <v>248</v>
      </c>
      <c r="H8" s="102">
        <v>700</v>
      </c>
      <c r="I8" s="103">
        <v>1.35</v>
      </c>
      <c r="J8" s="103">
        <f t="shared" si="1"/>
        <v>945.00000000000011</v>
      </c>
      <c r="K8" s="104"/>
      <c r="L8" s="105"/>
      <c r="Y8" s="10"/>
    </row>
    <row r="9" spans="1:25" ht="27" customHeight="1">
      <c r="A9" s="9">
        <f t="shared" si="0"/>
        <v>4</v>
      </c>
      <c r="B9" s="140" t="s">
        <v>98</v>
      </c>
      <c r="C9" s="141"/>
      <c r="D9" s="142"/>
      <c r="E9" s="143"/>
      <c r="F9" s="144"/>
      <c r="G9" s="101" t="s">
        <v>248</v>
      </c>
      <c r="H9" s="102">
        <v>2</v>
      </c>
      <c r="I9" s="103">
        <v>345</v>
      </c>
      <c r="J9" s="103">
        <f t="shared" si="1"/>
        <v>690</v>
      </c>
      <c r="K9" s="104"/>
      <c r="L9" s="105"/>
      <c r="Y9" s="10"/>
    </row>
    <row r="10" spans="1:25" ht="27" customHeight="1">
      <c r="A10" s="9">
        <f t="shared" si="0"/>
        <v>5</v>
      </c>
      <c r="B10" s="140" t="s">
        <v>111</v>
      </c>
      <c r="C10" s="141"/>
      <c r="D10" s="142" t="s">
        <v>112</v>
      </c>
      <c r="E10" s="143"/>
      <c r="F10" s="144"/>
      <c r="G10" s="101" t="s">
        <v>248</v>
      </c>
      <c r="H10" s="102">
        <v>40</v>
      </c>
      <c r="I10" s="106">
        <v>10</v>
      </c>
      <c r="J10" s="103">
        <f t="shared" si="1"/>
        <v>400</v>
      </c>
      <c r="K10" s="104"/>
      <c r="L10" s="101"/>
      <c r="Y10" s="10"/>
    </row>
    <row r="11" spans="1:25" ht="27" customHeight="1">
      <c r="A11" s="9">
        <f t="shared" si="0"/>
        <v>6</v>
      </c>
      <c r="B11" s="140" t="s">
        <v>113</v>
      </c>
      <c r="C11" s="141"/>
      <c r="D11" s="142" t="s">
        <v>114</v>
      </c>
      <c r="E11" s="143"/>
      <c r="F11" s="144"/>
      <c r="G11" s="101" t="s">
        <v>248</v>
      </c>
      <c r="H11" s="102">
        <v>3</v>
      </c>
      <c r="I11" s="103">
        <v>85</v>
      </c>
      <c r="J11" s="103">
        <f t="shared" si="1"/>
        <v>255</v>
      </c>
      <c r="K11" s="104"/>
      <c r="L11" s="105"/>
      <c r="Y11" s="10"/>
    </row>
    <row r="12" spans="1:25" ht="27" customHeight="1">
      <c r="A12" s="9">
        <f t="shared" si="0"/>
        <v>7</v>
      </c>
      <c r="B12" s="140" t="s">
        <v>115</v>
      </c>
      <c r="C12" s="141"/>
      <c r="D12" s="142" t="s">
        <v>116</v>
      </c>
      <c r="E12" s="143"/>
      <c r="F12" s="144"/>
      <c r="G12" s="101" t="s">
        <v>248</v>
      </c>
      <c r="H12" s="102">
        <v>2</v>
      </c>
      <c r="I12" s="106">
        <v>330</v>
      </c>
      <c r="J12" s="103">
        <f t="shared" si="1"/>
        <v>660</v>
      </c>
      <c r="K12" s="104"/>
      <c r="L12" s="101"/>
      <c r="Y12" s="10"/>
    </row>
    <row r="13" spans="1:25" ht="27" customHeight="1">
      <c r="A13" s="9">
        <f t="shared" si="0"/>
        <v>8</v>
      </c>
      <c r="B13" s="140" t="s">
        <v>117</v>
      </c>
      <c r="C13" s="141"/>
      <c r="D13" s="142" t="s">
        <v>118</v>
      </c>
      <c r="E13" s="143"/>
      <c r="F13" s="144"/>
      <c r="G13" s="101" t="s">
        <v>248</v>
      </c>
      <c r="H13" s="102">
        <v>1</v>
      </c>
      <c r="I13" s="103">
        <v>1784</v>
      </c>
      <c r="J13" s="103">
        <f t="shared" si="1"/>
        <v>1784</v>
      </c>
      <c r="K13" s="104"/>
      <c r="L13" s="105"/>
      <c r="Y13" s="10"/>
    </row>
    <row r="14" spans="1:25" ht="27" customHeight="1">
      <c r="A14" s="9">
        <f t="shared" si="0"/>
        <v>9</v>
      </c>
      <c r="B14" s="140" t="s">
        <v>105</v>
      </c>
      <c r="C14" s="141"/>
      <c r="D14" s="142" t="s">
        <v>119</v>
      </c>
      <c r="E14" s="143"/>
      <c r="F14" s="144"/>
      <c r="G14" s="101" t="s">
        <v>248</v>
      </c>
      <c r="H14" s="102">
        <v>4</v>
      </c>
      <c r="I14" s="103">
        <v>37</v>
      </c>
      <c r="J14" s="103">
        <f t="shared" si="1"/>
        <v>148</v>
      </c>
      <c r="K14" s="104"/>
      <c r="L14" s="105"/>
      <c r="Y14" s="10"/>
    </row>
    <row r="15" spans="1:25" ht="27" customHeight="1">
      <c r="A15" s="9">
        <f t="shared" si="0"/>
        <v>10</v>
      </c>
      <c r="B15" s="140" t="s">
        <v>120</v>
      </c>
      <c r="C15" s="141"/>
      <c r="D15" s="142" t="s">
        <v>121</v>
      </c>
      <c r="E15" s="143"/>
      <c r="F15" s="144"/>
      <c r="G15" s="101" t="s">
        <v>248</v>
      </c>
      <c r="H15" s="102">
        <v>4400</v>
      </c>
      <c r="I15" s="103">
        <v>3.1</v>
      </c>
      <c r="J15" s="103">
        <f t="shared" si="1"/>
        <v>13640</v>
      </c>
      <c r="K15" s="104"/>
      <c r="L15" s="105"/>
      <c r="Y15" s="10"/>
    </row>
    <row r="16" spans="1:25" ht="27" customHeight="1">
      <c r="A16" s="9">
        <f t="shared" si="0"/>
        <v>11</v>
      </c>
      <c r="B16" s="140" t="s">
        <v>122</v>
      </c>
      <c r="C16" s="141"/>
      <c r="D16" s="142" t="s">
        <v>123</v>
      </c>
      <c r="E16" s="143"/>
      <c r="F16" s="144"/>
      <c r="G16" s="101" t="s">
        <v>248</v>
      </c>
      <c r="H16" s="102">
        <v>300</v>
      </c>
      <c r="I16" s="106">
        <v>4</v>
      </c>
      <c r="J16" s="103">
        <f t="shared" si="1"/>
        <v>1200</v>
      </c>
      <c r="K16" s="104"/>
      <c r="L16" s="101"/>
      <c r="Y16" s="10"/>
    </row>
    <row r="17" spans="1:25" ht="27" customHeight="1">
      <c r="A17" s="9">
        <f t="shared" si="0"/>
        <v>12</v>
      </c>
      <c r="B17" s="140" t="s">
        <v>124</v>
      </c>
      <c r="C17" s="141"/>
      <c r="D17" s="142" t="s">
        <v>125</v>
      </c>
      <c r="E17" s="143"/>
      <c r="F17" s="144"/>
      <c r="G17" s="101" t="s">
        <v>248</v>
      </c>
      <c r="H17" s="102">
        <v>300</v>
      </c>
      <c r="I17" s="106">
        <v>9</v>
      </c>
      <c r="J17" s="103">
        <f t="shared" si="1"/>
        <v>2700</v>
      </c>
      <c r="K17" s="104"/>
      <c r="L17" s="101"/>
      <c r="Y17" s="10"/>
    </row>
    <row r="18" spans="1:25" ht="27" customHeight="1">
      <c r="A18" s="9">
        <f t="shared" si="0"/>
        <v>13</v>
      </c>
      <c r="B18" s="140" t="s">
        <v>126</v>
      </c>
      <c r="C18" s="141"/>
      <c r="D18" s="142" t="s">
        <v>127</v>
      </c>
      <c r="E18" s="143"/>
      <c r="F18" s="144"/>
      <c r="G18" s="101" t="s">
        <v>248</v>
      </c>
      <c r="H18" s="102">
        <v>1000</v>
      </c>
      <c r="I18" s="106">
        <v>1.6</v>
      </c>
      <c r="J18" s="103">
        <f t="shared" si="1"/>
        <v>1600</v>
      </c>
      <c r="K18" s="104"/>
      <c r="L18" s="101"/>
      <c r="Y18" s="10"/>
    </row>
    <row r="19" spans="1:25" ht="27" customHeight="1">
      <c r="A19" s="9">
        <f t="shared" si="0"/>
        <v>14</v>
      </c>
      <c r="B19" s="140" t="s">
        <v>99</v>
      </c>
      <c r="C19" s="141"/>
      <c r="D19" s="142"/>
      <c r="E19" s="143"/>
      <c r="F19" s="144"/>
      <c r="G19" s="101" t="s">
        <v>249</v>
      </c>
      <c r="H19" s="102">
        <v>1000</v>
      </c>
      <c r="I19" s="106">
        <v>0.55000000000000004</v>
      </c>
      <c r="J19" s="103">
        <f t="shared" si="1"/>
        <v>550</v>
      </c>
      <c r="K19" s="104"/>
      <c r="L19" s="101"/>
      <c r="Y19" s="10"/>
    </row>
    <row r="20" spans="1:25" ht="27" customHeight="1">
      <c r="A20" s="9">
        <f t="shared" si="0"/>
        <v>15</v>
      </c>
      <c r="B20" s="140" t="s">
        <v>100</v>
      </c>
      <c r="C20" s="141"/>
      <c r="D20" s="142" t="s">
        <v>127</v>
      </c>
      <c r="E20" s="143"/>
      <c r="F20" s="144"/>
      <c r="G20" s="101" t="s">
        <v>250</v>
      </c>
      <c r="H20" s="102">
        <v>25</v>
      </c>
      <c r="I20" s="106">
        <v>21</v>
      </c>
      <c r="J20" s="103">
        <f t="shared" si="1"/>
        <v>525</v>
      </c>
      <c r="K20" s="104"/>
      <c r="L20" s="101"/>
      <c r="Y20" s="10"/>
    </row>
    <row r="21" spans="1:25" ht="27" customHeight="1">
      <c r="A21" s="9">
        <f t="shared" si="0"/>
        <v>16</v>
      </c>
      <c r="B21" s="140" t="s">
        <v>128</v>
      </c>
      <c r="C21" s="141"/>
      <c r="D21" s="142" t="s">
        <v>129</v>
      </c>
      <c r="E21" s="143"/>
      <c r="F21" s="144"/>
      <c r="G21" s="101" t="s">
        <v>251</v>
      </c>
      <c r="H21" s="102">
        <v>25</v>
      </c>
      <c r="I21" s="106">
        <v>13</v>
      </c>
      <c r="J21" s="103">
        <f t="shared" si="1"/>
        <v>325</v>
      </c>
      <c r="K21" s="104"/>
      <c r="L21" s="101"/>
      <c r="Y21" s="10"/>
    </row>
    <row r="22" spans="1:25" ht="27" customHeight="1">
      <c r="A22" s="9">
        <f t="shared" si="0"/>
        <v>17</v>
      </c>
      <c r="B22" s="140" t="s">
        <v>128</v>
      </c>
      <c r="C22" s="141"/>
      <c r="D22" s="142" t="s">
        <v>130</v>
      </c>
      <c r="E22" s="143"/>
      <c r="F22" s="144"/>
      <c r="G22" s="101" t="s">
        <v>251</v>
      </c>
      <c r="H22" s="102">
        <v>75</v>
      </c>
      <c r="I22" s="106">
        <v>15</v>
      </c>
      <c r="J22" s="103">
        <f t="shared" si="1"/>
        <v>1125</v>
      </c>
      <c r="K22" s="104"/>
      <c r="L22" s="101"/>
      <c r="Y22" s="10"/>
    </row>
    <row r="23" spans="1:25" ht="27" customHeight="1">
      <c r="A23" s="9">
        <f t="shared" si="0"/>
        <v>18</v>
      </c>
      <c r="B23" s="140" t="s">
        <v>131</v>
      </c>
      <c r="C23" s="141"/>
      <c r="D23" s="142" t="s">
        <v>132</v>
      </c>
      <c r="E23" s="143"/>
      <c r="F23" s="144"/>
      <c r="G23" s="101" t="s">
        <v>248</v>
      </c>
      <c r="H23" s="102">
        <v>100</v>
      </c>
      <c r="I23" s="106">
        <v>12</v>
      </c>
      <c r="J23" s="103">
        <f t="shared" si="1"/>
        <v>1200</v>
      </c>
      <c r="K23" s="104"/>
      <c r="L23" s="101"/>
      <c r="Y23" s="10"/>
    </row>
    <row r="24" spans="1:25" ht="27" customHeight="1">
      <c r="A24" s="9">
        <f t="shared" si="0"/>
        <v>19</v>
      </c>
      <c r="B24" s="140" t="s">
        <v>133</v>
      </c>
      <c r="C24" s="141"/>
      <c r="D24" s="142" t="s">
        <v>132</v>
      </c>
      <c r="E24" s="143"/>
      <c r="F24" s="144"/>
      <c r="G24" s="101" t="s">
        <v>248</v>
      </c>
      <c r="H24" s="102">
        <v>100</v>
      </c>
      <c r="I24" s="106">
        <v>5.7</v>
      </c>
      <c r="J24" s="103">
        <f t="shared" si="1"/>
        <v>570</v>
      </c>
      <c r="K24" s="104"/>
      <c r="L24" s="101"/>
      <c r="Y24" s="10"/>
    </row>
    <row r="25" spans="1:25" ht="27" customHeight="1">
      <c r="A25" s="9">
        <f t="shared" si="0"/>
        <v>20</v>
      </c>
      <c r="B25" s="140" t="s">
        <v>134</v>
      </c>
      <c r="C25" s="141"/>
      <c r="D25" s="142" t="s">
        <v>135</v>
      </c>
      <c r="E25" s="143"/>
      <c r="F25" s="144"/>
      <c r="G25" s="101" t="s">
        <v>248</v>
      </c>
      <c r="H25" s="102">
        <v>600</v>
      </c>
      <c r="I25" s="106">
        <v>21</v>
      </c>
      <c r="J25" s="103">
        <f t="shared" si="1"/>
        <v>12600</v>
      </c>
      <c r="K25" s="104"/>
      <c r="L25" s="101"/>
      <c r="Y25" s="10"/>
    </row>
    <row r="26" spans="1:25" ht="27" customHeight="1">
      <c r="A26" s="9">
        <f t="shared" si="0"/>
        <v>21</v>
      </c>
      <c r="B26" s="140" t="s">
        <v>136</v>
      </c>
      <c r="C26" s="141"/>
      <c r="D26" s="142" t="s">
        <v>137</v>
      </c>
      <c r="E26" s="143"/>
      <c r="F26" s="144"/>
      <c r="G26" s="101" t="s">
        <v>248</v>
      </c>
      <c r="H26" s="102">
        <v>200</v>
      </c>
      <c r="I26" s="106">
        <v>2.2000000000000002</v>
      </c>
      <c r="J26" s="103">
        <f t="shared" si="1"/>
        <v>440.00000000000006</v>
      </c>
      <c r="K26" s="104"/>
      <c r="L26" s="101"/>
      <c r="Y26" s="10"/>
    </row>
    <row r="27" spans="1:25" ht="27" customHeight="1">
      <c r="A27" s="9">
        <f t="shared" si="0"/>
        <v>22</v>
      </c>
      <c r="B27" s="140" t="s">
        <v>138</v>
      </c>
      <c r="C27" s="141"/>
      <c r="D27" s="142" t="s">
        <v>139</v>
      </c>
      <c r="E27" s="143"/>
      <c r="F27" s="144"/>
      <c r="G27" s="101" t="s">
        <v>248</v>
      </c>
      <c r="H27" s="102">
        <v>100</v>
      </c>
      <c r="I27" s="106">
        <v>12</v>
      </c>
      <c r="J27" s="103">
        <f t="shared" si="1"/>
        <v>1200</v>
      </c>
      <c r="K27" s="104"/>
      <c r="L27" s="101"/>
      <c r="Y27" s="10"/>
    </row>
    <row r="28" spans="1:25" ht="27" customHeight="1">
      <c r="A28" s="9">
        <f t="shared" si="0"/>
        <v>23</v>
      </c>
      <c r="B28" s="140" t="s">
        <v>136</v>
      </c>
      <c r="C28" s="141"/>
      <c r="D28" s="142" t="s">
        <v>140</v>
      </c>
      <c r="E28" s="143"/>
      <c r="F28" s="144"/>
      <c r="G28" s="101" t="s">
        <v>248</v>
      </c>
      <c r="H28" s="102">
        <v>200</v>
      </c>
      <c r="I28" s="106">
        <v>12</v>
      </c>
      <c r="J28" s="103">
        <f t="shared" si="1"/>
        <v>2400</v>
      </c>
      <c r="K28" s="104"/>
      <c r="L28" s="101"/>
      <c r="Y28" s="10"/>
    </row>
    <row r="29" spans="1:25" ht="27" customHeight="1">
      <c r="A29" s="9">
        <f t="shared" si="0"/>
        <v>24</v>
      </c>
      <c r="B29" s="140" t="s">
        <v>136</v>
      </c>
      <c r="C29" s="141"/>
      <c r="D29" s="142" t="s">
        <v>141</v>
      </c>
      <c r="E29" s="143"/>
      <c r="F29" s="144"/>
      <c r="G29" s="101" t="s">
        <v>248</v>
      </c>
      <c r="H29" s="102">
        <v>200</v>
      </c>
      <c r="I29" s="106">
        <v>12</v>
      </c>
      <c r="J29" s="103">
        <f t="shared" si="1"/>
        <v>2400</v>
      </c>
      <c r="K29" s="104"/>
      <c r="L29" s="101"/>
      <c r="Y29" s="10"/>
    </row>
    <row r="30" spans="1:25" ht="27" customHeight="1">
      <c r="A30" s="9">
        <f t="shared" si="0"/>
        <v>25</v>
      </c>
      <c r="B30" s="140" t="s">
        <v>101</v>
      </c>
      <c r="C30" s="141"/>
      <c r="D30" s="142" t="s">
        <v>141</v>
      </c>
      <c r="E30" s="143"/>
      <c r="F30" s="144"/>
      <c r="G30" s="101" t="s">
        <v>248</v>
      </c>
      <c r="H30" s="102">
        <v>300</v>
      </c>
      <c r="I30" s="106">
        <v>4.8</v>
      </c>
      <c r="J30" s="103">
        <f t="shared" si="1"/>
        <v>1440</v>
      </c>
      <c r="K30" s="104"/>
      <c r="L30" s="101"/>
      <c r="Y30" s="10"/>
    </row>
    <row r="31" spans="1:25" ht="27" customHeight="1">
      <c r="A31" s="9">
        <f t="shared" si="0"/>
        <v>26</v>
      </c>
      <c r="B31" s="140" t="s">
        <v>142</v>
      </c>
      <c r="C31" s="141"/>
      <c r="D31" s="142" t="s">
        <v>143</v>
      </c>
      <c r="E31" s="143"/>
      <c r="F31" s="144"/>
      <c r="G31" s="101" t="s">
        <v>248</v>
      </c>
      <c r="H31" s="102">
        <v>300</v>
      </c>
      <c r="I31" s="106">
        <v>4.8</v>
      </c>
      <c r="J31" s="103">
        <f t="shared" si="1"/>
        <v>1440</v>
      </c>
      <c r="K31" s="104"/>
      <c r="L31" s="101"/>
      <c r="Y31" s="10"/>
    </row>
    <row r="32" spans="1:25" ht="27" customHeight="1">
      <c r="A32" s="9">
        <f t="shared" si="0"/>
        <v>27</v>
      </c>
      <c r="B32" s="140" t="s">
        <v>144</v>
      </c>
      <c r="C32" s="141"/>
      <c r="D32" s="142" t="s">
        <v>145</v>
      </c>
      <c r="E32" s="143"/>
      <c r="F32" s="144"/>
      <c r="G32" s="101" t="s">
        <v>248</v>
      </c>
      <c r="H32" s="102">
        <v>25</v>
      </c>
      <c r="I32" s="106">
        <v>7</v>
      </c>
      <c r="J32" s="103">
        <f t="shared" si="1"/>
        <v>175</v>
      </c>
      <c r="K32" s="104"/>
      <c r="L32" s="101"/>
      <c r="Y32" s="10"/>
    </row>
    <row r="33" spans="1:25" ht="27" customHeight="1">
      <c r="A33" s="9">
        <f t="shared" si="0"/>
        <v>28</v>
      </c>
      <c r="B33" s="140" t="s">
        <v>144</v>
      </c>
      <c r="C33" s="141"/>
      <c r="D33" s="142" t="s">
        <v>146</v>
      </c>
      <c r="E33" s="143"/>
      <c r="F33" s="144"/>
      <c r="G33" s="101" t="s">
        <v>248</v>
      </c>
      <c r="H33" s="102">
        <v>25</v>
      </c>
      <c r="I33" s="106">
        <v>12</v>
      </c>
      <c r="J33" s="103">
        <f t="shared" si="1"/>
        <v>300</v>
      </c>
      <c r="K33" s="104"/>
      <c r="L33" s="101"/>
      <c r="Y33" s="10"/>
    </row>
    <row r="34" spans="1:25" ht="27" customHeight="1">
      <c r="A34" s="9">
        <f t="shared" si="0"/>
        <v>29</v>
      </c>
      <c r="B34" s="140" t="s">
        <v>102</v>
      </c>
      <c r="C34" s="141"/>
      <c r="D34" s="142"/>
      <c r="E34" s="143"/>
      <c r="F34" s="144"/>
      <c r="G34" s="101" t="s">
        <v>248</v>
      </c>
      <c r="H34" s="102">
        <v>4</v>
      </c>
      <c r="I34" s="106">
        <v>42</v>
      </c>
      <c r="J34" s="103">
        <f t="shared" si="1"/>
        <v>168</v>
      </c>
      <c r="K34" s="104"/>
      <c r="L34" s="101"/>
      <c r="Y34" s="10"/>
    </row>
    <row r="35" spans="1:25" ht="27" customHeight="1">
      <c r="A35" s="9">
        <f t="shared" si="0"/>
        <v>30</v>
      </c>
      <c r="B35" s="140" t="s">
        <v>147</v>
      </c>
      <c r="C35" s="141"/>
      <c r="D35" s="142" t="s">
        <v>148</v>
      </c>
      <c r="E35" s="143"/>
      <c r="F35" s="144"/>
      <c r="G35" s="101" t="s">
        <v>248</v>
      </c>
      <c r="H35" s="102">
        <v>500</v>
      </c>
      <c r="I35" s="106">
        <v>2.2999999999999998</v>
      </c>
      <c r="J35" s="103">
        <f t="shared" si="1"/>
        <v>1150</v>
      </c>
      <c r="K35" s="104"/>
      <c r="L35" s="101"/>
      <c r="Y35" s="10"/>
    </row>
    <row r="36" spans="1:25" ht="27" customHeight="1">
      <c r="A36" s="9">
        <f t="shared" si="0"/>
        <v>31</v>
      </c>
      <c r="B36" s="140" t="s">
        <v>149</v>
      </c>
      <c r="C36" s="141"/>
      <c r="D36" s="142" t="s">
        <v>150</v>
      </c>
      <c r="E36" s="143"/>
      <c r="F36" s="144"/>
      <c r="G36" s="101" t="s">
        <v>248</v>
      </c>
      <c r="H36" s="102">
        <v>2000</v>
      </c>
      <c r="I36" s="106">
        <v>1.35</v>
      </c>
      <c r="J36" s="103">
        <f t="shared" si="1"/>
        <v>2700</v>
      </c>
      <c r="K36" s="104"/>
      <c r="L36" s="101"/>
      <c r="Y36" s="10"/>
    </row>
    <row r="37" spans="1:25" ht="27" customHeight="1">
      <c r="A37" s="9">
        <f t="shared" si="0"/>
        <v>32</v>
      </c>
      <c r="B37" s="140" t="s">
        <v>151</v>
      </c>
      <c r="C37" s="141"/>
      <c r="D37" s="142" t="s">
        <v>152</v>
      </c>
      <c r="E37" s="143"/>
      <c r="F37" s="144"/>
      <c r="G37" s="101" t="s">
        <v>252</v>
      </c>
      <c r="H37" s="102">
        <v>20</v>
      </c>
      <c r="I37" s="106">
        <v>92</v>
      </c>
      <c r="J37" s="103">
        <f t="shared" si="1"/>
        <v>1840</v>
      </c>
      <c r="K37" s="104"/>
      <c r="L37" s="101"/>
      <c r="Y37" s="10"/>
    </row>
    <row r="38" spans="1:25" ht="27" customHeight="1">
      <c r="A38" s="9">
        <f t="shared" si="0"/>
        <v>33</v>
      </c>
      <c r="B38" s="140" t="s">
        <v>153</v>
      </c>
      <c r="C38" s="141"/>
      <c r="D38" s="142" t="s">
        <v>154</v>
      </c>
      <c r="E38" s="143"/>
      <c r="F38" s="144"/>
      <c r="G38" s="101" t="s">
        <v>251</v>
      </c>
      <c r="H38" s="102">
        <v>1</v>
      </c>
      <c r="I38" s="106">
        <v>46</v>
      </c>
      <c r="J38" s="103">
        <f t="shared" si="1"/>
        <v>46</v>
      </c>
      <c r="K38" s="104"/>
      <c r="L38" s="101"/>
      <c r="Y38" s="10"/>
    </row>
    <row r="39" spans="1:25" ht="27" customHeight="1">
      <c r="A39" s="9">
        <f t="shared" si="0"/>
        <v>34</v>
      </c>
      <c r="B39" s="140" t="s">
        <v>155</v>
      </c>
      <c r="C39" s="141"/>
      <c r="D39" s="142" t="s">
        <v>156</v>
      </c>
      <c r="E39" s="143"/>
      <c r="F39" s="144"/>
      <c r="G39" s="101" t="s">
        <v>248</v>
      </c>
      <c r="H39" s="102">
        <v>8</v>
      </c>
      <c r="I39" s="106">
        <v>16</v>
      </c>
      <c r="J39" s="103">
        <f t="shared" si="1"/>
        <v>128</v>
      </c>
      <c r="K39" s="104"/>
      <c r="L39" s="101"/>
      <c r="Y39" s="10"/>
    </row>
    <row r="40" spans="1:25" ht="27" customHeight="1">
      <c r="A40" s="9">
        <f t="shared" si="0"/>
        <v>35</v>
      </c>
      <c r="B40" s="140" t="s">
        <v>157</v>
      </c>
      <c r="C40" s="141"/>
      <c r="D40" s="142" t="s">
        <v>158</v>
      </c>
      <c r="E40" s="143"/>
      <c r="F40" s="144"/>
      <c r="G40" s="101" t="s">
        <v>248</v>
      </c>
      <c r="H40" s="102">
        <v>2</v>
      </c>
      <c r="I40" s="106">
        <v>16</v>
      </c>
      <c r="J40" s="103">
        <f t="shared" si="1"/>
        <v>32</v>
      </c>
      <c r="K40" s="104"/>
      <c r="L40" s="101"/>
      <c r="Y40" s="10"/>
    </row>
    <row r="41" spans="1:25" ht="27" customHeight="1">
      <c r="A41" s="9">
        <f t="shared" si="0"/>
        <v>36</v>
      </c>
      <c r="B41" s="140" t="s">
        <v>159</v>
      </c>
      <c r="C41" s="141"/>
      <c r="D41" s="142" t="s">
        <v>160</v>
      </c>
      <c r="E41" s="143"/>
      <c r="F41" s="144"/>
      <c r="G41" s="101" t="s">
        <v>248</v>
      </c>
      <c r="H41" s="102">
        <v>48</v>
      </c>
      <c r="I41" s="106">
        <v>1.6</v>
      </c>
      <c r="J41" s="103">
        <f t="shared" si="1"/>
        <v>76.800000000000011</v>
      </c>
      <c r="K41" s="104"/>
      <c r="L41" s="101"/>
      <c r="Y41" s="10"/>
    </row>
    <row r="42" spans="1:25" ht="27" customHeight="1">
      <c r="A42" s="9">
        <f t="shared" si="0"/>
        <v>37</v>
      </c>
      <c r="B42" s="140" t="s">
        <v>159</v>
      </c>
      <c r="C42" s="141"/>
      <c r="D42" s="142" t="s">
        <v>161</v>
      </c>
      <c r="E42" s="143"/>
      <c r="F42" s="144"/>
      <c r="G42" s="101" t="s">
        <v>248</v>
      </c>
      <c r="H42" s="102">
        <v>48</v>
      </c>
      <c r="I42" s="106">
        <v>1.8</v>
      </c>
      <c r="J42" s="103">
        <f t="shared" si="1"/>
        <v>86.4</v>
      </c>
      <c r="K42" s="104"/>
      <c r="L42" s="101"/>
      <c r="Y42" s="10"/>
    </row>
    <row r="43" spans="1:25" ht="27" customHeight="1">
      <c r="A43" s="9">
        <f t="shared" si="0"/>
        <v>38</v>
      </c>
      <c r="B43" s="140" t="s">
        <v>159</v>
      </c>
      <c r="C43" s="141"/>
      <c r="D43" s="142" t="s">
        <v>162</v>
      </c>
      <c r="E43" s="143"/>
      <c r="F43" s="144"/>
      <c r="G43" s="101" t="s">
        <v>248</v>
      </c>
      <c r="H43" s="102">
        <v>48</v>
      </c>
      <c r="I43" s="106">
        <v>2</v>
      </c>
      <c r="J43" s="103">
        <f t="shared" si="1"/>
        <v>96</v>
      </c>
      <c r="K43" s="104"/>
      <c r="L43" s="101"/>
      <c r="Y43" s="10"/>
    </row>
    <row r="44" spans="1:25" ht="27" customHeight="1">
      <c r="A44" s="9">
        <f t="shared" si="0"/>
        <v>39</v>
      </c>
      <c r="B44" s="140" t="s">
        <v>163</v>
      </c>
      <c r="C44" s="141"/>
      <c r="D44" s="142" t="s">
        <v>164</v>
      </c>
      <c r="E44" s="143"/>
      <c r="F44" s="144"/>
      <c r="G44" s="101" t="s">
        <v>249</v>
      </c>
      <c r="H44" s="102">
        <v>360</v>
      </c>
      <c r="I44" s="106">
        <v>6.7</v>
      </c>
      <c r="J44" s="103">
        <f t="shared" si="1"/>
        <v>2412</v>
      </c>
      <c r="K44" s="104"/>
      <c r="L44" s="101"/>
      <c r="Y44" s="10"/>
    </row>
    <row r="45" spans="1:25" ht="27" customHeight="1">
      <c r="A45" s="9">
        <f t="shared" si="0"/>
        <v>40</v>
      </c>
      <c r="B45" s="140" t="s">
        <v>157</v>
      </c>
      <c r="C45" s="141"/>
      <c r="D45" s="142" t="s">
        <v>205</v>
      </c>
      <c r="E45" s="143"/>
      <c r="F45" s="144"/>
      <c r="G45" s="101" t="s">
        <v>248</v>
      </c>
      <c r="H45" s="102">
        <v>50</v>
      </c>
      <c r="I45" s="106">
        <v>5.5</v>
      </c>
      <c r="J45" s="103">
        <f t="shared" si="1"/>
        <v>275</v>
      </c>
      <c r="K45" s="104"/>
      <c r="L45" s="101"/>
      <c r="Y45" s="10"/>
    </row>
    <row r="46" spans="1:25" ht="27" customHeight="1">
      <c r="A46" s="9">
        <f t="shared" si="0"/>
        <v>41</v>
      </c>
      <c r="B46" s="140" t="s">
        <v>206</v>
      </c>
      <c r="C46" s="141"/>
      <c r="D46" s="142" t="s">
        <v>207</v>
      </c>
      <c r="E46" s="143"/>
      <c r="F46" s="144"/>
      <c r="G46" s="101" t="s">
        <v>248</v>
      </c>
      <c r="H46" s="102">
        <v>36</v>
      </c>
      <c r="I46" s="106">
        <v>7</v>
      </c>
      <c r="J46" s="103">
        <f t="shared" si="1"/>
        <v>252</v>
      </c>
      <c r="K46" s="104"/>
      <c r="L46" s="101"/>
      <c r="Y46" s="10"/>
    </row>
    <row r="47" spans="1:25" ht="27" customHeight="1">
      <c r="A47" s="9">
        <f t="shared" si="0"/>
        <v>42</v>
      </c>
      <c r="B47" s="140" t="s">
        <v>208</v>
      </c>
      <c r="C47" s="141"/>
      <c r="D47" s="142" t="s">
        <v>209</v>
      </c>
      <c r="E47" s="143"/>
      <c r="F47" s="144"/>
      <c r="G47" s="101" t="s">
        <v>249</v>
      </c>
      <c r="H47" s="102">
        <v>6500</v>
      </c>
      <c r="I47" s="106">
        <v>1.3</v>
      </c>
      <c r="J47" s="103">
        <f t="shared" si="1"/>
        <v>8450</v>
      </c>
      <c r="K47" s="104"/>
      <c r="L47" s="101"/>
      <c r="Y47" s="10"/>
    </row>
    <row r="48" spans="1:25" ht="27" customHeight="1">
      <c r="A48" s="9">
        <f t="shared" si="0"/>
        <v>43</v>
      </c>
      <c r="B48" s="140" t="s">
        <v>210</v>
      </c>
      <c r="C48" s="141"/>
      <c r="D48" s="142" t="s">
        <v>211</v>
      </c>
      <c r="E48" s="143"/>
      <c r="F48" s="144"/>
      <c r="G48" s="101" t="s">
        <v>248</v>
      </c>
      <c r="H48" s="102">
        <v>100</v>
      </c>
      <c r="I48" s="106">
        <v>50</v>
      </c>
      <c r="J48" s="103">
        <f t="shared" si="1"/>
        <v>5000</v>
      </c>
      <c r="K48" s="104"/>
      <c r="L48" s="101"/>
      <c r="Y48" s="10"/>
    </row>
    <row r="49" spans="1:25" ht="27" customHeight="1">
      <c r="A49" s="9">
        <f t="shared" si="0"/>
        <v>44</v>
      </c>
      <c r="B49" s="140" t="s">
        <v>212</v>
      </c>
      <c r="C49" s="141"/>
      <c r="D49" s="142" t="s">
        <v>213</v>
      </c>
      <c r="E49" s="143"/>
      <c r="F49" s="144"/>
      <c r="G49" s="101" t="s">
        <v>248</v>
      </c>
      <c r="H49" s="102">
        <v>30</v>
      </c>
      <c r="I49" s="106">
        <v>23.5</v>
      </c>
      <c r="J49" s="103">
        <f t="shared" si="1"/>
        <v>705</v>
      </c>
      <c r="K49" s="104"/>
      <c r="L49" s="101"/>
      <c r="Y49" s="10"/>
    </row>
    <row r="50" spans="1:25" ht="27" customHeight="1">
      <c r="A50" s="9">
        <f t="shared" si="0"/>
        <v>45</v>
      </c>
      <c r="B50" s="140" t="s">
        <v>214</v>
      </c>
      <c r="C50" s="141"/>
      <c r="D50" s="142" t="s">
        <v>215</v>
      </c>
      <c r="E50" s="143"/>
      <c r="F50" s="144"/>
      <c r="G50" s="101" t="s">
        <v>248</v>
      </c>
      <c r="H50" s="102">
        <v>30</v>
      </c>
      <c r="I50" s="106">
        <v>21</v>
      </c>
      <c r="J50" s="103">
        <f t="shared" si="1"/>
        <v>630</v>
      </c>
      <c r="K50" s="104"/>
      <c r="L50" s="101"/>
      <c r="Y50" s="10"/>
    </row>
    <row r="51" spans="1:25" ht="27" customHeight="1">
      <c r="A51" s="9">
        <f t="shared" si="0"/>
        <v>46</v>
      </c>
      <c r="B51" s="140" t="s">
        <v>216</v>
      </c>
      <c r="C51" s="141"/>
      <c r="D51" s="142" t="s">
        <v>217</v>
      </c>
      <c r="E51" s="143"/>
      <c r="F51" s="144"/>
      <c r="G51" s="101" t="s">
        <v>248</v>
      </c>
      <c r="H51" s="102">
        <v>60</v>
      </c>
      <c r="I51" s="106">
        <v>5.2</v>
      </c>
      <c r="J51" s="103">
        <f t="shared" si="1"/>
        <v>312</v>
      </c>
      <c r="K51" s="104"/>
      <c r="L51" s="101"/>
      <c r="Y51" s="10"/>
    </row>
    <row r="52" spans="1:25" ht="27" customHeight="1">
      <c r="A52" s="9">
        <f t="shared" si="0"/>
        <v>47</v>
      </c>
      <c r="B52" s="140" t="s">
        <v>218</v>
      </c>
      <c r="C52" s="141"/>
      <c r="D52" s="142" t="s">
        <v>219</v>
      </c>
      <c r="E52" s="143"/>
      <c r="F52" s="144"/>
      <c r="G52" s="101" t="s">
        <v>248</v>
      </c>
      <c r="H52" s="102">
        <v>50</v>
      </c>
      <c r="I52" s="106">
        <v>8</v>
      </c>
      <c r="J52" s="103">
        <f t="shared" si="1"/>
        <v>400</v>
      </c>
      <c r="K52" s="104"/>
      <c r="L52" s="101"/>
      <c r="Y52" s="10"/>
    </row>
    <row r="53" spans="1:25" ht="27" customHeight="1">
      <c r="A53" s="9">
        <f t="shared" si="0"/>
        <v>48</v>
      </c>
      <c r="B53" s="140" t="s">
        <v>218</v>
      </c>
      <c r="C53" s="141"/>
      <c r="D53" s="142" t="s">
        <v>220</v>
      </c>
      <c r="E53" s="143"/>
      <c r="F53" s="144"/>
      <c r="G53" s="101" t="s">
        <v>248</v>
      </c>
      <c r="H53" s="102">
        <v>50</v>
      </c>
      <c r="I53" s="106">
        <v>5</v>
      </c>
      <c r="J53" s="103">
        <f t="shared" si="1"/>
        <v>250</v>
      </c>
      <c r="K53" s="104"/>
      <c r="L53" s="101"/>
      <c r="Y53" s="10"/>
    </row>
    <row r="54" spans="1:25" ht="27" customHeight="1">
      <c r="A54" s="9">
        <f t="shared" si="0"/>
        <v>49</v>
      </c>
      <c r="B54" s="140" t="s">
        <v>221</v>
      </c>
      <c r="C54" s="141"/>
      <c r="D54" s="142" t="s">
        <v>222</v>
      </c>
      <c r="E54" s="143"/>
      <c r="F54" s="144"/>
      <c r="G54" s="101" t="s">
        <v>248</v>
      </c>
      <c r="H54" s="102">
        <v>10</v>
      </c>
      <c r="I54" s="106">
        <v>104</v>
      </c>
      <c r="J54" s="103">
        <f t="shared" si="1"/>
        <v>1040</v>
      </c>
      <c r="K54" s="104"/>
      <c r="L54" s="101"/>
      <c r="Y54" s="10"/>
    </row>
    <row r="55" spans="1:25" ht="27" customHeight="1">
      <c r="A55" s="9">
        <f t="shared" si="0"/>
        <v>50</v>
      </c>
      <c r="B55" s="140" t="s">
        <v>223</v>
      </c>
      <c r="C55" s="141"/>
      <c r="D55" s="142" t="s">
        <v>224</v>
      </c>
      <c r="E55" s="143"/>
      <c r="F55" s="144"/>
      <c r="G55" s="101" t="s">
        <v>251</v>
      </c>
      <c r="H55" s="102">
        <v>15</v>
      </c>
      <c r="I55" s="106">
        <v>1240</v>
      </c>
      <c r="J55" s="103">
        <f t="shared" si="1"/>
        <v>18600</v>
      </c>
      <c r="K55" s="104"/>
      <c r="L55" s="101"/>
      <c r="Y55" s="10"/>
    </row>
    <row r="56" spans="1:25" ht="27" customHeight="1">
      <c r="A56" s="9">
        <f t="shared" si="0"/>
        <v>51</v>
      </c>
      <c r="B56" s="140" t="s">
        <v>188</v>
      </c>
      <c r="C56" s="141"/>
      <c r="D56" s="142" t="s">
        <v>225</v>
      </c>
      <c r="E56" s="143"/>
      <c r="F56" s="144"/>
      <c r="G56" s="101" t="s">
        <v>248</v>
      </c>
      <c r="H56" s="102">
        <v>15</v>
      </c>
      <c r="I56" s="106">
        <v>320</v>
      </c>
      <c r="J56" s="103">
        <f t="shared" si="1"/>
        <v>4800</v>
      </c>
      <c r="K56" s="104"/>
      <c r="L56" s="101"/>
      <c r="Y56" s="10"/>
    </row>
    <row r="57" spans="1:25" ht="27" customHeight="1">
      <c r="A57" s="9">
        <f t="shared" si="0"/>
        <v>52</v>
      </c>
      <c r="B57" s="140" t="s">
        <v>226</v>
      </c>
      <c r="C57" s="141"/>
      <c r="D57" s="142" t="s">
        <v>227</v>
      </c>
      <c r="E57" s="143"/>
      <c r="F57" s="144"/>
      <c r="G57" s="101" t="s">
        <v>248</v>
      </c>
      <c r="H57" s="102">
        <v>20</v>
      </c>
      <c r="I57" s="106">
        <v>36</v>
      </c>
      <c r="J57" s="103">
        <f t="shared" si="1"/>
        <v>720</v>
      </c>
      <c r="K57" s="104"/>
      <c r="L57" s="101"/>
      <c r="Y57" s="10"/>
    </row>
    <row r="58" spans="1:25" ht="27" customHeight="1">
      <c r="A58" s="9">
        <f t="shared" si="0"/>
        <v>53</v>
      </c>
      <c r="B58" s="140" t="s">
        <v>228</v>
      </c>
      <c r="C58" s="141"/>
      <c r="D58" s="142" t="s">
        <v>229</v>
      </c>
      <c r="E58" s="143"/>
      <c r="F58" s="144"/>
      <c r="G58" s="101" t="s">
        <v>248</v>
      </c>
      <c r="H58" s="102">
        <v>10</v>
      </c>
      <c r="I58" s="106">
        <v>54</v>
      </c>
      <c r="J58" s="103">
        <f t="shared" si="1"/>
        <v>540</v>
      </c>
      <c r="K58" s="104"/>
      <c r="L58" s="101"/>
      <c r="Y58" s="10"/>
    </row>
    <row r="59" spans="1:25" ht="27" customHeight="1">
      <c r="A59" s="9">
        <f t="shared" si="0"/>
        <v>54</v>
      </c>
      <c r="B59" s="140" t="s">
        <v>230</v>
      </c>
      <c r="C59" s="141"/>
      <c r="D59" s="142" t="s">
        <v>231</v>
      </c>
      <c r="E59" s="143"/>
      <c r="F59" s="144"/>
      <c r="G59" s="101" t="s">
        <v>248</v>
      </c>
      <c r="H59" s="102">
        <v>1</v>
      </c>
      <c r="I59" s="106">
        <v>403</v>
      </c>
      <c r="J59" s="103">
        <f t="shared" si="1"/>
        <v>403</v>
      </c>
      <c r="K59" s="104"/>
      <c r="L59" s="101"/>
      <c r="Y59" s="10"/>
    </row>
    <row r="60" spans="1:25" ht="27" customHeight="1">
      <c r="A60" s="9">
        <f t="shared" si="0"/>
        <v>55</v>
      </c>
      <c r="B60" s="140" t="s">
        <v>232</v>
      </c>
      <c r="C60" s="141"/>
      <c r="D60" s="142" t="s">
        <v>233</v>
      </c>
      <c r="E60" s="143"/>
      <c r="F60" s="144"/>
      <c r="G60" s="101" t="s">
        <v>248</v>
      </c>
      <c r="H60" s="102">
        <v>1</v>
      </c>
      <c r="I60" s="106">
        <v>164</v>
      </c>
      <c r="J60" s="103">
        <f t="shared" si="1"/>
        <v>164</v>
      </c>
      <c r="K60" s="104"/>
      <c r="L60" s="101"/>
      <c r="Y60" s="10"/>
    </row>
    <row r="61" spans="1:25" ht="27" customHeight="1">
      <c r="A61" s="9">
        <f t="shared" si="0"/>
        <v>56</v>
      </c>
      <c r="B61" s="140" t="s">
        <v>103</v>
      </c>
      <c r="C61" s="141"/>
      <c r="D61" s="142"/>
      <c r="E61" s="143"/>
      <c r="F61" s="144"/>
      <c r="G61" s="101" t="s">
        <v>248</v>
      </c>
      <c r="H61" s="102">
        <v>240</v>
      </c>
      <c r="I61" s="106">
        <v>3.6</v>
      </c>
      <c r="J61" s="103">
        <f t="shared" si="1"/>
        <v>864</v>
      </c>
      <c r="K61" s="104"/>
      <c r="L61" s="101"/>
      <c r="Y61" s="10"/>
    </row>
    <row r="62" spans="1:25" ht="27" customHeight="1">
      <c r="A62" s="9">
        <f t="shared" si="0"/>
        <v>57</v>
      </c>
      <c r="B62" s="140" t="s">
        <v>234</v>
      </c>
      <c r="C62" s="141"/>
      <c r="D62" s="142" t="s">
        <v>235</v>
      </c>
      <c r="E62" s="143"/>
      <c r="F62" s="144"/>
      <c r="G62" s="101" t="s">
        <v>248</v>
      </c>
      <c r="H62" s="102">
        <v>50</v>
      </c>
      <c r="I62" s="106">
        <v>9</v>
      </c>
      <c r="J62" s="103">
        <f t="shared" si="1"/>
        <v>450</v>
      </c>
      <c r="K62" s="104"/>
      <c r="L62" s="101"/>
      <c r="Y62" s="10"/>
    </row>
    <row r="63" spans="1:25" ht="27" customHeight="1">
      <c r="A63" s="9">
        <f t="shared" si="0"/>
        <v>58</v>
      </c>
      <c r="B63" s="140" t="s">
        <v>236</v>
      </c>
      <c r="C63" s="141"/>
      <c r="D63" s="142" t="s">
        <v>237</v>
      </c>
      <c r="E63" s="143"/>
      <c r="F63" s="144"/>
      <c r="G63" s="101" t="s">
        <v>248</v>
      </c>
      <c r="H63" s="102">
        <v>700</v>
      </c>
      <c r="I63" s="106">
        <v>4</v>
      </c>
      <c r="J63" s="103">
        <f t="shared" si="1"/>
        <v>2800</v>
      </c>
      <c r="K63" s="104"/>
      <c r="L63" s="101"/>
      <c r="Y63" s="10"/>
    </row>
    <row r="64" spans="1:25" ht="27" customHeight="1">
      <c r="A64" s="9">
        <f t="shared" si="0"/>
        <v>59</v>
      </c>
      <c r="B64" s="140" t="s">
        <v>238</v>
      </c>
      <c r="C64" s="141"/>
      <c r="D64" s="142" t="s">
        <v>239</v>
      </c>
      <c r="E64" s="143"/>
      <c r="F64" s="144"/>
      <c r="G64" s="101" t="s">
        <v>248</v>
      </c>
      <c r="H64" s="102">
        <v>25</v>
      </c>
      <c r="I64" s="106">
        <v>9</v>
      </c>
      <c r="J64" s="103">
        <f t="shared" si="1"/>
        <v>225</v>
      </c>
      <c r="K64" s="104"/>
      <c r="L64" s="101"/>
      <c r="Y64" s="10"/>
    </row>
    <row r="65" spans="1:25" ht="27" customHeight="1">
      <c r="A65" s="9">
        <f t="shared" si="0"/>
        <v>60</v>
      </c>
      <c r="B65" s="140" t="s">
        <v>240</v>
      </c>
      <c r="C65" s="141"/>
      <c r="D65" s="142" t="s">
        <v>241</v>
      </c>
      <c r="E65" s="143"/>
      <c r="F65" s="144"/>
      <c r="G65" s="101" t="s">
        <v>248</v>
      </c>
      <c r="H65" s="102">
        <v>25</v>
      </c>
      <c r="I65" s="106">
        <v>10</v>
      </c>
      <c r="J65" s="103">
        <f t="shared" si="1"/>
        <v>250</v>
      </c>
      <c r="K65" s="104"/>
      <c r="L65" s="101"/>
      <c r="Y65" s="10"/>
    </row>
    <row r="66" spans="1:25" ht="27" customHeight="1">
      <c r="A66" s="9">
        <f t="shared" si="0"/>
        <v>61</v>
      </c>
      <c r="B66" s="140" t="s">
        <v>238</v>
      </c>
      <c r="C66" s="141"/>
      <c r="D66" s="142" t="s">
        <v>242</v>
      </c>
      <c r="E66" s="143"/>
      <c r="F66" s="144"/>
      <c r="G66" s="101" t="s">
        <v>248</v>
      </c>
      <c r="H66" s="102">
        <v>25</v>
      </c>
      <c r="I66" s="106">
        <v>11</v>
      </c>
      <c r="J66" s="103">
        <f t="shared" si="1"/>
        <v>275</v>
      </c>
      <c r="K66" s="104"/>
      <c r="L66" s="101"/>
      <c r="Y66" s="10"/>
    </row>
    <row r="67" spans="1:25" ht="27" customHeight="1">
      <c r="A67" s="9">
        <f t="shared" si="0"/>
        <v>62</v>
      </c>
      <c r="B67" s="140" t="s">
        <v>238</v>
      </c>
      <c r="C67" s="141"/>
      <c r="D67" s="142" t="s">
        <v>243</v>
      </c>
      <c r="E67" s="143"/>
      <c r="F67" s="144"/>
      <c r="G67" s="101" t="s">
        <v>248</v>
      </c>
      <c r="H67" s="102">
        <v>25</v>
      </c>
      <c r="I67" s="106">
        <v>12</v>
      </c>
      <c r="J67" s="103">
        <f t="shared" si="1"/>
        <v>300</v>
      </c>
      <c r="K67" s="104"/>
      <c r="L67" s="101"/>
      <c r="Y67" s="10"/>
    </row>
    <row r="68" spans="1:25" ht="27" customHeight="1">
      <c r="A68" s="9">
        <f t="shared" si="0"/>
        <v>63</v>
      </c>
      <c r="B68" s="140" t="s">
        <v>240</v>
      </c>
      <c r="C68" s="141"/>
      <c r="D68" s="142" t="s">
        <v>244</v>
      </c>
      <c r="E68" s="143"/>
      <c r="F68" s="144"/>
      <c r="G68" s="101" t="s">
        <v>248</v>
      </c>
      <c r="H68" s="102">
        <v>25</v>
      </c>
      <c r="I68" s="106">
        <v>13</v>
      </c>
      <c r="J68" s="103">
        <f t="shared" si="1"/>
        <v>325</v>
      </c>
      <c r="K68" s="104"/>
      <c r="L68" s="101"/>
      <c r="Y68" s="10"/>
    </row>
    <row r="69" spans="1:25" ht="27" customHeight="1">
      <c r="A69" s="9">
        <f t="shared" si="0"/>
        <v>64</v>
      </c>
      <c r="B69" s="140" t="s">
        <v>238</v>
      </c>
      <c r="C69" s="141"/>
      <c r="D69" s="142" t="s">
        <v>245</v>
      </c>
      <c r="E69" s="143"/>
      <c r="F69" s="144"/>
      <c r="G69" s="101" t="s">
        <v>248</v>
      </c>
      <c r="H69" s="102">
        <v>25</v>
      </c>
      <c r="I69" s="106">
        <v>14</v>
      </c>
      <c r="J69" s="103">
        <f t="shared" si="1"/>
        <v>350</v>
      </c>
      <c r="K69" s="104"/>
      <c r="L69" s="101"/>
      <c r="Y69" s="10"/>
    </row>
    <row r="70" spans="1:25" ht="27" customHeight="1">
      <c r="A70" s="9">
        <f t="shared" ref="A70:A93" si="2">ROW(A65)</f>
        <v>65</v>
      </c>
      <c r="B70" s="140" t="s">
        <v>246</v>
      </c>
      <c r="C70" s="141"/>
      <c r="D70" s="142" t="s">
        <v>247</v>
      </c>
      <c r="E70" s="143"/>
      <c r="F70" s="144"/>
      <c r="G70" s="101" t="s">
        <v>249</v>
      </c>
      <c r="H70" s="102">
        <v>200</v>
      </c>
      <c r="I70" s="106">
        <v>2.2999999999999998</v>
      </c>
      <c r="J70" s="103">
        <f t="shared" si="1"/>
        <v>459.99999999999994</v>
      </c>
      <c r="K70" s="104"/>
      <c r="L70" s="101"/>
      <c r="Y70" s="10"/>
    </row>
    <row r="71" spans="1:25" ht="27" customHeight="1">
      <c r="A71" s="9">
        <f t="shared" si="2"/>
        <v>66</v>
      </c>
      <c r="B71" s="140" t="s">
        <v>203</v>
      </c>
      <c r="C71" s="141"/>
      <c r="D71" s="142" t="s">
        <v>204</v>
      </c>
      <c r="E71" s="143"/>
      <c r="F71" s="144"/>
      <c r="G71" s="101" t="s">
        <v>248</v>
      </c>
      <c r="H71" s="102">
        <v>2</v>
      </c>
      <c r="I71" s="106">
        <v>22</v>
      </c>
      <c r="J71" s="103">
        <f t="shared" ref="J71:J93" si="3">+H71*I71</f>
        <v>44</v>
      </c>
      <c r="K71" s="104"/>
      <c r="L71" s="101"/>
      <c r="Y71" s="10"/>
    </row>
    <row r="72" spans="1:25" ht="27" customHeight="1">
      <c r="A72" s="9">
        <f t="shared" si="2"/>
        <v>67</v>
      </c>
      <c r="B72" s="140" t="s">
        <v>201</v>
      </c>
      <c r="C72" s="141"/>
      <c r="D72" s="142" t="s">
        <v>202</v>
      </c>
      <c r="E72" s="143"/>
      <c r="F72" s="144"/>
      <c r="G72" s="101" t="s">
        <v>248</v>
      </c>
      <c r="H72" s="102">
        <v>1</v>
      </c>
      <c r="I72" s="106">
        <v>15</v>
      </c>
      <c r="J72" s="103">
        <f t="shared" si="3"/>
        <v>15</v>
      </c>
      <c r="K72" s="104"/>
      <c r="L72" s="101"/>
      <c r="Y72" s="10"/>
    </row>
    <row r="73" spans="1:25" ht="27" customHeight="1">
      <c r="A73" s="9">
        <f t="shared" si="2"/>
        <v>68</v>
      </c>
      <c r="B73" s="140" t="s">
        <v>199</v>
      </c>
      <c r="C73" s="141"/>
      <c r="D73" s="142" t="s">
        <v>200</v>
      </c>
      <c r="E73" s="143"/>
      <c r="F73" s="144"/>
      <c r="G73" s="101" t="s">
        <v>248</v>
      </c>
      <c r="H73" s="102">
        <v>6</v>
      </c>
      <c r="I73" s="106">
        <v>850</v>
      </c>
      <c r="J73" s="103">
        <f t="shared" si="3"/>
        <v>5100</v>
      </c>
      <c r="K73" s="104"/>
      <c r="L73" s="101"/>
      <c r="Y73" s="10"/>
    </row>
    <row r="74" spans="1:25" ht="27" customHeight="1">
      <c r="A74" s="9">
        <f t="shared" si="2"/>
        <v>69</v>
      </c>
      <c r="B74" s="140" t="s">
        <v>271</v>
      </c>
      <c r="C74" s="141"/>
      <c r="D74" s="142" t="s">
        <v>198</v>
      </c>
      <c r="E74" s="143"/>
      <c r="F74" s="144"/>
      <c r="G74" s="101" t="s">
        <v>248</v>
      </c>
      <c r="H74" s="102">
        <v>1</v>
      </c>
      <c r="I74" s="106">
        <v>460</v>
      </c>
      <c r="J74" s="103">
        <f t="shared" si="3"/>
        <v>460</v>
      </c>
      <c r="K74" s="104"/>
      <c r="L74" s="101"/>
      <c r="Y74" s="10"/>
    </row>
    <row r="75" spans="1:25" ht="27" customHeight="1">
      <c r="A75" s="9">
        <f t="shared" si="2"/>
        <v>70</v>
      </c>
      <c r="B75" s="140" t="s">
        <v>196</v>
      </c>
      <c r="C75" s="141"/>
      <c r="D75" s="142" t="s">
        <v>197</v>
      </c>
      <c r="E75" s="143"/>
      <c r="F75" s="144"/>
      <c r="G75" s="101" t="s">
        <v>248</v>
      </c>
      <c r="H75" s="102">
        <v>5</v>
      </c>
      <c r="I75" s="106">
        <v>88</v>
      </c>
      <c r="J75" s="103">
        <f t="shared" si="3"/>
        <v>440</v>
      </c>
      <c r="K75" s="104"/>
      <c r="L75" s="101"/>
      <c r="Y75" s="10"/>
    </row>
    <row r="76" spans="1:25" ht="27" customHeight="1">
      <c r="A76" s="9">
        <f t="shared" si="2"/>
        <v>71</v>
      </c>
      <c r="B76" s="140" t="s">
        <v>194</v>
      </c>
      <c r="C76" s="141"/>
      <c r="D76" s="142" t="s">
        <v>195</v>
      </c>
      <c r="E76" s="143"/>
      <c r="F76" s="144"/>
      <c r="G76" s="101" t="s">
        <v>248</v>
      </c>
      <c r="H76" s="102">
        <v>7</v>
      </c>
      <c r="I76" s="106">
        <v>210</v>
      </c>
      <c r="J76" s="103">
        <f t="shared" si="3"/>
        <v>1470</v>
      </c>
      <c r="K76" s="104"/>
      <c r="L76" s="101"/>
      <c r="Y76" s="10"/>
    </row>
    <row r="77" spans="1:25" ht="27" customHeight="1">
      <c r="A77" s="9">
        <f t="shared" si="2"/>
        <v>72</v>
      </c>
      <c r="B77" s="140" t="s">
        <v>272</v>
      </c>
      <c r="C77" s="141"/>
      <c r="D77" s="142" t="s">
        <v>273</v>
      </c>
      <c r="E77" s="143"/>
      <c r="F77" s="144"/>
      <c r="G77" s="101" t="s">
        <v>248</v>
      </c>
      <c r="H77" s="102">
        <v>2</v>
      </c>
      <c r="I77" s="106">
        <v>615</v>
      </c>
      <c r="J77" s="103">
        <f t="shared" si="3"/>
        <v>1230</v>
      </c>
      <c r="K77" s="104"/>
      <c r="L77" s="101"/>
      <c r="Y77" s="10"/>
    </row>
    <row r="78" spans="1:25" ht="27" customHeight="1">
      <c r="A78" s="9">
        <f t="shared" si="2"/>
        <v>73</v>
      </c>
      <c r="B78" s="140" t="s">
        <v>192</v>
      </c>
      <c r="C78" s="141"/>
      <c r="D78" s="142" t="s">
        <v>193</v>
      </c>
      <c r="E78" s="143"/>
      <c r="F78" s="144"/>
      <c r="G78" s="101" t="s">
        <v>248</v>
      </c>
      <c r="H78" s="102">
        <v>1</v>
      </c>
      <c r="I78" s="106">
        <v>7</v>
      </c>
      <c r="J78" s="103">
        <f t="shared" si="3"/>
        <v>7</v>
      </c>
      <c r="K78" s="104"/>
      <c r="L78" s="101"/>
      <c r="Y78" s="10"/>
    </row>
    <row r="79" spans="1:25" ht="27" customHeight="1">
      <c r="A79" s="9">
        <f t="shared" si="2"/>
        <v>74</v>
      </c>
      <c r="B79" s="140" t="s">
        <v>190</v>
      </c>
      <c r="C79" s="141"/>
      <c r="D79" s="142" t="s">
        <v>191</v>
      </c>
      <c r="E79" s="143"/>
      <c r="F79" s="144"/>
      <c r="G79" s="101" t="s">
        <v>248</v>
      </c>
      <c r="H79" s="102">
        <v>1</v>
      </c>
      <c r="I79" s="106">
        <v>10.5</v>
      </c>
      <c r="J79" s="103">
        <f t="shared" si="3"/>
        <v>10.5</v>
      </c>
      <c r="K79" s="104"/>
      <c r="L79" s="101"/>
      <c r="Y79" s="10"/>
    </row>
    <row r="80" spans="1:25" ht="27" customHeight="1">
      <c r="A80" s="9">
        <f t="shared" si="2"/>
        <v>75</v>
      </c>
      <c r="B80" s="140" t="s">
        <v>188</v>
      </c>
      <c r="C80" s="141"/>
      <c r="D80" s="142" t="s">
        <v>189</v>
      </c>
      <c r="E80" s="143"/>
      <c r="F80" s="144"/>
      <c r="G80" s="101" t="s">
        <v>248</v>
      </c>
      <c r="H80" s="102">
        <v>1</v>
      </c>
      <c r="I80" s="106">
        <v>320</v>
      </c>
      <c r="J80" s="103">
        <f t="shared" si="3"/>
        <v>320</v>
      </c>
      <c r="K80" s="104"/>
      <c r="L80" s="101"/>
      <c r="Y80" s="10"/>
    </row>
    <row r="81" spans="1:26" ht="27" customHeight="1">
      <c r="A81" s="9">
        <f t="shared" si="2"/>
        <v>76</v>
      </c>
      <c r="B81" s="140" t="s">
        <v>186</v>
      </c>
      <c r="C81" s="141"/>
      <c r="D81" s="142" t="s">
        <v>187</v>
      </c>
      <c r="E81" s="143"/>
      <c r="F81" s="144"/>
      <c r="G81" s="101" t="s">
        <v>248</v>
      </c>
      <c r="H81" s="102">
        <v>1</v>
      </c>
      <c r="I81" s="106">
        <v>1530</v>
      </c>
      <c r="J81" s="103">
        <f t="shared" si="3"/>
        <v>1530</v>
      </c>
      <c r="K81" s="104"/>
      <c r="L81" s="101"/>
      <c r="Y81" s="10"/>
    </row>
    <row r="82" spans="1:26" ht="27" customHeight="1">
      <c r="A82" s="9">
        <f t="shared" si="2"/>
        <v>77</v>
      </c>
      <c r="B82" s="140" t="s">
        <v>184</v>
      </c>
      <c r="C82" s="141"/>
      <c r="D82" s="142" t="s">
        <v>185</v>
      </c>
      <c r="E82" s="143"/>
      <c r="F82" s="144"/>
      <c r="G82" s="101" t="s">
        <v>248</v>
      </c>
      <c r="H82" s="102">
        <v>1</v>
      </c>
      <c r="I82" s="106">
        <v>6700</v>
      </c>
      <c r="J82" s="103">
        <f t="shared" si="3"/>
        <v>6700</v>
      </c>
      <c r="K82" s="104"/>
      <c r="L82" s="101"/>
      <c r="Y82" s="10"/>
    </row>
    <row r="83" spans="1:26" ht="27" customHeight="1">
      <c r="A83" s="9">
        <f t="shared" si="2"/>
        <v>78</v>
      </c>
      <c r="B83" s="140" t="s">
        <v>182</v>
      </c>
      <c r="C83" s="141"/>
      <c r="D83" s="142" t="s">
        <v>183</v>
      </c>
      <c r="E83" s="143"/>
      <c r="F83" s="144"/>
      <c r="G83" s="101" t="s">
        <v>248</v>
      </c>
      <c r="H83" s="102">
        <v>10</v>
      </c>
      <c r="I83" s="106">
        <v>420</v>
      </c>
      <c r="J83" s="103">
        <f t="shared" si="3"/>
        <v>4200</v>
      </c>
      <c r="K83" s="104"/>
      <c r="L83" s="101"/>
      <c r="Y83" s="10"/>
    </row>
    <row r="84" spans="1:26" ht="27" customHeight="1">
      <c r="A84" s="9">
        <f t="shared" si="2"/>
        <v>79</v>
      </c>
      <c r="B84" s="140" t="s">
        <v>104</v>
      </c>
      <c r="C84" s="141"/>
      <c r="D84" s="142"/>
      <c r="E84" s="143"/>
      <c r="F84" s="144"/>
      <c r="G84" s="101" t="s">
        <v>248</v>
      </c>
      <c r="H84" s="102">
        <v>5</v>
      </c>
      <c r="I84" s="106">
        <v>2.5</v>
      </c>
      <c r="J84" s="103">
        <f t="shared" si="3"/>
        <v>12.5</v>
      </c>
      <c r="K84" s="104"/>
      <c r="L84" s="101"/>
      <c r="Y84" s="10"/>
    </row>
    <row r="85" spans="1:26" ht="27" customHeight="1">
      <c r="A85" s="9">
        <f t="shared" si="2"/>
        <v>80</v>
      </c>
      <c r="B85" s="140" t="s">
        <v>180</v>
      </c>
      <c r="C85" s="141"/>
      <c r="D85" s="142" t="s">
        <v>181</v>
      </c>
      <c r="E85" s="143"/>
      <c r="F85" s="144"/>
      <c r="G85" s="101" t="s">
        <v>248</v>
      </c>
      <c r="H85" s="102">
        <v>50</v>
      </c>
      <c r="I85" s="106">
        <v>3.1</v>
      </c>
      <c r="J85" s="103">
        <f t="shared" si="3"/>
        <v>155</v>
      </c>
      <c r="K85" s="104"/>
      <c r="L85" s="101"/>
      <c r="Y85" s="10"/>
    </row>
    <row r="86" spans="1:26" ht="27" customHeight="1">
      <c r="A86" s="9">
        <f t="shared" si="2"/>
        <v>81</v>
      </c>
      <c r="B86" s="140" t="s">
        <v>178</v>
      </c>
      <c r="C86" s="141"/>
      <c r="D86" s="142" t="s">
        <v>179</v>
      </c>
      <c r="E86" s="143"/>
      <c r="F86" s="144"/>
      <c r="G86" s="101" t="s">
        <v>248</v>
      </c>
      <c r="H86" s="102">
        <v>2000</v>
      </c>
      <c r="I86" s="106">
        <v>1.3</v>
      </c>
      <c r="J86" s="103">
        <f t="shared" si="3"/>
        <v>2600</v>
      </c>
      <c r="K86" s="104"/>
      <c r="L86" s="101"/>
      <c r="Y86" s="10"/>
    </row>
    <row r="87" spans="1:26" ht="27" customHeight="1">
      <c r="A87" s="9">
        <f t="shared" si="2"/>
        <v>82</v>
      </c>
      <c r="B87" s="140" t="s">
        <v>176</v>
      </c>
      <c r="C87" s="141"/>
      <c r="D87" s="142" t="s">
        <v>177</v>
      </c>
      <c r="E87" s="143"/>
      <c r="F87" s="144"/>
      <c r="G87" s="101" t="s">
        <v>248</v>
      </c>
      <c r="H87" s="102">
        <v>400</v>
      </c>
      <c r="I87" s="106">
        <v>2.1</v>
      </c>
      <c r="J87" s="103">
        <f t="shared" si="3"/>
        <v>840</v>
      </c>
      <c r="K87" s="104"/>
      <c r="L87" s="101"/>
      <c r="Y87" s="10"/>
    </row>
    <row r="88" spans="1:26" ht="27" customHeight="1">
      <c r="A88" s="9">
        <f t="shared" si="2"/>
        <v>83</v>
      </c>
      <c r="B88" s="140" t="s">
        <v>174</v>
      </c>
      <c r="C88" s="141"/>
      <c r="D88" s="142" t="s">
        <v>175</v>
      </c>
      <c r="E88" s="143"/>
      <c r="F88" s="144"/>
      <c r="G88" s="101" t="s">
        <v>248</v>
      </c>
      <c r="H88" s="102">
        <v>400</v>
      </c>
      <c r="I88" s="106">
        <v>2.5</v>
      </c>
      <c r="J88" s="103">
        <f t="shared" si="3"/>
        <v>1000</v>
      </c>
      <c r="K88" s="104"/>
      <c r="L88" s="101"/>
      <c r="Y88" s="10"/>
    </row>
    <row r="89" spans="1:26" ht="27" customHeight="1">
      <c r="A89" s="9">
        <f t="shared" si="2"/>
        <v>84</v>
      </c>
      <c r="B89" s="140" t="s">
        <v>173</v>
      </c>
      <c r="C89" s="141"/>
      <c r="D89" s="142" t="s">
        <v>121</v>
      </c>
      <c r="E89" s="143"/>
      <c r="F89" s="144"/>
      <c r="G89" s="101" t="s">
        <v>248</v>
      </c>
      <c r="H89" s="102">
        <v>2000</v>
      </c>
      <c r="I89" s="106">
        <v>2.2999999999999998</v>
      </c>
      <c r="J89" s="103">
        <f t="shared" si="3"/>
        <v>4600</v>
      </c>
      <c r="K89" s="104"/>
      <c r="L89" s="101"/>
      <c r="Y89" s="10"/>
    </row>
    <row r="90" spans="1:26" ht="27" customHeight="1">
      <c r="A90" s="9">
        <f t="shared" si="2"/>
        <v>85</v>
      </c>
      <c r="B90" s="140" t="s">
        <v>171</v>
      </c>
      <c r="C90" s="141"/>
      <c r="D90" s="142" t="s">
        <v>172</v>
      </c>
      <c r="E90" s="143"/>
      <c r="F90" s="144"/>
      <c r="G90" s="101" t="s">
        <v>248</v>
      </c>
      <c r="H90" s="102">
        <v>300</v>
      </c>
      <c r="I90" s="106">
        <v>7</v>
      </c>
      <c r="J90" s="103">
        <f t="shared" si="3"/>
        <v>2100</v>
      </c>
      <c r="K90" s="104"/>
      <c r="L90" s="101"/>
      <c r="Y90" s="10"/>
    </row>
    <row r="91" spans="1:26" ht="27" customHeight="1">
      <c r="A91" s="9">
        <f t="shared" si="2"/>
        <v>86</v>
      </c>
      <c r="B91" s="140" t="s">
        <v>169</v>
      </c>
      <c r="C91" s="141"/>
      <c r="D91" s="142" t="s">
        <v>170</v>
      </c>
      <c r="E91" s="143"/>
      <c r="F91" s="144"/>
      <c r="G91" s="101" t="s">
        <v>248</v>
      </c>
      <c r="H91" s="102">
        <v>240</v>
      </c>
      <c r="I91" s="106">
        <v>12.8</v>
      </c>
      <c r="J91" s="103">
        <f t="shared" si="3"/>
        <v>3072</v>
      </c>
      <c r="K91" s="104"/>
      <c r="L91" s="101"/>
      <c r="Y91" s="10"/>
    </row>
    <row r="92" spans="1:26" ht="27" customHeight="1">
      <c r="A92" s="9">
        <f t="shared" si="2"/>
        <v>87</v>
      </c>
      <c r="B92" s="140" t="s">
        <v>167</v>
      </c>
      <c r="C92" s="141"/>
      <c r="D92" s="142" t="s">
        <v>168</v>
      </c>
      <c r="E92" s="143"/>
      <c r="F92" s="144"/>
      <c r="G92" s="101" t="s">
        <v>248</v>
      </c>
      <c r="H92" s="102">
        <v>300</v>
      </c>
      <c r="I92" s="106">
        <v>2</v>
      </c>
      <c r="J92" s="103">
        <f t="shared" si="3"/>
        <v>600</v>
      </c>
      <c r="K92" s="104"/>
      <c r="L92" s="101"/>
      <c r="Y92" s="10"/>
    </row>
    <row r="93" spans="1:26" ht="27" customHeight="1">
      <c r="A93" s="9">
        <f t="shared" si="2"/>
        <v>88</v>
      </c>
      <c r="B93" s="140" t="s">
        <v>165</v>
      </c>
      <c r="C93" s="141"/>
      <c r="D93" s="142" t="s">
        <v>166</v>
      </c>
      <c r="E93" s="143"/>
      <c r="F93" s="144"/>
      <c r="G93" s="101" t="s">
        <v>248</v>
      </c>
      <c r="H93" s="102">
        <v>200</v>
      </c>
      <c r="I93" s="106">
        <v>25</v>
      </c>
      <c r="J93" s="103">
        <f t="shared" si="3"/>
        <v>5000</v>
      </c>
      <c r="K93" s="104"/>
      <c r="L93" s="101"/>
      <c r="Y93" s="10"/>
    </row>
    <row r="94" spans="1:26" ht="27" customHeight="1">
      <c r="A94" s="147" t="s">
        <v>8</v>
      </c>
      <c r="B94" s="148"/>
      <c r="C94" s="11"/>
      <c r="D94" s="12"/>
      <c r="E94" s="12"/>
      <c r="F94" s="12"/>
      <c r="G94" s="13"/>
      <c r="H94" s="13"/>
      <c r="I94" s="14" t="s">
        <v>9</v>
      </c>
      <c r="J94" s="15">
        <f>SUM(J6:J93)</f>
        <v>150657.20000000001</v>
      </c>
      <c r="K94" s="15"/>
      <c r="L94" s="16"/>
    </row>
    <row r="95" spans="1:26" ht="20.100000000000001" customHeight="1">
      <c r="A95" s="17" t="s">
        <v>10</v>
      </c>
      <c r="B95" s="18"/>
      <c r="C95" s="18"/>
      <c r="D95" s="18"/>
      <c r="E95" s="18"/>
      <c r="F95" s="18"/>
      <c r="G95" s="18"/>
      <c r="H95" s="18"/>
      <c r="I95" s="18"/>
      <c r="J95" s="18"/>
      <c r="K95" s="19"/>
      <c r="L95" s="20"/>
    </row>
    <row r="96" spans="1:26" ht="18" customHeight="1">
      <c r="A96" s="21"/>
      <c r="J96" s="3"/>
      <c r="K96" s="3"/>
      <c r="O96" s="22"/>
      <c r="P96" s="22"/>
      <c r="Q96" s="22"/>
      <c r="R96" s="22"/>
      <c r="S96" s="22"/>
      <c r="T96" s="22"/>
      <c r="U96" s="22"/>
      <c r="V96" s="22"/>
      <c r="W96" s="22"/>
      <c r="Y96" s="149"/>
      <c r="Z96" s="22"/>
    </row>
    <row r="97" spans="15:25" ht="50.1" customHeight="1">
      <c r="Y97" s="150"/>
    </row>
    <row r="98" spans="15:25" ht="15" customHeight="1">
      <c r="O98" s="152" t="s">
        <v>85</v>
      </c>
      <c r="P98" s="153"/>
      <c r="Q98" s="153"/>
      <c r="R98" s="154"/>
      <c r="S98" s="93"/>
      <c r="T98" s="152" t="s">
        <v>86</v>
      </c>
      <c r="U98" s="153"/>
      <c r="V98" s="153"/>
      <c r="W98" s="153"/>
      <c r="X98" s="153"/>
      <c r="Y98" s="154"/>
    </row>
    <row r="99" spans="15:25" ht="15" customHeight="1">
      <c r="O99" s="155" t="s">
        <v>90</v>
      </c>
      <c r="P99" s="145" t="s">
        <v>11</v>
      </c>
      <c r="Q99" s="155" t="s">
        <v>83</v>
      </c>
      <c r="R99" s="145" t="s">
        <v>84</v>
      </c>
      <c r="S99" s="93"/>
      <c r="T99" s="155" t="s">
        <v>87</v>
      </c>
      <c r="U99" s="145" t="s">
        <v>88</v>
      </c>
      <c r="V99" s="152" t="s">
        <v>89</v>
      </c>
      <c r="W99" s="153"/>
      <c r="X99" s="154"/>
      <c r="Y99" s="145" t="s">
        <v>92</v>
      </c>
    </row>
    <row r="100" spans="15:25" ht="18" customHeight="1">
      <c r="O100" s="156"/>
      <c r="P100" s="146"/>
      <c r="Q100" s="156"/>
      <c r="R100" s="146"/>
      <c r="S100" s="94"/>
      <c r="T100" s="156"/>
      <c r="U100" s="146"/>
      <c r="V100" s="24" t="s">
        <v>90</v>
      </c>
      <c r="W100" s="157" t="s">
        <v>91</v>
      </c>
      <c r="X100" s="158"/>
      <c r="Y100" s="146"/>
    </row>
    <row r="101" spans="15:25" ht="50.1" customHeight="1">
      <c r="O101" s="25"/>
      <c r="P101" s="25"/>
      <c r="Q101" s="25"/>
      <c r="R101" s="25"/>
      <c r="S101" s="93"/>
      <c r="T101" s="25"/>
      <c r="U101" s="25"/>
      <c r="V101" s="25"/>
      <c r="W101" s="152"/>
      <c r="X101" s="154"/>
      <c r="Y101" s="95"/>
    </row>
    <row r="102" spans="15:25" ht="36" customHeight="1">
      <c r="W102" s="97"/>
      <c r="X102" s="159" t="s">
        <v>93</v>
      </c>
      <c r="Y102" s="23" t="s">
        <v>92</v>
      </c>
    </row>
    <row r="103" spans="15:25" ht="50.1" customHeight="1">
      <c r="O103" s="96"/>
      <c r="P103" s="96"/>
      <c r="Q103" s="96"/>
      <c r="R103" s="96"/>
      <c r="S103" s="96"/>
      <c r="T103" s="96"/>
      <c r="U103" s="96"/>
      <c r="V103" s="96"/>
      <c r="W103" s="99"/>
      <c r="X103" s="160"/>
      <c r="Y103" s="98"/>
    </row>
    <row r="104" spans="15:25" ht="50.1" customHeight="1">
      <c r="O104" s="96"/>
      <c r="P104" s="96"/>
      <c r="Q104" s="96"/>
      <c r="R104" s="96"/>
      <c r="S104" s="96"/>
      <c r="T104" s="96"/>
      <c r="U104" s="96"/>
      <c r="V104" s="96"/>
      <c r="W104" s="96"/>
    </row>
    <row r="105" spans="15:25" ht="17.45" customHeight="1">
      <c r="O105" s="151"/>
      <c r="P105" s="22"/>
      <c r="Q105" s="22"/>
      <c r="R105" s="22"/>
      <c r="S105" s="22"/>
      <c r="T105" s="22"/>
      <c r="U105" s="22"/>
      <c r="V105" s="22"/>
      <c r="W105" s="22"/>
    </row>
    <row r="106" spans="15:25" ht="19.899999999999999" customHeight="1">
      <c r="O106" s="151"/>
      <c r="P106" s="22"/>
      <c r="Q106" s="22"/>
      <c r="R106" s="22"/>
      <c r="S106" s="22"/>
      <c r="T106" s="22"/>
      <c r="U106" s="22"/>
      <c r="V106" s="22"/>
      <c r="W106" s="22"/>
    </row>
    <row r="107" spans="15:25" ht="14.25">
      <c r="O107" s="22"/>
      <c r="P107" s="22"/>
      <c r="Q107" s="22"/>
      <c r="R107" s="22"/>
      <c r="S107" s="22"/>
      <c r="T107" s="22"/>
      <c r="U107" s="22"/>
      <c r="V107" s="22"/>
      <c r="W107" s="22"/>
    </row>
    <row r="108" spans="15:25" ht="65.099999999999994" customHeight="1"/>
    <row r="109" spans="15:25" ht="14.25">
      <c r="O109" s="22"/>
      <c r="P109" s="22"/>
      <c r="Q109" s="22"/>
      <c r="R109" s="22"/>
      <c r="S109" s="22"/>
      <c r="T109" s="22"/>
      <c r="U109" s="22"/>
      <c r="V109" s="22"/>
      <c r="W109" s="22"/>
    </row>
    <row r="110" spans="15:25" ht="19.899999999999999" customHeight="1"/>
    <row r="111" spans="15:25" ht="14.25"/>
    <row r="112" spans="15:25" ht="19.899999999999999" customHeight="1"/>
    <row r="113" spans="15:26" ht="14.25"/>
    <row r="114" spans="15:26" ht="19.899999999999999" customHeight="1"/>
    <row r="115" spans="15:26" ht="19.899999999999999" customHeight="1"/>
    <row r="116" spans="15:26" ht="64.900000000000006" customHeight="1"/>
    <row r="118" spans="15:26" ht="19.899999999999999" customHeight="1"/>
    <row r="119" spans="15:26" ht="19.899999999999999" customHeight="1"/>
    <row r="120" spans="15:26" ht="64.900000000000006" customHeight="1"/>
    <row r="124" spans="15:26" ht="21" customHeight="1">
      <c r="O124" s="145" t="s">
        <v>12</v>
      </c>
      <c r="P124" s="23"/>
      <c r="Q124" s="23"/>
      <c r="R124" s="23"/>
      <c r="S124" s="23"/>
      <c r="T124" s="23"/>
      <c r="U124" s="23"/>
      <c r="V124" s="23"/>
      <c r="W124" s="23"/>
      <c r="Z124" s="145" t="s">
        <v>11</v>
      </c>
    </row>
    <row r="125" spans="15:26" ht="21" customHeight="1">
      <c r="O125" s="146"/>
      <c r="P125" s="27"/>
      <c r="Q125" s="27"/>
      <c r="R125" s="27"/>
      <c r="S125" s="27"/>
      <c r="T125" s="27"/>
      <c r="U125" s="27"/>
      <c r="V125" s="27"/>
      <c r="W125" s="27"/>
      <c r="Z125" s="146"/>
    </row>
    <row r="126" spans="15:26" ht="64.900000000000006" customHeight="1">
      <c r="O126" s="25"/>
      <c r="P126" s="25"/>
      <c r="Q126" s="25"/>
      <c r="R126" s="25"/>
      <c r="S126" s="25"/>
      <c r="T126" s="25"/>
      <c r="U126" s="25"/>
      <c r="V126" s="25"/>
      <c r="W126" s="25"/>
      <c r="Z126" s="26"/>
    </row>
    <row r="127" spans="15:26" ht="7.15" customHeight="1"/>
    <row r="128" spans="15:26" ht="21" customHeight="1">
      <c r="O128" s="145" t="s">
        <v>12</v>
      </c>
      <c r="P128" s="23"/>
      <c r="Q128" s="23"/>
      <c r="R128" s="23"/>
      <c r="S128" s="23"/>
      <c r="T128" s="23"/>
      <c r="U128" s="23"/>
      <c r="V128" s="23"/>
      <c r="W128" s="23"/>
      <c r="Z128" s="145" t="s">
        <v>13</v>
      </c>
    </row>
    <row r="129" spans="15:26" ht="21" customHeight="1">
      <c r="O129" s="146"/>
      <c r="P129" s="27"/>
      <c r="Q129" s="27"/>
      <c r="R129" s="27"/>
      <c r="S129" s="27"/>
      <c r="T129" s="27"/>
      <c r="U129" s="27"/>
      <c r="V129" s="27"/>
      <c r="W129" s="27"/>
      <c r="Z129" s="146"/>
    </row>
    <row r="130" spans="15:26" ht="64.900000000000006" customHeight="1">
      <c r="O130" s="25"/>
      <c r="P130" s="25"/>
      <c r="Q130" s="25"/>
      <c r="R130" s="25"/>
      <c r="S130" s="25"/>
      <c r="T130" s="25"/>
      <c r="U130" s="25"/>
      <c r="V130" s="25"/>
      <c r="W130" s="25"/>
      <c r="Z130" s="25"/>
    </row>
  </sheetData>
  <mergeCells count="208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B15:C15"/>
    <mergeCell ref="D15:F15"/>
    <mergeCell ref="B52:C52"/>
    <mergeCell ref="D52:F52"/>
    <mergeCell ref="B12:C12"/>
    <mergeCell ref="D12:F12"/>
    <mergeCell ref="B13:C13"/>
    <mergeCell ref="D13:F13"/>
    <mergeCell ref="B14:C14"/>
    <mergeCell ref="D14:F14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5:C25"/>
    <mergeCell ref="D25:F25"/>
    <mergeCell ref="O128:O129"/>
    <mergeCell ref="Z128:Z129"/>
    <mergeCell ref="A94:B94"/>
    <mergeCell ref="Y96:Y97"/>
    <mergeCell ref="O105:O106"/>
    <mergeCell ref="O98:R98"/>
    <mergeCell ref="T99:T100"/>
    <mergeCell ref="U99:U100"/>
    <mergeCell ref="O99:O100"/>
    <mergeCell ref="T98:Y98"/>
    <mergeCell ref="V99:X99"/>
    <mergeCell ref="Y99:Y100"/>
    <mergeCell ref="W100:X100"/>
    <mergeCell ref="P99:P100"/>
    <mergeCell ref="R99:R100"/>
    <mergeCell ref="Q99:Q100"/>
    <mergeCell ref="O124:O125"/>
    <mergeCell ref="Z124:Z125"/>
    <mergeCell ref="W101:X101"/>
    <mergeCell ref="X102:X103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56:C56"/>
    <mergeCell ref="D56:F56"/>
    <mergeCell ref="B57:C57"/>
    <mergeCell ref="D57:F57"/>
    <mergeCell ref="B58:C58"/>
    <mergeCell ref="D58:F58"/>
    <mergeCell ref="B53:C53"/>
    <mergeCell ref="D53:F53"/>
    <mergeCell ref="B54:C54"/>
    <mergeCell ref="D54:F54"/>
    <mergeCell ref="B55:C55"/>
    <mergeCell ref="D55:F55"/>
    <mergeCell ref="B62:C62"/>
    <mergeCell ref="D62:F62"/>
    <mergeCell ref="B63:C63"/>
    <mergeCell ref="D63:F63"/>
    <mergeCell ref="B64:C64"/>
    <mergeCell ref="D64:F64"/>
    <mergeCell ref="B59:C59"/>
    <mergeCell ref="D59:F59"/>
    <mergeCell ref="B60:C60"/>
    <mergeCell ref="D60:F60"/>
    <mergeCell ref="B61:C61"/>
    <mergeCell ref="D61:F61"/>
    <mergeCell ref="B68:C68"/>
    <mergeCell ref="D68:F68"/>
    <mergeCell ref="B69:C69"/>
    <mergeCell ref="D69:F69"/>
    <mergeCell ref="B70:C70"/>
    <mergeCell ref="D70:F70"/>
    <mergeCell ref="B65:C65"/>
    <mergeCell ref="D65:F65"/>
    <mergeCell ref="B66:C66"/>
    <mergeCell ref="D66:F66"/>
    <mergeCell ref="B67:C67"/>
    <mergeCell ref="D67:F67"/>
    <mergeCell ref="B74:C74"/>
    <mergeCell ref="D74:F74"/>
    <mergeCell ref="B75:C75"/>
    <mergeCell ref="D75:F75"/>
    <mergeCell ref="B76:C76"/>
    <mergeCell ref="D76:F76"/>
    <mergeCell ref="B71:C71"/>
    <mergeCell ref="D71:F71"/>
    <mergeCell ref="B72:C72"/>
    <mergeCell ref="D72:F72"/>
    <mergeCell ref="B73:C73"/>
    <mergeCell ref="D73:F73"/>
    <mergeCell ref="B80:C80"/>
    <mergeCell ref="D80:F80"/>
    <mergeCell ref="B81:C81"/>
    <mergeCell ref="D81:F81"/>
    <mergeCell ref="B82:C82"/>
    <mergeCell ref="D82:F82"/>
    <mergeCell ref="B77:C77"/>
    <mergeCell ref="D77:F77"/>
    <mergeCell ref="B78:C78"/>
    <mergeCell ref="D78:F78"/>
    <mergeCell ref="B79:C79"/>
    <mergeCell ref="D79:F79"/>
    <mergeCell ref="B86:C86"/>
    <mergeCell ref="D86:F86"/>
    <mergeCell ref="B87:C87"/>
    <mergeCell ref="D87:F87"/>
    <mergeCell ref="B88:C88"/>
    <mergeCell ref="D88:F88"/>
    <mergeCell ref="B83:C83"/>
    <mergeCell ref="D83:F83"/>
    <mergeCell ref="B84:C84"/>
    <mergeCell ref="D84:F84"/>
    <mergeCell ref="B85:C85"/>
    <mergeCell ref="D85:F85"/>
    <mergeCell ref="B92:C92"/>
    <mergeCell ref="D92:F92"/>
    <mergeCell ref="B93:C93"/>
    <mergeCell ref="D93:F93"/>
    <mergeCell ref="B89:C89"/>
    <mergeCell ref="D89:F89"/>
    <mergeCell ref="B90:C90"/>
    <mergeCell ref="D90:F90"/>
    <mergeCell ref="B91:C91"/>
    <mergeCell ref="D91:F91"/>
  </mergeCells>
  <phoneticPr fontId="12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93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T8" sqref="T8"/>
    </sheetView>
  </sheetViews>
  <sheetFormatPr defaultColWidth="9" defaultRowHeight="21" customHeight="1"/>
  <cols>
    <col min="1" max="1" width="3.7109375" style="4" customWidth="1"/>
    <col min="2" max="2" width="8.140625" style="4" customWidth="1"/>
    <col min="3" max="3" width="24" style="4" customWidth="1"/>
    <col min="4" max="4" width="19.42578125" style="4" customWidth="1"/>
    <col min="5" max="5" width="6" style="4" customWidth="1"/>
    <col min="6" max="6" width="15.7109375" style="4" customWidth="1"/>
    <col min="7" max="7" width="6.28515625" style="4" customWidth="1"/>
    <col min="8" max="8" width="8" style="4" customWidth="1"/>
    <col min="9" max="10" width="12.5703125" style="4" customWidth="1"/>
    <col min="11" max="11" width="40.5703125" style="4" customWidth="1"/>
    <col min="12" max="12" width="2.42578125" style="4" customWidth="1"/>
    <col min="13" max="13" width="9" style="4"/>
    <col min="14" max="20" width="10.7109375" style="4" customWidth="1"/>
    <col min="21" max="21" width="9" style="4"/>
    <col min="22" max="24" width="10.7109375" style="4" customWidth="1"/>
    <col min="25" max="16384" width="9" style="4"/>
  </cols>
  <sheetData>
    <row r="1" spans="1:18" ht="49.9" customHeight="1">
      <c r="A1" s="28" t="s">
        <v>14</v>
      </c>
      <c r="B1" s="29"/>
      <c r="C1" s="29"/>
      <c r="D1" s="29"/>
      <c r="E1" s="29"/>
      <c r="F1" s="29"/>
      <c r="G1" s="3"/>
      <c r="J1" s="185" t="str">
        <f>+MRS!J1</f>
        <v>DAESHIN PLANT</v>
      </c>
      <c r="K1" s="186"/>
    </row>
    <row r="2" spans="1:18" ht="24.95" customHeight="1">
      <c r="A2" s="5" t="str">
        <f>+MRS!A2</f>
        <v xml:space="preserve">  PJT :  SACE2           </v>
      </c>
      <c r="B2" s="6"/>
      <c r="C2" s="6"/>
      <c r="D2" s="5" t="str">
        <f>+MRS!D2</f>
        <v>Division (In charge Name) : ADMIN MANAGER (Dong Chang Kim)</v>
      </c>
      <c r="E2" s="6"/>
      <c r="F2" s="6"/>
      <c r="G2" s="30"/>
      <c r="H2" s="30"/>
      <c r="I2" s="30"/>
      <c r="J2" s="187" t="str">
        <f>+MRS!J2</f>
        <v>Subcontract name (SAC2-SC-IK-SMP-01)</v>
      </c>
      <c r="K2" s="188"/>
    </row>
    <row r="3" spans="1:18" ht="24.95" customHeight="1">
      <c r="A3" s="5" t="str">
        <f>+MRS!A3</f>
        <v xml:space="preserve">  MRS No : SAC2-DS-MRS-0390</v>
      </c>
      <c r="B3" s="6"/>
      <c r="C3" s="6"/>
      <c r="D3" s="6"/>
      <c r="E3" s="6"/>
      <c r="F3" s="6"/>
      <c r="G3" s="6"/>
      <c r="H3" s="6"/>
      <c r="I3" s="6"/>
      <c r="J3" s="6"/>
      <c r="K3" s="8">
        <f>+MRS!L3</f>
        <v>46237</v>
      </c>
    </row>
    <row r="4" spans="1:18" ht="15.95" customHeight="1">
      <c r="A4" s="189" t="s">
        <v>2</v>
      </c>
      <c r="B4" s="190" t="s">
        <v>15</v>
      </c>
      <c r="C4" s="190"/>
      <c r="D4" s="189" t="s">
        <v>4</v>
      </c>
      <c r="E4" s="189"/>
      <c r="F4" s="189"/>
      <c r="G4" s="190" t="s">
        <v>5</v>
      </c>
      <c r="H4" s="189" t="s">
        <v>16</v>
      </c>
      <c r="I4" s="189" t="s">
        <v>17</v>
      </c>
      <c r="J4" s="189" t="s">
        <v>18</v>
      </c>
      <c r="K4" s="190" t="s">
        <v>7</v>
      </c>
    </row>
    <row r="5" spans="1:18" ht="15.95" customHeight="1">
      <c r="A5" s="189"/>
      <c r="B5" s="190"/>
      <c r="C5" s="190"/>
      <c r="D5" s="189"/>
      <c r="E5" s="189"/>
      <c r="F5" s="189"/>
      <c r="G5" s="190"/>
      <c r="H5" s="189"/>
      <c r="I5" s="189"/>
      <c r="J5" s="189"/>
      <c r="K5" s="190"/>
    </row>
    <row r="6" spans="1:18" ht="105" customHeight="1">
      <c r="A6" s="31">
        <f>+MRS!A6</f>
        <v>1</v>
      </c>
      <c r="B6" s="180" t="str">
        <f>MRS!B6</f>
        <v xml:space="preserve">Measuring Cup </v>
      </c>
      <c r="C6" s="181"/>
      <c r="D6" s="182" t="str">
        <f>MRS!D6</f>
        <v>1000ml (Set of 3)</v>
      </c>
      <c r="E6" s="183"/>
      <c r="F6" s="184"/>
      <c r="G6" s="32" t="str">
        <f>MRS!G6</f>
        <v>Nos</v>
      </c>
      <c r="H6" s="33">
        <f>MRS!H6</f>
        <v>4</v>
      </c>
      <c r="I6" s="34">
        <f>MRS!I6</f>
        <v>16</v>
      </c>
      <c r="J6" s="34">
        <f>+H6*I6</f>
        <v>64</v>
      </c>
      <c r="K6" s="35"/>
      <c r="O6" s="10"/>
      <c r="P6" s="10"/>
      <c r="R6" s="10"/>
    </row>
    <row r="7" spans="1:18" ht="105" customHeight="1">
      <c r="A7" s="31">
        <f>+MRS!A7</f>
        <v>2</v>
      </c>
      <c r="B7" s="180" t="str">
        <f>MRS!B7</f>
        <v xml:space="preserve">Ceramic Backing Tape </v>
      </c>
      <c r="C7" s="181"/>
      <c r="D7" s="182" t="str">
        <f>MRS!D7</f>
        <v>10x27x600mm CBS-W600</v>
      </c>
      <c r="E7" s="183"/>
      <c r="F7" s="184"/>
      <c r="G7" s="32" t="str">
        <f>MRS!G7</f>
        <v>Nos</v>
      </c>
      <c r="H7" s="33">
        <f>MRS!H7</f>
        <v>40</v>
      </c>
      <c r="I7" s="34">
        <f>MRS!I7</f>
        <v>20</v>
      </c>
      <c r="J7" s="34">
        <f t="shared" ref="J7:J70" si="0">+H7*I7</f>
        <v>800</v>
      </c>
      <c r="K7" s="35"/>
      <c r="O7" s="10"/>
      <c r="P7" s="10"/>
      <c r="R7" s="10"/>
    </row>
    <row r="8" spans="1:18" ht="105" customHeight="1">
      <c r="A8" s="31">
        <f>+MRS!A8</f>
        <v>3</v>
      </c>
      <c r="B8" s="180" t="str">
        <f>MRS!B8</f>
        <v xml:space="preserve">Cutting Disc C/S </v>
      </c>
      <c r="C8" s="181"/>
      <c r="D8" s="182" t="str">
        <f>MRS!D8</f>
        <v>5"x1mm Maks</v>
      </c>
      <c r="E8" s="183"/>
      <c r="F8" s="184"/>
      <c r="G8" s="32" t="str">
        <f>MRS!G8</f>
        <v>Nos</v>
      </c>
      <c r="H8" s="33">
        <f>MRS!H8</f>
        <v>700</v>
      </c>
      <c r="I8" s="34">
        <f>MRS!I8</f>
        <v>1.35</v>
      </c>
      <c r="J8" s="34">
        <f t="shared" si="0"/>
        <v>945.00000000000011</v>
      </c>
      <c r="K8" s="35"/>
      <c r="O8" s="10"/>
      <c r="P8" s="10"/>
      <c r="R8" s="10"/>
    </row>
    <row r="9" spans="1:18" ht="105" customHeight="1">
      <c r="A9" s="31">
        <f>+MRS!A9</f>
        <v>4</v>
      </c>
      <c r="B9" s="180" t="str">
        <f>MRS!B9</f>
        <v>Electric Concrete Mixing Machine</v>
      </c>
      <c r="C9" s="181"/>
      <c r="D9" s="182">
        <f>MRS!D9</f>
        <v>0</v>
      </c>
      <c r="E9" s="183"/>
      <c r="F9" s="184"/>
      <c r="G9" s="32" t="str">
        <f>MRS!G9</f>
        <v>Nos</v>
      </c>
      <c r="H9" s="33">
        <f>MRS!H9</f>
        <v>2</v>
      </c>
      <c r="I9" s="34">
        <f>MRS!I9</f>
        <v>345</v>
      </c>
      <c r="J9" s="34">
        <f t="shared" si="0"/>
        <v>690</v>
      </c>
      <c r="K9" s="35"/>
      <c r="O9" s="10"/>
      <c r="P9" s="10"/>
      <c r="R9" s="10"/>
    </row>
    <row r="10" spans="1:18" ht="105" customHeight="1">
      <c r="A10" s="31">
        <f>+MRS!A10</f>
        <v>5</v>
      </c>
      <c r="B10" s="180" t="str">
        <f>MRS!B10</f>
        <v xml:space="preserve">PVC Bucket with Lid </v>
      </c>
      <c r="C10" s="181"/>
      <c r="D10" s="182" t="str">
        <f>MRS!D10</f>
        <v>Heavy Duty 20Ltr White</v>
      </c>
      <c r="E10" s="183"/>
      <c r="F10" s="184"/>
      <c r="G10" s="32" t="str">
        <f>MRS!G10</f>
        <v>Nos</v>
      </c>
      <c r="H10" s="33">
        <f>MRS!H10</f>
        <v>40</v>
      </c>
      <c r="I10" s="34">
        <f>MRS!I10</f>
        <v>10</v>
      </c>
      <c r="J10" s="34">
        <f t="shared" si="0"/>
        <v>400</v>
      </c>
      <c r="K10" s="35"/>
      <c r="O10" s="10"/>
      <c r="P10" s="10"/>
      <c r="R10" s="10"/>
    </row>
    <row r="11" spans="1:18" ht="105" customHeight="1">
      <c r="A11" s="31">
        <f>+MRS!A11</f>
        <v>6</v>
      </c>
      <c r="B11" s="180" t="str">
        <f>MRS!B11</f>
        <v>Plastic Storage Drum</v>
      </c>
      <c r="C11" s="181"/>
      <c r="D11" s="182" t="str">
        <f>MRS!D11</f>
        <v xml:space="preserve"> Blue 300Ltr</v>
      </c>
      <c r="E11" s="183"/>
      <c r="F11" s="184"/>
      <c r="G11" s="32" t="str">
        <f>MRS!G11</f>
        <v>Nos</v>
      </c>
      <c r="H11" s="33">
        <f>MRS!H11</f>
        <v>3</v>
      </c>
      <c r="I11" s="34">
        <f>MRS!I11</f>
        <v>85</v>
      </c>
      <c r="J11" s="34">
        <f t="shared" si="0"/>
        <v>255</v>
      </c>
      <c r="K11" s="35"/>
      <c r="O11" s="10"/>
      <c r="P11" s="10"/>
      <c r="R11" s="10"/>
    </row>
    <row r="12" spans="1:18" ht="105" customHeight="1">
      <c r="A12" s="31">
        <f>+MRS!A12</f>
        <v>7</v>
      </c>
      <c r="B12" s="180" t="str">
        <f>MRS!B12</f>
        <v xml:space="preserve">PE Water Tank Vertical </v>
      </c>
      <c r="C12" s="181"/>
      <c r="D12" s="182" t="str">
        <f>MRS!D12</f>
        <v>500Ltr</v>
      </c>
      <c r="E12" s="183"/>
      <c r="F12" s="184"/>
      <c r="G12" s="32" t="str">
        <f>MRS!G12</f>
        <v>Nos</v>
      </c>
      <c r="H12" s="33">
        <f>MRS!H12</f>
        <v>2</v>
      </c>
      <c r="I12" s="34">
        <f>MRS!I12</f>
        <v>330</v>
      </c>
      <c r="J12" s="34">
        <f t="shared" si="0"/>
        <v>660</v>
      </c>
      <c r="K12" s="35"/>
      <c r="O12" s="10"/>
      <c r="P12" s="10"/>
      <c r="R12" s="10"/>
    </row>
    <row r="13" spans="1:18" ht="105" customHeight="1">
      <c r="A13" s="31">
        <f>+MRS!A13</f>
        <v>8</v>
      </c>
      <c r="B13" s="180" t="str">
        <f>MRS!B13</f>
        <v>Window A/C</v>
      </c>
      <c r="C13" s="181"/>
      <c r="D13" s="182" t="str">
        <f>MRS!D13</f>
        <v xml:space="preserve"> 2Ton Super General</v>
      </c>
      <c r="E13" s="183"/>
      <c r="F13" s="184"/>
      <c r="G13" s="32" t="str">
        <f>MRS!G13</f>
        <v>Nos</v>
      </c>
      <c r="H13" s="33">
        <f>MRS!H13</f>
        <v>1</v>
      </c>
      <c r="I13" s="34">
        <f>MRS!I13</f>
        <v>1784</v>
      </c>
      <c r="J13" s="34">
        <f t="shared" si="0"/>
        <v>1784</v>
      </c>
      <c r="K13" s="35"/>
      <c r="O13" s="10"/>
      <c r="P13" s="10"/>
      <c r="R13" s="10"/>
    </row>
    <row r="14" spans="1:18" ht="105" customHeight="1">
      <c r="A14" s="31">
        <f>+MRS!A14</f>
        <v>9</v>
      </c>
      <c r="B14" s="180" t="str">
        <f>MRS!B14</f>
        <v xml:space="preserve">Measuring Cup </v>
      </c>
      <c r="C14" s="181"/>
      <c r="D14" s="182" t="str">
        <f>MRS!D14</f>
        <v>5000ml</v>
      </c>
      <c r="E14" s="183"/>
      <c r="F14" s="184"/>
      <c r="G14" s="32" t="str">
        <f>MRS!G14</f>
        <v>Nos</v>
      </c>
      <c r="H14" s="33">
        <f>MRS!H14</f>
        <v>4</v>
      </c>
      <c r="I14" s="34">
        <f>MRS!I14</f>
        <v>37</v>
      </c>
      <c r="J14" s="34">
        <f t="shared" si="0"/>
        <v>148</v>
      </c>
      <c r="K14" s="35"/>
      <c r="O14" s="10"/>
      <c r="P14" s="10"/>
      <c r="R14" s="10"/>
    </row>
    <row r="15" spans="1:18" ht="105" customHeight="1">
      <c r="A15" s="31">
        <f>+MRS!A15</f>
        <v>10</v>
      </c>
      <c r="B15" s="180" t="str">
        <f>MRS!B15</f>
        <v>Flap Disc S/S</v>
      </c>
      <c r="C15" s="181"/>
      <c r="D15" s="182" t="str">
        <f>MRS!D15</f>
        <v xml:space="preserve"> 4" 80 Grit</v>
      </c>
      <c r="E15" s="183"/>
      <c r="F15" s="184"/>
      <c r="G15" s="32" t="str">
        <f>MRS!G15</f>
        <v>Nos</v>
      </c>
      <c r="H15" s="33">
        <f>MRS!H15</f>
        <v>4400</v>
      </c>
      <c r="I15" s="34">
        <f>MRS!I15</f>
        <v>3.1</v>
      </c>
      <c r="J15" s="34">
        <f t="shared" si="0"/>
        <v>13640</v>
      </c>
      <c r="K15" s="35"/>
      <c r="O15" s="10"/>
      <c r="P15" s="10"/>
      <c r="R15" s="10"/>
    </row>
    <row r="16" spans="1:18" ht="105" customHeight="1">
      <c r="A16" s="31">
        <f>+MRS!A16</f>
        <v>11</v>
      </c>
      <c r="B16" s="180" t="str">
        <f>MRS!B16</f>
        <v>Flap Wheel S/S</v>
      </c>
      <c r="C16" s="181"/>
      <c r="D16" s="182" t="str">
        <f>MRS!D16</f>
        <v xml:space="preserve"> 25x20x6mm</v>
      </c>
      <c r="E16" s="183"/>
      <c r="F16" s="184"/>
      <c r="G16" s="32" t="str">
        <f>MRS!G16</f>
        <v>Nos</v>
      </c>
      <c r="H16" s="33">
        <f>MRS!H16</f>
        <v>300</v>
      </c>
      <c r="I16" s="34">
        <f>MRS!I16</f>
        <v>4</v>
      </c>
      <c r="J16" s="34">
        <f t="shared" si="0"/>
        <v>1200</v>
      </c>
      <c r="K16" s="35"/>
      <c r="O16" s="10"/>
      <c r="P16" s="10"/>
      <c r="R16" s="10"/>
    </row>
    <row r="17" spans="1:18" ht="105" customHeight="1">
      <c r="A17" s="31">
        <f>+MRS!A17</f>
        <v>12</v>
      </c>
      <c r="B17" s="180" t="str">
        <f>MRS!B17</f>
        <v>Cup Brush C/S Crimped</v>
      </c>
      <c r="C17" s="181"/>
      <c r="D17" s="182" t="str">
        <f>MRS!D17</f>
        <v xml:space="preserve"> M10x75mm</v>
      </c>
      <c r="E17" s="183"/>
      <c r="F17" s="184"/>
      <c r="G17" s="32" t="str">
        <f>MRS!G17</f>
        <v>Nos</v>
      </c>
      <c r="H17" s="33">
        <f>MRS!H17</f>
        <v>300</v>
      </c>
      <c r="I17" s="34">
        <f>MRS!I17</f>
        <v>9</v>
      </c>
      <c r="J17" s="34">
        <f t="shared" si="0"/>
        <v>2700</v>
      </c>
      <c r="K17" s="35"/>
      <c r="O17" s="10"/>
      <c r="P17" s="10"/>
      <c r="R17" s="10"/>
    </row>
    <row r="18" spans="1:18" ht="105" customHeight="1">
      <c r="A18" s="31">
        <f>+MRS!A18</f>
        <v>13</v>
      </c>
      <c r="B18" s="180" t="str">
        <f>MRS!B18</f>
        <v xml:space="preserve">Teflon Tape </v>
      </c>
      <c r="C18" s="181"/>
      <c r="D18" s="182" t="str">
        <f>MRS!D18</f>
        <v>19mm x 40yard</v>
      </c>
      <c r="E18" s="183"/>
      <c r="F18" s="184"/>
      <c r="G18" s="32" t="str">
        <f>MRS!G18</f>
        <v>Nos</v>
      </c>
      <c r="H18" s="33">
        <f>MRS!H18</f>
        <v>1000</v>
      </c>
      <c r="I18" s="34">
        <f>MRS!I18</f>
        <v>1.6</v>
      </c>
      <c r="J18" s="34">
        <f t="shared" si="0"/>
        <v>1600</v>
      </c>
      <c r="K18" s="35"/>
      <c r="O18" s="10"/>
      <c r="P18" s="10"/>
      <c r="R18" s="10"/>
    </row>
    <row r="19" spans="1:18" ht="105" customHeight="1">
      <c r="A19" s="31">
        <f>+MRS!A19</f>
        <v>14</v>
      </c>
      <c r="B19" s="180" t="str">
        <f>MRS!B19</f>
        <v>Ear Plug with Corded</v>
      </c>
      <c r="C19" s="181"/>
      <c r="D19" s="182">
        <f>MRS!D19</f>
        <v>0</v>
      </c>
      <c r="E19" s="183"/>
      <c r="F19" s="184"/>
      <c r="G19" s="32" t="str">
        <f>MRS!G19</f>
        <v>Pair</v>
      </c>
      <c r="H19" s="33">
        <f>MRS!H19</f>
        <v>1000</v>
      </c>
      <c r="I19" s="34">
        <f>MRS!I19</f>
        <v>0.55000000000000004</v>
      </c>
      <c r="J19" s="34">
        <f t="shared" si="0"/>
        <v>550</v>
      </c>
      <c r="K19" s="35"/>
      <c r="O19" s="10"/>
      <c r="P19" s="10"/>
      <c r="R19" s="10"/>
    </row>
    <row r="20" spans="1:18" ht="105" customHeight="1">
      <c r="A20" s="31">
        <f>+MRS!A20</f>
        <v>15</v>
      </c>
      <c r="B20" s="180" t="str">
        <f>MRS!B20</f>
        <v>Wrapping Film Roll 50cm 50mtr 3Kg</v>
      </c>
      <c r="C20" s="181"/>
      <c r="D20" s="182" t="str">
        <f>MRS!D20</f>
        <v>19mm x 40yard</v>
      </c>
      <c r="E20" s="183"/>
      <c r="F20" s="184"/>
      <c r="G20" s="32" t="str">
        <f>MRS!G20</f>
        <v>Roll</v>
      </c>
      <c r="H20" s="33">
        <f>MRS!H20</f>
        <v>25</v>
      </c>
      <c r="I20" s="34">
        <f>MRS!I20</f>
        <v>21</v>
      </c>
      <c r="J20" s="34">
        <f t="shared" si="0"/>
        <v>525</v>
      </c>
      <c r="K20" s="35"/>
      <c r="O20" s="10"/>
      <c r="P20" s="10"/>
      <c r="R20" s="10"/>
    </row>
    <row r="21" spans="1:18" ht="105" customHeight="1">
      <c r="A21" s="31">
        <f>+MRS!A21</f>
        <v>16</v>
      </c>
      <c r="B21" s="180" t="str">
        <f>MRS!B21</f>
        <v xml:space="preserve">Welding Cable Connector </v>
      </c>
      <c r="C21" s="181"/>
      <c r="D21" s="182" t="str">
        <f>MRS!D21</f>
        <v>35-50mm2 Male &amp; Female</v>
      </c>
      <c r="E21" s="183"/>
      <c r="F21" s="184"/>
      <c r="G21" s="32" t="str">
        <f>MRS!G21</f>
        <v>Set</v>
      </c>
      <c r="H21" s="33">
        <f>MRS!H21</f>
        <v>25</v>
      </c>
      <c r="I21" s="34">
        <f>MRS!I21</f>
        <v>13</v>
      </c>
      <c r="J21" s="34">
        <f t="shared" si="0"/>
        <v>325</v>
      </c>
      <c r="K21" s="35"/>
      <c r="O21" s="10"/>
      <c r="P21" s="10"/>
      <c r="R21" s="10"/>
    </row>
    <row r="22" spans="1:18" ht="105" customHeight="1">
      <c r="A22" s="31">
        <f>+MRS!A22</f>
        <v>17</v>
      </c>
      <c r="B22" s="180" t="str">
        <f>MRS!B22</f>
        <v xml:space="preserve">Welding Cable Connector </v>
      </c>
      <c r="C22" s="181"/>
      <c r="D22" s="182" t="str">
        <f>MRS!D22</f>
        <v>50-70mm2 Male &amp; Female</v>
      </c>
      <c r="E22" s="183"/>
      <c r="F22" s="184"/>
      <c r="G22" s="32" t="str">
        <f>MRS!G22</f>
        <v>Set</v>
      </c>
      <c r="H22" s="33">
        <f>MRS!H22</f>
        <v>75</v>
      </c>
      <c r="I22" s="34">
        <f>MRS!I22</f>
        <v>15</v>
      </c>
      <c r="J22" s="34">
        <f t="shared" si="0"/>
        <v>1125</v>
      </c>
      <c r="K22" s="35"/>
      <c r="O22" s="10"/>
      <c r="P22" s="10"/>
      <c r="R22" s="10"/>
    </row>
    <row r="23" spans="1:18" ht="105" customHeight="1">
      <c r="A23" s="31">
        <f>+MRS!A23</f>
        <v>18</v>
      </c>
      <c r="B23" s="180" t="str">
        <f>MRS!B23</f>
        <v xml:space="preserve">Tig Collet Body </v>
      </c>
      <c r="C23" s="181"/>
      <c r="D23" s="182" t="str">
        <f>MRS!D23</f>
        <v>350A 2.4mm</v>
      </c>
      <c r="E23" s="183"/>
      <c r="F23" s="184"/>
      <c r="G23" s="32" t="str">
        <f>MRS!G23</f>
        <v>Nos</v>
      </c>
      <c r="H23" s="33">
        <f>MRS!H23</f>
        <v>100</v>
      </c>
      <c r="I23" s="34">
        <f>MRS!I23</f>
        <v>12</v>
      </c>
      <c r="J23" s="34">
        <f t="shared" si="0"/>
        <v>1200</v>
      </c>
      <c r="K23" s="35"/>
      <c r="O23" s="10"/>
      <c r="P23" s="10"/>
      <c r="R23" s="10"/>
    </row>
    <row r="24" spans="1:18" ht="105" customHeight="1">
      <c r="A24" s="31">
        <f>+MRS!A24</f>
        <v>19</v>
      </c>
      <c r="B24" s="180" t="str">
        <f>MRS!B24</f>
        <v xml:space="preserve">Tig Collet Pin </v>
      </c>
      <c r="C24" s="181"/>
      <c r="D24" s="182" t="str">
        <f>MRS!D24</f>
        <v>350A 2.4mm</v>
      </c>
      <c r="E24" s="183"/>
      <c r="F24" s="184"/>
      <c r="G24" s="32" t="str">
        <f>MRS!G24</f>
        <v>Nos</v>
      </c>
      <c r="H24" s="33">
        <f>MRS!H24</f>
        <v>100</v>
      </c>
      <c r="I24" s="34">
        <f>MRS!I24</f>
        <v>5.7</v>
      </c>
      <c r="J24" s="34">
        <f t="shared" si="0"/>
        <v>570</v>
      </c>
      <c r="K24" s="35"/>
      <c r="O24" s="10"/>
      <c r="P24" s="10"/>
      <c r="R24" s="10"/>
    </row>
    <row r="25" spans="1:18" ht="105" customHeight="1">
      <c r="A25" s="31">
        <f>+MRS!A25</f>
        <v>20</v>
      </c>
      <c r="B25" s="180" t="str">
        <f>MRS!B25</f>
        <v xml:space="preserve">Tungsten Electrode </v>
      </c>
      <c r="C25" s="181"/>
      <c r="D25" s="182" t="str">
        <f>MRS!D25</f>
        <v>2.4mm</v>
      </c>
      <c r="E25" s="183"/>
      <c r="F25" s="184"/>
      <c r="G25" s="32" t="str">
        <f>MRS!G25</f>
        <v>Nos</v>
      </c>
      <c r="H25" s="33">
        <f>MRS!H25</f>
        <v>600</v>
      </c>
      <c r="I25" s="34">
        <f>MRS!I25</f>
        <v>21</v>
      </c>
      <c r="J25" s="34">
        <f t="shared" si="0"/>
        <v>12600</v>
      </c>
      <c r="K25" s="35"/>
      <c r="O25" s="10"/>
      <c r="P25" s="10"/>
      <c r="R25" s="10"/>
    </row>
    <row r="26" spans="1:18" ht="105" customHeight="1">
      <c r="A26" s="31">
        <f>+MRS!A26</f>
        <v>21</v>
      </c>
      <c r="B26" s="180" t="str">
        <f>MRS!B26</f>
        <v xml:space="preserve">Ceramic Nozzle </v>
      </c>
      <c r="C26" s="181"/>
      <c r="D26" s="182" t="str">
        <f>MRS!D26</f>
        <v>250A #7 10N47</v>
      </c>
      <c r="E26" s="183"/>
      <c r="F26" s="184"/>
      <c r="G26" s="32" t="str">
        <f>MRS!G26</f>
        <v>Nos</v>
      </c>
      <c r="H26" s="33">
        <f>MRS!H26</f>
        <v>200</v>
      </c>
      <c r="I26" s="34">
        <f>MRS!I26</f>
        <v>2.2000000000000002</v>
      </c>
      <c r="J26" s="34">
        <f t="shared" si="0"/>
        <v>440.00000000000006</v>
      </c>
      <c r="K26" s="35"/>
      <c r="O26" s="10"/>
      <c r="P26" s="10"/>
      <c r="R26" s="10"/>
    </row>
    <row r="27" spans="1:18" ht="105" customHeight="1">
      <c r="A27" s="31">
        <f>+MRS!A27</f>
        <v>22</v>
      </c>
      <c r="B27" s="180" t="str">
        <f>MRS!B27</f>
        <v>Ceramic Nozzle</v>
      </c>
      <c r="C27" s="181"/>
      <c r="D27" s="182" t="str">
        <f>MRS!D27</f>
        <v xml:space="preserve"> 350A #5</v>
      </c>
      <c r="E27" s="183"/>
      <c r="F27" s="184"/>
      <c r="G27" s="32" t="str">
        <f>MRS!G27</f>
        <v>Nos</v>
      </c>
      <c r="H27" s="33">
        <f>MRS!H27</f>
        <v>100</v>
      </c>
      <c r="I27" s="34">
        <f>MRS!I27</f>
        <v>12</v>
      </c>
      <c r="J27" s="34">
        <f t="shared" si="0"/>
        <v>1200</v>
      </c>
      <c r="K27" s="35"/>
      <c r="O27" s="10"/>
      <c r="P27" s="10"/>
      <c r="R27" s="10"/>
    </row>
    <row r="28" spans="1:18" ht="105" customHeight="1">
      <c r="A28" s="31">
        <f>+MRS!A28</f>
        <v>23</v>
      </c>
      <c r="B28" s="180" t="str">
        <f>MRS!B28</f>
        <v xml:space="preserve">Ceramic Nozzle </v>
      </c>
      <c r="C28" s="181"/>
      <c r="D28" s="182" t="str">
        <f>MRS!D28</f>
        <v>350A #6</v>
      </c>
      <c r="E28" s="183"/>
      <c r="F28" s="184"/>
      <c r="G28" s="32" t="str">
        <f>MRS!G28</f>
        <v>Nos</v>
      </c>
      <c r="H28" s="33">
        <f>MRS!H28</f>
        <v>200</v>
      </c>
      <c r="I28" s="34">
        <f>MRS!I28</f>
        <v>12</v>
      </c>
      <c r="J28" s="34">
        <f t="shared" si="0"/>
        <v>2400</v>
      </c>
      <c r="K28" s="35"/>
      <c r="O28" s="10"/>
      <c r="P28" s="10"/>
      <c r="R28" s="10"/>
    </row>
    <row r="29" spans="1:18" ht="105" customHeight="1">
      <c r="A29" s="31">
        <f>+MRS!A29</f>
        <v>24</v>
      </c>
      <c r="B29" s="180" t="str">
        <f>MRS!B29</f>
        <v xml:space="preserve">Ceramic Nozzle </v>
      </c>
      <c r="C29" s="181"/>
      <c r="D29" s="182" t="str">
        <f>MRS!D29</f>
        <v>350A #8</v>
      </c>
      <c r="E29" s="183"/>
      <c r="F29" s="184"/>
      <c r="G29" s="32" t="str">
        <f>MRS!G29</f>
        <v>Nos</v>
      </c>
      <c r="H29" s="33">
        <f>MRS!H29</f>
        <v>200</v>
      </c>
      <c r="I29" s="34">
        <f>MRS!I29</f>
        <v>12</v>
      </c>
      <c r="J29" s="34">
        <f t="shared" si="0"/>
        <v>2400</v>
      </c>
      <c r="K29" s="35"/>
      <c r="O29" s="10"/>
      <c r="P29" s="10"/>
      <c r="R29" s="10"/>
    </row>
    <row r="30" spans="1:18" ht="105" customHeight="1">
      <c r="A30" s="31">
        <f>+MRS!A30</f>
        <v>25</v>
      </c>
      <c r="B30" s="180" t="str">
        <f>MRS!B30</f>
        <v>Double Ear Clamp S/S 11-13mm</v>
      </c>
      <c r="C30" s="181"/>
      <c r="D30" s="182" t="str">
        <f>MRS!D30</f>
        <v>350A #8</v>
      </c>
      <c r="E30" s="183"/>
      <c r="F30" s="184"/>
      <c r="G30" s="32" t="str">
        <f>MRS!G30</f>
        <v>Nos</v>
      </c>
      <c r="H30" s="33">
        <f>MRS!H30</f>
        <v>300</v>
      </c>
      <c r="I30" s="34">
        <f>MRS!I30</f>
        <v>4.8</v>
      </c>
      <c r="J30" s="34">
        <f t="shared" si="0"/>
        <v>1440</v>
      </c>
      <c r="K30" s="35"/>
      <c r="O30" s="10"/>
      <c r="P30" s="10"/>
      <c r="R30" s="10"/>
    </row>
    <row r="31" spans="1:18" ht="105" customHeight="1">
      <c r="A31" s="31">
        <f>+MRS!A31</f>
        <v>26</v>
      </c>
      <c r="B31" s="180" t="str">
        <f>MRS!B31</f>
        <v>Double Ear Clamp S/S</v>
      </c>
      <c r="C31" s="181"/>
      <c r="D31" s="182" t="str">
        <f>MRS!D31</f>
        <v xml:space="preserve"> 13-15mm</v>
      </c>
      <c r="E31" s="183"/>
      <c r="F31" s="184"/>
      <c r="G31" s="32" t="str">
        <f>MRS!G31</f>
        <v>Nos</v>
      </c>
      <c r="H31" s="33">
        <f>MRS!H31</f>
        <v>300</v>
      </c>
      <c r="I31" s="34">
        <f>MRS!I31</f>
        <v>4.8</v>
      </c>
      <c r="J31" s="34">
        <f t="shared" si="0"/>
        <v>1440</v>
      </c>
      <c r="K31" s="35"/>
      <c r="O31" s="10"/>
      <c r="P31" s="10"/>
      <c r="R31" s="10"/>
    </row>
    <row r="32" spans="1:18" ht="105" customHeight="1">
      <c r="A32" s="31">
        <f>+MRS!A32</f>
        <v>27</v>
      </c>
      <c r="B32" s="180" t="str">
        <f>MRS!B32</f>
        <v>Right Angle</v>
      </c>
      <c r="C32" s="181"/>
      <c r="D32" s="182" t="str">
        <f>MRS!D32</f>
        <v xml:space="preserve"> 12"</v>
      </c>
      <c r="E32" s="183"/>
      <c r="F32" s="184"/>
      <c r="G32" s="32" t="str">
        <f>MRS!G32</f>
        <v>Nos</v>
      </c>
      <c r="H32" s="33">
        <f>MRS!H32</f>
        <v>25</v>
      </c>
      <c r="I32" s="34">
        <f>MRS!I32</f>
        <v>7</v>
      </c>
      <c r="J32" s="34">
        <f t="shared" si="0"/>
        <v>175</v>
      </c>
      <c r="K32" s="35"/>
      <c r="O32" s="10"/>
      <c r="P32" s="10"/>
      <c r="R32" s="10"/>
    </row>
    <row r="33" spans="1:18" ht="105" customHeight="1">
      <c r="A33" s="31">
        <f>+MRS!A33</f>
        <v>28</v>
      </c>
      <c r="B33" s="180" t="str">
        <f>MRS!B33</f>
        <v>Right Angle</v>
      </c>
      <c r="C33" s="181"/>
      <c r="D33" s="182" t="str">
        <f>MRS!D33</f>
        <v xml:space="preserve"> 24"</v>
      </c>
      <c r="E33" s="183"/>
      <c r="F33" s="184"/>
      <c r="G33" s="32" t="str">
        <f>MRS!G33</f>
        <v>Nos</v>
      </c>
      <c r="H33" s="33">
        <f>MRS!H33</f>
        <v>25</v>
      </c>
      <c r="I33" s="34">
        <f>MRS!I33</f>
        <v>12</v>
      </c>
      <c r="J33" s="34">
        <f t="shared" si="0"/>
        <v>300</v>
      </c>
      <c r="K33" s="35"/>
      <c r="O33" s="10"/>
      <c r="P33" s="10"/>
      <c r="R33" s="10"/>
    </row>
    <row r="34" spans="1:18" ht="105" customHeight="1">
      <c r="A34" s="31">
        <f>+MRS!A34</f>
        <v>29</v>
      </c>
      <c r="B34" s="180" t="str">
        <f>MRS!B34</f>
        <v>Concrete Mixing Paddle</v>
      </c>
      <c r="C34" s="181"/>
      <c r="D34" s="182">
        <f>MRS!D34</f>
        <v>0</v>
      </c>
      <c r="E34" s="183"/>
      <c r="F34" s="184"/>
      <c r="G34" s="32" t="str">
        <f>MRS!G34</f>
        <v>Nos</v>
      </c>
      <c r="H34" s="33">
        <f>MRS!H34</f>
        <v>4</v>
      </c>
      <c r="I34" s="34">
        <f>MRS!I34</f>
        <v>42</v>
      </c>
      <c r="J34" s="34">
        <f t="shared" si="0"/>
        <v>168</v>
      </c>
      <c r="K34" s="35"/>
      <c r="O34" s="10"/>
      <c r="P34" s="10"/>
      <c r="R34" s="10"/>
    </row>
    <row r="35" spans="1:18" ht="105" customHeight="1">
      <c r="A35" s="31">
        <f>+MRS!A35</f>
        <v>30</v>
      </c>
      <c r="B35" s="180" t="str">
        <f>MRS!B35</f>
        <v xml:space="preserve">Plastic Sandbag Heavy Duty </v>
      </c>
      <c r="C35" s="181"/>
      <c r="D35" s="182" t="str">
        <f>MRS!D35</f>
        <v>(Gunny Sack) 50kg</v>
      </c>
      <c r="E35" s="183"/>
      <c r="F35" s="184"/>
      <c r="G35" s="32" t="str">
        <f>MRS!G35</f>
        <v>Nos</v>
      </c>
      <c r="H35" s="33">
        <f>MRS!H35</f>
        <v>500</v>
      </c>
      <c r="I35" s="34">
        <f>MRS!I35</f>
        <v>2.2999999999999998</v>
      </c>
      <c r="J35" s="34">
        <f t="shared" si="0"/>
        <v>1150</v>
      </c>
      <c r="K35" s="35"/>
      <c r="O35" s="10"/>
      <c r="P35" s="10"/>
      <c r="R35" s="10"/>
    </row>
    <row r="36" spans="1:18" ht="105" customHeight="1">
      <c r="A36" s="31">
        <f>+MRS!A36</f>
        <v>31</v>
      </c>
      <c r="B36" s="180" t="str">
        <f>MRS!B36</f>
        <v xml:space="preserve">Dust Mask </v>
      </c>
      <c r="C36" s="181"/>
      <c r="D36" s="182" t="str">
        <f>MRS!D36</f>
        <v>N95 Venus</v>
      </c>
      <c r="E36" s="183"/>
      <c r="F36" s="184"/>
      <c r="G36" s="32" t="str">
        <f>MRS!G36</f>
        <v>Nos</v>
      </c>
      <c r="H36" s="33">
        <f>MRS!H36</f>
        <v>2000</v>
      </c>
      <c r="I36" s="34">
        <f>MRS!I36</f>
        <v>1.35</v>
      </c>
      <c r="J36" s="34">
        <f t="shared" si="0"/>
        <v>2700</v>
      </c>
      <c r="K36" s="35"/>
      <c r="O36" s="10"/>
      <c r="P36" s="10"/>
      <c r="R36" s="10"/>
    </row>
    <row r="37" spans="1:18" ht="105" customHeight="1">
      <c r="A37" s="31">
        <f>+MRS!A37</f>
        <v>32</v>
      </c>
      <c r="B37" s="180" t="str">
        <f>MRS!B37</f>
        <v xml:space="preserve">Power Cable </v>
      </c>
      <c r="C37" s="181"/>
      <c r="D37" s="182" t="str">
        <f>MRS!D37</f>
        <v>CU/XLPE/PVC 4Cx35mm2</v>
      </c>
      <c r="E37" s="183"/>
      <c r="F37" s="184"/>
      <c r="G37" s="32" t="str">
        <f>MRS!G37</f>
        <v>Mtr</v>
      </c>
      <c r="H37" s="33">
        <f>MRS!H37</f>
        <v>20</v>
      </c>
      <c r="I37" s="34">
        <f>MRS!I37</f>
        <v>92</v>
      </c>
      <c r="J37" s="34">
        <f t="shared" si="0"/>
        <v>1840</v>
      </c>
      <c r="K37" s="35"/>
      <c r="O37" s="10"/>
      <c r="P37" s="10"/>
      <c r="R37" s="10"/>
    </row>
    <row r="38" spans="1:18" ht="105" customHeight="1">
      <c r="A38" s="31">
        <f>+MRS!A38</f>
        <v>33</v>
      </c>
      <c r="B38" s="180" t="str">
        <f>MRS!B38</f>
        <v xml:space="preserve">Spiral Screw Extractor </v>
      </c>
      <c r="C38" s="181"/>
      <c r="D38" s="182" t="str">
        <f>MRS!D38</f>
        <v>(3/8", 3/16", 1/8", 1/4", 1/2", 1")</v>
      </c>
      <c r="E38" s="183"/>
      <c r="F38" s="184"/>
      <c r="G38" s="32" t="str">
        <f>MRS!G38</f>
        <v>Set</v>
      </c>
      <c r="H38" s="33">
        <f>MRS!H38</f>
        <v>1</v>
      </c>
      <c r="I38" s="34">
        <f>MRS!I38</f>
        <v>46</v>
      </c>
      <c r="J38" s="34">
        <f t="shared" si="0"/>
        <v>46</v>
      </c>
      <c r="K38" s="35"/>
      <c r="O38" s="10"/>
      <c r="P38" s="10"/>
      <c r="R38" s="10"/>
    </row>
    <row r="39" spans="1:18" ht="105" customHeight="1">
      <c r="A39" s="31">
        <f>+MRS!A39</f>
        <v>34</v>
      </c>
      <c r="B39" s="180" t="str">
        <f>MRS!B39</f>
        <v xml:space="preserve">Handsaw </v>
      </c>
      <c r="C39" s="181"/>
      <c r="D39" s="182" t="str">
        <f>MRS!D39</f>
        <v>18"</v>
      </c>
      <c r="E39" s="183"/>
      <c r="F39" s="184"/>
      <c r="G39" s="32" t="str">
        <f>MRS!G39</f>
        <v>Nos</v>
      </c>
      <c r="H39" s="33">
        <f>MRS!H39</f>
        <v>8</v>
      </c>
      <c r="I39" s="34">
        <f>MRS!I39</f>
        <v>16</v>
      </c>
      <c r="J39" s="34">
        <f t="shared" si="0"/>
        <v>128</v>
      </c>
      <c r="K39" s="35"/>
      <c r="O39" s="10"/>
      <c r="P39" s="10"/>
      <c r="R39" s="10"/>
    </row>
    <row r="40" spans="1:18" ht="105" customHeight="1">
      <c r="A40" s="31">
        <f>+MRS!A40</f>
        <v>35</v>
      </c>
      <c r="B40" s="180" t="str">
        <f>MRS!B40</f>
        <v xml:space="preserve">Measuring Tape </v>
      </c>
      <c r="C40" s="181"/>
      <c r="D40" s="182" t="str">
        <f>MRS!D40</f>
        <v>15mtr</v>
      </c>
      <c r="E40" s="183"/>
      <c r="F40" s="184"/>
      <c r="G40" s="32" t="str">
        <f>MRS!G40</f>
        <v>Nos</v>
      </c>
      <c r="H40" s="33">
        <f>MRS!H40</f>
        <v>2</v>
      </c>
      <c r="I40" s="34">
        <f>MRS!I40</f>
        <v>16</v>
      </c>
      <c r="J40" s="34">
        <f t="shared" si="0"/>
        <v>32</v>
      </c>
      <c r="K40" s="35"/>
      <c r="O40" s="10"/>
      <c r="P40" s="10"/>
      <c r="R40" s="10"/>
    </row>
    <row r="41" spans="1:18" ht="105" customHeight="1">
      <c r="A41" s="31">
        <f>+MRS!A41</f>
        <v>36</v>
      </c>
      <c r="B41" s="180" t="str">
        <f>MRS!B41</f>
        <v>Paint Scraper</v>
      </c>
      <c r="C41" s="181"/>
      <c r="D41" s="182" t="str">
        <f>MRS!D41</f>
        <v xml:space="preserve"> 2"</v>
      </c>
      <c r="E41" s="183"/>
      <c r="F41" s="184"/>
      <c r="G41" s="32" t="str">
        <f>MRS!G41</f>
        <v>Nos</v>
      </c>
      <c r="H41" s="33">
        <f>MRS!H41</f>
        <v>48</v>
      </c>
      <c r="I41" s="34">
        <f>MRS!I41</f>
        <v>1.6</v>
      </c>
      <c r="J41" s="34">
        <f t="shared" si="0"/>
        <v>76.800000000000011</v>
      </c>
      <c r="K41" s="35"/>
      <c r="O41" s="10"/>
      <c r="P41" s="10"/>
      <c r="R41" s="10"/>
    </row>
    <row r="42" spans="1:18" ht="105" customHeight="1">
      <c r="A42" s="31">
        <f>+MRS!A42</f>
        <v>37</v>
      </c>
      <c r="B42" s="180" t="str">
        <f>MRS!B42</f>
        <v>Paint Scraper</v>
      </c>
      <c r="C42" s="181"/>
      <c r="D42" s="182" t="str">
        <f>MRS!D42</f>
        <v xml:space="preserve"> 3"</v>
      </c>
      <c r="E42" s="183"/>
      <c r="F42" s="184"/>
      <c r="G42" s="32" t="str">
        <f>MRS!G42</f>
        <v>Nos</v>
      </c>
      <c r="H42" s="33">
        <f>MRS!H42</f>
        <v>48</v>
      </c>
      <c r="I42" s="34">
        <f>MRS!I42</f>
        <v>1.8</v>
      </c>
      <c r="J42" s="34">
        <f t="shared" si="0"/>
        <v>86.4</v>
      </c>
      <c r="K42" s="35"/>
      <c r="O42" s="10"/>
      <c r="P42" s="10"/>
      <c r="R42" s="10"/>
    </row>
    <row r="43" spans="1:18" ht="105" customHeight="1">
      <c r="A43" s="31">
        <f>+MRS!A43</f>
        <v>38</v>
      </c>
      <c r="B43" s="180" t="str">
        <f>MRS!B43</f>
        <v>Paint Scraper</v>
      </c>
      <c r="C43" s="181"/>
      <c r="D43" s="182" t="str">
        <f>MRS!D43</f>
        <v xml:space="preserve"> 4"</v>
      </c>
      <c r="E43" s="183"/>
      <c r="F43" s="184"/>
      <c r="G43" s="32" t="str">
        <f>MRS!G43</f>
        <v>Nos</v>
      </c>
      <c r="H43" s="33">
        <f>MRS!H43</f>
        <v>48</v>
      </c>
      <c r="I43" s="34">
        <f>MRS!I43</f>
        <v>2</v>
      </c>
      <c r="J43" s="34">
        <f t="shared" si="0"/>
        <v>96</v>
      </c>
      <c r="K43" s="35"/>
      <c r="O43" s="10"/>
      <c r="P43" s="10"/>
      <c r="R43" s="10"/>
    </row>
    <row r="44" spans="1:18" ht="105" customHeight="1">
      <c r="A44" s="31">
        <f>+MRS!A44</f>
        <v>39</v>
      </c>
      <c r="B44" s="180" t="str">
        <f>MRS!B44</f>
        <v xml:space="preserve">Welding Tig Gloves </v>
      </c>
      <c r="C44" s="181"/>
      <c r="D44" s="182" t="str">
        <f>MRS!D44</f>
        <v>10"</v>
      </c>
      <c r="E44" s="183"/>
      <c r="F44" s="184"/>
      <c r="G44" s="32" t="str">
        <f>MRS!G44</f>
        <v>Pair</v>
      </c>
      <c r="H44" s="33">
        <f>MRS!H44</f>
        <v>360</v>
      </c>
      <c r="I44" s="34">
        <f>MRS!I44</f>
        <v>6.7</v>
      </c>
      <c r="J44" s="34">
        <f t="shared" si="0"/>
        <v>2412</v>
      </c>
      <c r="K44" s="35"/>
      <c r="O44" s="10"/>
      <c r="P44" s="10"/>
      <c r="R44" s="10"/>
    </row>
    <row r="45" spans="1:18" ht="105" customHeight="1">
      <c r="A45" s="31">
        <f>+MRS!A45</f>
        <v>40</v>
      </c>
      <c r="B45" s="180" t="str">
        <f>MRS!B45</f>
        <v xml:space="preserve">Measuring Tape </v>
      </c>
      <c r="C45" s="181"/>
      <c r="D45" s="182" t="str">
        <f>MRS!D45</f>
        <v>5mtr</v>
      </c>
      <c r="E45" s="183"/>
      <c r="F45" s="184"/>
      <c r="G45" s="32" t="str">
        <f>MRS!G45</f>
        <v>Nos</v>
      </c>
      <c r="H45" s="33">
        <f>MRS!H45</f>
        <v>50</v>
      </c>
      <c r="I45" s="34">
        <f>MRS!I45</f>
        <v>5.5</v>
      </c>
      <c r="J45" s="34">
        <f t="shared" si="0"/>
        <v>275</v>
      </c>
      <c r="K45" s="35"/>
      <c r="O45" s="10"/>
      <c r="P45" s="10"/>
      <c r="R45" s="10"/>
    </row>
    <row r="46" spans="1:18" ht="105" customHeight="1">
      <c r="A46" s="31">
        <f>+MRS!A46</f>
        <v>41</v>
      </c>
      <c r="B46" s="180" t="str">
        <f>MRS!B46</f>
        <v>Measuring Tape</v>
      </c>
      <c r="C46" s="181"/>
      <c r="D46" s="182" t="str">
        <f>MRS!D46</f>
        <v xml:space="preserve"> 7.5mtr</v>
      </c>
      <c r="E46" s="183"/>
      <c r="F46" s="184"/>
      <c r="G46" s="32" t="str">
        <f>MRS!G46</f>
        <v>Nos</v>
      </c>
      <c r="H46" s="33">
        <f>MRS!H46</f>
        <v>36</v>
      </c>
      <c r="I46" s="34">
        <f>MRS!I46</f>
        <v>7</v>
      </c>
      <c r="J46" s="34">
        <f t="shared" si="0"/>
        <v>252</v>
      </c>
      <c r="K46" s="35"/>
      <c r="O46" s="10"/>
      <c r="P46" s="10"/>
      <c r="R46" s="10"/>
    </row>
    <row r="47" spans="1:18" ht="105" customHeight="1">
      <c r="A47" s="31">
        <f>+MRS!A47</f>
        <v>42</v>
      </c>
      <c r="B47" s="180" t="str">
        <f>MRS!B47</f>
        <v xml:space="preserve">Latex Half Coated Gloves </v>
      </c>
      <c r="C47" s="181"/>
      <c r="D47" s="182" t="str">
        <f>MRS!D47</f>
        <v>Orange/Green Crinkled</v>
      </c>
      <c r="E47" s="183"/>
      <c r="F47" s="184"/>
      <c r="G47" s="32" t="str">
        <f>MRS!G47</f>
        <v>Pair</v>
      </c>
      <c r="H47" s="33">
        <f>MRS!H47</f>
        <v>6500</v>
      </c>
      <c r="I47" s="34">
        <f>MRS!I47</f>
        <v>1.3</v>
      </c>
      <c r="J47" s="34">
        <f t="shared" si="0"/>
        <v>8450</v>
      </c>
      <c r="K47" s="35"/>
      <c r="O47" s="10"/>
      <c r="P47" s="10"/>
      <c r="R47" s="10"/>
    </row>
    <row r="48" spans="1:18" ht="105" customHeight="1">
      <c r="A48" s="31">
        <f>+MRS!A48</f>
        <v>43</v>
      </c>
      <c r="B48" s="180" t="str">
        <f>MRS!B48</f>
        <v xml:space="preserve">Carbide Burr Cone Shape </v>
      </c>
      <c r="C48" s="181"/>
      <c r="D48" s="182" t="str">
        <f>MRS!D48</f>
        <v>G1225x06</v>
      </c>
      <c r="E48" s="183"/>
      <c r="F48" s="184"/>
      <c r="G48" s="32" t="str">
        <f>MRS!G48</f>
        <v>Nos</v>
      </c>
      <c r="H48" s="33">
        <f>MRS!H48</f>
        <v>100</v>
      </c>
      <c r="I48" s="34">
        <f>MRS!I48</f>
        <v>50</v>
      </c>
      <c r="J48" s="34">
        <f t="shared" si="0"/>
        <v>5000</v>
      </c>
      <c r="K48" s="35"/>
      <c r="O48" s="10"/>
      <c r="P48" s="10"/>
      <c r="R48" s="10"/>
    </row>
    <row r="49" spans="1:18" ht="105" customHeight="1">
      <c r="A49" s="31">
        <f>+MRS!A49</f>
        <v>44</v>
      </c>
      <c r="B49" s="180" t="str">
        <f>MRS!B49</f>
        <v xml:space="preserve">Sledge Hammer </v>
      </c>
      <c r="C49" s="181"/>
      <c r="D49" s="182" t="str">
        <f>MRS!D49</f>
        <v>2LB</v>
      </c>
      <c r="E49" s="183"/>
      <c r="F49" s="184"/>
      <c r="G49" s="32" t="str">
        <f>MRS!G49</f>
        <v>Nos</v>
      </c>
      <c r="H49" s="33">
        <f>MRS!H49</f>
        <v>30</v>
      </c>
      <c r="I49" s="34">
        <f>MRS!I49</f>
        <v>23.5</v>
      </c>
      <c r="J49" s="34">
        <f t="shared" si="0"/>
        <v>705</v>
      </c>
      <c r="K49" s="35"/>
      <c r="O49" s="10"/>
      <c r="P49" s="10"/>
      <c r="R49" s="10"/>
    </row>
    <row r="50" spans="1:18" ht="105" customHeight="1">
      <c r="A50" s="31">
        <f>+MRS!A50</f>
        <v>45</v>
      </c>
      <c r="B50" s="180" t="str">
        <f>MRS!B50</f>
        <v xml:space="preserve">Rubber Hammer </v>
      </c>
      <c r="C50" s="181"/>
      <c r="D50" s="182" t="str">
        <f>MRS!D50</f>
        <v>750g</v>
      </c>
      <c r="E50" s="183"/>
      <c r="F50" s="184"/>
      <c r="G50" s="32" t="str">
        <f>MRS!G50</f>
        <v>Nos</v>
      </c>
      <c r="H50" s="33">
        <f>MRS!H50</f>
        <v>30</v>
      </c>
      <c r="I50" s="34">
        <f>MRS!I50</f>
        <v>21</v>
      </c>
      <c r="J50" s="34">
        <f t="shared" si="0"/>
        <v>630</v>
      </c>
      <c r="K50" s="35"/>
      <c r="O50" s="10"/>
      <c r="P50" s="10"/>
      <c r="R50" s="10"/>
    </row>
    <row r="51" spans="1:18" ht="105" customHeight="1">
      <c r="A51" s="31">
        <f>+MRS!A51</f>
        <v>46</v>
      </c>
      <c r="B51" s="180" t="str">
        <f>MRS!B51</f>
        <v>Hand Wire Brush S/S</v>
      </c>
      <c r="C51" s="181"/>
      <c r="D51" s="182" t="str">
        <f>MRS!D51</f>
        <v xml:space="preserve"> (Non-magnetic)</v>
      </c>
      <c r="E51" s="183"/>
      <c r="F51" s="184"/>
      <c r="G51" s="32" t="str">
        <f>MRS!G51</f>
        <v>Nos</v>
      </c>
      <c r="H51" s="33">
        <f>MRS!H51</f>
        <v>60</v>
      </c>
      <c r="I51" s="34">
        <f>MRS!I51</f>
        <v>5.2</v>
      </c>
      <c r="J51" s="34">
        <f t="shared" si="0"/>
        <v>312</v>
      </c>
      <c r="K51" s="35"/>
      <c r="O51" s="10"/>
      <c r="P51" s="10"/>
      <c r="R51" s="10"/>
    </row>
    <row r="52" spans="1:18" ht="105" customHeight="1">
      <c r="A52" s="31">
        <f>+MRS!A52</f>
        <v>47</v>
      </c>
      <c r="B52" s="180" t="str">
        <f>MRS!B52</f>
        <v xml:space="preserve">Drill Bit HSS Cobalt (S/S) </v>
      </c>
      <c r="C52" s="181"/>
      <c r="D52" s="182" t="str">
        <f>MRS!D52</f>
        <v>8mm</v>
      </c>
      <c r="E52" s="183"/>
      <c r="F52" s="184"/>
      <c r="G52" s="32" t="str">
        <f>MRS!G52</f>
        <v>Nos</v>
      </c>
      <c r="H52" s="33">
        <f>MRS!H52</f>
        <v>50</v>
      </c>
      <c r="I52" s="34">
        <f>MRS!I52</f>
        <v>8</v>
      </c>
      <c r="J52" s="34">
        <f t="shared" si="0"/>
        <v>400</v>
      </c>
      <c r="K52" s="35"/>
      <c r="O52" s="10"/>
      <c r="P52" s="10"/>
      <c r="R52" s="10"/>
    </row>
    <row r="53" spans="1:18" ht="105" customHeight="1">
      <c r="A53" s="31">
        <f>+MRS!A53</f>
        <v>48</v>
      </c>
      <c r="B53" s="180" t="str">
        <f>MRS!B53</f>
        <v xml:space="preserve">Drill Bit HSS Cobalt (S/S) </v>
      </c>
      <c r="C53" s="181"/>
      <c r="D53" s="182" t="str">
        <f>MRS!D53</f>
        <v>6mm</v>
      </c>
      <c r="E53" s="183"/>
      <c r="F53" s="184"/>
      <c r="G53" s="32" t="str">
        <f>MRS!G53</f>
        <v>Nos</v>
      </c>
      <c r="H53" s="33">
        <f>MRS!H53</f>
        <v>50</v>
      </c>
      <c r="I53" s="34">
        <f>MRS!I53</f>
        <v>5</v>
      </c>
      <c r="J53" s="34">
        <f t="shared" si="0"/>
        <v>250</v>
      </c>
      <c r="K53" s="35"/>
      <c r="O53" s="10"/>
      <c r="P53" s="10"/>
      <c r="R53" s="10"/>
    </row>
    <row r="54" spans="1:18" ht="105" customHeight="1">
      <c r="A54" s="31">
        <f>+MRS!A54</f>
        <v>49</v>
      </c>
      <c r="B54" s="180" t="str">
        <f>MRS!B54</f>
        <v xml:space="preserve">Acetone </v>
      </c>
      <c r="C54" s="181"/>
      <c r="D54" s="182" t="str">
        <f>MRS!D54</f>
        <v>4liter (Flammable Liquid)</v>
      </c>
      <c r="E54" s="183"/>
      <c r="F54" s="184"/>
      <c r="G54" s="32" t="str">
        <f>MRS!G54</f>
        <v>Nos</v>
      </c>
      <c r="H54" s="33">
        <f>MRS!H54</f>
        <v>10</v>
      </c>
      <c r="I54" s="34">
        <f>MRS!I54</f>
        <v>104</v>
      </c>
      <c r="J54" s="34">
        <f t="shared" si="0"/>
        <v>1040</v>
      </c>
      <c r="K54" s="35"/>
      <c r="O54" s="10"/>
      <c r="P54" s="10"/>
      <c r="R54" s="10"/>
    </row>
    <row r="55" spans="1:18" ht="105" customHeight="1">
      <c r="A55" s="31">
        <f>+MRS!A55</f>
        <v>50</v>
      </c>
      <c r="B55" s="180" t="str">
        <f>MRS!B55</f>
        <v xml:space="preserve">Inverter ARC Welding Machine </v>
      </c>
      <c r="C55" s="181"/>
      <c r="D55" s="182" t="str">
        <f>MRS!D55</f>
        <v>200A ARC200 Jasic</v>
      </c>
      <c r="E55" s="183"/>
      <c r="F55" s="184"/>
      <c r="G55" s="32" t="str">
        <f>MRS!G55</f>
        <v>Set</v>
      </c>
      <c r="H55" s="33">
        <f>MRS!H55</f>
        <v>15</v>
      </c>
      <c r="I55" s="34">
        <f>MRS!I55</f>
        <v>1240</v>
      </c>
      <c r="J55" s="34">
        <f t="shared" si="0"/>
        <v>18600</v>
      </c>
      <c r="K55" s="35"/>
      <c r="O55" s="10"/>
      <c r="P55" s="10"/>
      <c r="R55" s="10"/>
    </row>
    <row r="56" spans="1:18" ht="105" customHeight="1">
      <c r="A56" s="31">
        <f>+MRS!A56</f>
        <v>51</v>
      </c>
      <c r="B56" s="180" t="str">
        <f>MRS!B56</f>
        <v xml:space="preserve">Angle Grinder </v>
      </c>
      <c r="C56" s="181"/>
      <c r="D56" s="182" t="str">
        <f>MRS!D56</f>
        <v>4" 220V with Paddle Switch DWE4002-B5 Dewalt</v>
      </c>
      <c r="E56" s="183"/>
      <c r="F56" s="184"/>
      <c r="G56" s="32" t="str">
        <f>MRS!G56</f>
        <v>Nos</v>
      </c>
      <c r="H56" s="33">
        <f>MRS!H56</f>
        <v>15</v>
      </c>
      <c r="I56" s="34">
        <f>MRS!I56</f>
        <v>320</v>
      </c>
      <c r="J56" s="34">
        <f t="shared" si="0"/>
        <v>4800</v>
      </c>
      <c r="K56" s="35"/>
      <c r="O56" s="10"/>
      <c r="P56" s="10"/>
      <c r="R56" s="10"/>
    </row>
    <row r="57" spans="1:18" ht="105" customHeight="1">
      <c r="A57" s="31">
        <f>+MRS!A57</f>
        <v>52</v>
      </c>
      <c r="B57" s="180" t="str">
        <f>MRS!B57</f>
        <v>Deep Impact Socket</v>
      </c>
      <c r="C57" s="181"/>
      <c r="D57" s="182" t="str">
        <f>MRS!D57</f>
        <v xml:space="preserve"> 1/2"dr x 36mm</v>
      </c>
      <c r="E57" s="183"/>
      <c r="F57" s="184"/>
      <c r="G57" s="32" t="str">
        <f>MRS!G57</f>
        <v>Nos</v>
      </c>
      <c r="H57" s="33">
        <f>MRS!H57</f>
        <v>20</v>
      </c>
      <c r="I57" s="34">
        <f>MRS!I57</f>
        <v>36</v>
      </c>
      <c r="J57" s="34">
        <f t="shared" si="0"/>
        <v>720</v>
      </c>
      <c r="K57" s="35"/>
      <c r="O57" s="10"/>
      <c r="P57" s="10"/>
      <c r="R57" s="10"/>
    </row>
    <row r="58" spans="1:18" ht="105" customHeight="1">
      <c r="A58" s="31">
        <f>+MRS!A58</f>
        <v>53</v>
      </c>
      <c r="B58" s="180" t="str">
        <f>MRS!B58</f>
        <v>Adjustable Wrench</v>
      </c>
      <c r="C58" s="181"/>
      <c r="D58" s="182" t="str">
        <f>MRS!D58</f>
        <v xml:space="preserve"> 18"</v>
      </c>
      <c r="E58" s="183"/>
      <c r="F58" s="184"/>
      <c r="G58" s="32" t="str">
        <f>MRS!G58</f>
        <v>Nos</v>
      </c>
      <c r="H58" s="33">
        <f>MRS!H58</f>
        <v>10</v>
      </c>
      <c r="I58" s="34">
        <f>MRS!I58</f>
        <v>54</v>
      </c>
      <c r="J58" s="34">
        <f t="shared" si="0"/>
        <v>540</v>
      </c>
      <c r="K58" s="35"/>
      <c r="O58" s="10"/>
      <c r="P58" s="10"/>
      <c r="R58" s="10"/>
    </row>
    <row r="59" spans="1:18" ht="105" customHeight="1">
      <c r="A59" s="31">
        <f>+MRS!A59</f>
        <v>54</v>
      </c>
      <c r="B59" s="180" t="str">
        <f>MRS!B59</f>
        <v>Gear Oil</v>
      </c>
      <c r="C59" s="181"/>
      <c r="D59" s="182" t="str">
        <f>MRS!D59</f>
        <v xml:space="preserve"> SAE VG-150 20Ltr</v>
      </c>
      <c r="E59" s="183"/>
      <c r="F59" s="184"/>
      <c r="G59" s="32" t="str">
        <f>MRS!G59</f>
        <v>Nos</v>
      </c>
      <c r="H59" s="33">
        <f>MRS!H59</f>
        <v>1</v>
      </c>
      <c r="I59" s="34">
        <f>MRS!I59</f>
        <v>403</v>
      </c>
      <c r="J59" s="34">
        <f t="shared" si="0"/>
        <v>403</v>
      </c>
      <c r="K59" s="35"/>
      <c r="O59" s="10"/>
      <c r="P59" s="10"/>
      <c r="R59" s="10"/>
    </row>
    <row r="60" spans="1:18" ht="105" customHeight="1">
      <c r="A60" s="31">
        <f>+MRS!A60</f>
        <v>55</v>
      </c>
      <c r="B60" s="180" t="str">
        <f>MRS!B60</f>
        <v xml:space="preserve">Grease </v>
      </c>
      <c r="C60" s="181"/>
      <c r="D60" s="182" t="str">
        <f>MRS!D60</f>
        <v>MP 2CL+ Petromin</v>
      </c>
      <c r="E60" s="183"/>
      <c r="F60" s="184"/>
      <c r="G60" s="32" t="str">
        <f>MRS!G60</f>
        <v>Nos</v>
      </c>
      <c r="H60" s="33">
        <f>MRS!H60</f>
        <v>1</v>
      </c>
      <c r="I60" s="34">
        <f>MRS!I60</f>
        <v>164</v>
      </c>
      <c r="J60" s="34">
        <f t="shared" si="0"/>
        <v>164</v>
      </c>
      <c r="K60" s="35"/>
      <c r="O60" s="10"/>
      <c r="P60" s="10"/>
      <c r="R60" s="10"/>
    </row>
    <row r="61" spans="1:18" ht="105" customHeight="1">
      <c r="A61" s="31">
        <f>+MRS!A61</f>
        <v>56</v>
      </c>
      <c r="B61" s="180" t="str">
        <f>MRS!B61</f>
        <v>Silicon Sealant White</v>
      </c>
      <c r="C61" s="181"/>
      <c r="D61" s="182">
        <f>MRS!D61</f>
        <v>0</v>
      </c>
      <c r="E61" s="183"/>
      <c r="F61" s="184"/>
      <c r="G61" s="32" t="str">
        <f>MRS!G61</f>
        <v>Nos</v>
      </c>
      <c r="H61" s="33">
        <f>MRS!H61</f>
        <v>240</v>
      </c>
      <c r="I61" s="34">
        <f>MRS!I61</f>
        <v>3.6</v>
      </c>
      <c r="J61" s="34">
        <f t="shared" si="0"/>
        <v>864</v>
      </c>
      <c r="K61" s="35"/>
      <c r="O61" s="10"/>
      <c r="P61" s="10"/>
      <c r="R61" s="10"/>
    </row>
    <row r="62" spans="1:18" ht="105" customHeight="1">
      <c r="A62" s="31">
        <f>+MRS!A62</f>
        <v>57</v>
      </c>
      <c r="B62" s="180" t="str">
        <f>MRS!B62</f>
        <v xml:space="preserve">Screw Driver Flat </v>
      </c>
      <c r="C62" s="181"/>
      <c r="D62" s="182" t="str">
        <f>MRS!D62</f>
        <v>6x300mm</v>
      </c>
      <c r="E62" s="183"/>
      <c r="F62" s="184"/>
      <c r="G62" s="32" t="str">
        <f>MRS!G62</f>
        <v>Nos</v>
      </c>
      <c r="H62" s="33">
        <f>MRS!H62</f>
        <v>50</v>
      </c>
      <c r="I62" s="34">
        <f>MRS!I62</f>
        <v>9</v>
      </c>
      <c r="J62" s="34">
        <f t="shared" si="0"/>
        <v>450</v>
      </c>
      <c r="K62" s="35"/>
      <c r="O62" s="10"/>
      <c r="P62" s="10"/>
      <c r="R62" s="10"/>
    </row>
    <row r="63" spans="1:18" ht="105" customHeight="1">
      <c r="A63" s="31">
        <f>+MRS!A63</f>
        <v>58</v>
      </c>
      <c r="B63" s="180" t="str">
        <f>MRS!B63</f>
        <v>Disposable Coverall</v>
      </c>
      <c r="C63" s="181"/>
      <c r="D63" s="182" t="str">
        <f>MRS!D63</f>
        <v xml:space="preserve"> 2XL</v>
      </c>
      <c r="E63" s="183"/>
      <c r="F63" s="184"/>
      <c r="G63" s="32" t="str">
        <f>MRS!G63</f>
        <v>Nos</v>
      </c>
      <c r="H63" s="33">
        <f>MRS!H63</f>
        <v>700</v>
      </c>
      <c r="I63" s="34">
        <f>MRS!I63</f>
        <v>4</v>
      </c>
      <c r="J63" s="34">
        <f t="shared" si="0"/>
        <v>2800</v>
      </c>
      <c r="K63" s="35"/>
      <c r="O63" s="10"/>
      <c r="P63" s="10"/>
      <c r="R63" s="10"/>
    </row>
    <row r="64" spans="1:18" ht="105" customHeight="1">
      <c r="A64" s="31">
        <f>+MRS!A64</f>
        <v>59</v>
      </c>
      <c r="B64" s="180" t="str">
        <f>MRS!B64</f>
        <v>Combination Spanner</v>
      </c>
      <c r="C64" s="181"/>
      <c r="D64" s="182" t="str">
        <f>MRS!D64</f>
        <v xml:space="preserve"> 13mm</v>
      </c>
      <c r="E64" s="183"/>
      <c r="F64" s="184"/>
      <c r="G64" s="32" t="str">
        <f>MRS!G64</f>
        <v>Nos</v>
      </c>
      <c r="H64" s="33">
        <f>MRS!H64</f>
        <v>25</v>
      </c>
      <c r="I64" s="34">
        <f>MRS!I64</f>
        <v>9</v>
      </c>
      <c r="J64" s="34">
        <f t="shared" si="0"/>
        <v>225</v>
      </c>
      <c r="K64" s="35"/>
      <c r="O64" s="10"/>
      <c r="P64" s="10"/>
      <c r="R64" s="10"/>
    </row>
    <row r="65" spans="1:18" ht="105" customHeight="1">
      <c r="A65" s="31">
        <f>+MRS!A65</f>
        <v>60</v>
      </c>
      <c r="B65" s="180" t="str">
        <f>MRS!B65</f>
        <v xml:space="preserve">Combination Spanner </v>
      </c>
      <c r="C65" s="181"/>
      <c r="D65" s="182" t="str">
        <f>MRS!D65</f>
        <v>14mm</v>
      </c>
      <c r="E65" s="183"/>
      <c r="F65" s="184"/>
      <c r="G65" s="32" t="str">
        <f>MRS!G65</f>
        <v>Nos</v>
      </c>
      <c r="H65" s="33">
        <f>MRS!H65</f>
        <v>25</v>
      </c>
      <c r="I65" s="34">
        <f>MRS!I65</f>
        <v>10</v>
      </c>
      <c r="J65" s="34">
        <f t="shared" si="0"/>
        <v>250</v>
      </c>
      <c r="K65" s="35"/>
      <c r="O65" s="10"/>
      <c r="P65" s="10"/>
      <c r="R65" s="10"/>
    </row>
    <row r="66" spans="1:18" ht="105" customHeight="1">
      <c r="A66" s="31">
        <f>+MRS!A66</f>
        <v>61</v>
      </c>
      <c r="B66" s="180" t="str">
        <f>MRS!B66</f>
        <v>Combination Spanner</v>
      </c>
      <c r="C66" s="181"/>
      <c r="D66" s="182" t="str">
        <f>MRS!D66</f>
        <v xml:space="preserve"> 16mm</v>
      </c>
      <c r="E66" s="183"/>
      <c r="F66" s="184"/>
      <c r="G66" s="32" t="str">
        <f>MRS!G66</f>
        <v>Nos</v>
      </c>
      <c r="H66" s="33">
        <f>MRS!H66</f>
        <v>25</v>
      </c>
      <c r="I66" s="34">
        <f>MRS!I66</f>
        <v>11</v>
      </c>
      <c r="J66" s="34">
        <f t="shared" si="0"/>
        <v>275</v>
      </c>
      <c r="K66" s="35"/>
      <c r="O66" s="10"/>
      <c r="P66" s="10"/>
      <c r="R66" s="10"/>
    </row>
    <row r="67" spans="1:18" ht="105" customHeight="1">
      <c r="A67" s="31">
        <f>+MRS!A67</f>
        <v>62</v>
      </c>
      <c r="B67" s="180" t="str">
        <f>MRS!B67</f>
        <v>Combination Spanner</v>
      </c>
      <c r="C67" s="181"/>
      <c r="D67" s="182" t="str">
        <f>MRS!D67</f>
        <v xml:space="preserve"> 17mm</v>
      </c>
      <c r="E67" s="183"/>
      <c r="F67" s="184"/>
      <c r="G67" s="32" t="str">
        <f>MRS!G67</f>
        <v>Nos</v>
      </c>
      <c r="H67" s="33">
        <f>MRS!H67</f>
        <v>25</v>
      </c>
      <c r="I67" s="34">
        <f>MRS!I67</f>
        <v>12</v>
      </c>
      <c r="J67" s="34">
        <f t="shared" si="0"/>
        <v>300</v>
      </c>
      <c r="K67" s="35"/>
      <c r="O67" s="10"/>
      <c r="P67" s="10"/>
      <c r="R67" s="10"/>
    </row>
    <row r="68" spans="1:18" ht="105" customHeight="1">
      <c r="A68" s="31">
        <f>+MRS!A68</f>
        <v>63</v>
      </c>
      <c r="B68" s="180" t="str">
        <f>MRS!B68</f>
        <v xml:space="preserve">Combination Spanner </v>
      </c>
      <c r="C68" s="181"/>
      <c r="D68" s="182" t="str">
        <f>MRS!D68</f>
        <v>18mm</v>
      </c>
      <c r="E68" s="183"/>
      <c r="F68" s="184"/>
      <c r="G68" s="32" t="str">
        <f>MRS!G68</f>
        <v>Nos</v>
      </c>
      <c r="H68" s="33">
        <f>MRS!H68</f>
        <v>25</v>
      </c>
      <c r="I68" s="34">
        <f>MRS!I68</f>
        <v>13</v>
      </c>
      <c r="J68" s="34">
        <f t="shared" si="0"/>
        <v>325</v>
      </c>
      <c r="K68" s="35"/>
      <c r="O68" s="10"/>
      <c r="P68" s="10"/>
      <c r="R68" s="10"/>
    </row>
    <row r="69" spans="1:18" ht="105" customHeight="1">
      <c r="A69" s="31">
        <f>+MRS!A69</f>
        <v>64</v>
      </c>
      <c r="B69" s="180" t="str">
        <f>MRS!B69</f>
        <v>Combination Spanner</v>
      </c>
      <c r="C69" s="181"/>
      <c r="D69" s="182" t="str">
        <f>MRS!D69</f>
        <v xml:space="preserve"> 19mm</v>
      </c>
      <c r="E69" s="183"/>
      <c r="F69" s="184"/>
      <c r="G69" s="32" t="str">
        <f>MRS!G69</f>
        <v>Nos</v>
      </c>
      <c r="H69" s="33">
        <f>MRS!H69</f>
        <v>25</v>
      </c>
      <c r="I69" s="34">
        <f>MRS!I69</f>
        <v>14</v>
      </c>
      <c r="J69" s="34">
        <f t="shared" si="0"/>
        <v>350</v>
      </c>
      <c r="K69" s="35"/>
      <c r="O69" s="10"/>
      <c r="P69" s="10"/>
      <c r="R69" s="10"/>
    </row>
    <row r="70" spans="1:18" ht="105" customHeight="1">
      <c r="A70" s="31">
        <f>+MRS!A70</f>
        <v>65</v>
      </c>
      <c r="B70" s="180" t="str">
        <f>MRS!B70</f>
        <v xml:space="preserve">Rubber Gloves XL </v>
      </c>
      <c r="C70" s="181"/>
      <c r="D70" s="182" t="str">
        <f>MRS!D70</f>
        <v>Heavy Duty Sun</v>
      </c>
      <c r="E70" s="183"/>
      <c r="F70" s="184"/>
      <c r="G70" s="32" t="str">
        <f>MRS!G70</f>
        <v>Pair</v>
      </c>
      <c r="H70" s="33">
        <f>MRS!H70</f>
        <v>200</v>
      </c>
      <c r="I70" s="34">
        <f>MRS!I70</f>
        <v>2.2999999999999998</v>
      </c>
      <c r="J70" s="34">
        <f t="shared" si="0"/>
        <v>459.99999999999994</v>
      </c>
      <c r="K70" s="35"/>
      <c r="O70" s="10"/>
      <c r="P70" s="10"/>
      <c r="R70" s="10"/>
    </row>
    <row r="71" spans="1:18" ht="105" customHeight="1">
      <c r="A71" s="31">
        <f>+MRS!A71</f>
        <v>66</v>
      </c>
      <c r="B71" s="180" t="str">
        <f>MRS!B71</f>
        <v>CS NIPPLE</v>
      </c>
      <c r="C71" s="181"/>
      <c r="D71" s="182" t="str">
        <f>MRS!D71</f>
        <v xml:space="preserve"> 3/4"x150mm TOE A106-B SCH80 NPT</v>
      </c>
      <c r="E71" s="183"/>
      <c r="F71" s="184"/>
      <c r="G71" s="32" t="str">
        <f>MRS!G71</f>
        <v>Nos</v>
      </c>
      <c r="H71" s="33">
        <f>MRS!H71</f>
        <v>2</v>
      </c>
      <c r="I71" s="34">
        <f>MRS!I71</f>
        <v>22</v>
      </c>
      <c r="J71" s="34">
        <f t="shared" ref="J71:J93" si="1">+H71*I71</f>
        <v>44</v>
      </c>
      <c r="K71" s="35"/>
      <c r="O71" s="10"/>
      <c r="P71" s="10"/>
      <c r="R71" s="10"/>
    </row>
    <row r="72" spans="1:18" ht="105" customHeight="1">
      <c r="A72" s="31">
        <f>+MRS!A72</f>
        <v>67</v>
      </c>
      <c r="B72" s="180" t="str">
        <f>MRS!B72</f>
        <v>CS FULL COUPLING</v>
      </c>
      <c r="C72" s="181"/>
      <c r="D72" s="182" t="str">
        <f>MRS!D72</f>
        <v xml:space="preserve"> 3/4" A105/A105M CL3000 NPT</v>
      </c>
      <c r="E72" s="183"/>
      <c r="F72" s="184"/>
      <c r="G72" s="32" t="str">
        <f>MRS!G72</f>
        <v>Nos</v>
      </c>
      <c r="H72" s="33">
        <f>MRS!H72</f>
        <v>1</v>
      </c>
      <c r="I72" s="34">
        <f>MRS!I72</f>
        <v>15</v>
      </c>
      <c r="J72" s="34">
        <f t="shared" si="1"/>
        <v>15</v>
      </c>
      <c r="K72" s="35"/>
      <c r="O72" s="10"/>
      <c r="P72" s="10"/>
      <c r="R72" s="10"/>
    </row>
    <row r="73" spans="1:18" ht="105" customHeight="1">
      <c r="A73" s="31">
        <f>+MRS!A73</f>
        <v>68</v>
      </c>
      <c r="B73" s="180" t="str">
        <f>MRS!B73</f>
        <v xml:space="preserve">High Pressure Hose </v>
      </c>
      <c r="C73" s="181"/>
      <c r="D73" s="182" t="str">
        <f>MRS!D73</f>
        <v>420bar 1/2" 20mtr NPT Male &amp; Female Fittings</v>
      </c>
      <c r="E73" s="183"/>
      <c r="F73" s="184"/>
      <c r="G73" s="32" t="str">
        <f>MRS!G73</f>
        <v>Nos</v>
      </c>
      <c r="H73" s="33">
        <f>MRS!H73</f>
        <v>6</v>
      </c>
      <c r="I73" s="34">
        <f>MRS!I73</f>
        <v>850</v>
      </c>
      <c r="J73" s="34">
        <f t="shared" si="1"/>
        <v>5100</v>
      </c>
      <c r="K73" s="35"/>
      <c r="O73" s="10"/>
      <c r="P73" s="10"/>
      <c r="R73" s="10"/>
    </row>
    <row r="74" spans="1:18" ht="105" customHeight="1">
      <c r="A74" s="31">
        <f>+MRS!A74</f>
        <v>69</v>
      </c>
      <c r="B74" s="180" t="str">
        <f>MRS!B74</f>
        <v xml:space="preserve">Infrared Thermometer </v>
      </c>
      <c r="C74" s="181"/>
      <c r="D74" s="182" t="str">
        <f>MRS!D74</f>
        <v>Extech IR267</v>
      </c>
      <c r="E74" s="183"/>
      <c r="F74" s="184"/>
      <c r="G74" s="32" t="str">
        <f>MRS!G74</f>
        <v>Nos</v>
      </c>
      <c r="H74" s="33">
        <f>MRS!H74</f>
        <v>1</v>
      </c>
      <c r="I74" s="34">
        <f>MRS!I74</f>
        <v>460</v>
      </c>
      <c r="J74" s="34">
        <f t="shared" si="1"/>
        <v>460</v>
      </c>
      <c r="K74" s="35"/>
      <c r="O74" s="10"/>
      <c r="P74" s="10"/>
      <c r="R74" s="10"/>
    </row>
    <row r="75" spans="1:18" ht="105" customHeight="1">
      <c r="A75" s="31">
        <f>+MRS!A75</f>
        <v>70</v>
      </c>
      <c r="B75" s="180" t="str">
        <f>MRS!B75</f>
        <v>Screw Driver T-Series VDE Insulated</v>
      </c>
      <c r="C75" s="181"/>
      <c r="D75" s="182" t="str">
        <f>MRS!D75</f>
        <v xml:space="preserve"> 7pcs/set ST09303 SATA</v>
      </c>
      <c r="E75" s="183"/>
      <c r="F75" s="184"/>
      <c r="G75" s="32" t="str">
        <f>MRS!G75</f>
        <v>Nos</v>
      </c>
      <c r="H75" s="33">
        <f>MRS!H75</f>
        <v>5</v>
      </c>
      <c r="I75" s="34">
        <f>MRS!I75</f>
        <v>88</v>
      </c>
      <c r="J75" s="34">
        <f t="shared" si="1"/>
        <v>440</v>
      </c>
      <c r="K75" s="35"/>
      <c r="O75" s="10"/>
      <c r="P75" s="10"/>
      <c r="R75" s="10"/>
    </row>
    <row r="76" spans="1:18" ht="105" customHeight="1">
      <c r="A76" s="31">
        <f>+MRS!A76</f>
        <v>71</v>
      </c>
      <c r="B76" s="180" t="str">
        <f>MRS!B76</f>
        <v xml:space="preserve">Drill Machine </v>
      </c>
      <c r="C76" s="181"/>
      <c r="D76" s="182" t="str">
        <f>MRS!D76</f>
        <v>13mm in Steel M0801KB Makita</v>
      </c>
      <c r="E76" s="183"/>
      <c r="F76" s="184"/>
      <c r="G76" s="32" t="str">
        <f>MRS!G76</f>
        <v>Nos</v>
      </c>
      <c r="H76" s="33">
        <f>MRS!H76</f>
        <v>7</v>
      </c>
      <c r="I76" s="34">
        <f>MRS!I76</f>
        <v>210</v>
      </c>
      <c r="J76" s="34">
        <f t="shared" si="1"/>
        <v>1470</v>
      </c>
      <c r="K76" s="35"/>
      <c r="O76" s="10"/>
      <c r="P76" s="10"/>
      <c r="R76" s="10"/>
    </row>
    <row r="77" spans="1:18" ht="105" customHeight="1">
      <c r="A77" s="31">
        <f>+MRS!A77</f>
        <v>72</v>
      </c>
      <c r="B77" s="180" t="str">
        <f>MRS!B77</f>
        <v xml:space="preserve">PVC Transparent Y-Strainer </v>
      </c>
      <c r="C77" s="181"/>
      <c r="D77" s="182" t="str">
        <f>MRS!D77</f>
        <v>1"</v>
      </c>
      <c r="E77" s="183"/>
      <c r="F77" s="184"/>
      <c r="G77" s="32" t="str">
        <f>MRS!G77</f>
        <v>Nos</v>
      </c>
      <c r="H77" s="33">
        <f>MRS!H77</f>
        <v>2</v>
      </c>
      <c r="I77" s="34">
        <f>MRS!I77</f>
        <v>615</v>
      </c>
      <c r="J77" s="34">
        <f t="shared" si="1"/>
        <v>1230</v>
      </c>
      <c r="K77" s="35"/>
      <c r="O77" s="10"/>
      <c r="P77" s="10"/>
      <c r="R77" s="10"/>
    </row>
    <row r="78" spans="1:18" ht="105" customHeight="1">
      <c r="A78" s="31">
        <f>+MRS!A78</f>
        <v>73</v>
      </c>
      <c r="B78" s="180" t="str">
        <f>MRS!B78</f>
        <v>PVC Union</v>
      </c>
      <c r="C78" s="181"/>
      <c r="D78" s="182" t="str">
        <f>MRS!D78</f>
        <v xml:space="preserve"> 1-1/2"</v>
      </c>
      <c r="E78" s="183"/>
      <c r="F78" s="184"/>
      <c r="G78" s="32" t="str">
        <f>MRS!G78</f>
        <v>Nos</v>
      </c>
      <c r="H78" s="33">
        <f>MRS!H78</f>
        <v>1</v>
      </c>
      <c r="I78" s="34">
        <f>MRS!I78</f>
        <v>7</v>
      </c>
      <c r="J78" s="34">
        <f t="shared" si="1"/>
        <v>7</v>
      </c>
      <c r="K78" s="35"/>
      <c r="O78" s="10"/>
      <c r="P78" s="10"/>
      <c r="R78" s="10"/>
    </row>
    <row r="79" spans="1:18" ht="105" customHeight="1">
      <c r="A79" s="31">
        <f>+MRS!A79</f>
        <v>74</v>
      </c>
      <c r="B79" s="180" t="str">
        <f>MRS!B79</f>
        <v xml:space="preserve">PVC Union </v>
      </c>
      <c r="C79" s="181"/>
      <c r="D79" s="182" t="str">
        <f>MRS!D79</f>
        <v>2"</v>
      </c>
      <c r="E79" s="183"/>
      <c r="F79" s="184"/>
      <c r="G79" s="32" t="str">
        <f>MRS!G79</f>
        <v>Nos</v>
      </c>
      <c r="H79" s="33">
        <f>MRS!H79</f>
        <v>1</v>
      </c>
      <c r="I79" s="34">
        <f>MRS!I79</f>
        <v>10.5</v>
      </c>
      <c r="J79" s="34">
        <f t="shared" si="1"/>
        <v>10.5</v>
      </c>
      <c r="K79" s="35"/>
      <c r="O79" s="10"/>
      <c r="P79" s="10"/>
      <c r="R79" s="10"/>
    </row>
    <row r="80" spans="1:18" ht="105" customHeight="1">
      <c r="A80" s="31">
        <f>+MRS!A80</f>
        <v>75</v>
      </c>
      <c r="B80" s="180" t="str">
        <f>MRS!B80</f>
        <v xml:space="preserve">Angle Grinder </v>
      </c>
      <c r="C80" s="181"/>
      <c r="D80" s="182" t="str">
        <f>MRS!D80</f>
        <v>4" 220V with Paddle Switch DWE4002-B5 Dewalt (TUV)</v>
      </c>
      <c r="E80" s="183"/>
      <c r="F80" s="184"/>
      <c r="G80" s="32" t="str">
        <f>MRS!G80</f>
        <v>Nos</v>
      </c>
      <c r="H80" s="33">
        <f>MRS!H80</f>
        <v>1</v>
      </c>
      <c r="I80" s="34">
        <f>MRS!I80</f>
        <v>320</v>
      </c>
      <c r="J80" s="34">
        <f t="shared" si="1"/>
        <v>320</v>
      </c>
      <c r="K80" s="35"/>
      <c r="O80" s="10"/>
      <c r="P80" s="10"/>
      <c r="R80" s="10"/>
    </row>
    <row r="81" spans="1:18" ht="105" customHeight="1">
      <c r="A81" s="31">
        <f>+MRS!A81</f>
        <v>76</v>
      </c>
      <c r="B81" s="180" t="str">
        <f>MRS!B81</f>
        <v xml:space="preserve">Cordless Angle Grinder </v>
      </c>
      <c r="C81" s="181"/>
      <c r="D81" s="182" t="str">
        <f>MRS!D81</f>
        <v>5" PD SW with 2-Bat(5Ah)+Charger Dewalt (TUV)</v>
      </c>
      <c r="E81" s="183"/>
      <c r="F81" s="184"/>
      <c r="G81" s="32" t="str">
        <f>MRS!G81</f>
        <v>Nos</v>
      </c>
      <c r="H81" s="33">
        <f>MRS!H81</f>
        <v>1</v>
      </c>
      <c r="I81" s="34">
        <f>MRS!I81</f>
        <v>1530</v>
      </c>
      <c r="J81" s="34">
        <f t="shared" si="1"/>
        <v>1530</v>
      </c>
      <c r="K81" s="35"/>
      <c r="O81" s="10"/>
      <c r="P81" s="10"/>
      <c r="R81" s="10"/>
    </row>
    <row r="82" spans="1:18" ht="105" customHeight="1">
      <c r="A82" s="31">
        <f>+MRS!A82</f>
        <v>77</v>
      </c>
      <c r="B82" s="180" t="str">
        <f>MRS!B82</f>
        <v xml:space="preserve">Magnetic Drill Machine </v>
      </c>
      <c r="C82" s="181"/>
      <c r="D82" s="182" t="str">
        <f>MRS!D82</f>
        <v>50mm DEW1622K-B5 Dewalt (TUV)</v>
      </c>
      <c r="E82" s="183"/>
      <c r="F82" s="184"/>
      <c r="G82" s="32" t="str">
        <f>MRS!G82</f>
        <v>Nos</v>
      </c>
      <c r="H82" s="33">
        <f>MRS!H82</f>
        <v>1</v>
      </c>
      <c r="I82" s="34">
        <f>MRS!I82</f>
        <v>6700</v>
      </c>
      <c r="J82" s="34">
        <f t="shared" si="1"/>
        <v>6700</v>
      </c>
      <c r="K82" s="35"/>
      <c r="O82" s="10"/>
      <c r="P82" s="10"/>
      <c r="R82" s="10"/>
    </row>
    <row r="83" spans="1:18" ht="105" customHeight="1">
      <c r="A83" s="31">
        <f>+MRS!A83</f>
        <v>78</v>
      </c>
      <c r="B83" s="180" t="str">
        <f>MRS!B83</f>
        <v>Die Grinder</v>
      </c>
      <c r="C83" s="181"/>
      <c r="D83" s="182" t="str">
        <f>MRS!D83</f>
        <v xml:space="preserve"> 6mm 220V with Paddle Switch GD0600 Makita</v>
      </c>
      <c r="E83" s="183"/>
      <c r="F83" s="184"/>
      <c r="G83" s="32" t="str">
        <f>MRS!G83</f>
        <v>Nos</v>
      </c>
      <c r="H83" s="33">
        <f>MRS!H83</f>
        <v>10</v>
      </c>
      <c r="I83" s="34">
        <f>MRS!I83</f>
        <v>420</v>
      </c>
      <c r="J83" s="34">
        <f t="shared" si="1"/>
        <v>4200</v>
      </c>
      <c r="K83" s="35"/>
      <c r="O83" s="10"/>
      <c r="P83" s="10"/>
      <c r="R83" s="10"/>
    </row>
    <row r="84" spans="1:18" ht="105" customHeight="1">
      <c r="A84" s="31">
        <f>+MRS!A84</f>
        <v>79</v>
      </c>
      <c r="B84" s="180" t="str">
        <f>MRS!B84</f>
        <v>Neon Line Tester</v>
      </c>
      <c r="C84" s="181"/>
      <c r="D84" s="182">
        <f>MRS!D84</f>
        <v>0</v>
      </c>
      <c r="E84" s="183"/>
      <c r="F84" s="184"/>
      <c r="G84" s="32" t="str">
        <f>MRS!G84</f>
        <v>Nos</v>
      </c>
      <c r="H84" s="33">
        <f>MRS!H84</f>
        <v>5</v>
      </c>
      <c r="I84" s="34">
        <f>MRS!I84</f>
        <v>2.5</v>
      </c>
      <c r="J84" s="34">
        <f t="shared" si="1"/>
        <v>12.5</v>
      </c>
      <c r="K84" s="35"/>
      <c r="O84" s="10"/>
      <c r="P84" s="10"/>
      <c r="R84" s="10"/>
    </row>
    <row r="85" spans="1:18" ht="105" customHeight="1">
      <c r="A85" s="31">
        <f>+MRS!A85</f>
        <v>80</v>
      </c>
      <c r="B85" s="180" t="str">
        <f>MRS!B85</f>
        <v xml:space="preserve">Warning Tape </v>
      </c>
      <c r="C85" s="181"/>
      <c r="D85" s="182" t="str">
        <f>MRS!D85</f>
        <v>Yellow/Black 3"</v>
      </c>
      <c r="E85" s="183"/>
      <c r="F85" s="184"/>
      <c r="G85" s="32" t="str">
        <f>MRS!G85</f>
        <v>Nos</v>
      </c>
      <c r="H85" s="33">
        <f>MRS!H85</f>
        <v>50</v>
      </c>
      <c r="I85" s="34">
        <f>MRS!I85</f>
        <v>3.1</v>
      </c>
      <c r="J85" s="34">
        <f t="shared" si="1"/>
        <v>155</v>
      </c>
      <c r="K85" s="35"/>
      <c r="O85" s="10"/>
      <c r="P85" s="10"/>
      <c r="R85" s="10"/>
    </row>
    <row r="86" spans="1:18" ht="105" customHeight="1">
      <c r="A86" s="31">
        <f>+MRS!A86</f>
        <v>81</v>
      </c>
      <c r="B86" s="180" t="str">
        <f>MRS!B86</f>
        <v>Cutting Disc S/S</v>
      </c>
      <c r="C86" s="181"/>
      <c r="D86" s="182" t="str">
        <f>MRS!D86</f>
        <v xml:space="preserve"> 4"x1mm Maks</v>
      </c>
      <c r="E86" s="183"/>
      <c r="F86" s="184"/>
      <c r="G86" s="32" t="str">
        <f>MRS!G86</f>
        <v>Nos</v>
      </c>
      <c r="H86" s="33">
        <f>MRS!H86</f>
        <v>2000</v>
      </c>
      <c r="I86" s="34">
        <f>MRS!I86</f>
        <v>1.3</v>
      </c>
      <c r="J86" s="34">
        <f t="shared" si="1"/>
        <v>2600</v>
      </c>
      <c r="K86" s="35"/>
      <c r="O86" s="10"/>
      <c r="P86" s="10"/>
      <c r="R86" s="10"/>
    </row>
    <row r="87" spans="1:18" ht="105" customHeight="1">
      <c r="A87" s="31">
        <f>+MRS!A87</f>
        <v>82</v>
      </c>
      <c r="B87" s="180" t="str">
        <f>MRS!B87</f>
        <v xml:space="preserve">Cutting Disc S/S </v>
      </c>
      <c r="C87" s="181"/>
      <c r="D87" s="182" t="str">
        <f>MRS!D87</f>
        <v>4"x3mm Maks</v>
      </c>
      <c r="E87" s="183"/>
      <c r="F87" s="184"/>
      <c r="G87" s="32" t="str">
        <f>MRS!G87</f>
        <v>Nos</v>
      </c>
      <c r="H87" s="33">
        <f>MRS!H87</f>
        <v>400</v>
      </c>
      <c r="I87" s="34">
        <f>MRS!I87</f>
        <v>2.1</v>
      </c>
      <c r="J87" s="34">
        <f t="shared" si="1"/>
        <v>840</v>
      </c>
      <c r="K87" s="35"/>
      <c r="O87" s="10"/>
      <c r="P87" s="10"/>
      <c r="R87" s="10"/>
    </row>
    <row r="88" spans="1:18" ht="105" customHeight="1">
      <c r="A88" s="31">
        <f>+MRS!A88</f>
        <v>83</v>
      </c>
      <c r="B88" s="180" t="str">
        <f>MRS!B88</f>
        <v>Grinding Disc S/S</v>
      </c>
      <c r="C88" s="181"/>
      <c r="D88" s="182" t="str">
        <f>MRS!D88</f>
        <v xml:space="preserve"> 4"x6mm Maks</v>
      </c>
      <c r="E88" s="183"/>
      <c r="F88" s="184"/>
      <c r="G88" s="32" t="str">
        <f>MRS!G88</f>
        <v>Nos</v>
      </c>
      <c r="H88" s="33">
        <f>MRS!H88</f>
        <v>400</v>
      </c>
      <c r="I88" s="34">
        <f>MRS!I88</f>
        <v>2.5</v>
      </c>
      <c r="J88" s="34">
        <f t="shared" si="1"/>
        <v>1000</v>
      </c>
      <c r="K88" s="35"/>
      <c r="O88" s="10"/>
      <c r="P88" s="10"/>
      <c r="R88" s="10"/>
    </row>
    <row r="89" spans="1:18" ht="105" customHeight="1">
      <c r="A89" s="31">
        <f>+MRS!A89</f>
        <v>84</v>
      </c>
      <c r="B89" s="180" t="str">
        <f>MRS!B89</f>
        <v>Flap Disc C/S</v>
      </c>
      <c r="C89" s="181"/>
      <c r="D89" s="182" t="str">
        <f>MRS!D89</f>
        <v xml:space="preserve"> 4" 80 Grit</v>
      </c>
      <c r="E89" s="183"/>
      <c r="F89" s="184"/>
      <c r="G89" s="32" t="str">
        <f>MRS!G89</f>
        <v>Nos</v>
      </c>
      <c r="H89" s="33">
        <f>MRS!H89</f>
        <v>2000</v>
      </c>
      <c r="I89" s="34">
        <f>MRS!I89</f>
        <v>2.2999999999999998</v>
      </c>
      <c r="J89" s="34">
        <f t="shared" si="1"/>
        <v>4600</v>
      </c>
      <c r="K89" s="35"/>
      <c r="O89" s="10"/>
      <c r="P89" s="10"/>
      <c r="R89" s="10"/>
    </row>
    <row r="90" spans="1:18" ht="105" customHeight="1">
      <c r="A90" s="31">
        <f>+MRS!A90</f>
        <v>85</v>
      </c>
      <c r="B90" s="180" t="str">
        <f>MRS!B90</f>
        <v xml:space="preserve">Flap Wheel S/S </v>
      </c>
      <c r="C90" s="181"/>
      <c r="D90" s="182" t="str">
        <f>MRS!D90</f>
        <v>40x20x6mm</v>
      </c>
      <c r="E90" s="183"/>
      <c r="F90" s="184"/>
      <c r="G90" s="32" t="str">
        <f>MRS!G90</f>
        <v>Nos</v>
      </c>
      <c r="H90" s="33">
        <f>MRS!H90</f>
        <v>300</v>
      </c>
      <c r="I90" s="34">
        <f>MRS!I90</f>
        <v>7</v>
      </c>
      <c r="J90" s="34">
        <f t="shared" si="1"/>
        <v>2100</v>
      </c>
      <c r="K90" s="35"/>
      <c r="O90" s="10"/>
      <c r="P90" s="10"/>
      <c r="R90" s="10"/>
    </row>
    <row r="91" spans="1:18" ht="105" customHeight="1">
      <c r="A91" s="31">
        <f>+MRS!A91</f>
        <v>86</v>
      </c>
      <c r="B91" s="180" t="str">
        <f>MRS!B91</f>
        <v>Low Chloride Paint Marker</v>
      </c>
      <c r="C91" s="181"/>
      <c r="D91" s="182" t="str">
        <f>MRS!D91</f>
        <v xml:space="preserve"> Blue</v>
      </c>
      <c r="E91" s="183"/>
      <c r="F91" s="184"/>
      <c r="G91" s="32" t="str">
        <f>MRS!G91</f>
        <v>Nos</v>
      </c>
      <c r="H91" s="33">
        <f>MRS!H91</f>
        <v>240</v>
      </c>
      <c r="I91" s="34">
        <f>MRS!I91</f>
        <v>12.8</v>
      </c>
      <c r="J91" s="34">
        <f t="shared" si="1"/>
        <v>3072</v>
      </c>
      <c r="K91" s="35"/>
      <c r="O91" s="10"/>
      <c r="P91" s="10"/>
      <c r="R91" s="10"/>
    </row>
    <row r="92" spans="1:18" ht="105" customHeight="1">
      <c r="A92" s="31">
        <f>+MRS!A92</f>
        <v>87</v>
      </c>
      <c r="B92" s="180" t="str">
        <f>MRS!B92</f>
        <v xml:space="preserve">Electric Insulation </v>
      </c>
      <c r="C92" s="181"/>
      <c r="D92" s="182" t="str">
        <f>MRS!D92</f>
        <v>Tape Yellow</v>
      </c>
      <c r="E92" s="183"/>
      <c r="F92" s="184"/>
      <c r="G92" s="32" t="str">
        <f>MRS!G92</f>
        <v>Nos</v>
      </c>
      <c r="H92" s="33">
        <f>MRS!H92</f>
        <v>300</v>
      </c>
      <c r="I92" s="34">
        <f>MRS!I92</f>
        <v>2</v>
      </c>
      <c r="J92" s="34">
        <f t="shared" si="1"/>
        <v>600</v>
      </c>
      <c r="K92" s="35"/>
      <c r="O92" s="10"/>
      <c r="P92" s="10"/>
      <c r="R92" s="10"/>
    </row>
    <row r="93" spans="1:18" ht="105" customHeight="1">
      <c r="A93" s="31">
        <f>+MRS!A93</f>
        <v>88</v>
      </c>
      <c r="B93" s="180" t="str">
        <f>MRS!B93</f>
        <v>Tungsten Electrode</v>
      </c>
      <c r="C93" s="181"/>
      <c r="D93" s="182" t="str">
        <f>MRS!D93</f>
        <v xml:space="preserve"> 3.2mm</v>
      </c>
      <c r="E93" s="183"/>
      <c r="F93" s="184"/>
      <c r="G93" s="32" t="str">
        <f>MRS!G93</f>
        <v>Nos</v>
      </c>
      <c r="H93" s="33">
        <f>MRS!H93</f>
        <v>200</v>
      </c>
      <c r="I93" s="34">
        <f>MRS!I93</f>
        <v>25</v>
      </c>
      <c r="J93" s="34">
        <f t="shared" si="1"/>
        <v>5000</v>
      </c>
      <c r="K93" s="35"/>
      <c r="O93" s="10"/>
      <c r="P93" s="10"/>
      <c r="R93" s="10"/>
    </row>
  </sheetData>
  <mergeCells count="186">
    <mergeCell ref="A4:A5"/>
    <mergeCell ref="B4:C5"/>
    <mergeCell ref="D4:F5"/>
    <mergeCell ref="G4:G5"/>
    <mergeCell ref="H4:H5"/>
    <mergeCell ref="I4:I5"/>
    <mergeCell ref="J4:J5"/>
    <mergeCell ref="K4:K5"/>
    <mergeCell ref="B14:C14"/>
    <mergeCell ref="D14:F14"/>
    <mergeCell ref="B6:C6"/>
    <mergeCell ref="D6:F6"/>
    <mergeCell ref="B7:C7"/>
    <mergeCell ref="D7:F7"/>
    <mergeCell ref="B8:C8"/>
    <mergeCell ref="D8:F8"/>
    <mergeCell ref="B13:C13"/>
    <mergeCell ref="D13:F13"/>
    <mergeCell ref="J1:K1"/>
    <mergeCell ref="J2:K2"/>
    <mergeCell ref="B9:C9"/>
    <mergeCell ref="D9:F9"/>
    <mergeCell ref="B10:C10"/>
    <mergeCell ref="D10:F10"/>
    <mergeCell ref="B11:C11"/>
    <mergeCell ref="D11:F11"/>
    <mergeCell ref="B12:C12"/>
    <mergeCell ref="D12:F12"/>
    <mergeCell ref="B18:C18"/>
    <mergeCell ref="D18:F18"/>
    <mergeCell ref="B19:C19"/>
    <mergeCell ref="D19:F19"/>
    <mergeCell ref="B20:C20"/>
    <mergeCell ref="D20:F20"/>
    <mergeCell ref="B15:C15"/>
    <mergeCell ref="D15:F15"/>
    <mergeCell ref="B16:C16"/>
    <mergeCell ref="D16:F16"/>
    <mergeCell ref="B17:C17"/>
    <mergeCell ref="D17:F17"/>
    <mergeCell ref="B24:C24"/>
    <mergeCell ref="D24:F24"/>
    <mergeCell ref="B25:C25"/>
    <mergeCell ref="D25:F25"/>
    <mergeCell ref="B26:C26"/>
    <mergeCell ref="D26:F26"/>
    <mergeCell ref="B21:C21"/>
    <mergeCell ref="D21:F21"/>
    <mergeCell ref="B22:C22"/>
    <mergeCell ref="D22:F22"/>
    <mergeCell ref="B23:C23"/>
    <mergeCell ref="D23:F23"/>
    <mergeCell ref="B30:C30"/>
    <mergeCell ref="D30:F30"/>
    <mergeCell ref="B31:C31"/>
    <mergeCell ref="D31:F31"/>
    <mergeCell ref="B32:C32"/>
    <mergeCell ref="D32:F32"/>
    <mergeCell ref="B27:C27"/>
    <mergeCell ref="D27:F27"/>
    <mergeCell ref="B28:C28"/>
    <mergeCell ref="D28:F28"/>
    <mergeCell ref="B29:C29"/>
    <mergeCell ref="D29:F29"/>
    <mergeCell ref="B36:C36"/>
    <mergeCell ref="D36:F36"/>
    <mergeCell ref="B37:C37"/>
    <mergeCell ref="D37:F37"/>
    <mergeCell ref="B38:C38"/>
    <mergeCell ref="D38:F38"/>
    <mergeCell ref="B33:C33"/>
    <mergeCell ref="D33:F33"/>
    <mergeCell ref="B34:C34"/>
    <mergeCell ref="D34:F34"/>
    <mergeCell ref="B35:C35"/>
    <mergeCell ref="D35:F35"/>
    <mergeCell ref="B42:C42"/>
    <mergeCell ref="D42:F42"/>
    <mergeCell ref="B43:C43"/>
    <mergeCell ref="D43:F43"/>
    <mergeCell ref="B44:C44"/>
    <mergeCell ref="D44:F44"/>
    <mergeCell ref="B39:C39"/>
    <mergeCell ref="D39:F39"/>
    <mergeCell ref="B40:C40"/>
    <mergeCell ref="D40:F40"/>
    <mergeCell ref="B41:C41"/>
    <mergeCell ref="D41:F41"/>
    <mergeCell ref="B48:C48"/>
    <mergeCell ref="D48:F48"/>
    <mergeCell ref="B49:C49"/>
    <mergeCell ref="D49:F49"/>
    <mergeCell ref="B50:C50"/>
    <mergeCell ref="D50:F50"/>
    <mergeCell ref="B45:C45"/>
    <mergeCell ref="D45:F45"/>
    <mergeCell ref="B46:C46"/>
    <mergeCell ref="D46:F46"/>
    <mergeCell ref="B47:C47"/>
    <mergeCell ref="D47:F47"/>
    <mergeCell ref="B54:C54"/>
    <mergeCell ref="D54:F54"/>
    <mergeCell ref="B55:C55"/>
    <mergeCell ref="D55:F55"/>
    <mergeCell ref="B56:C56"/>
    <mergeCell ref="D56:F56"/>
    <mergeCell ref="B51:C51"/>
    <mergeCell ref="D51:F51"/>
    <mergeCell ref="B52:C52"/>
    <mergeCell ref="D52:F52"/>
    <mergeCell ref="B53:C53"/>
    <mergeCell ref="D53:F53"/>
    <mergeCell ref="B60:C60"/>
    <mergeCell ref="D60:F60"/>
    <mergeCell ref="B61:C61"/>
    <mergeCell ref="D61:F61"/>
    <mergeCell ref="B62:C62"/>
    <mergeCell ref="D62:F62"/>
    <mergeCell ref="B57:C57"/>
    <mergeCell ref="D57:F57"/>
    <mergeCell ref="B58:C58"/>
    <mergeCell ref="D58:F58"/>
    <mergeCell ref="B59:C59"/>
    <mergeCell ref="D59:F59"/>
    <mergeCell ref="B66:C66"/>
    <mergeCell ref="D66:F66"/>
    <mergeCell ref="B67:C67"/>
    <mergeCell ref="D67:F67"/>
    <mergeCell ref="B68:C68"/>
    <mergeCell ref="D68:F68"/>
    <mergeCell ref="B63:C63"/>
    <mergeCell ref="D63:F63"/>
    <mergeCell ref="B64:C64"/>
    <mergeCell ref="D64:F64"/>
    <mergeCell ref="B65:C65"/>
    <mergeCell ref="D65:F65"/>
    <mergeCell ref="B72:C72"/>
    <mergeCell ref="D72:F72"/>
    <mergeCell ref="B73:C73"/>
    <mergeCell ref="D73:F73"/>
    <mergeCell ref="B74:C74"/>
    <mergeCell ref="D74:F74"/>
    <mergeCell ref="B69:C69"/>
    <mergeCell ref="D69:F69"/>
    <mergeCell ref="B70:C70"/>
    <mergeCell ref="D70:F70"/>
    <mergeCell ref="B71:C71"/>
    <mergeCell ref="D71:F71"/>
    <mergeCell ref="B78:C78"/>
    <mergeCell ref="D78:F78"/>
    <mergeCell ref="B79:C79"/>
    <mergeCell ref="D79:F79"/>
    <mergeCell ref="B80:C80"/>
    <mergeCell ref="D80:F80"/>
    <mergeCell ref="B75:C75"/>
    <mergeCell ref="D75:F75"/>
    <mergeCell ref="B76:C76"/>
    <mergeCell ref="D76:F76"/>
    <mergeCell ref="B77:C77"/>
    <mergeCell ref="D77:F77"/>
    <mergeCell ref="B84:C84"/>
    <mergeCell ref="D84:F84"/>
    <mergeCell ref="B85:C85"/>
    <mergeCell ref="D85:F85"/>
    <mergeCell ref="B86:C86"/>
    <mergeCell ref="D86:F86"/>
    <mergeCell ref="B81:C81"/>
    <mergeCell ref="D81:F81"/>
    <mergeCell ref="B82:C82"/>
    <mergeCell ref="D82:F82"/>
    <mergeCell ref="B83:C83"/>
    <mergeCell ref="D83:F83"/>
    <mergeCell ref="B93:C93"/>
    <mergeCell ref="D93:F93"/>
    <mergeCell ref="B90:C90"/>
    <mergeCell ref="D90:F90"/>
    <mergeCell ref="B91:C91"/>
    <mergeCell ref="D91:F91"/>
    <mergeCell ref="B92:C92"/>
    <mergeCell ref="D92:F92"/>
    <mergeCell ref="B87:C87"/>
    <mergeCell ref="D87:F87"/>
    <mergeCell ref="B88:C88"/>
    <mergeCell ref="D88:F88"/>
    <mergeCell ref="B89:C89"/>
    <mergeCell ref="D89:F89"/>
  </mergeCells>
  <phoneticPr fontId="12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7" zoomScale="130" zoomScaleSheetLayoutView="130" workbookViewId="0">
      <selection activeCell="R37" sqref="R37"/>
    </sheetView>
  </sheetViews>
  <sheetFormatPr defaultColWidth="9.140625" defaultRowHeight="12.75"/>
  <cols>
    <col min="1" max="1" width="1.5703125" style="40" customWidth="1"/>
    <col min="2" max="2" width="4.28515625" style="40" customWidth="1"/>
    <col min="3" max="3" width="9.140625" style="40" customWidth="1"/>
    <col min="4" max="4" width="9.140625" style="40"/>
    <col min="5" max="5" width="2.5703125" style="40" customWidth="1"/>
    <col min="6" max="13" width="9.140625" style="40"/>
    <col min="14" max="14" width="1.5703125" style="40" customWidth="1"/>
    <col min="15" max="16384" width="9.140625" style="40"/>
  </cols>
  <sheetData>
    <row r="2" spans="2:13" s="36" customFormat="1" ht="13.5">
      <c r="M2" s="37" t="s">
        <v>19</v>
      </c>
    </row>
    <row r="3" spans="2:13" s="36" customFormat="1">
      <c r="M3" s="38" t="s">
        <v>20</v>
      </c>
    </row>
    <row r="4" spans="2:13" s="36" customFormat="1">
      <c r="M4" s="38" t="s">
        <v>21</v>
      </c>
    </row>
    <row r="5" spans="2:13" s="36" customFormat="1">
      <c r="B5" s="39" t="s">
        <v>22</v>
      </c>
      <c r="M5" s="38" t="s">
        <v>23</v>
      </c>
    </row>
    <row r="6" spans="2:13" s="36" customFormat="1">
      <c r="M6" s="38" t="s">
        <v>24</v>
      </c>
    </row>
    <row r="7" spans="2:13">
      <c r="M7" s="41"/>
    </row>
    <row r="8" spans="2:13">
      <c r="M8" s="41"/>
    </row>
    <row r="9" spans="2:13" s="42" customFormat="1" ht="13.5">
      <c r="B9" s="36" t="s">
        <v>25</v>
      </c>
      <c r="C9" s="122" t="s">
        <v>257</v>
      </c>
      <c r="D9" s="107"/>
      <c r="E9" s="107"/>
      <c r="F9" s="108"/>
    </row>
    <row r="10" spans="2:13">
      <c r="B10" s="36"/>
      <c r="C10" s="53" t="s">
        <v>258</v>
      </c>
      <c r="D10" s="53" t="s">
        <v>259</v>
      </c>
      <c r="E10" s="107"/>
      <c r="F10" s="107"/>
      <c r="J10" s="40" t="s">
        <v>26</v>
      </c>
      <c r="K10" s="132">
        <f>MRS!L3</f>
        <v>46237</v>
      </c>
      <c r="L10" s="133"/>
      <c r="M10" s="133"/>
    </row>
    <row r="11" spans="2:13">
      <c r="B11" s="36"/>
      <c r="C11" s="123" t="s">
        <v>260</v>
      </c>
      <c r="D11" s="53" t="s">
        <v>261</v>
      </c>
      <c r="E11" s="107"/>
      <c r="F11" s="107"/>
      <c r="J11" s="40" t="s">
        <v>27</v>
      </c>
      <c r="K11" s="134" t="str">
        <f>SUBSTITUTE(SUBSTITUTE(+MRS!A3,"  MRS No : ",""),"-MRS","-PO")</f>
        <v>SAC2-DS-PO-0390</v>
      </c>
      <c r="L11" s="134"/>
      <c r="M11" s="134"/>
    </row>
    <row r="12" spans="2:13">
      <c r="B12" s="36"/>
      <c r="C12" s="123" t="s">
        <v>262</v>
      </c>
      <c r="D12" s="53" t="s">
        <v>263</v>
      </c>
      <c r="E12" s="107"/>
      <c r="F12" s="107"/>
      <c r="J12" s="40" t="s">
        <v>28</v>
      </c>
      <c r="K12" s="53"/>
      <c r="L12" s="53"/>
      <c r="M12" s="53"/>
    </row>
    <row r="13" spans="2:13">
      <c r="B13" s="36"/>
      <c r="C13" s="124"/>
      <c r="D13" s="53" t="s">
        <v>264</v>
      </c>
      <c r="E13" s="107"/>
      <c r="F13" s="107"/>
      <c r="J13" s="40" t="s">
        <v>29</v>
      </c>
      <c r="K13" s="53"/>
      <c r="L13" s="53"/>
      <c r="M13" s="53"/>
    </row>
    <row r="14" spans="2:13">
      <c r="B14" s="36"/>
      <c r="C14" s="124" t="s">
        <v>265</v>
      </c>
      <c r="D14" s="107"/>
      <c r="E14" s="107"/>
      <c r="F14" s="107"/>
      <c r="J14" s="40" t="s">
        <v>30</v>
      </c>
      <c r="K14" s="53" t="s">
        <v>270</v>
      </c>
      <c r="L14" s="53"/>
      <c r="M14" s="53"/>
    </row>
    <row r="15" spans="2:13">
      <c r="C15" s="124" t="s">
        <v>266</v>
      </c>
      <c r="D15" s="107"/>
      <c r="E15" s="107"/>
      <c r="F15" s="107"/>
      <c r="J15" s="40" t="s">
        <v>31</v>
      </c>
      <c r="K15" s="125">
        <v>46235</v>
      </c>
      <c r="L15" s="53"/>
      <c r="M15" s="53"/>
    </row>
    <row r="16" spans="2:13" ht="12" customHeight="1">
      <c r="C16" s="43"/>
      <c r="K16" s="125"/>
      <c r="L16" s="53"/>
      <c r="M16" s="53"/>
    </row>
    <row r="17" spans="2:13" ht="20.25">
      <c r="B17" s="135" t="s">
        <v>32</v>
      </c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</row>
    <row r="18" spans="2:13" ht="12" customHeight="1"/>
    <row r="19" spans="2:13" s="44" customFormat="1" ht="12" customHeight="1">
      <c r="B19" s="136" t="s">
        <v>33</v>
      </c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</row>
    <row r="20" spans="2:13" s="44" customFormat="1" ht="12" customHeight="1">
      <c r="B20" s="136" t="s">
        <v>34</v>
      </c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</row>
    <row r="21" spans="2:13" s="44" customFormat="1" ht="12" customHeight="1">
      <c r="B21" s="136" t="s">
        <v>35</v>
      </c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</row>
    <row r="22" spans="2:13" ht="6.95" customHeight="1"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</row>
    <row r="23" spans="2:13" ht="6.95" customHeight="1"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2:13" s="45" customFormat="1" ht="12" customHeight="1">
      <c r="B24" s="45">
        <v>1</v>
      </c>
      <c r="C24" s="45" t="s">
        <v>36</v>
      </c>
    </row>
    <row r="25" spans="2:13" ht="12" customHeight="1">
      <c r="B25" s="45"/>
      <c r="C25" s="126" t="s">
        <v>268</v>
      </c>
      <c r="M25" s="46" t="s">
        <v>37</v>
      </c>
    </row>
    <row r="26" spans="2:13" ht="12" customHeight="1">
      <c r="B26" s="45"/>
    </row>
    <row r="27" spans="2:13" ht="12" customHeight="1">
      <c r="B27" s="45">
        <v>2</v>
      </c>
      <c r="C27" s="45" t="s">
        <v>38</v>
      </c>
    </row>
    <row r="28" spans="2:13" ht="12" customHeight="1">
      <c r="B28" s="45"/>
      <c r="C28" s="40" t="s">
        <v>39</v>
      </c>
      <c r="E28" s="40" t="s">
        <v>40</v>
      </c>
      <c r="F28" s="139">
        <f>+'PO 2nd page'!G94</f>
        <v>150657.20000000001</v>
      </c>
      <c r="G28" s="139"/>
      <c r="H28" s="47" t="s">
        <v>41</v>
      </c>
      <c r="M28" s="48"/>
    </row>
    <row r="29" spans="2:13" ht="12" customHeight="1">
      <c r="B29" s="45"/>
      <c r="C29" s="40" t="s">
        <v>42</v>
      </c>
      <c r="E29" s="40" t="s">
        <v>40</v>
      </c>
      <c r="F29" s="139">
        <f>+F28*0.15</f>
        <v>22598.58</v>
      </c>
      <c r="G29" s="139"/>
    </row>
    <row r="30" spans="2:13" ht="12" customHeight="1">
      <c r="B30" s="45"/>
      <c r="C30" s="40" t="s">
        <v>43</v>
      </c>
      <c r="D30" s="49"/>
      <c r="E30" s="40" t="s">
        <v>40</v>
      </c>
      <c r="F30" s="139">
        <f>F28</f>
        <v>150657.20000000001</v>
      </c>
      <c r="G30" s="139"/>
      <c r="H30" s="47"/>
    </row>
    <row r="31" spans="2:13" ht="12" customHeight="1">
      <c r="B31" s="45"/>
    </row>
    <row r="32" spans="2:13" ht="12" customHeight="1">
      <c r="B32" s="45">
        <v>3</v>
      </c>
      <c r="C32" s="45" t="s">
        <v>44</v>
      </c>
    </row>
    <row r="33" spans="2:16" ht="12" customHeight="1">
      <c r="B33" s="45"/>
      <c r="C33" s="36" t="s">
        <v>45</v>
      </c>
    </row>
    <row r="34" spans="2:16" ht="12" customHeight="1">
      <c r="B34" s="45"/>
      <c r="C34" s="36" t="s">
        <v>46</v>
      </c>
    </row>
    <row r="35" spans="2:16" ht="12" customHeight="1">
      <c r="B35" s="45"/>
      <c r="C35" s="36" t="s">
        <v>47</v>
      </c>
    </row>
    <row r="36" spans="2:16" ht="9.75" customHeight="1">
      <c r="B36" s="45"/>
    </row>
    <row r="37" spans="2:16" ht="12" customHeight="1">
      <c r="B37" s="45">
        <v>4</v>
      </c>
      <c r="C37" s="45" t="s">
        <v>48</v>
      </c>
    </row>
    <row r="38" spans="2:16" ht="12" customHeight="1">
      <c r="B38" s="45"/>
      <c r="C38" s="40" t="s">
        <v>49</v>
      </c>
    </row>
    <row r="39" spans="2:16" ht="7.5" customHeight="1">
      <c r="B39" s="45"/>
    </row>
    <row r="40" spans="2:16" ht="12" customHeight="1">
      <c r="B40" s="45">
        <v>5</v>
      </c>
      <c r="C40" s="45" t="s">
        <v>50</v>
      </c>
    </row>
    <row r="41" spans="2:16" ht="12" customHeight="1">
      <c r="B41" s="45"/>
      <c r="C41" s="50" t="s">
        <v>51</v>
      </c>
      <c r="D41" s="51"/>
      <c r="E41" s="52"/>
      <c r="F41" s="52"/>
      <c r="G41" s="52"/>
      <c r="H41" s="52"/>
      <c r="I41" s="52"/>
      <c r="J41" s="52"/>
      <c r="K41" s="52"/>
      <c r="L41" s="52"/>
      <c r="M41" s="52"/>
    </row>
    <row r="42" spans="2:16" ht="12" customHeight="1">
      <c r="B42" s="45"/>
      <c r="C42" s="50" t="s">
        <v>52</v>
      </c>
      <c r="D42" s="51"/>
      <c r="E42" s="52"/>
      <c r="F42" s="52"/>
      <c r="G42" s="52"/>
      <c r="H42" s="52"/>
      <c r="I42" s="52"/>
      <c r="J42" s="52"/>
      <c r="K42" s="52"/>
      <c r="L42" s="52"/>
      <c r="M42" s="52"/>
    </row>
    <row r="43" spans="2:16" ht="12" customHeight="1">
      <c r="B43" s="45"/>
      <c r="C43" s="50" t="s">
        <v>53</v>
      </c>
      <c r="D43" s="51"/>
      <c r="E43" s="52"/>
      <c r="F43" s="52"/>
      <c r="G43" s="52"/>
      <c r="H43" s="52"/>
      <c r="I43" s="52"/>
      <c r="J43" s="52"/>
      <c r="K43" s="52"/>
      <c r="L43" s="52"/>
      <c r="M43" s="52"/>
    </row>
    <row r="44" spans="2:16" ht="12" customHeight="1">
      <c r="B44" s="45"/>
      <c r="C44" s="50" t="s">
        <v>54</v>
      </c>
      <c r="D44" s="51"/>
      <c r="E44" s="52"/>
      <c r="F44" s="52"/>
      <c r="G44" s="52"/>
      <c r="H44" s="52"/>
      <c r="I44" s="52"/>
      <c r="J44" s="52"/>
      <c r="K44" s="52"/>
      <c r="L44" s="52"/>
      <c r="M44" s="52"/>
    </row>
    <row r="45" spans="2:16" ht="12" customHeight="1">
      <c r="B45" s="45"/>
      <c r="C45" s="53" t="s">
        <v>55</v>
      </c>
      <c r="D45" s="54"/>
      <c r="E45" s="55"/>
      <c r="F45" s="55"/>
      <c r="G45" s="55"/>
      <c r="H45" s="55"/>
      <c r="I45" s="55"/>
      <c r="J45" s="55"/>
      <c r="K45" s="55"/>
      <c r="L45" s="55"/>
      <c r="M45" s="55"/>
    </row>
    <row r="46" spans="2:16" ht="6.75" customHeight="1">
      <c r="B46" s="45"/>
    </row>
    <row r="47" spans="2:16" ht="12" customHeight="1">
      <c r="B47" s="45">
        <v>6</v>
      </c>
      <c r="C47" s="45" t="s">
        <v>56</v>
      </c>
    </row>
    <row r="48" spans="2:16" ht="12" customHeight="1">
      <c r="B48" s="56" t="s">
        <v>57</v>
      </c>
      <c r="C48" s="127" t="s">
        <v>274</v>
      </c>
      <c r="D48" s="53"/>
      <c r="E48" s="53"/>
      <c r="F48" s="53"/>
      <c r="G48" s="53"/>
      <c r="H48" s="53"/>
      <c r="I48" s="53"/>
      <c r="J48" s="53"/>
      <c r="K48" s="53"/>
      <c r="L48" s="53"/>
      <c r="P48" s="57"/>
    </row>
    <row r="49" spans="2:13" s="58" customFormat="1" ht="12" customHeight="1">
      <c r="B49" s="59" t="s">
        <v>57</v>
      </c>
      <c r="C49" s="127" t="s">
        <v>275</v>
      </c>
      <c r="D49" s="128"/>
      <c r="E49" s="128"/>
      <c r="F49" s="128"/>
      <c r="G49" s="128"/>
      <c r="H49" s="128"/>
      <c r="I49" s="128"/>
      <c r="J49" s="128"/>
      <c r="K49" s="128"/>
      <c r="L49" s="128"/>
    </row>
    <row r="50" spans="2:13" s="58" customFormat="1" ht="12" customHeight="1">
      <c r="B50" s="59" t="s">
        <v>57</v>
      </c>
      <c r="C50" s="127" t="s">
        <v>276</v>
      </c>
      <c r="D50" s="128"/>
      <c r="E50" s="128"/>
      <c r="F50" s="128"/>
      <c r="G50" s="128"/>
      <c r="H50" s="128"/>
      <c r="I50" s="128"/>
      <c r="J50" s="128"/>
      <c r="K50" s="128"/>
      <c r="L50" s="128"/>
    </row>
    <row r="51" spans="2:13" s="128" customFormat="1" ht="6" customHeight="1">
      <c r="B51" s="129"/>
      <c r="C51" s="127"/>
    </row>
    <row r="52" spans="2:13" ht="15" customHeight="1">
      <c r="B52" s="60">
        <v>7</v>
      </c>
      <c r="C52" s="45" t="s">
        <v>277</v>
      </c>
    </row>
    <row r="53" spans="2:13" ht="12" customHeight="1">
      <c r="B53" s="129" t="s">
        <v>57</v>
      </c>
      <c r="C53" s="57" t="s">
        <v>278</v>
      </c>
      <c r="F53" s="40" t="s">
        <v>279</v>
      </c>
    </row>
    <row r="54" spans="2:13" ht="12" customHeight="1">
      <c r="B54" s="129" t="s">
        <v>57</v>
      </c>
      <c r="C54" s="57" t="s">
        <v>280</v>
      </c>
      <c r="F54" s="130" t="s">
        <v>281</v>
      </c>
    </row>
    <row r="55" spans="2:13" ht="12" customHeight="1">
      <c r="B55" s="129" t="s">
        <v>57</v>
      </c>
      <c r="C55" s="57" t="s">
        <v>282</v>
      </c>
      <c r="F55" s="40" t="s">
        <v>283</v>
      </c>
    </row>
    <row r="56" spans="2:13" ht="12" customHeight="1">
      <c r="B56" s="129" t="s">
        <v>57</v>
      </c>
      <c r="C56" s="57" t="s">
        <v>284</v>
      </c>
      <c r="F56" s="40" t="s">
        <v>285</v>
      </c>
    </row>
    <row r="57" spans="2:13" ht="12" customHeight="1">
      <c r="B57" s="129" t="s">
        <v>57</v>
      </c>
      <c r="C57" s="57" t="s">
        <v>286</v>
      </c>
      <c r="F57" s="40" t="s">
        <v>287</v>
      </c>
    </row>
    <row r="58" spans="2:13" ht="12" customHeight="1">
      <c r="B58" s="129" t="s">
        <v>57</v>
      </c>
      <c r="C58" s="57" t="s">
        <v>288</v>
      </c>
      <c r="F58" s="40" t="s">
        <v>289</v>
      </c>
    </row>
    <row r="59" spans="2:13" ht="12" customHeight="1">
      <c r="B59" s="129"/>
      <c r="C59" s="57" t="s">
        <v>290</v>
      </c>
    </row>
    <row r="60" spans="2:13" ht="12" hidden="1" customHeight="1">
      <c r="B60" s="60"/>
      <c r="C60" s="53"/>
      <c r="D60" s="53"/>
      <c r="E60" s="53"/>
      <c r="F60" s="53"/>
      <c r="G60" s="53"/>
      <c r="H60" s="53"/>
      <c r="I60" s="53"/>
      <c r="J60" s="53"/>
      <c r="K60" s="53"/>
      <c r="L60" s="53"/>
    </row>
    <row r="61" spans="2:13" ht="3" customHeight="1">
      <c r="B61" s="61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</row>
    <row r="62" spans="2:13" ht="3" customHeight="1">
      <c r="B62" s="45"/>
    </row>
    <row r="63" spans="2:13" ht="11.1" customHeight="1">
      <c r="B63" s="60"/>
    </row>
    <row r="64" spans="2:13">
      <c r="B64" s="45" t="s">
        <v>58</v>
      </c>
      <c r="J64" s="45" t="s">
        <v>59</v>
      </c>
    </row>
    <row r="65" spans="1:13" ht="50.1" customHeight="1"/>
    <row r="66" spans="1:13" ht="18" customHeight="1">
      <c r="B66" s="40" t="s">
        <v>60</v>
      </c>
      <c r="J66" s="40" t="s">
        <v>60</v>
      </c>
    </row>
    <row r="67" spans="1:13" ht="18" customHeight="1">
      <c r="B67" s="40" t="s">
        <v>61</v>
      </c>
      <c r="J67" s="40" t="s">
        <v>62</v>
      </c>
      <c r="K67" s="36" t="str">
        <f>UPPER(D12)</f>
        <v>SHASHANK KAMRA</v>
      </c>
    </row>
    <row r="68" spans="1:13" ht="18" customHeight="1">
      <c r="B68" s="40" t="s">
        <v>63</v>
      </c>
      <c r="J68" s="40" t="s">
        <v>64</v>
      </c>
      <c r="K68" s="36" t="s">
        <v>269</v>
      </c>
    </row>
    <row r="69" spans="1:13" ht="15" customHeight="1">
      <c r="B69" s="40" t="s">
        <v>65</v>
      </c>
      <c r="J69" s="40" t="s">
        <v>66</v>
      </c>
    </row>
    <row r="70" spans="1:13" s="42" customFormat="1" ht="15" customHeight="1">
      <c r="B70" s="39" t="s">
        <v>67</v>
      </c>
      <c r="J70" s="39" t="str">
        <f>C9</f>
        <v>JSAJ(Jassim Saif Amer Aljaberi Trading Est.)</v>
      </c>
    </row>
    <row r="71" spans="1:13" ht="27.95" customHeight="1">
      <c r="A71" s="131" t="s">
        <v>68</v>
      </c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</row>
    <row r="78" spans="1:13">
      <c r="B78" s="45"/>
    </row>
    <row r="79" spans="1:13">
      <c r="B79" s="45"/>
    </row>
    <row r="80" spans="1:13">
      <c r="B80" s="45"/>
    </row>
    <row r="81" spans="2:2">
      <c r="B81" s="45"/>
    </row>
    <row r="82" spans="2:2">
      <c r="B82" s="45"/>
    </row>
    <row r="83" spans="2:2">
      <c r="B83" s="45"/>
    </row>
    <row r="84" spans="2:2">
      <c r="B84" s="45"/>
    </row>
    <row r="85" spans="2:2">
      <c r="B85" s="45"/>
    </row>
    <row r="86" spans="2:2">
      <c r="B86" s="45"/>
    </row>
    <row r="87" spans="2:2">
      <c r="B87" s="45"/>
    </row>
    <row r="88" spans="2:2">
      <c r="B88" s="45"/>
    </row>
    <row r="89" spans="2:2">
      <c r="B89" s="45"/>
    </row>
    <row r="90" spans="2:2">
      <c r="B90" s="45"/>
    </row>
    <row r="91" spans="2:2">
      <c r="B91" s="45"/>
    </row>
    <row r="92" spans="2:2">
      <c r="B92" s="45"/>
    </row>
    <row r="93" spans="2:2">
      <c r="B93" s="45"/>
    </row>
    <row r="94" spans="2:2">
      <c r="B94" s="45"/>
    </row>
  </sheetData>
  <mergeCells count="12">
    <mergeCell ref="A71:M71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12" type="noConversion"/>
  <printOptions horizontalCentered="1"/>
  <pageMargins left="0.39370078740157483" right="0.39370078740157483" top="0.39370078740157483" bottom="0.39370078740157483" header="0" footer="0"/>
  <pageSetup paperSize="9" scale="93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04"/>
  <sheetViews>
    <sheetView showGridLines="0" view="pageBreakPreview" zoomScaleSheetLayoutView="100" zoomScalePageLayoutView="55" workbookViewId="0">
      <selection activeCell="N10" sqref="N10"/>
    </sheetView>
  </sheetViews>
  <sheetFormatPr defaultColWidth="9" defaultRowHeight="12.75"/>
  <cols>
    <col min="1" max="1" width="8.5703125" style="63" customWidth="1"/>
    <col min="2" max="2" width="25.5703125" style="64" customWidth="1"/>
    <col min="3" max="3" width="23.5703125" style="64" customWidth="1"/>
    <col min="4" max="4" width="8.5703125" style="63" customWidth="1"/>
    <col min="5" max="5" width="13.5703125" style="63" customWidth="1"/>
    <col min="6" max="6" width="15.5703125" style="63" customWidth="1"/>
    <col min="7" max="8" width="17.140625" style="63" customWidth="1"/>
    <col min="9" max="9" width="0.85546875" style="63" customWidth="1"/>
    <col min="10" max="251" width="9" style="63"/>
    <col min="252" max="252" width="8.7109375" style="63" customWidth="1"/>
    <col min="253" max="253" width="45.140625" style="63" customWidth="1"/>
    <col min="254" max="254" width="13.28515625" style="63" customWidth="1"/>
    <col min="255" max="255" width="9.42578125" style="63" customWidth="1"/>
    <col min="256" max="256" width="6.42578125" style="63" customWidth="1"/>
    <col min="257" max="257" width="11.5703125" style="63" customWidth="1"/>
    <col min="258" max="258" width="12.85546875" style="63" bestFit="1" customWidth="1"/>
    <col min="259" max="259" width="25.5703125" style="63" customWidth="1"/>
    <col min="260" max="507" width="9" style="63"/>
    <col min="508" max="508" width="8.7109375" style="63" customWidth="1"/>
    <col min="509" max="509" width="45.140625" style="63" customWidth="1"/>
    <col min="510" max="510" width="13.28515625" style="63" customWidth="1"/>
    <col min="511" max="511" width="9.42578125" style="63" customWidth="1"/>
    <col min="512" max="512" width="6.42578125" style="63" customWidth="1"/>
    <col min="513" max="513" width="11.5703125" style="63" customWidth="1"/>
    <col min="514" max="514" width="12.85546875" style="63" bestFit="1" customWidth="1"/>
    <col min="515" max="515" width="25.5703125" style="63" customWidth="1"/>
    <col min="516" max="763" width="9" style="63"/>
    <col min="764" max="764" width="8.7109375" style="63" customWidth="1"/>
    <col min="765" max="765" width="45.140625" style="63" customWidth="1"/>
    <col min="766" max="766" width="13.28515625" style="63" customWidth="1"/>
    <col min="767" max="767" width="9.42578125" style="63" customWidth="1"/>
    <col min="768" max="768" width="6.42578125" style="63" customWidth="1"/>
    <col min="769" max="769" width="11.5703125" style="63" customWidth="1"/>
    <col min="770" max="770" width="12.85546875" style="63" bestFit="1" customWidth="1"/>
    <col min="771" max="771" width="25.5703125" style="63" customWidth="1"/>
    <col min="772" max="1019" width="9" style="63"/>
    <col min="1020" max="1020" width="8.7109375" style="63" customWidth="1"/>
    <col min="1021" max="1021" width="45.140625" style="63" customWidth="1"/>
    <col min="1022" max="1022" width="13.28515625" style="63" customWidth="1"/>
    <col min="1023" max="1023" width="9.42578125" style="63" customWidth="1"/>
    <col min="1024" max="1024" width="6.42578125" style="63" customWidth="1"/>
    <col min="1025" max="1025" width="11.5703125" style="63" customWidth="1"/>
    <col min="1026" max="1026" width="12.85546875" style="63" bestFit="1" customWidth="1"/>
    <col min="1027" max="1027" width="25.5703125" style="63" customWidth="1"/>
    <col min="1028" max="1275" width="9" style="63"/>
    <col min="1276" max="1276" width="8.7109375" style="63" customWidth="1"/>
    <col min="1277" max="1277" width="45.140625" style="63" customWidth="1"/>
    <col min="1278" max="1278" width="13.28515625" style="63" customWidth="1"/>
    <col min="1279" max="1279" width="9.42578125" style="63" customWidth="1"/>
    <col min="1280" max="1280" width="6.42578125" style="63" customWidth="1"/>
    <col min="1281" max="1281" width="11.5703125" style="63" customWidth="1"/>
    <col min="1282" max="1282" width="12.85546875" style="63" bestFit="1" customWidth="1"/>
    <col min="1283" max="1283" width="25.5703125" style="63" customWidth="1"/>
    <col min="1284" max="1531" width="9" style="63"/>
    <col min="1532" max="1532" width="8.7109375" style="63" customWidth="1"/>
    <col min="1533" max="1533" width="45.140625" style="63" customWidth="1"/>
    <col min="1534" max="1534" width="13.28515625" style="63" customWidth="1"/>
    <col min="1535" max="1535" width="9.42578125" style="63" customWidth="1"/>
    <col min="1536" max="1536" width="6.42578125" style="63" customWidth="1"/>
    <col min="1537" max="1537" width="11.5703125" style="63" customWidth="1"/>
    <col min="1538" max="1538" width="12.85546875" style="63" bestFit="1" customWidth="1"/>
    <col min="1539" max="1539" width="25.5703125" style="63" customWidth="1"/>
    <col min="1540" max="1787" width="9" style="63"/>
    <col min="1788" max="1788" width="8.7109375" style="63" customWidth="1"/>
    <col min="1789" max="1789" width="45.140625" style="63" customWidth="1"/>
    <col min="1790" max="1790" width="13.28515625" style="63" customWidth="1"/>
    <col min="1791" max="1791" width="9.42578125" style="63" customWidth="1"/>
    <col min="1792" max="1792" width="6.42578125" style="63" customWidth="1"/>
    <col min="1793" max="1793" width="11.5703125" style="63" customWidth="1"/>
    <col min="1794" max="1794" width="12.85546875" style="63" bestFit="1" customWidth="1"/>
    <col min="1795" max="1795" width="25.5703125" style="63" customWidth="1"/>
    <col min="1796" max="2043" width="9" style="63"/>
    <col min="2044" max="2044" width="8.7109375" style="63" customWidth="1"/>
    <col min="2045" max="2045" width="45.140625" style="63" customWidth="1"/>
    <col min="2046" max="2046" width="13.28515625" style="63" customWidth="1"/>
    <col min="2047" max="2047" width="9.42578125" style="63" customWidth="1"/>
    <col min="2048" max="2048" width="6.42578125" style="63" customWidth="1"/>
    <col min="2049" max="2049" width="11.5703125" style="63" customWidth="1"/>
    <col min="2050" max="2050" width="12.85546875" style="63" bestFit="1" customWidth="1"/>
    <col min="2051" max="2051" width="25.5703125" style="63" customWidth="1"/>
    <col min="2052" max="2299" width="9" style="63"/>
    <col min="2300" max="2300" width="8.7109375" style="63" customWidth="1"/>
    <col min="2301" max="2301" width="45.140625" style="63" customWidth="1"/>
    <col min="2302" max="2302" width="13.28515625" style="63" customWidth="1"/>
    <col min="2303" max="2303" width="9.42578125" style="63" customWidth="1"/>
    <col min="2304" max="2304" width="6.42578125" style="63" customWidth="1"/>
    <col min="2305" max="2305" width="11.5703125" style="63" customWidth="1"/>
    <col min="2306" max="2306" width="12.85546875" style="63" bestFit="1" customWidth="1"/>
    <col min="2307" max="2307" width="25.5703125" style="63" customWidth="1"/>
    <col min="2308" max="2555" width="9" style="63"/>
    <col min="2556" max="2556" width="8.7109375" style="63" customWidth="1"/>
    <col min="2557" max="2557" width="45.140625" style="63" customWidth="1"/>
    <col min="2558" max="2558" width="13.28515625" style="63" customWidth="1"/>
    <col min="2559" max="2559" width="9.42578125" style="63" customWidth="1"/>
    <col min="2560" max="2560" width="6.42578125" style="63" customWidth="1"/>
    <col min="2561" max="2561" width="11.5703125" style="63" customWidth="1"/>
    <col min="2562" max="2562" width="12.85546875" style="63" bestFit="1" customWidth="1"/>
    <col min="2563" max="2563" width="25.5703125" style="63" customWidth="1"/>
    <col min="2564" max="2811" width="9" style="63"/>
    <col min="2812" max="2812" width="8.7109375" style="63" customWidth="1"/>
    <col min="2813" max="2813" width="45.140625" style="63" customWidth="1"/>
    <col min="2814" max="2814" width="13.28515625" style="63" customWidth="1"/>
    <col min="2815" max="2815" width="9.42578125" style="63" customWidth="1"/>
    <col min="2816" max="2816" width="6.42578125" style="63" customWidth="1"/>
    <col min="2817" max="2817" width="11.5703125" style="63" customWidth="1"/>
    <col min="2818" max="2818" width="12.85546875" style="63" bestFit="1" customWidth="1"/>
    <col min="2819" max="2819" width="25.5703125" style="63" customWidth="1"/>
    <col min="2820" max="3067" width="9" style="63"/>
    <col min="3068" max="3068" width="8.7109375" style="63" customWidth="1"/>
    <col min="3069" max="3069" width="45.140625" style="63" customWidth="1"/>
    <col min="3070" max="3070" width="13.28515625" style="63" customWidth="1"/>
    <col min="3071" max="3071" width="9.42578125" style="63" customWidth="1"/>
    <col min="3072" max="3072" width="6.42578125" style="63" customWidth="1"/>
    <col min="3073" max="3073" width="11.5703125" style="63" customWidth="1"/>
    <col min="3074" max="3074" width="12.85546875" style="63" bestFit="1" customWidth="1"/>
    <col min="3075" max="3075" width="25.5703125" style="63" customWidth="1"/>
    <col min="3076" max="3323" width="9" style="63"/>
    <col min="3324" max="3324" width="8.7109375" style="63" customWidth="1"/>
    <col min="3325" max="3325" width="45.140625" style="63" customWidth="1"/>
    <col min="3326" max="3326" width="13.28515625" style="63" customWidth="1"/>
    <col min="3327" max="3327" width="9.42578125" style="63" customWidth="1"/>
    <col min="3328" max="3328" width="6.42578125" style="63" customWidth="1"/>
    <col min="3329" max="3329" width="11.5703125" style="63" customWidth="1"/>
    <col min="3330" max="3330" width="12.85546875" style="63" bestFit="1" customWidth="1"/>
    <col min="3331" max="3331" width="25.5703125" style="63" customWidth="1"/>
    <col min="3332" max="3579" width="9" style="63"/>
    <col min="3580" max="3580" width="8.7109375" style="63" customWidth="1"/>
    <col min="3581" max="3581" width="45.140625" style="63" customWidth="1"/>
    <col min="3582" max="3582" width="13.28515625" style="63" customWidth="1"/>
    <col min="3583" max="3583" width="9.42578125" style="63" customWidth="1"/>
    <col min="3584" max="3584" width="6.42578125" style="63" customWidth="1"/>
    <col min="3585" max="3585" width="11.5703125" style="63" customWidth="1"/>
    <col min="3586" max="3586" width="12.85546875" style="63" bestFit="1" customWidth="1"/>
    <col min="3587" max="3587" width="25.5703125" style="63" customWidth="1"/>
    <col min="3588" max="3835" width="9" style="63"/>
    <col min="3836" max="3836" width="8.7109375" style="63" customWidth="1"/>
    <col min="3837" max="3837" width="45.140625" style="63" customWidth="1"/>
    <col min="3838" max="3838" width="13.28515625" style="63" customWidth="1"/>
    <col min="3839" max="3839" width="9.42578125" style="63" customWidth="1"/>
    <col min="3840" max="3840" width="6.42578125" style="63" customWidth="1"/>
    <col min="3841" max="3841" width="11.5703125" style="63" customWidth="1"/>
    <col min="3842" max="3842" width="12.85546875" style="63" bestFit="1" customWidth="1"/>
    <col min="3843" max="3843" width="25.5703125" style="63" customWidth="1"/>
    <col min="3844" max="4091" width="9" style="63"/>
    <col min="4092" max="4092" width="8.7109375" style="63" customWidth="1"/>
    <col min="4093" max="4093" width="45.140625" style="63" customWidth="1"/>
    <col min="4094" max="4094" width="13.28515625" style="63" customWidth="1"/>
    <col min="4095" max="4095" width="9.42578125" style="63" customWidth="1"/>
    <col min="4096" max="4096" width="6.42578125" style="63" customWidth="1"/>
    <col min="4097" max="4097" width="11.5703125" style="63" customWidth="1"/>
    <col min="4098" max="4098" width="12.85546875" style="63" bestFit="1" customWidth="1"/>
    <col min="4099" max="4099" width="25.5703125" style="63" customWidth="1"/>
    <col min="4100" max="4347" width="9" style="63"/>
    <col min="4348" max="4348" width="8.7109375" style="63" customWidth="1"/>
    <col min="4349" max="4349" width="45.140625" style="63" customWidth="1"/>
    <col min="4350" max="4350" width="13.28515625" style="63" customWidth="1"/>
    <col min="4351" max="4351" width="9.42578125" style="63" customWidth="1"/>
    <col min="4352" max="4352" width="6.42578125" style="63" customWidth="1"/>
    <col min="4353" max="4353" width="11.5703125" style="63" customWidth="1"/>
    <col min="4354" max="4354" width="12.85546875" style="63" bestFit="1" customWidth="1"/>
    <col min="4355" max="4355" width="25.5703125" style="63" customWidth="1"/>
    <col min="4356" max="4603" width="9" style="63"/>
    <col min="4604" max="4604" width="8.7109375" style="63" customWidth="1"/>
    <col min="4605" max="4605" width="45.140625" style="63" customWidth="1"/>
    <col min="4606" max="4606" width="13.28515625" style="63" customWidth="1"/>
    <col min="4607" max="4607" width="9.42578125" style="63" customWidth="1"/>
    <col min="4608" max="4608" width="6.42578125" style="63" customWidth="1"/>
    <col min="4609" max="4609" width="11.5703125" style="63" customWidth="1"/>
    <col min="4610" max="4610" width="12.85546875" style="63" bestFit="1" customWidth="1"/>
    <col min="4611" max="4611" width="25.5703125" style="63" customWidth="1"/>
    <col min="4612" max="4859" width="9" style="63"/>
    <col min="4860" max="4860" width="8.7109375" style="63" customWidth="1"/>
    <col min="4861" max="4861" width="45.140625" style="63" customWidth="1"/>
    <col min="4862" max="4862" width="13.28515625" style="63" customWidth="1"/>
    <col min="4863" max="4863" width="9.42578125" style="63" customWidth="1"/>
    <col min="4864" max="4864" width="6.42578125" style="63" customWidth="1"/>
    <col min="4865" max="4865" width="11.5703125" style="63" customWidth="1"/>
    <col min="4866" max="4866" width="12.85546875" style="63" bestFit="1" customWidth="1"/>
    <col min="4867" max="4867" width="25.5703125" style="63" customWidth="1"/>
    <col min="4868" max="5115" width="9" style="63"/>
    <col min="5116" max="5116" width="8.7109375" style="63" customWidth="1"/>
    <col min="5117" max="5117" width="45.140625" style="63" customWidth="1"/>
    <col min="5118" max="5118" width="13.28515625" style="63" customWidth="1"/>
    <col min="5119" max="5119" width="9.42578125" style="63" customWidth="1"/>
    <col min="5120" max="5120" width="6.42578125" style="63" customWidth="1"/>
    <col min="5121" max="5121" width="11.5703125" style="63" customWidth="1"/>
    <col min="5122" max="5122" width="12.85546875" style="63" bestFit="1" customWidth="1"/>
    <col min="5123" max="5123" width="25.5703125" style="63" customWidth="1"/>
    <col min="5124" max="5371" width="9" style="63"/>
    <col min="5372" max="5372" width="8.7109375" style="63" customWidth="1"/>
    <col min="5373" max="5373" width="45.140625" style="63" customWidth="1"/>
    <col min="5374" max="5374" width="13.28515625" style="63" customWidth="1"/>
    <col min="5375" max="5375" width="9.42578125" style="63" customWidth="1"/>
    <col min="5376" max="5376" width="6.42578125" style="63" customWidth="1"/>
    <col min="5377" max="5377" width="11.5703125" style="63" customWidth="1"/>
    <col min="5378" max="5378" width="12.85546875" style="63" bestFit="1" customWidth="1"/>
    <col min="5379" max="5379" width="25.5703125" style="63" customWidth="1"/>
    <col min="5380" max="5627" width="9" style="63"/>
    <col min="5628" max="5628" width="8.7109375" style="63" customWidth="1"/>
    <col min="5629" max="5629" width="45.140625" style="63" customWidth="1"/>
    <col min="5630" max="5630" width="13.28515625" style="63" customWidth="1"/>
    <col min="5631" max="5631" width="9.42578125" style="63" customWidth="1"/>
    <col min="5632" max="5632" width="6.42578125" style="63" customWidth="1"/>
    <col min="5633" max="5633" width="11.5703125" style="63" customWidth="1"/>
    <col min="5634" max="5634" width="12.85546875" style="63" bestFit="1" customWidth="1"/>
    <col min="5635" max="5635" width="25.5703125" style="63" customWidth="1"/>
    <col min="5636" max="5883" width="9" style="63"/>
    <col min="5884" max="5884" width="8.7109375" style="63" customWidth="1"/>
    <col min="5885" max="5885" width="45.140625" style="63" customWidth="1"/>
    <col min="5886" max="5886" width="13.28515625" style="63" customWidth="1"/>
    <col min="5887" max="5887" width="9.42578125" style="63" customWidth="1"/>
    <col min="5888" max="5888" width="6.42578125" style="63" customWidth="1"/>
    <col min="5889" max="5889" width="11.5703125" style="63" customWidth="1"/>
    <col min="5890" max="5890" width="12.85546875" style="63" bestFit="1" customWidth="1"/>
    <col min="5891" max="5891" width="25.5703125" style="63" customWidth="1"/>
    <col min="5892" max="6139" width="9" style="63"/>
    <col min="6140" max="6140" width="8.7109375" style="63" customWidth="1"/>
    <col min="6141" max="6141" width="45.140625" style="63" customWidth="1"/>
    <col min="6142" max="6142" width="13.28515625" style="63" customWidth="1"/>
    <col min="6143" max="6143" width="9.42578125" style="63" customWidth="1"/>
    <col min="6144" max="6144" width="6.42578125" style="63" customWidth="1"/>
    <col min="6145" max="6145" width="11.5703125" style="63" customWidth="1"/>
    <col min="6146" max="6146" width="12.85546875" style="63" bestFit="1" customWidth="1"/>
    <col min="6147" max="6147" width="25.5703125" style="63" customWidth="1"/>
    <col min="6148" max="6395" width="9" style="63"/>
    <col min="6396" max="6396" width="8.7109375" style="63" customWidth="1"/>
    <col min="6397" max="6397" width="45.140625" style="63" customWidth="1"/>
    <col min="6398" max="6398" width="13.28515625" style="63" customWidth="1"/>
    <col min="6399" max="6399" width="9.42578125" style="63" customWidth="1"/>
    <col min="6400" max="6400" width="6.42578125" style="63" customWidth="1"/>
    <col min="6401" max="6401" width="11.5703125" style="63" customWidth="1"/>
    <col min="6402" max="6402" width="12.85546875" style="63" bestFit="1" customWidth="1"/>
    <col min="6403" max="6403" width="25.5703125" style="63" customWidth="1"/>
    <col min="6404" max="6651" width="9" style="63"/>
    <col min="6652" max="6652" width="8.7109375" style="63" customWidth="1"/>
    <col min="6653" max="6653" width="45.140625" style="63" customWidth="1"/>
    <col min="6654" max="6654" width="13.28515625" style="63" customWidth="1"/>
    <col min="6655" max="6655" width="9.42578125" style="63" customWidth="1"/>
    <col min="6656" max="6656" width="6.42578125" style="63" customWidth="1"/>
    <col min="6657" max="6657" width="11.5703125" style="63" customWidth="1"/>
    <col min="6658" max="6658" width="12.85546875" style="63" bestFit="1" customWidth="1"/>
    <col min="6659" max="6659" width="25.5703125" style="63" customWidth="1"/>
    <col min="6660" max="6907" width="9" style="63"/>
    <col min="6908" max="6908" width="8.7109375" style="63" customWidth="1"/>
    <col min="6909" max="6909" width="45.140625" style="63" customWidth="1"/>
    <col min="6910" max="6910" width="13.28515625" style="63" customWidth="1"/>
    <col min="6911" max="6911" width="9.42578125" style="63" customWidth="1"/>
    <col min="6912" max="6912" width="6.42578125" style="63" customWidth="1"/>
    <col min="6913" max="6913" width="11.5703125" style="63" customWidth="1"/>
    <col min="6914" max="6914" width="12.85546875" style="63" bestFit="1" customWidth="1"/>
    <col min="6915" max="6915" width="25.5703125" style="63" customWidth="1"/>
    <col min="6916" max="7163" width="9" style="63"/>
    <col min="7164" max="7164" width="8.7109375" style="63" customWidth="1"/>
    <col min="7165" max="7165" width="45.140625" style="63" customWidth="1"/>
    <col min="7166" max="7166" width="13.28515625" style="63" customWidth="1"/>
    <col min="7167" max="7167" width="9.42578125" style="63" customWidth="1"/>
    <col min="7168" max="7168" width="6.42578125" style="63" customWidth="1"/>
    <col min="7169" max="7169" width="11.5703125" style="63" customWidth="1"/>
    <col min="7170" max="7170" width="12.85546875" style="63" bestFit="1" customWidth="1"/>
    <col min="7171" max="7171" width="25.5703125" style="63" customWidth="1"/>
    <col min="7172" max="7419" width="9" style="63"/>
    <col min="7420" max="7420" width="8.7109375" style="63" customWidth="1"/>
    <col min="7421" max="7421" width="45.140625" style="63" customWidth="1"/>
    <col min="7422" max="7422" width="13.28515625" style="63" customWidth="1"/>
    <col min="7423" max="7423" width="9.42578125" style="63" customWidth="1"/>
    <col min="7424" max="7424" width="6.42578125" style="63" customWidth="1"/>
    <col min="7425" max="7425" width="11.5703125" style="63" customWidth="1"/>
    <col min="7426" max="7426" width="12.85546875" style="63" bestFit="1" customWidth="1"/>
    <col min="7427" max="7427" width="25.5703125" style="63" customWidth="1"/>
    <col min="7428" max="7675" width="9" style="63"/>
    <col min="7676" max="7676" width="8.7109375" style="63" customWidth="1"/>
    <col min="7677" max="7677" width="45.140625" style="63" customWidth="1"/>
    <col min="7678" max="7678" width="13.28515625" style="63" customWidth="1"/>
    <col min="7679" max="7679" width="9.42578125" style="63" customWidth="1"/>
    <col min="7680" max="7680" width="6.42578125" style="63" customWidth="1"/>
    <col min="7681" max="7681" width="11.5703125" style="63" customWidth="1"/>
    <col min="7682" max="7682" width="12.85546875" style="63" bestFit="1" customWidth="1"/>
    <col min="7683" max="7683" width="25.5703125" style="63" customWidth="1"/>
    <col min="7684" max="7931" width="9" style="63"/>
    <col min="7932" max="7932" width="8.7109375" style="63" customWidth="1"/>
    <col min="7933" max="7933" width="45.140625" style="63" customWidth="1"/>
    <col min="7934" max="7934" width="13.28515625" style="63" customWidth="1"/>
    <col min="7935" max="7935" width="9.42578125" style="63" customWidth="1"/>
    <col min="7936" max="7936" width="6.42578125" style="63" customWidth="1"/>
    <col min="7937" max="7937" width="11.5703125" style="63" customWidth="1"/>
    <col min="7938" max="7938" width="12.85546875" style="63" bestFit="1" customWidth="1"/>
    <col min="7939" max="7939" width="25.5703125" style="63" customWidth="1"/>
    <col min="7940" max="8187" width="9" style="63"/>
    <col min="8188" max="8188" width="8.7109375" style="63" customWidth="1"/>
    <col min="8189" max="8189" width="45.140625" style="63" customWidth="1"/>
    <col min="8190" max="8190" width="13.28515625" style="63" customWidth="1"/>
    <col min="8191" max="8191" width="9.42578125" style="63" customWidth="1"/>
    <col min="8192" max="8192" width="6.42578125" style="63" customWidth="1"/>
    <col min="8193" max="8193" width="11.5703125" style="63" customWidth="1"/>
    <col min="8194" max="8194" width="12.85546875" style="63" bestFit="1" customWidth="1"/>
    <col min="8195" max="8195" width="25.5703125" style="63" customWidth="1"/>
    <col min="8196" max="8443" width="9" style="63"/>
    <col min="8444" max="8444" width="8.7109375" style="63" customWidth="1"/>
    <col min="8445" max="8445" width="45.140625" style="63" customWidth="1"/>
    <col min="8446" max="8446" width="13.28515625" style="63" customWidth="1"/>
    <col min="8447" max="8447" width="9.42578125" style="63" customWidth="1"/>
    <col min="8448" max="8448" width="6.42578125" style="63" customWidth="1"/>
    <col min="8449" max="8449" width="11.5703125" style="63" customWidth="1"/>
    <col min="8450" max="8450" width="12.85546875" style="63" bestFit="1" customWidth="1"/>
    <col min="8451" max="8451" width="25.5703125" style="63" customWidth="1"/>
    <col min="8452" max="8699" width="9" style="63"/>
    <col min="8700" max="8700" width="8.7109375" style="63" customWidth="1"/>
    <col min="8701" max="8701" width="45.140625" style="63" customWidth="1"/>
    <col min="8702" max="8702" width="13.28515625" style="63" customWidth="1"/>
    <col min="8703" max="8703" width="9.42578125" style="63" customWidth="1"/>
    <col min="8704" max="8704" width="6.42578125" style="63" customWidth="1"/>
    <col min="8705" max="8705" width="11.5703125" style="63" customWidth="1"/>
    <col min="8706" max="8706" width="12.85546875" style="63" bestFit="1" customWidth="1"/>
    <col min="8707" max="8707" width="25.5703125" style="63" customWidth="1"/>
    <col min="8708" max="8955" width="9" style="63"/>
    <col min="8956" max="8956" width="8.7109375" style="63" customWidth="1"/>
    <col min="8957" max="8957" width="45.140625" style="63" customWidth="1"/>
    <col min="8958" max="8958" width="13.28515625" style="63" customWidth="1"/>
    <col min="8959" max="8959" width="9.42578125" style="63" customWidth="1"/>
    <col min="8960" max="8960" width="6.42578125" style="63" customWidth="1"/>
    <col min="8961" max="8961" width="11.5703125" style="63" customWidth="1"/>
    <col min="8962" max="8962" width="12.85546875" style="63" bestFit="1" customWidth="1"/>
    <col min="8963" max="8963" width="25.5703125" style="63" customWidth="1"/>
    <col min="8964" max="9211" width="9" style="63"/>
    <col min="9212" max="9212" width="8.7109375" style="63" customWidth="1"/>
    <col min="9213" max="9213" width="45.140625" style="63" customWidth="1"/>
    <col min="9214" max="9214" width="13.28515625" style="63" customWidth="1"/>
    <col min="9215" max="9215" width="9.42578125" style="63" customWidth="1"/>
    <col min="9216" max="9216" width="6.42578125" style="63" customWidth="1"/>
    <col min="9217" max="9217" width="11.5703125" style="63" customWidth="1"/>
    <col min="9218" max="9218" width="12.85546875" style="63" bestFit="1" customWidth="1"/>
    <col min="9219" max="9219" width="25.5703125" style="63" customWidth="1"/>
    <col min="9220" max="9467" width="9" style="63"/>
    <col min="9468" max="9468" width="8.7109375" style="63" customWidth="1"/>
    <col min="9469" max="9469" width="45.140625" style="63" customWidth="1"/>
    <col min="9470" max="9470" width="13.28515625" style="63" customWidth="1"/>
    <col min="9471" max="9471" width="9.42578125" style="63" customWidth="1"/>
    <col min="9472" max="9472" width="6.42578125" style="63" customWidth="1"/>
    <col min="9473" max="9473" width="11.5703125" style="63" customWidth="1"/>
    <col min="9474" max="9474" width="12.85546875" style="63" bestFit="1" customWidth="1"/>
    <col min="9475" max="9475" width="25.5703125" style="63" customWidth="1"/>
    <col min="9476" max="9723" width="9" style="63"/>
    <col min="9724" max="9724" width="8.7109375" style="63" customWidth="1"/>
    <col min="9725" max="9725" width="45.140625" style="63" customWidth="1"/>
    <col min="9726" max="9726" width="13.28515625" style="63" customWidth="1"/>
    <col min="9727" max="9727" width="9.42578125" style="63" customWidth="1"/>
    <col min="9728" max="9728" width="6.42578125" style="63" customWidth="1"/>
    <col min="9729" max="9729" width="11.5703125" style="63" customWidth="1"/>
    <col min="9730" max="9730" width="12.85546875" style="63" bestFit="1" customWidth="1"/>
    <col min="9731" max="9731" width="25.5703125" style="63" customWidth="1"/>
    <col min="9732" max="9979" width="9" style="63"/>
    <col min="9980" max="9980" width="8.7109375" style="63" customWidth="1"/>
    <col min="9981" max="9981" width="45.140625" style="63" customWidth="1"/>
    <col min="9982" max="9982" width="13.28515625" style="63" customWidth="1"/>
    <col min="9983" max="9983" width="9.42578125" style="63" customWidth="1"/>
    <col min="9984" max="9984" width="6.42578125" style="63" customWidth="1"/>
    <col min="9985" max="9985" width="11.5703125" style="63" customWidth="1"/>
    <col min="9986" max="9986" width="12.85546875" style="63" bestFit="1" customWidth="1"/>
    <col min="9987" max="9987" width="25.5703125" style="63" customWidth="1"/>
    <col min="9988" max="10235" width="9" style="63"/>
    <col min="10236" max="10236" width="8.7109375" style="63" customWidth="1"/>
    <col min="10237" max="10237" width="45.140625" style="63" customWidth="1"/>
    <col min="10238" max="10238" width="13.28515625" style="63" customWidth="1"/>
    <col min="10239" max="10239" width="9.42578125" style="63" customWidth="1"/>
    <col min="10240" max="10240" width="6.42578125" style="63" customWidth="1"/>
    <col min="10241" max="10241" width="11.5703125" style="63" customWidth="1"/>
    <col min="10242" max="10242" width="12.85546875" style="63" bestFit="1" customWidth="1"/>
    <col min="10243" max="10243" width="25.5703125" style="63" customWidth="1"/>
    <col min="10244" max="10491" width="9" style="63"/>
    <col min="10492" max="10492" width="8.7109375" style="63" customWidth="1"/>
    <col min="10493" max="10493" width="45.140625" style="63" customWidth="1"/>
    <col min="10494" max="10494" width="13.28515625" style="63" customWidth="1"/>
    <col min="10495" max="10495" width="9.42578125" style="63" customWidth="1"/>
    <col min="10496" max="10496" width="6.42578125" style="63" customWidth="1"/>
    <col min="10497" max="10497" width="11.5703125" style="63" customWidth="1"/>
    <col min="10498" max="10498" width="12.85546875" style="63" bestFit="1" customWidth="1"/>
    <col min="10499" max="10499" width="25.5703125" style="63" customWidth="1"/>
    <col min="10500" max="10747" width="9" style="63"/>
    <col min="10748" max="10748" width="8.7109375" style="63" customWidth="1"/>
    <col min="10749" max="10749" width="45.140625" style="63" customWidth="1"/>
    <col min="10750" max="10750" width="13.28515625" style="63" customWidth="1"/>
    <col min="10751" max="10751" width="9.42578125" style="63" customWidth="1"/>
    <col min="10752" max="10752" width="6.42578125" style="63" customWidth="1"/>
    <col min="10753" max="10753" width="11.5703125" style="63" customWidth="1"/>
    <col min="10754" max="10754" width="12.85546875" style="63" bestFit="1" customWidth="1"/>
    <col min="10755" max="10755" width="25.5703125" style="63" customWidth="1"/>
    <col min="10756" max="11003" width="9" style="63"/>
    <col min="11004" max="11004" width="8.7109375" style="63" customWidth="1"/>
    <col min="11005" max="11005" width="45.140625" style="63" customWidth="1"/>
    <col min="11006" max="11006" width="13.28515625" style="63" customWidth="1"/>
    <col min="11007" max="11007" width="9.42578125" style="63" customWidth="1"/>
    <col min="11008" max="11008" width="6.42578125" style="63" customWidth="1"/>
    <col min="11009" max="11009" width="11.5703125" style="63" customWidth="1"/>
    <col min="11010" max="11010" width="12.85546875" style="63" bestFit="1" customWidth="1"/>
    <col min="11011" max="11011" width="25.5703125" style="63" customWidth="1"/>
    <col min="11012" max="11259" width="9" style="63"/>
    <col min="11260" max="11260" width="8.7109375" style="63" customWidth="1"/>
    <col min="11261" max="11261" width="45.140625" style="63" customWidth="1"/>
    <col min="11262" max="11262" width="13.28515625" style="63" customWidth="1"/>
    <col min="11263" max="11263" width="9.42578125" style="63" customWidth="1"/>
    <col min="11264" max="11264" width="6.42578125" style="63" customWidth="1"/>
    <col min="11265" max="11265" width="11.5703125" style="63" customWidth="1"/>
    <col min="11266" max="11266" width="12.85546875" style="63" bestFit="1" customWidth="1"/>
    <col min="11267" max="11267" width="25.5703125" style="63" customWidth="1"/>
    <col min="11268" max="11515" width="9" style="63"/>
    <col min="11516" max="11516" width="8.7109375" style="63" customWidth="1"/>
    <col min="11517" max="11517" width="45.140625" style="63" customWidth="1"/>
    <col min="11518" max="11518" width="13.28515625" style="63" customWidth="1"/>
    <col min="11519" max="11519" width="9.42578125" style="63" customWidth="1"/>
    <col min="11520" max="11520" width="6.42578125" style="63" customWidth="1"/>
    <col min="11521" max="11521" width="11.5703125" style="63" customWidth="1"/>
    <col min="11522" max="11522" width="12.85546875" style="63" bestFit="1" customWidth="1"/>
    <col min="11523" max="11523" width="25.5703125" style="63" customWidth="1"/>
    <col min="11524" max="11771" width="9" style="63"/>
    <col min="11772" max="11772" width="8.7109375" style="63" customWidth="1"/>
    <col min="11773" max="11773" width="45.140625" style="63" customWidth="1"/>
    <col min="11774" max="11774" width="13.28515625" style="63" customWidth="1"/>
    <col min="11775" max="11775" width="9.42578125" style="63" customWidth="1"/>
    <col min="11776" max="11776" width="6.42578125" style="63" customWidth="1"/>
    <col min="11777" max="11777" width="11.5703125" style="63" customWidth="1"/>
    <col min="11778" max="11778" width="12.85546875" style="63" bestFit="1" customWidth="1"/>
    <col min="11779" max="11779" width="25.5703125" style="63" customWidth="1"/>
    <col min="11780" max="12027" width="9" style="63"/>
    <col min="12028" max="12028" width="8.7109375" style="63" customWidth="1"/>
    <col min="12029" max="12029" width="45.140625" style="63" customWidth="1"/>
    <col min="12030" max="12030" width="13.28515625" style="63" customWidth="1"/>
    <col min="12031" max="12031" width="9.42578125" style="63" customWidth="1"/>
    <col min="12032" max="12032" width="6.42578125" style="63" customWidth="1"/>
    <col min="12033" max="12033" width="11.5703125" style="63" customWidth="1"/>
    <col min="12034" max="12034" width="12.85546875" style="63" bestFit="1" customWidth="1"/>
    <col min="12035" max="12035" width="25.5703125" style="63" customWidth="1"/>
    <col min="12036" max="12283" width="9" style="63"/>
    <col min="12284" max="12284" width="8.7109375" style="63" customWidth="1"/>
    <col min="12285" max="12285" width="45.140625" style="63" customWidth="1"/>
    <col min="12286" max="12286" width="13.28515625" style="63" customWidth="1"/>
    <col min="12287" max="12287" width="9.42578125" style="63" customWidth="1"/>
    <col min="12288" max="12288" width="6.42578125" style="63" customWidth="1"/>
    <col min="12289" max="12289" width="11.5703125" style="63" customWidth="1"/>
    <col min="12290" max="12290" width="12.85546875" style="63" bestFit="1" customWidth="1"/>
    <col min="12291" max="12291" width="25.5703125" style="63" customWidth="1"/>
    <col min="12292" max="12539" width="9" style="63"/>
    <col min="12540" max="12540" width="8.7109375" style="63" customWidth="1"/>
    <col min="12541" max="12541" width="45.140625" style="63" customWidth="1"/>
    <col min="12542" max="12542" width="13.28515625" style="63" customWidth="1"/>
    <col min="12543" max="12543" width="9.42578125" style="63" customWidth="1"/>
    <col min="12544" max="12544" width="6.42578125" style="63" customWidth="1"/>
    <col min="12545" max="12545" width="11.5703125" style="63" customWidth="1"/>
    <col min="12546" max="12546" width="12.85546875" style="63" bestFit="1" customWidth="1"/>
    <col min="12547" max="12547" width="25.5703125" style="63" customWidth="1"/>
    <col min="12548" max="12795" width="9" style="63"/>
    <col min="12796" max="12796" width="8.7109375" style="63" customWidth="1"/>
    <col min="12797" max="12797" width="45.140625" style="63" customWidth="1"/>
    <col min="12798" max="12798" width="13.28515625" style="63" customWidth="1"/>
    <col min="12799" max="12799" width="9.42578125" style="63" customWidth="1"/>
    <col min="12800" max="12800" width="6.42578125" style="63" customWidth="1"/>
    <col min="12801" max="12801" width="11.5703125" style="63" customWidth="1"/>
    <col min="12802" max="12802" width="12.85546875" style="63" bestFit="1" customWidth="1"/>
    <col min="12803" max="12803" width="25.5703125" style="63" customWidth="1"/>
    <col min="12804" max="13051" width="9" style="63"/>
    <col min="13052" max="13052" width="8.7109375" style="63" customWidth="1"/>
    <col min="13053" max="13053" width="45.140625" style="63" customWidth="1"/>
    <col min="13054" max="13054" width="13.28515625" style="63" customWidth="1"/>
    <col min="13055" max="13055" width="9.42578125" style="63" customWidth="1"/>
    <col min="13056" max="13056" width="6.42578125" style="63" customWidth="1"/>
    <col min="13057" max="13057" width="11.5703125" style="63" customWidth="1"/>
    <col min="13058" max="13058" width="12.85546875" style="63" bestFit="1" customWidth="1"/>
    <col min="13059" max="13059" width="25.5703125" style="63" customWidth="1"/>
    <col min="13060" max="13307" width="9" style="63"/>
    <col min="13308" max="13308" width="8.7109375" style="63" customWidth="1"/>
    <col min="13309" max="13309" width="45.140625" style="63" customWidth="1"/>
    <col min="13310" max="13310" width="13.28515625" style="63" customWidth="1"/>
    <col min="13311" max="13311" width="9.42578125" style="63" customWidth="1"/>
    <col min="13312" max="13312" width="6.42578125" style="63" customWidth="1"/>
    <col min="13313" max="13313" width="11.5703125" style="63" customWidth="1"/>
    <col min="13314" max="13314" width="12.85546875" style="63" bestFit="1" customWidth="1"/>
    <col min="13315" max="13315" width="25.5703125" style="63" customWidth="1"/>
    <col min="13316" max="13563" width="9" style="63"/>
    <col min="13564" max="13564" width="8.7109375" style="63" customWidth="1"/>
    <col min="13565" max="13565" width="45.140625" style="63" customWidth="1"/>
    <col min="13566" max="13566" width="13.28515625" style="63" customWidth="1"/>
    <col min="13567" max="13567" width="9.42578125" style="63" customWidth="1"/>
    <col min="13568" max="13568" width="6.42578125" style="63" customWidth="1"/>
    <col min="13569" max="13569" width="11.5703125" style="63" customWidth="1"/>
    <col min="13570" max="13570" width="12.85546875" style="63" bestFit="1" customWidth="1"/>
    <col min="13571" max="13571" width="25.5703125" style="63" customWidth="1"/>
    <col min="13572" max="13819" width="9" style="63"/>
    <col min="13820" max="13820" width="8.7109375" style="63" customWidth="1"/>
    <col min="13821" max="13821" width="45.140625" style="63" customWidth="1"/>
    <col min="13822" max="13822" width="13.28515625" style="63" customWidth="1"/>
    <col min="13823" max="13823" width="9.42578125" style="63" customWidth="1"/>
    <col min="13824" max="13824" width="6.42578125" style="63" customWidth="1"/>
    <col min="13825" max="13825" width="11.5703125" style="63" customWidth="1"/>
    <col min="13826" max="13826" width="12.85546875" style="63" bestFit="1" customWidth="1"/>
    <col min="13827" max="13827" width="25.5703125" style="63" customWidth="1"/>
    <col min="13828" max="14075" width="9" style="63"/>
    <col min="14076" max="14076" width="8.7109375" style="63" customWidth="1"/>
    <col min="14077" max="14077" width="45.140625" style="63" customWidth="1"/>
    <col min="14078" max="14078" width="13.28515625" style="63" customWidth="1"/>
    <col min="14079" max="14079" width="9.42578125" style="63" customWidth="1"/>
    <col min="14080" max="14080" width="6.42578125" style="63" customWidth="1"/>
    <col min="14081" max="14081" width="11.5703125" style="63" customWidth="1"/>
    <col min="14082" max="14082" width="12.85546875" style="63" bestFit="1" customWidth="1"/>
    <col min="14083" max="14083" width="25.5703125" style="63" customWidth="1"/>
    <col min="14084" max="14331" width="9" style="63"/>
    <col min="14332" max="14332" width="8.7109375" style="63" customWidth="1"/>
    <col min="14333" max="14333" width="45.140625" style="63" customWidth="1"/>
    <col min="14334" max="14334" width="13.28515625" style="63" customWidth="1"/>
    <col min="14335" max="14335" width="9.42578125" style="63" customWidth="1"/>
    <col min="14336" max="14336" width="6.42578125" style="63" customWidth="1"/>
    <col min="14337" max="14337" width="11.5703125" style="63" customWidth="1"/>
    <col min="14338" max="14338" width="12.85546875" style="63" bestFit="1" customWidth="1"/>
    <col min="14339" max="14339" width="25.5703125" style="63" customWidth="1"/>
    <col min="14340" max="14587" width="9" style="63"/>
    <col min="14588" max="14588" width="8.7109375" style="63" customWidth="1"/>
    <col min="14589" max="14589" width="45.140625" style="63" customWidth="1"/>
    <col min="14590" max="14590" width="13.28515625" style="63" customWidth="1"/>
    <col min="14591" max="14591" width="9.42578125" style="63" customWidth="1"/>
    <col min="14592" max="14592" width="6.42578125" style="63" customWidth="1"/>
    <col min="14593" max="14593" width="11.5703125" style="63" customWidth="1"/>
    <col min="14594" max="14594" width="12.85546875" style="63" bestFit="1" customWidth="1"/>
    <col min="14595" max="14595" width="25.5703125" style="63" customWidth="1"/>
    <col min="14596" max="14843" width="9" style="63"/>
    <col min="14844" max="14844" width="8.7109375" style="63" customWidth="1"/>
    <col min="14845" max="14845" width="45.140625" style="63" customWidth="1"/>
    <col min="14846" max="14846" width="13.28515625" style="63" customWidth="1"/>
    <col min="14847" max="14847" width="9.42578125" style="63" customWidth="1"/>
    <col min="14848" max="14848" width="6.42578125" style="63" customWidth="1"/>
    <col min="14849" max="14849" width="11.5703125" style="63" customWidth="1"/>
    <col min="14850" max="14850" width="12.85546875" style="63" bestFit="1" customWidth="1"/>
    <col min="14851" max="14851" width="25.5703125" style="63" customWidth="1"/>
    <col min="14852" max="15099" width="9" style="63"/>
    <col min="15100" max="15100" width="8.7109375" style="63" customWidth="1"/>
    <col min="15101" max="15101" width="45.140625" style="63" customWidth="1"/>
    <col min="15102" max="15102" width="13.28515625" style="63" customWidth="1"/>
    <col min="15103" max="15103" width="9.42578125" style="63" customWidth="1"/>
    <col min="15104" max="15104" width="6.42578125" style="63" customWidth="1"/>
    <col min="15105" max="15105" width="11.5703125" style="63" customWidth="1"/>
    <col min="15106" max="15106" width="12.85546875" style="63" bestFit="1" customWidth="1"/>
    <col min="15107" max="15107" width="25.5703125" style="63" customWidth="1"/>
    <col min="15108" max="15355" width="9" style="63"/>
    <col min="15356" max="15356" width="8.7109375" style="63" customWidth="1"/>
    <col min="15357" max="15357" width="45.140625" style="63" customWidth="1"/>
    <col min="15358" max="15358" width="13.28515625" style="63" customWidth="1"/>
    <col min="15359" max="15359" width="9.42578125" style="63" customWidth="1"/>
    <col min="15360" max="15360" width="6.42578125" style="63" customWidth="1"/>
    <col min="15361" max="15361" width="11.5703125" style="63" customWidth="1"/>
    <col min="15362" max="15362" width="12.85546875" style="63" bestFit="1" customWidth="1"/>
    <col min="15363" max="15363" width="25.5703125" style="63" customWidth="1"/>
    <col min="15364" max="15611" width="9" style="63"/>
    <col min="15612" max="15612" width="8.7109375" style="63" customWidth="1"/>
    <col min="15613" max="15613" width="45.140625" style="63" customWidth="1"/>
    <col min="15614" max="15614" width="13.28515625" style="63" customWidth="1"/>
    <col min="15615" max="15615" width="9.42578125" style="63" customWidth="1"/>
    <col min="15616" max="15616" width="6.42578125" style="63" customWidth="1"/>
    <col min="15617" max="15617" width="11.5703125" style="63" customWidth="1"/>
    <col min="15618" max="15618" width="12.85546875" style="63" bestFit="1" customWidth="1"/>
    <col min="15619" max="15619" width="25.5703125" style="63" customWidth="1"/>
    <col min="15620" max="15867" width="9" style="63"/>
    <col min="15868" max="15868" width="8.7109375" style="63" customWidth="1"/>
    <col min="15869" max="15869" width="45.140625" style="63" customWidth="1"/>
    <col min="15870" max="15870" width="13.28515625" style="63" customWidth="1"/>
    <col min="15871" max="15871" width="9.42578125" style="63" customWidth="1"/>
    <col min="15872" max="15872" width="6.42578125" style="63" customWidth="1"/>
    <col min="15873" max="15873" width="11.5703125" style="63" customWidth="1"/>
    <col min="15874" max="15874" width="12.85546875" style="63" bestFit="1" customWidth="1"/>
    <col min="15875" max="15875" width="25.5703125" style="63" customWidth="1"/>
    <col min="15876" max="16123" width="9" style="63"/>
    <col min="16124" max="16124" width="8.7109375" style="63" customWidth="1"/>
    <col min="16125" max="16125" width="45.140625" style="63" customWidth="1"/>
    <col min="16126" max="16126" width="13.28515625" style="63" customWidth="1"/>
    <col min="16127" max="16127" width="9.42578125" style="63" customWidth="1"/>
    <col min="16128" max="16128" width="6.42578125" style="63" customWidth="1"/>
    <col min="16129" max="16129" width="11.5703125" style="63" customWidth="1"/>
    <col min="16130" max="16130" width="12.85546875" style="63" bestFit="1" customWidth="1"/>
    <col min="16131" max="16131" width="25.5703125" style="63" customWidth="1"/>
    <col min="16132" max="16384" width="9" style="63"/>
  </cols>
  <sheetData>
    <row r="1" spans="1:13" ht="16.5" customHeight="1"/>
    <row r="2" spans="1:13" ht="27" customHeight="1">
      <c r="A2" s="65" t="s">
        <v>69</v>
      </c>
      <c r="B2" s="65" t="str">
        <f>+'PO 1st page'!K11</f>
        <v>SAC2-DS-PO-0390</v>
      </c>
      <c r="C2" s="197" t="s">
        <v>70</v>
      </c>
      <c r="D2" s="197"/>
      <c r="E2" s="197"/>
      <c r="F2" s="197"/>
      <c r="G2" s="66"/>
      <c r="H2" s="66"/>
    </row>
    <row r="3" spans="1:13" s="72" customFormat="1" ht="28.5" customHeight="1" thickBot="1">
      <c r="A3" s="67" t="s">
        <v>71</v>
      </c>
      <c r="B3" s="68">
        <f>+'PO 1st page'!K10</f>
        <v>46237</v>
      </c>
      <c r="C3" s="69"/>
      <c r="D3" s="70"/>
      <c r="E3" s="198" t="s">
        <v>72</v>
      </c>
      <c r="F3" s="198"/>
      <c r="G3" s="198"/>
      <c r="H3" s="198"/>
      <c r="I3" s="71"/>
    </row>
    <row r="4" spans="1:13" s="73" customFormat="1" ht="28.5" customHeight="1" thickTop="1">
      <c r="A4" s="199" t="s">
        <v>73</v>
      </c>
      <c r="B4" s="201" t="s">
        <v>74</v>
      </c>
      <c r="C4" s="202"/>
      <c r="D4" s="205" t="s">
        <v>75</v>
      </c>
      <c r="E4" s="205" t="s">
        <v>76</v>
      </c>
      <c r="F4" s="207" t="str">
        <f>'PO 1st page'!C9</f>
        <v>JSAJ(Jassim Saif Amer Aljaberi Trading Est.)</v>
      </c>
      <c r="G4" s="208"/>
      <c r="H4" s="209" t="s">
        <v>77</v>
      </c>
      <c r="K4" s="74"/>
      <c r="L4" s="74"/>
      <c r="M4" s="74"/>
    </row>
    <row r="5" spans="1:13" s="73" customFormat="1" ht="21.95" customHeight="1">
      <c r="A5" s="200"/>
      <c r="B5" s="203"/>
      <c r="C5" s="204"/>
      <c r="D5" s="206"/>
      <c r="E5" s="206"/>
      <c r="F5" s="75" t="s">
        <v>78</v>
      </c>
      <c r="G5" s="75" t="s">
        <v>43</v>
      </c>
      <c r="H5" s="210"/>
      <c r="K5" s="74"/>
      <c r="L5" s="74"/>
      <c r="M5" s="74"/>
    </row>
    <row r="6" spans="1:13" s="76" customFormat="1" ht="32.1" customHeight="1">
      <c r="A6" s="109">
        <f t="shared" ref="A6:A93" si="0">ROW(A1)</f>
        <v>1</v>
      </c>
      <c r="B6" s="191" t="str">
        <f>+'MRS LIST'!B6</f>
        <v xml:space="preserve">Measuring Cup </v>
      </c>
      <c r="C6" s="192"/>
      <c r="D6" s="110" t="str">
        <f>+'MRS LIST'!G6</f>
        <v>Nos</v>
      </c>
      <c r="E6" s="111">
        <f>+'MRS LIST'!H6</f>
        <v>4</v>
      </c>
      <c r="F6" s="112">
        <f>+'MRS LIST'!I6</f>
        <v>16</v>
      </c>
      <c r="G6" s="113">
        <f>+'MRS LIST'!J6</f>
        <v>64</v>
      </c>
      <c r="H6" s="114" t="str">
        <f>MRS!L6</f>
        <v>One Time</v>
      </c>
      <c r="K6" s="77"/>
      <c r="L6" s="78"/>
      <c r="M6" s="79"/>
    </row>
    <row r="7" spans="1:13" s="76" customFormat="1" ht="32.1" customHeight="1">
      <c r="A7" s="109">
        <f t="shared" si="0"/>
        <v>2</v>
      </c>
      <c r="B7" s="191" t="str">
        <f>+'MRS LIST'!B7</f>
        <v xml:space="preserve">Ceramic Backing Tape </v>
      </c>
      <c r="C7" s="192"/>
      <c r="D7" s="110" t="str">
        <f>+'MRS LIST'!G7</f>
        <v>Nos</v>
      </c>
      <c r="E7" s="111">
        <f>+'MRS LIST'!H7</f>
        <v>40</v>
      </c>
      <c r="F7" s="112">
        <f>+'MRS LIST'!I7</f>
        <v>20</v>
      </c>
      <c r="G7" s="113">
        <f>+'MRS LIST'!J7</f>
        <v>800</v>
      </c>
      <c r="H7" s="114"/>
      <c r="K7" s="77"/>
      <c r="L7" s="78"/>
      <c r="M7" s="79"/>
    </row>
    <row r="8" spans="1:13" s="76" customFormat="1" ht="32.1" customHeight="1">
      <c r="A8" s="115">
        <f t="shared" si="0"/>
        <v>3</v>
      </c>
      <c r="B8" s="191" t="str">
        <f>+'MRS LIST'!B8</f>
        <v xml:space="preserve">Cutting Disc C/S </v>
      </c>
      <c r="C8" s="192"/>
      <c r="D8" s="116" t="str">
        <f>+'MRS LIST'!G8</f>
        <v>Nos</v>
      </c>
      <c r="E8" s="117">
        <f>+'MRS LIST'!H8</f>
        <v>700</v>
      </c>
      <c r="F8" s="118">
        <f>+'MRS LIST'!I8</f>
        <v>1.35</v>
      </c>
      <c r="G8" s="119">
        <f>+'MRS LIST'!J8</f>
        <v>945.00000000000011</v>
      </c>
      <c r="H8" s="120"/>
      <c r="K8" s="79"/>
      <c r="L8" s="79"/>
      <c r="M8" s="79"/>
    </row>
    <row r="9" spans="1:13" s="76" customFormat="1" ht="32.1" customHeight="1">
      <c r="A9" s="115">
        <f t="shared" si="0"/>
        <v>4</v>
      </c>
      <c r="B9" s="191" t="str">
        <f>+'MRS LIST'!B9</f>
        <v>Electric Concrete Mixing Machine</v>
      </c>
      <c r="C9" s="192"/>
      <c r="D9" s="116" t="str">
        <f>+'MRS LIST'!G9</f>
        <v>Nos</v>
      </c>
      <c r="E9" s="117">
        <f>+'MRS LIST'!H9</f>
        <v>2</v>
      </c>
      <c r="F9" s="118">
        <f>+'MRS LIST'!I9</f>
        <v>345</v>
      </c>
      <c r="G9" s="119">
        <f>+'MRS LIST'!J9</f>
        <v>690</v>
      </c>
      <c r="H9" s="120"/>
    </row>
    <row r="10" spans="1:13" s="76" customFormat="1" ht="32.1" customHeight="1">
      <c r="A10" s="115">
        <f t="shared" si="0"/>
        <v>5</v>
      </c>
      <c r="B10" s="191" t="str">
        <f>+'MRS LIST'!B10</f>
        <v xml:space="preserve">PVC Bucket with Lid </v>
      </c>
      <c r="C10" s="192"/>
      <c r="D10" s="116" t="str">
        <f>+'MRS LIST'!G10</f>
        <v>Nos</v>
      </c>
      <c r="E10" s="117">
        <f>+'MRS LIST'!H10</f>
        <v>40</v>
      </c>
      <c r="F10" s="118">
        <f>+'MRS LIST'!I10</f>
        <v>10</v>
      </c>
      <c r="G10" s="119">
        <f>+'MRS LIST'!J10</f>
        <v>400</v>
      </c>
      <c r="H10" s="120"/>
    </row>
    <row r="11" spans="1:13" s="76" customFormat="1" ht="32.1" customHeight="1">
      <c r="A11" s="115">
        <f t="shared" si="0"/>
        <v>6</v>
      </c>
      <c r="B11" s="191" t="str">
        <f>+'MRS LIST'!B11</f>
        <v>Plastic Storage Drum</v>
      </c>
      <c r="C11" s="192"/>
      <c r="D11" s="116" t="str">
        <f>+'MRS LIST'!G11</f>
        <v>Nos</v>
      </c>
      <c r="E11" s="117">
        <f>+'MRS LIST'!H11</f>
        <v>3</v>
      </c>
      <c r="F11" s="118">
        <f>+'MRS LIST'!I11</f>
        <v>85</v>
      </c>
      <c r="G11" s="119">
        <f>+'MRS LIST'!J11</f>
        <v>255</v>
      </c>
      <c r="H11" s="120"/>
    </row>
    <row r="12" spans="1:13" s="76" customFormat="1" ht="32.1" customHeight="1">
      <c r="A12" s="115">
        <f t="shared" si="0"/>
        <v>7</v>
      </c>
      <c r="B12" s="191" t="str">
        <f>+'MRS LIST'!B12</f>
        <v xml:space="preserve">PE Water Tank Vertical </v>
      </c>
      <c r="C12" s="192"/>
      <c r="D12" s="116" t="str">
        <f>+'MRS LIST'!G12</f>
        <v>Nos</v>
      </c>
      <c r="E12" s="117">
        <f>+'MRS LIST'!H12</f>
        <v>2</v>
      </c>
      <c r="F12" s="118">
        <f>+'MRS LIST'!I12</f>
        <v>330</v>
      </c>
      <c r="G12" s="119">
        <f>+'MRS LIST'!J12</f>
        <v>660</v>
      </c>
      <c r="H12" s="120"/>
    </row>
    <row r="13" spans="1:13" s="76" customFormat="1" ht="32.1" customHeight="1">
      <c r="A13" s="115">
        <f t="shared" si="0"/>
        <v>8</v>
      </c>
      <c r="B13" s="191" t="str">
        <f>+'MRS LIST'!B13</f>
        <v>Window A/C</v>
      </c>
      <c r="C13" s="192"/>
      <c r="D13" s="116" t="str">
        <f>+'MRS LIST'!G13</f>
        <v>Nos</v>
      </c>
      <c r="E13" s="117">
        <f>+'MRS LIST'!H13</f>
        <v>1</v>
      </c>
      <c r="F13" s="118">
        <f>+'MRS LIST'!I13</f>
        <v>1784</v>
      </c>
      <c r="G13" s="119">
        <f>+'MRS LIST'!J13</f>
        <v>1784</v>
      </c>
      <c r="H13" s="120"/>
    </row>
    <row r="14" spans="1:13" s="76" customFormat="1" ht="32.1" customHeight="1">
      <c r="A14" s="115">
        <f t="shared" si="0"/>
        <v>9</v>
      </c>
      <c r="B14" s="191" t="str">
        <f>+'MRS LIST'!B14</f>
        <v xml:space="preserve">Measuring Cup </v>
      </c>
      <c r="C14" s="192"/>
      <c r="D14" s="116" t="str">
        <f>+'MRS LIST'!G14</f>
        <v>Nos</v>
      </c>
      <c r="E14" s="117">
        <f>+'MRS LIST'!H14</f>
        <v>4</v>
      </c>
      <c r="F14" s="118">
        <f>+'MRS LIST'!I14</f>
        <v>37</v>
      </c>
      <c r="G14" s="119">
        <f>+'MRS LIST'!J14</f>
        <v>148</v>
      </c>
      <c r="H14" s="120"/>
    </row>
    <row r="15" spans="1:13" s="76" customFormat="1" ht="32.1" customHeight="1">
      <c r="A15" s="115">
        <f t="shared" si="0"/>
        <v>10</v>
      </c>
      <c r="B15" s="191" t="str">
        <f>+'MRS LIST'!B15</f>
        <v>Flap Disc S/S</v>
      </c>
      <c r="C15" s="192"/>
      <c r="D15" s="116" t="str">
        <f>+'MRS LIST'!G15</f>
        <v>Nos</v>
      </c>
      <c r="E15" s="117">
        <f>+'MRS LIST'!H15</f>
        <v>4400</v>
      </c>
      <c r="F15" s="118">
        <f>+'MRS LIST'!I15</f>
        <v>3.1</v>
      </c>
      <c r="G15" s="119">
        <f>+'MRS LIST'!J15</f>
        <v>13640</v>
      </c>
      <c r="H15" s="120"/>
    </row>
    <row r="16" spans="1:13" s="76" customFormat="1" ht="32.1" customHeight="1">
      <c r="A16" s="115">
        <f t="shared" si="0"/>
        <v>11</v>
      </c>
      <c r="B16" s="191" t="str">
        <f>+'MRS LIST'!B16</f>
        <v>Flap Wheel S/S</v>
      </c>
      <c r="C16" s="192"/>
      <c r="D16" s="116" t="str">
        <f>+'MRS LIST'!G16</f>
        <v>Nos</v>
      </c>
      <c r="E16" s="117">
        <f>+'MRS LIST'!H16</f>
        <v>300</v>
      </c>
      <c r="F16" s="118">
        <f>+'MRS LIST'!I16</f>
        <v>4</v>
      </c>
      <c r="G16" s="119">
        <f>+'MRS LIST'!J16</f>
        <v>1200</v>
      </c>
      <c r="H16" s="120"/>
    </row>
    <row r="17" spans="1:8" s="76" customFormat="1" ht="32.1" customHeight="1">
      <c r="A17" s="115">
        <f t="shared" si="0"/>
        <v>12</v>
      </c>
      <c r="B17" s="191" t="str">
        <f>+'MRS LIST'!B17</f>
        <v>Cup Brush C/S Crimped</v>
      </c>
      <c r="C17" s="192"/>
      <c r="D17" s="116" t="str">
        <f>+'MRS LIST'!G17</f>
        <v>Nos</v>
      </c>
      <c r="E17" s="117">
        <f>+'MRS LIST'!H17</f>
        <v>300</v>
      </c>
      <c r="F17" s="118">
        <f>+'MRS LIST'!I17</f>
        <v>9</v>
      </c>
      <c r="G17" s="119">
        <f>+'MRS LIST'!J17</f>
        <v>2700</v>
      </c>
      <c r="H17" s="120"/>
    </row>
    <row r="18" spans="1:8" s="76" customFormat="1" ht="32.1" customHeight="1">
      <c r="A18" s="115">
        <f t="shared" si="0"/>
        <v>13</v>
      </c>
      <c r="B18" s="191" t="str">
        <f>+'MRS LIST'!B18</f>
        <v xml:space="preserve">Teflon Tape </v>
      </c>
      <c r="C18" s="192"/>
      <c r="D18" s="116" t="str">
        <f>+'MRS LIST'!G18</f>
        <v>Nos</v>
      </c>
      <c r="E18" s="117">
        <f>+'MRS LIST'!H18</f>
        <v>1000</v>
      </c>
      <c r="F18" s="118">
        <f>+'MRS LIST'!I18</f>
        <v>1.6</v>
      </c>
      <c r="G18" s="119">
        <f>+'MRS LIST'!J18</f>
        <v>1600</v>
      </c>
      <c r="H18" s="120"/>
    </row>
    <row r="19" spans="1:8" s="76" customFormat="1" ht="32.1" customHeight="1">
      <c r="A19" s="115">
        <f t="shared" si="0"/>
        <v>14</v>
      </c>
      <c r="B19" s="191" t="str">
        <f>+'MRS LIST'!B19</f>
        <v>Ear Plug with Corded</v>
      </c>
      <c r="C19" s="192"/>
      <c r="D19" s="116" t="str">
        <f>+'MRS LIST'!G19</f>
        <v>Pair</v>
      </c>
      <c r="E19" s="117">
        <f>+'MRS LIST'!H19</f>
        <v>1000</v>
      </c>
      <c r="F19" s="118">
        <f>+'MRS LIST'!I19</f>
        <v>0.55000000000000004</v>
      </c>
      <c r="G19" s="119">
        <f>+'MRS LIST'!J19</f>
        <v>550</v>
      </c>
      <c r="H19" s="120"/>
    </row>
    <row r="20" spans="1:8" s="76" customFormat="1" ht="32.1" customHeight="1">
      <c r="A20" s="115">
        <f t="shared" si="0"/>
        <v>15</v>
      </c>
      <c r="B20" s="191" t="str">
        <f>+'MRS LIST'!B20</f>
        <v>Wrapping Film Roll 50cm 50mtr 3Kg</v>
      </c>
      <c r="C20" s="192"/>
      <c r="D20" s="116" t="str">
        <f>+'MRS LIST'!G20</f>
        <v>Roll</v>
      </c>
      <c r="E20" s="117">
        <f>+'MRS LIST'!H20</f>
        <v>25</v>
      </c>
      <c r="F20" s="118">
        <f>+'MRS LIST'!I20</f>
        <v>21</v>
      </c>
      <c r="G20" s="119">
        <f>+'MRS LIST'!J20</f>
        <v>525</v>
      </c>
      <c r="H20" s="120"/>
    </row>
    <row r="21" spans="1:8" s="76" customFormat="1" ht="32.1" customHeight="1">
      <c r="A21" s="115">
        <f t="shared" si="0"/>
        <v>16</v>
      </c>
      <c r="B21" s="191" t="str">
        <f>+'MRS LIST'!B21</f>
        <v xml:space="preserve">Welding Cable Connector </v>
      </c>
      <c r="C21" s="192"/>
      <c r="D21" s="116" t="str">
        <f>+'MRS LIST'!G21</f>
        <v>Set</v>
      </c>
      <c r="E21" s="117">
        <f>+'MRS LIST'!H21</f>
        <v>25</v>
      </c>
      <c r="F21" s="118">
        <f>+'MRS LIST'!I21</f>
        <v>13</v>
      </c>
      <c r="G21" s="119">
        <f>+'MRS LIST'!J21</f>
        <v>325</v>
      </c>
      <c r="H21" s="120"/>
    </row>
    <row r="22" spans="1:8" s="76" customFormat="1" ht="32.1" customHeight="1">
      <c r="A22" s="115">
        <f t="shared" si="0"/>
        <v>17</v>
      </c>
      <c r="B22" s="191" t="str">
        <f>+'MRS LIST'!B22</f>
        <v xml:space="preserve">Welding Cable Connector </v>
      </c>
      <c r="C22" s="192"/>
      <c r="D22" s="116" t="str">
        <f>+'MRS LIST'!G22</f>
        <v>Set</v>
      </c>
      <c r="E22" s="117">
        <f>+'MRS LIST'!H22</f>
        <v>75</v>
      </c>
      <c r="F22" s="118">
        <f>+'MRS LIST'!I22</f>
        <v>15</v>
      </c>
      <c r="G22" s="119">
        <f>+'MRS LIST'!J22</f>
        <v>1125</v>
      </c>
      <c r="H22" s="120"/>
    </row>
    <row r="23" spans="1:8" s="76" customFormat="1" ht="32.1" customHeight="1">
      <c r="A23" s="115">
        <f t="shared" si="0"/>
        <v>18</v>
      </c>
      <c r="B23" s="191" t="str">
        <f>+'MRS LIST'!B23</f>
        <v xml:space="preserve">Tig Collet Body </v>
      </c>
      <c r="C23" s="192"/>
      <c r="D23" s="116" t="str">
        <f>+'MRS LIST'!G23</f>
        <v>Nos</v>
      </c>
      <c r="E23" s="117">
        <f>+'MRS LIST'!H23</f>
        <v>100</v>
      </c>
      <c r="F23" s="118">
        <f>+'MRS LIST'!I23</f>
        <v>12</v>
      </c>
      <c r="G23" s="119">
        <f>+'MRS LIST'!J23</f>
        <v>1200</v>
      </c>
      <c r="H23" s="120"/>
    </row>
    <row r="24" spans="1:8" s="76" customFormat="1" ht="32.1" customHeight="1">
      <c r="A24" s="115">
        <f t="shared" si="0"/>
        <v>19</v>
      </c>
      <c r="B24" s="191" t="str">
        <f>+'MRS LIST'!B24</f>
        <v xml:space="preserve">Tig Collet Pin </v>
      </c>
      <c r="C24" s="192"/>
      <c r="D24" s="116" t="str">
        <f>+'MRS LIST'!G24</f>
        <v>Nos</v>
      </c>
      <c r="E24" s="117">
        <f>+'MRS LIST'!H24</f>
        <v>100</v>
      </c>
      <c r="F24" s="118">
        <f>+'MRS LIST'!I24</f>
        <v>5.7</v>
      </c>
      <c r="G24" s="119">
        <f>+'MRS LIST'!J24</f>
        <v>570</v>
      </c>
      <c r="H24" s="120"/>
    </row>
    <row r="25" spans="1:8" s="76" customFormat="1" ht="32.1" customHeight="1">
      <c r="A25" s="115">
        <f t="shared" si="0"/>
        <v>20</v>
      </c>
      <c r="B25" s="191" t="str">
        <f>+'MRS LIST'!B25</f>
        <v xml:space="preserve">Tungsten Electrode </v>
      </c>
      <c r="C25" s="192"/>
      <c r="D25" s="116" t="str">
        <f>+'MRS LIST'!G25</f>
        <v>Nos</v>
      </c>
      <c r="E25" s="117">
        <f>+'MRS LIST'!H25</f>
        <v>600</v>
      </c>
      <c r="F25" s="118">
        <f>+'MRS LIST'!I25</f>
        <v>21</v>
      </c>
      <c r="G25" s="119">
        <f>+'MRS LIST'!J25</f>
        <v>12600</v>
      </c>
      <c r="H25" s="120"/>
    </row>
    <row r="26" spans="1:8" s="76" customFormat="1" ht="32.1" customHeight="1">
      <c r="A26" s="115">
        <f t="shared" si="0"/>
        <v>21</v>
      </c>
      <c r="B26" s="191" t="str">
        <f>+'MRS LIST'!B26</f>
        <v xml:space="preserve">Ceramic Nozzle </v>
      </c>
      <c r="C26" s="192"/>
      <c r="D26" s="116" t="str">
        <f>+'MRS LIST'!G26</f>
        <v>Nos</v>
      </c>
      <c r="E26" s="117">
        <f>+'MRS LIST'!H26</f>
        <v>200</v>
      </c>
      <c r="F26" s="118">
        <f>+'MRS LIST'!I26</f>
        <v>2.2000000000000002</v>
      </c>
      <c r="G26" s="119">
        <f>+'MRS LIST'!J26</f>
        <v>440.00000000000006</v>
      </c>
      <c r="H26" s="120"/>
    </row>
    <row r="27" spans="1:8" s="76" customFormat="1" ht="32.1" customHeight="1">
      <c r="A27" s="115">
        <f t="shared" si="0"/>
        <v>22</v>
      </c>
      <c r="B27" s="191" t="str">
        <f>+'MRS LIST'!B27</f>
        <v>Ceramic Nozzle</v>
      </c>
      <c r="C27" s="192"/>
      <c r="D27" s="116" t="str">
        <f>+'MRS LIST'!G27</f>
        <v>Nos</v>
      </c>
      <c r="E27" s="117">
        <f>+'MRS LIST'!H27</f>
        <v>100</v>
      </c>
      <c r="F27" s="118">
        <f>+'MRS LIST'!I27</f>
        <v>12</v>
      </c>
      <c r="G27" s="119">
        <f>+'MRS LIST'!J27</f>
        <v>1200</v>
      </c>
      <c r="H27" s="120"/>
    </row>
    <row r="28" spans="1:8" s="76" customFormat="1" ht="32.1" customHeight="1">
      <c r="A28" s="115">
        <f t="shared" si="0"/>
        <v>23</v>
      </c>
      <c r="B28" s="191" t="str">
        <f>+'MRS LIST'!B28</f>
        <v xml:space="preserve">Ceramic Nozzle </v>
      </c>
      <c r="C28" s="192"/>
      <c r="D28" s="116" t="str">
        <f>+'MRS LIST'!G28</f>
        <v>Nos</v>
      </c>
      <c r="E28" s="117">
        <f>+'MRS LIST'!H28</f>
        <v>200</v>
      </c>
      <c r="F28" s="118">
        <f>+'MRS LIST'!I28</f>
        <v>12</v>
      </c>
      <c r="G28" s="119">
        <f>+'MRS LIST'!J28</f>
        <v>2400</v>
      </c>
      <c r="H28" s="120"/>
    </row>
    <row r="29" spans="1:8" s="76" customFormat="1" ht="32.1" customHeight="1">
      <c r="A29" s="115">
        <f t="shared" si="0"/>
        <v>24</v>
      </c>
      <c r="B29" s="191" t="str">
        <f>+'MRS LIST'!B29</f>
        <v xml:space="preserve">Ceramic Nozzle </v>
      </c>
      <c r="C29" s="192"/>
      <c r="D29" s="116" t="str">
        <f>+'MRS LIST'!G29</f>
        <v>Nos</v>
      </c>
      <c r="E29" s="117">
        <f>+'MRS LIST'!H29</f>
        <v>200</v>
      </c>
      <c r="F29" s="118">
        <f>+'MRS LIST'!I29</f>
        <v>12</v>
      </c>
      <c r="G29" s="119">
        <f>+'MRS LIST'!J29</f>
        <v>2400</v>
      </c>
      <c r="H29" s="120"/>
    </row>
    <row r="30" spans="1:8" s="76" customFormat="1" ht="32.1" customHeight="1">
      <c r="A30" s="115">
        <f t="shared" si="0"/>
        <v>25</v>
      </c>
      <c r="B30" s="191" t="str">
        <f>+'MRS LIST'!B30</f>
        <v>Double Ear Clamp S/S 11-13mm</v>
      </c>
      <c r="C30" s="192"/>
      <c r="D30" s="116" t="str">
        <f>+'MRS LIST'!G30</f>
        <v>Nos</v>
      </c>
      <c r="E30" s="117">
        <f>+'MRS LIST'!H30</f>
        <v>300</v>
      </c>
      <c r="F30" s="118">
        <f>+'MRS LIST'!I30</f>
        <v>4.8</v>
      </c>
      <c r="G30" s="119">
        <f>+'MRS LIST'!J30</f>
        <v>1440</v>
      </c>
      <c r="H30" s="120"/>
    </row>
    <row r="31" spans="1:8" s="76" customFormat="1" ht="32.1" customHeight="1">
      <c r="A31" s="115">
        <f t="shared" si="0"/>
        <v>26</v>
      </c>
      <c r="B31" s="191" t="str">
        <f>+'MRS LIST'!B31</f>
        <v>Double Ear Clamp S/S</v>
      </c>
      <c r="C31" s="192"/>
      <c r="D31" s="116" t="str">
        <f>+'MRS LIST'!G31</f>
        <v>Nos</v>
      </c>
      <c r="E31" s="117">
        <f>+'MRS LIST'!H31</f>
        <v>300</v>
      </c>
      <c r="F31" s="118">
        <f>+'MRS LIST'!I31</f>
        <v>4.8</v>
      </c>
      <c r="G31" s="119">
        <f>+'MRS LIST'!J31</f>
        <v>1440</v>
      </c>
      <c r="H31" s="120"/>
    </row>
    <row r="32" spans="1:8" s="76" customFormat="1" ht="32.1" customHeight="1">
      <c r="A32" s="115">
        <f t="shared" si="0"/>
        <v>27</v>
      </c>
      <c r="B32" s="191" t="str">
        <f>+'MRS LIST'!B32</f>
        <v>Right Angle</v>
      </c>
      <c r="C32" s="192"/>
      <c r="D32" s="116" t="str">
        <f>+'MRS LIST'!G32</f>
        <v>Nos</v>
      </c>
      <c r="E32" s="117">
        <f>+'MRS LIST'!H32</f>
        <v>25</v>
      </c>
      <c r="F32" s="118">
        <f>+'MRS LIST'!I32</f>
        <v>7</v>
      </c>
      <c r="G32" s="119">
        <f>+'MRS LIST'!J32</f>
        <v>175</v>
      </c>
      <c r="H32" s="120"/>
    </row>
    <row r="33" spans="1:8" s="76" customFormat="1" ht="32.1" customHeight="1">
      <c r="A33" s="115">
        <f t="shared" si="0"/>
        <v>28</v>
      </c>
      <c r="B33" s="191" t="str">
        <f>+'MRS LIST'!B33</f>
        <v>Right Angle</v>
      </c>
      <c r="C33" s="192"/>
      <c r="D33" s="116" t="str">
        <f>+'MRS LIST'!G33</f>
        <v>Nos</v>
      </c>
      <c r="E33" s="117">
        <f>+'MRS LIST'!H33</f>
        <v>25</v>
      </c>
      <c r="F33" s="118">
        <f>+'MRS LIST'!I33</f>
        <v>12</v>
      </c>
      <c r="G33" s="119">
        <f>+'MRS LIST'!J33</f>
        <v>300</v>
      </c>
      <c r="H33" s="120"/>
    </row>
    <row r="34" spans="1:8" s="76" customFormat="1" ht="32.1" customHeight="1">
      <c r="A34" s="115">
        <f t="shared" si="0"/>
        <v>29</v>
      </c>
      <c r="B34" s="191" t="str">
        <f>+'MRS LIST'!B34</f>
        <v>Concrete Mixing Paddle</v>
      </c>
      <c r="C34" s="192"/>
      <c r="D34" s="116" t="str">
        <f>+'MRS LIST'!G34</f>
        <v>Nos</v>
      </c>
      <c r="E34" s="117">
        <f>+'MRS LIST'!H34</f>
        <v>4</v>
      </c>
      <c r="F34" s="118">
        <f>+'MRS LIST'!I34</f>
        <v>42</v>
      </c>
      <c r="G34" s="119">
        <f>+'MRS LIST'!J34</f>
        <v>168</v>
      </c>
      <c r="H34" s="120"/>
    </row>
    <row r="35" spans="1:8" s="76" customFormat="1" ht="32.1" customHeight="1">
      <c r="A35" s="115">
        <f t="shared" si="0"/>
        <v>30</v>
      </c>
      <c r="B35" s="191" t="str">
        <f>+'MRS LIST'!B35</f>
        <v xml:space="preserve">Plastic Sandbag Heavy Duty </v>
      </c>
      <c r="C35" s="192"/>
      <c r="D35" s="116" t="str">
        <f>+'MRS LIST'!G35</f>
        <v>Nos</v>
      </c>
      <c r="E35" s="117">
        <f>+'MRS LIST'!H35</f>
        <v>500</v>
      </c>
      <c r="F35" s="118">
        <f>+'MRS LIST'!I35</f>
        <v>2.2999999999999998</v>
      </c>
      <c r="G35" s="119">
        <f>+'MRS LIST'!J35</f>
        <v>1150</v>
      </c>
      <c r="H35" s="120"/>
    </row>
    <row r="36" spans="1:8" s="76" customFormat="1" ht="32.1" customHeight="1">
      <c r="A36" s="115">
        <f t="shared" si="0"/>
        <v>31</v>
      </c>
      <c r="B36" s="191" t="str">
        <f>+'MRS LIST'!B36</f>
        <v xml:space="preserve">Dust Mask </v>
      </c>
      <c r="C36" s="192"/>
      <c r="D36" s="116" t="str">
        <f>+'MRS LIST'!G36</f>
        <v>Nos</v>
      </c>
      <c r="E36" s="117">
        <f>+'MRS LIST'!H36</f>
        <v>2000</v>
      </c>
      <c r="F36" s="118">
        <f>+'MRS LIST'!I36</f>
        <v>1.35</v>
      </c>
      <c r="G36" s="119">
        <f>+'MRS LIST'!J36</f>
        <v>2700</v>
      </c>
      <c r="H36" s="120"/>
    </row>
    <row r="37" spans="1:8" s="76" customFormat="1" ht="32.1" customHeight="1">
      <c r="A37" s="115">
        <f t="shared" si="0"/>
        <v>32</v>
      </c>
      <c r="B37" s="191" t="str">
        <f>+'MRS LIST'!B37</f>
        <v xml:space="preserve">Power Cable </v>
      </c>
      <c r="C37" s="192"/>
      <c r="D37" s="116" t="str">
        <f>+'MRS LIST'!G37</f>
        <v>Mtr</v>
      </c>
      <c r="E37" s="117">
        <f>+'MRS LIST'!H37</f>
        <v>20</v>
      </c>
      <c r="F37" s="118">
        <f>+'MRS LIST'!I37</f>
        <v>92</v>
      </c>
      <c r="G37" s="119">
        <f>+'MRS LIST'!J37</f>
        <v>1840</v>
      </c>
      <c r="H37" s="120"/>
    </row>
    <row r="38" spans="1:8" s="76" customFormat="1" ht="32.1" customHeight="1">
      <c r="A38" s="115">
        <f t="shared" si="0"/>
        <v>33</v>
      </c>
      <c r="B38" s="191" t="str">
        <f>+'MRS LIST'!B38</f>
        <v xml:space="preserve">Spiral Screw Extractor </v>
      </c>
      <c r="C38" s="192"/>
      <c r="D38" s="116" t="str">
        <f>+'MRS LIST'!G38</f>
        <v>Set</v>
      </c>
      <c r="E38" s="117">
        <f>+'MRS LIST'!H38</f>
        <v>1</v>
      </c>
      <c r="F38" s="118">
        <f>+'MRS LIST'!I38</f>
        <v>46</v>
      </c>
      <c r="G38" s="119">
        <f>+'MRS LIST'!J38</f>
        <v>46</v>
      </c>
      <c r="H38" s="120"/>
    </row>
    <row r="39" spans="1:8" s="76" customFormat="1" ht="32.1" customHeight="1">
      <c r="A39" s="115">
        <f t="shared" si="0"/>
        <v>34</v>
      </c>
      <c r="B39" s="191" t="str">
        <f>+'MRS LIST'!B39</f>
        <v xml:space="preserve">Handsaw </v>
      </c>
      <c r="C39" s="192"/>
      <c r="D39" s="116" t="str">
        <f>+'MRS LIST'!G39</f>
        <v>Nos</v>
      </c>
      <c r="E39" s="117">
        <f>+'MRS LIST'!H39</f>
        <v>8</v>
      </c>
      <c r="F39" s="118">
        <f>+'MRS LIST'!I39</f>
        <v>16</v>
      </c>
      <c r="G39" s="119">
        <f>+'MRS LIST'!J39</f>
        <v>128</v>
      </c>
      <c r="H39" s="120"/>
    </row>
    <row r="40" spans="1:8" s="76" customFormat="1" ht="32.1" customHeight="1">
      <c r="A40" s="115">
        <f t="shared" si="0"/>
        <v>35</v>
      </c>
      <c r="B40" s="191" t="str">
        <f>+'MRS LIST'!B40</f>
        <v xml:space="preserve">Measuring Tape </v>
      </c>
      <c r="C40" s="192"/>
      <c r="D40" s="116" t="str">
        <f>+'MRS LIST'!G40</f>
        <v>Nos</v>
      </c>
      <c r="E40" s="117">
        <f>+'MRS LIST'!H40</f>
        <v>2</v>
      </c>
      <c r="F40" s="118">
        <f>+'MRS LIST'!I40</f>
        <v>16</v>
      </c>
      <c r="G40" s="119">
        <f>+'MRS LIST'!J40</f>
        <v>32</v>
      </c>
      <c r="H40" s="120"/>
    </row>
    <row r="41" spans="1:8" s="76" customFormat="1" ht="32.1" customHeight="1">
      <c r="A41" s="115">
        <f t="shared" si="0"/>
        <v>36</v>
      </c>
      <c r="B41" s="191" t="str">
        <f>+'MRS LIST'!B41</f>
        <v>Paint Scraper</v>
      </c>
      <c r="C41" s="192"/>
      <c r="D41" s="116" t="str">
        <f>+'MRS LIST'!G41</f>
        <v>Nos</v>
      </c>
      <c r="E41" s="117">
        <f>+'MRS LIST'!H41</f>
        <v>48</v>
      </c>
      <c r="F41" s="118">
        <f>+'MRS LIST'!I41</f>
        <v>1.6</v>
      </c>
      <c r="G41" s="119">
        <f>+'MRS LIST'!J41</f>
        <v>76.800000000000011</v>
      </c>
      <c r="H41" s="120"/>
    </row>
    <row r="42" spans="1:8" s="76" customFormat="1" ht="32.1" customHeight="1">
      <c r="A42" s="115">
        <f t="shared" si="0"/>
        <v>37</v>
      </c>
      <c r="B42" s="191" t="str">
        <f>+'MRS LIST'!B42</f>
        <v>Paint Scraper</v>
      </c>
      <c r="C42" s="192"/>
      <c r="D42" s="116" t="str">
        <f>+'MRS LIST'!G42</f>
        <v>Nos</v>
      </c>
      <c r="E42" s="117">
        <f>+'MRS LIST'!H42</f>
        <v>48</v>
      </c>
      <c r="F42" s="118">
        <f>+'MRS LIST'!I42</f>
        <v>1.8</v>
      </c>
      <c r="G42" s="119">
        <f>+'MRS LIST'!J42</f>
        <v>86.4</v>
      </c>
      <c r="H42" s="120"/>
    </row>
    <row r="43" spans="1:8" s="76" customFormat="1" ht="32.1" customHeight="1">
      <c r="A43" s="115">
        <f t="shared" si="0"/>
        <v>38</v>
      </c>
      <c r="B43" s="191" t="str">
        <f>+'MRS LIST'!B43</f>
        <v>Paint Scraper</v>
      </c>
      <c r="C43" s="192"/>
      <c r="D43" s="116" t="str">
        <f>+'MRS LIST'!G43</f>
        <v>Nos</v>
      </c>
      <c r="E43" s="117">
        <f>+'MRS LIST'!H43</f>
        <v>48</v>
      </c>
      <c r="F43" s="118">
        <f>+'MRS LIST'!I43</f>
        <v>2</v>
      </c>
      <c r="G43" s="119">
        <f>+'MRS LIST'!J43</f>
        <v>96</v>
      </c>
      <c r="H43" s="120"/>
    </row>
    <row r="44" spans="1:8" s="76" customFormat="1" ht="32.1" customHeight="1">
      <c r="A44" s="115">
        <f t="shared" si="0"/>
        <v>39</v>
      </c>
      <c r="B44" s="191" t="str">
        <f>+'MRS LIST'!B44</f>
        <v xml:space="preserve">Welding Tig Gloves </v>
      </c>
      <c r="C44" s="192"/>
      <c r="D44" s="116" t="str">
        <f>+'MRS LIST'!G44</f>
        <v>Pair</v>
      </c>
      <c r="E44" s="117">
        <f>+'MRS LIST'!H44</f>
        <v>360</v>
      </c>
      <c r="F44" s="118">
        <f>+'MRS LIST'!I44</f>
        <v>6.7</v>
      </c>
      <c r="G44" s="119">
        <f>+'MRS LIST'!J44</f>
        <v>2412</v>
      </c>
      <c r="H44" s="120"/>
    </row>
    <row r="45" spans="1:8" s="76" customFormat="1" ht="32.1" customHeight="1">
      <c r="A45" s="115">
        <f t="shared" si="0"/>
        <v>40</v>
      </c>
      <c r="B45" s="191" t="str">
        <f>+'MRS LIST'!B45</f>
        <v xml:space="preserve">Measuring Tape </v>
      </c>
      <c r="C45" s="192"/>
      <c r="D45" s="116" t="str">
        <f>+'MRS LIST'!G45</f>
        <v>Nos</v>
      </c>
      <c r="E45" s="117">
        <f>+'MRS LIST'!H45</f>
        <v>50</v>
      </c>
      <c r="F45" s="118">
        <f>+'MRS LIST'!I45</f>
        <v>5.5</v>
      </c>
      <c r="G45" s="119">
        <f>+'MRS LIST'!J45</f>
        <v>275</v>
      </c>
      <c r="H45" s="120"/>
    </row>
    <row r="46" spans="1:8" s="76" customFormat="1" ht="32.1" customHeight="1">
      <c r="A46" s="115">
        <f t="shared" si="0"/>
        <v>41</v>
      </c>
      <c r="B46" s="191" t="str">
        <f>+'MRS LIST'!B46</f>
        <v>Measuring Tape</v>
      </c>
      <c r="C46" s="192"/>
      <c r="D46" s="116" t="str">
        <f>+'MRS LIST'!G46</f>
        <v>Nos</v>
      </c>
      <c r="E46" s="117">
        <f>+'MRS LIST'!H46</f>
        <v>36</v>
      </c>
      <c r="F46" s="118">
        <f>+'MRS LIST'!I46</f>
        <v>7</v>
      </c>
      <c r="G46" s="119">
        <f>+'MRS LIST'!J46</f>
        <v>252</v>
      </c>
      <c r="H46" s="120"/>
    </row>
    <row r="47" spans="1:8" s="76" customFormat="1" ht="32.1" customHeight="1">
      <c r="A47" s="115">
        <f t="shared" si="0"/>
        <v>42</v>
      </c>
      <c r="B47" s="191" t="str">
        <f>+'MRS LIST'!B47</f>
        <v xml:space="preserve">Latex Half Coated Gloves </v>
      </c>
      <c r="C47" s="192"/>
      <c r="D47" s="116" t="str">
        <f>+'MRS LIST'!G47</f>
        <v>Pair</v>
      </c>
      <c r="E47" s="117">
        <f>+'MRS LIST'!H47</f>
        <v>6500</v>
      </c>
      <c r="F47" s="118">
        <f>+'MRS LIST'!I47</f>
        <v>1.3</v>
      </c>
      <c r="G47" s="119">
        <f>+'MRS LIST'!J47</f>
        <v>8450</v>
      </c>
      <c r="H47" s="120"/>
    </row>
    <row r="48" spans="1:8" s="76" customFormat="1" ht="32.1" customHeight="1">
      <c r="A48" s="115">
        <f t="shared" si="0"/>
        <v>43</v>
      </c>
      <c r="B48" s="191" t="str">
        <f>+'MRS LIST'!B48</f>
        <v xml:space="preserve">Carbide Burr Cone Shape </v>
      </c>
      <c r="C48" s="192"/>
      <c r="D48" s="116" t="str">
        <f>+'MRS LIST'!G48</f>
        <v>Nos</v>
      </c>
      <c r="E48" s="117">
        <f>+'MRS LIST'!H48</f>
        <v>100</v>
      </c>
      <c r="F48" s="118">
        <f>+'MRS LIST'!I48</f>
        <v>50</v>
      </c>
      <c r="G48" s="119">
        <f>+'MRS LIST'!J48</f>
        <v>5000</v>
      </c>
      <c r="H48" s="120"/>
    </row>
    <row r="49" spans="1:8" s="76" customFormat="1" ht="32.1" customHeight="1">
      <c r="A49" s="115">
        <f t="shared" si="0"/>
        <v>44</v>
      </c>
      <c r="B49" s="191" t="str">
        <f>+'MRS LIST'!B49</f>
        <v xml:space="preserve">Sledge Hammer </v>
      </c>
      <c r="C49" s="192"/>
      <c r="D49" s="116" t="str">
        <f>+'MRS LIST'!G49</f>
        <v>Nos</v>
      </c>
      <c r="E49" s="117">
        <f>+'MRS LIST'!H49</f>
        <v>30</v>
      </c>
      <c r="F49" s="118">
        <f>+'MRS LIST'!I49</f>
        <v>23.5</v>
      </c>
      <c r="G49" s="119">
        <f>+'MRS LIST'!J49</f>
        <v>705</v>
      </c>
      <c r="H49" s="120"/>
    </row>
    <row r="50" spans="1:8" s="76" customFormat="1" ht="32.1" customHeight="1">
      <c r="A50" s="115">
        <f t="shared" si="0"/>
        <v>45</v>
      </c>
      <c r="B50" s="191" t="str">
        <f>+'MRS LIST'!B50</f>
        <v xml:space="preserve">Rubber Hammer </v>
      </c>
      <c r="C50" s="192"/>
      <c r="D50" s="116" t="str">
        <f>+'MRS LIST'!G50</f>
        <v>Nos</v>
      </c>
      <c r="E50" s="117">
        <f>+'MRS LIST'!H50</f>
        <v>30</v>
      </c>
      <c r="F50" s="118">
        <f>+'MRS LIST'!I50</f>
        <v>21</v>
      </c>
      <c r="G50" s="119">
        <f>+'MRS LIST'!J50</f>
        <v>630</v>
      </c>
      <c r="H50" s="120"/>
    </row>
    <row r="51" spans="1:8" s="76" customFormat="1" ht="32.1" customHeight="1">
      <c r="A51" s="115">
        <f t="shared" si="0"/>
        <v>46</v>
      </c>
      <c r="B51" s="191" t="str">
        <f>+'MRS LIST'!B51</f>
        <v>Hand Wire Brush S/S</v>
      </c>
      <c r="C51" s="192"/>
      <c r="D51" s="116" t="str">
        <f>+'MRS LIST'!G51</f>
        <v>Nos</v>
      </c>
      <c r="E51" s="117">
        <f>+'MRS LIST'!H51</f>
        <v>60</v>
      </c>
      <c r="F51" s="118">
        <f>+'MRS LIST'!I51</f>
        <v>5.2</v>
      </c>
      <c r="G51" s="119">
        <f>+'MRS LIST'!J51</f>
        <v>312</v>
      </c>
      <c r="H51" s="120"/>
    </row>
    <row r="52" spans="1:8" s="76" customFormat="1" ht="32.1" customHeight="1">
      <c r="A52" s="115">
        <f t="shared" si="0"/>
        <v>47</v>
      </c>
      <c r="B52" s="191" t="str">
        <f>+'MRS LIST'!B52</f>
        <v xml:space="preserve">Drill Bit HSS Cobalt (S/S) </v>
      </c>
      <c r="C52" s="192"/>
      <c r="D52" s="116" t="str">
        <f>+'MRS LIST'!G52</f>
        <v>Nos</v>
      </c>
      <c r="E52" s="117">
        <f>+'MRS LIST'!H52</f>
        <v>50</v>
      </c>
      <c r="F52" s="118">
        <f>+'MRS LIST'!I52</f>
        <v>8</v>
      </c>
      <c r="G52" s="119">
        <f>+'MRS LIST'!J52</f>
        <v>400</v>
      </c>
      <c r="H52" s="120"/>
    </row>
    <row r="53" spans="1:8" s="76" customFormat="1" ht="32.1" customHeight="1">
      <c r="A53" s="115">
        <f t="shared" si="0"/>
        <v>48</v>
      </c>
      <c r="B53" s="191" t="str">
        <f>+'MRS LIST'!B53</f>
        <v xml:space="preserve">Drill Bit HSS Cobalt (S/S) </v>
      </c>
      <c r="C53" s="192"/>
      <c r="D53" s="116" t="str">
        <f>+'MRS LIST'!G53</f>
        <v>Nos</v>
      </c>
      <c r="E53" s="117">
        <f>+'MRS LIST'!H53</f>
        <v>50</v>
      </c>
      <c r="F53" s="118">
        <f>+'MRS LIST'!I53</f>
        <v>5</v>
      </c>
      <c r="G53" s="119">
        <f>+'MRS LIST'!J53</f>
        <v>250</v>
      </c>
      <c r="H53" s="120"/>
    </row>
    <row r="54" spans="1:8" s="76" customFormat="1" ht="32.1" customHeight="1">
      <c r="A54" s="115">
        <f t="shared" si="0"/>
        <v>49</v>
      </c>
      <c r="B54" s="191" t="str">
        <f>+'MRS LIST'!B54</f>
        <v xml:space="preserve">Acetone </v>
      </c>
      <c r="C54" s="192"/>
      <c r="D54" s="116" t="str">
        <f>+'MRS LIST'!G54</f>
        <v>Nos</v>
      </c>
      <c r="E54" s="117">
        <f>+'MRS LIST'!H54</f>
        <v>10</v>
      </c>
      <c r="F54" s="118">
        <f>+'MRS LIST'!I54</f>
        <v>104</v>
      </c>
      <c r="G54" s="119">
        <f>+'MRS LIST'!J54</f>
        <v>1040</v>
      </c>
      <c r="H54" s="120"/>
    </row>
    <row r="55" spans="1:8" s="76" customFormat="1" ht="32.1" customHeight="1">
      <c r="A55" s="115">
        <f t="shared" si="0"/>
        <v>50</v>
      </c>
      <c r="B55" s="191" t="str">
        <f>+'MRS LIST'!B55</f>
        <v xml:space="preserve">Inverter ARC Welding Machine </v>
      </c>
      <c r="C55" s="192"/>
      <c r="D55" s="116" t="str">
        <f>+'MRS LIST'!G55</f>
        <v>Set</v>
      </c>
      <c r="E55" s="117">
        <f>+'MRS LIST'!H55</f>
        <v>15</v>
      </c>
      <c r="F55" s="118">
        <f>+'MRS LIST'!I55</f>
        <v>1240</v>
      </c>
      <c r="G55" s="119">
        <f>+'MRS LIST'!J55</f>
        <v>18600</v>
      </c>
      <c r="H55" s="120"/>
    </row>
    <row r="56" spans="1:8" s="76" customFormat="1" ht="32.1" customHeight="1">
      <c r="A56" s="115">
        <f t="shared" si="0"/>
        <v>51</v>
      </c>
      <c r="B56" s="191" t="str">
        <f>+'MRS LIST'!B56</f>
        <v xml:space="preserve">Angle Grinder </v>
      </c>
      <c r="C56" s="192"/>
      <c r="D56" s="116" t="str">
        <f>+'MRS LIST'!G56</f>
        <v>Nos</v>
      </c>
      <c r="E56" s="117">
        <f>+'MRS LIST'!H56</f>
        <v>15</v>
      </c>
      <c r="F56" s="118">
        <f>+'MRS LIST'!I56</f>
        <v>320</v>
      </c>
      <c r="G56" s="119">
        <f>+'MRS LIST'!J56</f>
        <v>4800</v>
      </c>
      <c r="H56" s="120"/>
    </row>
    <row r="57" spans="1:8" s="76" customFormat="1" ht="32.1" customHeight="1">
      <c r="A57" s="115">
        <f t="shared" si="0"/>
        <v>52</v>
      </c>
      <c r="B57" s="191" t="str">
        <f>+'MRS LIST'!B57</f>
        <v>Deep Impact Socket</v>
      </c>
      <c r="C57" s="192"/>
      <c r="D57" s="116" t="str">
        <f>+'MRS LIST'!G57</f>
        <v>Nos</v>
      </c>
      <c r="E57" s="117">
        <f>+'MRS LIST'!H57</f>
        <v>20</v>
      </c>
      <c r="F57" s="118">
        <f>+'MRS LIST'!I57</f>
        <v>36</v>
      </c>
      <c r="G57" s="119">
        <f>+'MRS LIST'!J57</f>
        <v>720</v>
      </c>
      <c r="H57" s="120"/>
    </row>
    <row r="58" spans="1:8" s="76" customFormat="1" ht="32.1" customHeight="1">
      <c r="A58" s="115">
        <f t="shared" si="0"/>
        <v>53</v>
      </c>
      <c r="B58" s="191" t="str">
        <f>+'MRS LIST'!B58</f>
        <v>Adjustable Wrench</v>
      </c>
      <c r="C58" s="192"/>
      <c r="D58" s="116" t="str">
        <f>+'MRS LIST'!G58</f>
        <v>Nos</v>
      </c>
      <c r="E58" s="117">
        <f>+'MRS LIST'!H58</f>
        <v>10</v>
      </c>
      <c r="F58" s="118">
        <f>+'MRS LIST'!I58</f>
        <v>54</v>
      </c>
      <c r="G58" s="119">
        <f>+'MRS LIST'!J58</f>
        <v>540</v>
      </c>
      <c r="H58" s="120"/>
    </row>
    <row r="59" spans="1:8" s="76" customFormat="1" ht="32.1" customHeight="1">
      <c r="A59" s="115">
        <f t="shared" si="0"/>
        <v>54</v>
      </c>
      <c r="B59" s="191" t="str">
        <f>+'MRS LIST'!B59</f>
        <v>Gear Oil</v>
      </c>
      <c r="C59" s="192"/>
      <c r="D59" s="116" t="str">
        <f>+'MRS LIST'!G59</f>
        <v>Nos</v>
      </c>
      <c r="E59" s="117">
        <f>+'MRS LIST'!H59</f>
        <v>1</v>
      </c>
      <c r="F59" s="118">
        <f>+'MRS LIST'!I59</f>
        <v>403</v>
      </c>
      <c r="G59" s="119">
        <f>+'MRS LIST'!J59</f>
        <v>403</v>
      </c>
      <c r="H59" s="120"/>
    </row>
    <row r="60" spans="1:8" s="76" customFormat="1" ht="32.1" customHeight="1">
      <c r="A60" s="115">
        <f t="shared" si="0"/>
        <v>55</v>
      </c>
      <c r="B60" s="191" t="str">
        <f>+'MRS LIST'!B60</f>
        <v xml:space="preserve">Grease </v>
      </c>
      <c r="C60" s="192"/>
      <c r="D60" s="116" t="str">
        <f>+'MRS LIST'!G60</f>
        <v>Nos</v>
      </c>
      <c r="E60" s="117">
        <f>+'MRS LIST'!H60</f>
        <v>1</v>
      </c>
      <c r="F60" s="118">
        <f>+'MRS LIST'!I60</f>
        <v>164</v>
      </c>
      <c r="G60" s="119">
        <f>+'MRS LIST'!J60</f>
        <v>164</v>
      </c>
      <c r="H60" s="120"/>
    </row>
    <row r="61" spans="1:8" s="76" customFormat="1" ht="32.1" customHeight="1">
      <c r="A61" s="115">
        <f t="shared" si="0"/>
        <v>56</v>
      </c>
      <c r="B61" s="191" t="str">
        <f>+'MRS LIST'!B61</f>
        <v>Silicon Sealant White</v>
      </c>
      <c r="C61" s="192"/>
      <c r="D61" s="116" t="str">
        <f>+'MRS LIST'!G61</f>
        <v>Nos</v>
      </c>
      <c r="E61" s="117">
        <f>+'MRS LIST'!H61</f>
        <v>240</v>
      </c>
      <c r="F61" s="118">
        <f>+'MRS LIST'!I61</f>
        <v>3.6</v>
      </c>
      <c r="G61" s="119">
        <f>+'MRS LIST'!J61</f>
        <v>864</v>
      </c>
      <c r="H61" s="120"/>
    </row>
    <row r="62" spans="1:8" s="76" customFormat="1" ht="32.1" customHeight="1">
      <c r="A62" s="115">
        <f t="shared" si="0"/>
        <v>57</v>
      </c>
      <c r="B62" s="191" t="str">
        <f>+'MRS LIST'!B62</f>
        <v xml:space="preserve">Screw Driver Flat </v>
      </c>
      <c r="C62" s="192"/>
      <c r="D62" s="116" t="str">
        <f>+'MRS LIST'!G62</f>
        <v>Nos</v>
      </c>
      <c r="E62" s="117">
        <f>+'MRS LIST'!H62</f>
        <v>50</v>
      </c>
      <c r="F62" s="118">
        <f>+'MRS LIST'!I62</f>
        <v>9</v>
      </c>
      <c r="G62" s="119">
        <f>+'MRS LIST'!J62</f>
        <v>450</v>
      </c>
      <c r="H62" s="120"/>
    </row>
    <row r="63" spans="1:8" s="76" customFormat="1" ht="32.1" customHeight="1">
      <c r="A63" s="115">
        <f t="shared" si="0"/>
        <v>58</v>
      </c>
      <c r="B63" s="191" t="str">
        <f>+'MRS LIST'!B63</f>
        <v>Disposable Coverall</v>
      </c>
      <c r="C63" s="192"/>
      <c r="D63" s="116" t="str">
        <f>+'MRS LIST'!G63</f>
        <v>Nos</v>
      </c>
      <c r="E63" s="117">
        <f>+'MRS LIST'!H63</f>
        <v>700</v>
      </c>
      <c r="F63" s="118">
        <f>+'MRS LIST'!I63</f>
        <v>4</v>
      </c>
      <c r="G63" s="119">
        <f>+'MRS LIST'!J63</f>
        <v>2800</v>
      </c>
      <c r="H63" s="120"/>
    </row>
    <row r="64" spans="1:8" s="76" customFormat="1" ht="32.1" customHeight="1">
      <c r="A64" s="115">
        <f t="shared" si="0"/>
        <v>59</v>
      </c>
      <c r="B64" s="191" t="str">
        <f>+'MRS LIST'!B64</f>
        <v>Combination Spanner</v>
      </c>
      <c r="C64" s="192"/>
      <c r="D64" s="116" t="str">
        <f>+'MRS LIST'!G64</f>
        <v>Nos</v>
      </c>
      <c r="E64" s="117">
        <f>+'MRS LIST'!H64</f>
        <v>25</v>
      </c>
      <c r="F64" s="118">
        <f>+'MRS LIST'!I64</f>
        <v>9</v>
      </c>
      <c r="G64" s="119">
        <f>+'MRS LIST'!J64</f>
        <v>225</v>
      </c>
      <c r="H64" s="120"/>
    </row>
    <row r="65" spans="1:8" s="76" customFormat="1" ht="32.1" customHeight="1">
      <c r="A65" s="115">
        <f t="shared" si="0"/>
        <v>60</v>
      </c>
      <c r="B65" s="191" t="str">
        <f>+'MRS LIST'!B65</f>
        <v xml:space="preserve">Combination Spanner </v>
      </c>
      <c r="C65" s="192"/>
      <c r="D65" s="116" t="str">
        <f>+'MRS LIST'!G65</f>
        <v>Nos</v>
      </c>
      <c r="E65" s="117">
        <f>+'MRS LIST'!H65</f>
        <v>25</v>
      </c>
      <c r="F65" s="118">
        <f>+'MRS LIST'!I65</f>
        <v>10</v>
      </c>
      <c r="G65" s="119">
        <f>+'MRS LIST'!J65</f>
        <v>250</v>
      </c>
      <c r="H65" s="120"/>
    </row>
    <row r="66" spans="1:8" s="76" customFormat="1" ht="32.1" customHeight="1">
      <c r="A66" s="115">
        <f t="shared" si="0"/>
        <v>61</v>
      </c>
      <c r="B66" s="191" t="str">
        <f>+'MRS LIST'!B66</f>
        <v>Combination Spanner</v>
      </c>
      <c r="C66" s="192"/>
      <c r="D66" s="116" t="str">
        <f>+'MRS LIST'!G66</f>
        <v>Nos</v>
      </c>
      <c r="E66" s="117">
        <f>+'MRS LIST'!H66</f>
        <v>25</v>
      </c>
      <c r="F66" s="118">
        <f>+'MRS LIST'!I66</f>
        <v>11</v>
      </c>
      <c r="G66" s="119">
        <f>+'MRS LIST'!J66</f>
        <v>275</v>
      </c>
      <c r="H66" s="120"/>
    </row>
    <row r="67" spans="1:8" s="76" customFormat="1" ht="32.1" customHeight="1">
      <c r="A67" s="115">
        <f t="shared" si="0"/>
        <v>62</v>
      </c>
      <c r="B67" s="191" t="str">
        <f>+'MRS LIST'!B67</f>
        <v>Combination Spanner</v>
      </c>
      <c r="C67" s="192"/>
      <c r="D67" s="116" t="str">
        <f>+'MRS LIST'!G67</f>
        <v>Nos</v>
      </c>
      <c r="E67" s="117">
        <f>+'MRS LIST'!H67</f>
        <v>25</v>
      </c>
      <c r="F67" s="118">
        <f>+'MRS LIST'!I67</f>
        <v>12</v>
      </c>
      <c r="G67" s="119">
        <f>+'MRS LIST'!J67</f>
        <v>300</v>
      </c>
      <c r="H67" s="120"/>
    </row>
    <row r="68" spans="1:8" s="76" customFormat="1" ht="32.1" customHeight="1">
      <c r="A68" s="115">
        <f t="shared" si="0"/>
        <v>63</v>
      </c>
      <c r="B68" s="191" t="str">
        <f>+'MRS LIST'!B68</f>
        <v xml:space="preserve">Combination Spanner </v>
      </c>
      <c r="C68" s="192"/>
      <c r="D68" s="116" t="str">
        <f>+'MRS LIST'!G68</f>
        <v>Nos</v>
      </c>
      <c r="E68" s="117">
        <f>+'MRS LIST'!H68</f>
        <v>25</v>
      </c>
      <c r="F68" s="118">
        <f>+'MRS LIST'!I68</f>
        <v>13</v>
      </c>
      <c r="G68" s="119">
        <f>+'MRS LIST'!J68</f>
        <v>325</v>
      </c>
      <c r="H68" s="120"/>
    </row>
    <row r="69" spans="1:8" s="76" customFormat="1" ht="32.1" customHeight="1">
      <c r="A69" s="115">
        <f t="shared" si="0"/>
        <v>64</v>
      </c>
      <c r="B69" s="191" t="str">
        <f>+'MRS LIST'!B69</f>
        <v>Combination Spanner</v>
      </c>
      <c r="C69" s="192"/>
      <c r="D69" s="116" t="str">
        <f>+'MRS LIST'!G69</f>
        <v>Nos</v>
      </c>
      <c r="E69" s="117">
        <f>+'MRS LIST'!H69</f>
        <v>25</v>
      </c>
      <c r="F69" s="118">
        <f>+'MRS LIST'!I69</f>
        <v>14</v>
      </c>
      <c r="G69" s="119">
        <f>+'MRS LIST'!J69</f>
        <v>350</v>
      </c>
      <c r="H69" s="120"/>
    </row>
    <row r="70" spans="1:8" s="76" customFormat="1" ht="32.1" customHeight="1">
      <c r="A70" s="115">
        <f t="shared" si="0"/>
        <v>65</v>
      </c>
      <c r="B70" s="191" t="str">
        <f>+'MRS LIST'!B70</f>
        <v xml:space="preserve">Rubber Gloves XL </v>
      </c>
      <c r="C70" s="192"/>
      <c r="D70" s="116" t="str">
        <f>+'MRS LIST'!G70</f>
        <v>Pair</v>
      </c>
      <c r="E70" s="117">
        <f>+'MRS LIST'!H70</f>
        <v>200</v>
      </c>
      <c r="F70" s="118">
        <f>+'MRS LIST'!I70</f>
        <v>2.2999999999999998</v>
      </c>
      <c r="G70" s="119">
        <f>+'MRS LIST'!J70</f>
        <v>459.99999999999994</v>
      </c>
      <c r="H70" s="120"/>
    </row>
    <row r="71" spans="1:8" s="76" customFormat="1" ht="32.1" customHeight="1">
      <c r="A71" s="115">
        <f t="shared" si="0"/>
        <v>66</v>
      </c>
      <c r="B71" s="191" t="str">
        <f>+'MRS LIST'!B71</f>
        <v>CS NIPPLE</v>
      </c>
      <c r="C71" s="192"/>
      <c r="D71" s="116" t="str">
        <f>+'MRS LIST'!G71</f>
        <v>Nos</v>
      </c>
      <c r="E71" s="117">
        <f>+'MRS LIST'!H71</f>
        <v>2</v>
      </c>
      <c r="F71" s="118">
        <f>+'MRS LIST'!I71</f>
        <v>22</v>
      </c>
      <c r="G71" s="119">
        <f>+'MRS LIST'!J71</f>
        <v>44</v>
      </c>
      <c r="H71" s="120"/>
    </row>
    <row r="72" spans="1:8" s="76" customFormat="1" ht="32.1" customHeight="1">
      <c r="A72" s="115">
        <f t="shared" si="0"/>
        <v>67</v>
      </c>
      <c r="B72" s="191" t="str">
        <f>+'MRS LIST'!B72</f>
        <v>CS FULL COUPLING</v>
      </c>
      <c r="C72" s="192"/>
      <c r="D72" s="116" t="str">
        <f>+'MRS LIST'!G72</f>
        <v>Nos</v>
      </c>
      <c r="E72" s="117">
        <f>+'MRS LIST'!H72</f>
        <v>1</v>
      </c>
      <c r="F72" s="118">
        <f>+'MRS LIST'!I72</f>
        <v>15</v>
      </c>
      <c r="G72" s="119">
        <f>+'MRS LIST'!J72</f>
        <v>15</v>
      </c>
      <c r="H72" s="120"/>
    </row>
    <row r="73" spans="1:8" s="76" customFormat="1" ht="32.1" customHeight="1">
      <c r="A73" s="115">
        <f t="shared" si="0"/>
        <v>68</v>
      </c>
      <c r="B73" s="191" t="str">
        <f>+'MRS LIST'!B73</f>
        <v xml:space="preserve">High Pressure Hose </v>
      </c>
      <c r="C73" s="192"/>
      <c r="D73" s="116" t="str">
        <f>+'MRS LIST'!G73</f>
        <v>Nos</v>
      </c>
      <c r="E73" s="117">
        <f>+'MRS LIST'!H73</f>
        <v>6</v>
      </c>
      <c r="F73" s="118">
        <f>+'MRS LIST'!I73</f>
        <v>850</v>
      </c>
      <c r="G73" s="119">
        <f>+'MRS LIST'!J73</f>
        <v>5100</v>
      </c>
      <c r="H73" s="120"/>
    </row>
    <row r="74" spans="1:8" s="76" customFormat="1" ht="32.1" customHeight="1">
      <c r="A74" s="115">
        <f t="shared" si="0"/>
        <v>69</v>
      </c>
      <c r="B74" s="191" t="str">
        <f>+'MRS LIST'!B74</f>
        <v xml:space="preserve">Infrared Thermometer </v>
      </c>
      <c r="C74" s="192"/>
      <c r="D74" s="116" t="str">
        <f>+'MRS LIST'!G74</f>
        <v>Nos</v>
      </c>
      <c r="E74" s="117">
        <f>+'MRS LIST'!H74</f>
        <v>1</v>
      </c>
      <c r="F74" s="118">
        <f>+'MRS LIST'!I74</f>
        <v>460</v>
      </c>
      <c r="G74" s="119">
        <f>+'MRS LIST'!J74</f>
        <v>460</v>
      </c>
      <c r="H74" s="120"/>
    </row>
    <row r="75" spans="1:8" s="76" customFormat="1" ht="32.1" customHeight="1">
      <c r="A75" s="115">
        <f t="shared" si="0"/>
        <v>70</v>
      </c>
      <c r="B75" s="191" t="str">
        <f>+'MRS LIST'!B75</f>
        <v>Screw Driver T-Series VDE Insulated</v>
      </c>
      <c r="C75" s="192"/>
      <c r="D75" s="116" t="str">
        <f>+'MRS LIST'!G75</f>
        <v>Nos</v>
      </c>
      <c r="E75" s="117">
        <f>+'MRS LIST'!H75</f>
        <v>5</v>
      </c>
      <c r="F75" s="118">
        <f>+'MRS LIST'!I75</f>
        <v>88</v>
      </c>
      <c r="G75" s="119">
        <f>+'MRS LIST'!J75</f>
        <v>440</v>
      </c>
      <c r="H75" s="120"/>
    </row>
    <row r="76" spans="1:8" s="76" customFormat="1" ht="32.1" customHeight="1">
      <c r="A76" s="115">
        <f t="shared" si="0"/>
        <v>71</v>
      </c>
      <c r="B76" s="191" t="str">
        <f>+'MRS LIST'!B76</f>
        <v xml:space="preserve">Drill Machine </v>
      </c>
      <c r="C76" s="192"/>
      <c r="D76" s="116" t="str">
        <f>+'MRS LIST'!G76</f>
        <v>Nos</v>
      </c>
      <c r="E76" s="117">
        <f>+'MRS LIST'!H76</f>
        <v>7</v>
      </c>
      <c r="F76" s="118">
        <f>+'MRS LIST'!I76</f>
        <v>210</v>
      </c>
      <c r="G76" s="119">
        <f>+'MRS LIST'!J76</f>
        <v>1470</v>
      </c>
      <c r="H76" s="120"/>
    </row>
    <row r="77" spans="1:8" s="76" customFormat="1" ht="32.1" customHeight="1">
      <c r="A77" s="115">
        <f t="shared" si="0"/>
        <v>72</v>
      </c>
      <c r="B77" s="191" t="str">
        <f>+'MRS LIST'!B77</f>
        <v xml:space="preserve">PVC Transparent Y-Strainer </v>
      </c>
      <c r="C77" s="192"/>
      <c r="D77" s="116" t="str">
        <f>+'MRS LIST'!G77</f>
        <v>Nos</v>
      </c>
      <c r="E77" s="117">
        <f>+'MRS LIST'!H77</f>
        <v>2</v>
      </c>
      <c r="F77" s="118">
        <f>+'MRS LIST'!I77</f>
        <v>615</v>
      </c>
      <c r="G77" s="119">
        <f>+'MRS LIST'!J77</f>
        <v>1230</v>
      </c>
      <c r="H77" s="120"/>
    </row>
    <row r="78" spans="1:8" s="76" customFormat="1" ht="32.1" customHeight="1">
      <c r="A78" s="115">
        <f t="shared" si="0"/>
        <v>73</v>
      </c>
      <c r="B78" s="191" t="str">
        <f>+'MRS LIST'!B78</f>
        <v>PVC Union</v>
      </c>
      <c r="C78" s="192"/>
      <c r="D78" s="116" t="str">
        <f>+'MRS LIST'!G78</f>
        <v>Nos</v>
      </c>
      <c r="E78" s="117">
        <f>+'MRS LIST'!H78</f>
        <v>1</v>
      </c>
      <c r="F78" s="118">
        <f>+'MRS LIST'!I78</f>
        <v>7</v>
      </c>
      <c r="G78" s="119">
        <f>+'MRS LIST'!J78</f>
        <v>7</v>
      </c>
      <c r="H78" s="120"/>
    </row>
    <row r="79" spans="1:8" s="76" customFormat="1" ht="32.1" customHeight="1">
      <c r="A79" s="115">
        <f t="shared" si="0"/>
        <v>74</v>
      </c>
      <c r="B79" s="191" t="str">
        <f>+'MRS LIST'!B79</f>
        <v xml:space="preserve">PVC Union </v>
      </c>
      <c r="C79" s="192"/>
      <c r="D79" s="116" t="str">
        <f>+'MRS LIST'!G79</f>
        <v>Nos</v>
      </c>
      <c r="E79" s="117">
        <f>+'MRS LIST'!H79</f>
        <v>1</v>
      </c>
      <c r="F79" s="118">
        <f>+'MRS LIST'!I79</f>
        <v>10.5</v>
      </c>
      <c r="G79" s="119">
        <f>+'MRS LIST'!J79</f>
        <v>10.5</v>
      </c>
      <c r="H79" s="120"/>
    </row>
    <row r="80" spans="1:8" s="76" customFormat="1" ht="32.1" customHeight="1">
      <c r="A80" s="115">
        <f t="shared" si="0"/>
        <v>75</v>
      </c>
      <c r="B80" s="191" t="str">
        <f>+'MRS LIST'!B80</f>
        <v xml:space="preserve">Angle Grinder </v>
      </c>
      <c r="C80" s="192"/>
      <c r="D80" s="116" t="str">
        <f>+'MRS LIST'!G80</f>
        <v>Nos</v>
      </c>
      <c r="E80" s="117">
        <f>+'MRS LIST'!H80</f>
        <v>1</v>
      </c>
      <c r="F80" s="118">
        <f>+'MRS LIST'!I80</f>
        <v>320</v>
      </c>
      <c r="G80" s="119">
        <f>+'MRS LIST'!J80</f>
        <v>320</v>
      </c>
      <c r="H80" s="120"/>
    </row>
    <row r="81" spans="1:8" s="76" customFormat="1" ht="32.1" customHeight="1">
      <c r="A81" s="115">
        <f t="shared" si="0"/>
        <v>76</v>
      </c>
      <c r="B81" s="191" t="str">
        <f>+'MRS LIST'!B81</f>
        <v xml:space="preserve">Cordless Angle Grinder </v>
      </c>
      <c r="C81" s="192"/>
      <c r="D81" s="116" t="str">
        <f>+'MRS LIST'!G81</f>
        <v>Nos</v>
      </c>
      <c r="E81" s="117">
        <f>+'MRS LIST'!H81</f>
        <v>1</v>
      </c>
      <c r="F81" s="118">
        <f>+'MRS LIST'!I81</f>
        <v>1530</v>
      </c>
      <c r="G81" s="119">
        <f>+'MRS LIST'!J81</f>
        <v>1530</v>
      </c>
      <c r="H81" s="120"/>
    </row>
    <row r="82" spans="1:8" s="76" customFormat="1" ht="32.1" customHeight="1">
      <c r="A82" s="115">
        <f t="shared" si="0"/>
        <v>77</v>
      </c>
      <c r="B82" s="191" t="str">
        <f>+'MRS LIST'!B82</f>
        <v xml:space="preserve">Magnetic Drill Machine </v>
      </c>
      <c r="C82" s="192"/>
      <c r="D82" s="116" t="str">
        <f>+'MRS LIST'!G82</f>
        <v>Nos</v>
      </c>
      <c r="E82" s="117">
        <f>+'MRS LIST'!H82</f>
        <v>1</v>
      </c>
      <c r="F82" s="118">
        <f>+'MRS LIST'!I82</f>
        <v>6700</v>
      </c>
      <c r="G82" s="119">
        <f>+'MRS LIST'!J82</f>
        <v>6700</v>
      </c>
      <c r="H82" s="120"/>
    </row>
    <row r="83" spans="1:8" s="76" customFormat="1" ht="32.1" customHeight="1">
      <c r="A83" s="115">
        <f t="shared" si="0"/>
        <v>78</v>
      </c>
      <c r="B83" s="191" t="str">
        <f>+'MRS LIST'!B83</f>
        <v>Die Grinder</v>
      </c>
      <c r="C83" s="192"/>
      <c r="D83" s="116" t="str">
        <f>+'MRS LIST'!G83</f>
        <v>Nos</v>
      </c>
      <c r="E83" s="117">
        <f>+'MRS LIST'!H83</f>
        <v>10</v>
      </c>
      <c r="F83" s="118">
        <f>+'MRS LIST'!I83</f>
        <v>420</v>
      </c>
      <c r="G83" s="119">
        <f>+'MRS LIST'!J83</f>
        <v>4200</v>
      </c>
      <c r="H83" s="120"/>
    </row>
    <row r="84" spans="1:8" s="76" customFormat="1" ht="32.1" customHeight="1">
      <c r="A84" s="115">
        <f t="shared" si="0"/>
        <v>79</v>
      </c>
      <c r="B84" s="191" t="str">
        <f>+'MRS LIST'!B84</f>
        <v>Neon Line Tester</v>
      </c>
      <c r="C84" s="192"/>
      <c r="D84" s="116" t="str">
        <f>+'MRS LIST'!G84</f>
        <v>Nos</v>
      </c>
      <c r="E84" s="117">
        <f>+'MRS LIST'!H84</f>
        <v>5</v>
      </c>
      <c r="F84" s="118">
        <f>+'MRS LIST'!I84</f>
        <v>2.5</v>
      </c>
      <c r="G84" s="119">
        <f>+'MRS LIST'!J84</f>
        <v>12.5</v>
      </c>
      <c r="H84" s="120"/>
    </row>
    <row r="85" spans="1:8" s="76" customFormat="1" ht="32.1" customHeight="1">
      <c r="A85" s="115">
        <f t="shared" si="0"/>
        <v>80</v>
      </c>
      <c r="B85" s="191" t="str">
        <f>+'MRS LIST'!B85</f>
        <v xml:space="preserve">Warning Tape </v>
      </c>
      <c r="C85" s="192"/>
      <c r="D85" s="116" t="str">
        <f>+'MRS LIST'!G85</f>
        <v>Nos</v>
      </c>
      <c r="E85" s="117">
        <f>+'MRS LIST'!H85</f>
        <v>50</v>
      </c>
      <c r="F85" s="118">
        <f>+'MRS LIST'!I85</f>
        <v>3.1</v>
      </c>
      <c r="G85" s="119">
        <f>+'MRS LIST'!J85</f>
        <v>155</v>
      </c>
      <c r="H85" s="120"/>
    </row>
    <row r="86" spans="1:8" s="76" customFormat="1" ht="32.1" customHeight="1">
      <c r="A86" s="115">
        <f t="shared" si="0"/>
        <v>81</v>
      </c>
      <c r="B86" s="191" t="str">
        <f>+'MRS LIST'!B86</f>
        <v>Cutting Disc S/S</v>
      </c>
      <c r="C86" s="192"/>
      <c r="D86" s="116" t="str">
        <f>+'MRS LIST'!G86</f>
        <v>Nos</v>
      </c>
      <c r="E86" s="117">
        <f>+'MRS LIST'!H86</f>
        <v>2000</v>
      </c>
      <c r="F86" s="118">
        <f>+'MRS LIST'!I86</f>
        <v>1.3</v>
      </c>
      <c r="G86" s="119">
        <f>+'MRS LIST'!J86</f>
        <v>2600</v>
      </c>
      <c r="H86" s="120"/>
    </row>
    <row r="87" spans="1:8" s="76" customFormat="1" ht="32.1" customHeight="1">
      <c r="A87" s="115">
        <f t="shared" si="0"/>
        <v>82</v>
      </c>
      <c r="B87" s="191" t="str">
        <f>+'MRS LIST'!B87</f>
        <v xml:space="preserve">Cutting Disc S/S </v>
      </c>
      <c r="C87" s="192"/>
      <c r="D87" s="116" t="str">
        <f>+'MRS LIST'!G87</f>
        <v>Nos</v>
      </c>
      <c r="E87" s="117">
        <f>+'MRS LIST'!H87</f>
        <v>400</v>
      </c>
      <c r="F87" s="118">
        <f>+'MRS LIST'!I87</f>
        <v>2.1</v>
      </c>
      <c r="G87" s="119">
        <f>+'MRS LIST'!J87</f>
        <v>840</v>
      </c>
      <c r="H87" s="120"/>
    </row>
    <row r="88" spans="1:8" s="76" customFormat="1" ht="32.1" customHeight="1">
      <c r="A88" s="115">
        <f t="shared" si="0"/>
        <v>83</v>
      </c>
      <c r="B88" s="191" t="str">
        <f>+'MRS LIST'!B88</f>
        <v>Grinding Disc S/S</v>
      </c>
      <c r="C88" s="192"/>
      <c r="D88" s="116" t="str">
        <f>+'MRS LIST'!G88</f>
        <v>Nos</v>
      </c>
      <c r="E88" s="117">
        <f>+'MRS LIST'!H88</f>
        <v>400</v>
      </c>
      <c r="F88" s="118">
        <f>+'MRS LIST'!I88</f>
        <v>2.5</v>
      </c>
      <c r="G88" s="119">
        <f>+'MRS LIST'!J88</f>
        <v>1000</v>
      </c>
      <c r="H88" s="120"/>
    </row>
    <row r="89" spans="1:8" s="76" customFormat="1" ht="32.1" customHeight="1">
      <c r="A89" s="115">
        <f t="shared" si="0"/>
        <v>84</v>
      </c>
      <c r="B89" s="191" t="str">
        <f>+'MRS LIST'!B89</f>
        <v>Flap Disc C/S</v>
      </c>
      <c r="C89" s="192"/>
      <c r="D89" s="116" t="str">
        <f>+'MRS LIST'!G89</f>
        <v>Nos</v>
      </c>
      <c r="E89" s="117">
        <f>+'MRS LIST'!H89</f>
        <v>2000</v>
      </c>
      <c r="F89" s="118">
        <f>+'MRS LIST'!I89</f>
        <v>2.2999999999999998</v>
      </c>
      <c r="G89" s="119">
        <f>+'MRS LIST'!J89</f>
        <v>4600</v>
      </c>
      <c r="H89" s="120"/>
    </row>
    <row r="90" spans="1:8" s="76" customFormat="1" ht="32.1" customHeight="1">
      <c r="A90" s="115">
        <f t="shared" si="0"/>
        <v>85</v>
      </c>
      <c r="B90" s="191" t="str">
        <f>+'MRS LIST'!B90</f>
        <v xml:space="preserve">Flap Wheel S/S </v>
      </c>
      <c r="C90" s="192"/>
      <c r="D90" s="116" t="str">
        <f>+'MRS LIST'!G90</f>
        <v>Nos</v>
      </c>
      <c r="E90" s="117">
        <f>+'MRS LIST'!H90</f>
        <v>300</v>
      </c>
      <c r="F90" s="118">
        <f>+'MRS LIST'!I90</f>
        <v>7</v>
      </c>
      <c r="G90" s="119">
        <f>+'MRS LIST'!J90</f>
        <v>2100</v>
      </c>
      <c r="H90" s="120"/>
    </row>
    <row r="91" spans="1:8" s="76" customFormat="1" ht="32.1" customHeight="1">
      <c r="A91" s="115">
        <f t="shared" si="0"/>
        <v>86</v>
      </c>
      <c r="B91" s="191" t="str">
        <f>+'MRS LIST'!B91</f>
        <v>Low Chloride Paint Marker</v>
      </c>
      <c r="C91" s="192"/>
      <c r="D91" s="116" t="str">
        <f>+'MRS LIST'!G91</f>
        <v>Nos</v>
      </c>
      <c r="E91" s="117">
        <f>+'MRS LIST'!H91</f>
        <v>240</v>
      </c>
      <c r="F91" s="118">
        <f>+'MRS LIST'!I91</f>
        <v>12.8</v>
      </c>
      <c r="G91" s="119">
        <f>+'MRS LIST'!J91</f>
        <v>3072</v>
      </c>
      <c r="H91" s="120"/>
    </row>
    <row r="92" spans="1:8" s="76" customFormat="1" ht="32.1" customHeight="1">
      <c r="A92" s="115">
        <f t="shared" si="0"/>
        <v>87</v>
      </c>
      <c r="B92" s="191" t="str">
        <f>+'MRS LIST'!B92</f>
        <v xml:space="preserve">Electric Insulation </v>
      </c>
      <c r="C92" s="192"/>
      <c r="D92" s="116" t="str">
        <f>+'MRS LIST'!G92</f>
        <v>Nos</v>
      </c>
      <c r="E92" s="117">
        <f>+'MRS LIST'!H92</f>
        <v>300</v>
      </c>
      <c r="F92" s="118">
        <f>+'MRS LIST'!I92</f>
        <v>2</v>
      </c>
      <c r="G92" s="119">
        <f>+'MRS LIST'!J92</f>
        <v>600</v>
      </c>
      <c r="H92" s="120"/>
    </row>
    <row r="93" spans="1:8" s="76" customFormat="1" ht="32.1" customHeight="1">
      <c r="A93" s="115">
        <f t="shared" si="0"/>
        <v>88</v>
      </c>
      <c r="B93" s="191" t="str">
        <f>+'MRS LIST'!B93</f>
        <v>Tungsten Electrode</v>
      </c>
      <c r="C93" s="192"/>
      <c r="D93" s="116" t="str">
        <f>+'MRS LIST'!G93</f>
        <v>Nos</v>
      </c>
      <c r="E93" s="117">
        <f>+'MRS LIST'!H93</f>
        <v>200</v>
      </c>
      <c r="F93" s="118">
        <f>+'MRS LIST'!I93</f>
        <v>25</v>
      </c>
      <c r="G93" s="119">
        <f>+'MRS LIST'!J93</f>
        <v>5000</v>
      </c>
      <c r="H93" s="120"/>
    </row>
    <row r="94" spans="1:8" s="73" customFormat="1" ht="23.1" customHeight="1">
      <c r="A94" s="193" t="s">
        <v>79</v>
      </c>
      <c r="B94" s="194"/>
      <c r="C94" s="194"/>
      <c r="D94" s="194"/>
      <c r="E94" s="194"/>
      <c r="F94" s="194"/>
      <c r="G94" s="121">
        <f>SUM(G6:G93)</f>
        <v>150657.20000000001</v>
      </c>
      <c r="H94" s="80"/>
    </row>
    <row r="95" spans="1:8" s="73" customFormat="1" ht="23.1" customHeight="1">
      <c r="A95" s="193" t="s">
        <v>42</v>
      </c>
      <c r="B95" s="194"/>
      <c r="C95" s="194"/>
      <c r="D95" s="194"/>
      <c r="E95" s="194"/>
      <c r="F95" s="194"/>
      <c r="G95" s="121">
        <f>+G94*0.15</f>
        <v>22598.58</v>
      </c>
      <c r="H95" s="80"/>
    </row>
    <row r="96" spans="1:8" s="73" customFormat="1" ht="24.95" customHeight="1" thickBot="1">
      <c r="A96" s="195" t="s">
        <v>80</v>
      </c>
      <c r="B96" s="196"/>
      <c r="C96" s="196"/>
      <c r="D96" s="196"/>
      <c r="E96" s="196"/>
      <c r="F96" s="196"/>
      <c r="G96" s="81">
        <f>G95+G94</f>
        <v>173255.78000000003</v>
      </c>
      <c r="H96" s="82"/>
    </row>
    <row r="97" spans="1:13" ht="15.75" thickTop="1">
      <c r="A97" s="83" t="str">
        <f>" 1) Above Price are as per your quotation with ref "&amp;'PO 1st page'!K14</f>
        <v xml:space="preserve"> 1) Above Price are as per your quotation with ref Q-20263219</v>
      </c>
      <c r="B97" s="84"/>
      <c r="C97" s="84"/>
      <c r="D97" s="85"/>
      <c r="E97" s="85"/>
      <c r="F97" s="85"/>
      <c r="G97" s="85"/>
      <c r="H97" s="85"/>
    </row>
    <row r="98" spans="1:13" ht="15">
      <c r="A98" s="86" t="s">
        <v>81</v>
      </c>
      <c r="B98" s="87"/>
      <c r="C98" s="87"/>
      <c r="D98" s="88"/>
      <c r="E98" s="88"/>
      <c r="F98" s="88"/>
      <c r="G98" s="88"/>
      <c r="H98" s="88"/>
      <c r="I98" s="89"/>
    </row>
    <row r="99" spans="1:13" ht="15.75">
      <c r="A99" s="90"/>
    </row>
    <row r="100" spans="1:13">
      <c r="A100" s="131" t="s">
        <v>82</v>
      </c>
      <c r="B100" s="131"/>
      <c r="C100" s="131"/>
      <c r="D100" s="131"/>
      <c r="E100" s="131"/>
      <c r="F100" s="131"/>
      <c r="G100" s="131"/>
      <c r="H100" s="131"/>
      <c r="I100" s="91"/>
      <c r="J100" s="91"/>
      <c r="K100" s="91"/>
      <c r="L100" s="91"/>
      <c r="M100" s="91"/>
    </row>
    <row r="101" spans="1:13" ht="15.75">
      <c r="A101" s="90"/>
      <c r="C101" s="92"/>
    </row>
    <row r="102" spans="1:13" ht="15.75">
      <c r="A102" s="90"/>
      <c r="C102" s="92"/>
    </row>
    <row r="104" spans="1:13" ht="12" customHeight="1"/>
  </sheetData>
  <mergeCells count="100"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A94:F94"/>
    <mergeCell ref="A95:F95"/>
    <mergeCell ref="A96:F96"/>
    <mergeCell ref="A100:H10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92:C92"/>
    <mergeCell ref="B93:C93"/>
    <mergeCell ref="B87:C87"/>
    <mergeCell ref="B88:C88"/>
    <mergeCell ref="B89:C89"/>
    <mergeCell ref="B90:C90"/>
    <mergeCell ref="B91:C91"/>
  </mergeCells>
  <phoneticPr fontId="12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Metadata/LabelInfo.xml><?xml version="1.0" encoding="utf-8"?>
<clbl:labelList xmlns:clbl="http://schemas.microsoft.com/office/2020/mipLabelMetadata">
  <clbl:label id="{5fcb0def-a698-40ce-a73a-ea61130c13c6}" enabled="0" method="" siteId="{5fcb0def-a698-40ce-a73a-ea61130c13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2026-08-04T14:46:28Z</cp:lastPrinted>
  <dcterms:created xsi:type="dcterms:W3CDTF">2024-10-20T11:50:19Z</dcterms:created>
  <dcterms:modified xsi:type="dcterms:W3CDTF">2026-08-04T17:05:19Z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f914a6-c39c-4dca-a0cf-8a9e676d0735_SiteId">
    <vt:lpwstr>5fcb0def-a698-40ce-a73a-ea61130c13c6</vt:lpwstr>
  </property>
  <property fmtid="{D5CDD505-2E9C-101B-9397-08002B2CF9AE}" pid="3" name="MSIP_Label_b3f914a6-c39c-4dca-a0cf-8a9e676d0735_SetDate">
    <vt:lpwstr>2026-04-04T11:03:06Z</vt:lpwstr>
  </property>
  <property fmtid="{D5CDD505-2E9C-101B-9397-08002B2CF9AE}" pid="4" name="MSIP_Label_b3f914a6-c39c-4dca-a0cf-8a9e676d0735_Name">
    <vt:lpwstr>RESTRICTED-01</vt:lpwstr>
  </property>
  <property fmtid="{D5CDD505-2E9C-101B-9397-08002B2CF9AE}" pid="5" name="MSIP_Label_b3f914a6-c39c-4dca-a0cf-8a9e676d0735_Method">
    <vt:lpwstr>Privileged</vt:lpwstr>
  </property>
  <property fmtid="{D5CDD505-2E9C-101B-9397-08002B2CF9AE}" pid="6" name="MSIP_Label_b3f914a6-c39c-4dca-a0cf-8a9e676d0735_Enabled">
    <vt:lpwstr>true</vt:lpwstr>
  </property>
  <property fmtid="{D5CDD505-2E9C-101B-9397-08002B2CF9AE}" pid="7" name="MSIP_Label_b3f914a6-c39c-4dca-a0cf-8a9e676d0735_ContentBits">
    <vt:lpwstr>8</vt:lpwstr>
  </property>
</Properties>
</file>