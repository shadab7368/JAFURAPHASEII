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C2BF3922-4B36-456F-B2D8-5D5A1C9ABC9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MRS!$A$1:$L$21</definedName>
    <definedName name="_xlnm.Print_Area" localSheetId="1">'MRS LIST'!$A$1:$K$17</definedName>
    <definedName name="_xlnm.Print_Area" localSheetId="2">'PO 1st page'!$A$1:$N$61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F29" i="3"/>
  <c r="F30" i="3" s="1"/>
  <c r="B6" i="4"/>
  <c r="H7" i="4"/>
  <c r="B7" i="4"/>
  <c r="A9" i="1"/>
  <c r="A10" i="1"/>
  <c r="A11" i="1"/>
  <c r="J7" i="1"/>
  <c r="J10" i="2"/>
  <c r="I10" i="2"/>
  <c r="H10" i="2"/>
  <c r="G10" i="2"/>
  <c r="D10" i="2"/>
  <c r="B10" i="2"/>
  <c r="H6" i="4"/>
  <c r="A8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1" i="3"/>
  <c r="K58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6" i="1"/>
  <c r="A6" i="2" s="1"/>
  <c r="J12" i="1" l="1"/>
  <c r="G18" i="4"/>
  <c r="G19" i="4" l="1"/>
  <c r="G21" i="4" s="1"/>
</calcChain>
</file>

<file path=xl/sharedStrings.xml><?xml version="1.0" encoding="utf-8"?>
<sst xmlns="http://schemas.openxmlformats.org/spreadsheetml/2006/main" count="156" uniqueCount="120">
  <si>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</si>
  <si>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</si>
  <si>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</si>
  <si>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</si>
  <si>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</si>
  <si>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</si>
  <si>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</si>
  <si>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</si>
  <si>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</si>
  <si>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</si>
  <si>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</si>
  <si>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</si>
  <si>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</si>
  <si>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</si>
  <si>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</si>
  <si>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</si>
  <si>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</si>
  <si>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</si>
  <si>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</si>
  <si>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</si>
  <si>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</si>
  <si>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</si>
  <si>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</si>
  <si>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</si>
  <si>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</si>
  <si>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</si>
  <si>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</si>
  <si>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</si>
  <si>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</si>
  <si>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</si>
  <si>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</si>
  <si>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</si>
  <si>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</si>
  <si>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</si>
  <si>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</si>
  <si>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</si>
  <si>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</si>
  <si>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</si>
  <si>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</si>
  <si>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</si>
  <si>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</si>
  <si>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</si>
  <si>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</si>
  <si>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</si>
  <si>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</si>
  <si>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</si>
  <si>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</si>
  <si>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</si>
  <si>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</si>
  <si>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</si>
  <si>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</si>
  <si>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</si>
  <si>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</si>
  <si>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</si>
  <si>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</si>
  <si>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</si>
  <si>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</si>
  <si>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</si>
  <si>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</si>
  <si>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</si>
  <si>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</si>
  <si>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</si>
  <si>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</si>
  <si>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</si>
  <si>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</si>
  <si>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</si>
  <si>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</si>
  <si>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</si>
  <si>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</si>
  <si>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</si>
  <si>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</si>
  <si>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</si>
  <si>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</si>
  <si>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</si>
  <si>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</si>
  <si>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</si>
  <si>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</si>
  <si>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</si>
  <si>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</si>
  <si>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</si>
  <si>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</si>
  <si>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</si>
  <si>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</si>
  <si>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</si>
  <si>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</si>
  <si>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</si>
  <si>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</si>
  <si>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</si>
  <si>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</si>
  <si>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</si>
  <si>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</si>
  <si>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</si>
  <si>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</si>
  <si>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</si>
  <si>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</si>
  <si>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</si>
  <si>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</si>
  <si>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</si>
  <si>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</si>
  <si>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</si>
  <si>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</si>
  <si>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One time</t>
  </si>
  <si>
    <t>Transportation Charges</t>
  </si>
  <si>
    <t>"</t>
  </si>
  <si>
    <t>BRANCH OF HYUNDAI ENG. &amp; CONST. CO., LTD.</t>
  </si>
  <si>
    <t>Branch of Hyundai Engineering and Const. Co., Ltd. (HDEC)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</si>
  <si>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-MRS-0139</t>
    </r>
  </si>
  <si>
    <t>New Aramco Standard Portable Cabin Open Hall</t>
  </si>
  <si>
    <t>12 X 3.2 mtrs.
Fire Rated Gypsum Wall
Door - 2 Nos.
Window - 2 Nos.
Light, Switch and DB
Vinyl Flooring
Split AC provision - 2 Nos.
Zamil Split AC 1.5 ton - 1 Nos.
 Battery Operated Smoke Detector as Required
External Staircase - 2 Nos.</t>
  </si>
  <si>
    <t>EA</t>
  </si>
  <si>
    <t>ADKA</t>
  </si>
  <si>
    <t>ADKA-PJD-25-591</t>
  </si>
  <si>
    <t>ADKA(Adka General Contracting Company LLC)</t>
  </si>
  <si>
    <t>311248443400003</t>
  </si>
  <si>
    <t>Asrar.G</t>
  </si>
  <si>
    <t>+966 55 823 4304 / project@adkaksa.com</t>
  </si>
  <si>
    <t>Al Khair Street, Al Jubail 31951, KSA</t>
  </si>
  <si>
    <t>Mobile : +966 55 823 4304</t>
  </si>
  <si>
    <t>Estimation Engineer</t>
  </si>
  <si>
    <t>Division (In charge Name) : ADMIN MANAGER (Dong Chang Kim)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</si>
</sst>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772026</xdr:colOff>
          <xdr:row>13</xdr:row>
          <xdr:rowOff>0</xdr:rowOff>
        </xdr:from>
        <xdr:to>
          <xdr:col>12</xdr:col>
          <xdr:colOff>502</xdr:colOff>
          <xdr:row>20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4:$V$20" spid="_x0000_s114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45868" y="5183605"/>
              <a:ext cx="406116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48"/>
  <sheetViews>
    <sheetView showGridLines="0" tabSelected="1" view="pageBreakPreview" zoomScale="95" zoomScaleNormal="95" zoomScaleSheetLayoutView="95" workbookViewId="0">
      <selection activeCell="D3" sqref="D3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14.42578125" style="2" customWidth="1"/>
    <col min="6" max="6" width="10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22" ht="49.9" customHeight="1">
      <c r="A1" s="125" t="s">
        <v>98</v>
      </c>
      <c r="B1" s="124"/>
      <c r="C1" s="111"/>
      <c r="D1" s="111"/>
      <c r="E1" s="111"/>
      <c r="F1" s="111"/>
      <c r="G1" s="1"/>
      <c r="J1" s="141" t="s">
        <v>90</v>
      </c>
      <c r="K1" s="142"/>
      <c r="L1" s="143"/>
    </row>
    <row r="2" spans="1:22" ht="20.100000000000001" customHeight="1">
      <c r="A2" s="3" t="s">
        <v>1</v>
      </c>
      <c r="B2" s="102"/>
      <c r="C2" s="102"/>
      <c r="D2" s="3" t="s">
        <v>119</v>
      </c>
      <c r="E2" s="102"/>
      <c r="F2" s="102"/>
      <c r="G2" s="102"/>
      <c r="H2" s="102"/>
      <c r="I2" s="4"/>
      <c r="J2" s="144" t="s">
        <v>100</v>
      </c>
      <c r="K2" s="145"/>
      <c r="L2" s="146"/>
    </row>
    <row r="3" spans="1:22" ht="20.100000000000001" customHeight="1">
      <c r="A3" s="3" t="s">
        <v>106</v>
      </c>
      <c r="B3" s="102"/>
      <c r="C3" s="102"/>
      <c r="D3" s="102"/>
      <c r="E3" s="147">
        <f>+L3</f>
        <v>45938</v>
      </c>
      <c r="F3" s="147"/>
      <c r="G3" s="147"/>
      <c r="H3" s="147"/>
      <c r="I3" s="147"/>
      <c r="J3" s="102"/>
      <c r="K3" s="102"/>
      <c r="L3" s="123">
        <v>45938</v>
      </c>
      <c r="M3" s="4"/>
    </row>
    <row r="4" spans="1:22" ht="15.95" customHeight="1">
      <c r="A4" s="129" t="s">
        <v>2</v>
      </c>
      <c r="B4" s="130" t="s">
        <v>3</v>
      </c>
      <c r="C4" s="130"/>
      <c r="D4" s="131" t="s">
        <v>4</v>
      </c>
      <c r="E4" s="132"/>
      <c r="F4" s="133"/>
      <c r="G4" s="137" t="s">
        <v>5</v>
      </c>
      <c r="H4" s="139" t="s">
        <v>6</v>
      </c>
      <c r="I4" s="139" t="s">
        <v>96</v>
      </c>
      <c r="J4" s="129" t="s">
        <v>97</v>
      </c>
      <c r="K4" s="139" t="s">
        <v>0</v>
      </c>
      <c r="L4" s="130" t="s">
        <v>7</v>
      </c>
    </row>
    <row r="5" spans="1:22" ht="15.95" customHeight="1">
      <c r="A5" s="129"/>
      <c r="B5" s="130"/>
      <c r="C5" s="130"/>
      <c r="D5" s="134"/>
      <c r="E5" s="135"/>
      <c r="F5" s="136"/>
      <c r="G5" s="138"/>
      <c r="H5" s="140"/>
      <c r="I5" s="140"/>
      <c r="J5" s="129"/>
      <c r="K5" s="140"/>
      <c r="L5" s="130"/>
    </row>
    <row r="6" spans="1:22" ht="132" customHeight="1">
      <c r="A6" s="5">
        <f t="shared" ref="A6:A11" si="0">ROW(A1)</f>
        <v>1</v>
      </c>
      <c r="B6" s="148" t="s">
        <v>107</v>
      </c>
      <c r="C6" s="149"/>
      <c r="D6" s="150" t="s">
        <v>108</v>
      </c>
      <c r="E6" s="151"/>
      <c r="F6" s="152"/>
      <c r="G6" s="112" t="s">
        <v>109</v>
      </c>
      <c r="H6" s="113">
        <v>2</v>
      </c>
      <c r="I6" s="114">
        <v>32000</v>
      </c>
      <c r="J6" s="114">
        <f>H6*I6</f>
        <v>64000</v>
      </c>
      <c r="K6" s="115" t="s">
        <v>110</v>
      </c>
      <c r="L6" s="128" t="s">
        <v>101</v>
      </c>
      <c r="S6" s="107"/>
    </row>
    <row r="7" spans="1:22" ht="22.5" customHeight="1">
      <c r="A7" s="5">
        <v>2</v>
      </c>
      <c r="B7" s="148" t="s">
        <v>102</v>
      </c>
      <c r="C7" s="149"/>
      <c r="D7" s="150"/>
      <c r="E7" s="151"/>
      <c r="F7" s="152"/>
      <c r="G7" s="112" t="s">
        <v>109</v>
      </c>
      <c r="H7" s="113">
        <v>2</v>
      </c>
      <c r="I7" s="114">
        <v>2800</v>
      </c>
      <c r="J7" s="114">
        <f>H7*I7</f>
        <v>5600</v>
      </c>
      <c r="K7" s="115" t="s">
        <v>103</v>
      </c>
      <c r="L7" s="116" t="s">
        <v>103</v>
      </c>
      <c r="S7" s="107"/>
    </row>
    <row r="8" spans="1:22" ht="30" customHeight="1">
      <c r="A8" s="5">
        <f t="shared" si="0"/>
        <v>3</v>
      </c>
      <c r="B8" s="148"/>
      <c r="C8" s="149"/>
      <c r="D8" s="150"/>
      <c r="E8" s="151"/>
      <c r="F8" s="152"/>
      <c r="G8" s="112"/>
      <c r="H8" s="113"/>
      <c r="I8" s="114"/>
      <c r="J8" s="114"/>
      <c r="K8" s="115"/>
      <c r="L8" s="116"/>
      <c r="S8" s="107"/>
    </row>
    <row r="9" spans="1:22" ht="22.5" customHeight="1">
      <c r="A9" s="5">
        <f t="shared" si="0"/>
        <v>4</v>
      </c>
      <c r="B9" s="153"/>
      <c r="C9" s="153"/>
      <c r="D9" s="154"/>
      <c r="E9" s="154"/>
      <c r="F9" s="154"/>
      <c r="G9" s="112"/>
      <c r="H9" s="113"/>
      <c r="I9" s="117"/>
      <c r="J9" s="114"/>
      <c r="K9" s="115"/>
      <c r="L9" s="112"/>
      <c r="S9" s="107"/>
    </row>
    <row r="10" spans="1:22" ht="22.5" customHeight="1">
      <c r="A10" s="5">
        <f t="shared" si="0"/>
        <v>5</v>
      </c>
      <c r="B10" s="148"/>
      <c r="C10" s="149"/>
      <c r="D10" s="150"/>
      <c r="E10" s="151"/>
      <c r="F10" s="152"/>
      <c r="G10" s="112"/>
      <c r="H10" s="113"/>
      <c r="I10" s="114"/>
      <c r="J10" s="114"/>
      <c r="K10" s="115"/>
      <c r="L10" s="116"/>
      <c r="S10" s="107"/>
    </row>
    <row r="11" spans="1:22" ht="22.5" customHeight="1">
      <c r="A11" s="5">
        <f t="shared" si="0"/>
        <v>6</v>
      </c>
      <c r="B11" s="148"/>
      <c r="C11" s="149"/>
      <c r="D11" s="150"/>
      <c r="E11" s="151"/>
      <c r="F11" s="152"/>
      <c r="G11" s="112"/>
      <c r="H11" s="113"/>
      <c r="I11" s="114"/>
      <c r="J11" s="114"/>
      <c r="K11" s="115"/>
      <c r="L11" s="116"/>
      <c r="S11" s="107"/>
    </row>
    <row r="12" spans="1:22" ht="22.5" customHeight="1">
      <c r="A12" s="155" t="s">
        <v>8</v>
      </c>
      <c r="B12" s="156"/>
      <c r="C12" s="118"/>
      <c r="D12" s="119"/>
      <c r="E12" s="119"/>
      <c r="F12" s="119"/>
      <c r="G12" s="120"/>
      <c r="H12" s="120"/>
      <c r="I12" s="121" t="s">
        <v>9</v>
      </c>
      <c r="J12" s="114">
        <f>SUM(J6:J11)</f>
        <v>69600</v>
      </c>
      <c r="K12" s="114"/>
      <c r="L12" s="122"/>
    </row>
    <row r="13" spans="1:22" ht="20.100000000000001" customHeight="1">
      <c r="A13" s="6" t="s">
        <v>10</v>
      </c>
      <c r="B13" s="7"/>
      <c r="C13" s="7"/>
      <c r="D13" s="7"/>
      <c r="E13" s="7"/>
      <c r="F13" s="7"/>
      <c r="G13" s="7"/>
      <c r="H13" s="7"/>
      <c r="I13" s="7"/>
      <c r="J13" s="7"/>
      <c r="K13" s="8"/>
      <c r="L13" s="9"/>
    </row>
    <row r="14" spans="1:22" ht="18" customHeight="1">
      <c r="A14" s="10"/>
      <c r="J14" s="1"/>
      <c r="K14" s="1"/>
      <c r="O14" s="11"/>
      <c r="P14" s="11"/>
      <c r="Q14" s="11"/>
      <c r="S14" s="157" t="s">
        <v>11</v>
      </c>
      <c r="T14" s="12" t="s">
        <v>12</v>
      </c>
      <c r="U14" s="13" t="s">
        <v>13</v>
      </c>
      <c r="V14" s="12" t="s">
        <v>14</v>
      </c>
    </row>
    <row r="15" spans="1:22" ht="50.1" customHeight="1">
      <c r="S15" s="158"/>
      <c r="T15" s="14"/>
      <c r="U15" s="15"/>
      <c r="V15" s="14"/>
    </row>
    <row r="16" spans="1:22" ht="17.100000000000001" customHeight="1">
      <c r="O16" s="11"/>
      <c r="P16" s="11"/>
      <c r="Q16" s="11"/>
      <c r="S16" s="159"/>
      <c r="T16" s="15" t="s">
        <v>15</v>
      </c>
      <c r="U16" s="15" t="s">
        <v>15</v>
      </c>
      <c r="V16" s="16" t="s">
        <v>15</v>
      </c>
    </row>
    <row r="17" spans="15:22" ht="15" customHeight="1">
      <c r="O17" s="17" t="s">
        <v>16</v>
      </c>
      <c r="P17" s="160" t="s">
        <v>17</v>
      </c>
      <c r="Q17" s="160" t="s">
        <v>18</v>
      </c>
    </row>
    <row r="18" spans="15:22" ht="18" customHeight="1">
      <c r="O18" s="18" t="s">
        <v>19</v>
      </c>
      <c r="P18" s="161"/>
      <c r="Q18" s="161"/>
      <c r="S18" s="157" t="s">
        <v>20</v>
      </c>
      <c r="T18" s="12" t="s">
        <v>12</v>
      </c>
      <c r="U18" s="12" t="s">
        <v>13</v>
      </c>
      <c r="V18" s="12" t="s">
        <v>14</v>
      </c>
    </row>
    <row r="19" spans="15:22" ht="50.1" customHeight="1">
      <c r="O19" s="14"/>
      <c r="P19" s="14"/>
      <c r="Q19" s="14"/>
      <c r="S19" s="158"/>
      <c r="T19" s="19"/>
      <c r="U19" s="19"/>
      <c r="V19" s="14"/>
    </row>
    <row r="20" spans="15:22" ht="17.100000000000001" customHeight="1">
      <c r="O20" s="16" t="s">
        <v>15</v>
      </c>
      <c r="P20" s="16" t="s">
        <v>15</v>
      </c>
      <c r="Q20" s="16" t="s">
        <v>15</v>
      </c>
      <c r="S20" s="159"/>
      <c r="T20" s="15" t="s">
        <v>15</v>
      </c>
      <c r="U20" s="15" t="s">
        <v>15</v>
      </c>
      <c r="V20" s="16" t="s">
        <v>15</v>
      </c>
    </row>
    <row r="21" spans="15:22" ht="9.9499999999999993" customHeight="1"/>
    <row r="22" spans="15:22" ht="19.899999999999999" customHeight="1"/>
    <row r="23" spans="15:22" ht="17.45" customHeight="1">
      <c r="O23" s="162"/>
      <c r="P23" s="162"/>
      <c r="Q23" s="162"/>
    </row>
    <row r="24" spans="15:22" ht="19.899999999999999" customHeight="1">
      <c r="O24" s="162"/>
      <c r="P24" s="162"/>
      <c r="Q24" s="162"/>
    </row>
    <row r="25" spans="15:22" ht="14.25">
      <c r="O25" s="11"/>
      <c r="P25" s="11"/>
      <c r="Q25" s="11"/>
    </row>
    <row r="26" spans="15:22" ht="65.099999999999994" customHeight="1"/>
    <row r="27" spans="15:22" ht="14.25">
      <c r="O27" s="11"/>
      <c r="P27" s="11"/>
      <c r="Q27" s="11"/>
    </row>
    <row r="28" spans="15:22" ht="19.899999999999999" customHeight="1"/>
    <row r="29" spans="15:22" ht="14.25"/>
    <row r="30" spans="15:22" ht="19.899999999999999" customHeight="1"/>
    <row r="31" spans="15:22" ht="14.25"/>
    <row r="32" spans="15:22" ht="19.899999999999999" customHeight="1"/>
    <row r="33" spans="15:22" ht="19.899999999999999" customHeight="1"/>
    <row r="34" spans="15:22" ht="64.900000000000006" customHeight="1"/>
    <row r="36" spans="15:22" ht="19.899999999999999" customHeight="1">
      <c r="T36" s="160" t="s">
        <v>21</v>
      </c>
    </row>
    <row r="37" spans="15:22" ht="19.899999999999999" customHeight="1">
      <c r="T37" s="161"/>
    </row>
    <row r="38" spans="15:22" ht="64.900000000000006" customHeight="1">
      <c r="T38" s="14"/>
    </row>
    <row r="42" spans="15:22" ht="21" customHeight="1">
      <c r="O42" s="160" t="s">
        <v>21</v>
      </c>
      <c r="P42" s="160" t="s">
        <v>21</v>
      </c>
      <c r="Q42" s="160" t="s">
        <v>21</v>
      </c>
      <c r="T42" s="160" t="s">
        <v>22</v>
      </c>
      <c r="U42" s="160" t="s">
        <v>13</v>
      </c>
      <c r="V42" s="160" t="s">
        <v>21</v>
      </c>
    </row>
    <row r="43" spans="15:22" ht="21" customHeight="1">
      <c r="O43" s="161"/>
      <c r="P43" s="161"/>
      <c r="Q43" s="161"/>
      <c r="T43" s="159"/>
      <c r="U43" s="159"/>
      <c r="V43" s="161"/>
    </row>
    <row r="44" spans="15:22" ht="64.900000000000006" customHeight="1">
      <c r="O44" s="14"/>
      <c r="P44" s="14"/>
      <c r="Q44" s="14"/>
      <c r="T44" s="14"/>
      <c r="U44" s="15"/>
      <c r="V44" s="14"/>
    </row>
    <row r="45" spans="15:22" ht="7.15" customHeight="1"/>
    <row r="46" spans="15:22" ht="21" customHeight="1">
      <c r="O46" s="160" t="s">
        <v>21</v>
      </c>
      <c r="P46" s="160" t="s">
        <v>21</v>
      </c>
      <c r="Q46" s="160" t="s">
        <v>21</v>
      </c>
      <c r="T46" s="160" t="s">
        <v>13</v>
      </c>
      <c r="U46" s="160" t="s">
        <v>22</v>
      </c>
      <c r="V46" s="160" t="s">
        <v>21</v>
      </c>
    </row>
    <row r="47" spans="15:22" ht="21" customHeight="1">
      <c r="O47" s="161"/>
      <c r="P47" s="161"/>
      <c r="Q47" s="161"/>
      <c r="T47" s="159"/>
      <c r="U47" s="159"/>
      <c r="V47" s="161"/>
    </row>
    <row r="48" spans="15:22" ht="64.900000000000006" customHeight="1">
      <c r="O48" s="14"/>
      <c r="P48" s="14"/>
      <c r="Q48" s="14"/>
      <c r="T48" s="15"/>
      <c r="U48" s="14"/>
      <c r="V48" s="14"/>
    </row>
  </sheetData>
  <mergeCells count="45">
    <mergeCell ref="U42:U43"/>
    <mergeCell ref="V42:V43"/>
    <mergeCell ref="O46:O47"/>
    <mergeCell ref="P46:P47"/>
    <mergeCell ref="Q46:Q47"/>
    <mergeCell ref="T46:T47"/>
    <mergeCell ref="U46:U47"/>
    <mergeCell ref="V46:V47"/>
    <mergeCell ref="O23:O24"/>
    <mergeCell ref="P23:P24"/>
    <mergeCell ref="Q23:Q24"/>
    <mergeCell ref="T36:T37"/>
    <mergeCell ref="O42:O43"/>
    <mergeCell ref="P42:P43"/>
    <mergeCell ref="Q42:Q43"/>
    <mergeCell ref="T42:T43"/>
    <mergeCell ref="A12:B12"/>
    <mergeCell ref="S14:S16"/>
    <mergeCell ref="P17:P18"/>
    <mergeCell ref="Q17:Q18"/>
    <mergeCell ref="S18:S20"/>
    <mergeCell ref="B9:C9"/>
    <mergeCell ref="D9:F9"/>
    <mergeCell ref="B10:C10"/>
    <mergeCell ref="D10:F10"/>
    <mergeCell ref="B11:C11"/>
    <mergeCell ref="D11:F11"/>
    <mergeCell ref="B8:C8"/>
    <mergeCell ref="D8:F8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A7" sqref="A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63" t="str">
        <f>+MRS!J1</f>
        <v>DAESHIN PLANT</v>
      </c>
      <c r="K1" s="164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5" t="str">
        <f>+MRS!J2</f>
        <v>Subcontract name (SAC2-SC-IK-SMP-01)</v>
      </c>
      <c r="K2" s="166"/>
    </row>
    <row r="3" spans="1:18" ht="24.95" customHeight="1">
      <c r="A3" s="3" t="str">
        <f>+MRS!A3</f>
        <v xml:space="preserve">  MRS No : SAC2-DS-MRS-0139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45938</v>
      </c>
    </row>
    <row r="4" spans="1:18" ht="15.95" customHeight="1">
      <c r="A4" s="167" t="s">
        <v>2</v>
      </c>
      <c r="B4" s="168" t="s">
        <v>23</v>
      </c>
      <c r="C4" s="168"/>
      <c r="D4" s="167" t="s">
        <v>4</v>
      </c>
      <c r="E4" s="167"/>
      <c r="F4" s="167"/>
      <c r="G4" s="168" t="s">
        <v>5</v>
      </c>
      <c r="H4" s="167" t="s">
        <v>91</v>
      </c>
      <c r="I4" s="167" t="s">
        <v>24</v>
      </c>
      <c r="J4" s="167" t="s">
        <v>25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20.75" customHeight="1">
      <c r="A6" s="21">
        <f>+MRS!A6</f>
        <v>1</v>
      </c>
      <c r="B6" s="169" t="str">
        <f>MRS!B6</f>
        <v>New Aramco Standard Portable Cabin Open Hall</v>
      </c>
      <c r="C6" s="170"/>
      <c r="D6" s="171" t="str">
        <f>MRS!D6</f>
        <v>12 X 3.2 mtrs.
Fire Rated Gypsum Wall
Door - 2 Nos.
Window - 2 Nos.
Light, Switch and DB
Vinyl Flooring
Split AC provision - 2 Nos.
Zamil Split AC 1.5 ton - 1 Nos.
 Battery Operated Smoke Detector as Required
External Staircase - 2 Nos.</v>
      </c>
      <c r="E6" s="172"/>
      <c r="F6" s="173"/>
      <c r="G6" s="104" t="str">
        <f>MRS!G6</f>
        <v>EA</v>
      </c>
      <c r="H6" s="104">
        <f>MRS!H6</f>
        <v>2</v>
      </c>
      <c r="I6" s="105">
        <f>MRS!I6</f>
        <v>32000</v>
      </c>
      <c r="J6" s="105">
        <f>MRS!J6</f>
        <v>64000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9" t="str">
        <f>MRS!B7</f>
        <v>Transportation Charges</v>
      </c>
      <c r="C7" s="170"/>
      <c r="D7" s="171">
        <f>MRS!D7</f>
        <v>0</v>
      </c>
      <c r="E7" s="172"/>
      <c r="F7" s="173"/>
      <c r="G7" s="104" t="str">
        <f>MRS!G7</f>
        <v>EA</v>
      </c>
      <c r="H7" s="104">
        <f>MRS!H7</f>
        <v>2</v>
      </c>
      <c r="I7" s="105">
        <f>MRS!I7</f>
        <v>2800</v>
      </c>
      <c r="J7" s="105">
        <f>MRS!J7</f>
        <v>5600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69">
        <f>MRS!B8</f>
        <v>0</v>
      </c>
      <c r="C8" s="170"/>
      <c r="D8" s="171">
        <f>MRS!D8</f>
        <v>0</v>
      </c>
      <c r="E8" s="172"/>
      <c r="F8" s="173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69" t="e">
        <f>MRS!#REF!</f>
        <v>#REF!</v>
      </c>
      <c r="C9" s="170"/>
      <c r="D9" s="171" t="e">
        <f>MRS!#REF!</f>
        <v>#REF!</v>
      </c>
      <c r="E9" s="172"/>
      <c r="F9" s="173"/>
      <c r="G9" s="104" t="e">
        <f>MRS!#REF!</f>
        <v>#REF!</v>
      </c>
      <c r="H9" s="104" t="e">
        <f>MRS!#REF!</f>
        <v>#REF!</v>
      </c>
      <c r="I9" s="105" t="e">
        <f>MRS!#REF!</f>
        <v>#REF!</v>
      </c>
      <c r="J9" s="105" t="e">
        <f>MRS!#REF!</f>
        <v>#REF!</v>
      </c>
      <c r="K9" s="106"/>
      <c r="O9" s="107"/>
      <c r="P9" s="107"/>
      <c r="R9" s="107"/>
    </row>
    <row r="10" spans="1:18" ht="105" customHeight="1">
      <c r="A10" s="21" t="e">
        <f>+MRS!#REF!</f>
        <v>#REF!</v>
      </c>
      <c r="B10" s="169" t="e">
        <f>MRS!#REF!</f>
        <v>#REF!</v>
      </c>
      <c r="C10" s="170"/>
      <c r="D10" s="171" t="e">
        <f>MRS!#REF!</f>
        <v>#REF!</v>
      </c>
      <c r="E10" s="172"/>
      <c r="F10" s="173"/>
      <c r="G10" s="104" t="e">
        <f>MRS!#REF!</f>
        <v>#REF!</v>
      </c>
      <c r="H10" s="104" t="e">
        <f>MRS!#REF!</f>
        <v>#REF!</v>
      </c>
      <c r="I10" s="105" t="e">
        <f>MRS!#REF!</f>
        <v>#REF!</v>
      </c>
      <c r="J10" s="105" t="e">
        <f>MRS!#REF!</f>
        <v>#REF!</v>
      </c>
      <c r="K10" s="106"/>
      <c r="O10" s="107"/>
      <c r="P10" s="107"/>
      <c r="R10" s="107"/>
    </row>
    <row r="11" spans="1:18" ht="105" customHeight="1">
      <c r="A11" s="21" t="e">
        <f>+MRS!#REF!</f>
        <v>#REF!</v>
      </c>
      <c r="B11" s="174"/>
      <c r="C11" s="175"/>
      <c r="D11" s="176"/>
      <c r="E11" s="177"/>
      <c r="F11" s="178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+MRS!A9</f>
        <v>4</v>
      </c>
      <c r="B12" s="174"/>
      <c r="C12" s="175"/>
      <c r="D12" s="176"/>
      <c r="E12" s="177"/>
      <c r="F12" s="178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+MRS!A10</f>
        <v>5</v>
      </c>
      <c r="B13" s="174"/>
      <c r="C13" s="175"/>
      <c r="D13" s="176"/>
      <c r="E13" s="177"/>
      <c r="F13" s="178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+MRS!A11</f>
        <v>6</v>
      </c>
      <c r="B14" s="174"/>
      <c r="C14" s="175"/>
      <c r="D14" s="176"/>
      <c r="E14" s="177"/>
      <c r="F14" s="178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 t="e">
        <f>+MRS!#REF!</f>
        <v>#REF!</v>
      </c>
      <c r="B15" s="174"/>
      <c r="C15" s="175"/>
      <c r="D15" s="176"/>
      <c r="E15" s="177"/>
      <c r="F15" s="178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4"/>
      <c r="C16" s="175"/>
      <c r="D16" s="176"/>
      <c r="E16" s="177"/>
      <c r="F16" s="178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4"/>
      <c r="C17" s="175"/>
      <c r="D17" s="176"/>
      <c r="E17" s="177"/>
      <c r="F17" s="178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5"/>
  <sheetViews>
    <sheetView view="pageBreakPreview" zoomScale="130" zoomScaleSheetLayoutView="130" workbookViewId="0">
      <selection activeCell="C25" sqref="C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112</v>
      </c>
      <c r="D9" s="39"/>
      <c r="E9" s="39"/>
    </row>
    <row r="10" spans="2:13" s="39" customFormat="1">
      <c r="B10" s="72"/>
      <c r="C10" s="39" t="s">
        <v>32</v>
      </c>
      <c r="D10" s="36">
        <v>2055124620</v>
      </c>
      <c r="J10" s="39" t="s">
        <v>33</v>
      </c>
      <c r="K10" s="180">
        <f>MRS!L3</f>
        <v>45938</v>
      </c>
      <c r="L10" s="181"/>
      <c r="M10" s="181"/>
    </row>
    <row r="11" spans="2:13" s="39" customFormat="1">
      <c r="B11" s="72"/>
      <c r="C11" s="75" t="s">
        <v>34</v>
      </c>
      <c r="D11" s="76" t="s">
        <v>113</v>
      </c>
      <c r="J11" s="39" t="s">
        <v>35</v>
      </c>
      <c r="K11" s="182" t="str">
        <f>SUBSTITUTE(SUBSTITUTE(+MRS!A3,"  MRS No : ",""),"-MRS","-PO")</f>
        <v>SAC2-DS-PO-0139</v>
      </c>
      <c r="L11" s="182"/>
      <c r="M11" s="182"/>
    </row>
    <row r="12" spans="2:13" s="39" customFormat="1">
      <c r="B12" s="72"/>
      <c r="C12" s="75" t="s">
        <v>36</v>
      </c>
      <c r="D12" s="39" t="s">
        <v>114</v>
      </c>
      <c r="J12" s="39" t="s">
        <v>37</v>
      </c>
    </row>
    <row r="13" spans="2:13" s="39" customFormat="1">
      <c r="B13" s="72"/>
      <c r="C13" s="77"/>
      <c r="D13" s="76" t="s">
        <v>115</v>
      </c>
      <c r="J13" s="39" t="s">
        <v>38</v>
      </c>
    </row>
    <row r="14" spans="2:13" s="39" customFormat="1">
      <c r="B14" s="72"/>
      <c r="C14" s="77" t="s">
        <v>116</v>
      </c>
      <c r="J14" s="39" t="s">
        <v>39</v>
      </c>
      <c r="K14" s="39" t="s">
        <v>111</v>
      </c>
    </row>
    <row r="15" spans="2:13" s="39" customFormat="1">
      <c r="C15" s="77" t="s">
        <v>117</v>
      </c>
      <c r="J15" s="39" t="s">
        <v>40</v>
      </c>
      <c r="K15" s="78">
        <v>45937</v>
      </c>
    </row>
    <row r="16" spans="2:13" ht="12" customHeight="1">
      <c r="C16" s="29"/>
      <c r="K16" s="30"/>
    </row>
    <row r="17" spans="2:13" ht="20.25">
      <c r="B17" s="183" t="s">
        <v>41</v>
      </c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</row>
    <row r="18" spans="2:13" ht="12" customHeight="1"/>
    <row r="19" spans="2:13" s="31" customFormat="1" ht="12" customHeight="1">
      <c r="B19" s="184" t="s">
        <v>42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</row>
    <row r="20" spans="2:13" s="31" customFormat="1" ht="12" customHeight="1">
      <c r="B20" s="184" t="s">
        <v>43</v>
      </c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</row>
    <row r="21" spans="2:13" s="31" customFormat="1" ht="12" customHeight="1">
      <c r="B21" s="184" t="s">
        <v>44</v>
      </c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</row>
    <row r="22" spans="2:13" ht="6.95" customHeight="1">
      <c r="B22" s="185"/>
      <c r="C22" s="185"/>
      <c r="D22" s="185"/>
      <c r="E22" s="185"/>
      <c r="F22" s="185"/>
      <c r="G22" s="185"/>
      <c r="H22" s="185"/>
      <c r="I22" s="185"/>
      <c r="J22" s="185"/>
      <c r="K22" s="185"/>
      <c r="L22" s="185"/>
      <c r="M22" s="185"/>
    </row>
    <row r="23" spans="2:13" ht="6.95" customHeight="1"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</row>
    <row r="24" spans="2:13" s="32" customFormat="1" ht="20.100000000000001" customHeight="1">
      <c r="B24" s="32">
        <v>1</v>
      </c>
      <c r="C24" s="32" t="s">
        <v>45</v>
      </c>
    </row>
    <row r="25" spans="2:13" s="39" customFormat="1" ht="15" customHeight="1">
      <c r="B25" s="73"/>
      <c r="C25" s="76" t="s">
        <v>107</v>
      </c>
      <c r="M25" s="79" t="s">
        <v>46</v>
      </c>
    </row>
    <row r="26" spans="2:13" ht="11.1" customHeight="1">
      <c r="B26" s="32"/>
    </row>
    <row r="27" spans="2:13" ht="20.100000000000001" customHeight="1">
      <c r="B27" s="32">
        <v>2</v>
      </c>
      <c r="C27" s="32" t="s">
        <v>47</v>
      </c>
    </row>
    <row r="28" spans="2:13" ht="15" customHeight="1">
      <c r="B28" s="32"/>
      <c r="C28" s="26" t="s">
        <v>48</v>
      </c>
      <c r="E28" s="26" t="s">
        <v>49</v>
      </c>
      <c r="F28" s="187">
        <v>69600</v>
      </c>
      <c r="G28" s="187"/>
      <c r="H28" s="33"/>
      <c r="M28" s="34"/>
    </row>
    <row r="29" spans="2:13" ht="15" customHeight="1">
      <c r="B29" s="32"/>
      <c r="C29" s="26" t="s">
        <v>50</v>
      </c>
      <c r="E29" s="26" t="s">
        <v>49</v>
      </c>
      <c r="F29" s="187">
        <f>F28*15%</f>
        <v>10440</v>
      </c>
      <c r="G29" s="187"/>
    </row>
    <row r="30" spans="2:13" ht="15" customHeight="1">
      <c r="B30" s="32"/>
      <c r="C30" s="26" t="s">
        <v>51</v>
      </c>
      <c r="D30" s="35"/>
      <c r="E30" s="26" t="s">
        <v>49</v>
      </c>
      <c r="F30" s="187">
        <f>SUM(F28:G29)</f>
        <v>80040</v>
      </c>
      <c r="G30" s="187"/>
      <c r="H30" s="33"/>
    </row>
    <row r="31" spans="2:13" ht="11.1" customHeight="1">
      <c r="B31" s="32"/>
    </row>
    <row r="32" spans="2:13" ht="20.100000000000001" customHeight="1">
      <c r="B32" s="32">
        <v>3</v>
      </c>
      <c r="C32" s="32" t="s">
        <v>52</v>
      </c>
    </row>
    <row r="33" spans="2:16" ht="15" customHeight="1">
      <c r="B33" s="32"/>
      <c r="C33" s="22" t="s">
        <v>53</v>
      </c>
    </row>
    <row r="34" spans="2:16" ht="15" customHeight="1">
      <c r="B34" s="32"/>
      <c r="C34" s="22" t="s">
        <v>54</v>
      </c>
    </row>
    <row r="35" spans="2:16" ht="15" customHeight="1">
      <c r="B35" s="32"/>
      <c r="C35" s="22" t="s">
        <v>55</v>
      </c>
    </row>
    <row r="36" spans="2:16" ht="11.1" customHeight="1">
      <c r="B36" s="32"/>
    </row>
    <row r="37" spans="2:16" ht="20.100000000000001" customHeight="1">
      <c r="B37" s="32">
        <v>4</v>
      </c>
      <c r="C37" s="32" t="s">
        <v>56</v>
      </c>
    </row>
    <row r="38" spans="2:16" ht="15" customHeight="1">
      <c r="B38" s="32"/>
      <c r="C38" s="26" t="s">
        <v>57</v>
      </c>
    </row>
    <row r="39" spans="2:16" ht="11.1" customHeight="1">
      <c r="B39" s="32"/>
    </row>
    <row r="40" spans="2:16" ht="20.100000000000001" customHeight="1">
      <c r="B40" s="32">
        <v>5</v>
      </c>
      <c r="C40" s="32" t="s">
        <v>58</v>
      </c>
    </row>
    <row r="41" spans="2:16" ht="15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5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1.1" customHeight="1">
      <c r="B46" s="32"/>
    </row>
    <row r="47" spans="2:16" ht="20.100000000000001" customHeight="1">
      <c r="B47" s="32">
        <v>6</v>
      </c>
      <c r="C47" s="32" t="s">
        <v>64</v>
      </c>
    </row>
    <row r="48" spans="2:16" s="39" customFormat="1" ht="15" customHeight="1">
      <c r="B48" s="80" t="s">
        <v>65</v>
      </c>
      <c r="C48" s="81" t="s">
        <v>93</v>
      </c>
      <c r="P48" s="82"/>
    </row>
    <row r="49" spans="1:13" s="83" customFormat="1" ht="15" customHeight="1">
      <c r="B49" s="84" t="s">
        <v>65</v>
      </c>
      <c r="C49" s="81" t="s">
        <v>94</v>
      </c>
    </row>
    <row r="50" spans="1:13" s="83" customFormat="1" ht="15" customHeight="1">
      <c r="B50" s="84" t="s">
        <v>65</v>
      </c>
      <c r="C50" s="81" t="s">
        <v>92</v>
      </c>
    </row>
    <row r="51" spans="1:13" ht="11.1" customHeight="1">
      <c r="B51" s="42"/>
    </row>
    <row r="52" spans="1:13" ht="3" customHeight="1">
      <c r="B52" s="43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ht="3" customHeight="1">
      <c r="B53" s="32"/>
    </row>
    <row r="54" spans="1:13" ht="11.1" customHeight="1">
      <c r="B54" s="42"/>
    </row>
    <row r="55" spans="1:13">
      <c r="B55" s="32" t="s">
        <v>66</v>
      </c>
      <c r="J55" s="32" t="s">
        <v>67</v>
      </c>
    </row>
    <row r="56" spans="1:13" ht="50.1" customHeight="1"/>
    <row r="57" spans="1:13" ht="18" customHeight="1">
      <c r="B57" s="26" t="s">
        <v>68</v>
      </c>
      <c r="J57" s="26" t="s">
        <v>68</v>
      </c>
    </row>
    <row r="58" spans="1:13" ht="18" customHeight="1">
      <c r="B58" s="26" t="s">
        <v>69</v>
      </c>
      <c r="J58" s="26" t="s">
        <v>70</v>
      </c>
      <c r="K58" s="22" t="str">
        <f>UPPER(D12)</f>
        <v>ASRAR.G</v>
      </c>
    </row>
    <row r="59" spans="1:13" ht="18" customHeight="1">
      <c r="B59" s="26" t="s">
        <v>71</v>
      </c>
      <c r="J59" s="26" t="s">
        <v>72</v>
      </c>
      <c r="K59" s="22" t="s">
        <v>118</v>
      </c>
    </row>
    <row r="60" spans="1:13" ht="15" customHeight="1">
      <c r="B60" s="26" t="s">
        <v>73</v>
      </c>
      <c r="J60" s="26" t="s">
        <v>74</v>
      </c>
    </row>
    <row r="61" spans="1:13" s="28" customFormat="1" ht="15" customHeight="1">
      <c r="B61" s="25" t="s">
        <v>105</v>
      </c>
      <c r="J61" s="32" t="str">
        <f>C9</f>
        <v>ADKA(Adka General Contracting Company LLC)</v>
      </c>
    </row>
    <row r="62" spans="1:13" ht="27.95" customHeight="1">
      <c r="A62" s="179" t="s">
        <v>75</v>
      </c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</row>
    <row r="69" spans="2:2">
      <c r="B69" s="3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</sheetData>
  <mergeCells count="12">
    <mergeCell ref="A62:M62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4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Normal="100" zoomScaleSheetLayoutView="100" zoomScalePageLayoutView="55" workbookViewId="0">
      <selection activeCell="G19" sqref="G19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SAC2-DS-PO-0139</v>
      </c>
      <c r="C2" s="190" t="s">
        <v>77</v>
      </c>
      <c r="D2" s="190"/>
      <c r="E2" s="190"/>
      <c r="F2" s="190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45938</v>
      </c>
      <c r="C3" s="51"/>
      <c r="D3" s="52"/>
      <c r="E3" s="191" t="s">
        <v>79</v>
      </c>
      <c r="F3" s="191"/>
      <c r="G3" s="191"/>
      <c r="H3" s="191"/>
      <c r="I3" s="53"/>
    </row>
    <row r="4" spans="1:13" s="55" customFormat="1" ht="28.5" customHeight="1" thickTop="1">
      <c r="A4" s="192" t="s">
        <v>80</v>
      </c>
      <c r="B4" s="194" t="s">
        <v>81</v>
      </c>
      <c r="C4" s="195"/>
      <c r="D4" s="198" t="s">
        <v>82</v>
      </c>
      <c r="E4" s="198" t="s">
        <v>83</v>
      </c>
      <c r="F4" s="200" t="str">
        <f>'PO 1st page'!C9</f>
        <v>ADKA(Adka General Contracting Company LLC)</v>
      </c>
      <c r="G4" s="201"/>
      <c r="H4" s="202" t="s">
        <v>84</v>
      </c>
      <c r="K4" s="56"/>
      <c r="L4" s="56"/>
      <c r="M4" s="56"/>
    </row>
    <row r="5" spans="1:13" s="55" customFormat="1" ht="21.95" customHeight="1">
      <c r="A5" s="193"/>
      <c r="B5" s="196"/>
      <c r="C5" s="197"/>
      <c r="D5" s="199"/>
      <c r="E5" s="199"/>
      <c r="F5" s="57" t="s">
        <v>85</v>
      </c>
      <c r="G5" s="57" t="s">
        <v>51</v>
      </c>
      <c r="H5" s="203"/>
      <c r="K5" s="56"/>
      <c r="L5" s="56"/>
      <c r="M5" s="56"/>
    </row>
    <row r="6" spans="1:13" s="55" customFormat="1" ht="168" customHeight="1">
      <c r="A6" s="85">
        <f t="shared" ref="A6:A17" si="0">ROW(A1)</f>
        <v>1</v>
      </c>
      <c r="B6" s="204" t="str">
        <f>MRS!B6 &amp;" " &amp;MRS!D6</f>
        <v>New Aramco Standard Portable Cabin Open Hall 12 X 3.2 mtrs.
Fire Rated Gypsum Wall
Door - 2 Nos.
Window - 2 Nos.
Light, Switch and DB
Vinyl Flooring
Split AC provision - 2 Nos.
Zamil Split AC 1.5 ton - 1 Nos.
 Battery Operated Smoke Detector as Required
External Staircase - 2 Nos.</v>
      </c>
      <c r="C6" s="205"/>
      <c r="D6" s="86" t="str">
        <f>+'MRS LIST'!G6</f>
        <v>EA</v>
      </c>
      <c r="E6" s="87">
        <f>+'MRS LIST'!H6</f>
        <v>2</v>
      </c>
      <c r="F6" s="88">
        <f>+'MRS LIST'!I6</f>
        <v>32000</v>
      </c>
      <c r="G6" s="89">
        <f>+'MRS LIST'!J6</f>
        <v>64000</v>
      </c>
      <c r="H6" s="90" t="str">
        <f>MRS!L6</f>
        <v>One time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4" t="str">
        <f>MRS!B7</f>
        <v>Transportation Charges</v>
      </c>
      <c r="C7" s="205"/>
      <c r="D7" s="86" t="str">
        <f>+'MRS LIST'!G7</f>
        <v>EA</v>
      </c>
      <c r="E7" s="87">
        <f>+'MRS LIST'!H7</f>
        <v>2</v>
      </c>
      <c r="F7" s="88">
        <f>+'MRS LIST'!I7</f>
        <v>2800</v>
      </c>
      <c r="G7" s="89">
        <f>+'MRS LIST'!J7</f>
        <v>5600</v>
      </c>
      <c r="H7" s="90" t="str">
        <f>MRS!L7</f>
        <v>"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4"/>
      <c r="C8" s="205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04"/>
      <c r="C9" s="205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04"/>
      <c r="C10" s="205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188"/>
      <c r="C11" s="189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8"/>
      <c r="C12" s="189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8"/>
      <c r="C13" s="189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8"/>
      <c r="C14" s="189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8"/>
      <c r="C15" s="189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8"/>
      <c r="C16" s="189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8"/>
      <c r="C17" s="189"/>
      <c r="D17" s="94"/>
      <c r="E17" s="95"/>
      <c r="F17" s="96"/>
      <c r="G17" s="97"/>
      <c r="H17" s="98"/>
    </row>
    <row r="18" spans="1:13" s="55" customFormat="1" ht="23.1" customHeight="1">
      <c r="A18" s="206" t="s">
        <v>86</v>
      </c>
      <c r="B18" s="207"/>
      <c r="C18" s="207"/>
      <c r="D18" s="207"/>
      <c r="E18" s="207"/>
      <c r="F18" s="207"/>
      <c r="G18" s="58">
        <f>SUM(G6:G17)</f>
        <v>69600</v>
      </c>
      <c r="H18" s="59"/>
    </row>
    <row r="19" spans="1:13" s="55" customFormat="1" ht="23.1" customHeight="1">
      <c r="A19" s="206" t="s">
        <v>50</v>
      </c>
      <c r="B19" s="207"/>
      <c r="C19" s="207"/>
      <c r="D19" s="207"/>
      <c r="E19" s="207"/>
      <c r="F19" s="207"/>
      <c r="G19" s="58">
        <f>+G18*0.15</f>
        <v>10440</v>
      </c>
      <c r="H19" s="59"/>
    </row>
    <row r="20" spans="1:13" s="55" customFormat="1" ht="23.1" customHeight="1">
      <c r="A20" s="206" t="s">
        <v>99</v>
      </c>
      <c r="B20" s="207"/>
      <c r="C20" s="207"/>
      <c r="D20" s="207"/>
      <c r="E20" s="207"/>
      <c r="F20" s="207"/>
      <c r="G20" s="126">
        <v>0</v>
      </c>
      <c r="H20" s="127"/>
    </row>
    <row r="21" spans="1:13" s="55" customFormat="1" ht="24.95" customHeight="1" thickBot="1">
      <c r="A21" s="208" t="s">
        <v>87</v>
      </c>
      <c r="B21" s="209"/>
      <c r="C21" s="209"/>
      <c r="D21" s="209"/>
      <c r="E21" s="209"/>
      <c r="F21" s="209"/>
      <c r="G21" s="60">
        <f>SUM(G18:G20)</f>
        <v>80040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ADKA-PJD-25-591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79" t="s">
        <v>89</v>
      </c>
      <c r="B25" s="179"/>
      <c r="C25" s="179"/>
      <c r="D25" s="179"/>
      <c r="E25" s="179"/>
      <c r="F25" s="179"/>
      <c r="G25" s="179"/>
      <c r="H25" s="179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2025-10-08T10:52:27Z</cp:lastPrinted>
  <dcterms:created xsi:type="dcterms:W3CDTF">2024-10-20T11:50:19Z</dcterms:created>
  <dcterms:modified xsi:type="dcterms:W3CDTF">2025-10-08T11:28:11Z</dcterms:modified>
</cp:coreProperties>
</file>