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ichard\phase 2 files\1. Request for Purchase Order\"/>
    </mc:Choice>
  </mc:AlternateContent>
  <xr:revisionPtr revIDLastSave="0" documentId="13_ncr:1_{53ED8A11-382B-4277-86E4-828C9EB5BA1F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MRS!$A$1:$L$23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" l="1"/>
  <c r="A10" i="1"/>
  <c r="A11" i="1"/>
  <c r="A12" i="1"/>
  <c r="A13" i="1"/>
  <c r="E3" i="1" l="1"/>
  <c r="C26" i="3"/>
  <c r="P54" i="3"/>
  <c r="B6" i="4" l="1"/>
  <c r="J7" i="2"/>
  <c r="H6" i="4"/>
  <c r="J8" i="2"/>
  <c r="I8" i="2"/>
  <c r="H8" i="2"/>
  <c r="G8" i="2"/>
  <c r="I7" i="2"/>
  <c r="H7" i="2"/>
  <c r="G7" i="2"/>
  <c r="D8" i="2"/>
  <c r="B8" i="2"/>
  <c r="D7" i="2"/>
  <c r="B7" i="2"/>
  <c r="J6" i="1" l="1"/>
  <c r="K10" i="3"/>
  <c r="A21" i="4" l="1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67" i="3"/>
  <c r="K11" i="3"/>
  <c r="B2" i="4" s="1"/>
  <c r="A17" i="2"/>
  <c r="K3" i="2"/>
  <c r="A3" i="2"/>
  <c r="J2" i="2"/>
  <c r="D2" i="2"/>
  <c r="A2" i="2"/>
  <c r="J1" i="2"/>
  <c r="A16" i="2"/>
  <c r="A15" i="2"/>
  <c r="A14" i="2"/>
  <c r="A13" i="2"/>
  <c r="A12" i="2"/>
  <c r="A11" i="2"/>
  <c r="A10" i="2"/>
  <c r="A9" i="2"/>
  <c r="A8" i="1"/>
  <c r="A8" i="2" s="1"/>
  <c r="A7" i="1"/>
  <c r="A7" i="2" s="1"/>
  <c r="A6" i="1"/>
  <c r="A6" i="2" s="1"/>
  <c r="J14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<sst xmlns="http://schemas.openxmlformats.org/spreadsheetml/2006/main" count="192" uniqueCount="144">
  <si>
    <t>Vendor Name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</si>
  <si>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</si>
  <si>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</si>
  <si>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</si>
  <si>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</si>
  <si>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</si>
  <si>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</si>
  <si>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</si>
  <si>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</si>
  <si>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</si>
  <si>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</si>
  <si>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</si>
  <si>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</si>
  <si>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</si>
  <si>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</si>
  <si>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</si>
  <si>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</si>
  <si>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</si>
  <si>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</si>
  <si>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</si>
  <si>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</si>
  <si>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</si>
  <si>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</si>
  <si>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</si>
  <si>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</si>
  <si>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</si>
  <si>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</si>
  <si>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</si>
  <si>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</si>
  <si>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</si>
  <si>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</si>
  <si>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</si>
  <si>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</si>
  <si>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</si>
  <si>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</si>
  <si>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</si>
  <si>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</si>
  <si>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</si>
  <si>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</si>
  <si>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</si>
  <si>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</si>
  <si>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</si>
  <si>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</si>
  <si>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</si>
  <si>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</si>
  <si>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</si>
  <si>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</si>
  <si>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</si>
  <si>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</si>
  <si>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</si>
  <si>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</si>
  <si>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</si>
  <si>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</si>
  <si>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</si>
  <si>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</si>
  <si>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</si>
  <si>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</si>
  <si>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</si>
  <si>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</si>
  <si>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</si>
  <si>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</si>
  <si>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</si>
  <si>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</si>
  <si>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</si>
  <si>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</si>
  <si>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</si>
  <si>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</si>
  <si>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</si>
  <si>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</si>
  <si>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</si>
  <si>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</si>
  <si>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</si>
  <si>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</si>
  <si>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</si>
  <si>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</si>
  <si>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</si>
  <si>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</si>
  <si>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</si>
  <si>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</si>
  <si>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</si>
  <si>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</si>
  <si>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</si>
  <si>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</si>
  <si>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</si>
  <si>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</si>
  <si>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</si>
  <si>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</si>
  <si>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</si>
  <si>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</si>
  <si>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Month</t>
    <phoneticPr fontId="10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</si>
  <si>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</si>
  <si>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</si>
  <si>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</si>
  <si>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3" type="noConversion"/>
  </si>
  <si>
    <t>Unit Price (SAR)
(Exclude VAT)</t>
    <phoneticPr fontId="6" type="noConversion"/>
  </si>
  <si>
    <t>Total Price (SAR)
(Exclude VAT)</t>
    <phoneticPr fontId="6" type="noConversion"/>
  </si>
  <si>
    <t>Monthly Based</t>
  </si>
  <si>
    <t>Subcontract name (SAC2-SC-IK-SMP-01)</t>
  </si>
  <si>
    <t xml:space="preserve">  Delivery &amp; Payment : Dong Chang Kim / Daeshin Admin. [ Mobile No. : +966 53 748 5762 / Email : kdchjs@daeshinplant.com ]</t>
  </si>
  <si>
    <t>TCO</t>
  </si>
  <si>
    <t>Sales Manager</t>
  </si>
  <si>
    <t>2055104793</t>
  </si>
  <si>
    <t>+966 54 3677555 / email:nazar@toekomsksa.com</t>
  </si>
  <si>
    <t>Al Dakhal Al Mahdud Subdivision, Al Jubail, KSA 35513</t>
  </si>
  <si>
    <t>Mobile : +966 54 3677555</t>
  </si>
  <si>
    <t>BRANCH OF HYUNDAI ENG. &amp; CONST. CO., LTD.</t>
  </si>
  <si>
    <t>Branch of Hyundai Engineering and Const. Co., Ltd. (HDEC)</t>
  </si>
  <si>
    <t>311236456300003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</si>
  <si>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</si>
  <si>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</si>
  <si>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</si>
  <si>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</si>
  <si>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</si>
  <si>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>SAUDI NATIONAL BANK</t>
  </si>
  <si>
    <t xml:space="preserve">  SWIFT CODE          </t>
  </si>
  <si>
    <t>NCBKSAJE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</si>
  <si>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</si>
  <si>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</si>
  <si>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</si>
  <si>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TOEKOMS CONTRACTING COMPANY</t>
  </si>
  <si>
    <t>14748859000103</t>
  </si>
  <si>
    <t>Mudassar Nazar</t>
  </si>
  <si>
    <t>SA06 1000 0014 7488 5900 0103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</si>
  <si>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</si>
  <si>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DAESHIN PLANT</t>
    <phoneticPr fontId="6" type="noConversion"/>
  </si>
  <si>
    <t xml:space="preserve">  PJT :  SACE2           </t>
    <phoneticPr fontId="6" type="noConversion"/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</si>
  <si>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</si>
  <si>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-MRS-0497</t>
    </r>
  </si>
  <si>
    <t>10 Ton with Aramco Certified Operator</t>
  </si>
  <si>
    <t>Boom Truck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</si>
  <si>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</si>
  <si>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</si>
  <si>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</si>
  <si>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</si>
  <si>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</si>
  <si>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</si>
  <si>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</si>
  <si>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</si>
  <si>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</si>
  <si>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</si>
  <si>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</si>
  <si>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</si>
  <si>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t>QTN-00066</t>
  </si>
  <si>
    <t>TCO (Toekoms Contracting Company)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</si>
</sst>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60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  <font>
      <b/>
      <sz val="11"/>
      <color rgb="FF0000FF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19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29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44" fillId="2" borderId="0" xfId="1" applyFont="1" applyFill="1" applyAlignment="1">
      <alignment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0" fontId="42" fillId="3" borderId="0" xfId="5" quotePrefix="1" applyFont="1" applyFill="1"/>
    <xf numFmtId="0" fontId="53" fillId="3" borderId="0" xfId="5" applyFont="1" applyFill="1"/>
    <xf numFmtId="0" fontId="18" fillId="3" borderId="0" xfId="5" quotePrefix="1" applyFont="1" applyFill="1"/>
    <xf numFmtId="0" fontId="14" fillId="3" borderId="0" xfId="5" quotePrefix="1" applyFont="1" applyFill="1"/>
    <xf numFmtId="0" fontId="54" fillId="3" borderId="0" xfId="5" applyFont="1" applyFill="1"/>
    <xf numFmtId="0" fontId="5" fillId="2" borderId="21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50" fillId="2" borderId="1" xfId="1" applyFont="1" applyFill="1" applyBorder="1" applyAlignment="1">
      <alignment horizontal="center" vertical="center"/>
    </xf>
    <xf numFmtId="0" fontId="50" fillId="2" borderId="2" xfId="1" applyFont="1" applyFill="1" applyBorder="1" applyAlignment="1">
      <alignment horizontal="center" vertical="center"/>
    </xf>
    <xf numFmtId="0" fontId="50" fillId="2" borderId="3" xfId="1" applyFont="1" applyFill="1" applyBorder="1" applyAlignment="1">
      <alignment horizontal="center" vertical="center"/>
    </xf>
    <xf numFmtId="0" fontId="51" fillId="2" borderId="4" xfId="1" applyFont="1" applyFill="1" applyBorder="1" applyAlignment="1">
      <alignment horizontal="center" vertical="center"/>
    </xf>
    <xf numFmtId="0" fontId="51" fillId="2" borderId="5" xfId="1" applyFont="1" applyFill="1" applyBorder="1" applyAlignment="1">
      <alignment horizontal="center" vertical="center"/>
    </xf>
    <xf numFmtId="0" fontId="51" fillId="2" borderId="6" xfId="1" applyFont="1" applyFill="1" applyBorder="1" applyAlignment="1">
      <alignment horizontal="center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15" fillId="2" borderId="4" xfId="1" applyFont="1" applyFill="1" applyBorder="1" applyAlignment="1">
      <alignment horizontal="center" vertical="center"/>
    </xf>
    <xf numFmtId="0" fontId="15" fillId="2" borderId="6" xfId="1" applyFont="1" applyFill="1" applyBorder="1" applyAlignment="1">
      <alignment horizontal="center" vertical="center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170" fontId="55" fillId="0" borderId="7" xfId="3" applyNumberFormat="1" applyFont="1" applyBorder="1" applyAlignment="1">
      <alignment horizontal="right"/>
    </xf>
    <xf numFmtId="0" fontId="56" fillId="2" borderId="0" xfId="1" applyFont="1" applyFill="1" applyAlignment="1">
      <alignment vertical="center"/>
    </xf>
    <xf numFmtId="0" fontId="59" fillId="0" borderId="0" xfId="2" applyFont="1" applyAlignment="1">
      <alignment vertical="center"/>
    </xf>
    <xf numFmtId="165" fontId="52" fillId="2" borderId="7" xfId="1" applyNumberFormat="1" applyFont="1" applyFill="1" applyBorder="1" applyAlignment="1">
      <alignment horizontal="left" vertical="center"/>
    </xf>
    <xf numFmtId="0" fontId="5" fillId="2" borderId="0" xfId="1" applyFont="1" applyFill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16" xfId="1" applyFont="1" applyFill="1" applyBorder="1" applyAlignment="1">
      <alignment horizontal="center" vertical="center"/>
    </xf>
    <xf numFmtId="0" fontId="5" fillId="2" borderId="18" xfId="1" applyFont="1" applyFill="1" applyBorder="1" applyAlignment="1">
      <alignment horizontal="center" vertical="center"/>
    </xf>
    <xf numFmtId="0" fontId="5" fillId="2" borderId="17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 wrapText="1"/>
    </xf>
    <xf numFmtId="0" fontId="5" fillId="2" borderId="16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vertical="center"/>
    </xf>
    <xf numFmtId="0" fontId="5" fillId="2" borderId="10" xfId="1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 wrapText="1"/>
    </xf>
    <xf numFmtId="0" fontId="12" fillId="3" borderId="0" xfId="0" applyFont="1" applyFill="1">
      <alignment vertical="center"/>
    </xf>
    <xf numFmtId="0" fontId="12" fillId="3" borderId="46" xfId="0" applyFont="1" applyFill="1" applyBorder="1">
      <alignment vertical="center"/>
    </xf>
    <xf numFmtId="0" fontId="12" fillId="3" borderId="15" xfId="0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vertical="center" wrapText="1"/>
    </xf>
  </cellXfs>
  <cellStyles count="19">
    <cellStyle name="Comma [0]" xfId="10" builtinId="6"/>
    <cellStyle name="Normal" xfId="0" builtinId="0"/>
    <cellStyle name="쉼표 [0] 2 2" xfId="4" xr:uid="{95D71F5C-65D6-4E85-84FE-774413508E1E}"/>
    <cellStyle name="쉼표 [0] 2 2 2" xfId="16" xr:uid="{D691371C-1C9A-42CD-AD9B-E938750C3D7D}"/>
    <cellStyle name="쉼표 [0] 2 2 3" xfId="12" xr:uid="{9961464D-49CC-42FF-A79A-4236B21516A7}"/>
    <cellStyle name="쉼표 2" xfId="9" xr:uid="{F2A3A689-A30F-4FCA-9C51-F28F11796A46}"/>
    <cellStyle name="쉼표 2 2" xfId="18" xr:uid="{3B61A4FC-7502-4F0B-BBCD-9289E590F517}"/>
    <cellStyle name="쉼표 2 3" xfId="14" xr:uid="{AD8851D0-F386-454F-9F4F-643E5BD4A6A6}"/>
    <cellStyle name="표준 2 2" xfId="2" xr:uid="{12B761D3-4229-4E14-8168-D5975293A996}"/>
    <cellStyle name="표준 2 2 2" xfId="15" xr:uid="{F337407C-0FD2-46A6-95DF-C1E2DED6E687}"/>
    <cellStyle name="표준 2 2 3" xfId="11" xr:uid="{3AC3C823-B896-40EF-A224-30F2537C37BB}"/>
    <cellStyle name="표준 2 3 2 2" xfId="5" xr:uid="{BD51BFCC-3D36-446B-BE80-7856DF8371E9}"/>
    <cellStyle name="표준 2 3 2 2 2" xfId="17" xr:uid="{B9B2D054-D5A8-450E-A1C1-80807A9BB7D4}"/>
    <cellStyle name="표준 2 3 2 2 3" xfId="13" xr:uid="{0947CE48-AB5D-4908-90F6-CDE2EB84A247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1192630</xdr:colOff>
          <xdr:row>15</xdr:row>
          <xdr:rowOff>184484</xdr:rowOff>
        </xdr:from>
        <xdr:to>
          <xdr:col>11</xdr:col>
          <xdr:colOff>1455319</xdr:colOff>
          <xdr:row>21</xdr:row>
          <xdr:rowOff>453189</xdr:rowOff>
        </xdr:to>
        <xdr:pic>
          <xdr:nvPicPr>
            <xdr:cNvPr id="3" name="Picture 2">
              <a:extLst>
                <a:ext uri="{FF2B5EF4-FFF2-40B4-BE49-F238E27FC236}">
                  <a16:creationId xmlns:a16="http://schemas.microsoft.com/office/drawing/2014/main" id="{33759AC6-C827-94B1-4DBD-7421A35DE3F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Y$23" spid="_x0000_s116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984709" y="4586037"/>
              <a:ext cx="8504321" cy="2394284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131166</xdr:colOff>
      <xdr:row>6</xdr:row>
      <xdr:rowOff>95250</xdr:rowOff>
    </xdr:from>
    <xdr:to>
      <xdr:col>13</xdr:col>
      <xdr:colOff>55240</xdr:colOff>
      <xdr:row>7</xdr:row>
      <xdr:rowOff>11179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743" y="1069731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AR50"/>
  <sheetViews>
    <sheetView showGridLines="0" tabSelected="1" view="pageBreakPreview" zoomScale="95" zoomScaleNormal="95" zoomScaleSheetLayoutView="95" workbookViewId="0">
      <selection activeCell="A4" sqref="A4:A5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6" width="13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4.42578125" style="2" customWidth="1"/>
    <col min="20" max="22" width="13.5703125" style="2" customWidth="1"/>
    <col min="23" max="23" width="8.5703125" style="2" customWidth="1"/>
    <col min="24" max="24" width="5.7109375" style="2" customWidth="1"/>
    <col min="25" max="27" width="13.5703125" style="2" customWidth="1"/>
    <col min="28" max="28" width="13.5703125" style="2" hidden="1" customWidth="1"/>
    <col min="29" max="29" width="3.5703125" style="2" customWidth="1"/>
    <col min="30" max="30" width="7.5703125" style="2" customWidth="1"/>
    <col min="31" max="31" width="13.5703125" style="2" hidden="1" customWidth="1"/>
    <col min="32" max="32" width="13.5703125" style="2" customWidth="1"/>
    <col min="33" max="33" width="13.5703125" style="2" hidden="1" customWidth="1"/>
    <col min="34" max="16384" width="9" style="2"/>
  </cols>
  <sheetData>
    <row r="1" spans="1:33" ht="49.9" customHeight="1">
      <c r="A1" s="211" t="s">
        <v>123</v>
      </c>
      <c r="B1" s="212"/>
      <c r="C1" s="111"/>
      <c r="D1" s="111"/>
      <c r="E1" s="111"/>
      <c r="F1" s="111"/>
      <c r="G1" s="1"/>
      <c r="J1" s="145" t="s">
        <v>124</v>
      </c>
      <c r="K1" s="146"/>
      <c r="L1" s="147"/>
    </row>
    <row r="2" spans="1:33" ht="20.100000000000001" customHeight="1">
      <c r="A2" s="3" t="s">
        <v>125</v>
      </c>
      <c r="B2" s="102"/>
      <c r="C2" s="102"/>
      <c r="D2" s="3" t="s">
        <v>126</v>
      </c>
      <c r="E2" s="102"/>
      <c r="F2" s="102"/>
      <c r="G2" s="102"/>
      <c r="H2" s="102"/>
      <c r="I2" s="4"/>
      <c r="J2" s="148" t="s">
        <v>97</v>
      </c>
      <c r="K2" s="149"/>
      <c r="L2" s="150"/>
    </row>
    <row r="3" spans="1:33" ht="20.100000000000001" customHeight="1">
      <c r="A3" s="3" t="s">
        <v>127</v>
      </c>
      <c r="B3" s="102"/>
      <c r="C3" s="102"/>
      <c r="D3" s="102"/>
      <c r="E3" s="213">
        <f>+L3+3</f>
        <v>46319</v>
      </c>
      <c r="F3" s="213"/>
      <c r="G3" s="213"/>
      <c r="H3" s="213"/>
      <c r="I3" s="213"/>
      <c r="J3" s="102"/>
      <c r="K3" s="102"/>
      <c r="L3" s="210">
        <v>46316</v>
      </c>
      <c r="M3" s="4"/>
    </row>
    <row r="4" spans="1:33" ht="21" customHeight="1">
      <c r="A4" s="151" t="s">
        <v>1</v>
      </c>
      <c r="B4" s="152" t="s">
        <v>2</v>
      </c>
      <c r="C4" s="152"/>
      <c r="D4" s="153" t="s">
        <v>3</v>
      </c>
      <c r="E4" s="154"/>
      <c r="F4" s="155"/>
      <c r="G4" s="159" t="s">
        <v>4</v>
      </c>
      <c r="H4" s="161" t="s">
        <v>5</v>
      </c>
      <c r="I4" s="161" t="s">
        <v>94</v>
      </c>
      <c r="J4" s="151" t="s">
        <v>95</v>
      </c>
      <c r="K4" s="161" t="s">
        <v>0</v>
      </c>
      <c r="L4" s="152" t="s">
        <v>6</v>
      </c>
    </row>
    <row r="5" spans="1:33" ht="21" customHeight="1">
      <c r="A5" s="151"/>
      <c r="B5" s="152"/>
      <c r="C5" s="152"/>
      <c r="D5" s="156"/>
      <c r="E5" s="157"/>
      <c r="F5" s="158"/>
      <c r="G5" s="160"/>
      <c r="H5" s="162"/>
      <c r="I5" s="162"/>
      <c r="J5" s="151"/>
      <c r="K5" s="162"/>
      <c r="L5" s="152"/>
    </row>
    <row r="6" spans="1:33" ht="22.5" customHeight="1">
      <c r="A6" s="5">
        <f t="shared" ref="A6:A13" si="0">ROW(A1)</f>
        <v>1</v>
      </c>
      <c r="B6" s="133" t="s">
        <v>129</v>
      </c>
      <c r="C6" s="134"/>
      <c r="D6" s="135" t="s">
        <v>128</v>
      </c>
      <c r="E6" s="136"/>
      <c r="F6" s="137"/>
      <c r="G6" s="112" t="s">
        <v>89</v>
      </c>
      <c r="H6" s="113">
        <v>1</v>
      </c>
      <c r="I6" s="114">
        <v>34000</v>
      </c>
      <c r="J6" s="114">
        <f>H6*I6</f>
        <v>34000</v>
      </c>
      <c r="K6" s="115" t="s">
        <v>99</v>
      </c>
      <c r="L6" s="116" t="s">
        <v>96</v>
      </c>
      <c r="R6" s="107"/>
      <c r="AD6" s="107"/>
    </row>
    <row r="7" spans="1:33" ht="22.5" customHeight="1">
      <c r="A7" s="5">
        <f t="shared" si="0"/>
        <v>2</v>
      </c>
      <c r="B7" s="133"/>
      <c r="C7" s="134"/>
      <c r="D7" s="144"/>
      <c r="E7" s="136"/>
      <c r="F7" s="137"/>
      <c r="G7" s="112"/>
      <c r="H7" s="113"/>
      <c r="I7" s="114"/>
      <c r="J7" s="114"/>
      <c r="K7" s="115"/>
      <c r="L7" s="116"/>
      <c r="R7" s="107"/>
      <c r="AD7" s="107"/>
    </row>
    <row r="8" spans="1:33" ht="22.5" customHeight="1">
      <c r="A8" s="5">
        <f t="shared" si="0"/>
        <v>3</v>
      </c>
      <c r="B8" s="133"/>
      <c r="C8" s="134"/>
      <c r="D8" s="144"/>
      <c r="E8" s="136"/>
      <c r="F8" s="137"/>
      <c r="G8" s="112"/>
      <c r="H8" s="113"/>
      <c r="I8" s="114"/>
      <c r="J8" s="114"/>
      <c r="K8" s="115"/>
      <c r="L8" s="116"/>
      <c r="R8" s="107"/>
      <c r="AD8" s="107"/>
    </row>
    <row r="9" spans="1:33" ht="22.5" customHeight="1">
      <c r="A9" s="5">
        <f t="shared" si="0"/>
        <v>4</v>
      </c>
      <c r="B9" s="133"/>
      <c r="C9" s="134"/>
      <c r="D9" s="135"/>
      <c r="E9" s="136"/>
      <c r="F9" s="137"/>
      <c r="G9" s="112"/>
      <c r="H9" s="113"/>
      <c r="I9" s="114"/>
      <c r="J9" s="114"/>
      <c r="K9" s="115"/>
      <c r="L9" s="116"/>
      <c r="R9" s="107"/>
      <c r="AD9" s="107"/>
    </row>
    <row r="10" spans="1:33" ht="22.5" customHeight="1">
      <c r="A10" s="5">
        <f t="shared" si="0"/>
        <v>5</v>
      </c>
      <c r="B10" s="142"/>
      <c r="C10" s="142"/>
      <c r="D10" s="143"/>
      <c r="E10" s="143"/>
      <c r="F10" s="143"/>
      <c r="G10" s="112"/>
      <c r="H10" s="113"/>
      <c r="I10" s="117"/>
      <c r="J10" s="114"/>
      <c r="K10" s="115"/>
      <c r="L10" s="112"/>
      <c r="R10" s="107"/>
      <c r="AD10" s="107"/>
    </row>
    <row r="11" spans="1:33" ht="22.5" customHeight="1">
      <c r="A11" s="5">
        <f t="shared" si="0"/>
        <v>6</v>
      </c>
      <c r="B11" s="133"/>
      <c r="C11" s="134"/>
      <c r="D11" s="135"/>
      <c r="E11" s="136"/>
      <c r="F11" s="137"/>
      <c r="G11" s="112"/>
      <c r="H11" s="113"/>
      <c r="I11" s="114"/>
      <c r="J11" s="114"/>
      <c r="K11" s="115"/>
      <c r="L11" s="116"/>
      <c r="R11" s="107"/>
      <c r="AD11" s="107"/>
    </row>
    <row r="12" spans="1:33" ht="22.5" customHeight="1">
      <c r="A12" s="5">
        <f t="shared" si="0"/>
        <v>7</v>
      </c>
      <c r="B12" s="133"/>
      <c r="C12" s="134"/>
      <c r="D12" s="135"/>
      <c r="E12" s="136"/>
      <c r="F12" s="137"/>
      <c r="G12" s="112"/>
      <c r="H12" s="113"/>
      <c r="I12" s="114"/>
      <c r="J12" s="114"/>
      <c r="K12" s="115"/>
      <c r="L12" s="116"/>
      <c r="R12" s="107"/>
      <c r="AD12" s="107"/>
    </row>
    <row r="13" spans="1:33" ht="22.5" customHeight="1">
      <c r="A13" s="5">
        <f t="shared" si="0"/>
        <v>8</v>
      </c>
      <c r="B13" s="133"/>
      <c r="C13" s="134"/>
      <c r="D13" s="135"/>
      <c r="E13" s="136"/>
      <c r="F13" s="137"/>
      <c r="G13" s="112"/>
      <c r="H13" s="113"/>
      <c r="I13" s="114"/>
      <c r="J13" s="114"/>
      <c r="K13" s="115"/>
      <c r="L13" s="116"/>
      <c r="R13" s="107"/>
      <c r="AD13" s="107"/>
    </row>
    <row r="14" spans="1:33" ht="22.5" customHeight="1">
      <c r="A14" s="138" t="s">
        <v>7</v>
      </c>
      <c r="B14" s="139"/>
      <c r="C14" s="118"/>
      <c r="D14" s="119"/>
      <c r="E14" s="119"/>
      <c r="F14" s="119"/>
      <c r="G14" s="120"/>
      <c r="H14" s="120"/>
      <c r="I14" s="121" t="s">
        <v>8</v>
      </c>
      <c r="J14" s="114">
        <f>SUM(J6:J13)</f>
        <v>34000</v>
      </c>
      <c r="K14" s="114"/>
      <c r="L14" s="122"/>
    </row>
    <row r="15" spans="1:33" ht="20.100000000000001" customHeight="1">
      <c r="A15" s="6" t="s">
        <v>9</v>
      </c>
      <c r="B15" s="7"/>
      <c r="C15" s="7"/>
      <c r="D15" s="7"/>
      <c r="E15" s="7"/>
      <c r="F15" s="7"/>
      <c r="G15" s="7"/>
      <c r="H15" s="7"/>
      <c r="I15" s="7"/>
      <c r="J15" s="7"/>
      <c r="K15" s="8"/>
      <c r="L15" s="9"/>
    </row>
    <row r="16" spans="1:33" ht="18" customHeight="1">
      <c r="A16" s="10"/>
      <c r="J16" s="1"/>
      <c r="K16" s="1"/>
      <c r="O16" s="11"/>
      <c r="P16" s="11"/>
      <c r="Q16" s="11"/>
      <c r="R16" s="11"/>
      <c r="S16" s="11"/>
      <c r="T16" s="11"/>
      <c r="U16" s="11"/>
      <c r="V16" s="11"/>
      <c r="W16" s="11"/>
      <c r="Y16" s="214"/>
      <c r="Z16" s="11"/>
      <c r="AA16" s="11"/>
      <c r="AB16" s="11"/>
      <c r="AD16" s="140" t="s">
        <v>10</v>
      </c>
      <c r="AE16" s="12" t="s">
        <v>11</v>
      </c>
      <c r="AF16" s="13" t="s">
        <v>12</v>
      </c>
      <c r="AG16" s="12" t="s">
        <v>13</v>
      </c>
    </row>
    <row r="17" spans="15:33" ht="50.1" customHeight="1">
      <c r="Y17" s="215"/>
      <c r="AD17" s="141"/>
      <c r="AE17" s="14"/>
      <c r="AF17" s="15"/>
      <c r="AG17" s="14"/>
    </row>
    <row r="18" spans="15:33" ht="17.100000000000001" customHeight="1">
      <c r="O18" s="216" t="s">
        <v>130</v>
      </c>
      <c r="P18" s="217"/>
      <c r="Q18" s="217"/>
      <c r="R18" s="218"/>
      <c r="S18" s="128"/>
      <c r="T18" s="216" t="s">
        <v>131</v>
      </c>
      <c r="U18" s="217"/>
      <c r="V18" s="217"/>
      <c r="W18" s="217"/>
      <c r="X18" s="217"/>
      <c r="Y18" s="218"/>
      <c r="Z18" s="11"/>
      <c r="AA18" s="11"/>
      <c r="AB18" s="11"/>
      <c r="AD18" s="130"/>
      <c r="AE18" s="15" t="s">
        <v>14</v>
      </c>
      <c r="AF18" s="15" t="s">
        <v>14</v>
      </c>
      <c r="AG18" s="16" t="s">
        <v>14</v>
      </c>
    </row>
    <row r="19" spans="15:33" ht="15" customHeight="1">
      <c r="O19" s="140" t="s">
        <v>132</v>
      </c>
      <c r="P19" s="129" t="s">
        <v>133</v>
      </c>
      <c r="Q19" s="140" t="s">
        <v>134</v>
      </c>
      <c r="R19" s="129" t="s">
        <v>135</v>
      </c>
      <c r="S19" s="128"/>
      <c r="T19" s="140" t="s">
        <v>136</v>
      </c>
      <c r="U19" s="129" t="s">
        <v>137</v>
      </c>
      <c r="V19" s="216" t="s">
        <v>138</v>
      </c>
      <c r="W19" s="217"/>
      <c r="X19" s="218"/>
      <c r="Y19" s="129" t="s">
        <v>139</v>
      </c>
      <c r="Z19" s="17" t="s">
        <v>15</v>
      </c>
      <c r="AA19" s="129" t="s">
        <v>16</v>
      </c>
      <c r="AB19" s="129" t="s">
        <v>17</v>
      </c>
    </row>
    <row r="20" spans="15:33" ht="18" customHeight="1">
      <c r="O20" s="130"/>
      <c r="P20" s="131"/>
      <c r="Q20" s="130"/>
      <c r="R20" s="131"/>
      <c r="S20" s="219"/>
      <c r="T20" s="130"/>
      <c r="U20" s="131"/>
      <c r="V20" s="13" t="s">
        <v>132</v>
      </c>
      <c r="W20" s="220" t="s">
        <v>140</v>
      </c>
      <c r="X20" s="221"/>
      <c r="Y20" s="131"/>
      <c r="Z20" s="18" t="s">
        <v>18</v>
      </c>
      <c r="AA20" s="131"/>
      <c r="AB20" s="131"/>
      <c r="AD20" s="140" t="s">
        <v>19</v>
      </c>
      <c r="AE20" s="12" t="s">
        <v>11</v>
      </c>
      <c r="AF20" s="12" t="s">
        <v>12</v>
      </c>
      <c r="AG20" s="12" t="s">
        <v>13</v>
      </c>
    </row>
    <row r="21" spans="15:33" ht="50.1" customHeight="1">
      <c r="O21" s="14"/>
      <c r="P21" s="14"/>
      <c r="Q21" s="14"/>
      <c r="R21" s="14"/>
      <c r="S21" s="128"/>
      <c r="T21" s="14"/>
      <c r="U21" s="14"/>
      <c r="V21" s="14"/>
      <c r="W21" s="216"/>
      <c r="X21" s="218"/>
      <c r="Y21" s="222"/>
      <c r="Z21" s="14"/>
      <c r="AA21" s="14"/>
      <c r="AB21" s="14"/>
      <c r="AD21" s="141"/>
      <c r="AE21" s="19"/>
      <c r="AF21" s="19"/>
      <c r="AG21" s="14"/>
    </row>
    <row r="22" spans="15:33" ht="36" customHeight="1">
      <c r="W22" s="223"/>
      <c r="X22" s="224" t="s">
        <v>141</v>
      </c>
      <c r="Y22" s="12" t="s">
        <v>139</v>
      </c>
      <c r="Z22" s="16" t="s">
        <v>14</v>
      </c>
      <c r="AA22" s="16" t="s">
        <v>14</v>
      </c>
      <c r="AB22" s="16" t="s">
        <v>14</v>
      </c>
      <c r="AD22" s="130"/>
      <c r="AE22" s="15" t="s">
        <v>14</v>
      </c>
      <c r="AF22" s="15" t="s">
        <v>14</v>
      </c>
      <c r="AG22" s="16" t="s">
        <v>14</v>
      </c>
    </row>
    <row r="23" spans="15:33" ht="51.75" customHeight="1">
      <c r="O23" s="225"/>
      <c r="P23" s="225"/>
      <c r="Q23" s="225"/>
      <c r="R23" s="225"/>
      <c r="S23" s="225"/>
      <c r="T23" s="225"/>
      <c r="U23" s="225"/>
      <c r="V23" s="225"/>
      <c r="W23" s="226"/>
      <c r="X23" s="227"/>
      <c r="Y23" s="228"/>
    </row>
    <row r="24" spans="15:33" ht="19.899999999999999" customHeight="1"/>
    <row r="25" spans="15:33" ht="17.45" customHeight="1">
      <c r="O25" s="132"/>
      <c r="P25" s="132"/>
      <c r="Z25" s="132"/>
      <c r="AA25" s="132"/>
      <c r="AB25" s="132"/>
    </row>
    <row r="26" spans="15:33" ht="19.899999999999999" customHeight="1">
      <c r="O26" s="132"/>
      <c r="P26" s="132"/>
      <c r="Z26" s="132"/>
      <c r="AA26" s="132"/>
      <c r="AB26" s="132"/>
    </row>
    <row r="27" spans="15:33" ht="14.25">
      <c r="O27" s="11"/>
      <c r="P27" s="11"/>
      <c r="Z27" s="11"/>
      <c r="AA27" s="11"/>
      <c r="AB27" s="11"/>
    </row>
    <row r="28" spans="15:33" ht="65.099999999999994" customHeight="1"/>
    <row r="29" spans="15:33" ht="14.25">
      <c r="O29" s="11"/>
      <c r="P29" s="11"/>
      <c r="Z29" s="11"/>
      <c r="AA29" s="11"/>
      <c r="AB29" s="11"/>
    </row>
    <row r="30" spans="15:33" ht="19.899999999999999" customHeight="1"/>
    <row r="31" spans="15:33" ht="14.25"/>
    <row r="32" spans="15:33" ht="19.899999999999999" customHeight="1"/>
    <row r="33" spans="15:33" ht="14.25"/>
    <row r="34" spans="15:33" ht="19.899999999999999" customHeight="1"/>
    <row r="35" spans="15:33" ht="19.899999999999999" customHeight="1"/>
    <row r="36" spans="15:33" ht="64.900000000000006" customHeight="1"/>
    <row r="38" spans="15:33" ht="19.899999999999999" customHeight="1">
      <c r="AE38" s="129" t="s">
        <v>20</v>
      </c>
    </row>
    <row r="39" spans="15:33" ht="19.899999999999999" customHeight="1">
      <c r="AE39" s="131"/>
    </row>
    <row r="40" spans="15:33" ht="64.900000000000006" customHeight="1">
      <c r="AE40" s="14"/>
    </row>
    <row r="44" spans="15:33" ht="21" customHeight="1">
      <c r="O44" s="129" t="s">
        <v>20</v>
      </c>
      <c r="P44" s="129" t="s">
        <v>20</v>
      </c>
      <c r="S44" s="129" t="s">
        <v>12</v>
      </c>
      <c r="Z44" s="129" t="s">
        <v>20</v>
      </c>
      <c r="AA44" s="129" t="s">
        <v>20</v>
      </c>
      <c r="AB44" s="129" t="s">
        <v>20</v>
      </c>
      <c r="AE44" s="129" t="s">
        <v>21</v>
      </c>
      <c r="AF44" s="129" t="s">
        <v>12</v>
      </c>
      <c r="AG44" s="129" t="s">
        <v>20</v>
      </c>
    </row>
    <row r="45" spans="15:33" ht="21" customHeight="1">
      <c r="O45" s="131"/>
      <c r="P45" s="131"/>
      <c r="S45" s="130"/>
      <c r="Z45" s="131"/>
      <c r="AA45" s="131"/>
      <c r="AB45" s="131"/>
      <c r="AE45" s="130"/>
      <c r="AF45" s="130"/>
      <c r="AG45" s="131"/>
    </row>
    <row r="46" spans="15:33" ht="64.900000000000006" customHeight="1">
      <c r="O46" s="14"/>
      <c r="P46" s="14"/>
      <c r="S46" s="15"/>
      <c r="Z46" s="14"/>
      <c r="AA46" s="14"/>
      <c r="AB46" s="14"/>
      <c r="AE46" s="14"/>
      <c r="AF46" s="15"/>
      <c r="AG46" s="14"/>
    </row>
    <row r="47" spans="15:33" ht="7.15" customHeight="1"/>
    <row r="48" spans="15:33" ht="21" customHeight="1">
      <c r="O48" s="129" t="s">
        <v>20</v>
      </c>
      <c r="P48" s="129" t="s">
        <v>20</v>
      </c>
      <c r="S48" s="129" t="s">
        <v>21</v>
      </c>
      <c r="Z48" s="129" t="s">
        <v>20</v>
      </c>
      <c r="AA48" s="129" t="s">
        <v>20</v>
      </c>
      <c r="AB48" s="129" t="s">
        <v>20</v>
      </c>
      <c r="AE48" s="129" t="s">
        <v>12</v>
      </c>
      <c r="AF48" s="129" t="s">
        <v>21</v>
      </c>
      <c r="AG48" s="129" t="s">
        <v>20</v>
      </c>
    </row>
    <row r="49" spans="15:33" ht="21" customHeight="1">
      <c r="O49" s="131"/>
      <c r="P49" s="131"/>
      <c r="S49" s="130"/>
      <c r="Z49" s="131"/>
      <c r="AA49" s="131"/>
      <c r="AB49" s="131"/>
      <c r="AE49" s="130"/>
      <c r="AF49" s="130"/>
      <c r="AG49" s="131"/>
    </row>
    <row r="50" spans="15:33" ht="64.900000000000006" customHeight="1">
      <c r="O50" s="14"/>
      <c r="P50" s="14"/>
      <c r="S50" s="14"/>
      <c r="Z50" s="14"/>
      <c r="AA50" s="14"/>
      <c r="AB50" s="14"/>
      <c r="AE50" s="15"/>
      <c r="AF50" s="14"/>
      <c r="AG50" s="14"/>
    </row>
  </sheetData>
  <mergeCells count="71">
    <mergeCell ref="O48:O49"/>
    <mergeCell ref="P48:P49"/>
    <mergeCell ref="S48:S49"/>
    <mergeCell ref="X22:X23"/>
    <mergeCell ref="O25:O26"/>
    <mergeCell ref="P25:P26"/>
    <mergeCell ref="O44:O45"/>
    <mergeCell ref="P44:P45"/>
    <mergeCell ref="S44:S45"/>
    <mergeCell ref="Y16:Y17"/>
    <mergeCell ref="O18:R18"/>
    <mergeCell ref="T18:Y18"/>
    <mergeCell ref="O19:O20"/>
    <mergeCell ref="P19:P20"/>
    <mergeCell ref="Q19:Q20"/>
    <mergeCell ref="R19:R20"/>
    <mergeCell ref="T19:T20"/>
    <mergeCell ref="U19:U20"/>
    <mergeCell ref="V19:X19"/>
    <mergeCell ref="Y19:Y20"/>
    <mergeCell ref="W20:X20"/>
    <mergeCell ref="W21:X21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8:C8"/>
    <mergeCell ref="D8:F8"/>
    <mergeCell ref="B7:C7"/>
    <mergeCell ref="D7:F7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A14:B14"/>
    <mergeCell ref="AD16:AD18"/>
    <mergeCell ref="AA19:AA20"/>
    <mergeCell ref="AB19:AB20"/>
    <mergeCell ref="AD20:AD22"/>
    <mergeCell ref="Z25:Z26"/>
    <mergeCell ref="AA25:AA26"/>
    <mergeCell ref="AB25:AB26"/>
    <mergeCell ref="AE38:AE39"/>
    <mergeCell ref="Z44:Z45"/>
    <mergeCell ref="AA44:AA45"/>
    <mergeCell ref="AB44:AB45"/>
    <mergeCell ref="AE44:AE45"/>
    <mergeCell ref="AF44:AF45"/>
    <mergeCell ref="AG44:AG45"/>
    <mergeCell ref="Z48:Z49"/>
    <mergeCell ref="AA48:AA49"/>
    <mergeCell ref="AB48:AB49"/>
    <mergeCell ref="AE48:AE49"/>
    <mergeCell ref="AF48:AF49"/>
    <mergeCell ref="AG48:AG49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86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M10" sqref="M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0" t="s">
        <v>93</v>
      </c>
      <c r="B1" s="101"/>
      <c r="C1" s="101"/>
      <c r="D1" s="101"/>
      <c r="E1" s="101"/>
      <c r="F1" s="101"/>
      <c r="G1" s="1"/>
      <c r="J1" s="173" t="str">
        <f>+MRS!J1</f>
        <v>DAESHIN PLANT</v>
      </c>
      <c r="K1" s="174"/>
    </row>
    <row r="2" spans="1:18" ht="24.95" customHeight="1">
      <c r="A2" s="3" t="str">
        <f>+MRS!A2</f>
        <v xml:space="preserve">  PJT :  SACE2           </v>
      </c>
      <c r="B2" s="102"/>
      <c r="C2" s="102"/>
      <c r="D2" s="3" t="str">
        <f>+MRS!D2</f>
        <v>Division (In charge Name) : ADMIN MANAGER (Dong Chang Kim)</v>
      </c>
      <c r="E2" s="102"/>
      <c r="F2" s="102"/>
      <c r="G2" s="20"/>
      <c r="H2" s="20"/>
      <c r="I2" s="20"/>
      <c r="J2" s="175" t="str">
        <f>+MRS!J2</f>
        <v>Subcontract name (SAC2-SC-IK-SMP-01)</v>
      </c>
      <c r="K2" s="176"/>
    </row>
    <row r="3" spans="1:18" ht="24.95" customHeight="1">
      <c r="A3" s="3" t="str">
        <f>+MRS!A3</f>
        <v xml:space="preserve">  MRS No : SAC2-DS-MRS-0497</v>
      </c>
      <c r="B3" s="102"/>
      <c r="C3" s="102"/>
      <c r="D3" s="102"/>
      <c r="E3" s="102"/>
      <c r="F3" s="102"/>
      <c r="G3" s="102"/>
      <c r="H3" s="102"/>
      <c r="I3" s="102"/>
      <c r="J3" s="102"/>
      <c r="K3" s="103">
        <f>+MRS!L3</f>
        <v>46316</v>
      </c>
    </row>
    <row r="4" spans="1:18" ht="15.95" customHeight="1">
      <c r="A4" s="177" t="s">
        <v>1</v>
      </c>
      <c r="B4" s="178" t="s">
        <v>22</v>
      </c>
      <c r="C4" s="178"/>
      <c r="D4" s="177" t="s">
        <v>3</v>
      </c>
      <c r="E4" s="177"/>
      <c r="F4" s="177"/>
      <c r="G4" s="178" t="s">
        <v>4</v>
      </c>
      <c r="H4" s="177" t="s">
        <v>90</v>
      </c>
      <c r="I4" s="177" t="s">
        <v>23</v>
      </c>
      <c r="J4" s="177" t="s">
        <v>24</v>
      </c>
      <c r="K4" s="178" t="s">
        <v>6</v>
      </c>
    </row>
    <row r="5" spans="1:18" ht="15.95" customHeight="1">
      <c r="A5" s="177"/>
      <c r="B5" s="178"/>
      <c r="C5" s="178"/>
      <c r="D5" s="177"/>
      <c r="E5" s="177"/>
      <c r="F5" s="177"/>
      <c r="G5" s="178"/>
      <c r="H5" s="177"/>
      <c r="I5" s="177"/>
      <c r="J5" s="177"/>
      <c r="K5" s="178"/>
    </row>
    <row r="6" spans="1:18" ht="105" customHeight="1">
      <c r="A6" s="21">
        <f>+MRS!A6</f>
        <v>1</v>
      </c>
      <c r="B6" s="168" t="str">
        <f>MRS!B6</f>
        <v>Boom Truck</v>
      </c>
      <c r="C6" s="169"/>
      <c r="D6" s="170" t="str">
        <f>MRS!D6</f>
        <v>10 Ton with Aramco Certified Operator</v>
      </c>
      <c r="E6" s="171"/>
      <c r="F6" s="172"/>
      <c r="G6" s="104" t="str">
        <f>MRS!G6</f>
        <v>Month</v>
      </c>
      <c r="H6" s="104">
        <f>MRS!H6</f>
        <v>1</v>
      </c>
      <c r="I6" s="105">
        <f>MRS!I6</f>
        <v>34000</v>
      </c>
      <c r="J6" s="105">
        <f>MRS!J6</f>
        <v>34000</v>
      </c>
      <c r="K6" s="106"/>
      <c r="O6" s="107"/>
      <c r="P6" s="107"/>
      <c r="R6" s="107"/>
    </row>
    <row r="7" spans="1:18" ht="105" customHeight="1">
      <c r="A7" s="21">
        <f>+MRS!A7</f>
        <v>2</v>
      </c>
      <c r="B7" s="168">
        <f>MRS!B7</f>
        <v>0</v>
      </c>
      <c r="C7" s="169"/>
      <c r="D7" s="170">
        <f>MRS!D7</f>
        <v>0</v>
      </c>
      <c r="E7" s="171"/>
      <c r="F7" s="172"/>
      <c r="G7" s="104">
        <f>MRS!G7</f>
        <v>0</v>
      </c>
      <c r="H7" s="104">
        <f>MRS!H7</f>
        <v>0</v>
      </c>
      <c r="I7" s="105">
        <f>MRS!I7</f>
        <v>0</v>
      </c>
      <c r="J7" s="105">
        <f>MRS!J7</f>
        <v>0</v>
      </c>
      <c r="K7" s="106"/>
      <c r="O7" s="107"/>
      <c r="P7" s="107"/>
      <c r="R7" s="107"/>
    </row>
    <row r="8" spans="1:18" ht="105" customHeight="1">
      <c r="A8" s="21">
        <f>+MRS!A8</f>
        <v>3</v>
      </c>
      <c r="B8" s="168">
        <f>MRS!B8</f>
        <v>0</v>
      </c>
      <c r="C8" s="169"/>
      <c r="D8" s="170">
        <f>MRS!D8</f>
        <v>0</v>
      </c>
      <c r="E8" s="171"/>
      <c r="F8" s="172"/>
      <c r="G8" s="104">
        <f>MRS!G8</f>
        <v>0</v>
      </c>
      <c r="H8" s="104">
        <f>MRS!H8</f>
        <v>0</v>
      </c>
      <c r="I8" s="105">
        <f>MRS!I8</f>
        <v>0</v>
      </c>
      <c r="J8" s="105">
        <f>MRS!J8</f>
        <v>0</v>
      </c>
      <c r="K8" s="106"/>
      <c r="O8" s="107"/>
      <c r="P8" s="107"/>
      <c r="R8" s="107"/>
    </row>
    <row r="9" spans="1:18" ht="105" customHeight="1">
      <c r="A9" s="21">
        <f>+MRS!A9</f>
        <v>4</v>
      </c>
      <c r="B9" s="163"/>
      <c r="C9" s="164"/>
      <c r="D9" s="165"/>
      <c r="E9" s="166"/>
      <c r="F9" s="167"/>
      <c r="G9" s="108"/>
      <c r="H9" s="109"/>
      <c r="I9" s="110"/>
      <c r="J9" s="110"/>
      <c r="K9" s="106"/>
      <c r="O9" s="107"/>
      <c r="P9" s="107"/>
      <c r="R9" s="107"/>
    </row>
    <row r="10" spans="1:18" ht="105" customHeight="1">
      <c r="A10" s="21">
        <f>+MRS!A10</f>
        <v>5</v>
      </c>
      <c r="B10" s="163"/>
      <c r="C10" s="164"/>
      <c r="D10" s="165"/>
      <c r="E10" s="166"/>
      <c r="F10" s="167"/>
      <c r="G10" s="108"/>
      <c r="H10" s="109"/>
      <c r="I10" s="110"/>
      <c r="J10" s="110"/>
      <c r="K10" s="106"/>
      <c r="O10" s="107"/>
      <c r="P10" s="107"/>
      <c r="R10" s="107"/>
    </row>
    <row r="11" spans="1:18" ht="105" customHeight="1">
      <c r="A11" s="21" t="e">
        <f>+MRS!#REF!</f>
        <v>#REF!</v>
      </c>
      <c r="B11" s="163"/>
      <c r="C11" s="164"/>
      <c r="D11" s="165"/>
      <c r="E11" s="166"/>
      <c r="F11" s="167"/>
      <c r="G11" s="108"/>
      <c r="H11" s="109"/>
      <c r="I11" s="110"/>
      <c r="J11" s="110"/>
      <c r="K11" s="106"/>
      <c r="O11" s="107"/>
      <c r="P11" s="107"/>
      <c r="R11" s="107"/>
    </row>
    <row r="12" spans="1:18" ht="105" customHeight="1">
      <c r="A12" s="21" t="e">
        <f>+MRS!#REF!</f>
        <v>#REF!</v>
      </c>
      <c r="B12" s="163"/>
      <c r="C12" s="164"/>
      <c r="D12" s="165"/>
      <c r="E12" s="166"/>
      <c r="F12" s="167"/>
      <c r="G12" s="108"/>
      <c r="H12" s="109"/>
      <c r="I12" s="110"/>
      <c r="J12" s="110"/>
      <c r="K12" s="106"/>
      <c r="O12" s="107"/>
      <c r="P12" s="107"/>
      <c r="R12" s="107"/>
    </row>
    <row r="13" spans="1:18" ht="105" customHeight="1">
      <c r="A13" s="21">
        <f>+MRS!A11</f>
        <v>6</v>
      </c>
      <c r="B13" s="163"/>
      <c r="C13" s="164"/>
      <c r="D13" s="165"/>
      <c r="E13" s="166"/>
      <c r="F13" s="167"/>
      <c r="G13" s="108"/>
      <c r="H13" s="109"/>
      <c r="I13" s="110"/>
      <c r="J13" s="110"/>
      <c r="K13" s="106"/>
      <c r="O13" s="107"/>
      <c r="P13" s="107"/>
      <c r="R13" s="107"/>
    </row>
    <row r="14" spans="1:18" ht="105" customHeight="1">
      <c r="A14" s="21">
        <f>+MRS!A12</f>
        <v>7</v>
      </c>
      <c r="B14" s="163"/>
      <c r="C14" s="164"/>
      <c r="D14" s="165"/>
      <c r="E14" s="166"/>
      <c r="F14" s="167"/>
      <c r="G14" s="108"/>
      <c r="H14" s="109"/>
      <c r="I14" s="110"/>
      <c r="J14" s="110"/>
      <c r="K14" s="106"/>
      <c r="O14" s="107"/>
      <c r="P14" s="107"/>
      <c r="R14" s="107"/>
    </row>
    <row r="15" spans="1:18" ht="105" customHeight="1">
      <c r="A15" s="21">
        <f>+MRS!A13</f>
        <v>8</v>
      </c>
      <c r="B15" s="163"/>
      <c r="C15" s="164"/>
      <c r="D15" s="165"/>
      <c r="E15" s="166"/>
      <c r="F15" s="167"/>
      <c r="G15" s="108"/>
      <c r="H15" s="109"/>
      <c r="I15" s="110"/>
      <c r="J15" s="110"/>
      <c r="K15" s="106"/>
      <c r="O15" s="107"/>
      <c r="P15" s="107"/>
      <c r="R15" s="107"/>
    </row>
    <row r="16" spans="1:18" ht="105" customHeight="1">
      <c r="A16" s="21" t="e">
        <f>+MRS!#REF!</f>
        <v>#REF!</v>
      </c>
      <c r="B16" s="163"/>
      <c r="C16" s="164"/>
      <c r="D16" s="165"/>
      <c r="E16" s="166"/>
      <c r="F16" s="167"/>
      <c r="G16" s="108"/>
      <c r="H16" s="109"/>
      <c r="I16" s="110"/>
      <c r="J16" s="110"/>
      <c r="K16" s="106"/>
      <c r="O16" s="107"/>
      <c r="P16" s="107"/>
      <c r="R16" s="107"/>
    </row>
    <row r="17" spans="1:18" ht="105" customHeight="1">
      <c r="A17" s="21" t="e">
        <f>+MRS!#REF!</f>
        <v>#REF!</v>
      </c>
      <c r="B17" s="163"/>
      <c r="C17" s="164"/>
      <c r="D17" s="165"/>
      <c r="E17" s="166"/>
      <c r="F17" s="167"/>
      <c r="G17" s="108"/>
      <c r="H17" s="109"/>
      <c r="I17" s="110"/>
      <c r="J17" s="110"/>
      <c r="K17" s="106"/>
      <c r="O17" s="107"/>
      <c r="P17" s="107"/>
      <c r="R17" s="107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40" zoomScale="130" zoomScaleSheetLayoutView="130" workbookViewId="0">
      <selection activeCell="C26" sqref="C2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105</v>
      </c>
    </row>
    <row r="3" spans="2:13" s="22" customFormat="1">
      <c r="M3" s="24" t="s">
        <v>25</v>
      </c>
    </row>
    <row r="4" spans="2:13" s="22" customFormat="1">
      <c r="M4" s="24" t="s">
        <v>26</v>
      </c>
    </row>
    <row r="5" spans="2:13" s="22" customFormat="1">
      <c r="B5" s="25" t="s">
        <v>27</v>
      </c>
      <c r="M5" s="24" t="s">
        <v>28</v>
      </c>
    </row>
    <row r="6" spans="2:13" s="22" customFormat="1">
      <c r="M6" s="24" t="s">
        <v>29</v>
      </c>
    </row>
    <row r="7" spans="2:13">
      <c r="M7" s="27"/>
    </row>
    <row r="8" spans="2:13">
      <c r="M8" s="27"/>
    </row>
    <row r="9" spans="2:13" s="74" customFormat="1" ht="13.5">
      <c r="B9" s="72" t="s">
        <v>30</v>
      </c>
      <c r="C9" s="73" t="s">
        <v>143</v>
      </c>
      <c r="D9" s="39"/>
      <c r="E9" s="39"/>
    </row>
    <row r="10" spans="2:13" s="39" customFormat="1">
      <c r="B10" s="72"/>
      <c r="C10" s="39" t="s">
        <v>31</v>
      </c>
      <c r="D10" s="76" t="s">
        <v>101</v>
      </c>
      <c r="J10" s="39" t="s">
        <v>32</v>
      </c>
      <c r="K10" s="180">
        <f>MRS!L3</f>
        <v>46316</v>
      </c>
      <c r="L10" s="181"/>
      <c r="M10" s="181"/>
    </row>
    <row r="11" spans="2:13" s="39" customFormat="1">
      <c r="B11" s="72"/>
      <c r="C11" s="75" t="s">
        <v>33</v>
      </c>
      <c r="D11" s="76" t="s">
        <v>107</v>
      </c>
      <c r="J11" s="39" t="s">
        <v>34</v>
      </c>
      <c r="K11" s="182" t="str">
        <f>SUBSTITUTE(SUBSTITUTE(+MRS!A3,"  MRS No : ",""),"-MRS","-PO")</f>
        <v>SAC2-DS-PO-0497</v>
      </c>
      <c r="L11" s="182"/>
      <c r="M11" s="182"/>
    </row>
    <row r="12" spans="2:13" s="39" customFormat="1">
      <c r="B12" s="72"/>
      <c r="C12" s="75" t="s">
        <v>35</v>
      </c>
      <c r="D12" s="39" t="s">
        <v>121</v>
      </c>
      <c r="J12" s="39" t="s">
        <v>36</v>
      </c>
    </row>
    <row r="13" spans="2:13" s="39" customFormat="1">
      <c r="B13" s="72"/>
      <c r="C13" s="77"/>
      <c r="D13" s="76" t="s">
        <v>102</v>
      </c>
      <c r="J13" s="39" t="s">
        <v>37</v>
      </c>
    </row>
    <row r="14" spans="2:13" s="39" customFormat="1">
      <c r="B14" s="72"/>
      <c r="C14" s="77" t="s">
        <v>103</v>
      </c>
      <c r="J14" s="39" t="s">
        <v>38</v>
      </c>
      <c r="K14" s="39" t="s">
        <v>142</v>
      </c>
    </row>
    <row r="15" spans="2:13" s="39" customFormat="1">
      <c r="B15" s="72"/>
      <c r="C15" s="77" t="s">
        <v>104</v>
      </c>
      <c r="J15" s="39" t="s">
        <v>39</v>
      </c>
      <c r="K15" s="78">
        <v>46312</v>
      </c>
    </row>
    <row r="16" spans="2:13" s="39" customFormat="1">
      <c r="C16" s="77"/>
      <c r="K16" s="78"/>
    </row>
    <row r="17" spans="2:13" ht="12" customHeight="1">
      <c r="C17" s="29"/>
      <c r="K17" s="30"/>
    </row>
    <row r="18" spans="2:13" ht="20.25">
      <c r="B18" s="183" t="s">
        <v>40</v>
      </c>
      <c r="C18" s="183"/>
      <c r="D18" s="183"/>
      <c r="E18" s="183"/>
      <c r="F18" s="183"/>
      <c r="G18" s="183"/>
      <c r="H18" s="183"/>
      <c r="I18" s="183"/>
      <c r="J18" s="183"/>
      <c r="K18" s="183"/>
      <c r="L18" s="183"/>
      <c r="M18" s="183"/>
    </row>
    <row r="19" spans="2:13" ht="12" customHeight="1"/>
    <row r="20" spans="2:13" s="31" customFormat="1" ht="12" customHeight="1">
      <c r="B20" s="184" t="s">
        <v>41</v>
      </c>
      <c r="C20" s="184"/>
      <c r="D20" s="184"/>
      <c r="E20" s="184"/>
      <c r="F20" s="184"/>
      <c r="G20" s="184"/>
      <c r="H20" s="184"/>
      <c r="I20" s="184"/>
      <c r="J20" s="184"/>
      <c r="K20" s="184"/>
      <c r="L20" s="184"/>
      <c r="M20" s="184"/>
    </row>
    <row r="21" spans="2:13" s="31" customFormat="1" ht="12" customHeight="1">
      <c r="B21" s="184" t="s">
        <v>42</v>
      </c>
      <c r="C21" s="184"/>
      <c r="D21" s="184"/>
      <c r="E21" s="184"/>
      <c r="F21" s="184"/>
      <c r="G21" s="184"/>
      <c r="H21" s="184"/>
      <c r="I21" s="184"/>
      <c r="J21" s="184"/>
      <c r="K21" s="184"/>
      <c r="L21" s="184"/>
      <c r="M21" s="184"/>
    </row>
    <row r="22" spans="2:13" s="31" customFormat="1" ht="12" customHeight="1">
      <c r="B22" s="184" t="s">
        <v>43</v>
      </c>
      <c r="C22" s="184"/>
      <c r="D22" s="184"/>
      <c r="E22" s="184"/>
      <c r="F22" s="184"/>
      <c r="G22" s="184"/>
      <c r="H22" s="184"/>
      <c r="I22" s="184"/>
      <c r="J22" s="184"/>
      <c r="K22" s="184"/>
      <c r="L22" s="184"/>
      <c r="M22" s="184"/>
    </row>
    <row r="23" spans="2:13" ht="6.95" customHeight="1">
      <c r="B23" s="185"/>
      <c r="C23" s="185"/>
      <c r="D23" s="185"/>
      <c r="E23" s="185"/>
      <c r="F23" s="185"/>
      <c r="G23" s="185"/>
      <c r="H23" s="185"/>
      <c r="I23" s="185"/>
      <c r="J23" s="185"/>
      <c r="K23" s="185"/>
      <c r="L23" s="185"/>
      <c r="M23" s="185"/>
    </row>
    <row r="24" spans="2:13" ht="6.95" customHeight="1">
      <c r="B24" s="186"/>
      <c r="C24" s="186"/>
      <c r="D24" s="186"/>
      <c r="E24" s="186"/>
      <c r="F24" s="186"/>
      <c r="G24" s="186"/>
      <c r="H24" s="186"/>
      <c r="I24" s="186"/>
      <c r="J24" s="186"/>
      <c r="K24" s="186"/>
      <c r="L24" s="186"/>
      <c r="M24" s="186"/>
    </row>
    <row r="25" spans="2:13" s="32" customFormat="1" ht="15" customHeight="1">
      <c r="B25" s="32">
        <v>1</v>
      </c>
      <c r="C25" s="32" t="s">
        <v>44</v>
      </c>
    </row>
    <row r="26" spans="2:13" s="39" customFormat="1" ht="12" customHeight="1">
      <c r="B26" s="73"/>
      <c r="C26" s="123" t="str">
        <f>_xlfn.CONCAT(MRS!B6," ",MRS!D6)</f>
        <v>Boom Truck 10 Ton with Aramco Certified Operator</v>
      </c>
      <c r="H26" s="126"/>
      <c r="M26" s="79" t="s">
        <v>45</v>
      </c>
    </row>
    <row r="27" spans="2:13" ht="11.1" customHeight="1">
      <c r="B27" s="32"/>
    </row>
    <row r="28" spans="2:13" ht="15" customHeight="1">
      <c r="B28" s="32">
        <v>2</v>
      </c>
      <c r="C28" s="32" t="s">
        <v>46</v>
      </c>
    </row>
    <row r="29" spans="2:13" ht="12" customHeight="1">
      <c r="B29" s="32"/>
      <c r="C29" s="26" t="s">
        <v>47</v>
      </c>
      <c r="E29" s="26" t="s">
        <v>48</v>
      </c>
      <c r="F29" s="187" t="s">
        <v>96</v>
      </c>
      <c r="G29" s="187"/>
      <c r="H29" s="33"/>
      <c r="M29" s="34"/>
    </row>
    <row r="30" spans="2:13" ht="12" customHeight="1">
      <c r="B30" s="32"/>
      <c r="C30" s="26" t="s">
        <v>49</v>
      </c>
      <c r="E30" s="26" t="s">
        <v>48</v>
      </c>
      <c r="F30" s="187"/>
      <c r="G30" s="187"/>
    </row>
    <row r="31" spans="2:13" ht="12" customHeight="1">
      <c r="B31" s="32"/>
      <c r="C31" s="26" t="s">
        <v>50</v>
      </c>
      <c r="D31" s="35"/>
      <c r="E31" s="26" t="s">
        <v>48</v>
      </c>
      <c r="F31" s="187"/>
      <c r="G31" s="187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51</v>
      </c>
    </row>
    <row r="34" spans="2:13" ht="12" customHeight="1">
      <c r="B34" s="32"/>
      <c r="C34" s="22" t="s">
        <v>52</v>
      </c>
    </row>
    <row r="35" spans="2:13" ht="12" customHeight="1">
      <c r="B35" s="32"/>
      <c r="C35" s="22" t="s">
        <v>53</v>
      </c>
    </row>
    <row r="36" spans="2:13" ht="12" customHeight="1">
      <c r="B36" s="32"/>
      <c r="C36" s="22" t="s">
        <v>54</v>
      </c>
    </row>
    <row r="37" spans="2:13" ht="11.1" customHeight="1">
      <c r="B37" s="32"/>
    </row>
    <row r="38" spans="2:13" ht="15" customHeight="1">
      <c r="B38" s="32">
        <v>4</v>
      </c>
      <c r="C38" s="32" t="s">
        <v>55</v>
      </c>
    </row>
    <row r="39" spans="2:13" ht="12" customHeight="1">
      <c r="B39" s="32"/>
      <c r="C39" s="26" t="s">
        <v>56</v>
      </c>
    </row>
    <row r="40" spans="2:13" ht="11.1" customHeight="1">
      <c r="B40" s="32"/>
    </row>
    <row r="41" spans="2:13" ht="15" customHeight="1">
      <c r="B41" s="32">
        <v>5</v>
      </c>
      <c r="C41" s="32" t="s">
        <v>57</v>
      </c>
    </row>
    <row r="42" spans="2:13" ht="12" customHeight="1">
      <c r="B42" s="32"/>
      <c r="C42" s="36" t="s">
        <v>58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59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60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61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62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11.1" customHeight="1">
      <c r="B47" s="32"/>
    </row>
    <row r="48" spans="2:13" ht="15" customHeight="1">
      <c r="B48" s="32">
        <v>6</v>
      </c>
      <c r="C48" s="32" t="s">
        <v>63</v>
      </c>
    </row>
    <row r="49" spans="2:16" s="39" customFormat="1" ht="12" customHeight="1">
      <c r="B49" s="80" t="s">
        <v>64</v>
      </c>
      <c r="C49" s="81" t="s">
        <v>98</v>
      </c>
      <c r="P49" s="82"/>
    </row>
    <row r="50" spans="2:16" s="83" customFormat="1" ht="12" customHeight="1">
      <c r="B50" s="84" t="s">
        <v>64</v>
      </c>
      <c r="C50" s="81" t="s">
        <v>92</v>
      </c>
    </row>
    <row r="51" spans="2:16" s="83" customFormat="1" ht="12" customHeight="1">
      <c r="B51" s="84" t="s">
        <v>64</v>
      </c>
      <c r="C51" s="81" t="s">
        <v>91</v>
      </c>
    </row>
    <row r="52" spans="2:16" s="83" customFormat="1" ht="4.5" customHeight="1">
      <c r="B52" s="84"/>
      <c r="C52" s="81"/>
    </row>
    <row r="53" spans="2:16" ht="15" customHeight="1">
      <c r="B53" s="42">
        <v>7</v>
      </c>
      <c r="C53" s="32" t="s">
        <v>108</v>
      </c>
    </row>
    <row r="54" spans="2:16" ht="12" customHeight="1">
      <c r="B54" s="84" t="s">
        <v>64</v>
      </c>
      <c r="C54" s="124" t="s">
        <v>109</v>
      </c>
      <c r="F54" s="26" t="s">
        <v>119</v>
      </c>
      <c r="P54" s="26" t="str">
        <f>UPPER(F54)</f>
        <v>TOEKOMS CONTRACTING COMPANY</v>
      </c>
    </row>
    <row r="55" spans="2:16" ht="12" customHeight="1">
      <c r="B55" s="84" t="s">
        <v>64</v>
      </c>
      <c r="C55" s="124" t="s">
        <v>110</v>
      </c>
      <c r="F55" s="125" t="s">
        <v>120</v>
      </c>
    </row>
    <row r="56" spans="2:16" ht="12" customHeight="1">
      <c r="B56" s="84" t="s">
        <v>64</v>
      </c>
      <c r="C56" s="124" t="s">
        <v>111</v>
      </c>
      <c r="F56" s="125" t="s">
        <v>122</v>
      </c>
    </row>
    <row r="57" spans="2:16" ht="12" customHeight="1">
      <c r="B57" s="84" t="s">
        <v>64</v>
      </c>
      <c r="C57" s="124" t="s">
        <v>112</v>
      </c>
      <c r="F57" s="26" t="s">
        <v>113</v>
      </c>
    </row>
    <row r="58" spans="2:16" ht="12" customHeight="1">
      <c r="B58" s="84" t="s">
        <v>64</v>
      </c>
      <c r="C58" s="124" t="s">
        <v>114</v>
      </c>
      <c r="F58" s="26" t="s">
        <v>115</v>
      </c>
    </row>
    <row r="59" spans="2:16" ht="12" customHeight="1">
      <c r="B59" s="84" t="s">
        <v>64</v>
      </c>
      <c r="C59" s="124" t="s">
        <v>116</v>
      </c>
      <c r="F59" s="26" t="s">
        <v>117</v>
      </c>
    </row>
    <row r="60" spans="2:16" ht="12" customHeight="1">
      <c r="B60" s="84"/>
      <c r="C60" s="127" t="s">
        <v>118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11.1" customHeight="1">
      <c r="B63" s="42"/>
    </row>
    <row r="64" spans="2:16">
      <c r="B64" s="32" t="s">
        <v>65</v>
      </c>
      <c r="J64" s="32" t="s">
        <v>66</v>
      </c>
    </row>
    <row r="65" spans="1:13" ht="48" customHeight="1"/>
    <row r="66" spans="1:13" ht="18" customHeight="1">
      <c r="B66" s="26" t="s">
        <v>67</v>
      </c>
      <c r="J66" s="26" t="s">
        <v>67</v>
      </c>
    </row>
    <row r="67" spans="1:13" ht="15" customHeight="1">
      <c r="B67" s="26" t="s">
        <v>68</v>
      </c>
      <c r="J67" s="26" t="s">
        <v>69</v>
      </c>
      <c r="K67" s="22" t="str">
        <f>UPPER(D12)</f>
        <v>MUDASSAR NAZAR</v>
      </c>
    </row>
    <row r="68" spans="1:13" ht="15" customHeight="1">
      <c r="B68" s="26" t="s">
        <v>70</v>
      </c>
      <c r="J68" s="26" t="s">
        <v>71</v>
      </c>
      <c r="K68" s="22" t="s">
        <v>100</v>
      </c>
    </row>
    <row r="69" spans="1:13" ht="14.25" customHeight="1">
      <c r="B69" s="26" t="s">
        <v>72</v>
      </c>
      <c r="J69" s="26" t="s">
        <v>73</v>
      </c>
    </row>
    <row r="70" spans="1:13" s="28" customFormat="1" ht="15" customHeight="1">
      <c r="B70" s="25" t="s">
        <v>106</v>
      </c>
      <c r="J70" s="25" t="str">
        <f>C9</f>
        <v>TCO (Toekoms Contracting Company)</v>
      </c>
    </row>
    <row r="71" spans="1:13" ht="27.95" customHeight="1">
      <c r="A71" s="179" t="s">
        <v>74</v>
      </c>
      <c r="B71" s="179"/>
      <c r="C71" s="179"/>
      <c r="D71" s="179"/>
      <c r="E71" s="179"/>
      <c r="F71" s="179"/>
      <c r="G71" s="179"/>
      <c r="H71" s="179"/>
      <c r="I71" s="179"/>
      <c r="J71" s="179"/>
      <c r="K71" s="179"/>
      <c r="L71" s="179"/>
      <c r="M71" s="179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2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7" sqref="B7:C7"/>
    </sheetView>
  </sheetViews>
  <sheetFormatPr defaultColWidth="9" defaultRowHeight="12.75"/>
  <cols>
    <col min="1" max="1" width="8.5703125" style="45" customWidth="1"/>
    <col min="2" max="2" width="30.140625" style="46" customWidth="1"/>
    <col min="3" max="3" width="24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SAC2-DS-PO-0497</v>
      </c>
      <c r="C2" s="194" t="s">
        <v>76</v>
      </c>
      <c r="D2" s="194"/>
      <c r="E2" s="194"/>
      <c r="F2" s="194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46316</v>
      </c>
      <c r="C3" s="51"/>
      <c r="D3" s="52"/>
      <c r="E3" s="195" t="s">
        <v>78</v>
      </c>
      <c r="F3" s="195"/>
      <c r="G3" s="195"/>
      <c r="H3" s="195"/>
      <c r="I3" s="53"/>
    </row>
    <row r="4" spans="1:13" s="55" customFormat="1" ht="28.5" customHeight="1" thickTop="1">
      <c r="A4" s="196" t="s">
        <v>79</v>
      </c>
      <c r="B4" s="198" t="s">
        <v>80</v>
      </c>
      <c r="C4" s="199"/>
      <c r="D4" s="202" t="s">
        <v>81</v>
      </c>
      <c r="E4" s="202" t="s">
        <v>82</v>
      </c>
      <c r="F4" s="204" t="str">
        <f>'PO 1st page'!C9</f>
        <v>TCO (Toekoms Contracting Company)</v>
      </c>
      <c r="G4" s="205"/>
      <c r="H4" s="206" t="s">
        <v>83</v>
      </c>
      <c r="K4" s="56"/>
      <c r="L4" s="56"/>
      <c r="M4" s="56"/>
    </row>
    <row r="5" spans="1:13" s="55" customFormat="1" ht="21.95" customHeight="1">
      <c r="A5" s="197"/>
      <c r="B5" s="200"/>
      <c r="C5" s="201"/>
      <c r="D5" s="203"/>
      <c r="E5" s="203"/>
      <c r="F5" s="57" t="s">
        <v>84</v>
      </c>
      <c r="G5" s="57" t="s">
        <v>50</v>
      </c>
      <c r="H5" s="207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8" t="str">
        <f>CONCATENATE(MRS!B6," ",MRS!D6)</f>
        <v>Boom Truck 10 Ton with Aramco Certified Operator</v>
      </c>
      <c r="C6" s="209"/>
      <c r="D6" s="86" t="str">
        <f>+'MRS LIST'!G6</f>
        <v>Month</v>
      </c>
      <c r="E6" s="87">
        <f>+'MRS LIST'!H6</f>
        <v>1</v>
      </c>
      <c r="F6" s="88">
        <f>+'MRS LIST'!I6</f>
        <v>34000</v>
      </c>
      <c r="G6" s="89">
        <f>+'MRS LIST'!J6</f>
        <v>34000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208"/>
      <c r="C7" s="209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208"/>
      <c r="C8" s="209"/>
      <c r="D8" s="86"/>
      <c r="E8" s="87"/>
      <c r="F8" s="88"/>
      <c r="G8" s="89"/>
      <c r="H8" s="90"/>
      <c r="K8" s="56"/>
      <c r="L8" s="56"/>
      <c r="M8" s="56"/>
    </row>
    <row r="9" spans="1:13" s="55" customFormat="1" ht="32.1" customHeight="1">
      <c r="A9" s="93">
        <f t="shared" si="0"/>
        <v>4</v>
      </c>
      <c r="B9" s="192"/>
      <c r="C9" s="193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92"/>
      <c r="C10" s="193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92"/>
      <c r="C11" s="193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92"/>
      <c r="C12" s="193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92"/>
      <c r="C13" s="193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92"/>
      <c r="C14" s="193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92"/>
      <c r="C15" s="193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92"/>
      <c r="C16" s="193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92"/>
      <c r="C17" s="193"/>
      <c r="D17" s="94"/>
      <c r="E17" s="95"/>
      <c r="F17" s="96"/>
      <c r="G17" s="97"/>
      <c r="H17" s="98"/>
    </row>
    <row r="18" spans="1:13" s="55" customFormat="1" ht="23.1" customHeight="1">
      <c r="A18" s="188" t="s">
        <v>85</v>
      </c>
      <c r="B18" s="189"/>
      <c r="C18" s="189"/>
      <c r="D18" s="189"/>
      <c r="E18" s="189"/>
      <c r="F18" s="189"/>
      <c r="G18" s="58">
        <f>SUM(G6:G17)</f>
        <v>34000</v>
      </c>
      <c r="H18" s="59"/>
    </row>
    <row r="19" spans="1:13" s="55" customFormat="1" ht="23.1" customHeight="1">
      <c r="A19" s="188" t="s">
        <v>49</v>
      </c>
      <c r="B19" s="189"/>
      <c r="C19" s="189"/>
      <c r="D19" s="189"/>
      <c r="E19" s="189"/>
      <c r="F19" s="189"/>
      <c r="G19" s="58">
        <f>+G18*0.15</f>
        <v>5100</v>
      </c>
      <c r="H19" s="59"/>
    </row>
    <row r="20" spans="1:13" s="55" customFormat="1" ht="24.95" customHeight="1" thickBot="1">
      <c r="A20" s="190" t="s">
        <v>86</v>
      </c>
      <c r="B20" s="191"/>
      <c r="C20" s="191"/>
      <c r="D20" s="191"/>
      <c r="E20" s="191"/>
      <c r="F20" s="191"/>
      <c r="G20" s="60">
        <f>G19+G18</f>
        <v>39100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QTN-00066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9" t="s">
        <v>88</v>
      </c>
      <c r="B24" s="179"/>
      <c r="C24" s="179"/>
      <c r="D24" s="179"/>
      <c r="E24" s="179"/>
      <c r="F24" s="179"/>
      <c r="G24" s="179"/>
      <c r="H24" s="179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0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2026-04-23T03:32:08Z</cp:lastPrinted>
  <dcterms:created xsi:type="dcterms:W3CDTF">2024-10-20T11:50:19Z</dcterms:created>
  <dcterms:modified xsi:type="dcterms:W3CDTF">2026-10-21T05:47:32Z</dcterms:modified>
</cp:coreProperties>
</file>