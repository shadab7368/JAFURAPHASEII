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19A1DC7-B653-43DF-A449-01873D8B5FC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C27" i="3"/>
  <c r="J7" i="1"/>
  <c r="K67" i="3"/>
  <c r="C26" i="3"/>
  <c r="B6" i="4" l="1"/>
  <c r="P54" i="3"/>
  <c r="J6" i="1" l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<sst xmlns="http://schemas.openxmlformats.org/spreadsheetml/2006/main" count="161" uniqueCount="133">
  <si>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</si>
  <si>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</si>
  <si>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</si>
  <si>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</si>
  <si>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</si>
  <si>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</si>
  <si>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</si>
  <si>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</si>
  <si>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</si>
  <si>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</si>
  <si>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</si>
  <si>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</si>
  <si>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</si>
  <si>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</si>
  <si>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</si>
  <si>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</si>
  <si>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</si>
  <si>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</si>
  <si>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</si>
  <si>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</si>
  <si>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</si>
  <si>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</si>
  <si>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</si>
  <si>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</si>
  <si>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</si>
  <si>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</si>
  <si>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</si>
  <si>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</si>
  <si>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</si>
  <si>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</si>
  <si>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</si>
  <si>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</si>
  <si>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</si>
  <si>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</si>
  <si>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</si>
  <si>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</si>
  <si>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</si>
  <si>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</si>
  <si>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</si>
  <si>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</si>
  <si>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</si>
  <si>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</si>
  <si>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</si>
  <si>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</si>
  <si>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</si>
  <si>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</si>
  <si>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</si>
  <si>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</si>
  <si>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</si>
  <si>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</si>
  <si>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</si>
  <si>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</si>
  <si>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</si>
  <si>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</si>
  <si>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</si>
  <si>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</si>
  <si>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</si>
  <si>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</si>
  <si>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</si>
  <si>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</si>
  <si>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</si>
  <si>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</si>
  <si>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</si>
  <si>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</si>
  <si>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</si>
  <si>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</si>
  <si>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</si>
  <si>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</si>
  <si>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</si>
  <si>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</si>
  <si>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</si>
  <si>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</si>
  <si>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</si>
  <si>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</si>
  <si>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</si>
  <si>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</si>
  <si>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</si>
  <si>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</si>
  <si>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</si>
  <si>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</si>
  <si>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</si>
  <si>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</si>
  <si>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</si>
  <si>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</si>
  <si>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</si>
  <si>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</si>
  <si>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</si>
  <si>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</si>
  <si>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</si>
  <si>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</si>
  <si>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</si>
  <si>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</si>
  <si>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</si>
  <si>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</si>
  <si>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</si>
  <si>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</si>
  <si>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</si>
  <si>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</si>
  <si>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</si>
  <si>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</si>
  <si>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Hourly Rate</t>
  </si>
  <si>
    <t>BRANCH OF HYUNDAI ENG. &amp; CONST. CO., LTD.</t>
  </si>
  <si>
    <t>Monthly Based</t>
  </si>
  <si>
    <t>Branch of Hyundai Engineering and Const. Co., Ltd. (HDEC)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</si>
  <si>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</si>
  <si>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</si>
  <si>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</si>
  <si>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</si>
  <si>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</si>
  <si>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</si>
  <si>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</si>
  <si>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</si>
  <si>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</si>
  <si>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Business Development 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</si>
  <si>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-MRS-0297</t>
    </r>
  </si>
  <si>
    <t>Multi Welder</t>
  </si>
  <si>
    <t>6G CS</t>
  </si>
  <si>
    <t>6G SS</t>
  </si>
  <si>
    <t>GDHC</t>
  </si>
  <si>
    <t>QUOTE-MP-00000001</t>
  </si>
  <si>
    <t>GDHC (Gulf Designer Holding Company)</t>
  </si>
  <si>
    <t>2055139450</t>
  </si>
  <si>
    <t>311918025800003</t>
  </si>
  <si>
    <t>Md Mashud</t>
  </si>
  <si>
    <t>Mobile No. +966 55 934 5540 / email: mashudbd591@gmail.com</t>
  </si>
  <si>
    <t>Building No. 7985, Oraifi Industrial Dist. Al Jubail 35526, KSA</t>
  </si>
  <si>
    <t>Mobile: +966 55 934 5540</t>
  </si>
  <si>
    <t>GULF DESIGNER HOLDING COMPANY</t>
  </si>
  <si>
    <t>749037495001</t>
  </si>
  <si>
    <t>SA95 4500 0000 7490 3749 5001</t>
  </si>
  <si>
    <t>SABBSARI</t>
  </si>
  <si>
    <t>"</t>
  </si>
  <si>
    <t>SABB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</si>
</sst>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K7" sqref="K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43" t="s">
        <v>87</v>
      </c>
      <c r="K1" s="144"/>
      <c r="L1" s="145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46" t="s">
        <v>94</v>
      </c>
      <c r="K2" s="147"/>
      <c r="L2" s="148"/>
    </row>
    <row r="3" spans="1:18" ht="20.100000000000001" customHeight="1">
      <c r="A3" s="3" t="s">
        <v>114</v>
      </c>
      <c r="B3" s="100"/>
      <c r="C3" s="100"/>
      <c r="D3" s="100"/>
      <c r="E3" s="149">
        <f>+L3</f>
        <v>46139</v>
      </c>
      <c r="F3" s="149"/>
      <c r="G3" s="149"/>
      <c r="H3" s="149"/>
      <c r="I3" s="149"/>
      <c r="J3" s="100"/>
      <c r="K3" s="100"/>
      <c r="L3" s="121">
        <v>46139</v>
      </c>
      <c r="M3" s="4"/>
    </row>
    <row r="4" spans="1:18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91</v>
      </c>
      <c r="J4" s="150" t="s">
        <v>92</v>
      </c>
      <c r="K4" s="160" t="s">
        <v>0</v>
      </c>
      <c r="L4" s="151" t="s">
        <v>7</v>
      </c>
    </row>
    <row r="5" spans="1:18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8" ht="22.5" customHeight="1">
      <c r="A6" s="5">
        <f t="shared" ref="A6:A15" si="0">ROW(A1)</f>
        <v>1</v>
      </c>
      <c r="B6" s="131" t="s">
        <v>115</v>
      </c>
      <c r="C6" s="132"/>
      <c r="D6" s="133" t="s">
        <v>116</v>
      </c>
      <c r="E6" s="134"/>
      <c r="F6" s="135"/>
      <c r="G6" s="110" t="s">
        <v>99</v>
      </c>
      <c r="H6" s="111">
        <v>1</v>
      </c>
      <c r="I6" s="112">
        <v>40</v>
      </c>
      <c r="J6" s="112">
        <f>I6*H6</f>
        <v>40</v>
      </c>
      <c r="K6" s="113" t="s">
        <v>118</v>
      </c>
      <c r="L6" s="114" t="s">
        <v>100</v>
      </c>
      <c r="R6" s="105"/>
    </row>
    <row r="7" spans="1:18" ht="22.5" customHeight="1">
      <c r="A7" s="5">
        <f t="shared" si="0"/>
        <v>2</v>
      </c>
      <c r="B7" s="131" t="s">
        <v>115</v>
      </c>
      <c r="C7" s="132"/>
      <c r="D7" s="142" t="s">
        <v>117</v>
      </c>
      <c r="E7" s="134"/>
      <c r="F7" s="135"/>
      <c r="G7" s="110" t="s">
        <v>99</v>
      </c>
      <c r="H7" s="111">
        <v>1</v>
      </c>
      <c r="I7" s="112">
        <v>51</v>
      </c>
      <c r="J7" s="112">
        <f>I7*H7</f>
        <v>51</v>
      </c>
      <c r="K7" s="113"/>
      <c r="L7" s="114"/>
      <c r="R7" s="105"/>
    </row>
    <row r="8" spans="1:18" ht="22.5" customHeight="1">
      <c r="A8" s="5">
        <f t="shared" si="0"/>
        <v>3</v>
      </c>
      <c r="B8" s="131"/>
      <c r="C8" s="132"/>
      <c r="D8" s="133"/>
      <c r="E8" s="134"/>
      <c r="F8" s="135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31"/>
      <c r="C9" s="132"/>
      <c r="D9" s="133"/>
      <c r="E9" s="134"/>
      <c r="F9" s="135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40"/>
      <c r="C10" s="140"/>
      <c r="D10" s="141"/>
      <c r="E10" s="141"/>
      <c r="F10" s="141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1"/>
      <c r="C11" s="132"/>
      <c r="D11" s="133"/>
      <c r="E11" s="134"/>
      <c r="F11" s="135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40"/>
      <c r="C12" s="140"/>
      <c r="D12" s="141"/>
      <c r="E12" s="141"/>
      <c r="F12" s="141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1"/>
      <c r="C13" s="132"/>
      <c r="D13" s="133"/>
      <c r="E13" s="134"/>
      <c r="F13" s="135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1"/>
      <c r="C14" s="132"/>
      <c r="D14" s="133"/>
      <c r="E14" s="134"/>
      <c r="F14" s="135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1"/>
      <c r="C15" s="132"/>
      <c r="D15" s="133"/>
      <c r="E15" s="134"/>
      <c r="F15" s="135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6" t="s">
        <v>8</v>
      </c>
      <c r="B16" s="13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91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8" t="s">
        <v>11</v>
      </c>
      <c r="S18" s="13" t="s">
        <v>12</v>
      </c>
    </row>
    <row r="19" spans="1:19" ht="50.1" customHeight="1">
      <c r="R19" s="139"/>
      <c r="S19" s="15"/>
    </row>
    <row r="20" spans="1:19" ht="17.100000000000001" customHeight="1">
      <c r="O20" s="11"/>
      <c r="P20" s="11"/>
      <c r="R20" s="128"/>
      <c r="S20" s="15" t="s">
        <v>13</v>
      </c>
    </row>
    <row r="21" spans="1:19" ht="15" customHeight="1">
      <c r="O21" s="17" t="s">
        <v>14</v>
      </c>
      <c r="P21" s="127" t="s">
        <v>15</v>
      </c>
    </row>
    <row r="22" spans="1:19" ht="18" customHeight="1">
      <c r="O22" s="18" t="s">
        <v>16</v>
      </c>
      <c r="P22" s="129"/>
      <c r="R22" s="138" t="s">
        <v>17</v>
      </c>
      <c r="S22" s="12" t="s">
        <v>12</v>
      </c>
    </row>
    <row r="23" spans="1:19" ht="50.1" customHeight="1">
      <c r="O23" s="14"/>
      <c r="P23" s="14"/>
      <c r="R23" s="139"/>
      <c r="S23" s="19"/>
    </row>
    <row r="24" spans="1:19" ht="17.100000000000001" customHeight="1">
      <c r="O24" s="16" t="s">
        <v>13</v>
      </c>
      <c r="P24" s="16" t="s">
        <v>13</v>
      </c>
      <c r="R24" s="12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0"/>
      <c r="P27" s="130"/>
    </row>
    <row r="28" spans="1:19" ht="19.899999999999999" customHeight="1">
      <c r="O28" s="130"/>
      <c r="P28" s="130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7" t="s">
        <v>18</v>
      </c>
      <c r="P46" s="127" t="s">
        <v>18</v>
      </c>
      <c r="S46" s="127" t="s">
        <v>12</v>
      </c>
    </row>
    <row r="47" spans="15:19" ht="21" customHeight="1">
      <c r="O47" s="129"/>
      <c r="P47" s="129"/>
      <c r="S47" s="12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7" t="s">
        <v>18</v>
      </c>
      <c r="P50" s="127" t="s">
        <v>18</v>
      </c>
      <c r="S50" s="127" t="s">
        <v>19</v>
      </c>
    </row>
    <row r="51" spans="15:19" ht="21" customHeight="1">
      <c r="O51" s="129"/>
      <c r="P51" s="129"/>
      <c r="S51" s="128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SAC2-DS-MRS-0297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46139</v>
      </c>
    </row>
    <row r="4" spans="1:18" ht="15.95" customHeight="1">
      <c r="A4" s="172" t="s">
        <v>2</v>
      </c>
      <c r="B4" s="173" t="s">
        <v>20</v>
      </c>
      <c r="C4" s="173"/>
      <c r="D4" s="172" t="s">
        <v>4</v>
      </c>
      <c r="E4" s="172"/>
      <c r="F4" s="172"/>
      <c r="G4" s="173" t="s">
        <v>5</v>
      </c>
      <c r="H4" s="172" t="s">
        <v>88</v>
      </c>
      <c r="I4" s="172" t="s">
        <v>21</v>
      </c>
      <c r="J4" s="172" t="s">
        <v>22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Multi Welder</v>
      </c>
      <c r="C6" s="168"/>
      <c r="D6" s="169" t="str">
        <f>MRS!D6</f>
        <v>6G CS</v>
      </c>
      <c r="E6" s="170"/>
      <c r="F6" s="171"/>
      <c r="G6" s="102" t="str">
        <f>MRS!G6</f>
        <v>HR</v>
      </c>
      <c r="H6" s="102">
        <f>MRS!H6</f>
        <v>1</v>
      </c>
      <c r="I6" s="103">
        <f>MRS!I6</f>
        <v>40</v>
      </c>
      <c r="J6" s="103">
        <f>MRS!J6</f>
        <v>40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7" t="str">
        <f>MRS!B7</f>
        <v>Multi Welder</v>
      </c>
      <c r="C7" s="168"/>
      <c r="D7" s="169" t="str">
        <f>MRS!D7</f>
        <v>6G SS</v>
      </c>
      <c r="E7" s="170"/>
      <c r="F7" s="171"/>
      <c r="G7" s="102" t="str">
        <f>MRS!G7</f>
        <v>HR</v>
      </c>
      <c r="H7" s="102">
        <f>MRS!H7</f>
        <v>1</v>
      </c>
      <c r="I7" s="103">
        <f>MRS!I7</f>
        <v>51</v>
      </c>
      <c r="J7" s="103">
        <f>MRS!J7</f>
        <v>51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7">
        <f>MRS!B9</f>
        <v>0</v>
      </c>
      <c r="C9" s="168"/>
      <c r="D9" s="169">
        <f>MRS!D9</f>
        <v>0</v>
      </c>
      <c r="E9" s="170"/>
      <c r="F9" s="171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7">
        <f>MRS!B10</f>
        <v>0</v>
      </c>
      <c r="C10" s="168"/>
      <c r="D10" s="169">
        <f>MRS!D10</f>
        <v>0</v>
      </c>
      <c r="E10" s="170"/>
      <c r="F10" s="171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7">
        <f>MRS!B11</f>
        <v>0</v>
      </c>
      <c r="C11" s="168"/>
      <c r="D11" s="169">
        <f>MRS!D11</f>
        <v>0</v>
      </c>
      <c r="E11" s="170"/>
      <c r="F11" s="171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26" sqref="F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120</v>
      </c>
      <c r="D9" s="38"/>
      <c r="E9" s="38"/>
    </row>
    <row r="10" spans="2:13" s="38" customFormat="1">
      <c r="B10" s="71"/>
      <c r="C10" s="38" t="s">
        <v>29</v>
      </c>
      <c r="D10" s="75" t="s">
        <v>121</v>
      </c>
      <c r="J10" s="38" t="s">
        <v>30</v>
      </c>
      <c r="K10" s="175">
        <f>MRS!L3</f>
        <v>46139</v>
      </c>
      <c r="L10" s="176"/>
      <c r="M10" s="176"/>
    </row>
    <row r="11" spans="2:13" s="38" customFormat="1">
      <c r="B11" s="71"/>
      <c r="C11" s="74" t="s">
        <v>31</v>
      </c>
      <c r="D11" s="75" t="s">
        <v>122</v>
      </c>
      <c r="J11" s="38" t="s">
        <v>32</v>
      </c>
      <c r="K11" s="177" t="str">
        <f>SUBSTITUTE(SUBSTITUTE(+MRS!A3,"  MRS No : ",""),"-MRS","-PO")</f>
        <v>SAC2-DS-PO-0297</v>
      </c>
      <c r="L11" s="177"/>
      <c r="M11" s="177"/>
    </row>
    <row r="12" spans="2:13" s="38" customFormat="1">
      <c r="B12" s="71"/>
      <c r="C12" s="74" t="s">
        <v>33</v>
      </c>
      <c r="D12" s="38" t="s">
        <v>123</v>
      </c>
      <c r="J12" s="38" t="s">
        <v>34</v>
      </c>
    </row>
    <row r="13" spans="2:13" s="38" customFormat="1">
      <c r="B13" s="71"/>
      <c r="C13" s="76"/>
      <c r="D13" s="75" t="s">
        <v>124</v>
      </c>
      <c r="J13" s="38" t="s">
        <v>35</v>
      </c>
    </row>
    <row r="14" spans="2:13" s="38" customFormat="1">
      <c r="B14" s="71"/>
      <c r="C14" s="76" t="s">
        <v>125</v>
      </c>
      <c r="J14" s="38" t="s">
        <v>36</v>
      </c>
      <c r="K14" s="38" t="s">
        <v>119</v>
      </c>
    </row>
    <row r="15" spans="2:13" s="38" customFormat="1">
      <c r="B15" s="71"/>
      <c r="C15" s="76" t="s">
        <v>126</v>
      </c>
      <c r="J15" s="38" t="s">
        <v>37</v>
      </c>
      <c r="K15" s="77">
        <v>46137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38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39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41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75" t="str">
        <f>_xlfn.CONCAT(MRS!B6," ",MRS!D6)</f>
        <v>Multi Welder 6G CS</v>
      </c>
      <c r="M26" s="78" t="s">
        <v>43</v>
      </c>
    </row>
    <row r="27" spans="2:13" ht="11.1" customHeight="1">
      <c r="B27" s="32"/>
      <c r="C27" s="75" t="str">
        <f>_xlfn.CONCAT(MRS!B7," ",MRS!D7)</f>
        <v>Multi Welder 6G SS</v>
      </c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4" t="s">
        <v>102</v>
      </c>
      <c r="G29" s="124"/>
      <c r="H29" s="124"/>
      <c r="M29" s="33"/>
    </row>
    <row r="30" spans="2:13" ht="12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2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97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89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104</v>
      </c>
    </row>
    <row r="54" spans="2:16" ht="12" customHeight="1">
      <c r="B54" s="83" t="s">
        <v>62</v>
      </c>
      <c r="C54" s="125" t="s">
        <v>105</v>
      </c>
      <c r="F54" s="26" t="s">
        <v>127</v>
      </c>
      <c r="P54" s="26" t="str">
        <f>UPPER(F54)</f>
        <v>GULF DESIGNER HOLDING COMPANY</v>
      </c>
    </row>
    <row r="55" spans="2:16" ht="12" customHeight="1">
      <c r="B55" s="83" t="s">
        <v>62</v>
      </c>
      <c r="C55" s="125" t="s">
        <v>106</v>
      </c>
      <c r="F55" s="126" t="s">
        <v>128</v>
      </c>
    </row>
    <row r="56" spans="2:16" ht="12" customHeight="1">
      <c r="B56" s="83" t="s">
        <v>62</v>
      </c>
      <c r="C56" s="125" t="s">
        <v>107</v>
      </c>
      <c r="F56" s="126" t="s">
        <v>129</v>
      </c>
    </row>
    <row r="57" spans="2:16" ht="12" customHeight="1">
      <c r="B57" s="83" t="s">
        <v>62</v>
      </c>
      <c r="C57" s="125" t="s">
        <v>108</v>
      </c>
      <c r="F57" s="26" t="s">
        <v>132</v>
      </c>
    </row>
    <row r="58" spans="2:16" ht="12" customHeight="1">
      <c r="B58" s="83" t="s">
        <v>62</v>
      </c>
      <c r="C58" s="125" t="s">
        <v>109</v>
      </c>
      <c r="F58" s="26" t="s">
        <v>130</v>
      </c>
    </row>
    <row r="59" spans="2:16" ht="12" customHeight="1">
      <c r="B59" s="83" t="s">
        <v>62</v>
      </c>
      <c r="C59" s="125" t="s">
        <v>110</v>
      </c>
      <c r="F59" s="26" t="s">
        <v>111</v>
      </c>
    </row>
    <row r="60" spans="2:16" ht="12" customHeight="1">
      <c r="B60" s="83"/>
      <c r="C60" s="125" t="s">
        <v>112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Md Mashud</v>
      </c>
    </row>
    <row r="68" spans="1:13" ht="18" customHeight="1">
      <c r="B68" s="26" t="s">
        <v>68</v>
      </c>
      <c r="J68" s="26" t="s">
        <v>69</v>
      </c>
      <c r="K68" s="22" t="s">
        <v>113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103</v>
      </c>
      <c r="J70" s="182" t="str">
        <f>C9</f>
        <v>GDHC (Gulf Designer Holding Company)</v>
      </c>
      <c r="K70" s="182"/>
      <c r="L70" s="182"/>
      <c r="M70" s="182"/>
    </row>
    <row r="71" spans="1:13" ht="27.95" customHeight="1">
      <c r="A71" s="174" t="s">
        <v>72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SAC2-DS-PO-0297</v>
      </c>
      <c r="C2" s="191" t="s">
        <v>74</v>
      </c>
      <c r="D2" s="191"/>
      <c r="E2" s="191"/>
      <c r="F2" s="191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46139</v>
      </c>
      <c r="C3" s="50"/>
      <c r="D3" s="51"/>
      <c r="E3" s="192" t="s">
        <v>76</v>
      </c>
      <c r="F3" s="192"/>
      <c r="G3" s="192"/>
      <c r="H3" s="192"/>
      <c r="I3" s="52"/>
    </row>
    <row r="4" spans="1:13" s="54" customFormat="1" ht="28.5" customHeight="1" thickTop="1">
      <c r="A4" s="193" t="s">
        <v>77</v>
      </c>
      <c r="B4" s="195" t="s">
        <v>78</v>
      </c>
      <c r="C4" s="196"/>
      <c r="D4" s="199" t="s">
        <v>79</v>
      </c>
      <c r="E4" s="199" t="s">
        <v>80</v>
      </c>
      <c r="F4" s="201" t="str">
        <f>'PO 1st page'!C9</f>
        <v>GDHC (Gulf Designer Holding Company)</v>
      </c>
      <c r="G4" s="202"/>
      <c r="H4" s="203" t="s">
        <v>81</v>
      </c>
      <c r="K4" s="55"/>
      <c r="L4" s="55"/>
      <c r="M4" s="55"/>
    </row>
    <row r="5" spans="1:13" s="54" customFormat="1" ht="21.95" customHeight="1">
      <c r="A5" s="194"/>
      <c r="B5" s="197"/>
      <c r="C5" s="198"/>
      <c r="D5" s="200"/>
      <c r="E5" s="200"/>
      <c r="F5" s="56" t="s">
        <v>82</v>
      </c>
      <c r="G5" s="56" t="s">
        <v>48</v>
      </c>
      <c r="H5" s="204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9" t="str">
        <f>_xlfn.CONCAT(MRS!B6," ",MRS!D6)</f>
        <v>Multi Welder 6G CS</v>
      </c>
      <c r="C6" s="190"/>
      <c r="D6" s="85" t="str">
        <f>+'MRS LIST'!G6</f>
        <v>HR</v>
      </c>
      <c r="E6" s="86">
        <f>+'MRS LIST'!H6</f>
        <v>1</v>
      </c>
      <c r="F6" s="87">
        <f>+'MRS LIST'!I6</f>
        <v>40</v>
      </c>
      <c r="G6" s="88">
        <f>+'MRS LIST'!J6</f>
        <v>40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9" t="str">
        <f>_xlfn.CONCAT(MRS!B7," ",MRS!D7)</f>
        <v>Multi Welder 6G SS</v>
      </c>
      <c r="C7" s="190"/>
      <c r="D7" s="85" t="str">
        <f>+'MRS LIST'!G7</f>
        <v>HR</v>
      </c>
      <c r="E7" s="86">
        <f>+'MRS LIST'!H7</f>
        <v>1</v>
      </c>
      <c r="F7" s="87">
        <f>+'MRS LIST'!I7</f>
        <v>51</v>
      </c>
      <c r="G7" s="88">
        <f>+'MRS LIST'!J7</f>
        <v>51</v>
      </c>
      <c r="H7" s="89" t="s">
        <v>131</v>
      </c>
      <c r="K7" s="90"/>
      <c r="L7" s="91"/>
      <c r="M7" s="55"/>
    </row>
    <row r="8" spans="1:13" s="54" customFormat="1" ht="32.1" customHeight="1">
      <c r="A8" s="92">
        <f t="shared" si="0"/>
        <v>3</v>
      </c>
      <c r="B8" s="189"/>
      <c r="C8" s="190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9"/>
      <c r="C9" s="190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9"/>
      <c r="C10" s="190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9"/>
      <c r="C11" s="190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7"/>
      <c r="C12" s="188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7"/>
      <c r="C13" s="188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7"/>
      <c r="C14" s="188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7"/>
      <c r="C15" s="188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7"/>
      <c r="C16" s="188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187"/>
      <c r="C17" s="188"/>
      <c r="D17" s="93"/>
      <c r="E17" s="94"/>
      <c r="F17" s="95"/>
      <c r="G17" s="96"/>
      <c r="H17" s="97"/>
    </row>
    <row r="18" spans="1:13" s="54" customFormat="1" ht="23.1" customHeight="1">
      <c r="A18" s="183" t="s">
        <v>83</v>
      </c>
      <c r="B18" s="184"/>
      <c r="C18" s="184"/>
      <c r="D18" s="184"/>
      <c r="E18" s="184"/>
      <c r="F18" s="184"/>
      <c r="G18" s="57">
        <f>SUM(G6:G17)</f>
        <v>91</v>
      </c>
      <c r="H18" s="58"/>
    </row>
    <row r="19" spans="1:13" s="54" customFormat="1" ht="23.1" customHeight="1">
      <c r="A19" s="183" t="s">
        <v>47</v>
      </c>
      <c r="B19" s="184"/>
      <c r="C19" s="184"/>
      <c r="D19" s="184"/>
      <c r="E19" s="184"/>
      <c r="F19" s="184"/>
      <c r="G19" s="57">
        <f>+G18*0.15</f>
        <v>13.65</v>
      </c>
      <c r="H19" s="58"/>
    </row>
    <row r="20" spans="1:13" s="54" customFormat="1" ht="24.95" customHeight="1" thickBot="1">
      <c r="A20" s="185" t="s">
        <v>84</v>
      </c>
      <c r="B20" s="186"/>
      <c r="C20" s="186"/>
      <c r="D20" s="186"/>
      <c r="E20" s="186"/>
      <c r="F20" s="186"/>
      <c r="G20" s="59">
        <f>G19+G18</f>
        <v>104.65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QUOTE-MP-00000001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86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2026-04-27T04:57:12Z</cp:lastPrinted>
  <dcterms:created xsi:type="dcterms:W3CDTF">2024-10-20T11:50:19Z</dcterms:created>
  <dcterms:modified xsi:type="dcterms:W3CDTF">2026-04-27T04:57:16Z</dcterms:modified>
</cp:coreProperties>
</file>