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FB5AC3FB-384D-4A9A-AF59-3D44BD869569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4" l="1"/>
  <c r="A11" i="4"/>
  <c r="A10" i="4"/>
  <c r="A9" i="4"/>
  <c r="A8" i="4"/>
  <c r="A7" i="4"/>
  <c r="G12" i="4"/>
  <c r="F12" i="4"/>
  <c r="E12" i="4"/>
  <c r="D12" i="4"/>
  <c r="G11" i="4"/>
  <c r="F11" i="4"/>
  <c r="E11" i="4"/>
  <c r="D11" i="4"/>
  <c r="G10" i="4"/>
  <c r="F10" i="4"/>
  <c r="E10" i="4"/>
  <c r="D10" i="4"/>
  <c r="G9" i="4"/>
  <c r="F9" i="4"/>
  <c r="E9" i="4"/>
  <c r="D9" i="4"/>
  <c r="G8" i="4"/>
  <c r="F8" i="4"/>
  <c r="E8" i="4"/>
  <c r="D8" i="4"/>
  <c r="G7" i="4"/>
  <c r="F7" i="4"/>
  <c r="E7" i="4"/>
  <c r="D7" i="4"/>
  <c r="B14" i="4"/>
  <c r="B13" i="4"/>
  <c r="B12" i="4"/>
  <c r="B11" i="4"/>
  <c r="B10" i="4"/>
  <c r="B9" i="4"/>
  <c r="B8" i="4"/>
  <c r="B7" i="4"/>
  <c r="J17" i="1" l="1"/>
  <c r="J12" i="1"/>
  <c r="J10" i="1"/>
  <c r="J10" i="2" s="1"/>
  <c r="J9" i="1"/>
  <c r="J9" i="2" s="1"/>
  <c r="J8" i="1"/>
  <c r="J7" i="1"/>
  <c r="E3" i="1"/>
  <c r="H6" i="4"/>
  <c r="F6" i="4"/>
  <c r="E6" i="4"/>
  <c r="D6" i="4"/>
  <c r="J11" i="1"/>
  <c r="J11" i="2" s="1"/>
  <c r="J13" i="1"/>
  <c r="J14" i="1"/>
  <c r="J15" i="1"/>
  <c r="J16" i="1"/>
  <c r="B6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1"/>
  <c r="A6" i="2" s="1"/>
  <c r="J6" i="2" l="1"/>
  <c r="G18" i="4" s="1"/>
  <c r="G19" i="4" l="1"/>
  <c r="G20" i="4" s="1"/>
</calcChain>
</file>

<file path=xl/sharedStrings.xml><?xml version="1.0" encoding="utf-8"?>
<sst xmlns="http://schemas.openxmlformats.org/spreadsheetml/2006/main" count="177" uniqueCount="149">
  <si>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</si>
  <si>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</si>
  <si>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</si>
  <si>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</si>
  <si>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</si>
  <si>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</si>
  <si>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</si>
  <si>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</si>
  <si>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</si>
  <si>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</si>
  <si>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</si>
  <si>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</si>
  <si>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</si>
  <si>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</si>
  <si>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</si>
  <si>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</si>
  <si>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</si>
  <si>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</si>
  <si>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</si>
  <si>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</si>
  <si>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</si>
  <si>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</si>
  <si>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</si>
  <si>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</si>
  <si>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</si>
  <si>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</si>
  <si>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</si>
  <si>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</si>
  <si>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</si>
  <si>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</si>
  <si>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</si>
  <si>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</si>
  <si>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</si>
  <si>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</si>
  <si>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</si>
  <si>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</si>
  <si>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</si>
  <si>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</si>
  <si>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</si>
  <si>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</si>
  <si>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</si>
  <si>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</si>
  <si>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</si>
  <si>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</si>
  <si>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</si>
  <si>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</si>
  <si>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</si>
  <si>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</si>
  <si>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</si>
  <si>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</si>
  <si>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</si>
  <si>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</si>
  <si>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</si>
  <si>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</si>
  <si>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</si>
  <si>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</si>
  <si>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</si>
  <si>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</si>
  <si>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</si>
  <si>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</si>
  <si>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</si>
  <si>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</si>
  <si>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</si>
  <si>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</si>
  <si>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</si>
  <si>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</si>
  <si>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</si>
  <si>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</si>
  <si>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</si>
  <si>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</si>
  <si>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</si>
  <si>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</si>
  <si>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</si>
  <si>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</si>
  <si>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</si>
  <si>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</si>
  <si>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</si>
  <si>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</si>
  <si>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</si>
  <si>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</si>
  <si>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</si>
  <si>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</si>
  <si>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</si>
  <si>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</si>
  <si>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</si>
  <si>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</si>
  <si>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</si>
  <si>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</si>
  <si>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</si>
  <si>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</si>
  <si>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</si>
  <si>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</si>
  <si>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</si>
  <si>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</si>
  <si>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</si>
  <si>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</si>
  <si>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</si>
  <si>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</si>
  <si>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</si>
  <si>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</si>
  <si>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</si>
  <si>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</si>
  <si>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SAUDI NATIONAL BANK</t>
  </si>
  <si>
    <t>NCBKSAJE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</si>
  <si>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</si>
  <si>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</si>
  <si>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</si>
  <si>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</si>
  <si>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</si>
  <si>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</si>
  <si>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</si>
  <si>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</si>
  <si>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</si>
  <si>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</si>
  <si>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</si>
  <si>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</si>
  <si>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</si>
  <si>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</si>
  <si>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Monthly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</si>
  <si>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-MRS-0457</t>
    </r>
  </si>
  <si>
    <t>AJ 4063 C</t>
  </si>
  <si>
    <t>AJ 7564</t>
  </si>
  <si>
    <t>AJ 1164</t>
  </si>
  <si>
    <t>AJ 110</t>
  </si>
  <si>
    <t>AJ 4063C Ox. Scavenger</t>
  </si>
  <si>
    <t>AJ 7564 Biocide</t>
  </si>
  <si>
    <t>AJ 1164 Corr. Inhibitor 25 kg Drum</t>
  </si>
  <si>
    <t>AJ1100 Alkalinity Builder</t>
  </si>
  <si>
    <t>Site monitoring technical support (Service Engineer / Daily visit with Al Jazira Analysis report TDS, Chloride PPM, PH, DO, SRB, TSS &amp; TotalBacteria</t>
  </si>
  <si>
    <t>As required on demand</t>
  </si>
  <si>
    <t>Analysis report without mixing TDS, Chloride PPM, PH, DO, SRB, TSS &amp; Total Bacteria</t>
  </si>
  <si>
    <t>Kg</t>
  </si>
  <si>
    <t>Per Day</t>
  </si>
  <si>
    <t>As required on demand
 (sample send to Al Jazira office)</t>
  </si>
  <si>
    <t>As required on demand 
(Al Jazira Engineer collect sample)</t>
  </si>
  <si>
    <t>Per Report</t>
  </si>
  <si>
    <t>Chemical Mixing &amp; Water Analysis</t>
  </si>
  <si>
    <t>AWTC(Al-Jazira Water Treatment Chemicals)</t>
  </si>
  <si>
    <t>2026/601-R2/JWTC/Mg</t>
  </si>
  <si>
    <t>AL-JAZIRA WATER TREATMENT CHEMICAL FACTORY</t>
  </si>
  <si>
    <t>65900000370909</t>
  </si>
  <si>
    <t>SA48 1000 0065 9000 0037 0909</t>
  </si>
  <si>
    <t>2050102287</t>
  </si>
  <si>
    <t>300473862300003</t>
  </si>
  <si>
    <t>Mohammed Hassan</t>
  </si>
  <si>
    <t>+966 582010767 / Email:info@al-jazirachemicals.com</t>
  </si>
  <si>
    <t>Bldg 8099 Adh Dhahran Al Jubail Expressway Rd</t>
  </si>
  <si>
    <t>Mobile : +966 582010767</t>
  </si>
  <si>
    <t>Sales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</si>
</sst>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7" fillId="0" borderId="44" xfId="6" applyFont="1" applyBorder="1" applyAlignment="1">
      <alignment vertical="center"/>
    </xf>
    <xf numFmtId="0" fontId="27" fillId="0" borderId="44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 applyAlignment="1">
      <alignment horizontal="right" vertical="center" indent="1"/>
    </xf>
    <xf numFmtId="0" fontId="6" fillId="2" borderId="21" xfId="1" applyFont="1" applyFill="1" applyBorder="1" applyAlignment="1">
      <alignment horizontal="center" vertical="center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5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3" fillId="0" borderId="8" xfId="0" quotePrefix="1" applyFont="1" applyBorder="1" applyAlignment="1">
      <alignment horizontal="center" vertical="center" wrapText="1"/>
    </xf>
    <xf numFmtId="15" fontId="27" fillId="3" borderId="0" xfId="5" applyNumberFormat="1" applyFont="1" applyFill="1"/>
    <xf numFmtId="0" fontId="3" fillId="0" borderId="8" xfId="0" applyFont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1603208</xdr:colOff>
          <xdr:row>18</xdr:row>
          <xdr:rowOff>71688</xdr:rowOff>
        </xdr:from>
        <xdr:to>
          <xdr:col>11</xdr:col>
          <xdr:colOff>1587667</xdr:colOff>
          <xdr:row>24</xdr:row>
          <xdr:rowOff>309812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D802617B-FB9F-4964-F614-1FCE0CF33D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1:$Y$26" spid="_x0000_s132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95287" y="5706477"/>
              <a:ext cx="8466722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3"/>
  <sheetViews>
    <sheetView showGridLines="0" view="pageBreakPreview" zoomScale="95" zoomScaleNormal="95" zoomScaleSheetLayoutView="95" workbookViewId="0">
      <selection activeCell="O13" sqref="O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33.85546875" style="2" customWidth="1"/>
    <col min="4" max="4" width="15.140625" style="2" customWidth="1"/>
    <col min="5" max="5" width="6" style="2" customWidth="1"/>
    <col min="6" max="6" width="7.42578125" style="2" customWidth="1"/>
    <col min="7" max="7" width="9.8554687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1" t="s">
        <v>104</v>
      </c>
      <c r="B1" s="122"/>
      <c r="C1" s="103"/>
      <c r="D1" s="103"/>
      <c r="E1" s="103"/>
      <c r="F1" s="103"/>
      <c r="G1" s="1"/>
      <c r="J1" s="145" t="s">
        <v>83</v>
      </c>
      <c r="K1" s="146"/>
      <c r="L1" s="147"/>
    </row>
    <row r="2" spans="1:18" ht="20.100000000000001" customHeight="1">
      <c r="A2" s="3" t="s">
        <v>1</v>
      </c>
      <c r="B2" s="94"/>
      <c r="C2" s="94"/>
      <c r="D2" s="3" t="s">
        <v>105</v>
      </c>
      <c r="E2" s="94"/>
      <c r="F2" s="94"/>
      <c r="G2" s="94"/>
      <c r="H2" s="94"/>
      <c r="I2" s="4"/>
      <c r="J2" s="161" t="s">
        <v>90</v>
      </c>
      <c r="K2" s="162"/>
      <c r="L2" s="163"/>
    </row>
    <row r="3" spans="1:18" ht="20.100000000000001" customHeight="1">
      <c r="A3" s="3" t="s">
        <v>119</v>
      </c>
      <c r="B3" s="94"/>
      <c r="C3" s="94"/>
      <c r="D3" s="94"/>
      <c r="E3" s="148">
        <f>+L3+3</f>
        <v>46275</v>
      </c>
      <c r="F3" s="148"/>
      <c r="G3" s="148"/>
      <c r="H3" s="148"/>
      <c r="I3" s="148"/>
      <c r="J3" s="94"/>
      <c r="K3" s="94"/>
      <c r="L3" s="123">
        <v>46272</v>
      </c>
      <c r="M3" s="4"/>
    </row>
    <row r="4" spans="1:18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87</v>
      </c>
      <c r="J4" s="149" t="s">
        <v>88</v>
      </c>
      <c r="K4" s="159" t="s">
        <v>0</v>
      </c>
      <c r="L4" s="150" t="s">
        <v>7</v>
      </c>
    </row>
    <row r="5" spans="1:18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8" ht="27" customHeight="1">
      <c r="A6" s="5">
        <f t="shared" ref="A6" si="0">ROW(A1)</f>
        <v>1</v>
      </c>
      <c r="B6" s="137" t="s">
        <v>124</v>
      </c>
      <c r="C6" s="138"/>
      <c r="D6" s="139" t="s">
        <v>120</v>
      </c>
      <c r="E6" s="140"/>
      <c r="F6" s="141"/>
      <c r="G6" s="104" t="s">
        <v>131</v>
      </c>
      <c r="H6" s="105">
        <v>3000</v>
      </c>
      <c r="I6" s="106">
        <v>6.5</v>
      </c>
      <c r="J6" s="106">
        <f>H6*I6</f>
        <v>19500</v>
      </c>
      <c r="K6" s="107" t="s">
        <v>92</v>
      </c>
      <c r="L6" s="130" t="s">
        <v>118</v>
      </c>
      <c r="R6" s="99"/>
    </row>
    <row r="7" spans="1:18" ht="27" customHeight="1">
      <c r="A7" s="5">
        <v>2</v>
      </c>
      <c r="B7" s="137" t="s">
        <v>125</v>
      </c>
      <c r="C7" s="138"/>
      <c r="D7" s="139" t="s">
        <v>121</v>
      </c>
      <c r="E7" s="140"/>
      <c r="F7" s="141"/>
      <c r="G7" s="104" t="s">
        <v>131</v>
      </c>
      <c r="H7" s="105">
        <v>1250</v>
      </c>
      <c r="I7" s="106">
        <v>14</v>
      </c>
      <c r="J7" s="106">
        <f>H7*I7</f>
        <v>17500</v>
      </c>
      <c r="K7" s="107"/>
      <c r="L7" s="130"/>
      <c r="R7" s="99"/>
    </row>
    <row r="8" spans="1:18" ht="27" customHeight="1">
      <c r="A8" s="5">
        <v>3</v>
      </c>
      <c r="B8" s="137" t="s">
        <v>126</v>
      </c>
      <c r="C8" s="138"/>
      <c r="D8" s="139" t="s">
        <v>122</v>
      </c>
      <c r="E8" s="140"/>
      <c r="F8" s="141"/>
      <c r="G8" s="104" t="s">
        <v>131</v>
      </c>
      <c r="H8" s="105">
        <v>200</v>
      </c>
      <c r="I8" s="106">
        <v>16</v>
      </c>
      <c r="J8" s="106">
        <f t="shared" ref="J8:J10" si="1">H8*I8</f>
        <v>3200</v>
      </c>
      <c r="K8" s="107"/>
      <c r="L8" s="130"/>
      <c r="R8" s="99"/>
    </row>
    <row r="9" spans="1:18" ht="27" customHeight="1">
      <c r="A9" s="5">
        <v>4</v>
      </c>
      <c r="B9" s="137" t="s">
        <v>127</v>
      </c>
      <c r="C9" s="138"/>
      <c r="D9" s="139" t="s">
        <v>123</v>
      </c>
      <c r="E9" s="140"/>
      <c r="F9" s="141"/>
      <c r="G9" s="104" t="s">
        <v>131</v>
      </c>
      <c r="H9" s="105">
        <v>800</v>
      </c>
      <c r="I9" s="106">
        <v>3</v>
      </c>
      <c r="J9" s="106">
        <f t="shared" si="1"/>
        <v>2400</v>
      </c>
      <c r="K9" s="107"/>
      <c r="L9" s="130"/>
      <c r="R9" s="99"/>
    </row>
    <row r="10" spans="1:18" ht="55.5" customHeight="1">
      <c r="A10" s="5">
        <v>5</v>
      </c>
      <c r="B10" s="137" t="s">
        <v>128</v>
      </c>
      <c r="C10" s="138"/>
      <c r="D10" s="144" t="s">
        <v>129</v>
      </c>
      <c r="E10" s="144"/>
      <c r="F10" s="144"/>
      <c r="G10" s="132" t="s">
        <v>132</v>
      </c>
      <c r="H10" s="105">
        <v>1</v>
      </c>
      <c r="I10" s="109">
        <v>1200</v>
      </c>
      <c r="J10" s="106">
        <f t="shared" si="1"/>
        <v>1200</v>
      </c>
      <c r="K10" s="107"/>
      <c r="L10" s="130"/>
      <c r="R10" s="99"/>
    </row>
    <row r="11" spans="1:18" ht="47.25" customHeight="1">
      <c r="A11" s="5">
        <v>6</v>
      </c>
      <c r="B11" s="137" t="s">
        <v>130</v>
      </c>
      <c r="C11" s="138"/>
      <c r="D11" s="144" t="s">
        <v>133</v>
      </c>
      <c r="E11" s="144"/>
      <c r="F11" s="144"/>
      <c r="G11" s="132" t="s">
        <v>135</v>
      </c>
      <c r="H11" s="105">
        <v>1</v>
      </c>
      <c r="I11" s="106">
        <v>600</v>
      </c>
      <c r="J11" s="106">
        <f t="shared" ref="J11:J16" si="2">H11*I11</f>
        <v>600</v>
      </c>
      <c r="K11" s="107"/>
      <c r="L11" s="108"/>
      <c r="R11" s="99"/>
    </row>
    <row r="12" spans="1:18" ht="47.25" customHeight="1">
      <c r="A12" s="5">
        <v>6</v>
      </c>
      <c r="B12" s="137" t="s">
        <v>130</v>
      </c>
      <c r="C12" s="138"/>
      <c r="D12" s="144" t="s">
        <v>134</v>
      </c>
      <c r="E12" s="144"/>
      <c r="F12" s="144"/>
      <c r="G12" s="132" t="s">
        <v>135</v>
      </c>
      <c r="H12" s="105">
        <v>1</v>
      </c>
      <c r="I12" s="106">
        <v>900</v>
      </c>
      <c r="J12" s="106">
        <f t="shared" ref="J12" si="3">H12*I12</f>
        <v>900</v>
      </c>
      <c r="K12" s="107"/>
      <c r="L12" s="108"/>
      <c r="R12" s="99"/>
    </row>
    <row r="13" spans="1:18" ht="22.5" customHeight="1">
      <c r="A13" s="5"/>
      <c r="B13" s="137"/>
      <c r="C13" s="138"/>
      <c r="D13" s="144"/>
      <c r="E13" s="144"/>
      <c r="F13" s="144"/>
      <c r="G13" s="104"/>
      <c r="H13" s="105"/>
      <c r="I13" s="109"/>
      <c r="J13" s="106">
        <f t="shared" si="2"/>
        <v>0</v>
      </c>
      <c r="K13" s="107"/>
      <c r="L13" s="104"/>
      <c r="R13" s="99"/>
    </row>
    <row r="14" spans="1:18" ht="22.5" hidden="1" customHeight="1">
      <c r="A14" s="5"/>
      <c r="B14" s="137"/>
      <c r="C14" s="138"/>
      <c r="D14" s="139"/>
      <c r="E14" s="140"/>
      <c r="F14" s="141"/>
      <c r="G14" s="104"/>
      <c r="H14" s="105"/>
      <c r="I14" s="106"/>
      <c r="J14" s="106">
        <f t="shared" si="2"/>
        <v>0</v>
      </c>
      <c r="K14" s="107"/>
      <c r="L14" s="108"/>
      <c r="R14" s="99"/>
    </row>
    <row r="15" spans="1:18" ht="22.5" hidden="1" customHeight="1">
      <c r="A15" s="5"/>
      <c r="B15" s="137"/>
      <c r="C15" s="138"/>
      <c r="D15" s="139"/>
      <c r="E15" s="140"/>
      <c r="F15" s="141"/>
      <c r="G15" s="104"/>
      <c r="H15" s="105"/>
      <c r="I15" s="106"/>
      <c r="J15" s="106">
        <f t="shared" si="2"/>
        <v>0</v>
      </c>
      <c r="K15" s="107"/>
      <c r="L15" s="108"/>
      <c r="R15" s="99"/>
    </row>
    <row r="16" spans="1:18" ht="22.5" hidden="1" customHeight="1">
      <c r="A16" s="5"/>
      <c r="B16" s="137"/>
      <c r="C16" s="138"/>
      <c r="D16" s="139"/>
      <c r="E16" s="140"/>
      <c r="F16" s="141"/>
      <c r="G16" s="104"/>
      <c r="H16" s="105"/>
      <c r="I16" s="106"/>
      <c r="J16" s="106">
        <f t="shared" si="2"/>
        <v>0</v>
      </c>
      <c r="K16" s="107"/>
      <c r="L16" s="108"/>
      <c r="R16" s="99"/>
    </row>
    <row r="17" spans="1:26" ht="22.5" customHeight="1">
      <c r="A17" s="142" t="s">
        <v>8</v>
      </c>
      <c r="B17" s="143"/>
      <c r="C17" s="110"/>
      <c r="D17" s="111"/>
      <c r="E17" s="111"/>
      <c r="F17" s="111"/>
      <c r="G17" s="112"/>
      <c r="H17" s="112"/>
      <c r="I17" s="113" t="s">
        <v>9</v>
      </c>
      <c r="J17" s="106">
        <f>SUM(J6:J16)</f>
        <v>45300</v>
      </c>
      <c r="K17" s="106"/>
      <c r="L17" s="114"/>
    </row>
    <row r="18" spans="1:26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26" ht="18" customHeight="1">
      <c r="A19" s="10"/>
      <c r="J19" s="1"/>
      <c r="K19" s="1"/>
      <c r="O19" s="11"/>
      <c r="P19" s="11"/>
      <c r="Q19" s="11"/>
      <c r="R19" s="11"/>
      <c r="S19" s="11"/>
      <c r="T19" s="11"/>
      <c r="U19" s="11"/>
      <c r="V19" s="11"/>
      <c r="W19" s="11"/>
      <c r="Y19" s="168"/>
      <c r="Z19" s="11"/>
    </row>
    <row r="20" spans="1:26" ht="50.1" customHeight="1">
      <c r="Y20" s="169"/>
    </row>
    <row r="21" spans="1:26" ht="15" customHeight="1">
      <c r="O21" s="164" t="s">
        <v>106</v>
      </c>
      <c r="P21" s="170"/>
      <c r="Q21" s="170"/>
      <c r="R21" s="165"/>
      <c r="S21" s="120"/>
      <c r="T21" s="164" t="s">
        <v>107</v>
      </c>
      <c r="U21" s="170"/>
      <c r="V21" s="170"/>
      <c r="W21" s="170"/>
      <c r="X21" s="170"/>
      <c r="Y21" s="165"/>
    </row>
    <row r="22" spans="1:26" ht="15" customHeight="1">
      <c r="O22" s="171" t="s">
        <v>108</v>
      </c>
      <c r="P22" s="133" t="s">
        <v>109</v>
      </c>
      <c r="Q22" s="171" t="s">
        <v>110</v>
      </c>
      <c r="R22" s="133" t="s">
        <v>111</v>
      </c>
      <c r="S22" s="120"/>
      <c r="T22" s="171" t="s">
        <v>112</v>
      </c>
      <c r="U22" s="133" t="s">
        <v>113</v>
      </c>
      <c r="V22" s="164" t="s">
        <v>114</v>
      </c>
      <c r="W22" s="170"/>
      <c r="X22" s="165"/>
      <c r="Y22" s="133" t="s">
        <v>115</v>
      </c>
    </row>
    <row r="23" spans="1:26" ht="18" customHeight="1">
      <c r="O23" s="134"/>
      <c r="P23" s="136"/>
      <c r="Q23" s="134"/>
      <c r="R23" s="136"/>
      <c r="S23" s="124"/>
      <c r="T23" s="134"/>
      <c r="U23" s="136"/>
      <c r="V23" s="13" t="s">
        <v>108</v>
      </c>
      <c r="W23" s="172" t="s">
        <v>116</v>
      </c>
      <c r="X23" s="173"/>
      <c r="Y23" s="136"/>
    </row>
    <row r="24" spans="1:26" ht="50.1" customHeight="1">
      <c r="O24" s="14"/>
      <c r="P24" s="14"/>
      <c r="Q24" s="14"/>
      <c r="R24" s="14"/>
      <c r="S24" s="120"/>
      <c r="T24" s="14"/>
      <c r="U24" s="14"/>
      <c r="V24" s="14"/>
      <c r="W24" s="164"/>
      <c r="X24" s="165"/>
      <c r="Y24" s="125"/>
    </row>
    <row r="25" spans="1:26" ht="36" customHeight="1">
      <c r="W25" s="126"/>
      <c r="X25" s="166" t="s">
        <v>117</v>
      </c>
      <c r="Y25" s="12" t="s">
        <v>115</v>
      </c>
    </row>
    <row r="26" spans="1:26" ht="50.1" customHeight="1">
      <c r="O26" s="127"/>
      <c r="P26" s="127"/>
      <c r="Q26" s="127"/>
      <c r="R26" s="127"/>
      <c r="S26" s="127"/>
      <c r="T26" s="127"/>
      <c r="U26" s="127"/>
      <c r="V26" s="127"/>
      <c r="W26" s="128"/>
      <c r="X26" s="167"/>
      <c r="Y26" s="129"/>
    </row>
    <row r="27" spans="1:26" ht="19.899999999999999" customHeight="1"/>
    <row r="28" spans="1:26" ht="17.45" customHeight="1">
      <c r="O28" s="135"/>
      <c r="P28" s="135"/>
    </row>
    <row r="29" spans="1:26" ht="19.899999999999999" customHeight="1">
      <c r="O29" s="135"/>
      <c r="P29" s="135"/>
    </row>
    <row r="30" spans="1:26" ht="14.25">
      <c r="O30" s="11"/>
      <c r="P30" s="11"/>
    </row>
    <row r="31" spans="1:26" ht="65.099999999999994" customHeight="1"/>
    <row r="32" spans="1:26" ht="14.25">
      <c r="O32" s="11"/>
      <c r="P32" s="11"/>
    </row>
    <row r="33" spans="15:19" ht="19.899999999999999" customHeight="1"/>
    <row r="34" spans="15:19" ht="14.25"/>
    <row r="35" spans="15:19" ht="19.899999999999999" customHeight="1"/>
    <row r="36" spans="15:19" ht="14.25"/>
    <row r="37" spans="15:19" ht="19.899999999999999" customHeight="1"/>
    <row r="38" spans="15:19" ht="19.899999999999999" customHeight="1"/>
    <row r="39" spans="15:19" ht="64.900000000000006" customHeight="1"/>
    <row r="41" spans="15:19" ht="19.899999999999999" customHeight="1"/>
    <row r="42" spans="15:19" ht="19.899999999999999" customHeight="1"/>
    <row r="43" spans="15:19" ht="64.900000000000006" customHeight="1"/>
    <row r="47" spans="15:19" ht="21" customHeight="1">
      <c r="O47" s="133" t="s">
        <v>12</v>
      </c>
      <c r="P47" s="133" t="s">
        <v>12</v>
      </c>
      <c r="S47" s="133" t="s">
        <v>11</v>
      </c>
    </row>
    <row r="48" spans="15:19" ht="21" customHeight="1">
      <c r="O48" s="136"/>
      <c r="P48" s="136"/>
      <c r="S48" s="134"/>
    </row>
    <row r="49" spans="15:19" ht="64.900000000000006" customHeight="1">
      <c r="O49" s="14"/>
      <c r="P49" s="14"/>
      <c r="S49" s="15"/>
    </row>
    <row r="50" spans="15:19" ht="7.15" customHeight="1"/>
    <row r="51" spans="15:19" ht="21" customHeight="1">
      <c r="O51" s="133" t="s">
        <v>12</v>
      </c>
      <c r="P51" s="133" t="s">
        <v>12</v>
      </c>
      <c r="S51" s="133" t="s">
        <v>13</v>
      </c>
    </row>
    <row r="52" spans="15:19" ht="21" customHeight="1">
      <c r="O52" s="136"/>
      <c r="P52" s="136"/>
      <c r="S52" s="134"/>
    </row>
    <row r="53" spans="15:19" ht="64.900000000000006" customHeight="1">
      <c r="O53" s="14"/>
      <c r="P53" s="14"/>
      <c r="S53" s="14"/>
    </row>
  </sheetData>
  <mergeCells count="57">
    <mergeCell ref="B12:C12"/>
    <mergeCell ref="D12:F12"/>
    <mergeCell ref="W24:X24"/>
    <mergeCell ref="X25:X26"/>
    <mergeCell ref="Y19:Y20"/>
    <mergeCell ref="O21:R21"/>
    <mergeCell ref="T21:Y21"/>
    <mergeCell ref="O22:O23"/>
    <mergeCell ref="Q22:Q23"/>
    <mergeCell ref="R22:R23"/>
    <mergeCell ref="T22:T23"/>
    <mergeCell ref="U22:U23"/>
    <mergeCell ref="V22:X22"/>
    <mergeCell ref="Y22:Y23"/>
    <mergeCell ref="W23:X23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3:C13"/>
    <mergeCell ref="D13:F13"/>
    <mergeCell ref="B14:C14"/>
    <mergeCell ref="D14:F14"/>
    <mergeCell ref="B15:C15"/>
    <mergeCell ref="D15:F15"/>
    <mergeCell ref="B16:C16"/>
    <mergeCell ref="D16:F16"/>
    <mergeCell ref="A17:B17"/>
    <mergeCell ref="P22:P23"/>
    <mergeCell ref="O51:O52"/>
    <mergeCell ref="P51:P52"/>
    <mergeCell ref="S51:S52"/>
    <mergeCell ref="O28:O29"/>
    <mergeCell ref="P28:P29"/>
    <mergeCell ref="O47:O48"/>
    <mergeCell ref="P47:P48"/>
    <mergeCell ref="S47:S48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5" t="s">
        <v>89</v>
      </c>
      <c r="B1" s="93"/>
      <c r="C1" s="93"/>
      <c r="D1" s="93"/>
      <c r="E1" s="93"/>
      <c r="F1" s="93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6"/>
      <c r="H2" s="16"/>
      <c r="I2" s="16"/>
      <c r="J2" s="161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SAC2-DS-MRS-0457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46272</v>
      </c>
    </row>
    <row r="4" spans="1:18" ht="15.95" customHeight="1">
      <c r="A4" s="184" t="s">
        <v>2</v>
      </c>
      <c r="B4" s="185" t="s">
        <v>14</v>
      </c>
      <c r="C4" s="185"/>
      <c r="D4" s="184" t="s">
        <v>4</v>
      </c>
      <c r="E4" s="184"/>
      <c r="F4" s="184"/>
      <c r="G4" s="185" t="s">
        <v>5</v>
      </c>
      <c r="H4" s="184" t="s">
        <v>84</v>
      </c>
      <c r="I4" s="184" t="s">
        <v>15</v>
      </c>
      <c r="J4" s="184" t="s">
        <v>16</v>
      </c>
      <c r="K4" s="185" t="s">
        <v>7</v>
      </c>
    </row>
    <row r="5" spans="1:18" ht="15.95" customHeight="1">
      <c r="A5" s="184"/>
      <c r="B5" s="185"/>
      <c r="C5" s="185"/>
      <c r="D5" s="184"/>
      <c r="E5" s="184"/>
      <c r="F5" s="184"/>
      <c r="G5" s="185"/>
      <c r="H5" s="184"/>
      <c r="I5" s="184"/>
      <c r="J5" s="184"/>
      <c r="K5" s="185"/>
    </row>
    <row r="6" spans="1:18" ht="105" customHeight="1">
      <c r="A6" s="17">
        <f>+MRS!A6</f>
        <v>1</v>
      </c>
      <c r="B6" s="179" t="str">
        <f>MRS!B6</f>
        <v>AJ 4063C Ox. Scavenger</v>
      </c>
      <c r="C6" s="180"/>
      <c r="D6" s="181" t="str">
        <f>MRS!D6</f>
        <v>AJ 4063 C</v>
      </c>
      <c r="E6" s="182"/>
      <c r="F6" s="183"/>
      <c r="G6" s="96" t="str">
        <f>MRS!G6</f>
        <v>Kg</v>
      </c>
      <c r="H6" s="96">
        <f>MRS!H6</f>
        <v>3000</v>
      </c>
      <c r="I6" s="97">
        <f>MRS!I6</f>
        <v>6.5</v>
      </c>
      <c r="J6" s="97">
        <f>MRS!J6</f>
        <v>19500</v>
      </c>
      <c r="K6" s="98"/>
      <c r="O6" s="99"/>
      <c r="P6" s="99"/>
      <c r="R6" s="99"/>
    </row>
    <row r="7" spans="1:18" ht="105" customHeight="1">
      <c r="A7" s="17">
        <f>+MRS!A7</f>
        <v>2</v>
      </c>
      <c r="B7" s="179" t="str">
        <f>MRS!B7</f>
        <v>AJ 7564 Biocide</v>
      </c>
      <c r="C7" s="180"/>
      <c r="D7" s="181" t="str">
        <f>MRS!D7</f>
        <v>AJ 7564</v>
      </c>
      <c r="E7" s="182"/>
      <c r="F7" s="183"/>
      <c r="G7" s="96" t="str">
        <f>MRS!G7</f>
        <v>Kg</v>
      </c>
      <c r="H7" s="96">
        <f>MRS!H7</f>
        <v>1250</v>
      </c>
      <c r="I7" s="97">
        <f>MRS!I7</f>
        <v>14</v>
      </c>
      <c r="J7" s="97">
        <f>MRS!J7</f>
        <v>17500</v>
      </c>
      <c r="K7" s="98"/>
      <c r="O7" s="99"/>
      <c r="P7" s="99"/>
      <c r="R7" s="99"/>
    </row>
    <row r="8" spans="1:18" ht="105" customHeight="1">
      <c r="A8" s="17">
        <f>+MRS!A8</f>
        <v>3</v>
      </c>
      <c r="B8" s="179" t="str">
        <f>MRS!B8</f>
        <v>AJ 1164 Corr. Inhibitor 25 kg Drum</v>
      </c>
      <c r="C8" s="180"/>
      <c r="D8" s="181" t="str">
        <f>MRS!D8</f>
        <v>AJ 1164</v>
      </c>
      <c r="E8" s="182"/>
      <c r="F8" s="183"/>
      <c r="G8" s="96" t="str">
        <f>MRS!G8</f>
        <v>Kg</v>
      </c>
      <c r="H8" s="96">
        <f>MRS!H8</f>
        <v>200</v>
      </c>
      <c r="I8" s="97">
        <f>MRS!I8</f>
        <v>16</v>
      </c>
      <c r="J8" s="97">
        <f>MRS!J8</f>
        <v>3200</v>
      </c>
      <c r="K8" s="98"/>
      <c r="O8" s="99"/>
      <c r="P8" s="99"/>
      <c r="R8" s="99"/>
    </row>
    <row r="9" spans="1:18" ht="105" customHeight="1">
      <c r="A9" s="17">
        <f>+MRS!A9</f>
        <v>4</v>
      </c>
      <c r="B9" s="179" t="str">
        <f>MRS!B9</f>
        <v>AJ1100 Alkalinity Builder</v>
      </c>
      <c r="C9" s="180"/>
      <c r="D9" s="181" t="str">
        <f>MRS!D9</f>
        <v>AJ 110</v>
      </c>
      <c r="E9" s="182"/>
      <c r="F9" s="183"/>
      <c r="G9" s="96" t="str">
        <f>MRS!G9</f>
        <v>Kg</v>
      </c>
      <c r="H9" s="96">
        <f>MRS!H9</f>
        <v>800</v>
      </c>
      <c r="I9" s="97">
        <f>MRS!I9</f>
        <v>3</v>
      </c>
      <c r="J9" s="97">
        <f>MRS!J9</f>
        <v>2400</v>
      </c>
      <c r="K9" s="98"/>
      <c r="O9" s="99"/>
      <c r="P9" s="99"/>
      <c r="R9" s="99"/>
    </row>
    <row r="10" spans="1:18" ht="105" customHeight="1">
      <c r="A10" s="17">
        <f>+MRS!A10</f>
        <v>5</v>
      </c>
      <c r="B10" s="179" t="str">
        <f>MRS!B10</f>
        <v>Site monitoring technical support (Service Engineer / Daily visit with Al Jazira Analysis report TDS, Chloride PPM, PH, DO, SRB, TSS &amp; TotalBacteria</v>
      </c>
      <c r="C10" s="180"/>
      <c r="D10" s="181" t="str">
        <f>MRS!D10</f>
        <v>As required on demand</v>
      </c>
      <c r="E10" s="182"/>
      <c r="F10" s="183"/>
      <c r="G10" s="96" t="str">
        <f>MRS!G10</f>
        <v>Per Day</v>
      </c>
      <c r="H10" s="96">
        <f>MRS!H10</f>
        <v>1</v>
      </c>
      <c r="I10" s="97">
        <f>MRS!I10</f>
        <v>1200</v>
      </c>
      <c r="J10" s="97">
        <f>MRS!J10</f>
        <v>1200</v>
      </c>
      <c r="K10" s="98"/>
      <c r="O10" s="99"/>
      <c r="P10" s="99"/>
      <c r="R10" s="99"/>
    </row>
    <row r="11" spans="1:18" ht="105" customHeight="1">
      <c r="A11" s="17">
        <f>+MRS!A11</f>
        <v>6</v>
      </c>
      <c r="B11" s="179" t="str">
        <f>MRS!B11</f>
        <v>Analysis report without mixing TDS, Chloride PPM, PH, DO, SRB, TSS &amp; Total Bacteria</v>
      </c>
      <c r="C11" s="180"/>
      <c r="D11" s="181" t="str">
        <f>MRS!D11</f>
        <v>As required on demand
 (sample send to Al Jazira office)</v>
      </c>
      <c r="E11" s="182"/>
      <c r="F11" s="183"/>
      <c r="G11" s="96" t="str">
        <f>MRS!G11</f>
        <v>Per Report</v>
      </c>
      <c r="H11" s="96">
        <f>MRS!H11</f>
        <v>1</v>
      </c>
      <c r="I11" s="97">
        <f>MRS!I11</f>
        <v>600</v>
      </c>
      <c r="J11" s="97">
        <f>MRS!J11</f>
        <v>600</v>
      </c>
      <c r="K11" s="98"/>
      <c r="O11" s="99"/>
      <c r="P11" s="99"/>
      <c r="R11" s="99"/>
    </row>
    <row r="12" spans="1:18" ht="105" customHeight="1">
      <c r="A12" s="17">
        <f>+MRS!A13</f>
        <v>0</v>
      </c>
      <c r="B12" s="174"/>
      <c r="C12" s="175"/>
      <c r="D12" s="176"/>
      <c r="E12" s="177"/>
      <c r="F12" s="178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7">
        <f>+MRS!A14</f>
        <v>0</v>
      </c>
      <c r="B13" s="174"/>
      <c r="C13" s="175"/>
      <c r="D13" s="176"/>
      <c r="E13" s="177"/>
      <c r="F13" s="178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7">
        <f>+MRS!A15</f>
        <v>0</v>
      </c>
      <c r="B14" s="174"/>
      <c r="C14" s="175"/>
      <c r="D14" s="176"/>
      <c r="E14" s="177"/>
      <c r="F14" s="178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7">
        <f>+MRS!A16</f>
        <v>0</v>
      </c>
      <c r="B15" s="174"/>
      <c r="C15" s="175"/>
      <c r="D15" s="176"/>
      <c r="E15" s="177"/>
      <c r="F15" s="178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7" t="e">
        <f>+MRS!#REF!</f>
        <v>#REF!</v>
      </c>
      <c r="B16" s="174"/>
      <c r="C16" s="175"/>
      <c r="D16" s="176"/>
      <c r="E16" s="177"/>
      <c r="F16" s="178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7" t="e">
        <f>+MRS!#REF!</f>
        <v>#REF!</v>
      </c>
      <c r="B17" s="174"/>
      <c r="C17" s="175"/>
      <c r="D17" s="176"/>
      <c r="E17" s="177"/>
      <c r="F17" s="178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topLeftCell="A45" zoomScale="130" zoomScaleNormal="100" zoomScaleSheetLayoutView="130" workbookViewId="0">
      <selection activeCell="O67" sqref="O6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137</v>
      </c>
      <c r="D9" s="35"/>
      <c r="E9" s="35"/>
    </row>
    <row r="10" spans="2:13" s="35" customFormat="1">
      <c r="B10" s="68"/>
      <c r="C10" s="35" t="s">
        <v>24</v>
      </c>
      <c r="D10" s="72" t="s">
        <v>142</v>
      </c>
      <c r="J10" s="35" t="s">
        <v>25</v>
      </c>
      <c r="K10" s="187">
        <f>MRS!L3</f>
        <v>46272</v>
      </c>
      <c r="L10" s="188"/>
      <c r="M10" s="188"/>
    </row>
    <row r="11" spans="2:13" s="35" customFormat="1">
      <c r="B11" s="68"/>
      <c r="C11" s="71" t="s">
        <v>26</v>
      </c>
      <c r="D11" s="72" t="s">
        <v>143</v>
      </c>
      <c r="J11" s="35" t="s">
        <v>27</v>
      </c>
      <c r="K11" s="189" t="str">
        <f>SUBSTITUTE(SUBSTITUTE(+MRS!A3,"  MRS No : ",""),"-MRS","-PO")</f>
        <v>SAC2-DS-PO-0457</v>
      </c>
      <c r="L11" s="189"/>
      <c r="M11" s="189"/>
    </row>
    <row r="12" spans="2:13" s="35" customFormat="1">
      <c r="B12" s="68"/>
      <c r="C12" s="71" t="s">
        <v>28</v>
      </c>
      <c r="D12" s="35" t="s">
        <v>144</v>
      </c>
      <c r="J12" s="35" t="s">
        <v>29</v>
      </c>
    </row>
    <row r="13" spans="2:13" s="35" customFormat="1">
      <c r="B13" s="68"/>
      <c r="C13" s="73"/>
      <c r="D13" s="72" t="s">
        <v>145</v>
      </c>
      <c r="J13" s="35" t="s">
        <v>30</v>
      </c>
    </row>
    <row r="14" spans="2:13" s="35" customFormat="1">
      <c r="B14" s="68"/>
      <c r="C14" s="73" t="s">
        <v>146</v>
      </c>
      <c r="J14" s="35" t="s">
        <v>31</v>
      </c>
      <c r="K14" s="35" t="s">
        <v>138</v>
      </c>
    </row>
    <row r="15" spans="2:13" s="35" customFormat="1">
      <c r="B15" s="68"/>
      <c r="C15" s="73" t="s">
        <v>147</v>
      </c>
      <c r="J15" s="35" t="s">
        <v>32</v>
      </c>
      <c r="K15" s="74">
        <v>46271</v>
      </c>
      <c r="L15" s="131"/>
    </row>
    <row r="16" spans="2:13" s="35" customFormat="1">
      <c r="C16" s="73"/>
      <c r="K16" s="74"/>
      <c r="L16" s="74"/>
    </row>
    <row r="17" spans="2:13" ht="6" customHeight="1">
      <c r="C17" s="25"/>
      <c r="K17" s="26"/>
    </row>
    <row r="18" spans="2:13" ht="20.25">
      <c r="B18" s="190" t="s">
        <v>33</v>
      </c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</row>
    <row r="19" spans="2:13" ht="12" customHeight="1"/>
    <row r="20" spans="2:13" s="27" customFormat="1" ht="12" customHeight="1">
      <c r="B20" s="191" t="s">
        <v>34</v>
      </c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</row>
    <row r="21" spans="2:13" s="27" customFormat="1" ht="12" customHeight="1">
      <c r="B21" s="191" t="s">
        <v>35</v>
      </c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</row>
    <row r="22" spans="2:13" s="27" customFormat="1" ht="12" customHeight="1">
      <c r="B22" s="191" t="s">
        <v>36</v>
      </c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</row>
    <row r="23" spans="2:13" ht="6.95" customHeight="1"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</row>
    <row r="24" spans="2:13" ht="6.95" customHeight="1"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22"/>
      <c r="C26" s="118" t="s">
        <v>136</v>
      </c>
      <c r="M26" s="119" t="s">
        <v>38</v>
      </c>
    </row>
    <row r="27" spans="2:13" ht="11.1" customHeight="1">
      <c r="B27" s="28"/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94" t="s">
        <v>118</v>
      </c>
      <c r="G29" s="194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94"/>
      <c r="G30" s="194"/>
    </row>
    <row r="31" spans="2:13" ht="12" customHeight="1">
      <c r="B31" s="28"/>
      <c r="C31" s="22" t="s">
        <v>43</v>
      </c>
      <c r="D31" s="31"/>
      <c r="E31" s="22" t="s">
        <v>41</v>
      </c>
      <c r="F31" s="194"/>
      <c r="G31" s="194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5" t="s">
        <v>57</v>
      </c>
      <c r="C49" s="76" t="s">
        <v>91</v>
      </c>
      <c r="P49" s="77"/>
    </row>
    <row r="50" spans="2:16" s="78" customFormat="1" ht="12" customHeight="1">
      <c r="B50" s="79" t="s">
        <v>57</v>
      </c>
      <c r="C50" s="76" t="s">
        <v>86</v>
      </c>
    </row>
    <row r="51" spans="2:16" s="78" customFormat="1" ht="12" customHeight="1">
      <c r="B51" s="79" t="s">
        <v>57</v>
      </c>
      <c r="C51" s="76" t="s">
        <v>85</v>
      </c>
    </row>
    <row r="52" spans="2:16" s="78" customFormat="1" ht="4.5" customHeight="1">
      <c r="B52" s="79"/>
      <c r="C52" s="76"/>
    </row>
    <row r="53" spans="2:16" ht="15" customHeight="1">
      <c r="B53" s="38">
        <v>7</v>
      </c>
      <c r="C53" s="28" t="s">
        <v>93</v>
      </c>
    </row>
    <row r="54" spans="2:16" ht="12" customHeight="1">
      <c r="B54" s="79" t="s">
        <v>57</v>
      </c>
      <c r="C54" s="116" t="s">
        <v>94</v>
      </c>
      <c r="F54" s="22" t="s">
        <v>139</v>
      </c>
    </row>
    <row r="55" spans="2:16" ht="12" customHeight="1">
      <c r="B55" s="79" t="s">
        <v>57</v>
      </c>
      <c r="C55" s="116" t="s">
        <v>95</v>
      </c>
      <c r="F55" s="117" t="s">
        <v>140</v>
      </c>
    </row>
    <row r="56" spans="2:16" ht="12" customHeight="1">
      <c r="B56" s="79" t="s">
        <v>57</v>
      </c>
      <c r="C56" s="116" t="s">
        <v>96</v>
      </c>
      <c r="F56" s="22" t="s">
        <v>141</v>
      </c>
    </row>
    <row r="57" spans="2:16" ht="12" customHeight="1">
      <c r="B57" s="79" t="s">
        <v>57</v>
      </c>
      <c r="C57" s="116" t="s">
        <v>97</v>
      </c>
      <c r="F57" s="22" t="s">
        <v>102</v>
      </c>
    </row>
    <row r="58" spans="2:16" ht="12" customHeight="1">
      <c r="B58" s="79" t="s">
        <v>57</v>
      </c>
      <c r="C58" s="116" t="s">
        <v>98</v>
      </c>
      <c r="F58" s="22" t="s">
        <v>103</v>
      </c>
    </row>
    <row r="59" spans="2:16" ht="12" customHeight="1">
      <c r="B59" s="79" t="s">
        <v>57</v>
      </c>
      <c r="C59" s="116" t="s">
        <v>99</v>
      </c>
      <c r="F59" s="22" t="s">
        <v>100</v>
      </c>
    </row>
    <row r="60" spans="2:16" ht="12" customHeight="1">
      <c r="B60" s="79"/>
      <c r="C60" s="116" t="s">
        <v>101</v>
      </c>
    </row>
    <row r="61" spans="2:16" ht="7.5" customHeight="1">
      <c r="B61" s="38"/>
    </row>
    <row r="62" spans="2:16" ht="3" customHeight="1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2:16" ht="3" customHeight="1">
      <c r="B63" s="28"/>
    </row>
    <row r="64" spans="2:16" ht="7.5" customHeight="1">
      <c r="B64" s="38"/>
    </row>
    <row r="65" spans="1:13">
      <c r="B65" s="28" t="s">
        <v>58</v>
      </c>
      <c r="J65" s="28" t="s">
        <v>59</v>
      </c>
    </row>
    <row r="66" spans="1:13" ht="47.25" customHeight="1"/>
    <row r="67" spans="1:13" ht="18" customHeight="1">
      <c r="B67" s="22" t="s">
        <v>60</v>
      </c>
      <c r="J67" s="22" t="s">
        <v>60</v>
      </c>
    </row>
    <row r="68" spans="1:13" ht="18" customHeight="1">
      <c r="B68" s="22" t="s">
        <v>61</v>
      </c>
      <c r="J68" s="22" t="s">
        <v>62</v>
      </c>
      <c r="K68" s="18" t="str">
        <f>D12</f>
        <v>Mohammed Hassan</v>
      </c>
    </row>
    <row r="69" spans="1:13" ht="18" customHeight="1">
      <c r="B69" s="22" t="s">
        <v>63</v>
      </c>
      <c r="J69" s="22" t="s">
        <v>64</v>
      </c>
      <c r="K69" s="18" t="s">
        <v>148</v>
      </c>
    </row>
    <row r="70" spans="1:13" ht="15" customHeight="1">
      <c r="B70" s="22" t="s">
        <v>65</v>
      </c>
      <c r="J70" s="22" t="s">
        <v>66</v>
      </c>
    </row>
    <row r="71" spans="1:13" s="24" customFormat="1" ht="24.75" customHeight="1">
      <c r="B71" s="21" t="s">
        <v>67</v>
      </c>
      <c r="J71" s="195" t="str">
        <f>C9</f>
        <v>AWTC(Al-Jazira Water Treatment Chemicals)</v>
      </c>
      <c r="K71" s="195"/>
      <c r="L71" s="195"/>
      <c r="M71" s="195"/>
    </row>
    <row r="72" spans="1:13" ht="27.95" customHeight="1">
      <c r="A72" s="186" t="s">
        <v>68</v>
      </c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L9" sqref="L9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SAC2-DS-PO-0457</v>
      </c>
      <c r="C2" s="204" t="s">
        <v>70</v>
      </c>
      <c r="D2" s="204"/>
      <c r="E2" s="204"/>
      <c r="F2" s="204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46272</v>
      </c>
      <c r="C3" s="47"/>
      <c r="D3" s="48"/>
      <c r="E3" s="205" t="s">
        <v>72</v>
      </c>
      <c r="F3" s="205"/>
      <c r="G3" s="205"/>
      <c r="H3" s="205"/>
      <c r="I3" s="49"/>
    </row>
    <row r="4" spans="1:13" s="51" customFormat="1" ht="28.5" customHeight="1" thickTop="1">
      <c r="A4" s="206" t="s">
        <v>73</v>
      </c>
      <c r="B4" s="208" t="s">
        <v>74</v>
      </c>
      <c r="C4" s="209"/>
      <c r="D4" s="212" t="s">
        <v>75</v>
      </c>
      <c r="E4" s="212" t="s">
        <v>76</v>
      </c>
      <c r="F4" s="214" t="str">
        <f>'PO 1st page'!C9</f>
        <v>AWTC(Al-Jazira Water Treatment Chemicals)</v>
      </c>
      <c r="G4" s="215"/>
      <c r="H4" s="216" t="s">
        <v>77</v>
      </c>
      <c r="K4" s="52"/>
      <c r="L4" s="52"/>
      <c r="M4" s="52"/>
    </row>
    <row r="5" spans="1:13" s="51" customFormat="1" ht="21.95" customHeight="1">
      <c r="A5" s="207"/>
      <c r="B5" s="210"/>
      <c r="C5" s="211"/>
      <c r="D5" s="213"/>
      <c r="E5" s="213"/>
      <c r="F5" s="53" t="s">
        <v>78</v>
      </c>
      <c r="G5" s="53" t="s">
        <v>43</v>
      </c>
      <c r="H5" s="217"/>
      <c r="K5" s="52"/>
      <c r="L5" s="52"/>
      <c r="M5" s="52"/>
    </row>
    <row r="6" spans="1:13" s="51" customFormat="1" ht="32.1" customHeight="1">
      <c r="A6" s="80">
        <f t="shared" ref="A6:A12" si="0">ROW(A1)</f>
        <v>1</v>
      </c>
      <c r="B6" s="200" t="str">
        <f>CONCATENATE(MRS!B6," ",MRS!D6)</f>
        <v>AJ 4063C Ox. Scavenger AJ 4063 C</v>
      </c>
      <c r="C6" s="201"/>
      <c r="D6" s="81" t="str">
        <f>MRS!G6</f>
        <v>Kg</v>
      </c>
      <c r="E6" s="82">
        <f>MRS!H6</f>
        <v>3000</v>
      </c>
      <c r="F6" s="83">
        <f>MRS!I6</f>
        <v>6.5</v>
      </c>
      <c r="G6" s="84">
        <f>MRS!J6</f>
        <v>19500</v>
      </c>
      <c r="H6" s="92" t="str">
        <f>MRS!L6</f>
        <v>Monthly</v>
      </c>
      <c r="K6" s="85"/>
      <c r="L6" s="86"/>
      <c r="M6" s="52"/>
    </row>
    <row r="7" spans="1:13" s="51" customFormat="1" ht="32.1" customHeight="1">
      <c r="A7" s="80">
        <f t="shared" si="0"/>
        <v>2</v>
      </c>
      <c r="B7" s="200" t="str">
        <f>CONCATENATE(MRS!B7," ",MRS!D7)</f>
        <v>AJ 7564 Biocide AJ 7564</v>
      </c>
      <c r="C7" s="201"/>
      <c r="D7" s="81" t="str">
        <f>MRS!G7</f>
        <v>Kg</v>
      </c>
      <c r="E7" s="82">
        <f>MRS!H7</f>
        <v>1250</v>
      </c>
      <c r="F7" s="83">
        <f>MRS!I7</f>
        <v>14</v>
      </c>
      <c r="G7" s="84">
        <f>MRS!J7</f>
        <v>17500</v>
      </c>
      <c r="H7" s="92"/>
      <c r="K7" s="85"/>
      <c r="L7" s="86"/>
      <c r="M7" s="52"/>
    </row>
    <row r="8" spans="1:13" s="51" customFormat="1" ht="32.1" customHeight="1">
      <c r="A8" s="80">
        <f t="shared" si="0"/>
        <v>3</v>
      </c>
      <c r="B8" s="200" t="str">
        <f>CONCATENATE(MRS!B8," ",MRS!D8)</f>
        <v>AJ 1164 Corr. Inhibitor 25 kg Drum AJ 1164</v>
      </c>
      <c r="C8" s="201"/>
      <c r="D8" s="81" t="str">
        <f>MRS!G8</f>
        <v>Kg</v>
      </c>
      <c r="E8" s="82">
        <f>MRS!H8</f>
        <v>200</v>
      </c>
      <c r="F8" s="83">
        <f>MRS!I8</f>
        <v>16</v>
      </c>
      <c r="G8" s="84">
        <f>MRS!J8</f>
        <v>3200</v>
      </c>
      <c r="H8" s="92"/>
      <c r="K8" s="52"/>
      <c r="L8" s="52"/>
      <c r="M8" s="52"/>
    </row>
    <row r="9" spans="1:13" s="51" customFormat="1" ht="32.1" customHeight="1">
      <c r="A9" s="80">
        <f t="shared" si="0"/>
        <v>4</v>
      </c>
      <c r="B9" s="200" t="str">
        <f>CONCATENATE(MRS!B9," ",MRS!D9)</f>
        <v>AJ1100 Alkalinity Builder AJ 110</v>
      </c>
      <c r="C9" s="201"/>
      <c r="D9" s="81" t="str">
        <f>MRS!G9</f>
        <v>Kg</v>
      </c>
      <c r="E9" s="82">
        <f>MRS!H9</f>
        <v>800</v>
      </c>
      <c r="F9" s="83">
        <f>MRS!I9</f>
        <v>3</v>
      </c>
      <c r="G9" s="84">
        <f>MRS!J9</f>
        <v>2400</v>
      </c>
      <c r="H9" s="92"/>
    </row>
    <row r="10" spans="1:13" s="51" customFormat="1" ht="71.25" customHeight="1">
      <c r="A10" s="80">
        <f t="shared" si="0"/>
        <v>5</v>
      </c>
      <c r="B10" s="200" t="str">
        <f>CONCATENATE(MRS!B10," ",MRS!D10)</f>
        <v>Site monitoring technical support (Service Engineer / Daily visit with Al Jazira Analysis report TDS, Chloride PPM, PH, DO, SRB, TSS &amp; TotalBacteria As required on demand</v>
      </c>
      <c r="C10" s="201"/>
      <c r="D10" s="81" t="str">
        <f>MRS!G10</f>
        <v>Per Day</v>
      </c>
      <c r="E10" s="82">
        <f>MRS!H10</f>
        <v>1</v>
      </c>
      <c r="F10" s="83">
        <f>MRS!I10</f>
        <v>1200</v>
      </c>
      <c r="G10" s="84">
        <f>MRS!J10</f>
        <v>1200</v>
      </c>
      <c r="H10" s="92"/>
    </row>
    <row r="11" spans="1:13" s="51" customFormat="1" ht="71.25" customHeight="1">
      <c r="A11" s="80">
        <f t="shared" si="0"/>
        <v>6</v>
      </c>
      <c r="B11" s="200" t="str">
        <f>CONCATENATE(MRS!B11," ",MRS!D11)</f>
        <v>Analysis report without mixing TDS, Chloride PPM, PH, DO, SRB, TSS &amp; Total Bacteria As required on demand
 (sample send to Al Jazira office)</v>
      </c>
      <c r="C11" s="201"/>
      <c r="D11" s="81" t="str">
        <f>MRS!G11</f>
        <v>Per Report</v>
      </c>
      <c r="E11" s="82">
        <f>MRS!H11</f>
        <v>1</v>
      </c>
      <c r="F11" s="83">
        <f>MRS!I11</f>
        <v>600</v>
      </c>
      <c r="G11" s="84">
        <f>MRS!J11</f>
        <v>600</v>
      </c>
      <c r="H11" s="92"/>
    </row>
    <row r="12" spans="1:13" s="51" customFormat="1" ht="71.25" customHeight="1">
      <c r="A12" s="80">
        <f t="shared" si="0"/>
        <v>7</v>
      </c>
      <c r="B12" s="200" t="str">
        <f>CONCATENATE(MRS!B12," ",MRS!D12)</f>
        <v>Analysis report without mixing TDS, Chloride PPM, PH, DO, SRB, TSS &amp; Total Bacteria As required on demand 
(Al Jazira Engineer collect sample)</v>
      </c>
      <c r="C12" s="201"/>
      <c r="D12" s="81" t="str">
        <f>MRS!G12</f>
        <v>Per Report</v>
      </c>
      <c r="E12" s="82">
        <f>MRS!H12</f>
        <v>1</v>
      </c>
      <c r="F12" s="83">
        <f>MRS!I12</f>
        <v>900</v>
      </c>
      <c r="G12" s="84">
        <f>MRS!J12</f>
        <v>900</v>
      </c>
      <c r="H12" s="92"/>
    </row>
    <row r="13" spans="1:13" s="51" customFormat="1" ht="32.1" customHeight="1">
      <c r="A13" s="87"/>
      <c r="B13" s="200" t="str">
        <f>CONCATENATE(MRS!B13," ",MRS!D13)</f>
        <v xml:space="preserve"> </v>
      </c>
      <c r="C13" s="201"/>
      <c r="D13" s="81"/>
      <c r="E13" s="82"/>
      <c r="F13" s="83"/>
      <c r="G13" s="84"/>
      <c r="H13" s="92"/>
    </row>
    <row r="14" spans="1:13" s="51" customFormat="1" ht="32.1" customHeight="1">
      <c r="A14" s="87"/>
      <c r="B14" s="200" t="str">
        <f>CONCATENATE(MRS!B14," ",MRS!D14)</f>
        <v xml:space="preserve"> </v>
      </c>
      <c r="C14" s="201"/>
      <c r="D14" s="81"/>
      <c r="E14" s="82"/>
      <c r="F14" s="83"/>
      <c r="G14" s="84"/>
      <c r="H14" s="92"/>
    </row>
    <row r="15" spans="1:13" s="51" customFormat="1" ht="32.1" customHeight="1">
      <c r="A15" s="87"/>
      <c r="B15" s="200"/>
      <c r="C15" s="201"/>
      <c r="D15" s="81"/>
      <c r="E15" s="82"/>
      <c r="F15" s="83"/>
      <c r="G15" s="84"/>
      <c r="H15" s="92"/>
    </row>
    <row r="16" spans="1:13" s="51" customFormat="1" ht="32.1" customHeight="1">
      <c r="A16" s="87"/>
      <c r="B16" s="200"/>
      <c r="C16" s="201"/>
      <c r="D16" s="81"/>
      <c r="E16" s="82"/>
      <c r="F16" s="83"/>
      <c r="G16" s="84"/>
      <c r="H16" s="92"/>
    </row>
    <row r="17" spans="1:13" s="51" customFormat="1" ht="32.1" customHeight="1">
      <c r="A17" s="87"/>
      <c r="B17" s="202"/>
      <c r="C17" s="203"/>
      <c r="D17" s="88"/>
      <c r="E17" s="89"/>
      <c r="F17" s="90"/>
      <c r="G17" s="91"/>
      <c r="H17" s="92"/>
    </row>
    <row r="18" spans="1:13" s="51" customFormat="1" ht="23.1" customHeight="1">
      <c r="A18" s="196" t="s">
        <v>79</v>
      </c>
      <c r="B18" s="197"/>
      <c r="C18" s="197"/>
      <c r="D18" s="197"/>
      <c r="E18" s="197"/>
      <c r="F18" s="197"/>
      <c r="G18" s="54">
        <f>SUM(G6:G17)</f>
        <v>45300</v>
      </c>
      <c r="H18" s="55"/>
    </row>
    <row r="19" spans="1:13" s="51" customFormat="1" ht="23.1" customHeight="1">
      <c r="A19" s="196" t="s">
        <v>42</v>
      </c>
      <c r="B19" s="197"/>
      <c r="C19" s="197"/>
      <c r="D19" s="197"/>
      <c r="E19" s="197"/>
      <c r="F19" s="197"/>
      <c r="G19" s="54">
        <f>+G18*0.15</f>
        <v>6795</v>
      </c>
      <c r="H19" s="55"/>
    </row>
    <row r="20" spans="1:13" s="51" customFormat="1" ht="24.95" customHeight="1" thickBot="1">
      <c r="A20" s="198" t="s">
        <v>80</v>
      </c>
      <c r="B20" s="199"/>
      <c r="C20" s="199"/>
      <c r="D20" s="199"/>
      <c r="E20" s="199"/>
      <c r="F20" s="199"/>
      <c r="G20" s="56">
        <f>G19+G18</f>
        <v>52095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2026/601-R2/JWTC/Mg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6" t="s">
        <v>82</v>
      </c>
      <c r="B24" s="186"/>
      <c r="C24" s="186"/>
      <c r="D24" s="186"/>
      <c r="E24" s="186"/>
      <c r="F24" s="186"/>
      <c r="G24" s="186"/>
      <c r="H24" s="186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2026-09-09T14:41:49Z</cp:lastPrinted>
  <dcterms:created xsi:type="dcterms:W3CDTF">2024-10-20T11:50:19Z</dcterms:created>
  <dcterms:modified xsi:type="dcterms:W3CDTF">2026-09-09T14:54:49Z</dcterms:modified>
</cp:coreProperties>
</file>