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FB8A0888-0A64-48AF-AA2B-A3075E8E39D1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G7" i="4"/>
  <c r="D7" i="4"/>
  <c r="E7" i="4"/>
  <c r="B7" i="4"/>
  <c r="C26" i="3"/>
  <c r="J7" i="1"/>
  <c r="H6" i="4" l="1"/>
  <c r="E3" i="1"/>
  <c r="P54" i="3"/>
  <c r="B6" i="4" l="1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<sst xmlns="http://schemas.openxmlformats.org/spreadsheetml/2006/main" count="168" uniqueCount="137">
  <si>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</si>
  <si>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</si>
  <si>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</si>
  <si>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</si>
  <si>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</si>
  <si>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</si>
  <si>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</si>
  <si>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</si>
  <si>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</si>
  <si>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</si>
  <si>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</si>
  <si>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</si>
  <si>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</si>
  <si>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</si>
  <si>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</si>
  <si>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</si>
  <si>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</si>
  <si>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</si>
  <si>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</si>
  <si>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</si>
  <si>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</si>
  <si>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</si>
  <si>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</si>
  <si>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</si>
  <si>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</si>
  <si>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</si>
  <si>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</si>
  <si>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</si>
  <si>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</si>
  <si>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</si>
  <si>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</si>
  <si>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</si>
  <si>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</si>
  <si>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</si>
  <si>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</si>
  <si>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</si>
  <si>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</si>
  <si>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</si>
  <si>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</si>
  <si>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</si>
  <si>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</si>
  <si>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</si>
  <si>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</si>
  <si>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</si>
  <si>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</si>
  <si>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</si>
  <si>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</si>
  <si>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</si>
  <si>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</si>
  <si>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</si>
  <si>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</si>
  <si>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</si>
  <si>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</si>
  <si>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</si>
  <si>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</si>
  <si>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</si>
  <si>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</si>
  <si>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</si>
  <si>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</si>
  <si>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</si>
  <si>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</si>
  <si>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</si>
  <si>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</si>
  <si>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</si>
  <si>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</si>
  <si>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</si>
  <si>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</si>
  <si>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</si>
  <si>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</si>
  <si>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</si>
  <si>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</si>
  <si>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</si>
  <si>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</si>
  <si>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</si>
  <si>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</si>
  <si>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</si>
  <si>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</si>
  <si>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</si>
  <si>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</si>
  <si>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</si>
  <si>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</si>
  <si>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</si>
  <si>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</si>
  <si>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</si>
  <si>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</si>
  <si>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</si>
  <si>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</si>
  <si>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</si>
  <si>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</si>
  <si>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</si>
  <si>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Business Coordinator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</si>
  <si>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</si>
  <si>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</si>
  <si>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</si>
  <si>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</si>
  <si>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</si>
  <si>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</si>
  <si>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</si>
  <si>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</si>
  <si>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</si>
  <si>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</si>
  <si>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</si>
  <si>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</si>
  <si>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</si>
  <si>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</si>
  <si>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</si>
  <si>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</si>
  <si>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</si>
  <si>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</si>
  <si>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</si>
  <si>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</si>
  <si>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</si>
  <si>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</si>
  <si>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</si>
  <si>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</si>
  <si>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Monthly</t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</si>
  <si>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-MRS-0479</t>
    </r>
  </si>
  <si>
    <t>Iron Worker</t>
  </si>
  <si>
    <t>Scaffolder</t>
  </si>
  <si>
    <t>SACE</t>
  </si>
  <si>
    <t>Monthly Based</t>
  </si>
  <si>
    <t xml:space="preserve"> CR No. :</t>
    <phoneticPr fontId="6" type="noConversion"/>
  </si>
  <si>
    <t>2055149739</t>
  </si>
  <si>
    <t xml:space="preserve"> VAT No. : </t>
    <phoneticPr fontId="6" type="noConversion"/>
  </si>
  <si>
    <t>312457880100003</t>
  </si>
  <si>
    <t xml:space="preserve"> In Charge :</t>
    <phoneticPr fontId="6" type="noConversion"/>
  </si>
  <si>
    <t>Mohammad Sayeed Iqbal</t>
  </si>
  <si>
    <t>Mobile No. +966 55 102 6733 / Email:info@skillsassociationsa.com</t>
  </si>
  <si>
    <t>P.O.Box 3333, Al Jubail Industrial City 31951, KSA</t>
  </si>
  <si>
    <t>Mobile: +966 55 102 6733</t>
  </si>
  <si>
    <t>SACE (Skills Association Contracting Est.)</t>
  </si>
  <si>
    <t>SA-HYUNDAI-MNP-QT-072</t>
  </si>
  <si>
    <t>44300001067303</t>
  </si>
  <si>
    <t>SA47 1000 0044 3000 0106 7303</t>
  </si>
  <si>
    <t>SAUDI NATIONAL BANK</t>
  </si>
  <si>
    <t>NCBKSAJE</t>
  </si>
  <si>
    <t>SKILLS ASSOCIATION GENERAL CONTRACTING ESTABLISHMENT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</si>
</sst>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16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0" fillId="3" borderId="0" xfId="5" applyFont="1" applyFill="1"/>
    <xf numFmtId="0" fontId="17" fillId="3" borderId="0" xfId="5" quotePrefix="1" applyFont="1" applyFill="1"/>
    <xf numFmtId="0" fontId="5" fillId="2" borderId="21" xfId="1" applyFont="1" applyFill="1" applyBorder="1" applyAlignment="1">
      <alignment horizontal="center" vertical="center"/>
    </xf>
    <xf numFmtId="0" fontId="51" fillId="0" borderId="41" xfId="6" quotePrefix="1" applyFont="1" applyBorder="1" applyAlignment="1">
      <alignment horizontal="center" vertical="center" wrapText="1"/>
    </xf>
    <xf numFmtId="0" fontId="51" fillId="0" borderId="8" xfId="0" quotePrefix="1" applyFont="1" applyBorder="1" applyAlignment="1">
      <alignment horizontal="left"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70" fontId="56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40" fillId="3" borderId="0" xfId="5" applyFont="1" applyFill="1" applyAlignment="1">
      <alignment horizontal="left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7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746459</xdr:colOff>
          <xdr:row>17</xdr:row>
          <xdr:rowOff>65672</xdr:rowOff>
        </xdr:from>
        <xdr:to>
          <xdr:col>11</xdr:col>
          <xdr:colOff>1593682</xdr:colOff>
          <xdr:row>23</xdr:row>
          <xdr:rowOff>303797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198FC14-4AD3-FC1B-34E8-C332F74D7B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8538" y="5048751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101</v>
      </c>
      <c r="B1" s="125"/>
      <c r="C1" s="105"/>
      <c r="D1" s="105"/>
      <c r="E1" s="105"/>
      <c r="F1" s="105"/>
      <c r="G1" s="1"/>
      <c r="J1" s="134" t="s">
        <v>78</v>
      </c>
      <c r="K1" s="135"/>
      <c r="L1" s="136"/>
    </row>
    <row r="2" spans="1:19" ht="20.100000000000001" customHeight="1">
      <c r="A2" s="3" t="s">
        <v>1</v>
      </c>
      <c r="B2" s="96"/>
      <c r="C2" s="96"/>
      <c r="D2" s="3" t="s">
        <v>102</v>
      </c>
      <c r="E2" s="96"/>
      <c r="F2" s="96"/>
      <c r="G2" s="96"/>
      <c r="H2" s="96"/>
      <c r="I2" s="4"/>
      <c r="J2" s="137" t="s">
        <v>85</v>
      </c>
      <c r="K2" s="138"/>
      <c r="L2" s="139"/>
    </row>
    <row r="3" spans="1:19" ht="20.100000000000001" customHeight="1">
      <c r="A3" s="3" t="s">
        <v>116</v>
      </c>
      <c r="B3" s="96"/>
      <c r="C3" s="96"/>
      <c r="D3" s="96"/>
      <c r="E3" s="140">
        <f>+L3+3</f>
        <v>46299</v>
      </c>
      <c r="F3" s="140"/>
      <c r="G3" s="140"/>
      <c r="H3" s="140"/>
      <c r="I3" s="140"/>
      <c r="J3" s="96"/>
      <c r="K3" s="96"/>
      <c r="L3" s="126">
        <v>46296</v>
      </c>
      <c r="M3" s="4"/>
    </row>
    <row r="4" spans="1:19" ht="15.95" customHeight="1">
      <c r="A4" s="141" t="s">
        <v>2</v>
      </c>
      <c r="B4" s="142" t="s">
        <v>3</v>
      </c>
      <c r="C4" s="142"/>
      <c r="D4" s="143" t="s">
        <v>4</v>
      </c>
      <c r="E4" s="144"/>
      <c r="F4" s="145"/>
      <c r="G4" s="149" t="s">
        <v>5</v>
      </c>
      <c r="H4" s="151" t="s">
        <v>6</v>
      </c>
      <c r="I4" s="151" t="s">
        <v>82</v>
      </c>
      <c r="J4" s="141" t="s">
        <v>83</v>
      </c>
      <c r="K4" s="151" t="s">
        <v>0</v>
      </c>
      <c r="L4" s="142" t="s">
        <v>7</v>
      </c>
    </row>
    <row r="5" spans="1:19" ht="15.95" customHeight="1">
      <c r="A5" s="141"/>
      <c r="B5" s="142"/>
      <c r="C5" s="142"/>
      <c r="D5" s="146"/>
      <c r="E5" s="147"/>
      <c r="F5" s="148"/>
      <c r="G5" s="150"/>
      <c r="H5" s="152"/>
      <c r="I5" s="152"/>
      <c r="J5" s="141"/>
      <c r="K5" s="152"/>
      <c r="L5" s="142"/>
    </row>
    <row r="6" spans="1:19" ht="22.5" customHeight="1">
      <c r="A6" s="5">
        <f t="shared" ref="A6:A15" si="0">ROW(A1)</f>
        <v>1</v>
      </c>
      <c r="B6" s="153" t="s">
        <v>117</v>
      </c>
      <c r="C6" s="154"/>
      <c r="D6" s="155"/>
      <c r="E6" s="156"/>
      <c r="F6" s="157"/>
      <c r="G6" s="106" t="s">
        <v>91</v>
      </c>
      <c r="H6" s="107">
        <v>1</v>
      </c>
      <c r="I6" s="108">
        <v>19</v>
      </c>
      <c r="J6" s="108">
        <f>I6*H6</f>
        <v>19</v>
      </c>
      <c r="K6" s="109" t="s">
        <v>119</v>
      </c>
      <c r="L6" s="110" t="s">
        <v>120</v>
      </c>
      <c r="S6" s="101"/>
    </row>
    <row r="7" spans="1:19" ht="22.5" customHeight="1">
      <c r="A7" s="5">
        <f t="shared" si="0"/>
        <v>2</v>
      </c>
      <c r="B7" s="153" t="s">
        <v>118</v>
      </c>
      <c r="C7" s="154"/>
      <c r="D7" s="155"/>
      <c r="E7" s="156"/>
      <c r="F7" s="157"/>
      <c r="G7" s="106" t="s">
        <v>91</v>
      </c>
      <c r="H7" s="107">
        <v>1</v>
      </c>
      <c r="I7" s="108">
        <v>19</v>
      </c>
      <c r="J7" s="108">
        <f>I7*H7</f>
        <v>19</v>
      </c>
      <c r="K7" s="109"/>
      <c r="L7" s="123"/>
      <c r="S7" s="101"/>
    </row>
    <row r="8" spans="1:19" ht="22.5" customHeight="1">
      <c r="A8" s="5">
        <f t="shared" si="0"/>
        <v>3</v>
      </c>
      <c r="B8" s="153"/>
      <c r="C8" s="154"/>
      <c r="D8" s="155"/>
      <c r="E8" s="156"/>
      <c r="F8" s="157"/>
      <c r="G8" s="106"/>
      <c r="H8" s="107"/>
      <c r="I8" s="108"/>
      <c r="J8" s="108"/>
      <c r="K8" s="109"/>
      <c r="L8" s="110"/>
      <c r="P8" s="2" t="s">
        <v>87</v>
      </c>
      <c r="S8" s="101"/>
    </row>
    <row r="9" spans="1:19" ht="22.5" customHeight="1">
      <c r="A9" s="5">
        <f t="shared" si="0"/>
        <v>4</v>
      </c>
      <c r="B9" s="153"/>
      <c r="C9" s="154"/>
      <c r="D9" s="155"/>
      <c r="E9" s="156"/>
      <c r="F9" s="157"/>
      <c r="G9" s="106"/>
      <c r="H9" s="107"/>
      <c r="I9" s="108"/>
      <c r="J9" s="108"/>
      <c r="K9" s="109"/>
      <c r="L9" s="110"/>
      <c r="S9" s="101"/>
    </row>
    <row r="10" spans="1:19" ht="22.5" customHeight="1">
      <c r="A10" s="5">
        <f t="shared" si="0"/>
        <v>5</v>
      </c>
      <c r="B10" s="158"/>
      <c r="C10" s="158"/>
      <c r="D10" s="159"/>
      <c r="E10" s="159"/>
      <c r="F10" s="159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53"/>
      <c r="C11" s="154"/>
      <c r="D11" s="155"/>
      <c r="E11" s="156"/>
      <c r="F11" s="157"/>
      <c r="G11" s="106"/>
      <c r="H11" s="107"/>
      <c r="I11" s="108"/>
      <c r="J11" s="108">
        <f t="shared" ref="J11" si="1">H11*I11</f>
        <v>0</v>
      </c>
      <c r="K11" s="109"/>
      <c r="L11" s="110"/>
      <c r="S11" s="101"/>
    </row>
    <row r="12" spans="1:19" ht="22.5" customHeight="1">
      <c r="A12" s="5">
        <f t="shared" si="0"/>
        <v>7</v>
      </c>
      <c r="B12" s="158"/>
      <c r="C12" s="158"/>
      <c r="D12" s="159"/>
      <c r="E12" s="159"/>
      <c r="F12" s="159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53"/>
      <c r="C13" s="154"/>
      <c r="D13" s="155"/>
      <c r="E13" s="156"/>
      <c r="F13" s="157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53"/>
      <c r="C14" s="154"/>
      <c r="D14" s="155"/>
      <c r="E14" s="156"/>
      <c r="F14" s="157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53"/>
      <c r="C15" s="154"/>
      <c r="D15" s="155"/>
      <c r="E15" s="156"/>
      <c r="F15" s="157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60" t="s">
        <v>8</v>
      </c>
      <c r="B16" s="161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38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1"/>
      <c r="Z18" s="11"/>
    </row>
    <row r="19" spans="1:26" ht="50.1" customHeight="1">
      <c r="Y19" s="172"/>
    </row>
    <row r="20" spans="1:26" ht="15" customHeight="1">
      <c r="O20" s="167" t="s">
        <v>103</v>
      </c>
      <c r="P20" s="173"/>
      <c r="Q20" s="173"/>
      <c r="R20" s="168"/>
      <c r="S20" s="121"/>
      <c r="T20" s="167" t="s">
        <v>104</v>
      </c>
      <c r="U20" s="173"/>
      <c r="V20" s="173"/>
      <c r="W20" s="173"/>
      <c r="X20" s="173"/>
      <c r="Y20" s="168"/>
    </row>
    <row r="21" spans="1:26" ht="15" customHeight="1">
      <c r="O21" s="164" t="s">
        <v>105</v>
      </c>
      <c r="P21" s="162" t="s">
        <v>106</v>
      </c>
      <c r="Q21" s="164" t="s">
        <v>107</v>
      </c>
      <c r="R21" s="162" t="s">
        <v>108</v>
      </c>
      <c r="S21" s="121"/>
      <c r="T21" s="164" t="s">
        <v>109</v>
      </c>
      <c r="U21" s="162" t="s">
        <v>110</v>
      </c>
      <c r="V21" s="167" t="s">
        <v>111</v>
      </c>
      <c r="W21" s="173"/>
      <c r="X21" s="168"/>
      <c r="Y21" s="162" t="s">
        <v>112</v>
      </c>
    </row>
    <row r="22" spans="1:26" ht="18" customHeight="1">
      <c r="O22" s="165"/>
      <c r="P22" s="163"/>
      <c r="Q22" s="165"/>
      <c r="R22" s="163"/>
      <c r="S22" s="127"/>
      <c r="T22" s="165"/>
      <c r="U22" s="163"/>
      <c r="V22" s="13" t="s">
        <v>105</v>
      </c>
      <c r="W22" s="174" t="s">
        <v>113</v>
      </c>
      <c r="X22" s="175"/>
      <c r="Y22" s="163"/>
    </row>
    <row r="23" spans="1:26" ht="50.1" customHeight="1">
      <c r="O23" s="14"/>
      <c r="P23" s="14"/>
      <c r="Q23" s="14"/>
      <c r="R23" s="14"/>
      <c r="S23" s="121"/>
      <c r="T23" s="14"/>
      <c r="U23" s="14"/>
      <c r="V23" s="14"/>
      <c r="W23" s="167"/>
      <c r="X23" s="168"/>
      <c r="Y23" s="128"/>
    </row>
    <row r="24" spans="1:26" ht="36" customHeight="1">
      <c r="W24" s="129"/>
      <c r="X24" s="169" t="s">
        <v>114</v>
      </c>
      <c r="Y24" s="12" t="s">
        <v>112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70"/>
      <c r="Y25" s="132"/>
    </row>
    <row r="26" spans="1:26" ht="19.899999999999999" customHeight="1"/>
    <row r="27" spans="1:26" ht="17.45" customHeight="1">
      <c r="O27" s="166"/>
      <c r="P27" s="166"/>
      <c r="Q27" s="166"/>
    </row>
    <row r="28" spans="1:26" ht="19.899999999999999" customHeight="1">
      <c r="O28" s="166"/>
      <c r="P28" s="166"/>
      <c r="Q28" s="16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2" t="s">
        <v>12</v>
      </c>
    </row>
    <row r="41" spans="15:22" ht="19.899999999999999" customHeight="1">
      <c r="T41" s="163"/>
    </row>
    <row r="42" spans="15:22" ht="64.900000000000006" customHeight="1">
      <c r="T42" s="14"/>
    </row>
    <row r="46" spans="15:22" ht="21" customHeight="1">
      <c r="O46" s="162" t="s">
        <v>12</v>
      </c>
      <c r="P46" s="162" t="s">
        <v>12</v>
      </c>
      <c r="Q46" s="162" t="s">
        <v>12</v>
      </c>
      <c r="T46" s="162" t="s">
        <v>13</v>
      </c>
      <c r="U46" s="162" t="s">
        <v>11</v>
      </c>
      <c r="V46" s="162" t="s">
        <v>12</v>
      </c>
    </row>
    <row r="47" spans="15:22" ht="21" customHeight="1">
      <c r="O47" s="163"/>
      <c r="P47" s="163"/>
      <c r="Q47" s="163"/>
      <c r="T47" s="165"/>
      <c r="U47" s="165"/>
      <c r="V47" s="16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2" t="s">
        <v>12</v>
      </c>
      <c r="P50" s="162" t="s">
        <v>12</v>
      </c>
      <c r="Q50" s="162" t="s">
        <v>12</v>
      </c>
      <c r="T50" s="162" t="s">
        <v>11</v>
      </c>
      <c r="U50" s="162" t="s">
        <v>13</v>
      </c>
      <c r="V50" s="162" t="s">
        <v>12</v>
      </c>
    </row>
    <row r="51" spans="15:22" ht="21" customHeight="1">
      <c r="O51" s="163"/>
      <c r="P51" s="163"/>
      <c r="Q51" s="163"/>
      <c r="T51" s="165"/>
      <c r="U51" s="165"/>
      <c r="V51" s="16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84</v>
      </c>
      <c r="B1" s="95"/>
      <c r="C1" s="95"/>
      <c r="D1" s="95"/>
      <c r="E1" s="95"/>
      <c r="F1" s="95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 MRS No : SAC2-DS-MRS-0479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46296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79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Iron Worker</v>
      </c>
      <c r="C6" s="179"/>
      <c r="D6" s="180">
        <f>MRS!D6</f>
        <v>0</v>
      </c>
      <c r="E6" s="181"/>
      <c r="F6" s="182"/>
      <c r="G6" s="98" t="str">
        <f>MRS!G6</f>
        <v>Hour</v>
      </c>
      <c r="H6" s="98">
        <f>MRS!H6</f>
        <v>1</v>
      </c>
      <c r="I6" s="99">
        <f>MRS!I6</f>
        <v>19</v>
      </c>
      <c r="J6" s="99">
        <f>MRS!J6</f>
        <v>19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78" t="str">
        <f>MRS!B7</f>
        <v>Scaffolder</v>
      </c>
      <c r="C7" s="179"/>
      <c r="D7" s="180">
        <f>MRS!D7</f>
        <v>0</v>
      </c>
      <c r="E7" s="181"/>
      <c r="F7" s="182"/>
      <c r="G7" s="98" t="str">
        <f>MRS!G7</f>
        <v>Hour</v>
      </c>
      <c r="H7" s="98">
        <f>MRS!H7</f>
        <v>1</v>
      </c>
      <c r="I7" s="99">
        <f>MRS!I7</f>
        <v>19</v>
      </c>
      <c r="J7" s="99">
        <f>MRS!J7</f>
        <v>19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F27" sqref="F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130</v>
      </c>
      <c r="D9" s="34"/>
      <c r="E9" s="34"/>
    </row>
    <row r="10" spans="2:13" s="34" customFormat="1">
      <c r="B10" s="67"/>
      <c r="C10" s="34" t="s">
        <v>121</v>
      </c>
      <c r="D10" s="71" t="s">
        <v>122</v>
      </c>
      <c r="J10" s="34" t="s">
        <v>23</v>
      </c>
      <c r="K10" s="189">
        <f>MRS!L3</f>
        <v>46296</v>
      </c>
      <c r="L10" s="190"/>
      <c r="M10" s="190"/>
    </row>
    <row r="11" spans="2:13" s="34" customFormat="1">
      <c r="B11" s="67"/>
      <c r="C11" s="70" t="s">
        <v>123</v>
      </c>
      <c r="D11" s="71" t="s">
        <v>124</v>
      </c>
      <c r="J11" s="34" t="s">
        <v>24</v>
      </c>
      <c r="K11" s="191" t="str">
        <f>SUBSTITUTE(SUBSTITUTE(+MRS!A3,"  MRS No : ",""),"-MRS","-PO")</f>
        <v xml:space="preserve"> SAC2-DS-PO-0479</v>
      </c>
      <c r="L11" s="191"/>
      <c r="M11" s="191"/>
    </row>
    <row r="12" spans="2:13" s="34" customFormat="1">
      <c r="B12" s="67"/>
      <c r="C12" s="70" t="s">
        <v>125</v>
      </c>
      <c r="D12" s="34" t="s">
        <v>126</v>
      </c>
      <c r="J12" s="34" t="s">
        <v>25</v>
      </c>
    </row>
    <row r="13" spans="2:13" s="34" customFormat="1">
      <c r="B13" s="67"/>
      <c r="C13" s="72"/>
      <c r="D13" s="71" t="s">
        <v>127</v>
      </c>
      <c r="J13" s="34" t="s">
        <v>26</v>
      </c>
    </row>
    <row r="14" spans="2:13" s="34" customFormat="1">
      <c r="B14" s="67"/>
      <c r="C14" s="133" t="s">
        <v>128</v>
      </c>
      <c r="J14" s="34" t="s">
        <v>27</v>
      </c>
      <c r="K14" s="34" t="s">
        <v>131</v>
      </c>
    </row>
    <row r="15" spans="2:13" s="34" customFormat="1">
      <c r="B15" s="67"/>
      <c r="C15" s="70" t="s">
        <v>129</v>
      </c>
      <c r="J15" s="34" t="s">
        <v>28</v>
      </c>
      <c r="K15" s="73">
        <v>46287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92" t="s">
        <v>29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30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31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32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33</v>
      </c>
    </row>
    <row r="26" spans="2:13" s="34" customFormat="1" ht="12" customHeight="1">
      <c r="B26" s="68"/>
      <c r="C26" s="71" t="str">
        <f>MRS!B6&amp;" , "&amp;MRS!B7</f>
        <v>Iron Worker , Scaffolder</v>
      </c>
      <c r="M26" s="74" t="s">
        <v>34</v>
      </c>
    </row>
    <row r="27" spans="2:13" ht="11.1" customHeight="1">
      <c r="B27" s="28"/>
    </row>
    <row r="28" spans="2:13" ht="15" customHeight="1">
      <c r="B28" s="28">
        <v>2</v>
      </c>
      <c r="C28" s="28" t="s">
        <v>35</v>
      </c>
    </row>
    <row r="29" spans="2:13" ht="12" customHeight="1">
      <c r="B29" s="28"/>
      <c r="C29" s="22" t="s">
        <v>36</v>
      </c>
      <c r="E29" s="22" t="s">
        <v>37</v>
      </c>
      <c r="F29" s="118" t="s">
        <v>115</v>
      </c>
      <c r="G29" s="118"/>
      <c r="H29" s="118"/>
      <c r="M29" s="29"/>
    </row>
    <row r="30" spans="2:13" ht="12" customHeight="1">
      <c r="B30" s="28"/>
      <c r="C30" s="22" t="s">
        <v>38</v>
      </c>
      <c r="E30" s="22" t="s">
        <v>37</v>
      </c>
      <c r="F30" s="118"/>
      <c r="G30" s="118"/>
      <c r="H30" s="118"/>
    </row>
    <row r="31" spans="2:13" ht="12" customHeight="1">
      <c r="B31" s="28"/>
      <c r="C31" s="22" t="s">
        <v>39</v>
      </c>
      <c r="D31" s="30"/>
      <c r="E31" s="22" t="s">
        <v>37</v>
      </c>
      <c r="F31" s="118"/>
      <c r="G31" s="118"/>
      <c r="H31" s="118"/>
    </row>
    <row r="32" spans="2:13" ht="11.1" customHeight="1">
      <c r="B32" s="28"/>
    </row>
    <row r="33" spans="2:13" ht="15" customHeight="1">
      <c r="B33" s="28">
        <v>3</v>
      </c>
      <c r="C33" s="28" t="s">
        <v>40</v>
      </c>
    </row>
    <row r="34" spans="2:13" ht="12" customHeight="1">
      <c r="B34" s="28"/>
      <c r="C34" s="18" t="s">
        <v>41</v>
      </c>
    </row>
    <row r="35" spans="2:13" ht="12" customHeight="1">
      <c r="B35" s="28"/>
      <c r="C35" s="18" t="s">
        <v>42</v>
      </c>
    </row>
    <row r="36" spans="2:13" ht="12" customHeight="1">
      <c r="B36" s="28"/>
      <c r="C36" s="18" t="s">
        <v>43</v>
      </c>
    </row>
    <row r="37" spans="2:13" ht="6" customHeight="1">
      <c r="B37" s="28"/>
    </row>
    <row r="38" spans="2:13" ht="15" customHeight="1">
      <c r="B38" s="28">
        <v>4</v>
      </c>
      <c r="C38" s="28" t="s">
        <v>44</v>
      </c>
    </row>
    <row r="39" spans="2:13" ht="12" customHeight="1">
      <c r="B39" s="28"/>
      <c r="C39" s="22" t="s">
        <v>45</v>
      </c>
    </row>
    <row r="40" spans="2:13" ht="6" customHeight="1">
      <c r="B40" s="28"/>
    </row>
    <row r="41" spans="2:13" ht="12" customHeight="1">
      <c r="B41" s="28">
        <v>5</v>
      </c>
      <c r="C41" s="28" t="s">
        <v>46</v>
      </c>
    </row>
    <row r="42" spans="2:13" ht="12" customHeight="1">
      <c r="B42" s="28"/>
      <c r="C42" s="31" t="s">
        <v>47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48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49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50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51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52</v>
      </c>
    </row>
    <row r="49" spans="2:16" s="34" customFormat="1" ht="12" customHeight="1">
      <c r="B49" s="75" t="s">
        <v>53</v>
      </c>
      <c r="C49" s="76" t="s">
        <v>86</v>
      </c>
      <c r="P49" s="77"/>
    </row>
    <row r="50" spans="2:16" s="78" customFormat="1" ht="12" customHeight="1">
      <c r="B50" s="79" t="s">
        <v>53</v>
      </c>
      <c r="C50" s="76" t="s">
        <v>81</v>
      </c>
    </row>
    <row r="51" spans="2:16" s="78" customFormat="1" ht="12" customHeight="1">
      <c r="B51" s="79" t="s">
        <v>53</v>
      </c>
      <c r="C51" s="76" t="s">
        <v>80</v>
      </c>
    </row>
    <row r="52" spans="2:16" s="78" customFormat="1" ht="4.5" customHeight="1">
      <c r="B52" s="79"/>
      <c r="C52" s="76"/>
    </row>
    <row r="53" spans="2:16" ht="15" customHeight="1">
      <c r="B53" s="37">
        <v>7</v>
      </c>
      <c r="C53" s="28" t="s">
        <v>92</v>
      </c>
    </row>
    <row r="54" spans="2:16" ht="12" customHeight="1">
      <c r="B54" s="79" t="s">
        <v>53</v>
      </c>
      <c r="C54" s="119" t="s">
        <v>93</v>
      </c>
      <c r="F54" s="22" t="s">
        <v>136</v>
      </c>
      <c r="P54" s="22" t="str">
        <f>UPPER(F54)</f>
        <v>SKILLS ASSOCIATION GENERAL CONTRACTING ESTABLISHMENT</v>
      </c>
    </row>
    <row r="55" spans="2:16" ht="12" customHeight="1">
      <c r="B55" s="79" t="s">
        <v>53</v>
      </c>
      <c r="C55" s="119" t="s">
        <v>94</v>
      </c>
      <c r="F55" s="120" t="s">
        <v>132</v>
      </c>
    </row>
    <row r="56" spans="2:16" ht="12" customHeight="1">
      <c r="B56" s="79" t="s">
        <v>53</v>
      </c>
      <c r="C56" s="119" t="s">
        <v>95</v>
      </c>
      <c r="F56" s="22" t="s">
        <v>133</v>
      </c>
    </row>
    <row r="57" spans="2:16" ht="12" customHeight="1">
      <c r="B57" s="79" t="s">
        <v>53</v>
      </c>
      <c r="C57" s="119" t="s">
        <v>96</v>
      </c>
      <c r="F57" s="22" t="s">
        <v>134</v>
      </c>
    </row>
    <row r="58" spans="2:16" ht="12" customHeight="1">
      <c r="B58" s="79" t="s">
        <v>53</v>
      </c>
      <c r="C58" s="119" t="s">
        <v>97</v>
      </c>
      <c r="F58" s="22" t="s">
        <v>135</v>
      </c>
    </row>
    <row r="59" spans="2:16" ht="12" customHeight="1">
      <c r="B59" s="79" t="s">
        <v>53</v>
      </c>
      <c r="C59" s="119" t="s">
        <v>98</v>
      </c>
      <c r="F59" s="22" t="s">
        <v>99</v>
      </c>
    </row>
    <row r="60" spans="2:16" ht="12" customHeight="1">
      <c r="B60" s="79"/>
      <c r="C60" s="119" t="s">
        <v>100</v>
      </c>
    </row>
    <row r="61" spans="2:16" ht="3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customHeight="1">
      <c r="B62" s="28"/>
    </row>
    <row r="63" spans="2:16" ht="11.1" customHeight="1">
      <c r="B63" s="37"/>
    </row>
    <row r="64" spans="2:16">
      <c r="B64" s="28" t="s">
        <v>54</v>
      </c>
      <c r="J64" s="28" t="s">
        <v>55</v>
      </c>
    </row>
    <row r="65" spans="1:13" ht="50.1" customHeight="1"/>
    <row r="66" spans="1:13" ht="18" customHeight="1">
      <c r="B66" s="22" t="s">
        <v>56</v>
      </c>
      <c r="J66" s="22" t="s">
        <v>56</v>
      </c>
    </row>
    <row r="67" spans="1:13" ht="18" customHeight="1">
      <c r="B67" s="22" t="s">
        <v>57</v>
      </c>
      <c r="J67" s="22" t="s">
        <v>58</v>
      </c>
      <c r="K67" s="18" t="str">
        <f>D12</f>
        <v>Mohammad Sayeed Iqbal</v>
      </c>
    </row>
    <row r="68" spans="1:13" ht="18" customHeight="1">
      <c r="B68" s="22" t="s">
        <v>59</v>
      </c>
      <c r="J68" s="22" t="s">
        <v>60</v>
      </c>
      <c r="K68" s="18" t="s">
        <v>90</v>
      </c>
    </row>
    <row r="69" spans="1:13" ht="15" customHeight="1">
      <c r="B69" s="22" t="s">
        <v>61</v>
      </c>
      <c r="J69" s="22" t="s">
        <v>62</v>
      </c>
    </row>
    <row r="70" spans="1:13" s="24" customFormat="1" ht="24.75" customHeight="1">
      <c r="B70" s="21" t="s">
        <v>88</v>
      </c>
      <c r="J70" s="196" t="str">
        <f>C9</f>
        <v>SACE (Skills Association Contracting Est.)</v>
      </c>
      <c r="K70" s="196"/>
      <c r="L70" s="196"/>
      <c r="M70" s="196"/>
    </row>
    <row r="71" spans="1:13" ht="27.95" customHeight="1">
      <c r="A71" s="188" t="s">
        <v>63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64</v>
      </c>
      <c r="B2" s="42" t="str">
        <f>+'PO 1st page'!K11</f>
        <v xml:space="preserve"> SAC2-DS-PO-0479</v>
      </c>
      <c r="C2" s="199" t="s">
        <v>65</v>
      </c>
      <c r="D2" s="199"/>
      <c r="E2" s="199"/>
      <c r="F2" s="199"/>
      <c r="G2" s="43"/>
      <c r="H2" s="43"/>
    </row>
    <row r="3" spans="1:13" s="49" customFormat="1" ht="28.5" customHeight="1" thickBot="1">
      <c r="A3" s="44" t="s">
        <v>66</v>
      </c>
      <c r="B3" s="45">
        <f>+'PO 1st page'!K10</f>
        <v>46296</v>
      </c>
      <c r="C3" s="46"/>
      <c r="D3" s="47"/>
      <c r="E3" s="200" t="s">
        <v>67</v>
      </c>
      <c r="F3" s="200"/>
      <c r="G3" s="200"/>
      <c r="H3" s="200"/>
      <c r="I3" s="48"/>
    </row>
    <row r="4" spans="1:13" s="50" customFormat="1" ht="28.5" customHeight="1" thickTop="1">
      <c r="A4" s="201" t="s">
        <v>68</v>
      </c>
      <c r="B4" s="203" t="s">
        <v>69</v>
      </c>
      <c r="C4" s="204"/>
      <c r="D4" s="207" t="s">
        <v>70</v>
      </c>
      <c r="E4" s="207" t="s">
        <v>71</v>
      </c>
      <c r="F4" s="209" t="str">
        <f>'PO 1st page'!C9</f>
        <v>SACE (Skills Association Contracting Est.)</v>
      </c>
      <c r="G4" s="210"/>
      <c r="H4" s="211" t="s">
        <v>72</v>
      </c>
      <c r="K4" s="51"/>
      <c r="L4" s="51"/>
      <c r="M4" s="51"/>
    </row>
    <row r="5" spans="1:13" s="50" customFormat="1" ht="21.95" customHeight="1">
      <c r="A5" s="202"/>
      <c r="B5" s="205"/>
      <c r="C5" s="206"/>
      <c r="D5" s="208"/>
      <c r="E5" s="208"/>
      <c r="F5" s="52" t="s">
        <v>73</v>
      </c>
      <c r="G5" s="52" t="s">
        <v>39</v>
      </c>
      <c r="H5" s="212"/>
      <c r="K5" s="51"/>
      <c r="L5" s="51"/>
      <c r="M5" s="51"/>
    </row>
    <row r="6" spans="1:13" s="50" customFormat="1" ht="32.1" customHeight="1">
      <c r="A6" s="80">
        <f t="shared" ref="A6:A17" si="0">ROW(A1)</f>
        <v>1</v>
      </c>
      <c r="B6" s="197" t="str">
        <f>CONCATENATE(MRS!B6," ",MRS!D6)</f>
        <v xml:space="preserve">Iron Worker </v>
      </c>
      <c r="C6" s="198"/>
      <c r="D6" s="81" t="str">
        <f>+'MRS LIST'!G6</f>
        <v>Hour</v>
      </c>
      <c r="E6" s="82">
        <f>+'MRS LIST'!H6</f>
        <v>1</v>
      </c>
      <c r="F6" s="83">
        <f>+'MRS LIST'!I6</f>
        <v>19</v>
      </c>
      <c r="G6" s="84">
        <f>+'MRS LIST'!J6</f>
        <v>19</v>
      </c>
      <c r="H6" s="85" t="str">
        <f>MRS!L6</f>
        <v>Monthly Based</v>
      </c>
      <c r="K6" s="86"/>
      <c r="L6" s="87"/>
      <c r="M6" s="51"/>
    </row>
    <row r="7" spans="1:13" s="50" customFormat="1" ht="32.1" customHeight="1">
      <c r="A7" s="80">
        <f t="shared" si="0"/>
        <v>2</v>
      </c>
      <c r="B7" s="197" t="str">
        <f>CONCATENATE(MRS!B7," ",MRS!D7)</f>
        <v xml:space="preserve">Scaffolder </v>
      </c>
      <c r="C7" s="198"/>
      <c r="D7" s="81" t="str">
        <f>+'MRS LIST'!G7</f>
        <v>Hour</v>
      </c>
      <c r="E7" s="82">
        <f>+'MRS LIST'!H7</f>
        <v>1</v>
      </c>
      <c r="F7" s="83">
        <f>+'MRS LIST'!I7</f>
        <v>19</v>
      </c>
      <c r="G7" s="84">
        <f>+'MRS LIST'!J7</f>
        <v>19</v>
      </c>
      <c r="H7" s="122"/>
      <c r="K7" s="86"/>
      <c r="L7" s="87"/>
      <c r="M7" s="51"/>
    </row>
    <row r="8" spans="1:13" s="50" customFormat="1" ht="32.1" customHeight="1">
      <c r="A8" s="88">
        <f t="shared" si="0"/>
        <v>3</v>
      </c>
      <c r="B8" s="197"/>
      <c r="C8" s="198"/>
      <c r="D8" s="81"/>
      <c r="E8" s="82"/>
      <c r="F8" s="83"/>
      <c r="G8" s="84"/>
      <c r="H8" s="93"/>
      <c r="K8" s="51"/>
      <c r="L8" s="51"/>
      <c r="M8" s="51"/>
    </row>
    <row r="9" spans="1:13" s="50" customFormat="1" ht="32.1" customHeight="1">
      <c r="A9" s="88">
        <f t="shared" si="0"/>
        <v>4</v>
      </c>
      <c r="B9" s="197"/>
      <c r="C9" s="198"/>
      <c r="D9" s="81"/>
      <c r="E9" s="82"/>
      <c r="F9" s="83"/>
      <c r="G9" s="84"/>
      <c r="H9" s="93"/>
    </row>
    <row r="10" spans="1:13" s="50" customFormat="1" ht="32.1" customHeight="1">
      <c r="A10" s="88">
        <f t="shared" si="0"/>
        <v>5</v>
      </c>
      <c r="B10" s="197"/>
      <c r="C10" s="198"/>
      <c r="D10" s="81"/>
      <c r="E10" s="82"/>
      <c r="F10" s="83"/>
      <c r="G10" s="84"/>
      <c r="H10" s="93"/>
    </row>
    <row r="11" spans="1:13" s="50" customFormat="1" ht="32.1" customHeight="1">
      <c r="A11" s="88">
        <f t="shared" si="0"/>
        <v>6</v>
      </c>
      <c r="B11" s="197"/>
      <c r="C11" s="198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217"/>
      <c r="C12" s="218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217"/>
      <c r="C13" s="218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217"/>
      <c r="C14" s="218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217"/>
      <c r="C15" s="218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217"/>
      <c r="C16" s="218"/>
      <c r="D16" s="89"/>
      <c r="E16" s="90"/>
      <c r="F16" s="91"/>
      <c r="G16" s="92"/>
      <c r="H16" s="93"/>
      <c r="J16" s="50" t="s">
        <v>87</v>
      </c>
    </row>
    <row r="17" spans="1:13" s="50" customFormat="1" ht="32.1" customHeight="1">
      <c r="A17" s="88">
        <f t="shared" si="0"/>
        <v>12</v>
      </c>
      <c r="B17" s="217"/>
      <c r="C17" s="218"/>
      <c r="D17" s="89"/>
      <c r="E17" s="90"/>
      <c r="F17" s="91"/>
      <c r="G17" s="92"/>
      <c r="H17" s="93"/>
    </row>
    <row r="18" spans="1:13" s="50" customFormat="1" ht="23.1" customHeight="1">
      <c r="A18" s="213" t="s">
        <v>74</v>
      </c>
      <c r="B18" s="214"/>
      <c r="C18" s="214"/>
      <c r="D18" s="214"/>
      <c r="E18" s="214"/>
      <c r="F18" s="214"/>
      <c r="G18" s="53">
        <f>SUM(G6:G17)</f>
        <v>38</v>
      </c>
      <c r="H18" s="54"/>
    </row>
    <row r="19" spans="1:13" s="50" customFormat="1" ht="23.1" customHeight="1">
      <c r="A19" s="213" t="s">
        <v>38</v>
      </c>
      <c r="B19" s="214"/>
      <c r="C19" s="214"/>
      <c r="D19" s="214"/>
      <c r="E19" s="214"/>
      <c r="F19" s="214"/>
      <c r="G19" s="53">
        <f>+G18*0.15</f>
        <v>5.7</v>
      </c>
      <c r="H19" s="54"/>
    </row>
    <row r="20" spans="1:13" s="50" customFormat="1" ht="24.95" customHeight="1" thickBot="1">
      <c r="A20" s="215" t="s">
        <v>75</v>
      </c>
      <c r="B20" s="216"/>
      <c r="C20" s="216"/>
      <c r="D20" s="216"/>
      <c r="E20" s="216"/>
      <c r="F20" s="216"/>
      <c r="G20" s="55">
        <f>G19+G18</f>
        <v>43.7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SA-HYUNDAI-MNP-QT-072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76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88" t="s">
        <v>77</v>
      </c>
      <c r="B24" s="188"/>
      <c r="C24" s="188"/>
      <c r="D24" s="188"/>
      <c r="E24" s="188"/>
      <c r="F24" s="188"/>
      <c r="G24" s="188"/>
      <c r="H24" s="188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2026-10-01T06:18:35Z</cp:lastPrinted>
  <dcterms:created xsi:type="dcterms:W3CDTF">2024-10-20T11:50:19Z</dcterms:created>
  <dcterms:modified xsi:type="dcterms:W3CDTF">2026-10-01T06:20:39Z</dcterms:modified>
</cp:coreProperties>
</file>