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DB5ADA7-0FC2-4D46-A290-C316F134F99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6" i="4"/>
  <c r="E7" i="4"/>
  <c r="E8" i="4"/>
  <c r="E9" i="4"/>
  <c r="E6" i="4"/>
  <c r="G6" i="4" s="1"/>
  <c r="D7" i="4"/>
  <c r="D8" i="4"/>
  <c r="D9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G7" i="4" l="1"/>
  <c r="G8" i="4"/>
  <c r="G9" i="4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<sst xmlns="http://schemas.openxmlformats.org/spreadsheetml/2006/main" count="180" uniqueCount="138">
  <si>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</si>
  <si>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</si>
  <si>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</si>
  <si>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</si>
  <si>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</si>
  <si>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</si>
  <si>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</si>
  <si>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</si>
  <si>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</si>
  <si>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</si>
  <si>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</si>
  <si>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</si>
  <si>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</si>
  <si>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</si>
  <si>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</si>
  <si>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</si>
  <si>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</si>
  <si>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</si>
  <si>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</si>
  <si>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</si>
  <si>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</si>
  <si>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</si>
  <si>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</si>
  <si>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</si>
  <si>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</si>
  <si>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</si>
  <si>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</si>
  <si>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</si>
  <si>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</si>
  <si>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</si>
  <si>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</si>
  <si>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</si>
  <si>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</si>
  <si>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</si>
  <si>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</si>
  <si>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</si>
  <si>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</si>
  <si>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</si>
  <si>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</si>
  <si>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</si>
  <si>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</si>
  <si>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</si>
  <si>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</si>
  <si>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</si>
  <si>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</si>
  <si>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</si>
  <si>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</si>
  <si>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</si>
  <si>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</si>
  <si>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</si>
  <si>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</si>
  <si>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</si>
  <si>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</si>
  <si>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</si>
  <si>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</si>
  <si>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</si>
  <si>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</si>
  <si>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</si>
  <si>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</si>
  <si>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</si>
  <si>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</si>
  <si>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</si>
  <si>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</si>
  <si>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</si>
  <si>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</si>
  <si>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</si>
  <si>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</si>
  <si>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</si>
  <si>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</si>
  <si>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</si>
  <si>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</si>
  <si>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</si>
  <si>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</si>
  <si>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</si>
  <si>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</si>
  <si>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</si>
  <si>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</si>
  <si>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</si>
  <si>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</si>
  <si>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</si>
  <si>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</si>
  <si>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</si>
  <si>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</si>
  <si>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</si>
  <si>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</si>
  <si>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</si>
  <si>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</si>
  <si>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</si>
  <si>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</si>
  <si>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</si>
  <si>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</si>
  <si>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</si>
  <si>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</si>
  <si>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</si>
  <si>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</si>
  <si>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</si>
  <si>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</si>
  <si>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</si>
  <si>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</si>
  <si>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</si>
  <si>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</si>
  <si>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</si>
  <si>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</si>
  <si>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</si>
  <si>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</si>
  <si>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</si>
  <si>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</si>
  <si>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</si>
  <si>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</si>
  <si>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</si>
  <si>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</si>
  <si>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</si>
  <si>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</si>
  <si>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</si>
  <si>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</si>
  <si>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Dell Desktop</t>
  </si>
  <si>
    <t>16 GB RAM / 512 SSD</t>
  </si>
  <si>
    <t>Dell Monitor</t>
  </si>
  <si>
    <t>24"</t>
  </si>
  <si>
    <t>Blanket, Bedsheet, Pillow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</si>
  <si>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</si>
  <si>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</si>
  <si>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</si>
  <si>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</si>
  <si>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</si>
  <si>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</si>
  <si>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</si>
  <si>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</si>
  <si>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</si>
  <si>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</si>
  <si>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</si>
  <si>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</si>
  <si>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</si>
  <si>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-MRS-0232</t>
    </r>
  </si>
  <si>
    <t>A4 Paper</t>
  </si>
  <si>
    <t>Double A</t>
  </si>
  <si>
    <t>MRA/SQ000134</t>
  </si>
  <si>
    <t>SA74 1000 0001 4000 2058 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</si>
</sst>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3" fillId="3" borderId="0" xfId="5" applyFont="1" applyFill="1"/>
    <xf numFmtId="0" fontId="17" fillId="3" borderId="0" xfId="5" quotePrefix="1" applyFont="1" applyFill="1"/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16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29" t="s">
        <v>88</v>
      </c>
      <c r="K1" s="130"/>
      <c r="L1" s="131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32" t="s">
        <v>98</v>
      </c>
      <c r="K2" s="133"/>
      <c r="L2" s="134"/>
    </row>
    <row r="3" spans="1:19" ht="20.100000000000001" customHeight="1">
      <c r="A3" s="3" t="s">
        <v>133</v>
      </c>
      <c r="B3" s="96"/>
      <c r="C3" s="96"/>
      <c r="D3" s="96"/>
      <c r="E3" s="135">
        <f>+L3</f>
        <v>46071</v>
      </c>
      <c r="F3" s="135"/>
      <c r="G3" s="135"/>
      <c r="H3" s="135"/>
      <c r="I3" s="135"/>
      <c r="J3" s="96"/>
      <c r="K3" s="96"/>
      <c r="L3" s="117">
        <v>46071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92</v>
      </c>
      <c r="J4" s="136" t="s">
        <v>93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0" si="0">ROW(A1)</f>
        <v>1</v>
      </c>
      <c r="B6" s="124" t="s">
        <v>115</v>
      </c>
      <c r="C6" s="125"/>
      <c r="D6" s="126" t="s">
        <v>116</v>
      </c>
      <c r="E6" s="127"/>
      <c r="F6" s="128"/>
      <c r="G6" s="106" t="s">
        <v>95</v>
      </c>
      <c r="H6" s="107">
        <v>3</v>
      </c>
      <c r="I6" s="108">
        <v>2580</v>
      </c>
      <c r="J6" s="108">
        <f>H6*I6</f>
        <v>7740</v>
      </c>
      <c r="K6" s="109" t="s">
        <v>112</v>
      </c>
      <c r="L6" s="121" t="s">
        <v>113</v>
      </c>
      <c r="S6" s="101"/>
    </row>
    <row r="7" spans="1:19" ht="22.5" customHeight="1">
      <c r="A7" s="5">
        <f t="shared" si="0"/>
        <v>2</v>
      </c>
      <c r="B7" s="124" t="s">
        <v>117</v>
      </c>
      <c r="C7" s="125"/>
      <c r="D7" s="126" t="s">
        <v>118</v>
      </c>
      <c r="E7" s="127"/>
      <c r="F7" s="128"/>
      <c r="G7" s="106" t="s">
        <v>95</v>
      </c>
      <c r="H7" s="107">
        <v>8</v>
      </c>
      <c r="I7" s="108">
        <v>392</v>
      </c>
      <c r="J7" s="108">
        <f t="shared" ref="J7:J15" si="1">H7*I7</f>
        <v>3136</v>
      </c>
      <c r="K7" s="109"/>
      <c r="L7" s="110"/>
      <c r="S7" s="101"/>
    </row>
    <row r="8" spans="1:19" ht="22.5" customHeight="1">
      <c r="A8" s="5">
        <f t="shared" si="0"/>
        <v>3</v>
      </c>
      <c r="B8" s="124" t="s">
        <v>134</v>
      </c>
      <c r="C8" s="125"/>
      <c r="D8" s="148" t="s">
        <v>135</v>
      </c>
      <c r="E8" s="148"/>
      <c r="F8" s="148"/>
      <c r="G8" s="106" t="s">
        <v>95</v>
      </c>
      <c r="H8" s="107">
        <v>60</v>
      </c>
      <c r="I8" s="108">
        <v>79</v>
      </c>
      <c r="J8" s="108">
        <f t="shared" si="1"/>
        <v>4740</v>
      </c>
      <c r="K8" s="109"/>
      <c r="L8" s="110"/>
      <c r="S8" s="101"/>
    </row>
    <row r="9" spans="1:19" ht="22.5" customHeight="1">
      <c r="A9" s="5">
        <f t="shared" si="0"/>
        <v>4</v>
      </c>
      <c r="B9" s="124" t="s">
        <v>119</v>
      </c>
      <c r="C9" s="125"/>
      <c r="D9" s="126"/>
      <c r="E9" s="127"/>
      <c r="F9" s="128"/>
      <c r="G9" s="106" t="s">
        <v>95</v>
      </c>
      <c r="H9" s="107">
        <v>200</v>
      </c>
      <c r="I9" s="108">
        <v>68</v>
      </c>
      <c r="J9" s="108">
        <f t="shared" si="1"/>
        <v>13600</v>
      </c>
      <c r="K9" s="109"/>
      <c r="L9" s="110"/>
      <c r="S9" s="101"/>
    </row>
    <row r="10" spans="1:19" ht="22.5" customHeight="1">
      <c r="A10" s="5">
        <f t="shared" si="0"/>
        <v>5</v>
      </c>
      <c r="B10" s="124"/>
      <c r="C10" s="125"/>
      <c r="D10" s="126"/>
      <c r="E10" s="127"/>
      <c r="F10" s="128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v>6</v>
      </c>
      <c r="B11" s="124"/>
      <c r="C11" s="125"/>
      <c r="D11" s="126"/>
      <c r="E11" s="127"/>
      <c r="F11" s="128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v>7</v>
      </c>
      <c r="B12" s="149"/>
      <c r="C12" s="149"/>
      <c r="D12" s="148"/>
      <c r="E12" s="148"/>
      <c r="F12" s="148"/>
      <c r="G12" s="106"/>
      <c r="H12" s="107"/>
      <c r="I12" s="111"/>
      <c r="J12" s="108">
        <f t="shared" si="1"/>
        <v>0</v>
      </c>
      <c r="K12" s="109"/>
      <c r="L12" s="106"/>
      <c r="S12" s="101"/>
    </row>
    <row r="13" spans="1:19" ht="22.5" customHeight="1">
      <c r="A13" s="5">
        <v>8</v>
      </c>
      <c r="B13" s="124"/>
      <c r="C13" s="125"/>
      <c r="D13" s="126"/>
      <c r="E13" s="127"/>
      <c r="F13" s="128"/>
      <c r="G13" s="106"/>
      <c r="H13" s="107"/>
      <c r="I13" s="108"/>
      <c r="J13" s="108">
        <f t="shared" si="1"/>
        <v>0</v>
      </c>
      <c r="K13" s="109"/>
      <c r="L13" s="110"/>
      <c r="S13" s="101"/>
    </row>
    <row r="14" spans="1:19" ht="22.5" customHeight="1">
      <c r="A14" s="5">
        <v>9</v>
      </c>
      <c r="B14" s="124"/>
      <c r="C14" s="125"/>
      <c r="D14" s="126"/>
      <c r="E14" s="127"/>
      <c r="F14" s="128"/>
      <c r="G14" s="106"/>
      <c r="H14" s="107"/>
      <c r="I14" s="108"/>
      <c r="J14" s="108">
        <f t="shared" si="1"/>
        <v>0</v>
      </c>
      <c r="K14" s="109"/>
      <c r="L14" s="110"/>
      <c r="S14" s="101"/>
    </row>
    <row r="15" spans="1:19" ht="22.5" customHeight="1">
      <c r="A15" s="5">
        <v>10</v>
      </c>
      <c r="B15" s="124"/>
      <c r="C15" s="125"/>
      <c r="D15" s="126"/>
      <c r="E15" s="127"/>
      <c r="F15" s="128"/>
      <c r="G15" s="106"/>
      <c r="H15" s="107"/>
      <c r="I15" s="108"/>
      <c r="J15" s="108">
        <f t="shared" si="1"/>
        <v>0</v>
      </c>
      <c r="K15" s="109"/>
      <c r="L15" s="110"/>
      <c r="S15" s="101"/>
    </row>
    <row r="16" spans="1:19" ht="22.5" customHeight="1">
      <c r="A16" s="150" t="s">
        <v>8</v>
      </c>
      <c r="B16" s="151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29216</v>
      </c>
      <c r="K16" s="108"/>
      <c r="L16" s="116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3"/>
      <c r="T19" s="14"/>
      <c r="U19" s="15"/>
      <c r="V19" s="14"/>
    </row>
    <row r="20" spans="1:22" ht="17.100000000000001" customHeight="1">
      <c r="O20" s="11"/>
      <c r="P20" s="11"/>
      <c r="Q20" s="11"/>
      <c r="S20" s="154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5" t="s">
        <v>17</v>
      </c>
      <c r="Q21" s="155" t="s">
        <v>18</v>
      </c>
    </row>
    <row r="22" spans="1:22" ht="18" customHeight="1">
      <c r="O22" s="18" t="s">
        <v>19</v>
      </c>
      <c r="P22" s="156"/>
      <c r="Q22" s="156"/>
      <c r="S22" s="152" t="s">
        <v>20</v>
      </c>
      <c r="T22" s="12" t="s">
        <v>12</v>
      </c>
      <c r="U22" s="12" t="s">
        <v>13</v>
      </c>
      <c r="V22" s="12" t="s">
        <v>14</v>
      </c>
    </row>
    <row r="23" spans="1:22" ht="49.5" customHeight="1">
      <c r="O23" s="14"/>
      <c r="P23" s="14"/>
      <c r="Q23" s="14"/>
      <c r="S23" s="15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4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7"/>
      <c r="P27" s="157"/>
      <c r="Q27" s="157"/>
    </row>
    <row r="28" spans="1:22" ht="19.899999999999999" customHeight="1">
      <c r="O28" s="157"/>
      <c r="P28" s="157"/>
      <c r="Q28" s="15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21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21</v>
      </c>
      <c r="P46" s="155" t="s">
        <v>21</v>
      </c>
      <c r="Q46" s="155" t="s">
        <v>21</v>
      </c>
      <c r="T46" s="155" t="s">
        <v>22</v>
      </c>
      <c r="U46" s="155" t="s">
        <v>13</v>
      </c>
      <c r="V46" s="155" t="s">
        <v>21</v>
      </c>
    </row>
    <row r="47" spans="15:22" ht="21" customHeight="1">
      <c r="O47" s="156"/>
      <c r="P47" s="156"/>
      <c r="Q47" s="156"/>
      <c r="T47" s="154"/>
      <c r="U47" s="154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21</v>
      </c>
      <c r="P50" s="155" t="s">
        <v>21</v>
      </c>
      <c r="Q50" s="155" t="s">
        <v>21</v>
      </c>
      <c r="T50" s="155" t="s">
        <v>13</v>
      </c>
      <c r="U50" s="155" t="s">
        <v>22</v>
      </c>
      <c r="V50" s="155" t="s">
        <v>21</v>
      </c>
    </row>
    <row r="51" spans="15:22" ht="21" customHeight="1">
      <c r="O51" s="156"/>
      <c r="P51" s="156"/>
      <c r="Q51" s="156"/>
      <c r="T51" s="154"/>
      <c r="U51" s="154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G13" sqref="G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SAC2-DS-MRS-0232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46071</v>
      </c>
    </row>
    <row r="4" spans="1:18" ht="15.95" customHeight="1">
      <c r="A4" s="158" t="s">
        <v>2</v>
      </c>
      <c r="B4" s="159" t="s">
        <v>23</v>
      </c>
      <c r="C4" s="159"/>
      <c r="D4" s="158" t="s">
        <v>4</v>
      </c>
      <c r="E4" s="158"/>
      <c r="F4" s="158"/>
      <c r="G4" s="159" t="s">
        <v>5</v>
      </c>
      <c r="H4" s="158" t="s">
        <v>89</v>
      </c>
      <c r="I4" s="158" t="s">
        <v>24</v>
      </c>
      <c r="J4" s="158" t="s">
        <v>25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60" t="str">
        <f>MRS!B6</f>
        <v>Dell Desktop</v>
      </c>
      <c r="C6" s="161"/>
      <c r="D6" s="162" t="str">
        <f>MRS!D6</f>
        <v>16 GB RAM / 512 SSD</v>
      </c>
      <c r="E6" s="163"/>
      <c r="F6" s="164"/>
      <c r="G6" s="98" t="str">
        <f>MRS!G6</f>
        <v>EA</v>
      </c>
      <c r="H6" s="98">
        <f>MRS!H6</f>
        <v>3</v>
      </c>
      <c r="I6" s="99">
        <f>MRS!I6</f>
        <v>2580</v>
      </c>
      <c r="J6" s="99">
        <f>MRS!J6</f>
        <v>7740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60" t="str">
        <f>MRS!B7</f>
        <v>Dell Monitor</v>
      </c>
      <c r="C7" s="161"/>
      <c r="D7" s="162" t="str">
        <f>MRS!D7</f>
        <v>24"</v>
      </c>
      <c r="E7" s="163"/>
      <c r="F7" s="164"/>
      <c r="G7" s="98" t="str">
        <f>MRS!G7</f>
        <v>EA</v>
      </c>
      <c r="H7" s="98">
        <f>MRS!H7</f>
        <v>8</v>
      </c>
      <c r="I7" s="99">
        <f>MRS!I7</f>
        <v>392</v>
      </c>
      <c r="J7" s="99">
        <f>MRS!J7</f>
        <v>3136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60" t="str">
        <f>MRS!B8</f>
        <v>A4 Paper</v>
      </c>
      <c r="C8" s="161"/>
      <c r="D8" s="162" t="str">
        <f>MRS!D8</f>
        <v>Double A</v>
      </c>
      <c r="E8" s="163"/>
      <c r="F8" s="164"/>
      <c r="G8" s="98" t="str">
        <f>MRS!G8</f>
        <v>EA</v>
      </c>
      <c r="H8" s="98">
        <f>MRS!H8</f>
        <v>60</v>
      </c>
      <c r="I8" s="99">
        <f>MRS!I8</f>
        <v>79</v>
      </c>
      <c r="J8" s="99">
        <f>MRS!J8</f>
        <v>4740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60" t="str">
        <f>MRS!B9</f>
        <v>Blanket, Bedsheet, Pillow</v>
      </c>
      <c r="C9" s="161"/>
      <c r="D9" s="162">
        <f>MRS!D9</f>
        <v>0</v>
      </c>
      <c r="E9" s="163"/>
      <c r="F9" s="164"/>
      <c r="G9" s="98" t="str">
        <f>MRS!G9</f>
        <v>EA</v>
      </c>
      <c r="H9" s="98">
        <f>MRS!H9</f>
        <v>200</v>
      </c>
      <c r="I9" s="99">
        <f>MRS!I9</f>
        <v>68</v>
      </c>
      <c r="J9" s="99">
        <f>MRS!J9</f>
        <v>13600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60">
        <f>MRS!B10</f>
        <v>0</v>
      </c>
      <c r="C10" s="161"/>
      <c r="D10" s="162">
        <f>MRS!D10</f>
        <v>0</v>
      </c>
      <c r="E10" s="163"/>
      <c r="F10" s="164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60">
        <f>MRS!B11</f>
        <v>0</v>
      </c>
      <c r="C11" s="161"/>
      <c r="D11" s="162">
        <f>MRS!D11</f>
        <v>0</v>
      </c>
      <c r="E11" s="163"/>
      <c r="F11" s="164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60">
        <f>MRS!B12</f>
        <v>0</v>
      </c>
      <c r="C12" s="161"/>
      <c r="D12" s="162">
        <f>MRS!D12</f>
        <v>0</v>
      </c>
      <c r="E12" s="163"/>
      <c r="F12" s="164"/>
      <c r="G12" s="98">
        <f>MRS!G12</f>
        <v>0</v>
      </c>
      <c r="H12" s="98">
        <f>MRS!H12</f>
        <v>0</v>
      </c>
      <c r="I12" s="99">
        <f>MRS!I12</f>
        <v>0</v>
      </c>
      <c r="J12" s="99">
        <f>MRS!J12</f>
        <v>0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60">
        <f>MRS!B13</f>
        <v>0</v>
      </c>
      <c r="C13" s="161"/>
      <c r="D13" s="162">
        <f>MRS!D13</f>
        <v>0</v>
      </c>
      <c r="E13" s="163"/>
      <c r="F13" s="164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21">
        <f>+MRS!A15</f>
        <v>10</v>
      </c>
      <c r="B14" s="160">
        <f>MRS!B14</f>
        <v>0</v>
      </c>
      <c r="C14" s="161"/>
      <c r="D14" s="162">
        <f>MRS!D14</f>
        <v>0</v>
      </c>
      <c r="E14" s="163"/>
      <c r="F14" s="164"/>
      <c r="G14" s="98">
        <f>MRS!G14</f>
        <v>0</v>
      </c>
      <c r="H14" s="98">
        <f>MRS!H14</f>
        <v>0</v>
      </c>
      <c r="I14" s="99">
        <f>MRS!I14</f>
        <v>0</v>
      </c>
      <c r="J14" s="99">
        <f>MRS!J14</f>
        <v>0</v>
      </c>
      <c r="K14" s="100"/>
      <c r="O14" s="101"/>
      <c r="P14" s="101"/>
      <c r="R14" s="101"/>
    </row>
    <row r="15" spans="1:18" ht="105" customHeight="1">
      <c r="A15" s="21" t="e">
        <f>+MRS!#REF!</f>
        <v>#REF!</v>
      </c>
      <c r="B15" s="160">
        <f>MRS!B15</f>
        <v>0</v>
      </c>
      <c r="C15" s="161"/>
      <c r="D15" s="162">
        <f>MRS!D15</f>
        <v>0</v>
      </c>
      <c r="E15" s="163"/>
      <c r="F15" s="164"/>
      <c r="G15" s="98">
        <f>MRS!G15</f>
        <v>0</v>
      </c>
      <c r="H15" s="98">
        <f>MRS!H15</f>
        <v>0</v>
      </c>
      <c r="I15" s="99">
        <f>MRS!I15</f>
        <v>0</v>
      </c>
      <c r="J15" s="99">
        <f>MRS!J15</f>
        <v>0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60" t="e">
        <f>MRS!#REF!</f>
        <v>#REF!</v>
      </c>
      <c r="C16" s="161"/>
      <c r="D16" s="162" t="e">
        <f>MRS!#REF!</f>
        <v>#REF!</v>
      </c>
      <c r="E16" s="163"/>
      <c r="F16" s="164"/>
      <c r="G16" s="98" t="e">
        <f>MRS!#REF!</f>
        <v>#REF!</v>
      </c>
      <c r="H16" s="98" t="e">
        <f>MRS!#REF!</f>
        <v>#REF!</v>
      </c>
      <c r="I16" s="99" t="e">
        <f>MRS!#REF!</f>
        <v>#REF!</v>
      </c>
      <c r="J16" s="99" t="e">
        <f>MRS!#REF!</f>
        <v>#REF!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5"/>
      <c r="C17" s="166"/>
      <c r="D17" s="167"/>
      <c r="E17" s="168"/>
      <c r="F17" s="169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6" sqref="D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1">
        <f>MRS!L3</f>
        <v>46071</v>
      </c>
      <c r="L10" s="172"/>
      <c r="M10" s="172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3" t="str">
        <f>SUBSTITUTE(SUBSTITUTE(+MRS!A3,"  MRS No : ",""),"-MRS","-PO")</f>
        <v>SAC2-DS-PO-0232</v>
      </c>
      <c r="L11" s="173"/>
      <c r="M11" s="173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136</v>
      </c>
    </row>
    <row r="15" spans="2:13" s="39" customFormat="1">
      <c r="B15" s="72"/>
      <c r="C15" s="77" t="s">
        <v>110</v>
      </c>
      <c r="J15" s="39" t="s">
        <v>38</v>
      </c>
      <c r="K15" s="78">
        <v>46062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4" t="s">
        <v>39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40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41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42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29216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4382.3999999999996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33598.400000000001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120</v>
      </c>
    </row>
    <row r="54" spans="2:16" ht="12" customHeight="1">
      <c r="B54" s="84" t="s">
        <v>63</v>
      </c>
      <c r="C54" s="122" t="s">
        <v>126</v>
      </c>
      <c r="F54" s="26" t="s">
        <v>124</v>
      </c>
    </row>
    <row r="55" spans="2:16" ht="12" customHeight="1">
      <c r="B55" s="84" t="s">
        <v>63</v>
      </c>
      <c r="C55" s="122" t="s">
        <v>127</v>
      </c>
      <c r="F55" s="123" t="s">
        <v>125</v>
      </c>
    </row>
    <row r="56" spans="2:16" ht="12" customHeight="1">
      <c r="B56" s="84" t="s">
        <v>63</v>
      </c>
      <c r="C56" s="122" t="s">
        <v>128</v>
      </c>
      <c r="F56" s="26" t="s">
        <v>137</v>
      </c>
    </row>
    <row r="57" spans="2:16" ht="12" customHeight="1">
      <c r="B57" s="84" t="s">
        <v>63</v>
      </c>
      <c r="C57" s="122" t="s">
        <v>129</v>
      </c>
      <c r="F57" s="26" t="s">
        <v>121</v>
      </c>
    </row>
    <row r="58" spans="2:16" ht="12" customHeight="1">
      <c r="B58" s="84" t="s">
        <v>63</v>
      </c>
      <c r="C58" s="122" t="s">
        <v>130</v>
      </c>
      <c r="F58" s="26" t="s">
        <v>122</v>
      </c>
    </row>
    <row r="59" spans="2:16" ht="12" customHeight="1">
      <c r="B59" s="84" t="s">
        <v>63</v>
      </c>
      <c r="C59" s="122" t="s">
        <v>131</v>
      </c>
      <c r="F59" s="26" t="s">
        <v>123</v>
      </c>
    </row>
    <row r="60" spans="2:16" ht="12" customHeight="1">
      <c r="B60" s="84"/>
      <c r="C60" s="122" t="s">
        <v>132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114</v>
      </c>
      <c r="J70" s="198" t="str">
        <f>C9</f>
        <v>MRA(MRA General Contracting Est.)</v>
      </c>
      <c r="K70" s="198"/>
      <c r="L70" s="198"/>
      <c r="M70" s="198"/>
    </row>
    <row r="71" spans="1:13" ht="27.95" customHeight="1">
      <c r="A71" s="170" t="s">
        <v>73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SAC2-DS-PO-0232</v>
      </c>
      <c r="C2" s="180" t="s">
        <v>75</v>
      </c>
      <c r="D2" s="180"/>
      <c r="E2" s="180"/>
      <c r="F2" s="180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46071</v>
      </c>
      <c r="C3" s="51"/>
      <c r="D3" s="52"/>
      <c r="E3" s="181" t="s">
        <v>77</v>
      </c>
      <c r="F3" s="181"/>
      <c r="G3" s="181"/>
      <c r="H3" s="181"/>
      <c r="I3" s="53"/>
    </row>
    <row r="4" spans="1:13" s="55" customFormat="1" ht="28.5" customHeight="1" thickTop="1">
      <c r="A4" s="182" t="s">
        <v>78</v>
      </c>
      <c r="B4" s="184" t="s">
        <v>79</v>
      </c>
      <c r="C4" s="185"/>
      <c r="D4" s="188" t="s">
        <v>80</v>
      </c>
      <c r="E4" s="188" t="s">
        <v>81</v>
      </c>
      <c r="F4" s="190" t="str">
        <f>'PO 1st page'!C9</f>
        <v>MRA(MRA General Contracting Est.)</v>
      </c>
      <c r="G4" s="191"/>
      <c r="H4" s="192" t="s">
        <v>82</v>
      </c>
      <c r="K4" s="56"/>
      <c r="L4" s="56"/>
      <c r="M4" s="56"/>
    </row>
    <row r="5" spans="1:13" s="55" customFormat="1" ht="21.95" customHeight="1">
      <c r="A5" s="183"/>
      <c r="B5" s="186"/>
      <c r="C5" s="187"/>
      <c r="D5" s="189"/>
      <c r="E5" s="189"/>
      <c r="F5" s="57" t="s">
        <v>83</v>
      </c>
      <c r="G5" s="57" t="s">
        <v>49</v>
      </c>
      <c r="H5" s="193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78" t="str">
        <f>CONCATENATE(MRS!B6," ",MRS!D6)</f>
        <v>Dell Desktop 16 GB RAM / 512 SSD</v>
      </c>
      <c r="C6" s="179"/>
      <c r="D6" s="86" t="str">
        <f>MRS!G6</f>
        <v>EA</v>
      </c>
      <c r="E6" s="87">
        <f>MRS!H6</f>
        <v>3</v>
      </c>
      <c r="F6" s="88">
        <f>MRS!I6</f>
        <v>2580</v>
      </c>
      <c r="G6" s="89">
        <f>F6*E6</f>
        <v>7740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78" t="str">
        <f>CONCATENATE(MRS!B7," ",MRS!D7)</f>
        <v>Dell Monitor 24"</v>
      </c>
      <c r="C7" s="179"/>
      <c r="D7" s="86" t="str">
        <f>MRS!G7</f>
        <v>EA</v>
      </c>
      <c r="E7" s="87">
        <f>MRS!H7</f>
        <v>8</v>
      </c>
      <c r="F7" s="88">
        <f>MRS!I7</f>
        <v>392</v>
      </c>
      <c r="G7" s="89">
        <f t="shared" ref="G7:G11" si="1">F7*E7</f>
        <v>3136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78" t="str">
        <f>CONCATENATE(MRS!B8," ",MRS!D8)</f>
        <v>A4 Paper Double A</v>
      </c>
      <c r="C8" s="179"/>
      <c r="D8" s="86" t="str">
        <f>MRS!G8</f>
        <v>EA</v>
      </c>
      <c r="E8" s="87">
        <f>MRS!H8</f>
        <v>60</v>
      </c>
      <c r="F8" s="88">
        <f>MRS!I8</f>
        <v>79</v>
      </c>
      <c r="G8" s="89">
        <f t="shared" si="1"/>
        <v>4740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78" t="str">
        <f>CONCATENATE(MRS!B9," ",MRS!D9)</f>
        <v xml:space="preserve">Blanket, Bedsheet, Pillow </v>
      </c>
      <c r="C9" s="179"/>
      <c r="D9" s="86" t="str">
        <f>MRS!G9</f>
        <v>EA</v>
      </c>
      <c r="E9" s="87">
        <f>MRS!H9</f>
        <v>200</v>
      </c>
      <c r="F9" s="88">
        <f>MRS!I9</f>
        <v>68</v>
      </c>
      <c r="G9" s="89">
        <f t="shared" si="1"/>
        <v>13600</v>
      </c>
      <c r="H9" s="94"/>
    </row>
    <row r="10" spans="1:13" s="55" customFormat="1" ht="32.1" customHeight="1">
      <c r="A10" s="93">
        <f t="shared" si="0"/>
        <v>5</v>
      </c>
      <c r="B10" s="178"/>
      <c r="C10" s="179"/>
      <c r="D10" s="86"/>
      <c r="E10" s="87"/>
      <c r="F10" s="88"/>
      <c r="G10" s="89"/>
      <c r="H10" s="94"/>
    </row>
    <row r="11" spans="1:13" s="55" customFormat="1" ht="32.1" customHeight="1">
      <c r="A11" s="93">
        <f t="shared" si="0"/>
        <v>6</v>
      </c>
      <c r="B11" s="178"/>
      <c r="C11" s="179"/>
      <c r="D11" s="86"/>
      <c r="E11" s="87"/>
      <c r="F11" s="88"/>
      <c r="G11" s="89"/>
      <c r="H11" s="94"/>
    </row>
    <row r="12" spans="1:13" s="55" customFormat="1" ht="32.1" customHeight="1">
      <c r="A12" s="93">
        <f t="shared" si="0"/>
        <v>7</v>
      </c>
      <c r="B12" s="178"/>
      <c r="C12" s="179"/>
      <c r="D12" s="86"/>
      <c r="E12" s="87"/>
      <c r="F12" s="88"/>
      <c r="G12" s="89"/>
      <c r="H12" s="94"/>
    </row>
    <row r="13" spans="1:13" s="55" customFormat="1" ht="32.1" customHeight="1">
      <c r="A13" s="93">
        <f t="shared" si="0"/>
        <v>8</v>
      </c>
      <c r="B13" s="178"/>
      <c r="C13" s="179"/>
      <c r="D13" s="86"/>
      <c r="E13" s="87"/>
      <c r="F13" s="88"/>
      <c r="G13" s="89"/>
      <c r="H13" s="94"/>
    </row>
    <row r="14" spans="1:13" s="55" customFormat="1" ht="32.1" customHeight="1">
      <c r="A14" s="93">
        <f t="shared" si="0"/>
        <v>9</v>
      </c>
      <c r="B14" s="178"/>
      <c r="C14" s="179"/>
      <c r="D14" s="86"/>
      <c r="E14" s="87"/>
      <c r="F14" s="88"/>
      <c r="G14" s="89"/>
      <c r="H14" s="94"/>
    </row>
    <row r="15" spans="1:13" s="55" customFormat="1" ht="32.1" customHeight="1">
      <c r="A15" s="93">
        <f t="shared" si="0"/>
        <v>10</v>
      </c>
      <c r="B15" s="178"/>
      <c r="C15" s="179"/>
      <c r="D15" s="86"/>
      <c r="E15" s="87"/>
      <c r="F15" s="88"/>
      <c r="G15" s="89"/>
      <c r="H15" s="94"/>
    </row>
    <row r="16" spans="1:13" s="55" customFormat="1" ht="32.1" customHeight="1">
      <c r="A16" s="93">
        <f t="shared" si="0"/>
        <v>11</v>
      </c>
      <c r="B16" s="178"/>
      <c r="C16" s="179"/>
      <c r="D16" s="86"/>
      <c r="E16" s="87"/>
      <c r="F16" s="88"/>
      <c r="G16" s="89"/>
      <c r="H16" s="94"/>
    </row>
    <row r="17" spans="1:13" s="55" customFormat="1" ht="32.1" customHeight="1">
      <c r="A17" s="93">
        <f t="shared" si="0"/>
        <v>12</v>
      </c>
      <c r="B17" s="178"/>
      <c r="C17" s="179"/>
      <c r="D17" s="86"/>
      <c r="E17" s="87"/>
      <c r="F17" s="88"/>
      <c r="G17" s="89"/>
      <c r="H17" s="94"/>
    </row>
    <row r="18" spans="1:13" s="55" customFormat="1" ht="32.1" customHeight="1">
      <c r="A18" s="93">
        <f t="shared" si="0"/>
        <v>13</v>
      </c>
      <c r="B18" s="178"/>
      <c r="C18" s="179"/>
      <c r="D18" s="86"/>
      <c r="E18" s="87"/>
      <c r="F18" s="88"/>
      <c r="G18" s="89"/>
      <c r="H18" s="94"/>
    </row>
    <row r="19" spans="1:13" s="55" customFormat="1" ht="32.1" customHeight="1">
      <c r="A19" s="93">
        <f t="shared" si="0"/>
        <v>14</v>
      </c>
      <c r="B19" s="178"/>
      <c r="C19" s="179"/>
      <c r="D19" s="86"/>
      <c r="E19" s="87"/>
      <c r="F19" s="88"/>
      <c r="G19" s="89"/>
      <c r="H19" s="94"/>
    </row>
    <row r="20" spans="1:13" s="55" customFormat="1" ht="23.1" customHeight="1">
      <c r="A20" s="194" t="s">
        <v>84</v>
      </c>
      <c r="B20" s="195"/>
      <c r="C20" s="195"/>
      <c r="D20" s="195"/>
      <c r="E20" s="195"/>
      <c r="F20" s="195"/>
      <c r="G20" s="58">
        <f>SUM(G6:G19)</f>
        <v>29216</v>
      </c>
      <c r="H20" s="59"/>
    </row>
    <row r="21" spans="1:13" s="55" customFormat="1" ht="23.1" customHeight="1">
      <c r="A21" s="194" t="s">
        <v>48</v>
      </c>
      <c r="B21" s="195"/>
      <c r="C21" s="195"/>
      <c r="D21" s="195"/>
      <c r="E21" s="195"/>
      <c r="F21" s="195"/>
      <c r="G21" s="58">
        <f>+G20*0.15</f>
        <v>4382.3999999999996</v>
      </c>
      <c r="H21" s="59"/>
    </row>
    <row r="22" spans="1:13" s="55" customFormat="1" ht="24.95" customHeight="1" thickBot="1">
      <c r="A22" s="196" t="s">
        <v>85</v>
      </c>
      <c r="B22" s="197"/>
      <c r="C22" s="197"/>
      <c r="D22" s="197"/>
      <c r="E22" s="197"/>
      <c r="F22" s="197"/>
      <c r="G22" s="60">
        <f>G21+G20</f>
        <v>33598.400000000001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MRA/SQ000134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70" t="s">
        <v>87</v>
      </c>
      <c r="B26" s="170"/>
      <c r="C26" s="170"/>
      <c r="D26" s="170"/>
      <c r="E26" s="170"/>
      <c r="F26" s="170"/>
      <c r="G26" s="170"/>
      <c r="H26" s="170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2026-02-18T07:36:01Z</cp:lastPrinted>
  <dcterms:created xsi:type="dcterms:W3CDTF">2024-10-20T11:50:19Z</dcterms:created>
  <dcterms:modified xsi:type="dcterms:W3CDTF">2026-02-18T07:36:07Z</dcterms:modified>
</cp:coreProperties>
</file>