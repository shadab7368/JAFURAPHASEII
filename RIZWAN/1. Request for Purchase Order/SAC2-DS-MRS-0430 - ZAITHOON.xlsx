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00968DA-1CEE-4A49-8A4C-A28AC32635EE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H6" i="4" l="1"/>
  <c r="P54" i="3"/>
  <c r="A15" i="4" l="1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16" i="1" l="1"/>
  <c r="K67" i="3"/>
  <c r="K10" i="3" l="1"/>
  <c r="A25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G23" i="4" l="1"/>
  <c r="G24" i="4" l="1"/>
</calcChain>
</file>

<file path=xl/sharedStrings.xml><?xml version="1.0" encoding="utf-8"?>
<sst xmlns="http://schemas.openxmlformats.org/spreadsheetml/2006/main" count="158" uniqueCount="135">
  <si>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</si>
  <si>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</si>
  <si>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</si>
  <si>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</si>
  <si>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</si>
  <si>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</si>
  <si>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</si>
  <si>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</si>
  <si>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</si>
  <si>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</si>
  <si>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</si>
  <si>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</si>
  <si>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</si>
  <si>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</si>
  <si>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</si>
  <si>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</si>
  <si>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</si>
  <si>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</si>
  <si>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</si>
  <si>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</si>
  <si>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</si>
  <si>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</si>
  <si>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</si>
  <si>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</si>
  <si>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</si>
  <si>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</si>
  <si>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</si>
  <si>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</si>
  <si>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</si>
  <si>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</si>
  <si>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</si>
  <si>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</si>
  <si>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</si>
  <si>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</si>
  <si>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</si>
  <si>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</si>
  <si>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</si>
  <si>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</si>
  <si>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</si>
  <si>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</si>
  <si>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</si>
  <si>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</si>
  <si>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</si>
  <si>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</si>
  <si>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</si>
  <si>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</si>
  <si>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</si>
  <si>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</si>
  <si>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</si>
  <si>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</si>
  <si>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</si>
  <si>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</si>
  <si>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</si>
  <si>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</si>
  <si>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</si>
  <si>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</si>
  <si>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</si>
  <si>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</si>
  <si>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</si>
  <si>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</si>
  <si>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</si>
  <si>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</si>
  <si>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</si>
  <si>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</si>
  <si>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</si>
  <si>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</si>
  <si>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</si>
  <si>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</si>
  <si>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</si>
  <si>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</si>
  <si>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</si>
  <si>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</si>
  <si>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</si>
  <si>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</si>
  <si>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</si>
  <si>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</si>
  <si>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</si>
  <si>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</si>
  <si>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</si>
  <si>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</si>
  <si>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</si>
  <si>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</si>
  <si>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</si>
  <si>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</si>
  <si>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</si>
  <si>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</si>
  <si>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</si>
  <si>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</si>
  <si>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</si>
  <si>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</si>
  <si>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</si>
  <si>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</si>
  <si>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</si>
  <si>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</si>
  <si>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</si>
  <si>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</si>
  <si>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</si>
  <si>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</si>
  <si>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</si>
  <si>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</si>
  <si>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</si>
  <si>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Hour</t>
  </si>
  <si>
    <t>Monthly Based</t>
  </si>
  <si>
    <t>Business Development Manager</t>
  </si>
  <si>
    <t>ZTS</t>
  </si>
  <si>
    <t>ZTS(Zaithoon Technical Services)</t>
  </si>
  <si>
    <t>4700116662</t>
  </si>
  <si>
    <t>311324467700003</t>
  </si>
  <si>
    <t>Imthiyaz</t>
  </si>
  <si>
    <t>Mobile No. +966 55 876 9689 / Email: rentals@zaithoontech.com</t>
  </si>
  <si>
    <t>P.O.Box No: 46431, Yanbu Al Bahr, KSA</t>
  </si>
  <si>
    <t>Mobile: +966 55 876 9689</t>
  </si>
  <si>
    <t>Mothly Based</t>
  </si>
  <si>
    <t>1113370699940</t>
  </si>
  <si>
    <t>SA89 2000 0001 1133 7069 9940</t>
  </si>
  <si>
    <t>RIYAD BANK</t>
  </si>
  <si>
    <t>RIBLSARI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</si>
  <si>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</si>
  <si>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</si>
  <si>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</si>
  <si>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</si>
  <si>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</si>
  <si>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</si>
  <si>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</si>
  <si>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</si>
  <si>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</si>
  <si>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</si>
  <si>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</si>
  <si>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</si>
  <si>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</si>
  <si>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</si>
  <si>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Plate Welder 3G/4G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</si>
  <si>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-MRS-0430</t>
    </r>
  </si>
  <si>
    <t>MNP/9400/26</t>
  </si>
  <si>
    <t>A COMPANY ZAITHOON TECHNICAL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</si>
</sst>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  <numFmt numFmtId="173" formatCode="#,##0;[Red]\-#,##0;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8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8" xfId="6" applyFont="1" applyFill="1" applyBorder="1" applyAlignment="1">
      <alignment horizontal="center" vertical="center" wrapText="1"/>
    </xf>
    <xf numFmtId="43" fontId="12" fillId="0" borderId="18" xfId="6" quotePrefix="1" applyNumberFormat="1" applyFont="1" applyBorder="1" applyAlignment="1">
      <alignment vertical="center" wrapText="1"/>
    </xf>
    <xf numFmtId="0" fontId="7" fillId="0" borderId="32" xfId="6" applyFont="1" applyBorder="1"/>
    <xf numFmtId="170" fontId="9" fillId="0" borderId="39" xfId="6" applyNumberFormat="1" applyFont="1" applyBorder="1" applyAlignment="1">
      <alignment horizontal="center" vertical="center" wrapText="1"/>
    </xf>
    <xf numFmtId="0" fontId="7" fillId="0" borderId="40" xfId="6" applyFont="1" applyBorder="1"/>
    <xf numFmtId="0" fontId="9" fillId="0" borderId="0" xfId="6" applyFont="1" applyAlignment="1">
      <alignment vertical="center"/>
    </xf>
    <xf numFmtId="0" fontId="25" fillId="0" borderId="41" xfId="6" applyFont="1" applyBorder="1" applyAlignment="1">
      <alignment vertical="center"/>
    </xf>
    <xf numFmtId="0" fontId="25" fillId="0" borderId="41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3" xfId="6" quotePrefix="1" applyFont="1" applyBorder="1" applyAlignment="1">
      <alignment horizontal="center" vertical="center"/>
    </xf>
    <xf numFmtId="0" fontId="5" fillId="2" borderId="36" xfId="7" applyFont="1" applyFill="1" applyBorder="1" applyAlignment="1">
      <alignment horizontal="center" vertical="center" wrapText="1"/>
    </xf>
    <xf numFmtId="0" fontId="5" fillId="2" borderId="36" xfId="8" applyFont="1" applyFill="1" applyBorder="1" applyAlignment="1">
      <alignment horizontal="center" vertical="center"/>
    </xf>
    <xf numFmtId="43" fontId="5" fillId="0" borderId="36" xfId="9" quotePrefix="1" applyFont="1" applyFill="1" applyBorder="1" applyAlignment="1">
      <alignment vertical="center"/>
    </xf>
    <xf numFmtId="43" fontId="5" fillId="0" borderId="36" xfId="6" applyNumberFormat="1" applyFont="1" applyBorder="1" applyAlignment="1">
      <alignment vertical="center"/>
    </xf>
    <xf numFmtId="0" fontId="2" fillId="0" borderId="37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1" xfId="6" quotePrefix="1" applyFont="1" applyBorder="1" applyAlignment="1">
      <alignment horizontal="center" vertical="center"/>
    </xf>
    <xf numFmtId="0" fontId="2" fillId="0" borderId="32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8" xfId="0" applyFont="1" applyBorder="1" applyAlignment="1">
      <alignment horizontal="center" vertical="center"/>
    </xf>
    <xf numFmtId="172" fontId="41" fillId="0" borderId="18" xfId="10" applyNumberFormat="1" applyFont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2" fillId="0" borderId="8" xfId="0" quotePrefix="1" applyFont="1" applyBorder="1" applyAlignment="1">
      <alignment vertical="center" wrapText="1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8" xfId="1" applyFill="1" applyBorder="1" applyAlignment="1">
      <alignment horizontal="center" vertical="center"/>
    </xf>
    <xf numFmtId="172" fontId="5" fillId="2" borderId="0" xfId="1" applyNumberFormat="1" applyFont="1" applyFill="1" applyAlignment="1">
      <alignment horizontal="center"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2" xfId="5" applyFont="1" applyFill="1" applyBorder="1"/>
    <xf numFmtId="0" fontId="17" fillId="3" borderId="42" xfId="5" applyFont="1" applyFill="1" applyBorder="1"/>
    <xf numFmtId="0" fontId="2" fillId="0" borderId="8" xfId="0" applyFont="1" applyBorder="1" applyAlignment="1">
      <alignment horizontal="center" vertical="center"/>
    </xf>
    <xf numFmtId="173" fontId="2" fillId="0" borderId="8" xfId="0" applyNumberFormat="1" applyFont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5" fillId="2" borderId="17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3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40" fontId="13" fillId="0" borderId="8" xfId="0" applyNumberFormat="1" applyFont="1" applyBorder="1">
      <alignment vertical="center"/>
    </xf>
    <xf numFmtId="167" fontId="2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7" fillId="2" borderId="8" xfId="1" quotePrefix="1" applyFont="1" applyFill="1" applyBorder="1" applyAlignment="1">
      <alignment vertical="center"/>
    </xf>
    <xf numFmtId="0" fontId="2" fillId="2" borderId="8" xfId="1" applyFill="1" applyBorder="1" applyAlignment="1">
      <alignment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8" xfId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44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43" xfId="1" applyFont="1" applyFill="1" applyBorder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/>
    </xf>
    <xf numFmtId="0" fontId="7" fillId="2" borderId="17" xfId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41" fillId="0" borderId="19" xfId="0" applyFont="1" applyBorder="1" applyAlignment="1">
      <alignment horizontal="left" vertical="center" wrapText="1"/>
    </xf>
    <xf numFmtId="0" fontId="41" fillId="0" borderId="20" xfId="0" applyFont="1" applyBorder="1" applyAlignment="1">
      <alignment horizontal="left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14" fillId="2" borderId="18" xfId="1" applyFont="1" applyFill="1" applyBorder="1" applyAlignment="1">
      <alignment horizontal="center" vertical="center" wrapText="1"/>
    </xf>
    <xf numFmtId="0" fontId="14" fillId="2" borderId="18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2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12" fillId="0" borderId="31" xfId="6" quotePrefix="1" applyFont="1" applyBorder="1" applyAlignment="1">
      <alignment horizontal="right" vertical="center"/>
    </xf>
    <xf numFmtId="0" fontId="12" fillId="0" borderId="18" xfId="6" quotePrefix="1" applyFont="1" applyBorder="1" applyAlignment="1">
      <alignment horizontal="right" vertical="center"/>
    </xf>
    <xf numFmtId="0" fontId="9" fillId="0" borderId="38" xfId="6" quotePrefix="1" applyFont="1" applyBorder="1" applyAlignment="1">
      <alignment horizontal="right" vertical="center"/>
    </xf>
    <xf numFmtId="0" fontId="9" fillId="0" borderId="39" xfId="6" quotePrefix="1" applyFont="1" applyBorder="1" applyAlignment="1">
      <alignment horizontal="right" vertical="center"/>
    </xf>
    <xf numFmtId="0" fontId="41" fillId="3" borderId="34" xfId="5" applyFont="1" applyFill="1" applyBorder="1" applyAlignment="1">
      <alignment horizontal="left" vertical="center" wrapText="1"/>
    </xf>
    <xf numFmtId="0" fontId="41" fillId="3" borderId="35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3" xfId="6" applyFont="1" applyBorder="1" applyAlignment="1">
      <alignment horizontal="right" vertical="center"/>
    </xf>
    <xf numFmtId="0" fontId="7" fillId="4" borderId="24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18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796591</xdr:colOff>
          <xdr:row>17</xdr:row>
          <xdr:rowOff>38100</xdr:rowOff>
        </xdr:from>
        <xdr:to>
          <xdr:col>11</xdr:col>
          <xdr:colOff>1643814</xdr:colOff>
          <xdr:row>23</xdr:row>
          <xdr:rowOff>276225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16A5ED7A-4128-599D-C57A-AF0BE47E0B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88670" y="5021179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O13" sqref="O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1" t="s">
        <v>117</v>
      </c>
      <c r="B1" s="112"/>
      <c r="C1" s="95"/>
      <c r="D1" s="95"/>
      <c r="E1" s="95"/>
      <c r="F1" s="95"/>
      <c r="G1" s="1"/>
      <c r="J1" s="145" t="s">
        <v>81</v>
      </c>
      <c r="K1" s="146"/>
      <c r="L1" s="147"/>
    </row>
    <row r="2" spans="1:18" ht="20.100000000000001" customHeight="1">
      <c r="A2" s="3" t="s">
        <v>1</v>
      </c>
      <c r="B2" s="89"/>
      <c r="C2" s="89"/>
      <c r="D2" s="3" t="s">
        <v>118</v>
      </c>
      <c r="E2" s="89"/>
      <c r="F2" s="89"/>
      <c r="G2" s="89"/>
      <c r="H2" s="89"/>
      <c r="I2" s="4"/>
      <c r="J2" s="148" t="s">
        <v>88</v>
      </c>
      <c r="K2" s="149"/>
      <c r="L2" s="150"/>
    </row>
    <row r="3" spans="1:18" ht="20.100000000000001" customHeight="1">
      <c r="A3" s="3" t="s">
        <v>132</v>
      </c>
      <c r="B3" s="89"/>
      <c r="C3" s="89"/>
      <c r="D3" s="89"/>
      <c r="E3" s="151">
        <f>+L3+3</f>
        <v>46260</v>
      </c>
      <c r="F3" s="151"/>
      <c r="G3" s="151"/>
      <c r="H3" s="151"/>
      <c r="I3" s="151"/>
      <c r="J3" s="89"/>
      <c r="K3" s="89"/>
      <c r="L3" s="113">
        <v>46257</v>
      </c>
      <c r="M3" s="4"/>
    </row>
    <row r="4" spans="1:18" ht="15.95" customHeight="1">
      <c r="A4" s="133" t="s">
        <v>2</v>
      </c>
      <c r="B4" s="135" t="s">
        <v>3</v>
      </c>
      <c r="C4" s="135"/>
      <c r="D4" s="137" t="s">
        <v>4</v>
      </c>
      <c r="E4" s="138"/>
      <c r="F4" s="139"/>
      <c r="G4" s="136" t="s">
        <v>5</v>
      </c>
      <c r="H4" s="134" t="s">
        <v>6</v>
      </c>
      <c r="I4" s="134" t="s">
        <v>85</v>
      </c>
      <c r="J4" s="133" t="s">
        <v>86</v>
      </c>
      <c r="K4" s="134" t="s">
        <v>0</v>
      </c>
      <c r="L4" s="135" t="s">
        <v>7</v>
      </c>
    </row>
    <row r="5" spans="1:18" ht="15.95" customHeight="1">
      <c r="A5" s="134"/>
      <c r="B5" s="136"/>
      <c r="C5" s="136"/>
      <c r="D5" s="140"/>
      <c r="E5" s="141"/>
      <c r="F5" s="142"/>
      <c r="G5" s="143"/>
      <c r="H5" s="144"/>
      <c r="I5" s="144"/>
      <c r="J5" s="134"/>
      <c r="K5" s="144"/>
      <c r="L5" s="136"/>
    </row>
    <row r="6" spans="1:18" ht="23.25" customHeight="1">
      <c r="A6" s="5">
        <f t="shared" ref="A6:A15" si="0">ROW(A1)</f>
        <v>1</v>
      </c>
      <c r="B6" s="131" t="s">
        <v>131</v>
      </c>
      <c r="C6" s="131"/>
      <c r="D6" s="132"/>
      <c r="E6" s="132"/>
      <c r="F6" s="132"/>
      <c r="G6" s="108" t="s">
        <v>101</v>
      </c>
      <c r="H6" s="109">
        <v>1</v>
      </c>
      <c r="I6" s="120">
        <v>24</v>
      </c>
      <c r="J6" s="121">
        <f>H6*I6</f>
        <v>24</v>
      </c>
      <c r="K6" s="122" t="s">
        <v>104</v>
      </c>
      <c r="L6" s="96" t="s">
        <v>102</v>
      </c>
      <c r="R6" s="94"/>
    </row>
    <row r="7" spans="1:18" ht="23.25" customHeight="1">
      <c r="A7" s="5">
        <f t="shared" si="0"/>
        <v>2</v>
      </c>
      <c r="B7" s="131"/>
      <c r="C7" s="131"/>
      <c r="D7" s="132"/>
      <c r="E7" s="132"/>
      <c r="F7" s="132"/>
      <c r="G7" s="123"/>
      <c r="H7" s="123"/>
      <c r="I7" s="120"/>
      <c r="J7" s="121">
        <f t="shared" ref="J7:J15" si="1">H7*I7</f>
        <v>0</v>
      </c>
      <c r="K7" s="122"/>
      <c r="L7" s="96"/>
      <c r="R7" s="94"/>
    </row>
    <row r="8" spans="1:18" ht="23.25" customHeight="1">
      <c r="A8" s="5">
        <f t="shared" si="0"/>
        <v>3</v>
      </c>
      <c r="B8" s="131"/>
      <c r="C8" s="131"/>
      <c r="D8" s="132"/>
      <c r="E8" s="132"/>
      <c r="F8" s="132"/>
      <c r="G8" s="123"/>
      <c r="H8" s="123"/>
      <c r="I8" s="120"/>
      <c r="J8" s="121">
        <f t="shared" si="1"/>
        <v>0</v>
      </c>
      <c r="K8" s="122"/>
      <c r="L8" s="96"/>
      <c r="R8" s="94"/>
    </row>
    <row r="9" spans="1:18" ht="23.25" customHeight="1">
      <c r="A9" s="5">
        <f t="shared" si="0"/>
        <v>4</v>
      </c>
      <c r="B9" s="131"/>
      <c r="C9" s="131"/>
      <c r="D9" s="132"/>
      <c r="E9" s="132"/>
      <c r="F9" s="132"/>
      <c r="G9" s="123"/>
      <c r="H9" s="123"/>
      <c r="I9" s="120"/>
      <c r="J9" s="121">
        <f t="shared" si="1"/>
        <v>0</v>
      </c>
      <c r="K9" s="122"/>
      <c r="L9" s="96"/>
      <c r="R9" s="94"/>
    </row>
    <row r="10" spans="1:18" ht="23.25" customHeight="1">
      <c r="A10" s="5">
        <f t="shared" si="0"/>
        <v>5</v>
      </c>
      <c r="B10" s="131"/>
      <c r="C10" s="131"/>
      <c r="D10" s="132"/>
      <c r="E10" s="132"/>
      <c r="F10" s="132"/>
      <c r="G10" s="123"/>
      <c r="H10" s="123"/>
      <c r="I10" s="120"/>
      <c r="J10" s="121">
        <f t="shared" si="1"/>
        <v>0</v>
      </c>
      <c r="K10" s="122"/>
      <c r="L10" s="96"/>
      <c r="R10" s="94"/>
    </row>
    <row r="11" spans="1:18" ht="23.25" customHeight="1">
      <c r="A11" s="5">
        <f t="shared" si="0"/>
        <v>6</v>
      </c>
      <c r="B11" s="131"/>
      <c r="C11" s="131"/>
      <c r="D11" s="132"/>
      <c r="E11" s="132"/>
      <c r="F11" s="132"/>
      <c r="G11" s="123"/>
      <c r="H11" s="123"/>
      <c r="I11" s="120"/>
      <c r="J11" s="121">
        <f t="shared" si="1"/>
        <v>0</v>
      </c>
      <c r="K11" s="122"/>
      <c r="L11" s="96"/>
      <c r="R11" s="94"/>
    </row>
    <row r="12" spans="1:18" ht="23.25" customHeight="1">
      <c r="A12" s="5">
        <f t="shared" si="0"/>
        <v>7</v>
      </c>
      <c r="B12" s="131"/>
      <c r="C12" s="131"/>
      <c r="D12" s="132"/>
      <c r="E12" s="132"/>
      <c r="F12" s="132"/>
      <c r="G12" s="123"/>
      <c r="H12" s="123"/>
      <c r="I12" s="120"/>
      <c r="J12" s="121">
        <f t="shared" si="1"/>
        <v>0</v>
      </c>
      <c r="K12" s="122"/>
      <c r="L12" s="96"/>
      <c r="R12" s="94"/>
    </row>
    <row r="13" spans="1:18" ht="23.25" customHeight="1">
      <c r="A13" s="5">
        <f t="shared" si="0"/>
        <v>8</v>
      </c>
      <c r="B13" s="131"/>
      <c r="C13" s="131"/>
      <c r="D13" s="132"/>
      <c r="E13" s="132"/>
      <c r="F13" s="132"/>
      <c r="G13" s="123"/>
      <c r="H13" s="123"/>
      <c r="I13" s="120"/>
      <c r="J13" s="121">
        <f t="shared" si="1"/>
        <v>0</v>
      </c>
      <c r="K13" s="122"/>
      <c r="L13" s="96"/>
      <c r="R13" s="94"/>
    </row>
    <row r="14" spans="1:18" ht="23.25" customHeight="1">
      <c r="A14" s="5">
        <f t="shared" si="0"/>
        <v>9</v>
      </c>
      <c r="B14" s="131"/>
      <c r="C14" s="131"/>
      <c r="D14" s="132"/>
      <c r="E14" s="132"/>
      <c r="F14" s="132"/>
      <c r="G14" s="123"/>
      <c r="H14" s="123"/>
      <c r="I14" s="120"/>
      <c r="J14" s="121">
        <f t="shared" si="1"/>
        <v>0</v>
      </c>
      <c r="K14" s="122"/>
      <c r="L14" s="96"/>
      <c r="R14" s="94"/>
    </row>
    <row r="15" spans="1:18" ht="23.25" customHeight="1">
      <c r="A15" s="5">
        <f t="shared" si="0"/>
        <v>10</v>
      </c>
      <c r="B15" s="131"/>
      <c r="C15" s="131"/>
      <c r="D15" s="132"/>
      <c r="E15" s="132"/>
      <c r="F15" s="132"/>
      <c r="G15" s="123"/>
      <c r="H15" s="123"/>
      <c r="I15" s="120"/>
      <c r="J15" s="121">
        <f t="shared" si="1"/>
        <v>0</v>
      </c>
      <c r="K15" s="122"/>
      <c r="L15" s="96"/>
      <c r="R15" s="94"/>
    </row>
    <row r="16" spans="1:18" ht="23.25" customHeight="1">
      <c r="A16" s="130" t="s">
        <v>8</v>
      </c>
      <c r="B16" s="130"/>
      <c r="C16" s="124"/>
      <c r="D16" s="132"/>
      <c r="E16" s="132"/>
      <c r="F16" s="132"/>
      <c r="G16" s="125"/>
      <c r="H16" s="125"/>
      <c r="I16" s="100" t="s">
        <v>9</v>
      </c>
      <c r="J16" s="121">
        <f>SUM(J6:J15)</f>
        <v>24</v>
      </c>
      <c r="K16" s="121"/>
      <c r="L16" s="9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56"/>
      <c r="Z18" s="11"/>
    </row>
    <row r="19" spans="1:26" ht="50.1" customHeight="1">
      <c r="Y19" s="157"/>
    </row>
    <row r="20" spans="1:26" ht="15" customHeight="1">
      <c r="O20" s="152" t="s">
        <v>119</v>
      </c>
      <c r="P20" s="158"/>
      <c r="Q20" s="158"/>
      <c r="R20" s="153"/>
      <c r="S20" s="110"/>
      <c r="T20" s="152" t="s">
        <v>120</v>
      </c>
      <c r="U20" s="158"/>
      <c r="V20" s="158"/>
      <c r="W20" s="158"/>
      <c r="X20" s="158"/>
      <c r="Y20" s="153"/>
    </row>
    <row r="21" spans="1:26" ht="15" customHeight="1">
      <c r="O21" s="159" t="s">
        <v>121</v>
      </c>
      <c r="P21" s="126" t="s">
        <v>122</v>
      </c>
      <c r="Q21" s="159" t="s">
        <v>123</v>
      </c>
      <c r="R21" s="126" t="s">
        <v>124</v>
      </c>
      <c r="S21" s="110"/>
      <c r="T21" s="159" t="s">
        <v>125</v>
      </c>
      <c r="U21" s="126" t="s">
        <v>126</v>
      </c>
      <c r="V21" s="152" t="s">
        <v>127</v>
      </c>
      <c r="W21" s="158"/>
      <c r="X21" s="153"/>
      <c r="Y21" s="126" t="s">
        <v>128</v>
      </c>
    </row>
    <row r="22" spans="1:26" ht="18" customHeight="1">
      <c r="O22" s="127"/>
      <c r="P22" s="128"/>
      <c r="Q22" s="127"/>
      <c r="R22" s="128"/>
      <c r="S22" s="114"/>
      <c r="T22" s="127"/>
      <c r="U22" s="128"/>
      <c r="V22" s="13" t="s">
        <v>121</v>
      </c>
      <c r="W22" s="160" t="s">
        <v>129</v>
      </c>
      <c r="X22" s="161"/>
      <c r="Y22" s="128"/>
    </row>
    <row r="23" spans="1:26" ht="50.1" customHeight="1">
      <c r="O23" s="14"/>
      <c r="P23" s="14"/>
      <c r="Q23" s="14"/>
      <c r="R23" s="14"/>
      <c r="S23" s="110"/>
      <c r="T23" s="14"/>
      <c r="U23" s="14"/>
      <c r="V23" s="14"/>
      <c r="W23" s="152"/>
      <c r="X23" s="153"/>
      <c r="Y23" s="115"/>
    </row>
    <row r="24" spans="1:26" ht="36" customHeight="1">
      <c r="W24" s="116"/>
      <c r="X24" s="154" t="s">
        <v>130</v>
      </c>
      <c r="Y24" s="12" t="s">
        <v>128</v>
      </c>
    </row>
    <row r="25" spans="1:26" ht="50.1" customHeight="1">
      <c r="O25" s="117"/>
      <c r="P25" s="117"/>
      <c r="Q25" s="117"/>
      <c r="R25" s="117"/>
      <c r="S25" s="117"/>
      <c r="T25" s="117"/>
      <c r="U25" s="117"/>
      <c r="V25" s="117"/>
      <c r="W25" s="118"/>
      <c r="X25" s="155"/>
      <c r="Y25" s="119"/>
    </row>
    <row r="26" spans="1:26" ht="19.899999999999999" customHeight="1"/>
    <row r="27" spans="1:26" ht="17.45" customHeight="1">
      <c r="O27" s="129"/>
      <c r="P27" s="129"/>
    </row>
    <row r="28" spans="1:26" ht="19.899999999999999" customHeight="1">
      <c r="O28" s="129"/>
      <c r="P28" s="129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6" t="s">
        <v>12</v>
      </c>
      <c r="P46" s="126" t="s">
        <v>12</v>
      </c>
      <c r="S46" s="126" t="s">
        <v>11</v>
      </c>
    </row>
    <row r="47" spans="15:19" ht="21" customHeight="1">
      <c r="O47" s="128"/>
      <c r="P47" s="128"/>
      <c r="S47" s="127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6" t="s">
        <v>12</v>
      </c>
      <c r="P50" s="126" t="s">
        <v>12</v>
      </c>
      <c r="S50" s="126" t="s">
        <v>13</v>
      </c>
    </row>
    <row r="51" spans="15:19" ht="21" customHeight="1">
      <c r="O51" s="128"/>
      <c r="P51" s="128"/>
      <c r="S51" s="127"/>
    </row>
    <row r="52" spans="15:19" ht="64.900000000000006" customHeight="1">
      <c r="O52" s="14"/>
      <c r="P52" s="14"/>
      <c r="S52" s="14"/>
    </row>
  </sheetData>
  <mergeCells count="56"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  <mergeCell ref="B6:C6"/>
    <mergeCell ref="D6:F6"/>
    <mergeCell ref="B7:C7"/>
    <mergeCell ref="D7:F7"/>
    <mergeCell ref="B8:C8"/>
    <mergeCell ref="D8:F8"/>
    <mergeCell ref="D12:F12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  <mergeCell ref="A16:B16"/>
    <mergeCell ref="P21:P22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D16:F16"/>
    <mergeCell ref="B12:C12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8" t="s">
        <v>87</v>
      </c>
      <c r="B1" s="88"/>
      <c r="C1" s="88"/>
      <c r="D1" s="88"/>
      <c r="E1" s="88"/>
      <c r="F1" s="88"/>
      <c r="G1" s="1"/>
      <c r="J1" s="145" t="str">
        <f>+MRS!J1</f>
        <v>DAESHIN PLANT</v>
      </c>
      <c r="K1" s="147"/>
    </row>
    <row r="2" spans="1:18" ht="24.95" customHeight="1">
      <c r="A2" s="3" t="str">
        <f>+MRS!A2</f>
        <v xml:space="preserve">  PJT :  SACE2           </v>
      </c>
      <c r="B2" s="89"/>
      <c r="C2" s="89"/>
      <c r="D2" s="3" t="str">
        <f>+MRS!D2</f>
        <v>Division (In charge Name) : ADMIN MANAGER (Dong Chang Kim)</v>
      </c>
      <c r="E2" s="89"/>
      <c r="F2" s="89"/>
      <c r="G2" s="16"/>
      <c r="H2" s="16"/>
      <c r="I2" s="16"/>
      <c r="J2" s="148" t="str">
        <f>+MRS!J2</f>
        <v>Subcontract name (SAC2-SC-IK-SMP-01)</v>
      </c>
      <c r="K2" s="150"/>
    </row>
    <row r="3" spans="1:18" ht="24.95" customHeight="1">
      <c r="A3" s="3" t="str">
        <f>+MRS!A3</f>
        <v xml:space="preserve">  MRS No : SAC2-DS-MRS-0430</v>
      </c>
      <c r="B3" s="89"/>
      <c r="C3" s="89"/>
      <c r="D3" s="89"/>
      <c r="E3" s="89"/>
      <c r="F3" s="89"/>
      <c r="G3" s="89"/>
      <c r="H3" s="89"/>
      <c r="I3" s="89"/>
      <c r="J3" s="89"/>
      <c r="K3" s="90">
        <f>+MRS!L3</f>
        <v>46257</v>
      </c>
    </row>
    <row r="4" spans="1:18" ht="15.95" customHeight="1">
      <c r="A4" s="167" t="s">
        <v>2</v>
      </c>
      <c r="B4" s="168" t="s">
        <v>14</v>
      </c>
      <c r="C4" s="168"/>
      <c r="D4" s="167" t="s">
        <v>4</v>
      </c>
      <c r="E4" s="167"/>
      <c r="F4" s="167"/>
      <c r="G4" s="168" t="s">
        <v>5</v>
      </c>
      <c r="H4" s="167" t="s">
        <v>82</v>
      </c>
      <c r="I4" s="167" t="s">
        <v>15</v>
      </c>
      <c r="J4" s="167" t="s">
        <v>16</v>
      </c>
      <c r="K4" s="168" t="s">
        <v>7</v>
      </c>
    </row>
    <row r="5" spans="1:18" ht="15.95" customHeight="1">
      <c r="A5" s="167"/>
      <c r="B5" s="168"/>
      <c r="C5" s="168"/>
      <c r="D5" s="167"/>
      <c r="E5" s="167"/>
      <c r="F5" s="167"/>
      <c r="G5" s="168"/>
      <c r="H5" s="167"/>
      <c r="I5" s="167"/>
      <c r="J5" s="167"/>
      <c r="K5" s="168"/>
    </row>
    <row r="6" spans="1:18" ht="105" customHeight="1">
      <c r="A6" s="17">
        <f>+MRS!A6</f>
        <v>1</v>
      </c>
      <c r="B6" s="162" t="str">
        <f>MRS!B6</f>
        <v>Plate Welder 3G/4G</v>
      </c>
      <c r="C6" s="163"/>
      <c r="D6" s="164">
        <f>MRS!D6</f>
        <v>0</v>
      </c>
      <c r="E6" s="165"/>
      <c r="F6" s="166"/>
      <c r="G6" s="91" t="str">
        <f>MRS!G6</f>
        <v>Hour</v>
      </c>
      <c r="H6" s="91">
        <f>MRS!H6</f>
        <v>1</v>
      </c>
      <c r="I6" s="92">
        <f>MRS!I6</f>
        <v>24</v>
      </c>
      <c r="J6" s="92">
        <f>MRS!J6</f>
        <v>24</v>
      </c>
      <c r="K6" s="93"/>
      <c r="O6" s="94"/>
      <c r="P6" s="94"/>
      <c r="R6" s="94"/>
    </row>
    <row r="7" spans="1:18" ht="105" customHeight="1">
      <c r="A7" s="17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91">
        <f>MRS!G7</f>
        <v>0</v>
      </c>
      <c r="H7" s="91">
        <f>MRS!H7</f>
        <v>0</v>
      </c>
      <c r="I7" s="92">
        <f>MRS!I7</f>
        <v>0</v>
      </c>
      <c r="J7" s="92">
        <f>MRS!J7</f>
        <v>0</v>
      </c>
      <c r="K7" s="93"/>
      <c r="O7" s="94"/>
      <c r="P7" s="94"/>
      <c r="R7" s="94"/>
    </row>
    <row r="8" spans="1:18" ht="105" customHeight="1">
      <c r="A8" s="17">
        <f>+MRS!A8</f>
        <v>3</v>
      </c>
      <c r="B8" s="162">
        <f>MRS!B8</f>
        <v>0</v>
      </c>
      <c r="C8" s="163"/>
      <c r="D8" s="164">
        <f>MRS!D8</f>
        <v>0</v>
      </c>
      <c r="E8" s="165"/>
      <c r="F8" s="166"/>
      <c r="G8" s="91">
        <f>MRS!G8</f>
        <v>0</v>
      </c>
      <c r="H8" s="91">
        <f>MRS!H8</f>
        <v>0</v>
      </c>
      <c r="I8" s="92">
        <f>MRS!I8</f>
        <v>0</v>
      </c>
      <c r="J8" s="92">
        <f>MRS!J8</f>
        <v>0</v>
      </c>
      <c r="K8" s="93"/>
      <c r="O8" s="94"/>
      <c r="P8" s="94"/>
      <c r="R8" s="94"/>
    </row>
    <row r="9" spans="1:18" ht="105" customHeight="1">
      <c r="A9" s="17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91">
        <f>MRS!G9</f>
        <v>0</v>
      </c>
      <c r="H9" s="91">
        <f>MRS!H9</f>
        <v>0</v>
      </c>
      <c r="I9" s="92">
        <f>MRS!I9</f>
        <v>0</v>
      </c>
      <c r="J9" s="92">
        <f>MRS!J9</f>
        <v>0</v>
      </c>
      <c r="K9" s="93"/>
      <c r="O9" s="94"/>
      <c r="P9" s="94"/>
      <c r="R9" s="94"/>
    </row>
    <row r="10" spans="1:18" ht="105" customHeight="1">
      <c r="A10" s="17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91">
        <f>MRS!G10</f>
        <v>0</v>
      </c>
      <c r="H10" s="91">
        <f>MRS!H10</f>
        <v>0</v>
      </c>
      <c r="I10" s="92">
        <f>MRS!I10</f>
        <v>0</v>
      </c>
      <c r="J10" s="92">
        <f>MRS!J10</f>
        <v>0</v>
      </c>
      <c r="K10" s="93"/>
      <c r="O10" s="94"/>
      <c r="P10" s="94"/>
      <c r="R10" s="94"/>
    </row>
    <row r="11" spans="1:18" ht="105" customHeight="1">
      <c r="A11" s="17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91">
        <f>MRS!G11</f>
        <v>0</v>
      </c>
      <c r="H11" s="91">
        <f>MRS!H11</f>
        <v>0</v>
      </c>
      <c r="I11" s="92">
        <f>MRS!I11</f>
        <v>0</v>
      </c>
      <c r="J11" s="92">
        <f>MRS!J11</f>
        <v>0</v>
      </c>
      <c r="K11" s="93"/>
      <c r="O11" s="94"/>
      <c r="P11" s="94"/>
      <c r="R11" s="94"/>
    </row>
    <row r="12" spans="1:18" ht="105" customHeight="1">
      <c r="A12" s="17">
        <f>+MRS!A12</f>
        <v>7</v>
      </c>
      <c r="B12" s="162">
        <f>MRS!B12</f>
        <v>0</v>
      </c>
      <c r="C12" s="163"/>
      <c r="D12" s="164">
        <f>MRS!D12</f>
        <v>0</v>
      </c>
      <c r="E12" s="165"/>
      <c r="F12" s="166"/>
      <c r="G12" s="91">
        <f>MRS!G12</f>
        <v>0</v>
      </c>
      <c r="H12" s="91">
        <f>MRS!H12</f>
        <v>0</v>
      </c>
      <c r="I12" s="92">
        <f>MRS!I12</f>
        <v>0</v>
      </c>
      <c r="J12" s="92">
        <f>MRS!J12</f>
        <v>0</v>
      </c>
      <c r="K12" s="93"/>
      <c r="O12" s="94"/>
      <c r="P12" s="94"/>
      <c r="R12" s="94"/>
    </row>
    <row r="13" spans="1:18" ht="105" customHeight="1">
      <c r="A13" s="17">
        <f>+MRS!A13</f>
        <v>8</v>
      </c>
      <c r="B13" s="162">
        <f>MRS!B13</f>
        <v>0</v>
      </c>
      <c r="C13" s="163"/>
      <c r="D13" s="164">
        <f>MRS!D13</f>
        <v>0</v>
      </c>
      <c r="E13" s="165"/>
      <c r="F13" s="166"/>
      <c r="G13" s="91">
        <f>MRS!G13</f>
        <v>0</v>
      </c>
      <c r="H13" s="91">
        <f>MRS!H13</f>
        <v>0</v>
      </c>
      <c r="I13" s="92">
        <f>MRS!I13</f>
        <v>0</v>
      </c>
      <c r="J13" s="92">
        <f>MRS!J13</f>
        <v>0</v>
      </c>
      <c r="K13" s="93"/>
      <c r="O13" s="94"/>
      <c r="P13" s="94"/>
      <c r="R13" s="94"/>
    </row>
    <row r="14" spans="1:18" ht="105" customHeight="1">
      <c r="A14" s="17">
        <f>+MRS!A14</f>
        <v>9</v>
      </c>
      <c r="B14" s="162">
        <f>MRS!B14</f>
        <v>0</v>
      </c>
      <c r="C14" s="163"/>
      <c r="D14" s="164">
        <f>MRS!D14</f>
        <v>0</v>
      </c>
      <c r="E14" s="165"/>
      <c r="F14" s="166"/>
      <c r="G14" s="91">
        <f>MRS!G14</f>
        <v>0</v>
      </c>
      <c r="H14" s="91">
        <f>MRS!H14</f>
        <v>0</v>
      </c>
      <c r="I14" s="92">
        <f>MRS!I14</f>
        <v>0</v>
      </c>
      <c r="J14" s="92">
        <f>MRS!J14</f>
        <v>0</v>
      </c>
      <c r="K14" s="93"/>
      <c r="O14" s="94"/>
      <c r="P14" s="94"/>
      <c r="R14" s="94"/>
    </row>
    <row r="15" spans="1:18" ht="105" customHeight="1">
      <c r="A15" s="17">
        <f>+MRS!A15</f>
        <v>10</v>
      </c>
      <c r="B15" s="162">
        <f>MRS!B15</f>
        <v>0</v>
      </c>
      <c r="C15" s="163"/>
      <c r="D15" s="164">
        <f>MRS!D15</f>
        <v>0</v>
      </c>
      <c r="E15" s="165"/>
      <c r="F15" s="166"/>
      <c r="G15" s="91">
        <f>MRS!G15</f>
        <v>0</v>
      </c>
      <c r="H15" s="91">
        <f>MRS!H15</f>
        <v>0</v>
      </c>
      <c r="I15" s="92">
        <f>MRS!I15</f>
        <v>0</v>
      </c>
      <c r="J15" s="92">
        <f>MRS!J15</f>
        <v>0</v>
      </c>
      <c r="K15" s="93"/>
      <c r="O15" s="94"/>
      <c r="P15" s="94"/>
      <c r="R15" s="94"/>
    </row>
    <row r="16" spans="1:18" ht="105" customHeight="1">
      <c r="A16" s="17"/>
      <c r="B16" s="162"/>
      <c r="C16" s="163"/>
      <c r="D16" s="164"/>
      <c r="E16" s="165"/>
      <c r="F16" s="166"/>
      <c r="G16" s="91"/>
      <c r="H16" s="91"/>
      <c r="I16" s="92"/>
      <c r="J16" s="92"/>
      <c r="K16" s="93"/>
      <c r="O16" s="94"/>
      <c r="P16" s="94"/>
      <c r="R16" s="94"/>
    </row>
    <row r="17" spans="1:18" ht="105" customHeight="1">
      <c r="A17" s="17"/>
      <c r="B17" s="162"/>
      <c r="C17" s="163"/>
      <c r="D17" s="164"/>
      <c r="E17" s="165"/>
      <c r="F17" s="166"/>
      <c r="G17" s="91"/>
      <c r="H17" s="91"/>
      <c r="I17" s="92"/>
      <c r="J17" s="92"/>
      <c r="K17" s="93"/>
      <c r="O17" s="94"/>
      <c r="P17" s="94"/>
      <c r="R17" s="94"/>
    </row>
    <row r="18" spans="1:18" ht="105" customHeight="1">
      <c r="A18" s="17"/>
      <c r="B18" s="162"/>
      <c r="C18" s="163"/>
      <c r="D18" s="164"/>
      <c r="E18" s="165"/>
      <c r="F18" s="166"/>
      <c r="G18" s="91"/>
      <c r="H18" s="91"/>
      <c r="I18" s="92"/>
      <c r="J18" s="92"/>
      <c r="K18" s="93"/>
      <c r="O18" s="94"/>
      <c r="P18" s="94"/>
      <c r="R18" s="94"/>
    </row>
    <row r="19" spans="1:18" ht="105" customHeight="1">
      <c r="A19" s="17"/>
      <c r="B19" s="162"/>
      <c r="C19" s="163"/>
      <c r="D19" s="164"/>
      <c r="E19" s="165"/>
      <c r="F19" s="166"/>
      <c r="G19" s="91"/>
      <c r="H19" s="91"/>
      <c r="I19" s="92"/>
      <c r="J19" s="92"/>
      <c r="K19" s="93"/>
      <c r="O19" s="94"/>
      <c r="P19" s="94"/>
      <c r="R19" s="94"/>
    </row>
    <row r="20" spans="1:18" ht="105" customHeight="1">
      <c r="A20" s="17"/>
      <c r="B20" s="162"/>
      <c r="C20" s="163"/>
      <c r="D20" s="164"/>
      <c r="E20" s="165"/>
      <c r="F20" s="166"/>
      <c r="G20" s="91"/>
      <c r="H20" s="91"/>
      <c r="I20" s="92"/>
      <c r="J20" s="92"/>
      <c r="K20" s="93"/>
      <c r="O20" s="94"/>
      <c r="P20" s="94"/>
      <c r="R20" s="94"/>
    </row>
    <row r="21" spans="1:18" ht="105" customHeight="1">
      <c r="A21" s="17"/>
      <c r="B21" s="162"/>
      <c r="C21" s="163"/>
      <c r="D21" s="164"/>
      <c r="E21" s="165"/>
      <c r="F21" s="166"/>
      <c r="G21" s="91"/>
      <c r="H21" s="91"/>
      <c r="I21" s="92"/>
      <c r="J21" s="92"/>
      <c r="K21" s="93"/>
      <c r="O21" s="94"/>
      <c r="P21" s="94"/>
      <c r="R21" s="94"/>
    </row>
    <row r="23" spans="1:18" ht="21" customHeight="1">
      <c r="J23" s="101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31" zoomScale="130" zoomScaleNormal="100" zoomScaleSheetLayoutView="130" workbookViewId="0">
      <selection activeCell="R64" sqref="R64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105</v>
      </c>
      <c r="D9" s="34"/>
      <c r="E9" s="34"/>
    </row>
    <row r="10" spans="2:13" s="34" customFormat="1">
      <c r="B10" s="65"/>
      <c r="C10" s="34" t="s">
        <v>23</v>
      </c>
      <c r="D10" s="69" t="s">
        <v>106</v>
      </c>
      <c r="J10" s="34" t="s">
        <v>24</v>
      </c>
      <c r="K10" s="170">
        <f>MRS!L3</f>
        <v>46257</v>
      </c>
      <c r="L10" s="171"/>
      <c r="M10" s="171"/>
    </row>
    <row r="11" spans="2:13" s="34" customFormat="1">
      <c r="B11" s="65"/>
      <c r="C11" s="68" t="s">
        <v>25</v>
      </c>
      <c r="D11" s="69" t="s">
        <v>107</v>
      </c>
      <c r="J11" s="34" t="s">
        <v>26</v>
      </c>
      <c r="K11" s="172" t="str">
        <f>SUBSTITUTE(SUBSTITUTE(+MRS!A3,"  MRS No : ",""),"-MRS","-PO")</f>
        <v>SAC2-DS-PO-0430</v>
      </c>
      <c r="L11" s="172"/>
      <c r="M11" s="172"/>
    </row>
    <row r="12" spans="2:13" s="34" customFormat="1">
      <c r="B12" s="65"/>
      <c r="C12" s="68" t="s">
        <v>27</v>
      </c>
      <c r="D12" s="34" t="s">
        <v>108</v>
      </c>
      <c r="J12" s="34" t="s">
        <v>28</v>
      </c>
    </row>
    <row r="13" spans="2:13" s="34" customFormat="1">
      <c r="B13" s="65"/>
      <c r="C13" s="70"/>
      <c r="D13" s="69" t="s">
        <v>109</v>
      </c>
      <c r="J13" s="34" t="s">
        <v>29</v>
      </c>
    </row>
    <row r="14" spans="2:13" s="34" customFormat="1">
      <c r="B14" s="65"/>
      <c r="C14" s="102" t="s">
        <v>110</v>
      </c>
      <c r="J14" s="34" t="s">
        <v>30</v>
      </c>
      <c r="K14" s="34" t="s">
        <v>133</v>
      </c>
    </row>
    <row r="15" spans="2:13" s="34" customFormat="1">
      <c r="B15" s="65"/>
      <c r="C15" s="68" t="s">
        <v>111</v>
      </c>
      <c r="J15" s="34" t="s">
        <v>31</v>
      </c>
      <c r="K15" s="71">
        <v>46249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3" t="s">
        <v>32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</row>
    <row r="19" spans="2:13" ht="12" customHeight="1"/>
    <row r="20" spans="2:13" s="27" customFormat="1" ht="12" customHeight="1">
      <c r="B20" s="174" t="s">
        <v>33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</row>
    <row r="21" spans="2:13" s="27" customFormat="1" ht="12" customHeight="1">
      <c r="B21" s="174" t="s">
        <v>34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</row>
    <row r="22" spans="2:13" s="27" customFormat="1" ht="12" customHeight="1">
      <c r="B22" s="174" t="s">
        <v>35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</row>
    <row r="23" spans="2:13" ht="3.75" customHeight="1"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2:13" ht="6.95" customHeight="1"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">
        <v>131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3" t="s">
        <v>112</v>
      </c>
      <c r="G29" s="99"/>
      <c r="H29" s="99"/>
      <c r="M29" s="29"/>
    </row>
    <row r="30" spans="2:13" ht="15" customHeight="1">
      <c r="B30" s="28"/>
      <c r="C30" s="22" t="s">
        <v>41</v>
      </c>
      <c r="E30" s="22" t="s">
        <v>40</v>
      </c>
      <c r="F30" s="103"/>
      <c r="G30" s="99"/>
      <c r="H30" s="99"/>
    </row>
    <row r="31" spans="2:13" ht="15" customHeight="1">
      <c r="B31" s="28"/>
      <c r="C31" s="22" t="s">
        <v>42</v>
      </c>
      <c r="D31" s="30"/>
      <c r="E31" s="22" t="s">
        <v>40</v>
      </c>
      <c r="F31" s="103"/>
      <c r="G31" s="99"/>
      <c r="H31" s="9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89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92</v>
      </c>
    </row>
    <row r="54" spans="2:16" ht="12" customHeight="1">
      <c r="B54" s="77" t="s">
        <v>56</v>
      </c>
      <c r="C54" s="104" t="s">
        <v>94</v>
      </c>
      <c r="F54" s="22" t="s">
        <v>134</v>
      </c>
      <c r="P54" s="22" t="str">
        <f>UPPER(F54)</f>
        <v>A COMPANY ZAITHOON TECHNICAL SERVICES</v>
      </c>
    </row>
    <row r="55" spans="2:16" ht="12" customHeight="1">
      <c r="B55" s="77" t="s">
        <v>56</v>
      </c>
      <c r="C55" s="104" t="s">
        <v>95</v>
      </c>
      <c r="F55" s="105" t="s">
        <v>113</v>
      </c>
    </row>
    <row r="56" spans="2:16" ht="12" customHeight="1">
      <c r="B56" s="77" t="s">
        <v>56</v>
      </c>
      <c r="C56" s="104" t="s">
        <v>96</v>
      </c>
      <c r="F56" s="22" t="s">
        <v>114</v>
      </c>
    </row>
    <row r="57" spans="2:16" ht="12" customHeight="1">
      <c r="B57" s="77" t="s">
        <v>56</v>
      </c>
      <c r="C57" s="104" t="s">
        <v>97</v>
      </c>
      <c r="F57" s="22" t="s">
        <v>115</v>
      </c>
    </row>
    <row r="58" spans="2:16" ht="12" customHeight="1">
      <c r="B58" s="77" t="s">
        <v>56</v>
      </c>
      <c r="C58" s="104" t="s">
        <v>98</v>
      </c>
      <c r="F58" s="22" t="s">
        <v>116</v>
      </c>
    </row>
    <row r="59" spans="2:16" ht="12" customHeight="1">
      <c r="B59" s="77" t="s">
        <v>56</v>
      </c>
      <c r="C59" s="104" t="s">
        <v>99</v>
      </c>
      <c r="F59" s="22" t="s">
        <v>93</v>
      </c>
    </row>
    <row r="60" spans="2:16" ht="12" customHeight="1">
      <c r="B60" s="77"/>
      <c r="C60" s="104" t="s">
        <v>100</v>
      </c>
    </row>
    <row r="61" spans="2:16" ht="6.75" customHeight="1">
      <c r="B61" s="77"/>
      <c r="C61" s="104"/>
    </row>
    <row r="62" spans="2:16" ht="6" customHeight="1">
      <c r="B62" s="106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Imthiyaz</v>
      </c>
    </row>
    <row r="68" spans="1:13" ht="13.5" customHeight="1">
      <c r="B68" s="22" t="s">
        <v>62</v>
      </c>
      <c r="J68" s="22" t="s">
        <v>63</v>
      </c>
      <c r="K68" s="18" t="s">
        <v>103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90</v>
      </c>
      <c r="J70" s="177" t="str">
        <f>C9</f>
        <v>ZTS(Zaithoon Technical Services)</v>
      </c>
      <c r="K70" s="177"/>
      <c r="L70" s="177"/>
      <c r="M70" s="177"/>
    </row>
    <row r="71" spans="1:13" ht="27.95" customHeight="1">
      <c r="A71" s="169" t="s">
        <v>66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topLeftCell="A13" zoomScaleSheetLayoutView="100" zoomScalePageLayoutView="55" workbookViewId="0">
      <selection activeCell="E33" sqref="E33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SAC2-DS-PO-0430</v>
      </c>
      <c r="C2" s="184" t="s">
        <v>68</v>
      </c>
      <c r="D2" s="184"/>
      <c r="E2" s="184"/>
      <c r="F2" s="184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46257</v>
      </c>
      <c r="C3" s="44"/>
      <c r="D3" s="45"/>
      <c r="E3" s="185" t="s">
        <v>70</v>
      </c>
      <c r="F3" s="185"/>
      <c r="G3" s="185"/>
      <c r="H3" s="185"/>
      <c r="I3" s="46"/>
    </row>
    <row r="4" spans="1:13" s="48" customFormat="1" ht="28.5" customHeight="1" thickTop="1">
      <c r="A4" s="186" t="s">
        <v>71</v>
      </c>
      <c r="B4" s="188" t="s">
        <v>72</v>
      </c>
      <c r="C4" s="189"/>
      <c r="D4" s="192" t="s">
        <v>73</v>
      </c>
      <c r="E4" s="192" t="s">
        <v>74</v>
      </c>
      <c r="F4" s="194" t="str">
        <f>'PO 1st page'!C9</f>
        <v>ZTS(Zaithoon Technical Services)</v>
      </c>
      <c r="G4" s="195"/>
      <c r="H4" s="196" t="s">
        <v>75</v>
      </c>
      <c r="K4" s="49"/>
      <c r="L4" s="49"/>
      <c r="M4" s="49"/>
    </row>
    <row r="5" spans="1:13" s="48" customFormat="1" ht="21.95" customHeight="1">
      <c r="A5" s="187"/>
      <c r="B5" s="190"/>
      <c r="C5" s="191"/>
      <c r="D5" s="193"/>
      <c r="E5" s="193"/>
      <c r="F5" s="50" t="s">
        <v>76</v>
      </c>
      <c r="G5" s="50" t="s">
        <v>42</v>
      </c>
      <c r="H5" s="197"/>
      <c r="K5" s="49"/>
      <c r="L5" s="49"/>
      <c r="M5" s="49"/>
    </row>
    <row r="6" spans="1:13" s="48" customFormat="1" ht="32.1" customHeight="1">
      <c r="A6" s="78">
        <f t="shared" ref="A6:A15" si="0">ROW(A1)</f>
        <v>1</v>
      </c>
      <c r="B6" s="182" t="str">
        <f>MRS!B6&amp;" "&amp;MRS!D6</f>
        <v xml:space="preserve">Plate Welder 3G/4G </v>
      </c>
      <c r="C6" s="183"/>
      <c r="D6" s="79" t="str">
        <f>MRS!G6</f>
        <v>Hour</v>
      </c>
      <c r="E6" s="80">
        <f>MRS!H6</f>
        <v>1</v>
      </c>
      <c r="F6" s="81">
        <f>+'MRS LIST'!I6</f>
        <v>24</v>
      </c>
      <c r="G6" s="82">
        <f>+'MRS LIST'!J6</f>
        <v>24</v>
      </c>
      <c r="H6" s="83" t="str">
        <f>MRS!L6</f>
        <v>Monthly Based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182"/>
      <c r="C7" s="183"/>
      <c r="D7" s="79"/>
      <c r="E7" s="80"/>
      <c r="F7" s="81"/>
      <c r="G7" s="82"/>
      <c r="H7" s="83"/>
      <c r="K7" s="84"/>
      <c r="L7" s="85"/>
      <c r="M7" s="49"/>
    </row>
    <row r="8" spans="1:13" s="48" customFormat="1" ht="32.1" customHeight="1">
      <c r="A8" s="86">
        <f t="shared" si="0"/>
        <v>3</v>
      </c>
      <c r="B8" s="182"/>
      <c r="C8" s="183"/>
      <c r="D8" s="79"/>
      <c r="E8" s="80"/>
      <c r="F8" s="81"/>
      <c r="G8" s="82"/>
      <c r="H8" s="83"/>
      <c r="K8" s="49"/>
      <c r="L8" s="49"/>
      <c r="M8" s="49"/>
    </row>
    <row r="9" spans="1:13" s="48" customFormat="1" ht="32.1" customHeight="1">
      <c r="A9" s="86">
        <f t="shared" si="0"/>
        <v>4</v>
      </c>
      <c r="B9" s="182"/>
      <c r="C9" s="183"/>
      <c r="D9" s="79"/>
      <c r="E9" s="80"/>
      <c r="F9" s="81"/>
      <c r="G9" s="82"/>
      <c r="H9" s="87"/>
    </row>
    <row r="10" spans="1:13" s="48" customFormat="1" ht="32.1" customHeight="1">
      <c r="A10" s="86">
        <f t="shared" si="0"/>
        <v>5</v>
      </c>
      <c r="B10" s="182"/>
      <c r="C10" s="183"/>
      <c r="D10" s="79"/>
      <c r="E10" s="80"/>
      <c r="F10" s="81"/>
      <c r="G10" s="82"/>
      <c r="H10" s="87"/>
    </row>
    <row r="11" spans="1:13" s="48" customFormat="1" ht="32.1" customHeight="1">
      <c r="A11" s="86">
        <f t="shared" si="0"/>
        <v>6</v>
      </c>
      <c r="B11" s="182"/>
      <c r="C11" s="183"/>
      <c r="D11" s="79"/>
      <c r="E11" s="80"/>
      <c r="F11" s="81"/>
      <c r="G11" s="82"/>
      <c r="H11" s="87"/>
    </row>
    <row r="12" spans="1:13" s="48" customFormat="1" ht="32.1" customHeight="1">
      <c r="A12" s="86">
        <f t="shared" si="0"/>
        <v>7</v>
      </c>
      <c r="B12" s="182"/>
      <c r="C12" s="183"/>
      <c r="D12" s="79"/>
      <c r="E12" s="80"/>
      <c r="F12" s="81"/>
      <c r="G12" s="82"/>
      <c r="H12" s="87"/>
    </row>
    <row r="13" spans="1:13" s="48" customFormat="1" ht="32.1" customHeight="1">
      <c r="A13" s="86">
        <f t="shared" si="0"/>
        <v>8</v>
      </c>
      <c r="B13" s="182"/>
      <c r="C13" s="183"/>
      <c r="D13" s="79"/>
      <c r="E13" s="80"/>
      <c r="F13" s="81"/>
      <c r="G13" s="82"/>
      <c r="H13" s="87"/>
    </row>
    <row r="14" spans="1:13" s="48" customFormat="1" ht="32.1" customHeight="1">
      <c r="A14" s="86">
        <f t="shared" si="0"/>
        <v>9</v>
      </c>
      <c r="B14" s="182"/>
      <c r="C14" s="183"/>
      <c r="D14" s="79"/>
      <c r="E14" s="80"/>
      <c r="F14" s="81"/>
      <c r="G14" s="82"/>
      <c r="H14" s="87"/>
    </row>
    <row r="15" spans="1:13" s="48" customFormat="1" ht="32.1" customHeight="1">
      <c r="A15" s="86">
        <f t="shared" si="0"/>
        <v>10</v>
      </c>
      <c r="B15" s="182"/>
      <c r="C15" s="183"/>
      <c r="D15" s="79"/>
      <c r="E15" s="80"/>
      <c r="F15" s="81"/>
      <c r="G15" s="82"/>
      <c r="H15" s="87"/>
    </row>
    <row r="16" spans="1:13" s="48" customFormat="1" ht="32.1" customHeight="1">
      <c r="A16" s="86"/>
      <c r="B16" s="182"/>
      <c r="C16" s="183"/>
      <c r="D16" s="79"/>
      <c r="E16" s="80"/>
      <c r="F16" s="81"/>
      <c r="G16" s="82"/>
      <c r="H16" s="87"/>
    </row>
    <row r="17" spans="1:13" s="48" customFormat="1" ht="32.1" customHeight="1">
      <c r="A17" s="86"/>
      <c r="B17" s="182"/>
      <c r="C17" s="183"/>
      <c r="D17" s="79"/>
      <c r="E17" s="80"/>
      <c r="F17" s="81"/>
      <c r="G17" s="82"/>
      <c r="H17" s="87"/>
    </row>
    <row r="18" spans="1:13" s="48" customFormat="1" ht="32.1" customHeight="1">
      <c r="A18" s="86"/>
      <c r="B18" s="182"/>
      <c r="C18" s="183"/>
      <c r="D18" s="79"/>
      <c r="E18" s="80"/>
      <c r="F18" s="81"/>
      <c r="G18" s="82"/>
      <c r="H18" s="87"/>
    </row>
    <row r="19" spans="1:13" s="48" customFormat="1" ht="32.1" customHeight="1">
      <c r="A19" s="86"/>
      <c r="B19" s="182"/>
      <c r="C19" s="183"/>
      <c r="D19" s="79"/>
      <c r="E19" s="80"/>
      <c r="F19" s="81"/>
      <c r="G19" s="82"/>
      <c r="H19" s="87"/>
    </row>
    <row r="20" spans="1:13" s="48" customFormat="1" ht="32.1" customHeight="1">
      <c r="A20" s="86"/>
      <c r="B20" s="182"/>
      <c r="C20" s="183"/>
      <c r="D20" s="79"/>
      <c r="E20" s="80"/>
      <c r="F20" s="81"/>
      <c r="G20" s="82"/>
      <c r="H20" s="87"/>
    </row>
    <row r="21" spans="1:13" s="48" customFormat="1" ht="32.1" customHeight="1">
      <c r="A21" s="86"/>
      <c r="B21" s="182"/>
      <c r="C21" s="183"/>
      <c r="D21" s="79"/>
      <c r="E21" s="80"/>
      <c r="F21" s="81"/>
      <c r="G21" s="82"/>
      <c r="H21" s="87"/>
    </row>
    <row r="22" spans="1:13" s="48" customFormat="1" ht="23.1" customHeight="1">
      <c r="A22" s="178" t="s">
        <v>77</v>
      </c>
      <c r="B22" s="179"/>
      <c r="C22" s="179"/>
      <c r="D22" s="179"/>
      <c r="E22" s="179"/>
      <c r="F22" s="179"/>
      <c r="G22" s="51">
        <f>SUM(G6:G21)</f>
        <v>24</v>
      </c>
      <c r="H22" s="52"/>
    </row>
    <row r="23" spans="1:13" s="48" customFormat="1" ht="23.1" customHeight="1">
      <c r="A23" s="178" t="s">
        <v>41</v>
      </c>
      <c r="B23" s="179"/>
      <c r="C23" s="179"/>
      <c r="D23" s="179"/>
      <c r="E23" s="179"/>
      <c r="F23" s="179"/>
      <c r="G23" s="51">
        <f>+G22*0.15</f>
        <v>3.5999999999999996</v>
      </c>
      <c r="H23" s="52"/>
    </row>
    <row r="24" spans="1:13" s="48" customFormat="1" ht="24.95" customHeight="1" thickBot="1">
      <c r="A24" s="180" t="s">
        <v>78</v>
      </c>
      <c r="B24" s="181"/>
      <c r="C24" s="181"/>
      <c r="D24" s="181"/>
      <c r="E24" s="181"/>
      <c r="F24" s="181"/>
      <c r="G24" s="53">
        <f>G23+G22</f>
        <v>27.6</v>
      </c>
      <c r="H24" s="54"/>
    </row>
    <row r="25" spans="1:13" ht="15.75" thickTop="1">
      <c r="A25" s="55" t="str">
        <f>" 1) Above Price are as per your quotation with ref "&amp;'PO 1st page'!K14</f>
        <v xml:space="preserve"> 1) Above Price are as per your quotation with ref MNP/9400/26</v>
      </c>
      <c r="B25" s="56"/>
      <c r="C25" s="56"/>
      <c r="D25" s="57"/>
      <c r="E25" s="57"/>
      <c r="F25" s="57"/>
      <c r="G25" s="57"/>
      <c r="H25" s="57"/>
    </row>
    <row r="26" spans="1:13" ht="15">
      <c r="A26" s="58" t="s">
        <v>79</v>
      </c>
      <c r="B26" s="59"/>
      <c r="C26" s="59"/>
      <c r="D26" s="60"/>
      <c r="E26" s="60"/>
      <c r="F26" s="60"/>
      <c r="G26" s="60"/>
      <c r="H26" s="60"/>
      <c r="I26" s="61"/>
    </row>
    <row r="27" spans="1:13" ht="15.75">
      <c r="A27" s="62"/>
    </row>
    <row r="28" spans="1:13">
      <c r="A28" s="169" t="s">
        <v>80</v>
      </c>
      <c r="B28" s="169"/>
      <c r="C28" s="169"/>
      <c r="D28" s="169"/>
      <c r="E28" s="169"/>
      <c r="F28" s="169"/>
      <c r="G28" s="169"/>
      <c r="H28" s="169"/>
      <c r="I28" s="63"/>
      <c r="J28" s="63"/>
      <c r="K28" s="63"/>
      <c r="L28" s="63"/>
      <c r="M28" s="63"/>
    </row>
    <row r="29" spans="1:13" ht="15.75">
      <c r="A29" s="62"/>
      <c r="C29" s="64"/>
    </row>
    <row r="30" spans="1:13" ht="15.75">
      <c r="A30" s="62"/>
      <c r="C30" s="64"/>
    </row>
    <row r="32" spans="1:13" ht="12" customHeight="1"/>
  </sheetData>
  <mergeCells count="28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2026-08-25T04:25:55Z</cp:lastPrinted>
  <dcterms:created xsi:type="dcterms:W3CDTF">2024-10-20T11:50:19Z</dcterms:created>
  <dcterms:modified xsi:type="dcterms:W3CDTF">2026-08-25T04:29:33Z</dcterms:modified>
</cp:coreProperties>
</file>