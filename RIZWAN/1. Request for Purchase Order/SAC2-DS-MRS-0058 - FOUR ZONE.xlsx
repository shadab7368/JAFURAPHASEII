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BCD61F33-7DEE-4544-8EE0-DA60DC493807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<sst xmlns="http://schemas.openxmlformats.org/spreadsheetml/2006/main" count="156" uniqueCount="122">
  <si>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</si>
  <si>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</si>
  <si>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</si>
  <si>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</si>
  <si>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</si>
  <si>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</si>
  <si>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</si>
  <si>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</si>
  <si>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</si>
  <si>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</si>
  <si>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</si>
  <si>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</si>
  <si>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</si>
  <si>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</si>
  <si>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</si>
  <si>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</si>
  <si>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</si>
  <si>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</si>
  <si>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</si>
  <si>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</si>
  <si>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</si>
  <si>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</si>
  <si>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</si>
  <si>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</si>
  <si>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</si>
  <si>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</si>
  <si>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</si>
  <si>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</si>
  <si>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</si>
  <si>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</si>
  <si>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</si>
  <si>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</si>
  <si>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</si>
  <si>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</si>
  <si>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</si>
  <si>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</si>
  <si>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</si>
  <si>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</si>
  <si>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</si>
  <si>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</si>
  <si>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</si>
  <si>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</si>
  <si>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</si>
  <si>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</si>
  <si>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</si>
  <si>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</si>
  <si>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</si>
  <si>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</si>
  <si>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</si>
  <si>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</si>
  <si>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</si>
  <si>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</si>
  <si>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</si>
  <si>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</si>
  <si>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</si>
  <si>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</si>
  <si>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</si>
  <si>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</si>
  <si>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</si>
  <si>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</si>
  <si>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</si>
  <si>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</si>
  <si>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</si>
  <si>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</si>
  <si>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</si>
  <si>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</si>
  <si>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</si>
  <si>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</si>
  <si>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</si>
  <si>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</si>
  <si>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</si>
  <si>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</si>
  <si>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</si>
  <si>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</si>
  <si>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</si>
  <si>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</si>
  <si>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</si>
  <si>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</si>
  <si>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</si>
  <si>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</si>
  <si>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</si>
  <si>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</si>
  <si>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</si>
  <si>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</si>
  <si>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</si>
  <si>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</si>
  <si>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</si>
  <si>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</si>
  <si>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</si>
  <si>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</si>
  <si>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</si>
  <si>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</si>
  <si>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</si>
  <si>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</si>
  <si>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</si>
  <si>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</si>
  <si>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</si>
  <si>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</si>
  <si>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</si>
  <si>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</si>
  <si>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</si>
  <si>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</si>
  <si>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</si>
  <si>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</si>
  <si>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</si>
  <si>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</si>
  <si>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</si>
  <si>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</si>
  <si>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</si>
  <si>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</si>
  <si>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</si>
  <si>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-MRS-0058</t>
    </r>
  </si>
  <si>
    <t>RT Crane</t>
  </si>
  <si>
    <t>80 Ton</t>
  </si>
  <si>
    <t>Mob. &amp; De-Mob. / per unit - lump sum</t>
  </si>
  <si>
    <t>L / S</t>
  </si>
  <si>
    <t>RT Cranet Mob &amp; De-Mob. Charge</t>
  </si>
  <si>
    <t>One time</t>
  </si>
  <si>
    <t>FZ-OFFR-2025-1653</t>
  </si>
  <si>
    <t>80 Ton RT Crane with Aramnco Certified Operator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</si>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</sst>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360948</xdr:colOff>
          <xdr:row>17</xdr:row>
          <xdr:rowOff>50132</xdr:rowOff>
        </xdr:from>
        <xdr:to>
          <xdr:col>11</xdr:col>
          <xdr:colOff>1664870</xdr:colOff>
          <xdr:row>24</xdr:row>
          <xdr:rowOff>50133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8" y="5033211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25" t="s">
        <v>105</v>
      </c>
      <c r="K1" s="126"/>
      <c r="L1" s="127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28" t="s">
        <v>108</v>
      </c>
      <c r="K2" s="129"/>
      <c r="L2" s="130"/>
    </row>
    <row r="3" spans="1:19" ht="20.100000000000001" customHeight="1">
      <c r="A3" s="3" t="s">
        <v>111</v>
      </c>
      <c r="B3" s="102"/>
      <c r="C3" s="102"/>
      <c r="D3" s="102"/>
      <c r="E3" s="131">
        <f>+L3</f>
        <v>45780</v>
      </c>
      <c r="F3" s="131"/>
      <c r="G3" s="131"/>
      <c r="H3" s="131"/>
      <c r="I3" s="131"/>
      <c r="J3" s="102"/>
      <c r="K3" s="102"/>
      <c r="L3" s="123">
        <v>45780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94</v>
      </c>
      <c r="J4" s="132" t="s">
        <v>95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112</v>
      </c>
      <c r="C6" s="145"/>
      <c r="D6" s="146" t="s">
        <v>113</v>
      </c>
      <c r="E6" s="147"/>
      <c r="F6" s="148"/>
      <c r="G6" s="112" t="s">
        <v>89</v>
      </c>
      <c r="H6" s="113">
        <v>1</v>
      </c>
      <c r="I6" s="114">
        <v>80000</v>
      </c>
      <c r="J6" s="114">
        <f>H6*I6</f>
        <v>80000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44" t="s">
        <v>116</v>
      </c>
      <c r="C7" s="145"/>
      <c r="D7" s="149" t="s">
        <v>114</v>
      </c>
      <c r="E7" s="147"/>
      <c r="F7" s="148"/>
      <c r="G7" s="112" t="s">
        <v>115</v>
      </c>
      <c r="H7" s="113">
        <v>1</v>
      </c>
      <c r="I7" s="114">
        <v>8000</v>
      </c>
      <c r="J7" s="114">
        <f>H7*I7</f>
        <v>8000</v>
      </c>
      <c r="K7" s="115"/>
      <c r="L7" s="116" t="s">
        <v>117</v>
      </c>
      <c r="S7" s="107"/>
    </row>
    <row r="8" spans="1:19" ht="22.5" customHeight="1">
      <c r="A8" s="5">
        <f t="shared" si="0"/>
        <v>3</v>
      </c>
      <c r="B8" s="144"/>
      <c r="C8" s="145"/>
      <c r="D8" s="149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7</v>
      </c>
      <c r="B16" s="153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88000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9" sqref="J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SAC2-DS-MRS-0058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45780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90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RT Crane</v>
      </c>
      <c r="C6" s="167"/>
      <c r="D6" s="168" t="str">
        <f>MRS!D6</f>
        <v>80 Ton</v>
      </c>
      <c r="E6" s="169"/>
      <c r="F6" s="170"/>
      <c r="G6" s="104" t="str">
        <f>MRS!G6</f>
        <v>Month</v>
      </c>
      <c r="H6" s="104">
        <f>MRS!H6</f>
        <v>1</v>
      </c>
      <c r="I6" s="105">
        <f>MRS!I6</f>
        <v>80000</v>
      </c>
      <c r="J6" s="105">
        <f>MRS!J6</f>
        <v>80000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6" t="str">
        <f>MRS!B7</f>
        <v>RT Cranet Mob &amp; De-Mob. Charge</v>
      </c>
      <c r="C7" s="167"/>
      <c r="D7" s="168" t="str">
        <f>MRS!D7</f>
        <v>Mob. &amp; De-Mob. / per unit - lump sum</v>
      </c>
      <c r="E7" s="169"/>
      <c r="F7" s="170"/>
      <c r="G7" s="104" t="str">
        <f>MRS!G7</f>
        <v>L / S</v>
      </c>
      <c r="H7" s="104">
        <f>MRS!H7</f>
        <v>1</v>
      </c>
      <c r="I7" s="105">
        <f>MRS!I7</f>
        <v>8000</v>
      </c>
      <c r="J7" s="105">
        <f>MRS!J7</f>
        <v>8000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48" zoomScale="130" zoomScaleSheetLayoutView="130" workbookViewId="0">
      <selection activeCell="J67" sqref="J6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120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SAC2-DS-PO-0058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118</v>
      </c>
    </row>
    <row r="15" spans="2:13" s="39" customFormat="1">
      <c r="B15" s="72"/>
      <c r="C15" s="77" t="s">
        <v>101</v>
      </c>
      <c r="J15" s="39" t="s">
        <v>39</v>
      </c>
      <c r="K15" s="78">
        <v>45770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119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121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20" sqref="K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SAC2-DS-PO-0058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RT Crane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80000</v>
      </c>
      <c r="G6" s="89">
        <f>+'MRS LIST'!J6</f>
        <v>80000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RT Cranet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8000</v>
      </c>
      <c r="G7" s="89">
        <f>+'MRS LIST'!J7</f>
        <v>8000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88000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13200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101200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FZ-OFFR-2025-1653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2025-05-03T08:33:23Z</cp:lastPrinted>
  <dcterms:created xsi:type="dcterms:W3CDTF">2024-10-20T11:50:19Z</dcterms:created>
  <dcterms:modified xsi:type="dcterms:W3CDTF">2025-05-03T08:33:26Z</dcterms:modified>
</cp:coreProperties>
</file>