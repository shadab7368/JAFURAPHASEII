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590CE65E-862A-4D99-B2C0-43C592DF53BC}" xr6:coauthVersionLast="47" xr6:coauthVersionMax="47" xr10:uidLastSave="{00000000-0000-0000-0000-000000000000}"/>
  <bookViews>
    <workbookView xWindow="-120" yWindow="-120" windowWidth="29040" windowHeight="1584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MRS!$A$1:$L$194</definedName>
    <definedName name="_xlnm.Print_Area" localSheetId="1">'MRS LIST'!$A$1:$K$29</definedName>
    <definedName name="_xlnm.Print_Area" localSheetId="2">'PO 1st page'!$A$1:$N$71</definedName>
    <definedName name="_xlnm.Print_Area" localSheetId="3">'PO 2nd page'!$A$1:$H$191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4" i="4" l="1"/>
  <c r="F184" i="4"/>
  <c r="E184" i="4"/>
  <c r="D184" i="4"/>
  <c r="B184" i="4"/>
  <c r="G183" i="4"/>
  <c r="F183" i="4"/>
  <c r="E183" i="4"/>
  <c r="D183" i="4"/>
  <c r="B183" i="4"/>
  <c r="G182" i="4"/>
  <c r="F182" i="4"/>
  <c r="E182" i="4"/>
  <c r="D182" i="4"/>
  <c r="B182" i="4"/>
  <c r="G181" i="4"/>
  <c r="F181" i="4"/>
  <c r="E181" i="4"/>
  <c r="D181" i="4"/>
  <c r="B181" i="4"/>
  <c r="G180" i="4"/>
  <c r="F180" i="4"/>
  <c r="E180" i="4"/>
  <c r="D180" i="4"/>
  <c r="B180" i="4"/>
  <c r="G179" i="4"/>
  <c r="F179" i="4"/>
  <c r="E179" i="4"/>
  <c r="D179" i="4"/>
  <c r="B179" i="4"/>
  <c r="G178" i="4"/>
  <c r="F178" i="4"/>
  <c r="E178" i="4"/>
  <c r="D178" i="4"/>
  <c r="B178" i="4"/>
  <c r="G177" i="4"/>
  <c r="F177" i="4"/>
  <c r="E177" i="4"/>
  <c r="D177" i="4"/>
  <c r="B177" i="4"/>
  <c r="G176" i="4"/>
  <c r="F176" i="4"/>
  <c r="E176" i="4"/>
  <c r="D176" i="4"/>
  <c r="B176" i="4"/>
  <c r="G175" i="4"/>
  <c r="F175" i="4"/>
  <c r="E175" i="4"/>
  <c r="D175" i="4"/>
  <c r="B175" i="4"/>
  <c r="G174" i="4"/>
  <c r="F174" i="4"/>
  <c r="E174" i="4"/>
  <c r="D174" i="4"/>
  <c r="B174" i="4"/>
  <c r="G173" i="4"/>
  <c r="F173" i="4"/>
  <c r="E173" i="4"/>
  <c r="D173" i="4"/>
  <c r="B173" i="4"/>
  <c r="G172" i="4"/>
  <c r="F172" i="4"/>
  <c r="E172" i="4"/>
  <c r="D172" i="4"/>
  <c r="B172" i="4"/>
  <c r="G171" i="4"/>
  <c r="F171" i="4"/>
  <c r="E171" i="4"/>
  <c r="D171" i="4"/>
  <c r="B171" i="4"/>
  <c r="G170" i="4"/>
  <c r="F170" i="4"/>
  <c r="E170" i="4"/>
  <c r="D170" i="4"/>
  <c r="B170" i="4"/>
  <c r="G169" i="4"/>
  <c r="F169" i="4"/>
  <c r="E169" i="4"/>
  <c r="D169" i="4"/>
  <c r="B169" i="4"/>
  <c r="G168" i="4"/>
  <c r="F168" i="4"/>
  <c r="E168" i="4"/>
  <c r="D168" i="4"/>
  <c r="B168" i="4"/>
  <c r="G167" i="4"/>
  <c r="F167" i="4"/>
  <c r="E167" i="4"/>
  <c r="D167" i="4"/>
  <c r="B167" i="4"/>
  <c r="G166" i="4"/>
  <c r="F166" i="4"/>
  <c r="E166" i="4"/>
  <c r="D166" i="4"/>
  <c r="B166" i="4"/>
  <c r="G165" i="4"/>
  <c r="F165" i="4"/>
  <c r="E165" i="4"/>
  <c r="D165" i="4"/>
  <c r="B165" i="4"/>
  <c r="G164" i="4"/>
  <c r="F164" i="4"/>
  <c r="E164" i="4"/>
  <c r="D164" i="4"/>
  <c r="B164" i="4"/>
  <c r="G163" i="4"/>
  <c r="F163" i="4"/>
  <c r="E163" i="4"/>
  <c r="D163" i="4"/>
  <c r="B163" i="4"/>
  <c r="G162" i="4"/>
  <c r="F162" i="4"/>
  <c r="E162" i="4"/>
  <c r="D162" i="4"/>
  <c r="B162" i="4"/>
  <c r="G161" i="4"/>
  <c r="F161" i="4"/>
  <c r="E161" i="4"/>
  <c r="D161" i="4"/>
  <c r="B161" i="4"/>
  <c r="G160" i="4"/>
  <c r="F160" i="4"/>
  <c r="E160" i="4"/>
  <c r="D160" i="4"/>
  <c r="B160" i="4"/>
  <c r="G159" i="4"/>
  <c r="F159" i="4"/>
  <c r="E159" i="4"/>
  <c r="D159" i="4"/>
  <c r="B159" i="4"/>
  <c r="G158" i="4"/>
  <c r="F158" i="4"/>
  <c r="E158" i="4"/>
  <c r="D158" i="4"/>
  <c r="B158" i="4"/>
  <c r="G157" i="4"/>
  <c r="F157" i="4"/>
  <c r="E157" i="4"/>
  <c r="D157" i="4"/>
  <c r="B157" i="4"/>
  <c r="G156" i="4"/>
  <c r="F156" i="4"/>
  <c r="E156" i="4"/>
  <c r="D156" i="4"/>
  <c r="B156" i="4"/>
  <c r="G155" i="4"/>
  <c r="F155" i="4"/>
  <c r="E155" i="4"/>
  <c r="D155" i="4"/>
  <c r="B155" i="4"/>
  <c r="G154" i="4"/>
  <c r="F154" i="4"/>
  <c r="E154" i="4"/>
  <c r="D154" i="4"/>
  <c r="B154" i="4"/>
  <c r="G153" i="4"/>
  <c r="F153" i="4"/>
  <c r="E153" i="4"/>
  <c r="D153" i="4"/>
  <c r="B153" i="4"/>
  <c r="G152" i="4"/>
  <c r="F152" i="4"/>
  <c r="E152" i="4"/>
  <c r="D152" i="4"/>
  <c r="B152" i="4"/>
  <c r="G151" i="4"/>
  <c r="F151" i="4"/>
  <c r="E151" i="4"/>
  <c r="D151" i="4"/>
  <c r="B151" i="4"/>
  <c r="G150" i="4"/>
  <c r="F150" i="4"/>
  <c r="E150" i="4"/>
  <c r="D150" i="4"/>
  <c r="B150" i="4"/>
  <c r="G149" i="4"/>
  <c r="F149" i="4"/>
  <c r="E149" i="4"/>
  <c r="D149" i="4"/>
  <c r="B149" i="4"/>
  <c r="G148" i="4"/>
  <c r="F148" i="4"/>
  <c r="E148" i="4"/>
  <c r="D148" i="4"/>
  <c r="B148" i="4"/>
  <c r="G147" i="4"/>
  <c r="F147" i="4"/>
  <c r="E147" i="4"/>
  <c r="D147" i="4"/>
  <c r="B147" i="4"/>
  <c r="G146" i="4"/>
  <c r="F146" i="4"/>
  <c r="E146" i="4"/>
  <c r="D146" i="4"/>
  <c r="B146" i="4"/>
  <c r="G145" i="4"/>
  <c r="F145" i="4"/>
  <c r="E145" i="4"/>
  <c r="D145" i="4"/>
  <c r="B145" i="4"/>
  <c r="G144" i="4"/>
  <c r="F144" i="4"/>
  <c r="E144" i="4"/>
  <c r="D144" i="4"/>
  <c r="B144" i="4"/>
  <c r="G143" i="4"/>
  <c r="F143" i="4"/>
  <c r="E143" i="4"/>
  <c r="D143" i="4"/>
  <c r="B143" i="4"/>
  <c r="G142" i="4"/>
  <c r="F142" i="4"/>
  <c r="E142" i="4"/>
  <c r="D142" i="4"/>
  <c r="B142" i="4"/>
  <c r="G141" i="4"/>
  <c r="F141" i="4"/>
  <c r="E141" i="4"/>
  <c r="D141" i="4"/>
  <c r="B141" i="4"/>
  <c r="G140" i="4"/>
  <c r="F140" i="4"/>
  <c r="E140" i="4"/>
  <c r="D140" i="4"/>
  <c r="B140" i="4"/>
  <c r="G139" i="4"/>
  <c r="F139" i="4"/>
  <c r="E139" i="4"/>
  <c r="D139" i="4"/>
  <c r="B139" i="4"/>
  <c r="G138" i="4"/>
  <c r="F138" i="4"/>
  <c r="E138" i="4"/>
  <c r="D138" i="4"/>
  <c r="B138" i="4"/>
  <c r="G137" i="4"/>
  <c r="F137" i="4"/>
  <c r="E137" i="4"/>
  <c r="D137" i="4"/>
  <c r="B137" i="4"/>
  <c r="G136" i="4"/>
  <c r="F136" i="4"/>
  <c r="E136" i="4"/>
  <c r="D136" i="4"/>
  <c r="B136" i="4"/>
  <c r="G135" i="4"/>
  <c r="F135" i="4"/>
  <c r="E135" i="4"/>
  <c r="D135" i="4"/>
  <c r="B135" i="4"/>
  <c r="G134" i="4"/>
  <c r="F134" i="4"/>
  <c r="E134" i="4"/>
  <c r="D134" i="4"/>
  <c r="B134" i="4"/>
  <c r="G133" i="4"/>
  <c r="F133" i="4"/>
  <c r="E133" i="4"/>
  <c r="D133" i="4"/>
  <c r="B133" i="4"/>
  <c r="G132" i="4"/>
  <c r="F132" i="4"/>
  <c r="E132" i="4"/>
  <c r="D132" i="4"/>
  <c r="B132" i="4"/>
  <c r="G131" i="4"/>
  <c r="F131" i="4"/>
  <c r="E131" i="4"/>
  <c r="D131" i="4"/>
  <c r="B131" i="4"/>
  <c r="G130" i="4"/>
  <c r="F130" i="4"/>
  <c r="E130" i="4"/>
  <c r="D130" i="4"/>
  <c r="B130" i="4"/>
  <c r="G129" i="4"/>
  <c r="F129" i="4"/>
  <c r="E129" i="4"/>
  <c r="D129" i="4"/>
  <c r="B129" i="4"/>
  <c r="G128" i="4"/>
  <c r="F128" i="4"/>
  <c r="E128" i="4"/>
  <c r="D128" i="4"/>
  <c r="B128" i="4"/>
  <c r="G127" i="4"/>
  <c r="F127" i="4"/>
  <c r="E127" i="4"/>
  <c r="D127" i="4"/>
  <c r="B127" i="4"/>
  <c r="G126" i="4"/>
  <c r="F126" i="4"/>
  <c r="E126" i="4"/>
  <c r="D126" i="4"/>
  <c r="B126" i="4"/>
  <c r="G125" i="4"/>
  <c r="F125" i="4"/>
  <c r="E125" i="4"/>
  <c r="D125" i="4"/>
  <c r="B125" i="4"/>
  <c r="G124" i="4"/>
  <c r="F124" i="4"/>
  <c r="E124" i="4"/>
  <c r="D124" i="4"/>
  <c r="B124" i="4"/>
  <c r="G123" i="4"/>
  <c r="F123" i="4"/>
  <c r="E123" i="4"/>
  <c r="D123" i="4"/>
  <c r="B123" i="4"/>
  <c r="G122" i="4"/>
  <c r="F122" i="4"/>
  <c r="E122" i="4"/>
  <c r="D122" i="4"/>
  <c r="B122" i="4"/>
  <c r="G121" i="4"/>
  <c r="F121" i="4"/>
  <c r="E121" i="4"/>
  <c r="D121" i="4"/>
  <c r="B121" i="4"/>
  <c r="G120" i="4"/>
  <c r="F120" i="4"/>
  <c r="E120" i="4"/>
  <c r="D120" i="4"/>
  <c r="B120" i="4"/>
  <c r="G119" i="4"/>
  <c r="F119" i="4"/>
  <c r="E119" i="4"/>
  <c r="D119" i="4"/>
  <c r="B119" i="4"/>
  <c r="G118" i="4"/>
  <c r="F118" i="4"/>
  <c r="E118" i="4"/>
  <c r="D118" i="4"/>
  <c r="B118" i="4"/>
  <c r="G117" i="4"/>
  <c r="F117" i="4"/>
  <c r="E117" i="4"/>
  <c r="D117" i="4"/>
  <c r="B117" i="4"/>
  <c r="G116" i="4"/>
  <c r="F116" i="4"/>
  <c r="E116" i="4"/>
  <c r="D116" i="4"/>
  <c r="B116" i="4"/>
  <c r="G115" i="4"/>
  <c r="F115" i="4"/>
  <c r="E115" i="4"/>
  <c r="D115" i="4"/>
  <c r="B115" i="4"/>
  <c r="G114" i="4"/>
  <c r="F114" i="4"/>
  <c r="E114" i="4"/>
  <c r="D114" i="4"/>
  <c r="B114" i="4"/>
  <c r="G113" i="4"/>
  <c r="F113" i="4"/>
  <c r="E113" i="4"/>
  <c r="D113" i="4"/>
  <c r="B113" i="4"/>
  <c r="G112" i="4"/>
  <c r="F112" i="4"/>
  <c r="E112" i="4"/>
  <c r="D112" i="4"/>
  <c r="B112" i="4"/>
  <c r="G111" i="4"/>
  <c r="F111" i="4"/>
  <c r="E111" i="4"/>
  <c r="D111" i="4"/>
  <c r="B111" i="4"/>
  <c r="G110" i="4"/>
  <c r="F110" i="4"/>
  <c r="E110" i="4"/>
  <c r="D110" i="4"/>
  <c r="B110" i="4"/>
  <c r="G109" i="4"/>
  <c r="F109" i="4"/>
  <c r="E109" i="4"/>
  <c r="D109" i="4"/>
  <c r="B109" i="4"/>
  <c r="G108" i="4"/>
  <c r="F108" i="4"/>
  <c r="E108" i="4"/>
  <c r="D108" i="4"/>
  <c r="B108" i="4"/>
  <c r="G107" i="4"/>
  <c r="F107" i="4"/>
  <c r="E107" i="4"/>
  <c r="D107" i="4"/>
  <c r="B107" i="4"/>
  <c r="G106" i="4"/>
  <c r="F106" i="4"/>
  <c r="E106" i="4"/>
  <c r="D106" i="4"/>
  <c r="B106" i="4"/>
  <c r="G105" i="4"/>
  <c r="F105" i="4"/>
  <c r="E105" i="4"/>
  <c r="D105" i="4"/>
  <c r="B105" i="4"/>
  <c r="G104" i="4"/>
  <c r="F104" i="4"/>
  <c r="E104" i="4"/>
  <c r="D104" i="4"/>
  <c r="B104" i="4"/>
  <c r="G103" i="4"/>
  <c r="F103" i="4"/>
  <c r="E103" i="4"/>
  <c r="D103" i="4"/>
  <c r="B103" i="4"/>
  <c r="G102" i="4"/>
  <c r="F102" i="4"/>
  <c r="E102" i="4"/>
  <c r="D102" i="4"/>
  <c r="B102" i="4"/>
  <c r="G101" i="4"/>
  <c r="F101" i="4"/>
  <c r="E101" i="4"/>
  <c r="D101" i="4"/>
  <c r="B101" i="4"/>
  <c r="G100" i="4"/>
  <c r="F100" i="4"/>
  <c r="E100" i="4"/>
  <c r="D100" i="4"/>
  <c r="B100" i="4"/>
  <c r="G99" i="4"/>
  <c r="F99" i="4"/>
  <c r="E99" i="4"/>
  <c r="D99" i="4"/>
  <c r="B99" i="4"/>
  <c r="G98" i="4"/>
  <c r="F98" i="4"/>
  <c r="E98" i="4"/>
  <c r="D98" i="4"/>
  <c r="B98" i="4"/>
  <c r="G97" i="4"/>
  <c r="F97" i="4"/>
  <c r="E97" i="4"/>
  <c r="D97" i="4"/>
  <c r="B97" i="4"/>
  <c r="G96" i="4"/>
  <c r="F96" i="4"/>
  <c r="E96" i="4"/>
  <c r="D96" i="4"/>
  <c r="B96" i="4"/>
  <c r="G95" i="4"/>
  <c r="F95" i="4"/>
  <c r="E95" i="4"/>
  <c r="D95" i="4"/>
  <c r="B95" i="4"/>
  <c r="G94" i="4"/>
  <c r="F94" i="4"/>
  <c r="E94" i="4"/>
  <c r="D94" i="4"/>
  <c r="B94" i="4"/>
  <c r="G93" i="4"/>
  <c r="F93" i="4"/>
  <c r="E93" i="4"/>
  <c r="D93" i="4"/>
  <c r="B93" i="4"/>
  <c r="G92" i="4"/>
  <c r="F92" i="4"/>
  <c r="E92" i="4"/>
  <c r="D92" i="4"/>
  <c r="B92" i="4"/>
  <c r="G91" i="4"/>
  <c r="F91" i="4"/>
  <c r="E91" i="4"/>
  <c r="D91" i="4"/>
  <c r="B91" i="4"/>
  <c r="G90" i="4"/>
  <c r="F90" i="4"/>
  <c r="E90" i="4"/>
  <c r="D90" i="4"/>
  <c r="B90" i="4"/>
  <c r="G89" i="4"/>
  <c r="F89" i="4"/>
  <c r="E89" i="4"/>
  <c r="D89" i="4"/>
  <c r="B89" i="4"/>
  <c r="G88" i="4"/>
  <c r="F88" i="4"/>
  <c r="E88" i="4"/>
  <c r="D88" i="4"/>
  <c r="B88" i="4"/>
  <c r="G87" i="4"/>
  <c r="F87" i="4"/>
  <c r="E87" i="4"/>
  <c r="D87" i="4"/>
  <c r="B87" i="4"/>
  <c r="G86" i="4"/>
  <c r="F86" i="4"/>
  <c r="E86" i="4"/>
  <c r="D86" i="4"/>
  <c r="B86" i="4"/>
  <c r="G85" i="4"/>
  <c r="F85" i="4"/>
  <c r="E85" i="4"/>
  <c r="D85" i="4"/>
  <c r="B85" i="4"/>
  <c r="G84" i="4"/>
  <c r="F84" i="4"/>
  <c r="E84" i="4"/>
  <c r="D84" i="4"/>
  <c r="B84" i="4"/>
  <c r="G83" i="4"/>
  <c r="F83" i="4"/>
  <c r="E83" i="4"/>
  <c r="D83" i="4"/>
  <c r="B83" i="4"/>
  <c r="G82" i="4"/>
  <c r="F82" i="4"/>
  <c r="E82" i="4"/>
  <c r="D82" i="4"/>
  <c r="B82" i="4"/>
  <c r="G81" i="4"/>
  <c r="F81" i="4"/>
  <c r="E81" i="4"/>
  <c r="D81" i="4"/>
  <c r="B81" i="4"/>
  <c r="G80" i="4"/>
  <c r="F80" i="4"/>
  <c r="E80" i="4"/>
  <c r="D80" i="4"/>
  <c r="B80" i="4"/>
  <c r="G79" i="4"/>
  <c r="F79" i="4"/>
  <c r="E79" i="4"/>
  <c r="D79" i="4"/>
  <c r="B79" i="4"/>
  <c r="G78" i="4"/>
  <c r="F78" i="4"/>
  <c r="E78" i="4"/>
  <c r="D78" i="4"/>
  <c r="B78" i="4"/>
  <c r="G77" i="4"/>
  <c r="F77" i="4"/>
  <c r="E77" i="4"/>
  <c r="D77" i="4"/>
  <c r="B77" i="4"/>
  <c r="G76" i="4"/>
  <c r="F76" i="4"/>
  <c r="E76" i="4"/>
  <c r="D76" i="4"/>
  <c r="B76" i="4"/>
  <c r="G75" i="4"/>
  <c r="F75" i="4"/>
  <c r="E75" i="4"/>
  <c r="D75" i="4"/>
  <c r="B75" i="4"/>
  <c r="G74" i="4"/>
  <c r="F74" i="4"/>
  <c r="E74" i="4"/>
  <c r="D74" i="4"/>
  <c r="B74" i="4"/>
  <c r="G73" i="4"/>
  <c r="F73" i="4"/>
  <c r="E73" i="4"/>
  <c r="D73" i="4"/>
  <c r="B73" i="4"/>
  <c r="G72" i="4"/>
  <c r="F72" i="4"/>
  <c r="E72" i="4"/>
  <c r="D72" i="4"/>
  <c r="B72" i="4"/>
  <c r="G71" i="4"/>
  <c r="F71" i="4"/>
  <c r="E71" i="4"/>
  <c r="D71" i="4"/>
  <c r="B71" i="4"/>
  <c r="G70" i="4"/>
  <c r="F70" i="4"/>
  <c r="E70" i="4"/>
  <c r="D70" i="4"/>
  <c r="B70" i="4"/>
  <c r="G69" i="4"/>
  <c r="F69" i="4"/>
  <c r="E69" i="4"/>
  <c r="D69" i="4"/>
  <c r="B69" i="4"/>
  <c r="G68" i="4"/>
  <c r="F68" i="4"/>
  <c r="E68" i="4"/>
  <c r="D68" i="4"/>
  <c r="B68" i="4"/>
  <c r="G67" i="4"/>
  <c r="F67" i="4"/>
  <c r="E67" i="4"/>
  <c r="D67" i="4"/>
  <c r="B67" i="4"/>
  <c r="G66" i="4"/>
  <c r="F66" i="4"/>
  <c r="E66" i="4"/>
  <c r="D66" i="4"/>
  <c r="B66" i="4"/>
  <c r="G65" i="4"/>
  <c r="F65" i="4"/>
  <c r="E65" i="4"/>
  <c r="D65" i="4"/>
  <c r="B65" i="4"/>
  <c r="G64" i="4"/>
  <c r="F64" i="4"/>
  <c r="E64" i="4"/>
  <c r="D64" i="4"/>
  <c r="B64" i="4"/>
  <c r="G63" i="4"/>
  <c r="F63" i="4"/>
  <c r="E63" i="4"/>
  <c r="D63" i="4"/>
  <c r="B63" i="4"/>
  <c r="G62" i="4"/>
  <c r="F62" i="4"/>
  <c r="E62" i="4"/>
  <c r="D62" i="4"/>
  <c r="B62" i="4"/>
  <c r="G61" i="4"/>
  <c r="F61" i="4"/>
  <c r="E61" i="4"/>
  <c r="D61" i="4"/>
  <c r="B61" i="4"/>
  <c r="G60" i="4"/>
  <c r="F60" i="4"/>
  <c r="E60" i="4"/>
  <c r="D60" i="4"/>
  <c r="B60" i="4"/>
  <c r="G59" i="4"/>
  <c r="F59" i="4"/>
  <c r="E59" i="4"/>
  <c r="D59" i="4"/>
  <c r="B59" i="4"/>
  <c r="G58" i="4"/>
  <c r="F58" i="4"/>
  <c r="E58" i="4"/>
  <c r="D58" i="4"/>
  <c r="B58" i="4"/>
  <c r="G57" i="4"/>
  <c r="F57" i="4"/>
  <c r="E57" i="4"/>
  <c r="D57" i="4"/>
  <c r="B57" i="4"/>
  <c r="G56" i="4"/>
  <c r="F56" i="4"/>
  <c r="E56" i="4"/>
  <c r="D56" i="4"/>
  <c r="B56" i="4"/>
  <c r="G55" i="4"/>
  <c r="F55" i="4"/>
  <c r="E55" i="4"/>
  <c r="D55" i="4"/>
  <c r="B55" i="4"/>
  <c r="G54" i="4"/>
  <c r="F54" i="4"/>
  <c r="E54" i="4"/>
  <c r="D54" i="4"/>
  <c r="B54" i="4"/>
  <c r="G53" i="4"/>
  <c r="F53" i="4"/>
  <c r="E53" i="4"/>
  <c r="D53" i="4"/>
  <c r="B53" i="4"/>
  <c r="G52" i="4"/>
  <c r="F52" i="4"/>
  <c r="E52" i="4"/>
  <c r="D52" i="4"/>
  <c r="B52" i="4"/>
  <c r="G51" i="4"/>
  <c r="F51" i="4"/>
  <c r="E51" i="4"/>
  <c r="D51" i="4"/>
  <c r="B51" i="4"/>
  <c r="G50" i="4"/>
  <c r="F50" i="4"/>
  <c r="E50" i="4"/>
  <c r="D50" i="4"/>
  <c r="B50" i="4"/>
  <c r="G49" i="4"/>
  <c r="F49" i="4"/>
  <c r="E49" i="4"/>
  <c r="D49" i="4"/>
  <c r="B49" i="4"/>
  <c r="G48" i="4"/>
  <c r="F48" i="4"/>
  <c r="E48" i="4"/>
  <c r="D48" i="4"/>
  <c r="B48" i="4"/>
  <c r="G47" i="4"/>
  <c r="F47" i="4"/>
  <c r="E47" i="4"/>
  <c r="D47" i="4"/>
  <c r="B47" i="4"/>
  <c r="G46" i="4"/>
  <c r="F46" i="4"/>
  <c r="E46" i="4"/>
  <c r="D46" i="4"/>
  <c r="B46" i="4"/>
  <c r="G45" i="4"/>
  <c r="F45" i="4"/>
  <c r="E45" i="4"/>
  <c r="D45" i="4"/>
  <c r="B45" i="4"/>
  <c r="G44" i="4"/>
  <c r="F44" i="4"/>
  <c r="E44" i="4"/>
  <c r="D44" i="4"/>
  <c r="B44" i="4"/>
  <c r="G43" i="4"/>
  <c r="F43" i="4"/>
  <c r="E43" i="4"/>
  <c r="D43" i="4"/>
  <c r="B43" i="4"/>
  <c r="G42" i="4"/>
  <c r="F42" i="4"/>
  <c r="E42" i="4"/>
  <c r="D42" i="4"/>
  <c r="B42" i="4"/>
  <c r="G41" i="4"/>
  <c r="F41" i="4"/>
  <c r="E41" i="4"/>
  <c r="D41" i="4"/>
  <c r="B41" i="4"/>
  <c r="G40" i="4"/>
  <c r="F40" i="4"/>
  <c r="E40" i="4"/>
  <c r="D40" i="4"/>
  <c r="B40" i="4"/>
  <c r="G39" i="4"/>
  <c r="F39" i="4"/>
  <c r="E39" i="4"/>
  <c r="D39" i="4"/>
  <c r="B39" i="4"/>
  <c r="G38" i="4"/>
  <c r="F38" i="4"/>
  <c r="E38" i="4"/>
  <c r="D38" i="4"/>
  <c r="B38" i="4"/>
  <c r="G37" i="4"/>
  <c r="F37" i="4"/>
  <c r="E37" i="4"/>
  <c r="D37" i="4"/>
  <c r="B37" i="4"/>
  <c r="G36" i="4"/>
  <c r="F36" i="4"/>
  <c r="E36" i="4"/>
  <c r="D36" i="4"/>
  <c r="B36" i="4"/>
  <c r="G35" i="4"/>
  <c r="F35" i="4"/>
  <c r="E35" i="4"/>
  <c r="D35" i="4"/>
  <c r="B35" i="4"/>
  <c r="G34" i="4"/>
  <c r="F34" i="4"/>
  <c r="E34" i="4"/>
  <c r="D34" i="4"/>
  <c r="B34" i="4"/>
  <c r="G33" i="4"/>
  <c r="F33" i="4"/>
  <c r="E33" i="4"/>
  <c r="D33" i="4"/>
  <c r="B33" i="4"/>
  <c r="G32" i="4"/>
  <c r="F32" i="4"/>
  <c r="E32" i="4"/>
  <c r="D32" i="4"/>
  <c r="B32" i="4"/>
  <c r="G31" i="4"/>
  <c r="F31" i="4"/>
  <c r="E31" i="4"/>
  <c r="D31" i="4"/>
  <c r="B31" i="4"/>
  <c r="G30" i="4"/>
  <c r="F30" i="4"/>
  <c r="E30" i="4"/>
  <c r="D30" i="4"/>
  <c r="B30" i="4"/>
  <c r="G29" i="4"/>
  <c r="F29" i="4"/>
  <c r="E29" i="4"/>
  <c r="D29" i="4"/>
  <c r="B29" i="4"/>
  <c r="G28" i="4"/>
  <c r="F28" i="4"/>
  <c r="E28" i="4"/>
  <c r="D28" i="4"/>
  <c r="B28" i="4"/>
  <c r="G27" i="4"/>
  <c r="F27" i="4"/>
  <c r="E27" i="4"/>
  <c r="D27" i="4"/>
  <c r="B27" i="4"/>
  <c r="G26" i="4"/>
  <c r="F26" i="4"/>
  <c r="E26" i="4"/>
  <c r="D26" i="4"/>
  <c r="B26" i="4"/>
  <c r="G25" i="4"/>
  <c r="F25" i="4"/>
  <c r="E25" i="4"/>
  <c r="D25" i="4"/>
  <c r="B25" i="4"/>
  <c r="G24" i="4"/>
  <c r="F24" i="4"/>
  <c r="E24" i="4"/>
  <c r="D24" i="4"/>
  <c r="B24" i="4"/>
  <c r="G23" i="4"/>
  <c r="F23" i="4"/>
  <c r="E23" i="4"/>
  <c r="D23" i="4"/>
  <c r="B23" i="4"/>
  <c r="G22" i="4"/>
  <c r="F22" i="4"/>
  <c r="E22" i="4"/>
  <c r="D22" i="4"/>
  <c r="B22" i="4"/>
  <c r="G21" i="4"/>
  <c r="F21" i="4"/>
  <c r="E21" i="4"/>
  <c r="D21" i="4"/>
  <c r="B21" i="4"/>
  <c r="G20" i="4"/>
  <c r="F20" i="4"/>
  <c r="E20" i="4"/>
  <c r="D20" i="4"/>
  <c r="B20" i="4"/>
  <c r="G19" i="4"/>
  <c r="F19" i="4"/>
  <c r="E19" i="4"/>
  <c r="D19" i="4"/>
  <c r="B19" i="4"/>
  <c r="G18" i="4"/>
  <c r="F18" i="4"/>
  <c r="E18" i="4"/>
  <c r="D18" i="4"/>
  <c r="B18" i="4"/>
  <c r="G17" i="4"/>
  <c r="F17" i="4"/>
  <c r="E17" i="4"/>
  <c r="D17" i="4"/>
  <c r="B17" i="4"/>
  <c r="G16" i="4"/>
  <c r="F16" i="4"/>
  <c r="E16" i="4"/>
  <c r="D16" i="4"/>
  <c r="B16" i="4"/>
  <c r="G15" i="4"/>
  <c r="F15" i="4"/>
  <c r="E15" i="4"/>
  <c r="D15" i="4"/>
  <c r="B15" i="4"/>
  <c r="G14" i="4"/>
  <c r="F14" i="4"/>
  <c r="E14" i="4"/>
  <c r="D14" i="4"/>
  <c r="B14" i="4"/>
  <c r="G13" i="4"/>
  <c r="F13" i="4"/>
  <c r="E13" i="4"/>
  <c r="D13" i="4"/>
  <c r="B13" i="4"/>
  <c r="G12" i="4"/>
  <c r="F12" i="4"/>
  <c r="E12" i="4"/>
  <c r="D12" i="4"/>
  <c r="B12" i="4"/>
  <c r="J184" i="2"/>
  <c r="I184" i="2"/>
  <c r="H184" i="2"/>
  <c r="G184" i="2"/>
  <c r="D184" i="2"/>
  <c r="B184" i="2"/>
  <c r="A184" i="2"/>
  <c r="J183" i="2"/>
  <c r="I183" i="2"/>
  <c r="H183" i="2"/>
  <c r="G183" i="2"/>
  <c r="D183" i="2"/>
  <c r="B183" i="2"/>
  <c r="A183" i="2"/>
  <c r="J182" i="2"/>
  <c r="I182" i="2"/>
  <c r="H182" i="2"/>
  <c r="G182" i="2"/>
  <c r="D182" i="2"/>
  <c r="B182" i="2"/>
  <c r="A182" i="2"/>
  <c r="J181" i="2"/>
  <c r="I181" i="2"/>
  <c r="H181" i="2"/>
  <c r="G181" i="2"/>
  <c r="D181" i="2"/>
  <c r="B181" i="2"/>
  <c r="A181" i="2"/>
  <c r="J180" i="2"/>
  <c r="I180" i="2"/>
  <c r="H180" i="2"/>
  <c r="G180" i="2"/>
  <c r="D180" i="2"/>
  <c r="B180" i="2"/>
  <c r="A180" i="2"/>
  <c r="J179" i="2"/>
  <c r="I179" i="2"/>
  <c r="H179" i="2"/>
  <c r="G179" i="2"/>
  <c r="D179" i="2"/>
  <c r="B179" i="2"/>
  <c r="A179" i="2"/>
  <c r="J178" i="2"/>
  <c r="I178" i="2"/>
  <c r="H178" i="2"/>
  <c r="G178" i="2"/>
  <c r="D178" i="2"/>
  <c r="B178" i="2"/>
  <c r="A178" i="2"/>
  <c r="J177" i="2"/>
  <c r="I177" i="2"/>
  <c r="H177" i="2"/>
  <c r="G177" i="2"/>
  <c r="D177" i="2"/>
  <c r="B177" i="2"/>
  <c r="A177" i="2"/>
  <c r="J176" i="2"/>
  <c r="I176" i="2"/>
  <c r="H176" i="2"/>
  <c r="G176" i="2"/>
  <c r="D176" i="2"/>
  <c r="B176" i="2"/>
  <c r="A176" i="2"/>
  <c r="J175" i="2"/>
  <c r="I175" i="2"/>
  <c r="H175" i="2"/>
  <c r="G175" i="2"/>
  <c r="D175" i="2"/>
  <c r="B175" i="2"/>
  <c r="A175" i="2"/>
  <c r="J174" i="2"/>
  <c r="I174" i="2"/>
  <c r="H174" i="2"/>
  <c r="G174" i="2"/>
  <c r="D174" i="2"/>
  <c r="B174" i="2"/>
  <c r="A174" i="2"/>
  <c r="J173" i="2"/>
  <c r="I173" i="2"/>
  <c r="H173" i="2"/>
  <c r="G173" i="2"/>
  <c r="D173" i="2"/>
  <c r="B173" i="2"/>
  <c r="A173" i="2"/>
  <c r="J172" i="2"/>
  <c r="I172" i="2"/>
  <c r="H172" i="2"/>
  <c r="G172" i="2"/>
  <c r="D172" i="2"/>
  <c r="B172" i="2"/>
  <c r="A172" i="2"/>
  <c r="J171" i="2"/>
  <c r="I171" i="2"/>
  <c r="H171" i="2"/>
  <c r="G171" i="2"/>
  <c r="D171" i="2"/>
  <c r="B171" i="2"/>
  <c r="A171" i="2"/>
  <c r="J170" i="2"/>
  <c r="I170" i="2"/>
  <c r="H170" i="2"/>
  <c r="G170" i="2"/>
  <c r="D170" i="2"/>
  <c r="B170" i="2"/>
  <c r="A170" i="2"/>
  <c r="J169" i="2"/>
  <c r="I169" i="2"/>
  <c r="H169" i="2"/>
  <c r="G169" i="2"/>
  <c r="D169" i="2"/>
  <c r="B169" i="2"/>
  <c r="A169" i="2"/>
  <c r="J168" i="2"/>
  <c r="I168" i="2"/>
  <c r="H168" i="2"/>
  <c r="G168" i="2"/>
  <c r="D168" i="2"/>
  <c r="B168" i="2"/>
  <c r="A168" i="2"/>
  <c r="J167" i="2"/>
  <c r="I167" i="2"/>
  <c r="H167" i="2"/>
  <c r="G167" i="2"/>
  <c r="D167" i="2"/>
  <c r="B167" i="2"/>
  <c r="A167" i="2"/>
  <c r="J166" i="2"/>
  <c r="I166" i="2"/>
  <c r="H166" i="2"/>
  <c r="G166" i="2"/>
  <c r="D166" i="2"/>
  <c r="B166" i="2"/>
  <c r="A166" i="2"/>
  <c r="J165" i="2"/>
  <c r="I165" i="2"/>
  <c r="H165" i="2"/>
  <c r="G165" i="2"/>
  <c r="D165" i="2"/>
  <c r="B165" i="2"/>
  <c r="A165" i="2"/>
  <c r="J164" i="2"/>
  <c r="I164" i="2"/>
  <c r="H164" i="2"/>
  <c r="G164" i="2"/>
  <c r="D164" i="2"/>
  <c r="B164" i="2"/>
  <c r="A164" i="2"/>
  <c r="J163" i="2"/>
  <c r="I163" i="2"/>
  <c r="H163" i="2"/>
  <c r="G163" i="2"/>
  <c r="D163" i="2"/>
  <c r="B163" i="2"/>
  <c r="A163" i="2"/>
  <c r="J162" i="2"/>
  <c r="I162" i="2"/>
  <c r="H162" i="2"/>
  <c r="G162" i="2"/>
  <c r="D162" i="2"/>
  <c r="B162" i="2"/>
  <c r="A162" i="2"/>
  <c r="J161" i="2"/>
  <c r="I161" i="2"/>
  <c r="H161" i="2"/>
  <c r="G161" i="2"/>
  <c r="D161" i="2"/>
  <c r="B161" i="2"/>
  <c r="A161" i="2"/>
  <c r="J160" i="2"/>
  <c r="I160" i="2"/>
  <c r="H160" i="2"/>
  <c r="G160" i="2"/>
  <c r="D160" i="2"/>
  <c r="B160" i="2"/>
  <c r="A160" i="2"/>
  <c r="J159" i="2"/>
  <c r="I159" i="2"/>
  <c r="H159" i="2"/>
  <c r="G159" i="2"/>
  <c r="D159" i="2"/>
  <c r="B159" i="2"/>
  <c r="A159" i="2"/>
  <c r="J158" i="2"/>
  <c r="I158" i="2"/>
  <c r="H158" i="2"/>
  <c r="G158" i="2"/>
  <c r="D158" i="2"/>
  <c r="B158" i="2"/>
  <c r="A158" i="2"/>
  <c r="J157" i="2"/>
  <c r="I157" i="2"/>
  <c r="H157" i="2"/>
  <c r="G157" i="2"/>
  <c r="D157" i="2"/>
  <c r="B157" i="2"/>
  <c r="A157" i="2"/>
  <c r="J156" i="2"/>
  <c r="I156" i="2"/>
  <c r="H156" i="2"/>
  <c r="G156" i="2"/>
  <c r="D156" i="2"/>
  <c r="B156" i="2"/>
  <c r="A156" i="2"/>
  <c r="J155" i="2"/>
  <c r="I155" i="2"/>
  <c r="H155" i="2"/>
  <c r="G155" i="2"/>
  <c r="D155" i="2"/>
  <c r="B155" i="2"/>
  <c r="A155" i="2"/>
  <c r="J154" i="2"/>
  <c r="I154" i="2"/>
  <c r="H154" i="2"/>
  <c r="G154" i="2"/>
  <c r="D154" i="2"/>
  <c r="B154" i="2"/>
  <c r="A154" i="2"/>
  <c r="J153" i="2"/>
  <c r="I153" i="2"/>
  <c r="H153" i="2"/>
  <c r="G153" i="2"/>
  <c r="D153" i="2"/>
  <c r="B153" i="2"/>
  <c r="A153" i="2"/>
  <c r="J152" i="2"/>
  <c r="I152" i="2"/>
  <c r="H152" i="2"/>
  <c r="G152" i="2"/>
  <c r="D152" i="2"/>
  <c r="B152" i="2"/>
  <c r="A152" i="2"/>
  <c r="J151" i="2"/>
  <c r="I151" i="2"/>
  <c r="H151" i="2"/>
  <c r="G151" i="2"/>
  <c r="D151" i="2"/>
  <c r="B151" i="2"/>
  <c r="A151" i="2"/>
  <c r="J150" i="2"/>
  <c r="I150" i="2"/>
  <c r="H150" i="2"/>
  <c r="G150" i="2"/>
  <c r="D150" i="2"/>
  <c r="B150" i="2"/>
  <c r="A150" i="2"/>
  <c r="J149" i="2"/>
  <c r="I149" i="2"/>
  <c r="H149" i="2"/>
  <c r="G149" i="2"/>
  <c r="D149" i="2"/>
  <c r="B149" i="2"/>
  <c r="A149" i="2"/>
  <c r="J148" i="2"/>
  <c r="I148" i="2"/>
  <c r="H148" i="2"/>
  <c r="G148" i="2"/>
  <c r="D148" i="2"/>
  <c r="B148" i="2"/>
  <c r="A148" i="2"/>
  <c r="J147" i="2"/>
  <c r="I147" i="2"/>
  <c r="H147" i="2"/>
  <c r="G147" i="2"/>
  <c r="D147" i="2"/>
  <c r="B147" i="2"/>
  <c r="A147" i="2"/>
  <c r="J146" i="2"/>
  <c r="I146" i="2"/>
  <c r="H146" i="2"/>
  <c r="G146" i="2"/>
  <c r="D146" i="2"/>
  <c r="B146" i="2"/>
  <c r="A146" i="2"/>
  <c r="J145" i="2"/>
  <c r="I145" i="2"/>
  <c r="H145" i="2"/>
  <c r="G145" i="2"/>
  <c r="D145" i="2"/>
  <c r="B145" i="2"/>
  <c r="A145" i="2"/>
  <c r="J144" i="2"/>
  <c r="I144" i="2"/>
  <c r="H144" i="2"/>
  <c r="G144" i="2"/>
  <c r="D144" i="2"/>
  <c r="B144" i="2"/>
  <c r="A144" i="2"/>
  <c r="J143" i="2"/>
  <c r="I143" i="2"/>
  <c r="H143" i="2"/>
  <c r="G143" i="2"/>
  <c r="D143" i="2"/>
  <c r="B143" i="2"/>
  <c r="A143" i="2"/>
  <c r="J142" i="2"/>
  <c r="I142" i="2"/>
  <c r="H142" i="2"/>
  <c r="G142" i="2"/>
  <c r="D142" i="2"/>
  <c r="B142" i="2"/>
  <c r="A142" i="2"/>
  <c r="J141" i="2"/>
  <c r="I141" i="2"/>
  <c r="H141" i="2"/>
  <c r="G141" i="2"/>
  <c r="D141" i="2"/>
  <c r="B141" i="2"/>
  <c r="A141" i="2"/>
  <c r="J140" i="2"/>
  <c r="I140" i="2"/>
  <c r="H140" i="2"/>
  <c r="G140" i="2"/>
  <c r="D140" i="2"/>
  <c r="B140" i="2"/>
  <c r="A140" i="2"/>
  <c r="J139" i="2"/>
  <c r="I139" i="2"/>
  <c r="H139" i="2"/>
  <c r="G139" i="2"/>
  <c r="D139" i="2"/>
  <c r="B139" i="2"/>
  <c r="A139" i="2"/>
  <c r="J138" i="2"/>
  <c r="I138" i="2"/>
  <c r="H138" i="2"/>
  <c r="G138" i="2"/>
  <c r="D138" i="2"/>
  <c r="B138" i="2"/>
  <c r="A138" i="2"/>
  <c r="J137" i="2"/>
  <c r="I137" i="2"/>
  <c r="H137" i="2"/>
  <c r="G137" i="2"/>
  <c r="D137" i="2"/>
  <c r="B137" i="2"/>
  <c r="A137" i="2"/>
  <c r="J136" i="2"/>
  <c r="I136" i="2"/>
  <c r="H136" i="2"/>
  <c r="G136" i="2"/>
  <c r="D136" i="2"/>
  <c r="B136" i="2"/>
  <c r="A136" i="2"/>
  <c r="J135" i="2"/>
  <c r="I135" i="2"/>
  <c r="H135" i="2"/>
  <c r="G135" i="2"/>
  <c r="D135" i="2"/>
  <c r="B135" i="2"/>
  <c r="A135" i="2"/>
  <c r="J134" i="2"/>
  <c r="I134" i="2"/>
  <c r="H134" i="2"/>
  <c r="G134" i="2"/>
  <c r="D134" i="2"/>
  <c r="B134" i="2"/>
  <c r="A134" i="2"/>
  <c r="J133" i="2"/>
  <c r="I133" i="2"/>
  <c r="H133" i="2"/>
  <c r="G133" i="2"/>
  <c r="D133" i="2"/>
  <c r="B133" i="2"/>
  <c r="A133" i="2"/>
  <c r="J132" i="2"/>
  <c r="I132" i="2"/>
  <c r="H132" i="2"/>
  <c r="G132" i="2"/>
  <c r="D132" i="2"/>
  <c r="B132" i="2"/>
  <c r="A132" i="2"/>
  <c r="J131" i="2"/>
  <c r="I131" i="2"/>
  <c r="H131" i="2"/>
  <c r="G131" i="2"/>
  <c r="D131" i="2"/>
  <c r="B131" i="2"/>
  <c r="A131" i="2"/>
  <c r="J130" i="2"/>
  <c r="I130" i="2"/>
  <c r="H130" i="2"/>
  <c r="G130" i="2"/>
  <c r="D130" i="2"/>
  <c r="B130" i="2"/>
  <c r="A130" i="2"/>
  <c r="J129" i="2"/>
  <c r="I129" i="2"/>
  <c r="H129" i="2"/>
  <c r="G129" i="2"/>
  <c r="D129" i="2"/>
  <c r="B129" i="2"/>
  <c r="A129" i="2"/>
  <c r="J128" i="2"/>
  <c r="I128" i="2"/>
  <c r="H128" i="2"/>
  <c r="G128" i="2"/>
  <c r="D128" i="2"/>
  <c r="B128" i="2"/>
  <c r="A128" i="2"/>
  <c r="J127" i="2"/>
  <c r="I127" i="2"/>
  <c r="H127" i="2"/>
  <c r="G127" i="2"/>
  <c r="D127" i="2"/>
  <c r="B127" i="2"/>
  <c r="A127" i="2"/>
  <c r="J126" i="2"/>
  <c r="I126" i="2"/>
  <c r="H126" i="2"/>
  <c r="G126" i="2"/>
  <c r="D126" i="2"/>
  <c r="B126" i="2"/>
  <c r="A126" i="2"/>
  <c r="J125" i="2"/>
  <c r="I125" i="2"/>
  <c r="H125" i="2"/>
  <c r="G125" i="2"/>
  <c r="D125" i="2"/>
  <c r="B125" i="2"/>
  <c r="A125" i="2"/>
  <c r="J124" i="2"/>
  <c r="I124" i="2"/>
  <c r="H124" i="2"/>
  <c r="G124" i="2"/>
  <c r="D124" i="2"/>
  <c r="B124" i="2"/>
  <c r="A124" i="2"/>
  <c r="J123" i="2"/>
  <c r="I123" i="2"/>
  <c r="H123" i="2"/>
  <c r="G123" i="2"/>
  <c r="D123" i="2"/>
  <c r="B123" i="2"/>
  <c r="A123" i="2"/>
  <c r="J122" i="2"/>
  <c r="I122" i="2"/>
  <c r="H122" i="2"/>
  <c r="G122" i="2"/>
  <c r="D122" i="2"/>
  <c r="B122" i="2"/>
  <c r="A122" i="2"/>
  <c r="J121" i="2"/>
  <c r="I121" i="2"/>
  <c r="H121" i="2"/>
  <c r="G121" i="2"/>
  <c r="D121" i="2"/>
  <c r="B121" i="2"/>
  <c r="A121" i="2"/>
  <c r="J120" i="2"/>
  <c r="I120" i="2"/>
  <c r="H120" i="2"/>
  <c r="G120" i="2"/>
  <c r="D120" i="2"/>
  <c r="B120" i="2"/>
  <c r="A120" i="2"/>
  <c r="J119" i="2"/>
  <c r="I119" i="2"/>
  <c r="H119" i="2"/>
  <c r="G119" i="2"/>
  <c r="D119" i="2"/>
  <c r="B119" i="2"/>
  <c r="A119" i="2"/>
  <c r="J118" i="2"/>
  <c r="I118" i="2"/>
  <c r="H118" i="2"/>
  <c r="G118" i="2"/>
  <c r="D118" i="2"/>
  <c r="B118" i="2"/>
  <c r="A118" i="2"/>
  <c r="J117" i="2"/>
  <c r="I117" i="2"/>
  <c r="H117" i="2"/>
  <c r="G117" i="2"/>
  <c r="D117" i="2"/>
  <c r="B117" i="2"/>
  <c r="A117" i="2"/>
  <c r="J116" i="2"/>
  <c r="I116" i="2"/>
  <c r="H116" i="2"/>
  <c r="G116" i="2"/>
  <c r="D116" i="2"/>
  <c r="B116" i="2"/>
  <c r="A116" i="2"/>
  <c r="J115" i="2"/>
  <c r="I115" i="2"/>
  <c r="H115" i="2"/>
  <c r="G115" i="2"/>
  <c r="D115" i="2"/>
  <c r="B115" i="2"/>
  <c r="A115" i="2"/>
  <c r="J114" i="2"/>
  <c r="I114" i="2"/>
  <c r="H114" i="2"/>
  <c r="G114" i="2"/>
  <c r="D114" i="2"/>
  <c r="B114" i="2"/>
  <c r="A114" i="2"/>
  <c r="J113" i="2"/>
  <c r="I113" i="2"/>
  <c r="H113" i="2"/>
  <c r="G113" i="2"/>
  <c r="D113" i="2"/>
  <c r="B113" i="2"/>
  <c r="A113" i="2"/>
  <c r="J112" i="2"/>
  <c r="I112" i="2"/>
  <c r="H112" i="2"/>
  <c r="G112" i="2"/>
  <c r="D112" i="2"/>
  <c r="B112" i="2"/>
  <c r="A112" i="2"/>
  <c r="J111" i="2"/>
  <c r="I111" i="2"/>
  <c r="H111" i="2"/>
  <c r="G111" i="2"/>
  <c r="D111" i="2"/>
  <c r="B111" i="2"/>
  <c r="A111" i="2"/>
  <c r="J110" i="2"/>
  <c r="I110" i="2"/>
  <c r="H110" i="2"/>
  <c r="G110" i="2"/>
  <c r="D110" i="2"/>
  <c r="B110" i="2"/>
  <c r="A110" i="2"/>
  <c r="J109" i="2"/>
  <c r="I109" i="2"/>
  <c r="H109" i="2"/>
  <c r="G109" i="2"/>
  <c r="D109" i="2"/>
  <c r="B109" i="2"/>
  <c r="A109" i="2"/>
  <c r="J108" i="2"/>
  <c r="I108" i="2"/>
  <c r="H108" i="2"/>
  <c r="G108" i="2"/>
  <c r="D108" i="2"/>
  <c r="B108" i="2"/>
  <c r="A108" i="2"/>
  <c r="J107" i="2"/>
  <c r="I107" i="2"/>
  <c r="H107" i="2"/>
  <c r="G107" i="2"/>
  <c r="D107" i="2"/>
  <c r="B107" i="2"/>
  <c r="A107" i="2"/>
  <c r="J106" i="2"/>
  <c r="I106" i="2"/>
  <c r="H106" i="2"/>
  <c r="G106" i="2"/>
  <c r="D106" i="2"/>
  <c r="B106" i="2"/>
  <c r="A106" i="2"/>
  <c r="J105" i="2"/>
  <c r="I105" i="2"/>
  <c r="H105" i="2"/>
  <c r="G105" i="2"/>
  <c r="D105" i="2"/>
  <c r="B105" i="2"/>
  <c r="A105" i="2"/>
  <c r="J104" i="2"/>
  <c r="I104" i="2"/>
  <c r="H104" i="2"/>
  <c r="G104" i="2"/>
  <c r="D104" i="2"/>
  <c r="B104" i="2"/>
  <c r="A104" i="2"/>
  <c r="J103" i="2"/>
  <c r="I103" i="2"/>
  <c r="H103" i="2"/>
  <c r="G103" i="2"/>
  <c r="D103" i="2"/>
  <c r="B103" i="2"/>
  <c r="A103" i="2"/>
  <c r="J102" i="2"/>
  <c r="I102" i="2"/>
  <c r="H102" i="2"/>
  <c r="G102" i="2"/>
  <c r="D102" i="2"/>
  <c r="B102" i="2"/>
  <c r="A102" i="2"/>
  <c r="J101" i="2"/>
  <c r="I101" i="2"/>
  <c r="H101" i="2"/>
  <c r="G101" i="2"/>
  <c r="D101" i="2"/>
  <c r="B101" i="2"/>
  <c r="A101" i="2"/>
  <c r="J100" i="2"/>
  <c r="I100" i="2"/>
  <c r="H100" i="2"/>
  <c r="G100" i="2"/>
  <c r="D100" i="2"/>
  <c r="B100" i="2"/>
  <c r="A100" i="2"/>
  <c r="J99" i="2"/>
  <c r="I99" i="2"/>
  <c r="H99" i="2"/>
  <c r="G99" i="2"/>
  <c r="D99" i="2"/>
  <c r="B99" i="2"/>
  <c r="A99" i="2"/>
  <c r="J98" i="2"/>
  <c r="I98" i="2"/>
  <c r="H98" i="2"/>
  <c r="G98" i="2"/>
  <c r="D98" i="2"/>
  <c r="B98" i="2"/>
  <c r="A98" i="2"/>
  <c r="J97" i="2"/>
  <c r="I97" i="2"/>
  <c r="H97" i="2"/>
  <c r="G97" i="2"/>
  <c r="D97" i="2"/>
  <c r="B97" i="2"/>
  <c r="A97" i="2"/>
  <c r="J96" i="2"/>
  <c r="I96" i="2"/>
  <c r="H96" i="2"/>
  <c r="G96" i="2"/>
  <c r="D96" i="2"/>
  <c r="B96" i="2"/>
  <c r="A96" i="2"/>
  <c r="J95" i="2"/>
  <c r="I95" i="2"/>
  <c r="H95" i="2"/>
  <c r="G95" i="2"/>
  <c r="D95" i="2"/>
  <c r="B95" i="2"/>
  <c r="A95" i="2"/>
  <c r="J94" i="2"/>
  <c r="I94" i="2"/>
  <c r="H94" i="2"/>
  <c r="G94" i="2"/>
  <c r="D94" i="2"/>
  <c r="B94" i="2"/>
  <c r="A94" i="2"/>
  <c r="J93" i="2"/>
  <c r="I93" i="2"/>
  <c r="H93" i="2"/>
  <c r="G93" i="2"/>
  <c r="D93" i="2"/>
  <c r="B93" i="2"/>
  <c r="A93" i="2"/>
  <c r="J92" i="2"/>
  <c r="I92" i="2"/>
  <c r="H92" i="2"/>
  <c r="G92" i="2"/>
  <c r="D92" i="2"/>
  <c r="B92" i="2"/>
  <c r="A92" i="2"/>
  <c r="J91" i="2"/>
  <c r="I91" i="2"/>
  <c r="H91" i="2"/>
  <c r="G91" i="2"/>
  <c r="D91" i="2"/>
  <c r="B91" i="2"/>
  <c r="A91" i="2"/>
  <c r="J90" i="2"/>
  <c r="I90" i="2"/>
  <c r="H90" i="2"/>
  <c r="G90" i="2"/>
  <c r="D90" i="2"/>
  <c r="B90" i="2"/>
  <c r="A90" i="2"/>
  <c r="J89" i="2"/>
  <c r="I89" i="2"/>
  <c r="H89" i="2"/>
  <c r="G89" i="2"/>
  <c r="D89" i="2"/>
  <c r="B89" i="2"/>
  <c r="A89" i="2"/>
  <c r="J88" i="2"/>
  <c r="I88" i="2"/>
  <c r="H88" i="2"/>
  <c r="G88" i="2"/>
  <c r="D88" i="2"/>
  <c r="B88" i="2"/>
  <c r="A88" i="2"/>
  <c r="J87" i="2"/>
  <c r="I87" i="2"/>
  <c r="H87" i="2"/>
  <c r="G87" i="2"/>
  <c r="D87" i="2"/>
  <c r="B87" i="2"/>
  <c r="A87" i="2"/>
  <c r="J86" i="2"/>
  <c r="I86" i="2"/>
  <c r="H86" i="2"/>
  <c r="G86" i="2"/>
  <c r="D86" i="2"/>
  <c r="B86" i="2"/>
  <c r="A86" i="2"/>
  <c r="J85" i="2"/>
  <c r="I85" i="2"/>
  <c r="H85" i="2"/>
  <c r="G85" i="2"/>
  <c r="D85" i="2"/>
  <c r="B85" i="2"/>
  <c r="A85" i="2"/>
  <c r="J84" i="2"/>
  <c r="I84" i="2"/>
  <c r="H84" i="2"/>
  <c r="G84" i="2"/>
  <c r="D84" i="2"/>
  <c r="B84" i="2"/>
  <c r="A84" i="2"/>
  <c r="J83" i="2"/>
  <c r="I83" i="2"/>
  <c r="H83" i="2"/>
  <c r="G83" i="2"/>
  <c r="D83" i="2"/>
  <c r="B83" i="2"/>
  <c r="A83" i="2"/>
  <c r="J82" i="2"/>
  <c r="I82" i="2"/>
  <c r="H82" i="2"/>
  <c r="G82" i="2"/>
  <c r="D82" i="2"/>
  <c r="B82" i="2"/>
  <c r="A82" i="2"/>
  <c r="J81" i="2"/>
  <c r="I81" i="2"/>
  <c r="H81" i="2"/>
  <c r="G81" i="2"/>
  <c r="D81" i="2"/>
  <c r="B81" i="2"/>
  <c r="A81" i="2"/>
  <c r="J80" i="2"/>
  <c r="I80" i="2"/>
  <c r="H80" i="2"/>
  <c r="G80" i="2"/>
  <c r="D80" i="2"/>
  <c r="B80" i="2"/>
  <c r="A80" i="2"/>
  <c r="J79" i="2"/>
  <c r="I79" i="2"/>
  <c r="H79" i="2"/>
  <c r="G79" i="2"/>
  <c r="D79" i="2"/>
  <c r="B79" i="2"/>
  <c r="A79" i="2"/>
  <c r="J78" i="2"/>
  <c r="I78" i="2"/>
  <c r="H78" i="2"/>
  <c r="G78" i="2"/>
  <c r="D78" i="2"/>
  <c r="B78" i="2"/>
  <c r="A78" i="2"/>
  <c r="J77" i="2"/>
  <c r="I77" i="2"/>
  <c r="H77" i="2"/>
  <c r="G77" i="2"/>
  <c r="D77" i="2"/>
  <c r="B77" i="2"/>
  <c r="A77" i="2"/>
  <c r="J76" i="2"/>
  <c r="I76" i="2"/>
  <c r="H76" i="2"/>
  <c r="G76" i="2"/>
  <c r="D76" i="2"/>
  <c r="B76" i="2"/>
  <c r="A76" i="2"/>
  <c r="J75" i="2"/>
  <c r="I75" i="2"/>
  <c r="H75" i="2"/>
  <c r="G75" i="2"/>
  <c r="D75" i="2"/>
  <c r="B75" i="2"/>
  <c r="A75" i="2"/>
  <c r="J74" i="2"/>
  <c r="I74" i="2"/>
  <c r="H74" i="2"/>
  <c r="G74" i="2"/>
  <c r="D74" i="2"/>
  <c r="B74" i="2"/>
  <c r="A74" i="2"/>
  <c r="J73" i="2"/>
  <c r="I73" i="2"/>
  <c r="H73" i="2"/>
  <c r="G73" i="2"/>
  <c r="D73" i="2"/>
  <c r="B73" i="2"/>
  <c r="A73" i="2"/>
  <c r="J72" i="2"/>
  <c r="I72" i="2"/>
  <c r="H72" i="2"/>
  <c r="G72" i="2"/>
  <c r="D72" i="2"/>
  <c r="B72" i="2"/>
  <c r="A72" i="2"/>
  <c r="J71" i="2"/>
  <c r="I71" i="2"/>
  <c r="H71" i="2"/>
  <c r="G71" i="2"/>
  <c r="D71" i="2"/>
  <c r="B71" i="2"/>
  <c r="A71" i="2"/>
  <c r="J70" i="2"/>
  <c r="I70" i="2"/>
  <c r="H70" i="2"/>
  <c r="G70" i="2"/>
  <c r="D70" i="2"/>
  <c r="B70" i="2"/>
  <c r="A70" i="2"/>
  <c r="J69" i="2"/>
  <c r="I69" i="2"/>
  <c r="H69" i="2"/>
  <c r="G69" i="2"/>
  <c r="D69" i="2"/>
  <c r="B69" i="2"/>
  <c r="A69" i="2"/>
  <c r="J68" i="2"/>
  <c r="I68" i="2"/>
  <c r="H68" i="2"/>
  <c r="G68" i="2"/>
  <c r="D68" i="2"/>
  <c r="B68" i="2"/>
  <c r="A68" i="2"/>
  <c r="J67" i="2"/>
  <c r="I67" i="2"/>
  <c r="H67" i="2"/>
  <c r="G67" i="2"/>
  <c r="D67" i="2"/>
  <c r="B67" i="2"/>
  <c r="A67" i="2"/>
  <c r="J66" i="2"/>
  <c r="I66" i="2"/>
  <c r="H66" i="2"/>
  <c r="G66" i="2"/>
  <c r="D66" i="2"/>
  <c r="B66" i="2"/>
  <c r="A66" i="2"/>
  <c r="J65" i="2"/>
  <c r="I65" i="2"/>
  <c r="H65" i="2"/>
  <c r="G65" i="2"/>
  <c r="D65" i="2"/>
  <c r="B65" i="2"/>
  <c r="A65" i="2"/>
  <c r="J64" i="2"/>
  <c r="I64" i="2"/>
  <c r="H64" i="2"/>
  <c r="G64" i="2"/>
  <c r="D64" i="2"/>
  <c r="B64" i="2"/>
  <c r="A64" i="2"/>
  <c r="J63" i="2"/>
  <c r="I63" i="2"/>
  <c r="H63" i="2"/>
  <c r="G63" i="2"/>
  <c r="D63" i="2"/>
  <c r="B63" i="2"/>
  <c r="A63" i="2"/>
  <c r="J62" i="2"/>
  <c r="I62" i="2"/>
  <c r="H62" i="2"/>
  <c r="G62" i="2"/>
  <c r="D62" i="2"/>
  <c r="B62" i="2"/>
  <c r="A62" i="2"/>
  <c r="J61" i="2"/>
  <c r="I61" i="2"/>
  <c r="H61" i="2"/>
  <c r="G61" i="2"/>
  <c r="D61" i="2"/>
  <c r="B61" i="2"/>
  <c r="A61" i="2"/>
  <c r="J60" i="2"/>
  <c r="I60" i="2"/>
  <c r="H60" i="2"/>
  <c r="G60" i="2"/>
  <c r="D60" i="2"/>
  <c r="B60" i="2"/>
  <c r="A60" i="2"/>
  <c r="J59" i="2"/>
  <c r="I59" i="2"/>
  <c r="H59" i="2"/>
  <c r="G59" i="2"/>
  <c r="D59" i="2"/>
  <c r="B59" i="2"/>
  <c r="A59" i="2"/>
  <c r="J58" i="2"/>
  <c r="I58" i="2"/>
  <c r="H58" i="2"/>
  <c r="G58" i="2"/>
  <c r="D58" i="2"/>
  <c r="B58" i="2"/>
  <c r="A58" i="2"/>
  <c r="J57" i="2"/>
  <c r="I57" i="2"/>
  <c r="H57" i="2"/>
  <c r="G57" i="2"/>
  <c r="D57" i="2"/>
  <c r="B57" i="2"/>
  <c r="A57" i="2"/>
  <c r="J56" i="2"/>
  <c r="I56" i="2"/>
  <c r="H56" i="2"/>
  <c r="G56" i="2"/>
  <c r="D56" i="2"/>
  <c r="B56" i="2"/>
  <c r="A56" i="2"/>
  <c r="J55" i="2"/>
  <c r="I55" i="2"/>
  <c r="H55" i="2"/>
  <c r="G55" i="2"/>
  <c r="D55" i="2"/>
  <c r="B55" i="2"/>
  <c r="A55" i="2"/>
  <c r="J54" i="2"/>
  <c r="I54" i="2"/>
  <c r="H54" i="2"/>
  <c r="G54" i="2"/>
  <c r="D54" i="2"/>
  <c r="B54" i="2"/>
  <c r="A54" i="2"/>
  <c r="J53" i="2"/>
  <c r="I53" i="2"/>
  <c r="H53" i="2"/>
  <c r="G53" i="2"/>
  <c r="D53" i="2"/>
  <c r="B53" i="2"/>
  <c r="A53" i="2"/>
  <c r="J52" i="2"/>
  <c r="I52" i="2"/>
  <c r="H52" i="2"/>
  <c r="G52" i="2"/>
  <c r="D52" i="2"/>
  <c r="B52" i="2"/>
  <c r="A52" i="2"/>
  <c r="J51" i="2"/>
  <c r="I51" i="2"/>
  <c r="H51" i="2"/>
  <c r="G51" i="2"/>
  <c r="D51" i="2"/>
  <c r="B51" i="2"/>
  <c r="A51" i="2"/>
  <c r="J50" i="2"/>
  <c r="I50" i="2"/>
  <c r="H50" i="2"/>
  <c r="G50" i="2"/>
  <c r="D50" i="2"/>
  <c r="B50" i="2"/>
  <c r="A50" i="2"/>
  <c r="J49" i="2"/>
  <c r="I49" i="2"/>
  <c r="H49" i="2"/>
  <c r="G49" i="2"/>
  <c r="D49" i="2"/>
  <c r="B49" i="2"/>
  <c r="A49" i="2"/>
  <c r="J48" i="2"/>
  <c r="I48" i="2"/>
  <c r="H48" i="2"/>
  <c r="G48" i="2"/>
  <c r="D48" i="2"/>
  <c r="B48" i="2"/>
  <c r="A48" i="2"/>
  <c r="J47" i="2"/>
  <c r="I47" i="2"/>
  <c r="H47" i="2"/>
  <c r="G47" i="2"/>
  <c r="D47" i="2"/>
  <c r="B47" i="2"/>
  <c r="A47" i="2"/>
  <c r="J46" i="2"/>
  <c r="I46" i="2"/>
  <c r="H46" i="2"/>
  <c r="G46" i="2"/>
  <c r="D46" i="2"/>
  <c r="B46" i="2"/>
  <c r="A46" i="2"/>
  <c r="J45" i="2"/>
  <c r="I45" i="2"/>
  <c r="H45" i="2"/>
  <c r="G45" i="2"/>
  <c r="D45" i="2"/>
  <c r="B45" i="2"/>
  <c r="A45" i="2"/>
  <c r="J44" i="2"/>
  <c r="I44" i="2"/>
  <c r="H44" i="2"/>
  <c r="G44" i="2"/>
  <c r="D44" i="2"/>
  <c r="B44" i="2"/>
  <c r="A44" i="2"/>
  <c r="J43" i="2"/>
  <c r="I43" i="2"/>
  <c r="H43" i="2"/>
  <c r="G43" i="2"/>
  <c r="D43" i="2"/>
  <c r="B43" i="2"/>
  <c r="A43" i="2"/>
  <c r="J42" i="2"/>
  <c r="I42" i="2"/>
  <c r="H42" i="2"/>
  <c r="G42" i="2"/>
  <c r="D42" i="2"/>
  <c r="B42" i="2"/>
  <c r="A42" i="2"/>
  <c r="J41" i="2"/>
  <c r="I41" i="2"/>
  <c r="H41" i="2"/>
  <c r="G41" i="2"/>
  <c r="D41" i="2"/>
  <c r="B41" i="2"/>
  <c r="A41" i="2"/>
  <c r="J40" i="2"/>
  <c r="I40" i="2"/>
  <c r="H40" i="2"/>
  <c r="G40" i="2"/>
  <c r="D40" i="2"/>
  <c r="B40" i="2"/>
  <c r="A40" i="2"/>
  <c r="J39" i="2"/>
  <c r="I39" i="2"/>
  <c r="H39" i="2"/>
  <c r="G39" i="2"/>
  <c r="D39" i="2"/>
  <c r="B39" i="2"/>
  <c r="A39" i="2"/>
  <c r="J38" i="2"/>
  <c r="I38" i="2"/>
  <c r="H38" i="2"/>
  <c r="G38" i="2"/>
  <c r="D38" i="2"/>
  <c r="B38" i="2"/>
  <c r="A38" i="2"/>
  <c r="J37" i="2"/>
  <c r="I37" i="2"/>
  <c r="H37" i="2"/>
  <c r="G37" i="2"/>
  <c r="D37" i="2"/>
  <c r="B37" i="2"/>
  <c r="A37" i="2"/>
  <c r="J36" i="2"/>
  <c r="I36" i="2"/>
  <c r="H36" i="2"/>
  <c r="G36" i="2"/>
  <c r="D36" i="2"/>
  <c r="B36" i="2"/>
  <c r="A36" i="2"/>
  <c r="J35" i="2"/>
  <c r="I35" i="2"/>
  <c r="H35" i="2"/>
  <c r="G35" i="2"/>
  <c r="D35" i="2"/>
  <c r="B35" i="2"/>
  <c r="A35" i="2"/>
  <c r="J34" i="2"/>
  <c r="I34" i="2"/>
  <c r="H34" i="2"/>
  <c r="G34" i="2"/>
  <c r="D34" i="2"/>
  <c r="B34" i="2"/>
  <c r="A34" i="2"/>
  <c r="J33" i="2"/>
  <c r="I33" i="2"/>
  <c r="H33" i="2"/>
  <c r="G33" i="2"/>
  <c r="D33" i="2"/>
  <c r="B33" i="2"/>
  <c r="A33" i="2"/>
  <c r="J32" i="2"/>
  <c r="I32" i="2"/>
  <c r="H32" i="2"/>
  <c r="G32" i="2"/>
  <c r="D32" i="2"/>
  <c r="B32" i="2"/>
  <c r="A32" i="2"/>
  <c r="J31" i="2"/>
  <c r="I31" i="2"/>
  <c r="H31" i="2"/>
  <c r="G31" i="2"/>
  <c r="D31" i="2"/>
  <c r="B31" i="2"/>
  <c r="A31" i="2"/>
  <c r="J30" i="2"/>
  <c r="I30" i="2"/>
  <c r="H30" i="2"/>
  <c r="G30" i="2"/>
  <c r="D30" i="2"/>
  <c r="B30" i="2"/>
  <c r="A30" i="2"/>
  <c r="J29" i="2"/>
  <c r="I29" i="2"/>
  <c r="H29" i="2"/>
  <c r="G29" i="2"/>
  <c r="D29" i="2"/>
  <c r="B29" i="2"/>
  <c r="A29" i="2"/>
  <c r="J28" i="2"/>
  <c r="I28" i="2"/>
  <c r="H28" i="2"/>
  <c r="G28" i="2"/>
  <c r="D28" i="2"/>
  <c r="B28" i="2"/>
  <c r="A28" i="2"/>
  <c r="J27" i="2"/>
  <c r="I27" i="2"/>
  <c r="H27" i="2"/>
  <c r="G27" i="2"/>
  <c r="D27" i="2"/>
  <c r="B27" i="2"/>
  <c r="A27" i="2"/>
  <c r="J26" i="2"/>
  <c r="I26" i="2"/>
  <c r="H26" i="2"/>
  <c r="G26" i="2"/>
  <c r="D26" i="2"/>
  <c r="B26" i="2"/>
  <c r="A26" i="2"/>
  <c r="J25" i="2"/>
  <c r="I25" i="2"/>
  <c r="H25" i="2"/>
  <c r="G25" i="2"/>
  <c r="D25" i="2"/>
  <c r="B25" i="2"/>
  <c r="A25" i="2"/>
  <c r="J24" i="2"/>
  <c r="I24" i="2"/>
  <c r="H24" i="2"/>
  <c r="G24" i="2"/>
  <c r="D24" i="2"/>
  <c r="B24" i="2"/>
  <c r="A24" i="2"/>
  <c r="J23" i="2"/>
  <c r="I23" i="2"/>
  <c r="H23" i="2"/>
  <c r="G23" i="2"/>
  <c r="D23" i="2"/>
  <c r="B23" i="2"/>
  <c r="A23" i="2"/>
  <c r="J22" i="2"/>
  <c r="I22" i="2"/>
  <c r="H22" i="2"/>
  <c r="G22" i="2"/>
  <c r="D22" i="2"/>
  <c r="B22" i="2"/>
  <c r="A22" i="2"/>
  <c r="J21" i="2"/>
  <c r="I21" i="2"/>
  <c r="H21" i="2"/>
  <c r="G21" i="2"/>
  <c r="D21" i="2"/>
  <c r="B21" i="2"/>
  <c r="A21" i="2"/>
  <c r="J20" i="2"/>
  <c r="I20" i="2"/>
  <c r="H20" i="2"/>
  <c r="G20" i="2"/>
  <c r="D20" i="2"/>
  <c r="B20" i="2"/>
  <c r="A20" i="2"/>
  <c r="J19" i="2"/>
  <c r="I19" i="2"/>
  <c r="H19" i="2"/>
  <c r="G19" i="2"/>
  <c r="D19" i="2"/>
  <c r="B19" i="2"/>
  <c r="A19" i="2"/>
  <c r="J18" i="2"/>
  <c r="I18" i="2"/>
  <c r="H18" i="2"/>
  <c r="G18" i="2"/>
  <c r="D18" i="2"/>
  <c r="B18" i="2"/>
  <c r="A18" i="2"/>
  <c r="J17" i="2"/>
  <c r="I17" i="2"/>
  <c r="H17" i="2"/>
  <c r="G17" i="2"/>
  <c r="D17" i="2"/>
  <c r="B17" i="2"/>
  <c r="A17" i="2"/>
  <c r="J16" i="2"/>
  <c r="I16" i="2"/>
  <c r="H16" i="2"/>
  <c r="G16" i="2"/>
  <c r="D16" i="2"/>
  <c r="B16" i="2"/>
  <c r="A16" i="2"/>
  <c r="J15" i="2"/>
  <c r="I15" i="2"/>
  <c r="H15" i="2"/>
  <c r="G15" i="2"/>
  <c r="D15" i="2"/>
  <c r="B15" i="2"/>
  <c r="A15" i="2"/>
  <c r="A184" i="4"/>
  <c r="A183" i="4"/>
  <c r="A182" i="4"/>
  <c r="A181" i="4"/>
  <c r="A180" i="4"/>
  <c r="A179" i="4"/>
  <c r="A178" i="4"/>
  <c r="A177" i="4"/>
  <c r="A176" i="4"/>
  <c r="A175" i="4"/>
  <c r="A174" i="4"/>
  <c r="A173" i="4"/>
  <c r="A172" i="4"/>
  <c r="A171" i="4"/>
  <c r="A170" i="4"/>
  <c r="A169" i="4"/>
  <c r="A168" i="4"/>
  <c r="A167" i="4"/>
  <c r="A166" i="4"/>
  <c r="A165" i="4"/>
  <c r="A164" i="4"/>
  <c r="A163" i="4"/>
  <c r="A162" i="4"/>
  <c r="A161" i="4"/>
  <c r="A160" i="4"/>
  <c r="A159" i="4"/>
  <c r="A158" i="4"/>
  <c r="A157" i="4"/>
  <c r="A156" i="4"/>
  <c r="A155" i="4"/>
  <c r="A154" i="4"/>
  <c r="A153" i="4"/>
  <c r="A152" i="4"/>
  <c r="A151" i="4"/>
  <c r="A150" i="4"/>
  <c r="A149" i="4"/>
  <c r="A148" i="4"/>
  <c r="A147" i="4"/>
  <c r="A146" i="4"/>
  <c r="A145" i="4"/>
  <c r="A144" i="4"/>
  <c r="A143" i="4"/>
  <c r="A142" i="4"/>
  <c r="A141" i="4"/>
  <c r="A140" i="4"/>
  <c r="A139" i="4"/>
  <c r="A138" i="4"/>
  <c r="A137" i="4"/>
  <c r="A136" i="4"/>
  <c r="A135" i="4"/>
  <c r="A134" i="4"/>
  <c r="A133" i="4"/>
  <c r="A132" i="4"/>
  <c r="A131" i="4"/>
  <c r="A130" i="4"/>
  <c r="A129" i="4"/>
  <c r="A128" i="4"/>
  <c r="A127" i="4"/>
  <c r="A126" i="4"/>
  <c r="A125" i="4"/>
  <c r="A124" i="4"/>
  <c r="A123" i="4"/>
  <c r="A122" i="4"/>
  <c r="A121" i="4"/>
  <c r="A120" i="4"/>
  <c r="A119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5" i="4"/>
  <c r="A104" i="4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185" i="1" s="1"/>
  <c r="A184" i="1" l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8" i="1"/>
  <c r="A9" i="1"/>
  <c r="A9" i="2" s="1"/>
  <c r="A10" i="1"/>
  <c r="A10" i="2" s="1"/>
  <c r="A11" i="1"/>
  <c r="A11" i="2" s="1"/>
  <c r="A12" i="1"/>
  <c r="A13" i="1"/>
  <c r="A14" i="1"/>
  <c r="A14" i="2" s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E7" i="4"/>
  <c r="E8" i="4"/>
  <c r="E9" i="4"/>
  <c r="E10" i="4"/>
  <c r="E11" i="4"/>
  <c r="D7" i="4"/>
  <c r="D8" i="4"/>
  <c r="D9" i="4"/>
  <c r="D10" i="4"/>
  <c r="D11" i="4"/>
  <c r="B11" i="4"/>
  <c r="B10" i="4"/>
  <c r="B9" i="4"/>
  <c r="B8" i="4"/>
  <c r="B7" i="4"/>
  <c r="B6" i="4"/>
  <c r="I14" i="2"/>
  <c r="H14" i="2"/>
  <c r="G14" i="2"/>
  <c r="I13" i="2"/>
  <c r="H13" i="2"/>
  <c r="G13" i="2"/>
  <c r="I12" i="2"/>
  <c r="H12" i="2"/>
  <c r="G12" i="2"/>
  <c r="I11" i="2"/>
  <c r="F11" i="4" s="1"/>
  <c r="H11" i="2"/>
  <c r="G11" i="2"/>
  <c r="I10" i="2"/>
  <c r="F10" i="4" s="1"/>
  <c r="H10" i="2"/>
  <c r="G10" i="2"/>
  <c r="I9" i="2"/>
  <c r="F9" i="4" s="1"/>
  <c r="H9" i="2"/>
  <c r="G9" i="2"/>
  <c r="I8" i="2"/>
  <c r="F8" i="4" s="1"/>
  <c r="H8" i="2"/>
  <c r="G8" i="2"/>
  <c r="I7" i="2"/>
  <c r="F7" i="4" s="1"/>
  <c r="H7" i="2"/>
  <c r="G7" i="2"/>
  <c r="H6" i="2"/>
  <c r="G6" i="2"/>
  <c r="D6" i="2"/>
  <c r="D14" i="2"/>
  <c r="D13" i="2"/>
  <c r="D12" i="2"/>
  <c r="D11" i="2"/>
  <c r="D10" i="2"/>
  <c r="D9" i="2"/>
  <c r="D8" i="2"/>
  <c r="D7" i="2"/>
  <c r="B14" i="2"/>
  <c r="B13" i="2"/>
  <c r="B12" i="2"/>
  <c r="B11" i="2"/>
  <c r="B10" i="2"/>
  <c r="B9" i="2"/>
  <c r="B8" i="2"/>
  <c r="B7" i="2"/>
  <c r="B6" i="2"/>
  <c r="E6" i="4"/>
  <c r="D6" i="4"/>
  <c r="A12" i="2"/>
  <c r="A13" i="2"/>
  <c r="J14" i="2"/>
  <c r="J13" i="2"/>
  <c r="J12" i="2"/>
  <c r="J11" i="2"/>
  <c r="G11" i="4" s="1"/>
  <c r="J10" i="2"/>
  <c r="G10" i="4" s="1"/>
  <c r="J9" i="2"/>
  <c r="G9" i="4" s="1"/>
  <c r="J8" i="2"/>
  <c r="G8" i="4" s="1"/>
  <c r="J7" i="1"/>
  <c r="J7" i="2" s="1"/>
  <c r="G7" i="4" s="1"/>
  <c r="J6" i="1"/>
  <c r="J6" i="2" s="1"/>
  <c r="K67" i="3" l="1"/>
  <c r="E3" i="1"/>
  <c r="K10" i="3" l="1"/>
  <c r="A188" i="4" l="1"/>
  <c r="I6" i="2"/>
  <c r="F6" i="4" s="1"/>
  <c r="A11" i="4"/>
  <c r="A10" i="4"/>
  <c r="A9" i="4"/>
  <c r="A8" i="4"/>
  <c r="A7" i="4"/>
  <c r="A6" i="4"/>
  <c r="F4" i="4"/>
  <c r="B3" i="4"/>
  <c r="J70" i="3"/>
  <c r="K11" i="3"/>
  <c r="B2" i="4" s="1"/>
  <c r="K3" i="2"/>
  <c r="A3" i="2"/>
  <c r="J2" i="2"/>
  <c r="D2" i="2"/>
  <c r="A2" i="2"/>
  <c r="J1" i="2"/>
  <c r="A8" i="2"/>
  <c r="A7" i="1"/>
  <c r="A7" i="2" s="1"/>
  <c r="A6" i="1"/>
  <c r="A6" i="2" s="1"/>
  <c r="G6" i="4" l="1"/>
  <c r="G185" i="4" s="1"/>
  <c r="F29" i="3" s="1"/>
  <c r="G186" i="4" l="1"/>
  <c r="F30" i="3" s="1"/>
  <c r="G187" i="4" l="1"/>
  <c r="F31" i="3" s="1"/>
</calcChain>
</file>

<file path=xl/sharedStrings.xml><?xml version="1.0" encoding="utf-8"?>
<sst xmlns="http://schemas.openxmlformats.org/spreadsheetml/2006/main" count="511" uniqueCount="303">
  <si>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</si>
  <si>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</si>
  <si>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</si>
  <si>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</si>
  <si>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</si>
  <si>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</si>
  <si>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</si>
  <si>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</si>
  <si>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</si>
  <si>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</si>
  <si>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</si>
  <si>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</si>
  <si>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ADM</t>
    <phoneticPr fontId="3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</si>
  <si>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</si>
  <si>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</si>
  <si>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</si>
  <si>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</si>
  <si>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</si>
  <si>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</si>
  <si>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</si>
  <si>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</si>
  <si>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</si>
  <si>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</si>
  <si>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</si>
  <si>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</si>
  <si>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</si>
  <si>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</si>
  <si>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</si>
  <si>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</si>
  <si>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</si>
  <si>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</si>
  <si>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</si>
  <si>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</si>
  <si>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</si>
  <si>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</si>
  <si>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</si>
  <si>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</si>
  <si>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</si>
  <si>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</si>
  <si>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</si>
  <si>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</si>
  <si>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</si>
  <si>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</si>
  <si>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</si>
  <si>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</si>
  <si>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</si>
  <si>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</si>
  <si>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</si>
  <si>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</si>
  <si>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</si>
  <si>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</si>
  <si>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</si>
  <si>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</si>
  <si>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</si>
  <si>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</si>
  <si>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</si>
  <si>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</si>
  <si>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</si>
  <si>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</si>
  <si>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</si>
  <si>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</si>
  <si>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</si>
  <si>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</si>
  <si>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</si>
  <si>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</si>
  <si>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</si>
  <si>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</si>
  <si>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</si>
  <si>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</si>
  <si>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</si>
  <si>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</si>
  <si>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</si>
  <si>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</si>
  <si>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</si>
  <si>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</si>
  <si>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</si>
  <si>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</si>
  <si>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</si>
  <si>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</si>
  <si>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</si>
  <si>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</si>
  <si>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</si>
  <si>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</si>
  <si>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</si>
  <si>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</si>
  <si>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</si>
  <si>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</si>
  <si>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</si>
  <si>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</si>
  <si>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</si>
  <si>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</si>
  <si>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</si>
  <si>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</si>
  <si>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</si>
  <si>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</si>
  <si>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>Division (In charge Name) : ADMIN MANAGER (Dong Chang Kim)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</si>
  <si>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</si>
  <si>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 xml:space="preserve">  Delivery &amp; Payment : Dong Chang Kim / Daeshin Admin. [ Mobile No. : +966 53 748 5762 / Email : kdchjs@daeshinplant.com ]</t>
  </si>
  <si>
    <t>JSAJ</t>
  </si>
  <si>
    <t>JSAJ(Jassim Saif Amer Aljaberi Trading Est.)</t>
  </si>
  <si>
    <t>2051247436</t>
  </si>
  <si>
    <t>311625046900003</t>
  </si>
  <si>
    <t>Shashank Kamra</t>
  </si>
  <si>
    <t>Mobile No. +966 539222074</t>
  </si>
  <si>
    <t>Mobile: +966 539222074</t>
  </si>
  <si>
    <t>Sales Manager</t>
  </si>
  <si>
    <t>One time</t>
  </si>
  <si>
    <t>Branch of Hyundai Engineering and Const. Co., Ltd. (HDEC)</t>
  </si>
  <si>
    <t>Building No. 6634, Al Khobar 34423, KSA</t>
  </si>
  <si>
    <t>BRANCH OF HYUNDAI ENG. &amp; CONST. CO., LTD.</t>
  </si>
  <si>
    <t>Bank Account Details:</t>
  </si>
  <si>
    <t>JASSIM SAIF AMER ALJABERI TRADING EST.</t>
  </si>
  <si>
    <t>95400006184205</t>
  </si>
  <si>
    <t>SAUDI NATIONAL BANK</t>
  </si>
  <si>
    <t>NCBKSAJE</t>
  </si>
  <si>
    <t>SAR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</si>
  <si>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</si>
  <si>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</si>
  <si>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</si>
  <si>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</si>
  <si>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</si>
  <si>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</si>
  <si>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 xml:space="preserve">  Bank account changes are strictly prohibited. Payments will only be made to the account registered and approved in this Purchase Order.</t>
  </si>
  <si>
    <t>SA96 1000 0095 4000 0618 4205</t>
  </si>
  <si>
    <t>Welding Rods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</si>
  <si>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-MRS-0333</t>
    </r>
  </si>
  <si>
    <t>Dehumidifier 20 ltr 220V</t>
  </si>
  <si>
    <t>Liquid Leak Detector 5Ltr Weicon</t>
  </si>
  <si>
    <t>Rebar Cutter Bit SDS Plus 20x150x300mm Bosch</t>
  </si>
  <si>
    <t>Half Round File C/S 12"</t>
  </si>
  <si>
    <t>Allen Key 8mm</t>
  </si>
  <si>
    <t>Crowfoot Spanner 3/8"drive 9/16"-1" 10pcs Set</t>
  </si>
  <si>
    <t>Ratchet Wrench 3/8" drive Dewesser Germany</t>
  </si>
  <si>
    <t>Argon Hose Black 1/4" WP20 Bar 300PSI 100Mtr</t>
  </si>
  <si>
    <t>Metal Whistle</t>
  </si>
  <si>
    <t>Gas Lens Insulator 18CG (Heat Shield 54N63)</t>
  </si>
  <si>
    <t>Gas Lens Insulator Cup Gasket (54N01)</t>
  </si>
  <si>
    <t>Neon Line Tester</t>
  </si>
  <si>
    <t>HDPE Drum Red Color 200Ltr</t>
  </si>
  <si>
    <t>Impact Socket Adapter 1/2"(M) x 1/4"(F)</t>
  </si>
  <si>
    <t>Electric Air Blower 220V Hyundai</t>
  </si>
  <si>
    <t>Inverter ARC Welding Machine 200A ARC200 Jasic</t>
  </si>
  <si>
    <t>AC Gas R410A 11.6kg</t>
  </si>
  <si>
    <t>Low Chloride Paint Marker Blue</t>
  </si>
  <si>
    <t>Argon Regulator Set UL Listed</t>
  </si>
  <si>
    <t>Magnetic Split Level 230mm</t>
  </si>
  <si>
    <t>S-Weld Clean Code 1100 2.5Kg</t>
  </si>
  <si>
    <t>S-Weld Passivator Gel Code 1130 2.5kg</t>
  </si>
  <si>
    <t>Cordless Angle Grinder 5" Paddle SW with 2-Battery &amp; Charger Dewalt</t>
  </si>
  <si>
    <t>Cordless Impact Driver 18V 2.0Ah and Charger DCF887-D2 Dewalt</t>
  </si>
  <si>
    <t>Drill Machine 16mm in Steel 1050W Boscch GBM 16-2RE</t>
  </si>
  <si>
    <t>Welding Glass Dark #10</t>
  </si>
  <si>
    <t>Welding Glass Dark #11</t>
  </si>
  <si>
    <t>Welding Glass Dark #12</t>
  </si>
  <si>
    <t>Tig Torch Back Cap Long (57Y02)</t>
  </si>
  <si>
    <t>Tig Torch Back Cap Short (57Y04)</t>
  </si>
  <si>
    <t>Tungsten Electrode 2.4mm</t>
  </si>
  <si>
    <t>Ceramic Nozzle 350A #6</t>
  </si>
  <si>
    <t>Respirator Cartridge Filter 3M 6001</t>
  </si>
  <si>
    <t>Argon Hose Quick Connector 15x6mm</t>
  </si>
  <si>
    <t>Expansion Bolt (Set Anchor) M10x70mm</t>
  </si>
  <si>
    <t>PVC Flexible Conduit Black 20mmx50mtr</t>
  </si>
  <si>
    <t>Ball Pein Hammer 1LB</t>
  </si>
  <si>
    <t>Earth Ground Rod 12mmx1mtr</t>
  </si>
  <si>
    <t>Welding Earth Clamp 300A</t>
  </si>
  <si>
    <t>Master Precision Level 0.02mm/m 200mmL Dasqua</t>
  </si>
  <si>
    <t>Coated Plywood 4'x8'x18mm</t>
  </si>
  <si>
    <t>Weld Purge Oxygen Monitor PurgEye100</t>
  </si>
  <si>
    <t>Anti-Vibration Impact Gloves XL</t>
  </si>
  <si>
    <t>Industrial Mist Fan 26" 220V</t>
  </si>
  <si>
    <t>Power Cable CU/XLPE/PVC 4Cx35mm2</t>
  </si>
  <si>
    <t>Pump Centrifugal 2" 18m3/h, 47mtr, 3P 220/380V 60Hz, CP680C Pedrollo Italy</t>
  </si>
  <si>
    <t>Magnetic Starter QCX5-22 for 5.5Kw Pump</t>
  </si>
  <si>
    <t>Digital Hygrometer 3.05" LCD Doqaus</t>
  </si>
  <si>
    <t>LED Torch Light Rechargeable GFL4658Z Geepas</t>
  </si>
  <si>
    <t>Hi-Lo Welding Gauge</t>
  </si>
  <si>
    <t>Taper Gauge 15mm</t>
  </si>
  <si>
    <t>Pitch Gauge 4-42 tpi</t>
  </si>
  <si>
    <t>Parts Handle Side (562211-00) for DWE4002-B5 Dewalt</t>
  </si>
  <si>
    <t>Die Grinder 6mm 220V with Paddle Switch DWE4887N-B5 Dewalt</t>
  </si>
  <si>
    <t>Repair Centrifugal Pump (Coil Winding, Bearing, Seal, Assembling)</t>
  </si>
  <si>
    <t xml:space="preserve">Angle Grinder 7" 220V with Paddle Switch DWE493-B5 Dewalt </t>
  </si>
  <si>
    <t>Hammer Drill Machine SDS Plus GBH 2-24 DRE Bosch</t>
  </si>
  <si>
    <t>Drill Machine 13mm in Steel HP1604K Makita</t>
  </si>
  <si>
    <t>Safety Full Body Harness with Double Lanyard</t>
  </si>
  <si>
    <t>Suspension Trauma Strap</t>
  </si>
  <si>
    <t>Electric Insulation Tape Black</t>
  </si>
  <si>
    <t>Teflon Tape 19mm x 40yard</t>
  </si>
  <si>
    <t>Zinc Spray Paint</t>
  </si>
  <si>
    <t>Tig Collet Body 250A 2.4mm</t>
  </si>
  <si>
    <t>Tig Collet Pin 350A 2.4mm</t>
  </si>
  <si>
    <t>Tungsten Electrode 3.2mm</t>
  </si>
  <si>
    <t>Loctite 567 50ml</t>
  </si>
  <si>
    <t>Infrared Thermometer Extech IR267</t>
  </si>
  <si>
    <t>Magnetic Stand 7033-10 Mitutoyo</t>
  </si>
  <si>
    <t>Ring Hammer Wrench 50mm</t>
  </si>
  <si>
    <t>Hacksaw Frame 12"</t>
  </si>
  <si>
    <t>Ratchet Wrench with Socket 1/2" drive 21-24mm</t>
  </si>
  <si>
    <t>Hand Soap Liquid 5ltr</t>
  </si>
  <si>
    <t>Split A/C 1.5Ton Heat &amp; Cooling Inverter Zamil</t>
  </si>
  <si>
    <t>Insulation Copper Pipe 1/4" x 15mtr</t>
  </si>
  <si>
    <t>Rubber Gloves XL Heavy Duty Sun</t>
  </si>
  <si>
    <t>Circular Saw Machine 9" 220V GKS9 Bosch</t>
  </si>
  <si>
    <t>High Pressure Washer 130Bar 1900W K4 Karcher</t>
  </si>
  <si>
    <t>Cutting Disc S/S 4"x1mm Maks</t>
  </si>
  <si>
    <t>Digital Single Input Thermometer (Contact Pyrometer) EA11 Extech</t>
  </si>
  <si>
    <t>Paint Scraper 4"</t>
  </si>
  <si>
    <t>Jigsaw Blade 105mm B-10 Makita</t>
  </si>
  <si>
    <t>Spray Paint Blue Asmaco</t>
  </si>
  <si>
    <t>Hi Stick Spray Paint Rust Resistant Black</t>
  </si>
  <si>
    <t>Rubber Chemical Gloves XL Heavy Duty Red Color</t>
  </si>
  <si>
    <t>Cable Tie 3.6mmx150mm White (100ea/pkt)</t>
  </si>
  <si>
    <t>Cable Tie 4.8mmx300mm White (100ea/pkt)</t>
  </si>
  <si>
    <t>Adjustable Wrench 200mm</t>
  </si>
  <si>
    <t>Combination Spanner 10mm</t>
  </si>
  <si>
    <t>Combination Spanner 12mm</t>
  </si>
  <si>
    <t>Combination Spanner 13mm</t>
  </si>
  <si>
    <t>Purple Enamel Paint RAL 4006 (2L)</t>
  </si>
  <si>
    <t>Acetone 4liter</t>
  </si>
  <si>
    <t>Permanent Marker Pen Twin Tip Blue 1.0x0.5mm</t>
  </si>
  <si>
    <t>GI Hex Nut M6 Left-Hand Lock Nut</t>
  </si>
  <si>
    <t>Cutting Disc C/S 4"x3mm Maks</t>
  </si>
  <si>
    <t>Cutting Disc S/S 4"x3mm Maks</t>
  </si>
  <si>
    <t>Dust Mask N95 Venus</t>
  </si>
  <si>
    <t>Sponge Foam Sheet 900x1900x100mm</t>
  </si>
  <si>
    <t>Welding Cable Connector 50-70mm2 Male &amp; Female</t>
  </si>
  <si>
    <t>Tig Collet Body 350A 3.2mm</t>
  </si>
  <si>
    <t>Tig Collet Body 350A 2.4mm</t>
  </si>
  <si>
    <t>Tig Collet Pin 250A 2.4mm</t>
  </si>
  <si>
    <t>Ceramic Nozzle 350A #7</t>
  </si>
  <si>
    <t>Double Ear Clamp S/S 13-15mm</t>
  </si>
  <si>
    <t>Argon Regulator Connector Nut &amp; Nipple 9/16"-1/4"</t>
  </si>
  <si>
    <t>Welding Rod ERNiCu-7 2.4mm ESAB</t>
  </si>
  <si>
    <t>Ceramic Nozzle 500A #5</t>
  </si>
  <si>
    <t>Ceramic Nozzle 500A #6</t>
  </si>
  <si>
    <t>Ceramic Nozzle 500A #7</t>
  </si>
  <si>
    <t>Ceramic Nozzle 500A #8</t>
  </si>
  <si>
    <t>Argon Flow Meter</t>
  </si>
  <si>
    <t>Cutting Disc S/S 14"x3mm</t>
  </si>
  <si>
    <t>CS Square Tube 20x20x2mm, 6mtr</t>
  </si>
  <si>
    <t>Digital Vernier Caliper 150mm</t>
  </si>
  <si>
    <t>Welding Earth Clamp Brass G-Type 500A</t>
  </si>
  <si>
    <t>Pipe Bench Vice 4"</t>
  </si>
  <si>
    <t>Hand Tap Set M12mm P1.75</t>
  </si>
  <si>
    <t>Dial Indicator 0-10mm/0.01mm 2046A Mitutoyo</t>
  </si>
  <si>
    <t>Hydraulic Cylinder 10ton Stroke-44mm LSC1044 Lifton Canada</t>
  </si>
  <si>
    <t>Hydraulic Cylinder 20ton Stroke-44mm LSC2044 Lifton Canada</t>
  </si>
  <si>
    <t>Hydraulic Pump with 2mtr Hose 700Bar LHP-28 Lifton Canada</t>
  </si>
  <si>
    <t>CS Plate 4'x8'x3mm</t>
  </si>
  <si>
    <t>CS Plate 4'x8'x6mm</t>
  </si>
  <si>
    <t>CS Plate 4'x8'x12mm</t>
  </si>
  <si>
    <t>SS Plate Grade 304 4'x8'x3mm</t>
  </si>
  <si>
    <t>SS Plate Grade 304 4'x8'x6mm</t>
  </si>
  <si>
    <t>SS Plate Grade 304 4'x8'x12mm</t>
  </si>
  <si>
    <t>Flap Disc S/S 4" 80 Grit</t>
  </si>
  <si>
    <t>Flap Wheel S/S 40x20x6mm</t>
  </si>
  <si>
    <t>Cup Brush S/S Crimped M10x75mm</t>
  </si>
  <si>
    <t>VD-40 Spray</t>
  </si>
  <si>
    <t>Ear Plug with Corded</t>
  </si>
  <si>
    <t>Welding Electrode Holder 500A</t>
  </si>
  <si>
    <t>Tig Torch Switch</t>
  </si>
  <si>
    <t>Ceramic Nozzle 350A #5</t>
  </si>
  <si>
    <t>Ceramic Nozzle 350A #8</t>
  </si>
  <si>
    <t>Angle Grinder 4" 220V with Paddle Switch DWE4002-B5 Dewalt</t>
  </si>
  <si>
    <t>Drill Bit HSS Cobalt (S/S) 3mm</t>
  </si>
  <si>
    <t>Single Gas Detector H2S 500PPM T40 II Rattler ISC</t>
  </si>
  <si>
    <t>Impact Socket 1/2"dr (F) x 27mm (M)</t>
  </si>
  <si>
    <t>Impact Socket Adapter 1/2"(M) x 7/8"(F)</t>
  </si>
  <si>
    <t>Drill Bit HSS Cobalt (S/S) 5mm</t>
  </si>
  <si>
    <t>Drill Bit HSS Cobalt (S/S) 8mm</t>
  </si>
  <si>
    <t>Drill Bit HSS Cobalt (S/S) 10mm</t>
  </si>
  <si>
    <t>Die Grinder 6mm 220V with Paddle Switch GD0600 Makita</t>
  </si>
  <si>
    <t>Plastic Sandbag Heavy Duty (Gunny Sack) 50kg</t>
  </si>
  <si>
    <t>VpCI-329 Oil-Based Concentrates 5 gallon Cortec</t>
  </si>
  <si>
    <t>Grease MP 2CL+ Petromin</t>
  </si>
  <si>
    <t>Right Angle 12"</t>
  </si>
  <si>
    <t>Right Angle 24"</t>
  </si>
  <si>
    <t>Rubber Hammer 2Lbs</t>
  </si>
  <si>
    <t>Adjustable Wrench 12"(300mm)</t>
  </si>
  <si>
    <t>Inspection and Certification of Man Basket with Blue Sticker</t>
  </si>
  <si>
    <t>Measuring Tape 5mtr</t>
  </si>
  <si>
    <t>Split Level 12"</t>
  </si>
  <si>
    <t>Split Level 24"</t>
  </si>
  <si>
    <t>Magnetic Split Level 12"</t>
  </si>
  <si>
    <t>Magnetic Split Level 24"</t>
  </si>
  <si>
    <t>Concrete Drill Bit 16mmx210mm</t>
  </si>
  <si>
    <t>Electric Insulation Tape Red</t>
  </si>
  <si>
    <t>Pyrometer Infrared Thermometer</t>
  </si>
  <si>
    <t>Digital Clamp Meter 1000V &amp; 400A AC/DC TRMS SPR-216 Spartna</t>
  </si>
  <si>
    <t>Bridge Cam Gauge</t>
  </si>
  <si>
    <t>Inspection Mirror Round 1.25" Extendable</t>
  </si>
  <si>
    <t>Inspection Mirror Round 2" Extendable</t>
  </si>
  <si>
    <t>Split A/C 2Ton Heat &amp; Cooling Inverter LG</t>
  </si>
  <si>
    <t>A/C Copper Tube Set 5/8"x15mtr</t>
  </si>
  <si>
    <t>A/C Copper Tube Set 1/4"x15mtr</t>
  </si>
  <si>
    <t>Insulation Copper Pipe 5/8" x 15mtr</t>
  </si>
  <si>
    <t>Insulation Tape Black 2"</t>
  </si>
  <si>
    <t>Padlock Brass 40mm</t>
  </si>
  <si>
    <t>Pipe Thread Tap Set C/S 1/2" NPT</t>
  </si>
  <si>
    <t>Pipe Thread Tap Set S/S 1/2" NPT</t>
  </si>
  <si>
    <t>Jigsaw Machine for Wood 230V, 450W 4326 Makita</t>
  </si>
  <si>
    <t>Nos</t>
  </si>
  <si>
    <t>Q-20263209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</si>
</sst>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.00\ ;\-#,##0.00\ ;"/>
    <numFmt numFmtId="168" formatCode="[$-409]d\-mmm\-yyyy;@"/>
    <numFmt numFmtId="169" formatCode="[$-409]d/mmm/yy;@"/>
    <numFmt numFmtId="170" formatCode="_([$SAR]\ * #,##0.00_);_([$SAR]\ * \(#,##0.00\);_([$SAR]\ * &quot;-&quot;??_);_(@_)"/>
    <numFmt numFmtId="171" formatCode="dd/mmm/yyyy"/>
    <numFmt numFmtId="172" formatCode="_-* #,##0.00_-;\-* #,##0.00_-;_-* &quot;-&quot;_-;_-@_-"/>
  </numFmts>
  <fonts count="55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8" fillId="0" borderId="0" applyBorder="0"/>
    <xf numFmtId="0" fontId="37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188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69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9" fillId="0" borderId="0" xfId="6" applyFont="1"/>
    <xf numFmtId="0" fontId="29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7" fillId="0" borderId="0" xfId="6" applyFont="1" applyAlignment="1">
      <alignment vertical="top"/>
    </xf>
    <xf numFmtId="168" fontId="7" fillId="0" borderId="0" xfId="6" quotePrefix="1" applyNumberFormat="1" applyFont="1" applyAlignment="1">
      <alignment horizontal="left" vertical="top"/>
    </xf>
    <xf numFmtId="171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0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9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2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2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7" fillId="3" borderId="0" xfId="5" applyFont="1" applyFill="1" applyAlignment="1">
      <alignment horizontal="left" vertical="center"/>
    </xf>
    <xf numFmtId="169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2" fillId="0" borderId="36" xfId="6" quotePrefix="1" applyFont="1" applyBorder="1" applyAlignment="1">
      <alignment horizontal="center" vertical="center" wrapText="1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2" fontId="42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9" fillId="0" borderId="0" xfId="2" applyFont="1" applyAlignment="1">
      <alignment vertical="center"/>
    </xf>
    <xf numFmtId="167" fontId="2" fillId="0" borderId="16" xfId="0" applyNumberFormat="1" applyFont="1" applyBorder="1" applyAlignment="1">
      <alignment horizontal="right" vertical="center" wrapText="1"/>
    </xf>
    <xf numFmtId="167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8" xfId="1" applyFill="1" applyBorder="1" applyAlignment="1">
      <alignment horizontal="center" vertical="center" wrapText="1"/>
    </xf>
    <xf numFmtId="168" fontId="9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49" fillId="2" borderId="0" xfId="1" applyFont="1" applyFill="1" applyAlignment="1">
      <alignment vertical="center"/>
    </xf>
    <xf numFmtId="170" fontId="18" fillId="3" borderId="0" xfId="5" applyNumberFormat="1" applyFont="1" applyFill="1"/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40" fontId="13" fillId="0" borderId="22" xfId="0" applyNumberFormat="1" applyFont="1" applyBorder="1">
      <alignment vertical="center"/>
    </xf>
    <xf numFmtId="0" fontId="41" fillId="3" borderId="0" xfId="5" applyFont="1" applyFill="1" applyAlignment="1">
      <alignment horizontal="left" vertical="center"/>
    </xf>
    <xf numFmtId="170" fontId="25" fillId="3" borderId="0" xfId="5" applyNumberFormat="1" applyFont="1" applyFill="1"/>
    <xf numFmtId="0" fontId="54" fillId="3" borderId="0" xfId="5" applyFont="1" applyFill="1"/>
    <xf numFmtId="0" fontId="18" fillId="3" borderId="0" xfId="5" quotePrefix="1" applyFont="1" applyFill="1"/>
    <xf numFmtId="0" fontId="21" fillId="3" borderId="46" xfId="5" applyFont="1" applyFill="1" applyBorder="1"/>
    <xf numFmtId="0" fontId="18" fillId="3" borderId="46" xfId="5" applyFont="1" applyFill="1" applyBorder="1"/>
    <xf numFmtId="0" fontId="27" fillId="3" borderId="0" xfId="5" applyFont="1" applyFill="1" applyAlignment="1">
      <alignment horizontal="center"/>
    </xf>
    <xf numFmtId="168" fontId="32" fillId="3" borderId="0" xfId="5" quotePrefix="1" applyNumberFormat="1" applyFont="1" applyFill="1" applyAlignment="1">
      <alignment horizontal="left" vertical="center"/>
    </xf>
    <xf numFmtId="168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53" fillId="3" borderId="0" xfId="5" applyFont="1" applyFill="1" applyAlignment="1">
      <alignment horizontal="left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47" xfId="0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822157</xdr:colOff>
          <xdr:row>186</xdr:row>
          <xdr:rowOff>20054</xdr:rowOff>
        </xdr:from>
        <xdr:to>
          <xdr:col>12</xdr:col>
          <xdr:colOff>499</xdr:colOff>
          <xdr:row>193</xdr:row>
          <xdr:rowOff>30081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7:$S$193" spid="_x0000_s131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095999" y="5003133"/>
              <a:ext cx="4011026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EFA97763-8EC8-40AF-8FA4-23C8D51193CC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8" name="AutoShape 4">
          <a:extLst>
            <a:ext uri="{FF2B5EF4-FFF2-40B4-BE49-F238E27FC236}">
              <a16:creationId xmlns:a16="http://schemas.microsoft.com/office/drawing/2014/main" id="{865F5DAD-FF18-481D-832D-6D043607E841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9" name="AutoShape 3">
          <a:extLst>
            <a:ext uri="{FF2B5EF4-FFF2-40B4-BE49-F238E27FC236}">
              <a16:creationId xmlns:a16="http://schemas.microsoft.com/office/drawing/2014/main" id="{56D9B8F1-7681-47C3-A7E7-018DCA7DF06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10" name="AutoShape 4">
          <a:extLst>
            <a:ext uri="{FF2B5EF4-FFF2-40B4-BE49-F238E27FC236}">
              <a16:creationId xmlns:a16="http://schemas.microsoft.com/office/drawing/2014/main" id="{88036024-3DEA-45DA-AFBF-3EE236A8AA1E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1" name="AutoShape 3">
          <a:extLst>
            <a:ext uri="{FF2B5EF4-FFF2-40B4-BE49-F238E27FC236}">
              <a16:creationId xmlns:a16="http://schemas.microsoft.com/office/drawing/2014/main" id="{8951C320-5AA8-45C8-9636-45384E364D2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2" name="AutoShape 4">
          <a:extLst>
            <a:ext uri="{FF2B5EF4-FFF2-40B4-BE49-F238E27FC236}">
              <a16:creationId xmlns:a16="http://schemas.microsoft.com/office/drawing/2014/main" id="{53884489-53F3-4D1A-AC52-98DF8B1F6A14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S221"/>
  <sheetViews>
    <sheetView showGridLines="0" tabSelected="1" view="pageBreakPreview" topLeftCell="A170" zoomScale="95" zoomScaleNormal="95" zoomScaleSheetLayoutView="95" workbookViewId="0">
      <selection activeCell="S178" sqref="S178"/>
    </sheetView>
  </sheetViews>
  <sheetFormatPr defaultColWidth="9" defaultRowHeight="21" customHeight="1"/>
  <cols>
    <col min="1" max="1" width="5" style="2" customWidth="1"/>
    <col min="2" max="2" width="8.140625" style="2" customWidth="1"/>
    <col min="3" max="3" width="43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3.5703125" style="2" customWidth="1"/>
    <col min="18" max="18" width="7.5703125" style="2" customWidth="1"/>
    <col min="19" max="19" width="13.5703125" style="2" customWidth="1"/>
    <col min="20" max="16384" width="9" style="2"/>
  </cols>
  <sheetData>
    <row r="1" spans="1:18" ht="49.9" customHeight="1">
      <c r="A1" s="107" t="s">
        <v>96</v>
      </c>
      <c r="B1" s="99"/>
      <c r="C1" s="99"/>
      <c r="D1" s="99"/>
      <c r="E1" s="99"/>
      <c r="F1" s="99"/>
      <c r="G1" s="1"/>
      <c r="J1" s="134" t="s">
        <v>87</v>
      </c>
      <c r="K1" s="135"/>
      <c r="L1" s="136"/>
    </row>
    <row r="2" spans="1:18" ht="20.100000000000001" customHeight="1">
      <c r="A2" s="3" t="s">
        <v>1</v>
      </c>
      <c r="B2" s="93"/>
      <c r="C2" s="93"/>
      <c r="D2" s="3" t="s">
        <v>95</v>
      </c>
      <c r="E2" s="93"/>
      <c r="F2" s="93"/>
      <c r="G2" s="93"/>
      <c r="H2" s="93"/>
      <c r="I2" s="4"/>
      <c r="J2" s="137" t="s">
        <v>94</v>
      </c>
      <c r="K2" s="138"/>
      <c r="L2" s="139"/>
    </row>
    <row r="3" spans="1:18" ht="20.100000000000001" customHeight="1">
      <c r="A3" s="3" t="s">
        <v>125</v>
      </c>
      <c r="B3" s="93"/>
      <c r="C3" s="93"/>
      <c r="D3" s="93"/>
      <c r="E3" s="140">
        <f>+L3</f>
        <v>46186</v>
      </c>
      <c r="F3" s="140"/>
      <c r="G3" s="140"/>
      <c r="H3" s="140"/>
      <c r="I3" s="140"/>
      <c r="J3" s="93"/>
      <c r="K3" s="93"/>
      <c r="L3" s="105">
        <v>46186</v>
      </c>
      <c r="M3" s="4"/>
    </row>
    <row r="4" spans="1:18" ht="15.95" customHeight="1">
      <c r="A4" s="143" t="s">
        <v>2</v>
      </c>
      <c r="B4" s="144" t="s">
        <v>3</v>
      </c>
      <c r="C4" s="144"/>
      <c r="D4" s="145" t="s">
        <v>4</v>
      </c>
      <c r="E4" s="146"/>
      <c r="F4" s="147"/>
      <c r="G4" s="151" t="s">
        <v>5</v>
      </c>
      <c r="H4" s="141" t="s">
        <v>6</v>
      </c>
      <c r="I4" s="141" t="s">
        <v>91</v>
      </c>
      <c r="J4" s="143" t="s">
        <v>92</v>
      </c>
      <c r="K4" s="141" t="s">
        <v>0</v>
      </c>
      <c r="L4" s="144" t="s">
        <v>7</v>
      </c>
    </row>
    <row r="5" spans="1:18" ht="15.95" customHeight="1">
      <c r="A5" s="143"/>
      <c r="B5" s="144"/>
      <c r="C5" s="144"/>
      <c r="D5" s="148"/>
      <c r="E5" s="149"/>
      <c r="F5" s="150"/>
      <c r="G5" s="152"/>
      <c r="H5" s="142"/>
      <c r="I5" s="142"/>
      <c r="J5" s="143"/>
      <c r="K5" s="142"/>
      <c r="L5" s="144"/>
    </row>
    <row r="6" spans="1:18" ht="21.75" customHeight="1">
      <c r="A6" s="5">
        <f t="shared" ref="A6:A69" si="0">ROW(A1)</f>
        <v>1</v>
      </c>
      <c r="B6" s="129" t="s">
        <v>126</v>
      </c>
      <c r="C6" s="130"/>
      <c r="D6" s="131"/>
      <c r="E6" s="132"/>
      <c r="F6" s="133"/>
      <c r="G6" s="112" t="s">
        <v>301</v>
      </c>
      <c r="H6" s="112">
        <v>1</v>
      </c>
      <c r="I6" s="113">
        <v>1280</v>
      </c>
      <c r="J6" s="100">
        <f>H6*I6</f>
        <v>1280</v>
      </c>
      <c r="K6" s="101" t="s">
        <v>98</v>
      </c>
      <c r="L6" s="102" t="s">
        <v>106</v>
      </c>
      <c r="R6" s="98"/>
    </row>
    <row r="7" spans="1:18" ht="21.75" customHeight="1">
      <c r="A7" s="5">
        <f t="shared" si="0"/>
        <v>2</v>
      </c>
      <c r="B7" s="129" t="s">
        <v>127</v>
      </c>
      <c r="C7" s="130"/>
      <c r="D7" s="131"/>
      <c r="E7" s="132"/>
      <c r="F7" s="133"/>
      <c r="G7" s="112" t="s">
        <v>301</v>
      </c>
      <c r="H7" s="112">
        <v>40</v>
      </c>
      <c r="I7" s="113">
        <v>360</v>
      </c>
      <c r="J7" s="100">
        <f t="shared" ref="J7:J70" si="1">H7*I7</f>
        <v>14400</v>
      </c>
      <c r="K7" s="101"/>
      <c r="L7" s="102"/>
      <c r="R7" s="98"/>
    </row>
    <row r="8" spans="1:18" ht="21.75" customHeight="1">
      <c r="A8" s="5">
        <f t="shared" si="0"/>
        <v>3</v>
      </c>
      <c r="B8" s="129" t="s">
        <v>128</v>
      </c>
      <c r="C8" s="130"/>
      <c r="D8" s="131"/>
      <c r="E8" s="132"/>
      <c r="F8" s="133"/>
      <c r="G8" s="112" t="s">
        <v>301</v>
      </c>
      <c r="H8" s="112">
        <v>4</v>
      </c>
      <c r="I8" s="113">
        <v>206</v>
      </c>
      <c r="J8" s="100">
        <f t="shared" si="1"/>
        <v>824</v>
      </c>
      <c r="K8" s="101"/>
      <c r="L8" s="102"/>
      <c r="R8" s="98"/>
    </row>
    <row r="9" spans="1:18" ht="21.75" customHeight="1">
      <c r="A9" s="5">
        <f t="shared" si="0"/>
        <v>4</v>
      </c>
      <c r="B9" s="129" t="s">
        <v>129</v>
      </c>
      <c r="C9" s="130"/>
      <c r="D9" s="131"/>
      <c r="E9" s="132"/>
      <c r="F9" s="133"/>
      <c r="G9" s="112" t="s">
        <v>301</v>
      </c>
      <c r="H9" s="112">
        <v>20</v>
      </c>
      <c r="I9" s="113">
        <v>10</v>
      </c>
      <c r="J9" s="100">
        <f t="shared" si="1"/>
        <v>200</v>
      </c>
      <c r="K9" s="101"/>
      <c r="L9" s="102"/>
      <c r="R9" s="98"/>
    </row>
    <row r="10" spans="1:18" ht="21.75" customHeight="1">
      <c r="A10" s="5">
        <f t="shared" si="0"/>
        <v>5</v>
      </c>
      <c r="B10" s="129" t="s">
        <v>130</v>
      </c>
      <c r="C10" s="130"/>
      <c r="D10" s="131"/>
      <c r="E10" s="132"/>
      <c r="F10" s="133"/>
      <c r="G10" s="112" t="s">
        <v>301</v>
      </c>
      <c r="H10" s="112">
        <v>20</v>
      </c>
      <c r="I10" s="113">
        <v>7.4</v>
      </c>
      <c r="J10" s="100">
        <f t="shared" si="1"/>
        <v>148</v>
      </c>
      <c r="K10" s="101"/>
      <c r="L10" s="102"/>
      <c r="R10" s="98"/>
    </row>
    <row r="11" spans="1:18" ht="21.75" customHeight="1">
      <c r="A11" s="5">
        <f t="shared" si="0"/>
        <v>6</v>
      </c>
      <c r="B11" s="129" t="s">
        <v>131</v>
      </c>
      <c r="C11" s="130"/>
      <c r="D11" s="131"/>
      <c r="E11" s="132"/>
      <c r="F11" s="133"/>
      <c r="G11" s="112" t="s">
        <v>301</v>
      </c>
      <c r="H11" s="112">
        <v>1</v>
      </c>
      <c r="I11" s="113">
        <v>119</v>
      </c>
      <c r="J11" s="100">
        <f t="shared" si="1"/>
        <v>119</v>
      </c>
      <c r="K11" s="101"/>
      <c r="L11" s="102"/>
      <c r="R11" s="98"/>
    </row>
    <row r="12" spans="1:18" ht="23.25" hidden="1" customHeight="1">
      <c r="A12" s="5">
        <f t="shared" si="0"/>
        <v>7</v>
      </c>
      <c r="B12" s="129" t="s">
        <v>132</v>
      </c>
      <c r="C12" s="130"/>
      <c r="D12" s="131"/>
      <c r="E12" s="132"/>
      <c r="F12" s="133"/>
      <c r="G12" s="112" t="s">
        <v>301</v>
      </c>
      <c r="H12" s="112">
        <v>1</v>
      </c>
      <c r="I12" s="113">
        <v>32</v>
      </c>
      <c r="J12" s="100">
        <f t="shared" si="1"/>
        <v>32</v>
      </c>
      <c r="K12" s="101"/>
      <c r="L12" s="102"/>
      <c r="R12" s="98"/>
    </row>
    <row r="13" spans="1:18" ht="23.25" hidden="1" customHeight="1">
      <c r="A13" s="5">
        <f t="shared" si="0"/>
        <v>8</v>
      </c>
      <c r="B13" s="129" t="s">
        <v>133</v>
      </c>
      <c r="C13" s="130"/>
      <c r="D13" s="131"/>
      <c r="E13" s="132"/>
      <c r="F13" s="133"/>
      <c r="G13" s="112" t="s">
        <v>301</v>
      </c>
      <c r="H13" s="112">
        <v>35</v>
      </c>
      <c r="I13" s="113">
        <v>345</v>
      </c>
      <c r="J13" s="100">
        <f t="shared" si="1"/>
        <v>12075</v>
      </c>
      <c r="K13" s="101"/>
      <c r="L13" s="102"/>
      <c r="R13" s="98"/>
    </row>
    <row r="14" spans="1:18" ht="23.25" hidden="1" customHeight="1">
      <c r="A14" s="5">
        <f t="shared" si="0"/>
        <v>9</v>
      </c>
      <c r="B14" s="129" t="s">
        <v>134</v>
      </c>
      <c r="C14" s="130"/>
      <c r="D14" s="131"/>
      <c r="E14" s="132"/>
      <c r="F14" s="133"/>
      <c r="G14" s="112" t="s">
        <v>301</v>
      </c>
      <c r="H14" s="112">
        <v>30</v>
      </c>
      <c r="I14" s="113">
        <v>3</v>
      </c>
      <c r="J14" s="100">
        <f t="shared" si="1"/>
        <v>90</v>
      </c>
      <c r="K14" s="101"/>
      <c r="L14" s="102"/>
      <c r="R14" s="98"/>
    </row>
    <row r="15" spans="1:18" ht="23.25" hidden="1" customHeight="1">
      <c r="A15" s="5">
        <f t="shared" si="0"/>
        <v>10</v>
      </c>
      <c r="B15" s="129" t="s">
        <v>135</v>
      </c>
      <c r="C15" s="130"/>
      <c r="D15" s="131"/>
      <c r="E15" s="132"/>
      <c r="F15" s="133"/>
      <c r="G15" s="112" t="s">
        <v>301</v>
      </c>
      <c r="H15" s="112">
        <v>100</v>
      </c>
      <c r="I15" s="113">
        <v>18</v>
      </c>
      <c r="J15" s="100">
        <f t="shared" si="1"/>
        <v>1800</v>
      </c>
      <c r="K15" s="101"/>
      <c r="L15" s="102"/>
      <c r="R15" s="98"/>
    </row>
    <row r="16" spans="1:18" ht="23.25" customHeight="1">
      <c r="A16" s="5">
        <f t="shared" si="0"/>
        <v>11</v>
      </c>
      <c r="B16" s="129" t="s">
        <v>136</v>
      </c>
      <c r="C16" s="130"/>
      <c r="D16" s="131"/>
      <c r="E16" s="132"/>
      <c r="F16" s="133"/>
      <c r="G16" s="112" t="s">
        <v>301</v>
      </c>
      <c r="H16" s="112">
        <v>100</v>
      </c>
      <c r="I16" s="113">
        <v>16.5</v>
      </c>
      <c r="J16" s="100">
        <f t="shared" si="1"/>
        <v>1650</v>
      </c>
      <c r="K16" s="101"/>
      <c r="L16" s="102"/>
      <c r="R16" s="98"/>
    </row>
    <row r="17" spans="1:18" ht="23.25" customHeight="1">
      <c r="A17" s="5">
        <f t="shared" si="0"/>
        <v>12</v>
      </c>
      <c r="B17" s="129" t="s">
        <v>137</v>
      </c>
      <c r="C17" s="130"/>
      <c r="D17" s="131"/>
      <c r="E17" s="132"/>
      <c r="F17" s="133"/>
      <c r="G17" s="112" t="s">
        <v>301</v>
      </c>
      <c r="H17" s="112">
        <v>2</v>
      </c>
      <c r="I17" s="113">
        <v>2.5</v>
      </c>
      <c r="J17" s="100">
        <f t="shared" si="1"/>
        <v>5</v>
      </c>
      <c r="K17" s="101"/>
      <c r="L17" s="102"/>
      <c r="R17" s="98"/>
    </row>
    <row r="18" spans="1:18" ht="23.25" customHeight="1">
      <c r="A18" s="5">
        <f t="shared" si="0"/>
        <v>13</v>
      </c>
      <c r="B18" s="129" t="s">
        <v>138</v>
      </c>
      <c r="C18" s="130"/>
      <c r="D18" s="131"/>
      <c r="E18" s="132"/>
      <c r="F18" s="133"/>
      <c r="G18" s="112" t="s">
        <v>301</v>
      </c>
      <c r="H18" s="112">
        <v>2</v>
      </c>
      <c r="I18" s="113">
        <v>145</v>
      </c>
      <c r="J18" s="100">
        <f t="shared" si="1"/>
        <v>290</v>
      </c>
      <c r="K18" s="101"/>
      <c r="L18" s="102"/>
      <c r="R18" s="98"/>
    </row>
    <row r="19" spans="1:18" ht="23.25" customHeight="1">
      <c r="A19" s="5">
        <f t="shared" si="0"/>
        <v>14</v>
      </c>
      <c r="B19" s="129" t="s">
        <v>139</v>
      </c>
      <c r="C19" s="130"/>
      <c r="D19" s="131"/>
      <c r="E19" s="132"/>
      <c r="F19" s="133"/>
      <c r="G19" s="112" t="s">
        <v>301</v>
      </c>
      <c r="H19" s="112">
        <v>10</v>
      </c>
      <c r="I19" s="113">
        <v>17</v>
      </c>
      <c r="J19" s="100">
        <f t="shared" si="1"/>
        <v>170</v>
      </c>
      <c r="K19" s="101"/>
      <c r="L19" s="102"/>
      <c r="R19" s="98"/>
    </row>
    <row r="20" spans="1:18" ht="23.25" customHeight="1">
      <c r="A20" s="5">
        <f t="shared" si="0"/>
        <v>15</v>
      </c>
      <c r="B20" s="129" t="s">
        <v>140</v>
      </c>
      <c r="C20" s="130"/>
      <c r="D20" s="131"/>
      <c r="E20" s="132"/>
      <c r="F20" s="133"/>
      <c r="G20" s="112" t="s">
        <v>301</v>
      </c>
      <c r="H20" s="112">
        <v>2</v>
      </c>
      <c r="I20" s="113">
        <v>185</v>
      </c>
      <c r="J20" s="100">
        <f t="shared" si="1"/>
        <v>370</v>
      </c>
      <c r="K20" s="101"/>
      <c r="L20" s="102"/>
      <c r="R20" s="98"/>
    </row>
    <row r="21" spans="1:18" ht="23.25" customHeight="1">
      <c r="A21" s="5">
        <f t="shared" si="0"/>
        <v>16</v>
      </c>
      <c r="B21" s="129" t="s">
        <v>141</v>
      </c>
      <c r="C21" s="130"/>
      <c r="D21" s="131"/>
      <c r="E21" s="132"/>
      <c r="F21" s="133"/>
      <c r="G21" s="112" t="s">
        <v>301</v>
      </c>
      <c r="H21" s="112">
        <v>20</v>
      </c>
      <c r="I21" s="113">
        <v>1600</v>
      </c>
      <c r="J21" s="100">
        <f t="shared" si="1"/>
        <v>32000</v>
      </c>
      <c r="K21" s="101"/>
      <c r="L21" s="102"/>
      <c r="R21" s="98"/>
    </row>
    <row r="22" spans="1:18" ht="23.25" customHeight="1">
      <c r="A22" s="5">
        <f t="shared" si="0"/>
        <v>17</v>
      </c>
      <c r="B22" s="129" t="s">
        <v>142</v>
      </c>
      <c r="C22" s="130"/>
      <c r="D22" s="131"/>
      <c r="E22" s="132"/>
      <c r="F22" s="133"/>
      <c r="G22" s="112" t="s">
        <v>301</v>
      </c>
      <c r="H22" s="112">
        <v>5</v>
      </c>
      <c r="I22" s="113">
        <v>612</v>
      </c>
      <c r="J22" s="100">
        <f t="shared" si="1"/>
        <v>3060</v>
      </c>
      <c r="K22" s="101"/>
      <c r="L22" s="102"/>
      <c r="R22" s="98"/>
    </row>
    <row r="23" spans="1:18" ht="23.25" customHeight="1">
      <c r="A23" s="5">
        <f t="shared" si="0"/>
        <v>18</v>
      </c>
      <c r="B23" s="129" t="s">
        <v>143</v>
      </c>
      <c r="C23" s="130"/>
      <c r="D23" s="131"/>
      <c r="E23" s="132"/>
      <c r="F23" s="133"/>
      <c r="G23" s="112" t="s">
        <v>301</v>
      </c>
      <c r="H23" s="112">
        <v>700</v>
      </c>
      <c r="I23" s="113">
        <v>14.5</v>
      </c>
      <c r="J23" s="100">
        <f t="shared" si="1"/>
        <v>10150</v>
      </c>
      <c r="K23" s="101"/>
      <c r="L23" s="102"/>
      <c r="R23" s="98"/>
    </row>
    <row r="24" spans="1:18" ht="23.25" customHeight="1">
      <c r="A24" s="5">
        <f t="shared" si="0"/>
        <v>19</v>
      </c>
      <c r="B24" s="129" t="s">
        <v>144</v>
      </c>
      <c r="C24" s="130"/>
      <c r="D24" s="131"/>
      <c r="E24" s="132"/>
      <c r="F24" s="133"/>
      <c r="G24" s="112" t="s">
        <v>301</v>
      </c>
      <c r="H24" s="112">
        <v>50</v>
      </c>
      <c r="I24" s="113">
        <v>158</v>
      </c>
      <c r="J24" s="100">
        <f t="shared" si="1"/>
        <v>7900</v>
      </c>
      <c r="K24" s="101"/>
      <c r="L24" s="102"/>
      <c r="R24" s="98"/>
    </row>
    <row r="25" spans="1:18" ht="23.25" customHeight="1">
      <c r="A25" s="5">
        <f t="shared" si="0"/>
        <v>20</v>
      </c>
      <c r="B25" s="129" t="s">
        <v>145</v>
      </c>
      <c r="C25" s="130"/>
      <c r="D25" s="131"/>
      <c r="E25" s="132"/>
      <c r="F25" s="133"/>
      <c r="G25" s="112" t="s">
        <v>301</v>
      </c>
      <c r="H25" s="112">
        <v>20</v>
      </c>
      <c r="I25" s="113">
        <v>9.5</v>
      </c>
      <c r="J25" s="100">
        <f t="shared" si="1"/>
        <v>190</v>
      </c>
      <c r="K25" s="101"/>
      <c r="L25" s="102"/>
      <c r="R25" s="98"/>
    </row>
    <row r="26" spans="1:18" ht="23.25" customHeight="1">
      <c r="A26" s="5">
        <f t="shared" si="0"/>
        <v>21</v>
      </c>
      <c r="B26" s="129" t="s">
        <v>146</v>
      </c>
      <c r="C26" s="130"/>
      <c r="D26" s="131"/>
      <c r="E26" s="132"/>
      <c r="F26" s="133"/>
      <c r="G26" s="112" t="s">
        <v>301</v>
      </c>
      <c r="H26" s="112">
        <v>5</v>
      </c>
      <c r="I26" s="113">
        <v>235</v>
      </c>
      <c r="J26" s="100">
        <f t="shared" si="1"/>
        <v>1175</v>
      </c>
      <c r="K26" s="101"/>
      <c r="L26" s="102"/>
      <c r="R26" s="98"/>
    </row>
    <row r="27" spans="1:18" ht="23.25" customHeight="1">
      <c r="A27" s="5">
        <f t="shared" si="0"/>
        <v>22</v>
      </c>
      <c r="B27" s="129" t="s">
        <v>147</v>
      </c>
      <c r="C27" s="130"/>
      <c r="D27" s="131"/>
      <c r="E27" s="132"/>
      <c r="F27" s="133"/>
      <c r="G27" s="112" t="s">
        <v>301</v>
      </c>
      <c r="H27" s="112">
        <v>5</v>
      </c>
      <c r="I27" s="113">
        <v>235</v>
      </c>
      <c r="J27" s="100">
        <f t="shared" si="1"/>
        <v>1175</v>
      </c>
      <c r="K27" s="101"/>
      <c r="L27" s="102"/>
      <c r="R27" s="98"/>
    </row>
    <row r="28" spans="1:18" ht="28.5" customHeight="1">
      <c r="A28" s="5">
        <f t="shared" si="0"/>
        <v>23</v>
      </c>
      <c r="B28" s="129" t="s">
        <v>148</v>
      </c>
      <c r="C28" s="130"/>
      <c r="D28" s="131"/>
      <c r="E28" s="132"/>
      <c r="F28" s="133"/>
      <c r="G28" s="112" t="s">
        <v>301</v>
      </c>
      <c r="H28" s="112">
        <v>2</v>
      </c>
      <c r="I28" s="113">
        <v>1842</v>
      </c>
      <c r="J28" s="100">
        <f t="shared" si="1"/>
        <v>3684</v>
      </c>
      <c r="K28" s="101"/>
      <c r="L28" s="102"/>
      <c r="R28" s="98"/>
    </row>
    <row r="29" spans="1:18" ht="28.5" customHeight="1">
      <c r="A29" s="5">
        <f t="shared" si="0"/>
        <v>24</v>
      </c>
      <c r="B29" s="129" t="s">
        <v>149</v>
      </c>
      <c r="C29" s="130"/>
      <c r="D29" s="131"/>
      <c r="E29" s="132"/>
      <c r="F29" s="133"/>
      <c r="G29" s="112" t="s">
        <v>301</v>
      </c>
      <c r="H29" s="112">
        <v>2</v>
      </c>
      <c r="I29" s="113">
        <v>1225</v>
      </c>
      <c r="J29" s="100">
        <f t="shared" si="1"/>
        <v>2450</v>
      </c>
      <c r="K29" s="101"/>
      <c r="L29" s="102"/>
      <c r="R29" s="98"/>
    </row>
    <row r="30" spans="1:18" ht="28.5" customHeight="1">
      <c r="A30" s="5">
        <f t="shared" si="0"/>
        <v>25</v>
      </c>
      <c r="B30" s="129" t="s">
        <v>150</v>
      </c>
      <c r="C30" s="130"/>
      <c r="D30" s="131"/>
      <c r="E30" s="132"/>
      <c r="F30" s="133"/>
      <c r="G30" s="112" t="s">
        <v>301</v>
      </c>
      <c r="H30" s="112">
        <v>2</v>
      </c>
      <c r="I30" s="113">
        <v>628</v>
      </c>
      <c r="J30" s="100">
        <f t="shared" si="1"/>
        <v>1256</v>
      </c>
      <c r="K30" s="101"/>
      <c r="L30" s="102"/>
      <c r="R30" s="98"/>
    </row>
    <row r="31" spans="1:18" ht="23.25" customHeight="1">
      <c r="A31" s="5">
        <f t="shared" si="0"/>
        <v>26</v>
      </c>
      <c r="B31" s="129" t="s">
        <v>151</v>
      </c>
      <c r="C31" s="130"/>
      <c r="D31" s="131"/>
      <c r="E31" s="132"/>
      <c r="F31" s="133"/>
      <c r="G31" s="112" t="s">
        <v>301</v>
      </c>
      <c r="H31" s="112">
        <v>100</v>
      </c>
      <c r="I31" s="113">
        <v>0.95</v>
      </c>
      <c r="J31" s="100">
        <f t="shared" si="1"/>
        <v>95</v>
      </c>
      <c r="K31" s="101"/>
      <c r="L31" s="102"/>
      <c r="R31" s="98"/>
    </row>
    <row r="32" spans="1:18" ht="23.25" customHeight="1">
      <c r="A32" s="5">
        <f t="shared" si="0"/>
        <v>27</v>
      </c>
      <c r="B32" s="129" t="s">
        <v>152</v>
      </c>
      <c r="C32" s="130"/>
      <c r="D32" s="131"/>
      <c r="E32" s="132"/>
      <c r="F32" s="133"/>
      <c r="G32" s="112" t="s">
        <v>301</v>
      </c>
      <c r="H32" s="112">
        <v>200</v>
      </c>
      <c r="I32" s="113">
        <v>0.95</v>
      </c>
      <c r="J32" s="100">
        <f t="shared" si="1"/>
        <v>190</v>
      </c>
      <c r="K32" s="101"/>
      <c r="L32" s="102"/>
      <c r="R32" s="98"/>
    </row>
    <row r="33" spans="1:18" ht="23.25" customHeight="1">
      <c r="A33" s="5">
        <f t="shared" si="0"/>
        <v>28</v>
      </c>
      <c r="B33" s="129" t="s">
        <v>153</v>
      </c>
      <c r="C33" s="130"/>
      <c r="D33" s="131"/>
      <c r="E33" s="132"/>
      <c r="F33" s="133"/>
      <c r="G33" s="112" t="s">
        <v>301</v>
      </c>
      <c r="H33" s="112">
        <v>100</v>
      </c>
      <c r="I33" s="113">
        <v>0.95</v>
      </c>
      <c r="J33" s="100">
        <f t="shared" si="1"/>
        <v>95</v>
      </c>
      <c r="K33" s="101"/>
      <c r="L33" s="102"/>
      <c r="R33" s="98"/>
    </row>
    <row r="34" spans="1:18" ht="23.25" customHeight="1">
      <c r="A34" s="5">
        <f t="shared" si="0"/>
        <v>29</v>
      </c>
      <c r="B34" s="129" t="s">
        <v>154</v>
      </c>
      <c r="C34" s="130"/>
      <c r="D34" s="131"/>
      <c r="E34" s="132"/>
      <c r="F34" s="133"/>
      <c r="G34" s="112" t="s">
        <v>301</v>
      </c>
      <c r="H34" s="112">
        <v>100</v>
      </c>
      <c r="I34" s="113">
        <v>4.2</v>
      </c>
      <c r="J34" s="100">
        <f t="shared" si="1"/>
        <v>420</v>
      </c>
      <c r="K34" s="101"/>
      <c r="L34" s="102"/>
      <c r="R34" s="98"/>
    </row>
    <row r="35" spans="1:18" ht="23.25" customHeight="1">
      <c r="A35" s="5">
        <f t="shared" si="0"/>
        <v>30</v>
      </c>
      <c r="B35" s="129" t="s">
        <v>155</v>
      </c>
      <c r="C35" s="130"/>
      <c r="D35" s="131"/>
      <c r="E35" s="132"/>
      <c r="F35" s="133"/>
      <c r="G35" s="112" t="s">
        <v>301</v>
      </c>
      <c r="H35" s="112">
        <v>100</v>
      </c>
      <c r="I35" s="113">
        <v>3.5</v>
      </c>
      <c r="J35" s="100">
        <f t="shared" si="1"/>
        <v>350</v>
      </c>
      <c r="K35" s="101"/>
      <c r="L35" s="102"/>
      <c r="R35" s="98"/>
    </row>
    <row r="36" spans="1:18" ht="23.25" customHeight="1">
      <c r="A36" s="5">
        <f t="shared" si="0"/>
        <v>31</v>
      </c>
      <c r="B36" s="129" t="s">
        <v>156</v>
      </c>
      <c r="C36" s="130"/>
      <c r="D36" s="131"/>
      <c r="E36" s="132"/>
      <c r="F36" s="133"/>
      <c r="G36" s="112" t="s">
        <v>301</v>
      </c>
      <c r="H36" s="112">
        <v>500</v>
      </c>
      <c r="I36" s="113">
        <v>21</v>
      </c>
      <c r="J36" s="100">
        <f t="shared" si="1"/>
        <v>10500</v>
      </c>
      <c r="K36" s="101"/>
      <c r="L36" s="102"/>
      <c r="R36" s="98"/>
    </row>
    <row r="37" spans="1:18" ht="23.25" customHeight="1">
      <c r="A37" s="5">
        <f t="shared" si="0"/>
        <v>32</v>
      </c>
      <c r="B37" s="129" t="s">
        <v>157</v>
      </c>
      <c r="C37" s="130"/>
      <c r="D37" s="131"/>
      <c r="E37" s="132"/>
      <c r="F37" s="133"/>
      <c r="G37" s="112" t="s">
        <v>301</v>
      </c>
      <c r="H37" s="112">
        <v>500</v>
      </c>
      <c r="I37" s="113">
        <v>12</v>
      </c>
      <c r="J37" s="100">
        <f t="shared" si="1"/>
        <v>6000</v>
      </c>
      <c r="K37" s="101"/>
      <c r="L37" s="102"/>
      <c r="R37" s="98"/>
    </row>
    <row r="38" spans="1:18" ht="23.25" customHeight="1">
      <c r="A38" s="5">
        <f t="shared" si="0"/>
        <v>33</v>
      </c>
      <c r="B38" s="129" t="s">
        <v>158</v>
      </c>
      <c r="C38" s="130"/>
      <c r="D38" s="131"/>
      <c r="E38" s="132"/>
      <c r="F38" s="133"/>
      <c r="G38" s="112" t="s">
        <v>301</v>
      </c>
      <c r="H38" s="112">
        <v>70</v>
      </c>
      <c r="I38" s="113">
        <v>47.5</v>
      </c>
      <c r="J38" s="100">
        <f t="shared" si="1"/>
        <v>3325</v>
      </c>
      <c r="K38" s="101"/>
      <c r="L38" s="102"/>
      <c r="R38" s="98"/>
    </row>
    <row r="39" spans="1:18" ht="23.25" customHeight="1">
      <c r="A39" s="5">
        <f t="shared" si="0"/>
        <v>34</v>
      </c>
      <c r="B39" s="129" t="s">
        <v>159</v>
      </c>
      <c r="C39" s="130"/>
      <c r="D39" s="131"/>
      <c r="E39" s="132"/>
      <c r="F39" s="133"/>
      <c r="G39" s="112" t="s">
        <v>301</v>
      </c>
      <c r="H39" s="112">
        <v>500</v>
      </c>
      <c r="I39" s="113">
        <v>25</v>
      </c>
      <c r="J39" s="100">
        <f t="shared" si="1"/>
        <v>12500</v>
      </c>
      <c r="K39" s="101"/>
      <c r="L39" s="102"/>
      <c r="R39" s="98"/>
    </row>
    <row r="40" spans="1:18" ht="23.25" customHeight="1">
      <c r="A40" s="5">
        <f t="shared" si="0"/>
        <v>35</v>
      </c>
      <c r="B40" s="129" t="s">
        <v>160</v>
      </c>
      <c r="C40" s="130"/>
      <c r="D40" s="131"/>
      <c r="E40" s="132"/>
      <c r="F40" s="133"/>
      <c r="G40" s="112" t="s">
        <v>301</v>
      </c>
      <c r="H40" s="112">
        <v>500</v>
      </c>
      <c r="I40" s="113">
        <v>1.6</v>
      </c>
      <c r="J40" s="100">
        <f t="shared" si="1"/>
        <v>800</v>
      </c>
      <c r="K40" s="101"/>
      <c r="L40" s="102"/>
      <c r="R40" s="98"/>
    </row>
    <row r="41" spans="1:18" ht="23.25" customHeight="1">
      <c r="A41" s="5">
        <f t="shared" si="0"/>
        <v>36</v>
      </c>
      <c r="B41" s="129" t="s">
        <v>161</v>
      </c>
      <c r="C41" s="130"/>
      <c r="D41" s="131"/>
      <c r="E41" s="132"/>
      <c r="F41" s="133"/>
      <c r="G41" s="112" t="s">
        <v>301</v>
      </c>
      <c r="H41" s="112">
        <v>40</v>
      </c>
      <c r="I41" s="113">
        <v>31</v>
      </c>
      <c r="J41" s="100">
        <f t="shared" si="1"/>
        <v>1240</v>
      </c>
      <c r="K41" s="101"/>
      <c r="L41" s="102"/>
      <c r="R41" s="98"/>
    </row>
    <row r="42" spans="1:18" ht="23.25" customHeight="1">
      <c r="A42" s="5">
        <f t="shared" si="0"/>
        <v>37</v>
      </c>
      <c r="B42" s="129" t="s">
        <v>162</v>
      </c>
      <c r="C42" s="130"/>
      <c r="D42" s="131"/>
      <c r="E42" s="132"/>
      <c r="F42" s="133"/>
      <c r="G42" s="112" t="s">
        <v>301</v>
      </c>
      <c r="H42" s="112">
        <v>12</v>
      </c>
      <c r="I42" s="113">
        <v>27</v>
      </c>
      <c r="J42" s="100">
        <f t="shared" si="1"/>
        <v>324</v>
      </c>
      <c r="K42" s="101"/>
      <c r="L42" s="102"/>
      <c r="R42" s="98"/>
    </row>
    <row r="43" spans="1:18" ht="23.25" customHeight="1">
      <c r="A43" s="5">
        <f t="shared" si="0"/>
        <v>38</v>
      </c>
      <c r="B43" s="129" t="s">
        <v>163</v>
      </c>
      <c r="C43" s="130"/>
      <c r="D43" s="131"/>
      <c r="E43" s="132"/>
      <c r="F43" s="133"/>
      <c r="G43" s="112" t="s">
        <v>301</v>
      </c>
      <c r="H43" s="112">
        <v>12</v>
      </c>
      <c r="I43" s="113">
        <v>22</v>
      </c>
      <c r="J43" s="100">
        <f t="shared" si="1"/>
        <v>264</v>
      </c>
      <c r="K43" s="101"/>
      <c r="L43" s="102"/>
      <c r="R43" s="98"/>
    </row>
    <row r="44" spans="1:18" ht="23.25" customHeight="1">
      <c r="A44" s="5">
        <f t="shared" si="0"/>
        <v>39</v>
      </c>
      <c r="B44" s="129" t="s">
        <v>164</v>
      </c>
      <c r="C44" s="130"/>
      <c r="D44" s="131"/>
      <c r="E44" s="132"/>
      <c r="F44" s="133"/>
      <c r="G44" s="112" t="s">
        <v>301</v>
      </c>
      <c r="H44" s="112">
        <v>30</v>
      </c>
      <c r="I44" s="113">
        <v>17</v>
      </c>
      <c r="J44" s="100">
        <f t="shared" si="1"/>
        <v>510</v>
      </c>
      <c r="K44" s="101"/>
      <c r="L44" s="102"/>
      <c r="R44" s="98"/>
    </row>
    <row r="45" spans="1:18" ht="23.25" customHeight="1">
      <c r="A45" s="5">
        <f t="shared" si="0"/>
        <v>40</v>
      </c>
      <c r="B45" s="129" t="s">
        <v>165</v>
      </c>
      <c r="C45" s="130"/>
      <c r="D45" s="131"/>
      <c r="E45" s="132"/>
      <c r="F45" s="133"/>
      <c r="G45" s="112" t="s">
        <v>301</v>
      </c>
      <c r="H45" s="112">
        <v>1</v>
      </c>
      <c r="I45" s="113">
        <v>750</v>
      </c>
      <c r="J45" s="100">
        <f t="shared" si="1"/>
        <v>750</v>
      </c>
      <c r="K45" s="101"/>
      <c r="L45" s="102"/>
      <c r="R45" s="98"/>
    </row>
    <row r="46" spans="1:18" ht="23.25" customHeight="1">
      <c r="A46" s="5">
        <f t="shared" si="0"/>
        <v>41</v>
      </c>
      <c r="B46" s="129" t="s">
        <v>166</v>
      </c>
      <c r="C46" s="130"/>
      <c r="D46" s="131"/>
      <c r="E46" s="132"/>
      <c r="F46" s="133"/>
      <c r="G46" s="112" t="s">
        <v>301</v>
      </c>
      <c r="H46" s="112">
        <v>100</v>
      </c>
      <c r="I46" s="113">
        <v>112</v>
      </c>
      <c r="J46" s="100">
        <f t="shared" si="1"/>
        <v>11200</v>
      </c>
      <c r="K46" s="101"/>
      <c r="L46" s="102"/>
      <c r="R46" s="98"/>
    </row>
    <row r="47" spans="1:18" ht="23.25" customHeight="1">
      <c r="A47" s="5">
        <f t="shared" si="0"/>
        <v>42</v>
      </c>
      <c r="B47" s="129" t="s">
        <v>167</v>
      </c>
      <c r="C47" s="130"/>
      <c r="D47" s="131"/>
      <c r="E47" s="132"/>
      <c r="F47" s="133"/>
      <c r="G47" s="112" t="s">
        <v>301</v>
      </c>
      <c r="H47" s="112">
        <v>3</v>
      </c>
      <c r="I47" s="113">
        <v>3200</v>
      </c>
      <c r="J47" s="100">
        <f t="shared" si="1"/>
        <v>9600</v>
      </c>
      <c r="K47" s="101"/>
      <c r="L47" s="102"/>
      <c r="R47" s="98"/>
    </row>
    <row r="48" spans="1:18" ht="23.25" customHeight="1">
      <c r="A48" s="5">
        <f t="shared" si="0"/>
        <v>43</v>
      </c>
      <c r="B48" s="129" t="s">
        <v>168</v>
      </c>
      <c r="C48" s="130"/>
      <c r="D48" s="131"/>
      <c r="E48" s="132"/>
      <c r="F48" s="133"/>
      <c r="G48" s="112" t="s">
        <v>301</v>
      </c>
      <c r="H48" s="112">
        <v>30</v>
      </c>
      <c r="I48" s="113">
        <v>45</v>
      </c>
      <c r="J48" s="100">
        <f t="shared" si="1"/>
        <v>1350</v>
      </c>
      <c r="K48" s="101"/>
      <c r="L48" s="102"/>
      <c r="R48" s="98"/>
    </row>
    <row r="49" spans="1:18" ht="23.25" customHeight="1">
      <c r="A49" s="5">
        <f t="shared" si="0"/>
        <v>44</v>
      </c>
      <c r="B49" s="129" t="s">
        <v>169</v>
      </c>
      <c r="C49" s="130"/>
      <c r="D49" s="131"/>
      <c r="E49" s="132"/>
      <c r="F49" s="133"/>
      <c r="G49" s="112" t="s">
        <v>301</v>
      </c>
      <c r="H49" s="112">
        <v>12</v>
      </c>
      <c r="I49" s="113">
        <v>670</v>
      </c>
      <c r="J49" s="100">
        <f t="shared" si="1"/>
        <v>8040</v>
      </c>
      <c r="K49" s="101"/>
      <c r="L49" s="102"/>
      <c r="R49" s="98"/>
    </row>
    <row r="50" spans="1:18" ht="24.75" customHeight="1">
      <c r="A50" s="5">
        <f t="shared" si="0"/>
        <v>45</v>
      </c>
      <c r="B50" s="129" t="s">
        <v>170</v>
      </c>
      <c r="C50" s="130"/>
      <c r="D50" s="131"/>
      <c r="E50" s="132"/>
      <c r="F50" s="133"/>
      <c r="G50" s="112" t="s">
        <v>301</v>
      </c>
      <c r="H50" s="112">
        <v>250</v>
      </c>
      <c r="I50" s="113">
        <v>94</v>
      </c>
      <c r="J50" s="100">
        <f t="shared" si="1"/>
        <v>23500</v>
      </c>
      <c r="K50" s="101"/>
      <c r="L50" s="102"/>
      <c r="R50" s="98"/>
    </row>
    <row r="51" spans="1:18" ht="24.75" customHeight="1">
      <c r="A51" s="5">
        <f t="shared" si="0"/>
        <v>46</v>
      </c>
      <c r="B51" s="129" t="s">
        <v>171</v>
      </c>
      <c r="C51" s="130"/>
      <c r="D51" s="131"/>
      <c r="E51" s="132"/>
      <c r="F51" s="133"/>
      <c r="G51" s="112" t="s">
        <v>301</v>
      </c>
      <c r="H51" s="112">
        <v>8</v>
      </c>
      <c r="I51" s="113">
        <v>3950</v>
      </c>
      <c r="J51" s="100">
        <f t="shared" si="1"/>
        <v>31600</v>
      </c>
      <c r="K51" s="101"/>
      <c r="L51" s="102"/>
      <c r="R51" s="98"/>
    </row>
    <row r="52" spans="1:18" ht="24.75" customHeight="1">
      <c r="A52" s="5">
        <f t="shared" si="0"/>
        <v>47</v>
      </c>
      <c r="B52" s="129" t="s">
        <v>172</v>
      </c>
      <c r="C52" s="130"/>
      <c r="D52" s="131"/>
      <c r="E52" s="132"/>
      <c r="F52" s="133"/>
      <c r="G52" s="112" t="s">
        <v>301</v>
      </c>
      <c r="H52" s="112">
        <v>8</v>
      </c>
      <c r="I52" s="113">
        <v>185</v>
      </c>
      <c r="J52" s="100">
        <f t="shared" si="1"/>
        <v>1480</v>
      </c>
      <c r="K52" s="101"/>
      <c r="L52" s="102"/>
      <c r="R52" s="98"/>
    </row>
    <row r="53" spans="1:18" ht="24.75" customHeight="1">
      <c r="A53" s="5">
        <f t="shared" si="0"/>
        <v>48</v>
      </c>
      <c r="B53" s="129" t="s">
        <v>173</v>
      </c>
      <c r="C53" s="130"/>
      <c r="D53" s="131"/>
      <c r="E53" s="132"/>
      <c r="F53" s="133"/>
      <c r="G53" s="112" t="s">
        <v>301</v>
      </c>
      <c r="H53" s="112">
        <v>3</v>
      </c>
      <c r="I53" s="113">
        <v>65</v>
      </c>
      <c r="J53" s="100">
        <f t="shared" si="1"/>
        <v>195</v>
      </c>
      <c r="K53" s="101"/>
      <c r="L53" s="102"/>
      <c r="R53" s="98"/>
    </row>
    <row r="54" spans="1:18" ht="24.75" customHeight="1">
      <c r="A54" s="5">
        <f t="shared" si="0"/>
        <v>49</v>
      </c>
      <c r="B54" s="129" t="s">
        <v>174</v>
      </c>
      <c r="C54" s="130"/>
      <c r="D54" s="131"/>
      <c r="E54" s="132"/>
      <c r="F54" s="133"/>
      <c r="G54" s="112" t="s">
        <v>301</v>
      </c>
      <c r="H54" s="112">
        <v>40</v>
      </c>
      <c r="I54" s="113">
        <v>48</v>
      </c>
      <c r="J54" s="100">
        <f t="shared" si="1"/>
        <v>1920</v>
      </c>
      <c r="K54" s="101"/>
      <c r="L54" s="102"/>
      <c r="R54" s="98"/>
    </row>
    <row r="55" spans="1:18" ht="24.75" customHeight="1">
      <c r="A55" s="5">
        <f t="shared" si="0"/>
        <v>50</v>
      </c>
      <c r="B55" s="129" t="s">
        <v>175</v>
      </c>
      <c r="C55" s="130"/>
      <c r="D55" s="131"/>
      <c r="E55" s="132"/>
      <c r="F55" s="133"/>
      <c r="G55" s="112" t="s">
        <v>301</v>
      </c>
      <c r="H55" s="112">
        <v>15</v>
      </c>
      <c r="I55" s="113">
        <v>163</v>
      </c>
      <c r="J55" s="100">
        <f t="shared" si="1"/>
        <v>2445</v>
      </c>
      <c r="K55" s="101"/>
      <c r="L55" s="102"/>
      <c r="R55" s="98"/>
    </row>
    <row r="56" spans="1:18" ht="24.75" customHeight="1">
      <c r="A56" s="5">
        <f t="shared" si="0"/>
        <v>51</v>
      </c>
      <c r="B56" s="129" t="s">
        <v>176</v>
      </c>
      <c r="C56" s="130"/>
      <c r="D56" s="131"/>
      <c r="E56" s="132"/>
      <c r="F56" s="133"/>
      <c r="G56" s="112" t="s">
        <v>301</v>
      </c>
      <c r="H56" s="112">
        <v>5</v>
      </c>
      <c r="I56" s="113">
        <v>25</v>
      </c>
      <c r="J56" s="100">
        <f t="shared" si="1"/>
        <v>125</v>
      </c>
      <c r="K56" s="101"/>
      <c r="L56" s="102"/>
      <c r="R56" s="98"/>
    </row>
    <row r="57" spans="1:18" ht="24.75" customHeight="1">
      <c r="A57" s="5">
        <f t="shared" si="0"/>
        <v>52</v>
      </c>
      <c r="B57" s="129" t="s">
        <v>177</v>
      </c>
      <c r="C57" s="130"/>
      <c r="D57" s="131"/>
      <c r="E57" s="132"/>
      <c r="F57" s="133"/>
      <c r="G57" s="112" t="s">
        <v>301</v>
      </c>
      <c r="H57" s="112">
        <v>3</v>
      </c>
      <c r="I57" s="113">
        <v>98</v>
      </c>
      <c r="J57" s="100">
        <f t="shared" si="1"/>
        <v>294</v>
      </c>
      <c r="K57" s="101"/>
      <c r="L57" s="102"/>
      <c r="R57" s="98"/>
    </row>
    <row r="58" spans="1:18" ht="24.75" customHeight="1">
      <c r="A58" s="5">
        <f t="shared" si="0"/>
        <v>53</v>
      </c>
      <c r="B58" s="129" t="s">
        <v>178</v>
      </c>
      <c r="C58" s="130"/>
      <c r="D58" s="131"/>
      <c r="E58" s="132"/>
      <c r="F58" s="133"/>
      <c r="G58" s="112" t="s">
        <v>301</v>
      </c>
      <c r="H58" s="112">
        <v>30</v>
      </c>
      <c r="I58" s="113">
        <v>11</v>
      </c>
      <c r="J58" s="100">
        <f t="shared" si="1"/>
        <v>330</v>
      </c>
      <c r="K58" s="101"/>
      <c r="L58" s="102"/>
      <c r="R58" s="98"/>
    </row>
    <row r="59" spans="1:18" ht="30" customHeight="1">
      <c r="A59" s="5">
        <f t="shared" si="0"/>
        <v>54</v>
      </c>
      <c r="B59" s="129" t="s">
        <v>179</v>
      </c>
      <c r="C59" s="130"/>
      <c r="D59" s="131"/>
      <c r="E59" s="132"/>
      <c r="F59" s="133"/>
      <c r="G59" s="112" t="s">
        <v>301</v>
      </c>
      <c r="H59" s="112">
        <v>150</v>
      </c>
      <c r="I59" s="113">
        <v>550</v>
      </c>
      <c r="J59" s="100">
        <f t="shared" si="1"/>
        <v>82500</v>
      </c>
      <c r="K59" s="101"/>
      <c r="L59" s="102"/>
      <c r="R59" s="98"/>
    </row>
    <row r="60" spans="1:18" ht="30" customHeight="1">
      <c r="A60" s="5">
        <f t="shared" si="0"/>
        <v>55</v>
      </c>
      <c r="B60" s="129" t="s">
        <v>180</v>
      </c>
      <c r="C60" s="130"/>
      <c r="D60" s="131"/>
      <c r="E60" s="132"/>
      <c r="F60" s="133"/>
      <c r="G60" s="112" t="s">
        <v>301</v>
      </c>
      <c r="H60" s="112">
        <v>5</v>
      </c>
      <c r="I60" s="113">
        <v>2150</v>
      </c>
      <c r="J60" s="100">
        <f t="shared" si="1"/>
        <v>10750</v>
      </c>
      <c r="K60" s="101"/>
      <c r="L60" s="102"/>
      <c r="R60" s="98"/>
    </row>
    <row r="61" spans="1:18" ht="30" customHeight="1">
      <c r="A61" s="5">
        <f t="shared" si="0"/>
        <v>56</v>
      </c>
      <c r="B61" s="129" t="s">
        <v>181</v>
      </c>
      <c r="C61" s="130"/>
      <c r="D61" s="131"/>
      <c r="E61" s="132"/>
      <c r="F61" s="133"/>
      <c r="G61" s="112" t="s">
        <v>301</v>
      </c>
      <c r="H61" s="112">
        <v>10</v>
      </c>
      <c r="I61" s="113">
        <v>560</v>
      </c>
      <c r="J61" s="100">
        <f t="shared" si="1"/>
        <v>5600</v>
      </c>
      <c r="K61" s="101"/>
      <c r="L61" s="102"/>
      <c r="R61" s="98"/>
    </row>
    <row r="62" spans="1:18" ht="24.75" customHeight="1">
      <c r="A62" s="5">
        <f t="shared" si="0"/>
        <v>57</v>
      </c>
      <c r="B62" s="129" t="s">
        <v>182</v>
      </c>
      <c r="C62" s="130"/>
      <c r="D62" s="131"/>
      <c r="E62" s="132"/>
      <c r="F62" s="133"/>
      <c r="G62" s="112" t="s">
        <v>301</v>
      </c>
      <c r="H62" s="112">
        <v>1</v>
      </c>
      <c r="I62" s="113">
        <v>887</v>
      </c>
      <c r="J62" s="100">
        <f t="shared" si="1"/>
        <v>887</v>
      </c>
      <c r="K62" s="101"/>
      <c r="L62" s="102"/>
      <c r="R62" s="98"/>
    </row>
    <row r="63" spans="1:18" ht="24.75" customHeight="1">
      <c r="A63" s="5">
        <f t="shared" si="0"/>
        <v>58</v>
      </c>
      <c r="B63" s="129" t="s">
        <v>183</v>
      </c>
      <c r="C63" s="130"/>
      <c r="D63" s="131"/>
      <c r="E63" s="132"/>
      <c r="F63" s="133"/>
      <c r="G63" s="112" t="s">
        <v>301</v>
      </c>
      <c r="H63" s="112">
        <v>10</v>
      </c>
      <c r="I63" s="113">
        <v>438</v>
      </c>
      <c r="J63" s="100">
        <f t="shared" si="1"/>
        <v>4380</v>
      </c>
      <c r="K63" s="101"/>
      <c r="L63" s="102"/>
      <c r="R63" s="98"/>
    </row>
    <row r="64" spans="1:18" ht="24.75" customHeight="1">
      <c r="A64" s="5">
        <f t="shared" si="0"/>
        <v>59</v>
      </c>
      <c r="B64" s="129" t="s">
        <v>184</v>
      </c>
      <c r="C64" s="130"/>
      <c r="D64" s="131"/>
      <c r="E64" s="132"/>
      <c r="F64" s="133"/>
      <c r="G64" s="112" t="s">
        <v>301</v>
      </c>
      <c r="H64" s="112">
        <v>200</v>
      </c>
      <c r="I64" s="113">
        <v>89</v>
      </c>
      <c r="J64" s="100">
        <f t="shared" si="1"/>
        <v>17800</v>
      </c>
      <c r="K64" s="101"/>
      <c r="L64" s="102"/>
      <c r="R64" s="98"/>
    </row>
    <row r="65" spans="1:18" ht="23.25" customHeight="1">
      <c r="A65" s="5">
        <f t="shared" si="0"/>
        <v>60</v>
      </c>
      <c r="B65" s="129" t="s">
        <v>185</v>
      </c>
      <c r="C65" s="130"/>
      <c r="D65" s="131"/>
      <c r="E65" s="132"/>
      <c r="F65" s="133"/>
      <c r="G65" s="112" t="s">
        <v>301</v>
      </c>
      <c r="H65" s="112">
        <v>260</v>
      </c>
      <c r="I65" s="113">
        <v>12.8</v>
      </c>
      <c r="J65" s="100">
        <f t="shared" si="1"/>
        <v>3328</v>
      </c>
      <c r="K65" s="101"/>
      <c r="L65" s="102"/>
      <c r="R65" s="98"/>
    </row>
    <row r="66" spans="1:18" ht="23.25" customHeight="1">
      <c r="A66" s="5">
        <f t="shared" si="0"/>
        <v>61</v>
      </c>
      <c r="B66" s="129" t="s">
        <v>186</v>
      </c>
      <c r="C66" s="130"/>
      <c r="D66" s="131"/>
      <c r="E66" s="132"/>
      <c r="F66" s="133"/>
      <c r="G66" s="112" t="s">
        <v>301</v>
      </c>
      <c r="H66" s="112">
        <v>100</v>
      </c>
      <c r="I66" s="113">
        <v>2</v>
      </c>
      <c r="J66" s="100">
        <f t="shared" si="1"/>
        <v>200</v>
      </c>
      <c r="K66" s="101"/>
      <c r="L66" s="102"/>
      <c r="R66" s="98"/>
    </row>
    <row r="67" spans="1:18" ht="23.25" customHeight="1">
      <c r="A67" s="5">
        <f t="shared" si="0"/>
        <v>62</v>
      </c>
      <c r="B67" s="129" t="s">
        <v>187</v>
      </c>
      <c r="C67" s="130"/>
      <c r="D67" s="131"/>
      <c r="E67" s="132"/>
      <c r="F67" s="133"/>
      <c r="G67" s="112" t="s">
        <v>301</v>
      </c>
      <c r="H67" s="112">
        <v>900</v>
      </c>
      <c r="I67" s="113">
        <v>1.8</v>
      </c>
      <c r="J67" s="100">
        <f t="shared" si="1"/>
        <v>1620</v>
      </c>
      <c r="K67" s="101"/>
      <c r="L67" s="102"/>
      <c r="R67" s="98"/>
    </row>
    <row r="68" spans="1:18" ht="23.25" customHeight="1">
      <c r="A68" s="5">
        <f t="shared" si="0"/>
        <v>63</v>
      </c>
      <c r="B68" s="129" t="s">
        <v>188</v>
      </c>
      <c r="C68" s="130"/>
      <c r="D68" s="131"/>
      <c r="E68" s="132"/>
      <c r="F68" s="133"/>
      <c r="G68" s="112" t="s">
        <v>301</v>
      </c>
      <c r="H68" s="112">
        <v>100</v>
      </c>
      <c r="I68" s="113">
        <v>35</v>
      </c>
      <c r="J68" s="100">
        <f t="shared" si="1"/>
        <v>3500</v>
      </c>
      <c r="K68" s="101"/>
      <c r="L68" s="102"/>
      <c r="R68" s="98"/>
    </row>
    <row r="69" spans="1:18" ht="23.25" customHeight="1">
      <c r="A69" s="5">
        <f t="shared" si="0"/>
        <v>64</v>
      </c>
      <c r="B69" s="129" t="s">
        <v>189</v>
      </c>
      <c r="C69" s="130"/>
      <c r="D69" s="131"/>
      <c r="E69" s="132"/>
      <c r="F69" s="133"/>
      <c r="G69" s="112" t="s">
        <v>301</v>
      </c>
      <c r="H69" s="112">
        <v>130</v>
      </c>
      <c r="I69" s="113">
        <v>13</v>
      </c>
      <c r="J69" s="100">
        <f t="shared" si="1"/>
        <v>1690</v>
      </c>
      <c r="K69" s="101"/>
      <c r="L69" s="102"/>
      <c r="R69" s="98"/>
    </row>
    <row r="70" spans="1:18" ht="23.25" customHeight="1">
      <c r="A70" s="5">
        <f t="shared" ref="A70:A133" si="2">ROW(A65)</f>
        <v>65</v>
      </c>
      <c r="B70" s="129" t="s">
        <v>190</v>
      </c>
      <c r="C70" s="130"/>
      <c r="D70" s="131"/>
      <c r="E70" s="132"/>
      <c r="F70" s="133"/>
      <c r="G70" s="112" t="s">
        <v>301</v>
      </c>
      <c r="H70" s="112">
        <v>260</v>
      </c>
      <c r="I70" s="113">
        <v>5.9</v>
      </c>
      <c r="J70" s="100">
        <f t="shared" si="1"/>
        <v>1534</v>
      </c>
      <c r="K70" s="101"/>
      <c r="L70" s="102"/>
      <c r="R70" s="98"/>
    </row>
    <row r="71" spans="1:18" ht="23.25" customHeight="1">
      <c r="A71" s="5">
        <f t="shared" si="2"/>
        <v>66</v>
      </c>
      <c r="B71" s="129" t="s">
        <v>156</v>
      </c>
      <c r="C71" s="130"/>
      <c r="D71" s="131"/>
      <c r="E71" s="132"/>
      <c r="F71" s="133"/>
      <c r="G71" s="112" t="s">
        <v>301</v>
      </c>
      <c r="H71" s="112">
        <v>520</v>
      </c>
      <c r="I71" s="113">
        <v>21</v>
      </c>
      <c r="J71" s="100">
        <f t="shared" ref="J71:J134" si="3">H71*I71</f>
        <v>10920</v>
      </c>
      <c r="K71" s="101"/>
      <c r="L71" s="102"/>
      <c r="R71" s="98"/>
    </row>
    <row r="72" spans="1:18" ht="23.25" customHeight="1">
      <c r="A72" s="5">
        <f t="shared" si="2"/>
        <v>67</v>
      </c>
      <c r="B72" s="129" t="s">
        <v>191</v>
      </c>
      <c r="C72" s="130"/>
      <c r="D72" s="131"/>
      <c r="E72" s="132"/>
      <c r="F72" s="133"/>
      <c r="G72" s="112" t="s">
        <v>301</v>
      </c>
      <c r="H72" s="112">
        <v>520</v>
      </c>
      <c r="I72" s="113">
        <v>25</v>
      </c>
      <c r="J72" s="100">
        <f t="shared" si="3"/>
        <v>13000</v>
      </c>
      <c r="K72" s="101"/>
      <c r="L72" s="102"/>
      <c r="R72" s="98"/>
    </row>
    <row r="73" spans="1:18" ht="23.25" customHeight="1">
      <c r="A73" s="5">
        <f t="shared" si="2"/>
        <v>68</v>
      </c>
      <c r="B73" s="129" t="s">
        <v>192</v>
      </c>
      <c r="C73" s="130"/>
      <c r="D73" s="131"/>
      <c r="E73" s="132"/>
      <c r="F73" s="133"/>
      <c r="G73" s="112" t="s">
        <v>301</v>
      </c>
      <c r="H73" s="112">
        <v>500</v>
      </c>
      <c r="I73" s="113">
        <v>98</v>
      </c>
      <c r="J73" s="100">
        <f t="shared" si="3"/>
        <v>49000</v>
      </c>
      <c r="K73" s="101"/>
      <c r="L73" s="102"/>
      <c r="R73" s="98"/>
    </row>
    <row r="74" spans="1:18" ht="23.25" customHeight="1">
      <c r="A74" s="5">
        <f t="shared" si="2"/>
        <v>69</v>
      </c>
      <c r="B74" s="129" t="s">
        <v>193</v>
      </c>
      <c r="C74" s="130"/>
      <c r="D74" s="131"/>
      <c r="E74" s="132"/>
      <c r="F74" s="133"/>
      <c r="G74" s="112" t="s">
        <v>301</v>
      </c>
      <c r="H74" s="112">
        <v>2</v>
      </c>
      <c r="I74" s="113">
        <v>480</v>
      </c>
      <c r="J74" s="100">
        <f t="shared" si="3"/>
        <v>960</v>
      </c>
      <c r="K74" s="101"/>
      <c r="L74" s="102"/>
      <c r="R74" s="98"/>
    </row>
    <row r="75" spans="1:18" ht="23.25" customHeight="1">
      <c r="A75" s="5">
        <f t="shared" si="2"/>
        <v>70</v>
      </c>
      <c r="B75" s="129" t="s">
        <v>194</v>
      </c>
      <c r="C75" s="130"/>
      <c r="D75" s="131"/>
      <c r="E75" s="132"/>
      <c r="F75" s="133"/>
      <c r="G75" s="112" t="s">
        <v>301</v>
      </c>
      <c r="H75" s="112">
        <v>4</v>
      </c>
      <c r="I75" s="113">
        <v>2100</v>
      </c>
      <c r="J75" s="100">
        <f t="shared" si="3"/>
        <v>8400</v>
      </c>
      <c r="K75" s="101"/>
      <c r="L75" s="102"/>
      <c r="R75" s="98"/>
    </row>
    <row r="76" spans="1:18" ht="23.25" customHeight="1">
      <c r="A76" s="5">
        <f t="shared" si="2"/>
        <v>71</v>
      </c>
      <c r="B76" s="129" t="s">
        <v>195</v>
      </c>
      <c r="C76" s="130"/>
      <c r="D76" s="131"/>
      <c r="E76" s="132"/>
      <c r="F76" s="133"/>
      <c r="G76" s="112" t="s">
        <v>301</v>
      </c>
      <c r="H76" s="112">
        <v>5</v>
      </c>
      <c r="I76" s="113">
        <v>110</v>
      </c>
      <c r="J76" s="100">
        <f t="shared" si="3"/>
        <v>550</v>
      </c>
      <c r="K76" s="101"/>
      <c r="L76" s="102"/>
      <c r="R76" s="98"/>
    </row>
    <row r="77" spans="1:18" ht="23.25" customHeight="1">
      <c r="A77" s="5">
        <f t="shared" si="2"/>
        <v>72</v>
      </c>
      <c r="B77" s="129" t="s">
        <v>196</v>
      </c>
      <c r="C77" s="130"/>
      <c r="D77" s="131"/>
      <c r="E77" s="132"/>
      <c r="F77" s="133"/>
      <c r="G77" s="112" t="s">
        <v>301</v>
      </c>
      <c r="H77" s="112">
        <v>5</v>
      </c>
      <c r="I77" s="113">
        <v>11</v>
      </c>
      <c r="J77" s="100">
        <f t="shared" si="3"/>
        <v>55</v>
      </c>
      <c r="K77" s="101"/>
      <c r="L77" s="102"/>
      <c r="R77" s="98"/>
    </row>
    <row r="78" spans="1:18" ht="23.25" customHeight="1">
      <c r="A78" s="5">
        <f t="shared" si="2"/>
        <v>73</v>
      </c>
      <c r="B78" s="129" t="s">
        <v>197</v>
      </c>
      <c r="C78" s="130"/>
      <c r="D78" s="131"/>
      <c r="E78" s="132"/>
      <c r="F78" s="133"/>
      <c r="G78" s="112" t="s">
        <v>301</v>
      </c>
      <c r="H78" s="112">
        <v>5</v>
      </c>
      <c r="I78" s="113">
        <v>32</v>
      </c>
      <c r="J78" s="100">
        <f t="shared" si="3"/>
        <v>160</v>
      </c>
      <c r="K78" s="101"/>
      <c r="L78" s="102"/>
      <c r="R78" s="98"/>
    </row>
    <row r="79" spans="1:18" ht="23.25" customHeight="1">
      <c r="A79" s="5">
        <f t="shared" si="2"/>
        <v>74</v>
      </c>
      <c r="B79" s="129" t="s">
        <v>198</v>
      </c>
      <c r="C79" s="130"/>
      <c r="D79" s="131"/>
      <c r="E79" s="132"/>
      <c r="F79" s="133"/>
      <c r="G79" s="112" t="s">
        <v>301</v>
      </c>
      <c r="H79" s="112">
        <v>1</v>
      </c>
      <c r="I79" s="113">
        <v>35</v>
      </c>
      <c r="J79" s="100">
        <f t="shared" si="3"/>
        <v>35</v>
      </c>
      <c r="K79" s="101"/>
      <c r="L79" s="102"/>
      <c r="R79" s="98"/>
    </row>
    <row r="80" spans="1:18" ht="23.25" customHeight="1">
      <c r="A80" s="5">
        <f t="shared" si="2"/>
        <v>75</v>
      </c>
      <c r="B80" s="129" t="s">
        <v>199</v>
      </c>
      <c r="C80" s="130"/>
      <c r="D80" s="131"/>
      <c r="E80" s="132"/>
      <c r="F80" s="133"/>
      <c r="G80" s="112" t="s">
        <v>301</v>
      </c>
      <c r="H80" s="112">
        <v>1</v>
      </c>
      <c r="I80" s="113">
        <v>2240</v>
      </c>
      <c r="J80" s="100">
        <f t="shared" si="3"/>
        <v>2240</v>
      </c>
      <c r="K80" s="101"/>
      <c r="L80" s="102"/>
      <c r="R80" s="98"/>
    </row>
    <row r="81" spans="1:18" ht="23.25" customHeight="1">
      <c r="A81" s="5">
        <f t="shared" si="2"/>
        <v>76</v>
      </c>
      <c r="B81" s="129" t="s">
        <v>200</v>
      </c>
      <c r="C81" s="130"/>
      <c r="D81" s="131"/>
      <c r="E81" s="132"/>
      <c r="F81" s="133"/>
      <c r="G81" s="112" t="s">
        <v>301</v>
      </c>
      <c r="H81" s="112">
        <v>3</v>
      </c>
      <c r="I81" s="113">
        <v>12</v>
      </c>
      <c r="J81" s="100">
        <f t="shared" si="3"/>
        <v>36</v>
      </c>
      <c r="K81" s="101"/>
      <c r="L81" s="102"/>
      <c r="R81" s="98"/>
    </row>
    <row r="82" spans="1:18" ht="23.25" customHeight="1">
      <c r="A82" s="5">
        <f t="shared" si="2"/>
        <v>77</v>
      </c>
      <c r="B82" s="129" t="s">
        <v>201</v>
      </c>
      <c r="C82" s="130"/>
      <c r="D82" s="131"/>
      <c r="E82" s="132"/>
      <c r="F82" s="133"/>
      <c r="G82" s="112" t="s">
        <v>301</v>
      </c>
      <c r="H82" s="112">
        <v>400</v>
      </c>
      <c r="I82" s="113">
        <v>2.5</v>
      </c>
      <c r="J82" s="100">
        <f t="shared" si="3"/>
        <v>1000</v>
      </c>
      <c r="K82" s="101"/>
      <c r="L82" s="102"/>
      <c r="R82" s="98"/>
    </row>
    <row r="83" spans="1:18" ht="23.25" customHeight="1">
      <c r="A83" s="5">
        <f t="shared" si="2"/>
        <v>78</v>
      </c>
      <c r="B83" s="129" t="s">
        <v>202</v>
      </c>
      <c r="C83" s="130"/>
      <c r="D83" s="131"/>
      <c r="E83" s="132"/>
      <c r="F83" s="133"/>
      <c r="G83" s="112" t="s">
        <v>301</v>
      </c>
      <c r="H83" s="112">
        <v>10</v>
      </c>
      <c r="I83" s="113">
        <v>820</v>
      </c>
      <c r="J83" s="100">
        <f t="shared" si="3"/>
        <v>8200</v>
      </c>
      <c r="K83" s="101"/>
      <c r="L83" s="102"/>
      <c r="R83" s="98"/>
    </row>
    <row r="84" spans="1:18" ht="23.25" customHeight="1">
      <c r="A84" s="5">
        <f t="shared" si="2"/>
        <v>79</v>
      </c>
      <c r="B84" s="129" t="s">
        <v>203</v>
      </c>
      <c r="C84" s="130"/>
      <c r="D84" s="131"/>
      <c r="E84" s="132"/>
      <c r="F84" s="133"/>
      <c r="G84" s="112" t="s">
        <v>301</v>
      </c>
      <c r="H84" s="112">
        <v>1</v>
      </c>
      <c r="I84" s="113">
        <v>1880</v>
      </c>
      <c r="J84" s="100">
        <f t="shared" si="3"/>
        <v>1880</v>
      </c>
      <c r="K84" s="101"/>
      <c r="L84" s="102"/>
      <c r="R84" s="98"/>
    </row>
    <row r="85" spans="1:18" ht="23.25" customHeight="1">
      <c r="A85" s="5">
        <f t="shared" si="2"/>
        <v>80</v>
      </c>
      <c r="B85" s="129" t="s">
        <v>204</v>
      </c>
      <c r="C85" s="130"/>
      <c r="D85" s="131"/>
      <c r="E85" s="132"/>
      <c r="F85" s="133"/>
      <c r="G85" s="112" t="s">
        <v>301</v>
      </c>
      <c r="H85" s="112">
        <v>8000</v>
      </c>
      <c r="I85" s="113">
        <v>1.5</v>
      </c>
      <c r="J85" s="100">
        <f t="shared" si="3"/>
        <v>12000</v>
      </c>
      <c r="K85" s="101"/>
      <c r="L85" s="102"/>
      <c r="R85" s="98"/>
    </row>
    <row r="86" spans="1:18" ht="33.75" customHeight="1">
      <c r="A86" s="5">
        <f t="shared" si="2"/>
        <v>81</v>
      </c>
      <c r="B86" s="129" t="s">
        <v>205</v>
      </c>
      <c r="C86" s="130"/>
      <c r="D86" s="131"/>
      <c r="E86" s="132"/>
      <c r="F86" s="133"/>
      <c r="G86" s="112" t="s">
        <v>301</v>
      </c>
      <c r="H86" s="112">
        <v>1</v>
      </c>
      <c r="I86" s="113">
        <v>680</v>
      </c>
      <c r="J86" s="100">
        <f t="shared" si="3"/>
        <v>680</v>
      </c>
      <c r="K86" s="101"/>
      <c r="L86" s="102"/>
      <c r="R86" s="98"/>
    </row>
    <row r="87" spans="1:18" ht="23.25" customHeight="1">
      <c r="A87" s="5">
        <f t="shared" si="2"/>
        <v>82</v>
      </c>
      <c r="B87" s="129" t="s">
        <v>206</v>
      </c>
      <c r="C87" s="130"/>
      <c r="D87" s="131"/>
      <c r="E87" s="132"/>
      <c r="F87" s="133"/>
      <c r="G87" s="112" t="s">
        <v>301</v>
      </c>
      <c r="H87" s="112">
        <v>10</v>
      </c>
      <c r="I87" s="113">
        <v>5</v>
      </c>
      <c r="J87" s="100">
        <f t="shared" si="3"/>
        <v>50</v>
      </c>
      <c r="K87" s="101"/>
      <c r="L87" s="102"/>
      <c r="R87" s="98"/>
    </row>
    <row r="88" spans="1:18" ht="23.25" customHeight="1">
      <c r="A88" s="5">
        <f t="shared" si="2"/>
        <v>83</v>
      </c>
      <c r="B88" s="129" t="s">
        <v>207</v>
      </c>
      <c r="C88" s="130"/>
      <c r="D88" s="131"/>
      <c r="E88" s="132"/>
      <c r="F88" s="133"/>
      <c r="G88" s="112" t="s">
        <v>301</v>
      </c>
      <c r="H88" s="112">
        <v>15</v>
      </c>
      <c r="I88" s="113">
        <v>4.5999999999999996</v>
      </c>
      <c r="J88" s="100">
        <f t="shared" si="3"/>
        <v>69</v>
      </c>
      <c r="K88" s="101"/>
      <c r="L88" s="102"/>
      <c r="R88" s="98"/>
    </row>
    <row r="89" spans="1:18" ht="23.25" customHeight="1">
      <c r="A89" s="5">
        <f t="shared" si="2"/>
        <v>84</v>
      </c>
      <c r="B89" s="129" t="s">
        <v>208</v>
      </c>
      <c r="C89" s="130"/>
      <c r="D89" s="131"/>
      <c r="E89" s="132"/>
      <c r="F89" s="133"/>
      <c r="G89" s="112" t="s">
        <v>301</v>
      </c>
      <c r="H89" s="112">
        <v>50</v>
      </c>
      <c r="I89" s="113">
        <v>4</v>
      </c>
      <c r="J89" s="100">
        <f t="shared" si="3"/>
        <v>200</v>
      </c>
      <c r="K89" s="101"/>
      <c r="L89" s="102"/>
      <c r="R89" s="98"/>
    </row>
    <row r="90" spans="1:18" ht="23.25" customHeight="1">
      <c r="A90" s="5">
        <f t="shared" si="2"/>
        <v>85</v>
      </c>
      <c r="B90" s="129" t="s">
        <v>209</v>
      </c>
      <c r="C90" s="130"/>
      <c r="D90" s="131"/>
      <c r="E90" s="132"/>
      <c r="F90" s="133"/>
      <c r="G90" s="112" t="s">
        <v>301</v>
      </c>
      <c r="H90" s="112">
        <v>30</v>
      </c>
      <c r="I90" s="113">
        <v>4.5999999999999996</v>
      </c>
      <c r="J90" s="100">
        <f t="shared" si="3"/>
        <v>138</v>
      </c>
      <c r="K90" s="101"/>
      <c r="L90" s="102"/>
      <c r="R90" s="98"/>
    </row>
    <row r="91" spans="1:18" ht="23.25" customHeight="1">
      <c r="A91" s="5">
        <f t="shared" si="2"/>
        <v>86</v>
      </c>
      <c r="B91" s="129" t="s">
        <v>210</v>
      </c>
      <c r="C91" s="130"/>
      <c r="D91" s="131"/>
      <c r="E91" s="132"/>
      <c r="F91" s="133"/>
      <c r="G91" s="112" t="s">
        <v>301</v>
      </c>
      <c r="H91" s="112">
        <v>150</v>
      </c>
      <c r="I91" s="113">
        <v>4.5</v>
      </c>
      <c r="J91" s="100">
        <f t="shared" si="3"/>
        <v>675</v>
      </c>
      <c r="K91" s="101"/>
      <c r="L91" s="102"/>
      <c r="R91" s="98"/>
    </row>
    <row r="92" spans="1:18" ht="23.25" customHeight="1">
      <c r="A92" s="5">
        <f t="shared" si="2"/>
        <v>87</v>
      </c>
      <c r="B92" s="129" t="s">
        <v>211</v>
      </c>
      <c r="C92" s="130"/>
      <c r="D92" s="131"/>
      <c r="E92" s="132"/>
      <c r="F92" s="133"/>
      <c r="G92" s="112" t="s">
        <v>301</v>
      </c>
      <c r="H92" s="112">
        <v>700</v>
      </c>
      <c r="I92" s="113">
        <v>6</v>
      </c>
      <c r="J92" s="100">
        <f t="shared" si="3"/>
        <v>4200</v>
      </c>
      <c r="K92" s="101"/>
      <c r="L92" s="102"/>
      <c r="R92" s="98"/>
    </row>
    <row r="93" spans="1:18" ht="23.25" customHeight="1">
      <c r="A93" s="5">
        <f t="shared" si="2"/>
        <v>88</v>
      </c>
      <c r="B93" s="129" t="s">
        <v>212</v>
      </c>
      <c r="C93" s="130"/>
      <c r="D93" s="131"/>
      <c r="E93" s="132"/>
      <c r="F93" s="133"/>
      <c r="G93" s="112" t="s">
        <v>301</v>
      </c>
      <c r="H93" s="112">
        <v>700</v>
      </c>
      <c r="I93" s="113">
        <v>13</v>
      </c>
      <c r="J93" s="100">
        <f t="shared" si="3"/>
        <v>9100</v>
      </c>
      <c r="K93" s="101"/>
      <c r="L93" s="102"/>
      <c r="R93" s="98"/>
    </row>
    <row r="94" spans="1:18" ht="23.25" customHeight="1">
      <c r="A94" s="5">
        <f t="shared" si="2"/>
        <v>89</v>
      </c>
      <c r="B94" s="129" t="s">
        <v>213</v>
      </c>
      <c r="C94" s="130"/>
      <c r="D94" s="131"/>
      <c r="E94" s="132"/>
      <c r="F94" s="133"/>
      <c r="G94" s="112" t="s">
        <v>301</v>
      </c>
      <c r="H94" s="112">
        <v>10</v>
      </c>
      <c r="I94" s="113">
        <v>21</v>
      </c>
      <c r="J94" s="100">
        <f t="shared" si="3"/>
        <v>210</v>
      </c>
      <c r="K94" s="101"/>
      <c r="L94" s="102"/>
      <c r="R94" s="98"/>
    </row>
    <row r="95" spans="1:18" ht="23.25" customHeight="1">
      <c r="A95" s="5">
        <f t="shared" si="2"/>
        <v>90</v>
      </c>
      <c r="B95" s="129" t="s">
        <v>214</v>
      </c>
      <c r="C95" s="130"/>
      <c r="D95" s="131"/>
      <c r="E95" s="132"/>
      <c r="F95" s="133"/>
      <c r="G95" s="112" t="s">
        <v>301</v>
      </c>
      <c r="H95" s="112">
        <v>10</v>
      </c>
      <c r="I95" s="113">
        <v>6</v>
      </c>
      <c r="J95" s="100">
        <f t="shared" si="3"/>
        <v>60</v>
      </c>
      <c r="K95" s="101"/>
      <c r="L95" s="102"/>
      <c r="R95" s="98"/>
    </row>
    <row r="96" spans="1:18" ht="23.25" customHeight="1">
      <c r="A96" s="5">
        <f t="shared" si="2"/>
        <v>91</v>
      </c>
      <c r="B96" s="129" t="s">
        <v>215</v>
      </c>
      <c r="C96" s="130"/>
      <c r="D96" s="131"/>
      <c r="E96" s="132"/>
      <c r="F96" s="133"/>
      <c r="G96" s="112" t="s">
        <v>301</v>
      </c>
      <c r="H96" s="112">
        <v>10</v>
      </c>
      <c r="I96" s="113">
        <v>8</v>
      </c>
      <c r="J96" s="100">
        <f t="shared" si="3"/>
        <v>80</v>
      </c>
      <c r="K96" s="101"/>
      <c r="L96" s="102"/>
      <c r="R96" s="98"/>
    </row>
    <row r="97" spans="1:18" ht="23.25" customHeight="1">
      <c r="A97" s="5">
        <f t="shared" si="2"/>
        <v>92</v>
      </c>
      <c r="B97" s="129" t="s">
        <v>216</v>
      </c>
      <c r="C97" s="130"/>
      <c r="D97" s="131"/>
      <c r="E97" s="132"/>
      <c r="F97" s="133"/>
      <c r="G97" s="112" t="s">
        <v>301</v>
      </c>
      <c r="H97" s="112">
        <v>10</v>
      </c>
      <c r="I97" s="113">
        <v>9</v>
      </c>
      <c r="J97" s="100">
        <f t="shared" si="3"/>
        <v>90</v>
      </c>
      <c r="K97" s="101"/>
      <c r="L97" s="102"/>
      <c r="R97" s="98"/>
    </row>
    <row r="98" spans="1:18" ht="23.25" customHeight="1">
      <c r="A98" s="5">
        <f t="shared" si="2"/>
        <v>93</v>
      </c>
      <c r="B98" s="129" t="s">
        <v>217</v>
      </c>
      <c r="C98" s="130"/>
      <c r="D98" s="131"/>
      <c r="E98" s="132"/>
      <c r="F98" s="133"/>
      <c r="G98" s="112" t="s">
        <v>301</v>
      </c>
      <c r="H98" s="112">
        <v>2</v>
      </c>
      <c r="I98" s="113">
        <v>250</v>
      </c>
      <c r="J98" s="100">
        <f t="shared" si="3"/>
        <v>500</v>
      </c>
      <c r="K98" s="101"/>
      <c r="L98" s="102"/>
      <c r="R98" s="98"/>
    </row>
    <row r="99" spans="1:18" ht="23.25" customHeight="1">
      <c r="A99" s="5">
        <f t="shared" si="2"/>
        <v>94</v>
      </c>
      <c r="B99" s="129" t="s">
        <v>218</v>
      </c>
      <c r="C99" s="130"/>
      <c r="D99" s="131"/>
      <c r="E99" s="132"/>
      <c r="F99" s="133"/>
      <c r="G99" s="112" t="s">
        <v>301</v>
      </c>
      <c r="H99" s="112">
        <v>5</v>
      </c>
      <c r="I99" s="113">
        <v>105</v>
      </c>
      <c r="J99" s="100">
        <f t="shared" si="3"/>
        <v>525</v>
      </c>
      <c r="K99" s="101"/>
      <c r="L99" s="102"/>
      <c r="R99" s="98"/>
    </row>
    <row r="100" spans="1:18" ht="23.25" customHeight="1">
      <c r="A100" s="5">
        <f t="shared" si="2"/>
        <v>95</v>
      </c>
      <c r="B100" s="129" t="s">
        <v>219</v>
      </c>
      <c r="C100" s="130"/>
      <c r="D100" s="131"/>
      <c r="E100" s="132"/>
      <c r="F100" s="133"/>
      <c r="G100" s="112" t="s">
        <v>301</v>
      </c>
      <c r="H100" s="112">
        <v>450</v>
      </c>
      <c r="I100" s="113">
        <v>1.84</v>
      </c>
      <c r="J100" s="100">
        <f t="shared" si="3"/>
        <v>828</v>
      </c>
      <c r="K100" s="101"/>
      <c r="L100" s="102"/>
      <c r="R100" s="98"/>
    </row>
    <row r="101" spans="1:18" ht="23.25" customHeight="1">
      <c r="A101" s="5">
        <f t="shared" si="2"/>
        <v>96</v>
      </c>
      <c r="B101" s="129" t="s">
        <v>220</v>
      </c>
      <c r="C101" s="130"/>
      <c r="D101" s="131"/>
      <c r="E101" s="132"/>
      <c r="F101" s="133"/>
      <c r="G101" s="112" t="s">
        <v>301</v>
      </c>
      <c r="H101" s="112">
        <v>100</v>
      </c>
      <c r="I101" s="113">
        <v>3.3</v>
      </c>
      <c r="J101" s="100">
        <f t="shared" si="3"/>
        <v>330</v>
      </c>
      <c r="K101" s="101"/>
      <c r="L101" s="102"/>
      <c r="R101" s="98"/>
    </row>
    <row r="102" spans="1:18" ht="23.25" customHeight="1">
      <c r="A102" s="5">
        <f t="shared" si="2"/>
        <v>97</v>
      </c>
      <c r="B102" s="129" t="s">
        <v>221</v>
      </c>
      <c r="C102" s="130"/>
      <c r="D102" s="131"/>
      <c r="E102" s="132"/>
      <c r="F102" s="133"/>
      <c r="G102" s="112" t="s">
        <v>301</v>
      </c>
      <c r="H102" s="112">
        <v>2000</v>
      </c>
      <c r="I102" s="113">
        <v>1.7</v>
      </c>
      <c r="J102" s="100">
        <f t="shared" si="3"/>
        <v>3400</v>
      </c>
      <c r="K102" s="101"/>
      <c r="L102" s="102"/>
      <c r="R102" s="98"/>
    </row>
    <row r="103" spans="1:18" ht="23.25" customHeight="1">
      <c r="A103" s="5">
        <f t="shared" si="2"/>
        <v>98</v>
      </c>
      <c r="B103" s="129" t="s">
        <v>222</v>
      </c>
      <c r="C103" s="130"/>
      <c r="D103" s="131"/>
      <c r="E103" s="132"/>
      <c r="F103" s="133"/>
      <c r="G103" s="112" t="s">
        <v>301</v>
      </c>
      <c r="H103" s="112">
        <v>1000</v>
      </c>
      <c r="I103" s="113">
        <v>2.2000000000000002</v>
      </c>
      <c r="J103" s="100">
        <f t="shared" si="3"/>
        <v>2200</v>
      </c>
      <c r="K103" s="101"/>
      <c r="L103" s="102"/>
      <c r="R103" s="98"/>
    </row>
    <row r="104" spans="1:18" ht="23.25" customHeight="1">
      <c r="A104" s="5">
        <f t="shared" si="2"/>
        <v>99</v>
      </c>
      <c r="B104" s="129" t="s">
        <v>223</v>
      </c>
      <c r="C104" s="130"/>
      <c r="D104" s="131"/>
      <c r="E104" s="132"/>
      <c r="F104" s="133"/>
      <c r="G104" s="112" t="s">
        <v>301</v>
      </c>
      <c r="H104" s="112">
        <v>3500</v>
      </c>
      <c r="I104" s="113">
        <v>1.5</v>
      </c>
      <c r="J104" s="100">
        <f t="shared" si="3"/>
        <v>5250</v>
      </c>
      <c r="K104" s="101"/>
      <c r="L104" s="102"/>
      <c r="R104" s="98"/>
    </row>
    <row r="105" spans="1:18" ht="23.25" customHeight="1">
      <c r="A105" s="5">
        <f t="shared" si="2"/>
        <v>100</v>
      </c>
      <c r="B105" s="129" t="s">
        <v>224</v>
      </c>
      <c r="C105" s="130"/>
      <c r="D105" s="131"/>
      <c r="E105" s="132"/>
      <c r="F105" s="133"/>
      <c r="G105" s="112" t="s">
        <v>301</v>
      </c>
      <c r="H105" s="112">
        <v>50</v>
      </c>
      <c r="I105" s="113">
        <v>97</v>
      </c>
      <c r="J105" s="100">
        <f t="shared" si="3"/>
        <v>4850</v>
      </c>
      <c r="K105" s="101"/>
      <c r="L105" s="102"/>
      <c r="R105" s="98"/>
    </row>
    <row r="106" spans="1:18" ht="23.25" customHeight="1">
      <c r="A106" s="5">
        <f t="shared" si="2"/>
        <v>101</v>
      </c>
      <c r="B106" s="129" t="s">
        <v>225</v>
      </c>
      <c r="C106" s="130"/>
      <c r="D106" s="131"/>
      <c r="E106" s="132"/>
      <c r="F106" s="133"/>
      <c r="G106" s="112" t="s">
        <v>301</v>
      </c>
      <c r="H106" s="112">
        <v>125</v>
      </c>
      <c r="I106" s="113">
        <v>24.5</v>
      </c>
      <c r="J106" s="100">
        <f t="shared" si="3"/>
        <v>3062.5</v>
      </c>
      <c r="K106" s="101"/>
      <c r="L106" s="102"/>
      <c r="R106" s="98"/>
    </row>
    <row r="107" spans="1:18" ht="23.25" customHeight="1">
      <c r="A107" s="5">
        <f t="shared" si="2"/>
        <v>102</v>
      </c>
      <c r="B107" s="129" t="s">
        <v>226</v>
      </c>
      <c r="C107" s="130"/>
      <c r="D107" s="131"/>
      <c r="E107" s="132"/>
      <c r="F107" s="133"/>
      <c r="G107" s="112" t="s">
        <v>301</v>
      </c>
      <c r="H107" s="112">
        <v>100</v>
      </c>
      <c r="I107" s="113">
        <v>13</v>
      </c>
      <c r="J107" s="100">
        <f t="shared" si="3"/>
        <v>1300</v>
      </c>
      <c r="K107" s="101"/>
      <c r="L107" s="102"/>
      <c r="R107" s="98"/>
    </row>
    <row r="108" spans="1:18" ht="23.25" customHeight="1">
      <c r="A108" s="5">
        <f t="shared" si="2"/>
        <v>103</v>
      </c>
      <c r="B108" s="129" t="s">
        <v>227</v>
      </c>
      <c r="C108" s="130"/>
      <c r="D108" s="131"/>
      <c r="E108" s="132"/>
      <c r="F108" s="133"/>
      <c r="G108" s="112" t="s">
        <v>301</v>
      </c>
      <c r="H108" s="112">
        <v>100</v>
      </c>
      <c r="I108" s="113">
        <v>13</v>
      </c>
      <c r="J108" s="100">
        <f t="shared" si="3"/>
        <v>1300</v>
      </c>
      <c r="K108" s="101"/>
      <c r="L108" s="102"/>
      <c r="R108" s="98"/>
    </row>
    <row r="109" spans="1:18" ht="23.25" customHeight="1">
      <c r="A109" s="5">
        <f t="shared" si="2"/>
        <v>104</v>
      </c>
      <c r="B109" s="129" t="s">
        <v>228</v>
      </c>
      <c r="C109" s="130"/>
      <c r="D109" s="131"/>
      <c r="E109" s="132"/>
      <c r="F109" s="133"/>
      <c r="G109" s="112" t="s">
        <v>301</v>
      </c>
      <c r="H109" s="112">
        <v>350</v>
      </c>
      <c r="I109" s="113">
        <v>5.9</v>
      </c>
      <c r="J109" s="100">
        <f t="shared" si="3"/>
        <v>2065</v>
      </c>
      <c r="K109" s="101"/>
      <c r="L109" s="102"/>
      <c r="R109" s="98"/>
    </row>
    <row r="110" spans="1:18" ht="23.25" customHeight="1">
      <c r="A110" s="5">
        <f t="shared" si="2"/>
        <v>105</v>
      </c>
      <c r="B110" s="129" t="s">
        <v>156</v>
      </c>
      <c r="C110" s="130"/>
      <c r="D110" s="131"/>
      <c r="E110" s="132"/>
      <c r="F110" s="133"/>
      <c r="G110" s="112" t="s">
        <v>301</v>
      </c>
      <c r="H110" s="112">
        <v>120</v>
      </c>
      <c r="I110" s="113">
        <v>21</v>
      </c>
      <c r="J110" s="100">
        <f t="shared" si="3"/>
        <v>2520</v>
      </c>
      <c r="K110" s="101"/>
      <c r="L110" s="102"/>
      <c r="R110" s="98"/>
    </row>
    <row r="111" spans="1:18" ht="23.25" customHeight="1">
      <c r="A111" s="5">
        <f t="shared" si="2"/>
        <v>106</v>
      </c>
      <c r="B111" s="129" t="s">
        <v>191</v>
      </c>
      <c r="C111" s="130"/>
      <c r="D111" s="131"/>
      <c r="E111" s="132"/>
      <c r="F111" s="133"/>
      <c r="G111" s="112" t="s">
        <v>301</v>
      </c>
      <c r="H111" s="112">
        <v>120</v>
      </c>
      <c r="I111" s="113">
        <v>25</v>
      </c>
      <c r="J111" s="100">
        <f t="shared" si="3"/>
        <v>3000</v>
      </c>
      <c r="K111" s="101"/>
      <c r="L111" s="102"/>
      <c r="R111" s="98"/>
    </row>
    <row r="112" spans="1:18" ht="23.25" customHeight="1">
      <c r="A112" s="5">
        <f t="shared" si="2"/>
        <v>107</v>
      </c>
      <c r="B112" s="129" t="s">
        <v>229</v>
      </c>
      <c r="C112" s="130"/>
      <c r="D112" s="131"/>
      <c r="E112" s="132"/>
      <c r="F112" s="133"/>
      <c r="G112" s="112" t="s">
        <v>301</v>
      </c>
      <c r="H112" s="112">
        <v>500</v>
      </c>
      <c r="I112" s="113">
        <v>12</v>
      </c>
      <c r="J112" s="100">
        <f t="shared" si="3"/>
        <v>6000</v>
      </c>
      <c r="K112" s="101"/>
      <c r="L112" s="102"/>
      <c r="R112" s="98"/>
    </row>
    <row r="113" spans="1:18" ht="23.25" customHeight="1">
      <c r="A113" s="5">
        <f t="shared" si="2"/>
        <v>108</v>
      </c>
      <c r="B113" s="129" t="s">
        <v>230</v>
      </c>
      <c r="C113" s="130"/>
      <c r="D113" s="131"/>
      <c r="E113" s="132"/>
      <c r="F113" s="133"/>
      <c r="G113" s="112" t="s">
        <v>301</v>
      </c>
      <c r="H113" s="112">
        <v>700</v>
      </c>
      <c r="I113" s="113">
        <v>5.8</v>
      </c>
      <c r="J113" s="100">
        <f t="shared" si="3"/>
        <v>4060</v>
      </c>
      <c r="K113" s="101"/>
      <c r="L113" s="102"/>
      <c r="R113" s="98"/>
    </row>
    <row r="114" spans="1:18" ht="23.25" customHeight="1">
      <c r="A114" s="5">
        <f t="shared" si="2"/>
        <v>109</v>
      </c>
      <c r="B114" s="129" t="s">
        <v>231</v>
      </c>
      <c r="C114" s="130"/>
      <c r="D114" s="131"/>
      <c r="E114" s="132"/>
      <c r="F114" s="133"/>
      <c r="G114" s="112" t="s">
        <v>301</v>
      </c>
      <c r="H114" s="112">
        <v>700</v>
      </c>
      <c r="I114" s="113">
        <v>9.8000000000000007</v>
      </c>
      <c r="J114" s="100">
        <f t="shared" si="3"/>
        <v>6860.0000000000009</v>
      </c>
      <c r="K114" s="101"/>
      <c r="L114" s="102"/>
      <c r="R114" s="98"/>
    </row>
    <row r="115" spans="1:18" ht="23.25" customHeight="1">
      <c r="A115" s="5">
        <f t="shared" si="2"/>
        <v>110</v>
      </c>
      <c r="B115" s="129" t="s">
        <v>232</v>
      </c>
      <c r="C115" s="130"/>
      <c r="D115" s="131"/>
      <c r="E115" s="132"/>
      <c r="F115" s="133"/>
      <c r="G115" s="112" t="s">
        <v>301</v>
      </c>
      <c r="H115" s="112">
        <v>40</v>
      </c>
      <c r="I115" s="113">
        <v>364</v>
      </c>
      <c r="J115" s="100">
        <f t="shared" si="3"/>
        <v>14560</v>
      </c>
      <c r="K115" s="101"/>
      <c r="L115" s="102"/>
      <c r="R115" s="98"/>
    </row>
    <row r="116" spans="1:18" ht="23.25" customHeight="1">
      <c r="A116" s="5">
        <f t="shared" si="2"/>
        <v>111</v>
      </c>
      <c r="B116" s="129" t="s">
        <v>233</v>
      </c>
      <c r="C116" s="130"/>
      <c r="D116" s="131"/>
      <c r="E116" s="132"/>
      <c r="F116" s="133"/>
      <c r="G116" s="112" t="s">
        <v>301</v>
      </c>
      <c r="H116" s="112">
        <v>100</v>
      </c>
      <c r="I116" s="113">
        <v>15.8</v>
      </c>
      <c r="J116" s="100">
        <f t="shared" si="3"/>
        <v>1580</v>
      </c>
      <c r="K116" s="101"/>
      <c r="L116" s="102"/>
      <c r="R116" s="98"/>
    </row>
    <row r="117" spans="1:18" ht="23.25" customHeight="1">
      <c r="A117" s="5">
        <f t="shared" si="2"/>
        <v>112</v>
      </c>
      <c r="B117" s="129" t="s">
        <v>234</v>
      </c>
      <c r="C117" s="130"/>
      <c r="D117" s="131"/>
      <c r="E117" s="132"/>
      <c r="F117" s="133"/>
      <c r="G117" s="112" t="s">
        <v>301</v>
      </c>
      <c r="H117" s="112">
        <v>100</v>
      </c>
      <c r="I117" s="113">
        <v>15.8</v>
      </c>
      <c r="J117" s="100">
        <f t="shared" si="3"/>
        <v>1580</v>
      </c>
      <c r="K117" s="101"/>
      <c r="L117" s="102"/>
      <c r="R117" s="98"/>
    </row>
    <row r="118" spans="1:18" ht="23.25" customHeight="1">
      <c r="A118" s="5">
        <f t="shared" si="2"/>
        <v>113</v>
      </c>
      <c r="B118" s="129" t="s">
        <v>235</v>
      </c>
      <c r="C118" s="130"/>
      <c r="D118" s="131"/>
      <c r="E118" s="132"/>
      <c r="F118" s="133"/>
      <c r="G118" s="112" t="s">
        <v>301</v>
      </c>
      <c r="H118" s="112">
        <v>100</v>
      </c>
      <c r="I118" s="113">
        <v>15.8</v>
      </c>
      <c r="J118" s="100">
        <f t="shared" si="3"/>
        <v>1580</v>
      </c>
      <c r="K118" s="101"/>
      <c r="L118" s="102"/>
      <c r="R118" s="98"/>
    </row>
    <row r="119" spans="1:18" ht="23.25" customHeight="1">
      <c r="A119" s="5">
        <f t="shared" si="2"/>
        <v>114</v>
      </c>
      <c r="B119" s="129" t="s">
        <v>236</v>
      </c>
      <c r="C119" s="130"/>
      <c r="D119" s="131"/>
      <c r="E119" s="132"/>
      <c r="F119" s="133"/>
      <c r="G119" s="112" t="s">
        <v>301</v>
      </c>
      <c r="H119" s="112">
        <v>100</v>
      </c>
      <c r="I119" s="113">
        <v>15.8</v>
      </c>
      <c r="J119" s="100">
        <f t="shared" si="3"/>
        <v>1580</v>
      </c>
      <c r="K119" s="101"/>
      <c r="L119" s="102"/>
      <c r="R119" s="98"/>
    </row>
    <row r="120" spans="1:18" ht="23.25" customHeight="1">
      <c r="A120" s="5">
        <f t="shared" si="2"/>
        <v>115</v>
      </c>
      <c r="B120" s="129" t="s">
        <v>237</v>
      </c>
      <c r="C120" s="130"/>
      <c r="D120" s="131"/>
      <c r="E120" s="132"/>
      <c r="F120" s="133"/>
      <c r="G120" s="112" t="s">
        <v>301</v>
      </c>
      <c r="H120" s="112">
        <v>70</v>
      </c>
      <c r="I120" s="113">
        <v>78</v>
      </c>
      <c r="J120" s="100">
        <f t="shared" si="3"/>
        <v>5460</v>
      </c>
      <c r="K120" s="101"/>
      <c r="L120" s="102"/>
      <c r="R120" s="98"/>
    </row>
    <row r="121" spans="1:18" ht="23.25" customHeight="1">
      <c r="A121" s="5">
        <f t="shared" si="2"/>
        <v>116</v>
      </c>
      <c r="B121" s="129" t="s">
        <v>238</v>
      </c>
      <c r="C121" s="130"/>
      <c r="D121" s="131"/>
      <c r="E121" s="132"/>
      <c r="F121" s="133"/>
      <c r="G121" s="112" t="s">
        <v>301</v>
      </c>
      <c r="H121" s="112">
        <v>150</v>
      </c>
      <c r="I121" s="113">
        <v>12</v>
      </c>
      <c r="J121" s="100">
        <f t="shared" si="3"/>
        <v>1800</v>
      </c>
      <c r="K121" s="101"/>
      <c r="L121" s="102"/>
      <c r="R121" s="98"/>
    </row>
    <row r="122" spans="1:18" ht="23.25" customHeight="1">
      <c r="A122" s="5">
        <f t="shared" si="2"/>
        <v>117</v>
      </c>
      <c r="B122" s="129" t="s">
        <v>239</v>
      </c>
      <c r="C122" s="130"/>
      <c r="D122" s="131"/>
      <c r="E122" s="132"/>
      <c r="F122" s="133"/>
      <c r="G122" s="112" t="s">
        <v>301</v>
      </c>
      <c r="H122" s="112">
        <v>60</v>
      </c>
      <c r="I122" s="113">
        <v>30.5</v>
      </c>
      <c r="J122" s="100">
        <f t="shared" si="3"/>
        <v>1830</v>
      </c>
      <c r="K122" s="101"/>
      <c r="L122" s="102"/>
      <c r="R122" s="98"/>
    </row>
    <row r="123" spans="1:18" ht="23.25" customHeight="1">
      <c r="A123" s="5">
        <f t="shared" si="2"/>
        <v>118</v>
      </c>
      <c r="B123" s="129" t="s">
        <v>240</v>
      </c>
      <c r="C123" s="130"/>
      <c r="D123" s="131"/>
      <c r="E123" s="132"/>
      <c r="F123" s="133"/>
      <c r="G123" s="112" t="s">
        <v>301</v>
      </c>
      <c r="H123" s="112">
        <v>1</v>
      </c>
      <c r="I123" s="113">
        <v>135</v>
      </c>
      <c r="J123" s="100">
        <f t="shared" si="3"/>
        <v>135</v>
      </c>
      <c r="K123" s="101"/>
      <c r="L123" s="102"/>
      <c r="R123" s="98"/>
    </row>
    <row r="124" spans="1:18" ht="23.25" customHeight="1">
      <c r="A124" s="5">
        <f t="shared" si="2"/>
        <v>119</v>
      </c>
      <c r="B124" s="129" t="s">
        <v>241</v>
      </c>
      <c r="C124" s="130"/>
      <c r="D124" s="131"/>
      <c r="E124" s="132"/>
      <c r="F124" s="133"/>
      <c r="G124" s="112" t="s">
        <v>301</v>
      </c>
      <c r="H124" s="112">
        <v>50</v>
      </c>
      <c r="I124" s="113">
        <v>98</v>
      </c>
      <c r="J124" s="100">
        <f t="shared" si="3"/>
        <v>4900</v>
      </c>
      <c r="K124" s="101"/>
      <c r="L124" s="102"/>
      <c r="R124" s="98"/>
    </row>
    <row r="125" spans="1:18" ht="23.25" customHeight="1">
      <c r="A125" s="5">
        <f t="shared" si="2"/>
        <v>120</v>
      </c>
      <c r="B125" s="129" t="s">
        <v>242</v>
      </c>
      <c r="C125" s="130"/>
      <c r="D125" s="131"/>
      <c r="E125" s="132"/>
      <c r="F125" s="133"/>
      <c r="G125" s="112" t="s">
        <v>301</v>
      </c>
      <c r="H125" s="112">
        <v>4</v>
      </c>
      <c r="I125" s="113">
        <v>470</v>
      </c>
      <c r="J125" s="100">
        <f t="shared" si="3"/>
        <v>1880</v>
      </c>
      <c r="K125" s="101"/>
      <c r="L125" s="102"/>
      <c r="R125" s="98"/>
    </row>
    <row r="126" spans="1:18" ht="23.25" customHeight="1">
      <c r="A126" s="5">
        <f t="shared" si="2"/>
        <v>121</v>
      </c>
      <c r="B126" s="129" t="s">
        <v>243</v>
      </c>
      <c r="C126" s="130"/>
      <c r="D126" s="131"/>
      <c r="E126" s="132"/>
      <c r="F126" s="133"/>
      <c r="G126" s="112" t="s">
        <v>301</v>
      </c>
      <c r="H126" s="112">
        <v>2</v>
      </c>
      <c r="I126" s="113">
        <v>39</v>
      </c>
      <c r="J126" s="100">
        <f t="shared" si="3"/>
        <v>78</v>
      </c>
      <c r="K126" s="101"/>
      <c r="L126" s="102"/>
      <c r="R126" s="98"/>
    </row>
    <row r="127" spans="1:18" ht="23.25" customHeight="1">
      <c r="A127" s="5">
        <f t="shared" si="2"/>
        <v>122</v>
      </c>
      <c r="B127" s="129" t="s">
        <v>244</v>
      </c>
      <c r="C127" s="130"/>
      <c r="D127" s="131"/>
      <c r="E127" s="132"/>
      <c r="F127" s="133"/>
      <c r="G127" s="112" t="s">
        <v>301</v>
      </c>
      <c r="H127" s="112">
        <v>4</v>
      </c>
      <c r="I127" s="113">
        <v>235</v>
      </c>
      <c r="J127" s="100">
        <f t="shared" si="3"/>
        <v>940</v>
      </c>
      <c r="K127" s="101"/>
      <c r="L127" s="102"/>
      <c r="R127" s="98"/>
    </row>
    <row r="128" spans="1:18" ht="33" customHeight="1">
      <c r="A128" s="5">
        <f t="shared" si="2"/>
        <v>123</v>
      </c>
      <c r="B128" s="129" t="s">
        <v>245</v>
      </c>
      <c r="C128" s="130"/>
      <c r="D128" s="131"/>
      <c r="E128" s="132"/>
      <c r="F128" s="133"/>
      <c r="G128" s="112" t="s">
        <v>301</v>
      </c>
      <c r="H128" s="112">
        <v>3</v>
      </c>
      <c r="I128" s="113">
        <v>1800</v>
      </c>
      <c r="J128" s="100">
        <f t="shared" si="3"/>
        <v>5400</v>
      </c>
      <c r="K128" s="101"/>
      <c r="L128" s="102"/>
      <c r="R128" s="98"/>
    </row>
    <row r="129" spans="1:18" ht="33" customHeight="1">
      <c r="A129" s="5">
        <f t="shared" si="2"/>
        <v>124</v>
      </c>
      <c r="B129" s="129" t="s">
        <v>246</v>
      </c>
      <c r="C129" s="130"/>
      <c r="D129" s="131"/>
      <c r="E129" s="132"/>
      <c r="F129" s="133"/>
      <c r="G129" s="112" t="s">
        <v>301</v>
      </c>
      <c r="H129" s="112">
        <v>2</v>
      </c>
      <c r="I129" s="113">
        <v>2200</v>
      </c>
      <c r="J129" s="100">
        <f t="shared" si="3"/>
        <v>4400</v>
      </c>
      <c r="K129" s="101"/>
      <c r="L129" s="102"/>
      <c r="R129" s="98"/>
    </row>
    <row r="130" spans="1:18" ht="33" customHeight="1">
      <c r="A130" s="5">
        <f t="shared" si="2"/>
        <v>125</v>
      </c>
      <c r="B130" s="129" t="s">
        <v>247</v>
      </c>
      <c r="C130" s="130"/>
      <c r="D130" s="131"/>
      <c r="E130" s="132"/>
      <c r="F130" s="133"/>
      <c r="G130" s="112" t="s">
        <v>301</v>
      </c>
      <c r="H130" s="112">
        <v>5</v>
      </c>
      <c r="I130" s="113">
        <v>2300</v>
      </c>
      <c r="J130" s="100">
        <f t="shared" si="3"/>
        <v>11500</v>
      </c>
      <c r="K130" s="101"/>
      <c r="L130" s="102"/>
      <c r="R130" s="98"/>
    </row>
    <row r="131" spans="1:18" ht="23.25" customHeight="1">
      <c r="A131" s="5">
        <f t="shared" si="2"/>
        <v>126</v>
      </c>
      <c r="B131" s="129" t="s">
        <v>248</v>
      </c>
      <c r="C131" s="130"/>
      <c r="D131" s="131"/>
      <c r="E131" s="132"/>
      <c r="F131" s="133"/>
      <c r="G131" s="112" t="s">
        <v>301</v>
      </c>
      <c r="H131" s="112">
        <v>2</v>
      </c>
      <c r="I131" s="113">
        <v>253</v>
      </c>
      <c r="J131" s="100">
        <f t="shared" si="3"/>
        <v>506</v>
      </c>
      <c r="K131" s="101"/>
      <c r="L131" s="102"/>
      <c r="R131" s="98"/>
    </row>
    <row r="132" spans="1:18" ht="23.25" customHeight="1">
      <c r="A132" s="5">
        <f t="shared" si="2"/>
        <v>127</v>
      </c>
      <c r="B132" s="129" t="s">
        <v>249</v>
      </c>
      <c r="C132" s="130"/>
      <c r="D132" s="131"/>
      <c r="E132" s="132"/>
      <c r="F132" s="133"/>
      <c r="G132" s="112" t="s">
        <v>301</v>
      </c>
      <c r="H132" s="112">
        <v>2</v>
      </c>
      <c r="I132" s="113">
        <v>540</v>
      </c>
      <c r="J132" s="100">
        <f t="shared" si="3"/>
        <v>1080</v>
      </c>
      <c r="K132" s="101"/>
      <c r="L132" s="102"/>
      <c r="R132" s="98"/>
    </row>
    <row r="133" spans="1:18" ht="23.25" customHeight="1">
      <c r="A133" s="5">
        <f t="shared" si="2"/>
        <v>128</v>
      </c>
      <c r="B133" s="129" t="s">
        <v>250</v>
      </c>
      <c r="C133" s="130"/>
      <c r="D133" s="131"/>
      <c r="E133" s="132"/>
      <c r="F133" s="133"/>
      <c r="G133" s="112" t="s">
        <v>301</v>
      </c>
      <c r="H133" s="112">
        <v>1</v>
      </c>
      <c r="I133" s="113">
        <v>1080</v>
      </c>
      <c r="J133" s="100">
        <f t="shared" si="3"/>
        <v>1080</v>
      </c>
      <c r="K133" s="101"/>
      <c r="L133" s="102"/>
      <c r="R133" s="98"/>
    </row>
    <row r="134" spans="1:18" ht="23.25" customHeight="1">
      <c r="A134" s="5">
        <f t="shared" ref="A134:A184" si="4">ROW(A129)</f>
        <v>129</v>
      </c>
      <c r="B134" s="129" t="s">
        <v>251</v>
      </c>
      <c r="C134" s="130"/>
      <c r="D134" s="131"/>
      <c r="E134" s="132"/>
      <c r="F134" s="133"/>
      <c r="G134" s="112" t="s">
        <v>301</v>
      </c>
      <c r="H134" s="112">
        <v>2</v>
      </c>
      <c r="I134" s="113">
        <v>1190</v>
      </c>
      <c r="J134" s="100">
        <f t="shared" si="3"/>
        <v>2380</v>
      </c>
      <c r="K134" s="101"/>
      <c r="L134" s="102"/>
      <c r="R134" s="98"/>
    </row>
    <row r="135" spans="1:18" ht="23.25" customHeight="1">
      <c r="A135" s="5">
        <f t="shared" si="4"/>
        <v>130</v>
      </c>
      <c r="B135" s="129" t="s">
        <v>252</v>
      </c>
      <c r="C135" s="130"/>
      <c r="D135" s="131"/>
      <c r="E135" s="132"/>
      <c r="F135" s="133"/>
      <c r="G135" s="112" t="s">
        <v>301</v>
      </c>
      <c r="H135" s="112">
        <v>2</v>
      </c>
      <c r="I135" s="113">
        <v>2395</v>
      </c>
      <c r="J135" s="100">
        <f t="shared" ref="J135:J184" si="5">H135*I135</f>
        <v>4790</v>
      </c>
      <c r="K135" s="101"/>
      <c r="L135" s="102"/>
      <c r="R135" s="98"/>
    </row>
    <row r="136" spans="1:18" ht="23.25" customHeight="1">
      <c r="A136" s="5">
        <f t="shared" si="4"/>
        <v>131</v>
      </c>
      <c r="B136" s="129" t="s">
        <v>253</v>
      </c>
      <c r="C136" s="130"/>
      <c r="D136" s="131"/>
      <c r="E136" s="132"/>
      <c r="F136" s="133"/>
      <c r="G136" s="112" t="s">
        <v>301</v>
      </c>
      <c r="H136" s="112">
        <v>1</v>
      </c>
      <c r="I136" s="113">
        <v>4840</v>
      </c>
      <c r="J136" s="100">
        <f t="shared" si="5"/>
        <v>4840</v>
      </c>
      <c r="K136" s="101"/>
      <c r="L136" s="102"/>
      <c r="R136" s="98"/>
    </row>
    <row r="137" spans="1:18" ht="23.25" customHeight="1">
      <c r="A137" s="5">
        <f t="shared" si="4"/>
        <v>132</v>
      </c>
      <c r="B137" s="129" t="s">
        <v>254</v>
      </c>
      <c r="C137" s="130"/>
      <c r="D137" s="131"/>
      <c r="E137" s="132"/>
      <c r="F137" s="133"/>
      <c r="G137" s="112" t="s">
        <v>301</v>
      </c>
      <c r="H137" s="112">
        <v>5000</v>
      </c>
      <c r="I137" s="113">
        <v>4.5</v>
      </c>
      <c r="J137" s="100">
        <f t="shared" si="5"/>
        <v>22500</v>
      </c>
      <c r="K137" s="101"/>
      <c r="L137" s="102"/>
      <c r="R137" s="98"/>
    </row>
    <row r="138" spans="1:18" ht="23.25" customHeight="1">
      <c r="A138" s="5">
        <f t="shared" si="4"/>
        <v>133</v>
      </c>
      <c r="B138" s="129" t="s">
        <v>255</v>
      </c>
      <c r="C138" s="130"/>
      <c r="D138" s="131"/>
      <c r="E138" s="132"/>
      <c r="F138" s="133"/>
      <c r="G138" s="112" t="s">
        <v>301</v>
      </c>
      <c r="H138" s="112">
        <v>700</v>
      </c>
      <c r="I138" s="113">
        <v>9.1999999999999993</v>
      </c>
      <c r="J138" s="100">
        <f t="shared" si="5"/>
        <v>6439.9999999999991</v>
      </c>
      <c r="K138" s="101"/>
      <c r="L138" s="102"/>
      <c r="R138" s="98"/>
    </row>
    <row r="139" spans="1:18" ht="23.25" customHeight="1">
      <c r="A139" s="5">
        <f t="shared" si="4"/>
        <v>134</v>
      </c>
      <c r="B139" s="129" t="s">
        <v>256</v>
      </c>
      <c r="C139" s="130"/>
      <c r="D139" s="131"/>
      <c r="E139" s="132"/>
      <c r="F139" s="133"/>
      <c r="G139" s="112" t="s">
        <v>301</v>
      </c>
      <c r="H139" s="112">
        <v>400</v>
      </c>
      <c r="I139" s="113">
        <v>18.5</v>
      </c>
      <c r="J139" s="100">
        <f t="shared" si="5"/>
        <v>7400</v>
      </c>
      <c r="K139" s="101"/>
      <c r="L139" s="102"/>
      <c r="R139" s="98"/>
    </row>
    <row r="140" spans="1:18" ht="23.25" customHeight="1">
      <c r="A140" s="5">
        <f t="shared" si="4"/>
        <v>135</v>
      </c>
      <c r="B140" s="129" t="s">
        <v>257</v>
      </c>
      <c r="C140" s="130"/>
      <c r="D140" s="131"/>
      <c r="E140" s="132"/>
      <c r="F140" s="133"/>
      <c r="G140" s="112" t="s">
        <v>301</v>
      </c>
      <c r="H140" s="112">
        <v>1800</v>
      </c>
      <c r="I140" s="113">
        <v>5</v>
      </c>
      <c r="J140" s="100">
        <f t="shared" si="5"/>
        <v>9000</v>
      </c>
      <c r="K140" s="101"/>
      <c r="L140" s="102"/>
      <c r="R140" s="98"/>
    </row>
    <row r="141" spans="1:18" ht="23.25" customHeight="1">
      <c r="A141" s="5">
        <f t="shared" si="4"/>
        <v>136</v>
      </c>
      <c r="B141" s="129" t="s">
        <v>258</v>
      </c>
      <c r="C141" s="130"/>
      <c r="D141" s="131"/>
      <c r="E141" s="132"/>
      <c r="F141" s="133"/>
      <c r="G141" s="112" t="s">
        <v>301</v>
      </c>
      <c r="H141" s="112">
        <v>4700</v>
      </c>
      <c r="I141" s="113">
        <v>0.55000000000000004</v>
      </c>
      <c r="J141" s="100">
        <f t="shared" si="5"/>
        <v>2585</v>
      </c>
      <c r="K141" s="101"/>
      <c r="L141" s="102"/>
      <c r="R141" s="98"/>
    </row>
    <row r="142" spans="1:18" ht="23.25" customHeight="1">
      <c r="A142" s="5">
        <f t="shared" si="4"/>
        <v>137</v>
      </c>
      <c r="B142" s="129" t="s">
        <v>259</v>
      </c>
      <c r="C142" s="130"/>
      <c r="D142" s="131"/>
      <c r="E142" s="132"/>
      <c r="F142" s="133"/>
      <c r="G142" s="112" t="s">
        <v>301</v>
      </c>
      <c r="H142" s="112">
        <v>30</v>
      </c>
      <c r="I142" s="113">
        <v>23.5</v>
      </c>
      <c r="J142" s="100">
        <f t="shared" si="5"/>
        <v>705</v>
      </c>
      <c r="K142" s="101"/>
      <c r="L142" s="102"/>
      <c r="R142" s="98"/>
    </row>
    <row r="143" spans="1:18" ht="23.25" customHeight="1">
      <c r="A143" s="5">
        <f t="shared" si="4"/>
        <v>138</v>
      </c>
      <c r="B143" s="129" t="s">
        <v>260</v>
      </c>
      <c r="C143" s="130"/>
      <c r="D143" s="131"/>
      <c r="E143" s="132"/>
      <c r="F143" s="133"/>
      <c r="G143" s="112" t="s">
        <v>301</v>
      </c>
      <c r="H143" s="112">
        <v>400</v>
      </c>
      <c r="I143" s="113">
        <v>12</v>
      </c>
      <c r="J143" s="100">
        <f t="shared" si="5"/>
        <v>4800</v>
      </c>
      <c r="K143" s="101"/>
      <c r="L143" s="102"/>
      <c r="R143" s="98"/>
    </row>
    <row r="144" spans="1:18" ht="23.25" customHeight="1">
      <c r="A144" s="5">
        <f t="shared" si="4"/>
        <v>139</v>
      </c>
      <c r="B144" s="129" t="s">
        <v>156</v>
      </c>
      <c r="C144" s="130"/>
      <c r="D144" s="131"/>
      <c r="E144" s="132"/>
      <c r="F144" s="133"/>
      <c r="G144" s="112" t="s">
        <v>301</v>
      </c>
      <c r="H144" s="112">
        <v>600</v>
      </c>
      <c r="I144" s="113">
        <v>21</v>
      </c>
      <c r="J144" s="100">
        <f t="shared" si="5"/>
        <v>12600</v>
      </c>
      <c r="K144" s="101"/>
      <c r="L144" s="102"/>
      <c r="R144" s="98"/>
    </row>
    <row r="145" spans="1:18" ht="23.25" customHeight="1">
      <c r="A145" s="5">
        <f t="shared" si="4"/>
        <v>140</v>
      </c>
      <c r="B145" s="129" t="s">
        <v>261</v>
      </c>
      <c r="C145" s="130"/>
      <c r="D145" s="131"/>
      <c r="E145" s="132"/>
      <c r="F145" s="133"/>
      <c r="G145" s="112" t="s">
        <v>301</v>
      </c>
      <c r="H145" s="112">
        <v>350</v>
      </c>
      <c r="I145" s="113">
        <v>12</v>
      </c>
      <c r="J145" s="100">
        <f t="shared" si="5"/>
        <v>4200</v>
      </c>
      <c r="K145" s="101"/>
      <c r="L145" s="102"/>
      <c r="R145" s="98"/>
    </row>
    <row r="146" spans="1:18" ht="23.25" customHeight="1">
      <c r="A146" s="5">
        <f t="shared" si="4"/>
        <v>141</v>
      </c>
      <c r="B146" s="129" t="s">
        <v>262</v>
      </c>
      <c r="C146" s="130"/>
      <c r="D146" s="131"/>
      <c r="E146" s="132"/>
      <c r="F146" s="133"/>
      <c r="G146" s="112" t="s">
        <v>301</v>
      </c>
      <c r="H146" s="112">
        <v>500</v>
      </c>
      <c r="I146" s="113">
        <v>12</v>
      </c>
      <c r="J146" s="100">
        <f t="shared" si="5"/>
        <v>6000</v>
      </c>
      <c r="K146" s="101"/>
      <c r="L146" s="102"/>
      <c r="R146" s="98"/>
    </row>
    <row r="147" spans="1:18" ht="30" customHeight="1">
      <c r="A147" s="5">
        <f t="shared" si="4"/>
        <v>142</v>
      </c>
      <c r="B147" s="129" t="s">
        <v>263</v>
      </c>
      <c r="C147" s="130"/>
      <c r="D147" s="131"/>
      <c r="E147" s="132"/>
      <c r="F147" s="133"/>
      <c r="G147" s="112" t="s">
        <v>301</v>
      </c>
      <c r="H147" s="112">
        <v>123</v>
      </c>
      <c r="I147" s="113">
        <v>320</v>
      </c>
      <c r="J147" s="100">
        <f t="shared" si="5"/>
        <v>39360</v>
      </c>
      <c r="K147" s="101"/>
      <c r="L147" s="102"/>
      <c r="R147" s="98"/>
    </row>
    <row r="148" spans="1:18" ht="23.25" customHeight="1">
      <c r="A148" s="5">
        <f t="shared" si="4"/>
        <v>143</v>
      </c>
      <c r="B148" s="129" t="s">
        <v>264</v>
      </c>
      <c r="C148" s="130"/>
      <c r="D148" s="131"/>
      <c r="E148" s="132"/>
      <c r="F148" s="133"/>
      <c r="G148" s="112" t="s">
        <v>301</v>
      </c>
      <c r="H148" s="112">
        <v>130</v>
      </c>
      <c r="I148" s="113">
        <v>2.2000000000000002</v>
      </c>
      <c r="J148" s="100">
        <f t="shared" si="5"/>
        <v>286</v>
      </c>
      <c r="K148" s="101"/>
      <c r="L148" s="102"/>
      <c r="R148" s="98"/>
    </row>
    <row r="149" spans="1:18" ht="23.25" customHeight="1">
      <c r="A149" s="5">
        <f t="shared" si="4"/>
        <v>144</v>
      </c>
      <c r="B149" s="129" t="s">
        <v>265</v>
      </c>
      <c r="C149" s="130"/>
      <c r="D149" s="131"/>
      <c r="E149" s="132"/>
      <c r="F149" s="133"/>
      <c r="G149" s="112" t="s">
        <v>301</v>
      </c>
      <c r="H149" s="112">
        <v>20</v>
      </c>
      <c r="I149" s="113">
        <v>426</v>
      </c>
      <c r="J149" s="100">
        <f t="shared" si="5"/>
        <v>8520</v>
      </c>
      <c r="K149" s="101"/>
      <c r="L149" s="102"/>
      <c r="R149" s="98"/>
    </row>
    <row r="150" spans="1:18" ht="23.25" customHeight="1">
      <c r="A150" s="5">
        <f t="shared" si="4"/>
        <v>145</v>
      </c>
      <c r="B150" s="129" t="s">
        <v>266</v>
      </c>
      <c r="C150" s="130"/>
      <c r="D150" s="131"/>
      <c r="E150" s="132"/>
      <c r="F150" s="133"/>
      <c r="G150" s="112" t="s">
        <v>301</v>
      </c>
      <c r="H150" s="112">
        <v>5</v>
      </c>
      <c r="I150" s="113">
        <v>25</v>
      </c>
      <c r="J150" s="100">
        <f t="shared" si="5"/>
        <v>125</v>
      </c>
      <c r="K150" s="101"/>
      <c r="L150" s="102"/>
      <c r="R150" s="98"/>
    </row>
    <row r="151" spans="1:18" ht="23.25" customHeight="1">
      <c r="A151" s="5">
        <f t="shared" si="4"/>
        <v>146</v>
      </c>
      <c r="B151" s="129" t="s">
        <v>267</v>
      </c>
      <c r="C151" s="130"/>
      <c r="D151" s="131"/>
      <c r="E151" s="132"/>
      <c r="F151" s="133"/>
      <c r="G151" s="112" t="s">
        <v>301</v>
      </c>
      <c r="H151" s="112">
        <v>5</v>
      </c>
      <c r="I151" s="113">
        <v>16</v>
      </c>
      <c r="J151" s="100">
        <f t="shared" si="5"/>
        <v>80</v>
      </c>
      <c r="K151" s="101"/>
      <c r="L151" s="102"/>
      <c r="R151" s="98"/>
    </row>
    <row r="152" spans="1:18" ht="23.25" customHeight="1">
      <c r="A152" s="5">
        <f t="shared" si="4"/>
        <v>147</v>
      </c>
      <c r="B152" s="129" t="s">
        <v>268</v>
      </c>
      <c r="C152" s="130"/>
      <c r="D152" s="131"/>
      <c r="E152" s="132"/>
      <c r="F152" s="133"/>
      <c r="G152" s="112" t="s">
        <v>301</v>
      </c>
      <c r="H152" s="112">
        <v>120</v>
      </c>
      <c r="I152" s="113">
        <v>4.3</v>
      </c>
      <c r="J152" s="100">
        <f t="shared" si="5"/>
        <v>516</v>
      </c>
      <c r="K152" s="101"/>
      <c r="L152" s="102"/>
      <c r="R152" s="98"/>
    </row>
    <row r="153" spans="1:18" ht="23.25" customHeight="1">
      <c r="A153" s="5">
        <f t="shared" si="4"/>
        <v>148</v>
      </c>
      <c r="B153" s="129" t="s">
        <v>269</v>
      </c>
      <c r="C153" s="130"/>
      <c r="D153" s="131"/>
      <c r="E153" s="132"/>
      <c r="F153" s="133"/>
      <c r="G153" s="112" t="s">
        <v>301</v>
      </c>
      <c r="H153" s="112">
        <v>25</v>
      </c>
      <c r="I153" s="113">
        <v>9</v>
      </c>
      <c r="J153" s="100">
        <f t="shared" si="5"/>
        <v>225</v>
      </c>
      <c r="K153" s="101"/>
      <c r="L153" s="102"/>
      <c r="R153" s="98"/>
    </row>
    <row r="154" spans="1:18" ht="23.25" customHeight="1">
      <c r="A154" s="5">
        <f t="shared" si="4"/>
        <v>149</v>
      </c>
      <c r="B154" s="129" t="s">
        <v>270</v>
      </c>
      <c r="C154" s="130"/>
      <c r="D154" s="131"/>
      <c r="E154" s="132"/>
      <c r="F154" s="133"/>
      <c r="G154" s="112" t="s">
        <v>301</v>
      </c>
      <c r="H154" s="112">
        <v>25</v>
      </c>
      <c r="I154" s="113">
        <v>13</v>
      </c>
      <c r="J154" s="100">
        <f t="shared" si="5"/>
        <v>325</v>
      </c>
      <c r="K154" s="101"/>
      <c r="L154" s="102"/>
      <c r="R154" s="98"/>
    </row>
    <row r="155" spans="1:18" ht="36" customHeight="1">
      <c r="A155" s="5">
        <f t="shared" si="4"/>
        <v>150</v>
      </c>
      <c r="B155" s="129" t="s">
        <v>271</v>
      </c>
      <c r="C155" s="130"/>
      <c r="D155" s="131"/>
      <c r="E155" s="132"/>
      <c r="F155" s="133"/>
      <c r="G155" s="112" t="s">
        <v>301</v>
      </c>
      <c r="H155" s="112">
        <v>30</v>
      </c>
      <c r="I155" s="113">
        <v>440</v>
      </c>
      <c r="J155" s="100">
        <f t="shared" si="5"/>
        <v>13200</v>
      </c>
      <c r="K155" s="101"/>
      <c r="L155" s="102"/>
      <c r="R155" s="98"/>
    </row>
    <row r="156" spans="1:18" ht="23.25" customHeight="1">
      <c r="A156" s="5">
        <f t="shared" si="4"/>
        <v>151</v>
      </c>
      <c r="B156" s="129" t="s">
        <v>272</v>
      </c>
      <c r="C156" s="130"/>
      <c r="D156" s="131"/>
      <c r="E156" s="132"/>
      <c r="F156" s="133"/>
      <c r="G156" s="112" t="s">
        <v>301</v>
      </c>
      <c r="H156" s="112">
        <v>1300</v>
      </c>
      <c r="I156" s="113">
        <v>2.8</v>
      </c>
      <c r="J156" s="100">
        <f t="shared" si="5"/>
        <v>3639.9999999999995</v>
      </c>
      <c r="K156" s="101"/>
      <c r="L156" s="102"/>
      <c r="R156" s="98"/>
    </row>
    <row r="157" spans="1:18" ht="23.25" customHeight="1">
      <c r="A157" s="5">
        <f t="shared" si="4"/>
        <v>152</v>
      </c>
      <c r="B157" s="129" t="s">
        <v>273</v>
      </c>
      <c r="C157" s="130"/>
      <c r="D157" s="131"/>
      <c r="E157" s="132"/>
      <c r="F157" s="133"/>
      <c r="G157" s="112" t="s">
        <v>301</v>
      </c>
      <c r="H157" s="112">
        <v>1</v>
      </c>
      <c r="I157" s="113">
        <v>3750</v>
      </c>
      <c r="J157" s="100">
        <f t="shared" si="5"/>
        <v>3750</v>
      </c>
      <c r="K157" s="101"/>
      <c r="L157" s="102"/>
      <c r="R157" s="98"/>
    </row>
    <row r="158" spans="1:18" ht="23.25" customHeight="1">
      <c r="A158" s="5">
        <f t="shared" si="4"/>
        <v>153</v>
      </c>
      <c r="B158" s="129" t="s">
        <v>274</v>
      </c>
      <c r="C158" s="130"/>
      <c r="D158" s="131"/>
      <c r="E158" s="132"/>
      <c r="F158" s="133"/>
      <c r="G158" s="112" t="s">
        <v>301</v>
      </c>
      <c r="H158" s="112">
        <v>1</v>
      </c>
      <c r="I158" s="113">
        <v>164</v>
      </c>
      <c r="J158" s="100">
        <f t="shared" si="5"/>
        <v>164</v>
      </c>
      <c r="K158" s="101"/>
      <c r="L158" s="102"/>
      <c r="R158" s="98"/>
    </row>
    <row r="159" spans="1:18" ht="23.25" customHeight="1">
      <c r="A159" s="5">
        <f t="shared" si="4"/>
        <v>154</v>
      </c>
      <c r="B159" s="129" t="s">
        <v>275</v>
      </c>
      <c r="C159" s="130"/>
      <c r="D159" s="131"/>
      <c r="E159" s="132"/>
      <c r="F159" s="133"/>
      <c r="G159" s="112" t="s">
        <v>301</v>
      </c>
      <c r="H159" s="112">
        <v>70</v>
      </c>
      <c r="I159" s="113">
        <v>13</v>
      </c>
      <c r="J159" s="100">
        <f t="shared" si="5"/>
        <v>910</v>
      </c>
      <c r="K159" s="101"/>
      <c r="L159" s="102"/>
      <c r="R159" s="98"/>
    </row>
    <row r="160" spans="1:18" ht="23.25" customHeight="1">
      <c r="A160" s="5">
        <f t="shared" si="4"/>
        <v>155</v>
      </c>
      <c r="B160" s="129" t="s">
        <v>276</v>
      </c>
      <c r="C160" s="130"/>
      <c r="D160" s="131"/>
      <c r="E160" s="132"/>
      <c r="F160" s="133"/>
      <c r="G160" s="112" t="s">
        <v>301</v>
      </c>
      <c r="H160" s="112">
        <v>70</v>
      </c>
      <c r="I160" s="113">
        <v>18</v>
      </c>
      <c r="J160" s="100">
        <f t="shared" si="5"/>
        <v>1260</v>
      </c>
      <c r="K160" s="101"/>
      <c r="L160" s="102"/>
      <c r="R160" s="98"/>
    </row>
    <row r="161" spans="1:18" ht="23.25" customHeight="1">
      <c r="A161" s="5">
        <f t="shared" si="4"/>
        <v>156</v>
      </c>
      <c r="B161" s="129" t="s">
        <v>277</v>
      </c>
      <c r="C161" s="130"/>
      <c r="D161" s="131"/>
      <c r="E161" s="132"/>
      <c r="F161" s="133"/>
      <c r="G161" s="112" t="s">
        <v>301</v>
      </c>
      <c r="H161" s="112">
        <v>10</v>
      </c>
      <c r="I161" s="113">
        <v>29</v>
      </c>
      <c r="J161" s="100">
        <f t="shared" si="5"/>
        <v>290</v>
      </c>
      <c r="K161" s="101"/>
      <c r="L161" s="102"/>
      <c r="R161" s="98"/>
    </row>
    <row r="162" spans="1:18" ht="23.25" customHeight="1">
      <c r="A162" s="5">
        <f t="shared" si="4"/>
        <v>157</v>
      </c>
      <c r="B162" s="129" t="s">
        <v>278</v>
      </c>
      <c r="C162" s="130"/>
      <c r="D162" s="131"/>
      <c r="E162" s="132"/>
      <c r="F162" s="133"/>
      <c r="G162" s="112" t="s">
        <v>301</v>
      </c>
      <c r="H162" s="112">
        <v>50</v>
      </c>
      <c r="I162" s="113">
        <v>19</v>
      </c>
      <c r="J162" s="100">
        <f t="shared" si="5"/>
        <v>950</v>
      </c>
      <c r="K162" s="101"/>
      <c r="L162" s="102"/>
      <c r="R162" s="98"/>
    </row>
    <row r="163" spans="1:18" ht="34.5" customHeight="1">
      <c r="A163" s="5">
        <f t="shared" si="4"/>
        <v>158</v>
      </c>
      <c r="B163" s="129" t="s">
        <v>279</v>
      </c>
      <c r="C163" s="130"/>
      <c r="D163" s="131"/>
      <c r="E163" s="132"/>
      <c r="F163" s="133"/>
      <c r="G163" s="112" t="s">
        <v>301</v>
      </c>
      <c r="H163" s="112">
        <v>1</v>
      </c>
      <c r="I163" s="113">
        <v>850</v>
      </c>
      <c r="J163" s="100">
        <f t="shared" si="5"/>
        <v>850</v>
      </c>
      <c r="K163" s="101"/>
      <c r="L163" s="102"/>
      <c r="R163" s="98"/>
    </row>
    <row r="164" spans="1:18" ht="23.25" customHeight="1">
      <c r="A164" s="5">
        <f t="shared" si="4"/>
        <v>159</v>
      </c>
      <c r="B164" s="129" t="s">
        <v>280</v>
      </c>
      <c r="C164" s="130"/>
      <c r="D164" s="131"/>
      <c r="E164" s="132"/>
      <c r="F164" s="133"/>
      <c r="G164" s="112" t="s">
        <v>301</v>
      </c>
      <c r="H164" s="112">
        <v>50</v>
      </c>
      <c r="I164" s="113">
        <v>6</v>
      </c>
      <c r="J164" s="100">
        <f t="shared" si="5"/>
        <v>300</v>
      </c>
      <c r="K164" s="101"/>
      <c r="L164" s="102"/>
      <c r="R164" s="98"/>
    </row>
    <row r="165" spans="1:18" ht="23.25" customHeight="1">
      <c r="A165" s="5">
        <f t="shared" si="4"/>
        <v>160</v>
      </c>
      <c r="B165" s="129" t="s">
        <v>281</v>
      </c>
      <c r="C165" s="130"/>
      <c r="D165" s="131"/>
      <c r="E165" s="132"/>
      <c r="F165" s="133"/>
      <c r="G165" s="112" t="s">
        <v>301</v>
      </c>
      <c r="H165" s="112">
        <v>60</v>
      </c>
      <c r="I165" s="113">
        <v>29</v>
      </c>
      <c r="J165" s="100">
        <f t="shared" si="5"/>
        <v>1740</v>
      </c>
      <c r="K165" s="101"/>
      <c r="L165" s="102"/>
      <c r="R165" s="98"/>
    </row>
    <row r="166" spans="1:18" ht="23.25" customHeight="1">
      <c r="A166" s="5">
        <f t="shared" si="4"/>
        <v>161</v>
      </c>
      <c r="B166" s="129" t="s">
        <v>282</v>
      </c>
      <c r="C166" s="130"/>
      <c r="D166" s="131"/>
      <c r="E166" s="132"/>
      <c r="F166" s="133"/>
      <c r="G166" s="112" t="s">
        <v>301</v>
      </c>
      <c r="H166" s="112">
        <v>60</v>
      </c>
      <c r="I166" s="113">
        <v>33</v>
      </c>
      <c r="J166" s="100">
        <f t="shared" si="5"/>
        <v>1980</v>
      </c>
      <c r="K166" s="101"/>
      <c r="L166" s="102"/>
      <c r="R166" s="98"/>
    </row>
    <row r="167" spans="1:18" ht="23.25" customHeight="1">
      <c r="A167" s="5">
        <f t="shared" si="4"/>
        <v>162</v>
      </c>
      <c r="B167" s="129" t="s">
        <v>283</v>
      </c>
      <c r="C167" s="130"/>
      <c r="D167" s="131"/>
      <c r="E167" s="132"/>
      <c r="F167" s="133"/>
      <c r="G167" s="112" t="s">
        <v>301</v>
      </c>
      <c r="H167" s="112">
        <v>30</v>
      </c>
      <c r="I167" s="113">
        <v>34</v>
      </c>
      <c r="J167" s="100">
        <f t="shared" si="5"/>
        <v>1020</v>
      </c>
      <c r="K167" s="101"/>
      <c r="L167" s="102"/>
      <c r="R167" s="98"/>
    </row>
    <row r="168" spans="1:18" ht="23.25" customHeight="1">
      <c r="A168" s="5">
        <f t="shared" si="4"/>
        <v>163</v>
      </c>
      <c r="B168" s="129" t="s">
        <v>284</v>
      </c>
      <c r="C168" s="130"/>
      <c r="D168" s="131"/>
      <c r="E168" s="132"/>
      <c r="F168" s="133"/>
      <c r="G168" s="112" t="s">
        <v>301</v>
      </c>
      <c r="H168" s="112">
        <v>30</v>
      </c>
      <c r="I168" s="113">
        <v>38</v>
      </c>
      <c r="J168" s="100">
        <f t="shared" si="5"/>
        <v>1140</v>
      </c>
      <c r="K168" s="101"/>
      <c r="L168" s="102"/>
      <c r="R168" s="98"/>
    </row>
    <row r="169" spans="1:18" ht="23.25" customHeight="1">
      <c r="A169" s="5">
        <f t="shared" si="4"/>
        <v>164</v>
      </c>
      <c r="B169" s="129" t="s">
        <v>285</v>
      </c>
      <c r="C169" s="130"/>
      <c r="D169" s="131"/>
      <c r="E169" s="132"/>
      <c r="F169" s="133"/>
      <c r="G169" s="112" t="s">
        <v>301</v>
      </c>
      <c r="H169" s="112">
        <v>30</v>
      </c>
      <c r="I169" s="113">
        <v>10.199999999999999</v>
      </c>
      <c r="J169" s="100">
        <f t="shared" si="5"/>
        <v>306</v>
      </c>
      <c r="K169" s="101"/>
      <c r="L169" s="102"/>
      <c r="R169" s="98"/>
    </row>
    <row r="170" spans="1:18" ht="23.25" customHeight="1">
      <c r="A170" s="5">
        <f t="shared" si="4"/>
        <v>165</v>
      </c>
      <c r="B170" s="129" t="s">
        <v>286</v>
      </c>
      <c r="C170" s="130"/>
      <c r="D170" s="131"/>
      <c r="E170" s="132"/>
      <c r="F170" s="133"/>
      <c r="G170" s="112" t="s">
        <v>301</v>
      </c>
      <c r="H170" s="112">
        <v>400</v>
      </c>
      <c r="I170" s="113">
        <v>2</v>
      </c>
      <c r="J170" s="100">
        <f t="shared" si="5"/>
        <v>800</v>
      </c>
      <c r="K170" s="101"/>
      <c r="L170" s="102"/>
      <c r="R170" s="98"/>
    </row>
    <row r="171" spans="1:18" ht="23.25" customHeight="1">
      <c r="A171" s="5">
        <f t="shared" si="4"/>
        <v>166</v>
      </c>
      <c r="B171" s="129" t="s">
        <v>287</v>
      </c>
      <c r="C171" s="130"/>
      <c r="D171" s="131"/>
      <c r="E171" s="132"/>
      <c r="F171" s="133"/>
      <c r="G171" s="112" t="s">
        <v>301</v>
      </c>
      <c r="H171" s="112">
        <v>3</v>
      </c>
      <c r="I171" s="113">
        <v>95</v>
      </c>
      <c r="J171" s="100">
        <f t="shared" si="5"/>
        <v>285</v>
      </c>
      <c r="K171" s="101"/>
      <c r="L171" s="102"/>
      <c r="R171" s="98"/>
    </row>
    <row r="172" spans="1:18" ht="30" customHeight="1">
      <c r="A172" s="5">
        <f t="shared" si="4"/>
        <v>167</v>
      </c>
      <c r="B172" s="129" t="s">
        <v>288</v>
      </c>
      <c r="C172" s="130"/>
      <c r="D172" s="131"/>
      <c r="E172" s="132"/>
      <c r="F172" s="133"/>
      <c r="G172" s="112" t="s">
        <v>301</v>
      </c>
      <c r="H172" s="112">
        <v>2</v>
      </c>
      <c r="I172" s="113">
        <v>535</v>
      </c>
      <c r="J172" s="100">
        <f t="shared" si="5"/>
        <v>1070</v>
      </c>
      <c r="K172" s="101"/>
      <c r="L172" s="102"/>
      <c r="R172" s="98"/>
    </row>
    <row r="173" spans="1:18" ht="23.25" customHeight="1">
      <c r="A173" s="5">
        <f t="shared" si="4"/>
        <v>168</v>
      </c>
      <c r="B173" s="129" t="s">
        <v>289</v>
      </c>
      <c r="C173" s="130"/>
      <c r="D173" s="131"/>
      <c r="E173" s="132"/>
      <c r="F173" s="133"/>
      <c r="G173" s="112" t="s">
        <v>301</v>
      </c>
      <c r="H173" s="112">
        <v>3</v>
      </c>
      <c r="I173" s="113">
        <v>130</v>
      </c>
      <c r="J173" s="100">
        <f t="shared" si="5"/>
        <v>390</v>
      </c>
      <c r="K173" s="101"/>
      <c r="L173" s="102"/>
      <c r="R173" s="98"/>
    </row>
    <row r="174" spans="1:18" ht="23.25" customHeight="1">
      <c r="A174" s="5">
        <f t="shared" si="4"/>
        <v>169</v>
      </c>
      <c r="B174" s="129" t="s">
        <v>290</v>
      </c>
      <c r="C174" s="130"/>
      <c r="D174" s="131"/>
      <c r="E174" s="132"/>
      <c r="F174" s="133"/>
      <c r="G174" s="112" t="s">
        <v>301</v>
      </c>
      <c r="H174" s="112">
        <v>10</v>
      </c>
      <c r="I174" s="113">
        <v>10</v>
      </c>
      <c r="J174" s="100">
        <f t="shared" si="5"/>
        <v>100</v>
      </c>
      <c r="K174" s="101"/>
      <c r="L174" s="102"/>
      <c r="R174" s="98"/>
    </row>
    <row r="175" spans="1:18" ht="23.25" customHeight="1">
      <c r="A175" s="5">
        <f t="shared" si="4"/>
        <v>170</v>
      </c>
      <c r="B175" s="129" t="s">
        <v>291</v>
      </c>
      <c r="C175" s="130"/>
      <c r="D175" s="131"/>
      <c r="E175" s="132"/>
      <c r="F175" s="133"/>
      <c r="G175" s="112" t="s">
        <v>301</v>
      </c>
      <c r="H175" s="112">
        <v>10</v>
      </c>
      <c r="I175" s="113">
        <v>14</v>
      </c>
      <c r="J175" s="100">
        <f t="shared" si="5"/>
        <v>140</v>
      </c>
      <c r="K175" s="101"/>
      <c r="L175" s="102"/>
      <c r="R175" s="98"/>
    </row>
    <row r="176" spans="1:18" ht="23.25" customHeight="1">
      <c r="A176" s="5">
        <f t="shared" si="4"/>
        <v>171</v>
      </c>
      <c r="B176" s="129" t="s">
        <v>292</v>
      </c>
      <c r="C176" s="130"/>
      <c r="D176" s="131"/>
      <c r="E176" s="132"/>
      <c r="F176" s="133"/>
      <c r="G176" s="112" t="s">
        <v>301</v>
      </c>
      <c r="H176" s="112">
        <v>1</v>
      </c>
      <c r="I176" s="113">
        <v>2700</v>
      </c>
      <c r="J176" s="100">
        <f t="shared" si="5"/>
        <v>2700</v>
      </c>
      <c r="K176" s="101"/>
      <c r="L176" s="102"/>
      <c r="R176" s="98"/>
    </row>
    <row r="177" spans="1:19" ht="23.25" customHeight="1">
      <c r="A177" s="5">
        <f t="shared" si="4"/>
        <v>172</v>
      </c>
      <c r="B177" s="129" t="s">
        <v>293</v>
      </c>
      <c r="C177" s="130"/>
      <c r="D177" s="131"/>
      <c r="E177" s="132"/>
      <c r="F177" s="133"/>
      <c r="G177" s="112" t="s">
        <v>301</v>
      </c>
      <c r="H177" s="112">
        <v>2</v>
      </c>
      <c r="I177" s="113">
        <v>430</v>
      </c>
      <c r="J177" s="100">
        <f t="shared" si="5"/>
        <v>860</v>
      </c>
      <c r="K177" s="101"/>
      <c r="L177" s="102"/>
      <c r="R177" s="98"/>
    </row>
    <row r="178" spans="1:19" ht="23.25" customHeight="1">
      <c r="A178" s="5">
        <f t="shared" si="4"/>
        <v>173</v>
      </c>
      <c r="B178" s="129" t="s">
        <v>294</v>
      </c>
      <c r="C178" s="130"/>
      <c r="D178" s="131"/>
      <c r="E178" s="132"/>
      <c r="F178" s="133"/>
      <c r="G178" s="112" t="s">
        <v>301</v>
      </c>
      <c r="H178" s="112">
        <v>2</v>
      </c>
      <c r="I178" s="113">
        <v>143</v>
      </c>
      <c r="J178" s="100">
        <f t="shared" si="5"/>
        <v>286</v>
      </c>
      <c r="K178" s="101"/>
      <c r="L178" s="102"/>
      <c r="R178" s="98"/>
    </row>
    <row r="179" spans="1:19" ht="23.25" customHeight="1">
      <c r="A179" s="5">
        <f t="shared" si="4"/>
        <v>174</v>
      </c>
      <c r="B179" s="129" t="s">
        <v>295</v>
      </c>
      <c r="C179" s="130"/>
      <c r="D179" s="131"/>
      <c r="E179" s="132"/>
      <c r="F179" s="133"/>
      <c r="G179" s="112" t="s">
        <v>301</v>
      </c>
      <c r="H179" s="112">
        <v>2</v>
      </c>
      <c r="I179" s="113">
        <v>18</v>
      </c>
      <c r="J179" s="100">
        <f t="shared" si="5"/>
        <v>36</v>
      </c>
      <c r="K179" s="101"/>
      <c r="L179" s="102"/>
      <c r="R179" s="98"/>
    </row>
    <row r="180" spans="1:19" ht="23.25" customHeight="1">
      <c r="A180" s="5">
        <f t="shared" si="4"/>
        <v>175</v>
      </c>
      <c r="B180" s="129" t="s">
        <v>296</v>
      </c>
      <c r="C180" s="130"/>
      <c r="D180" s="131"/>
      <c r="E180" s="132"/>
      <c r="F180" s="133"/>
      <c r="G180" s="112" t="s">
        <v>301</v>
      </c>
      <c r="H180" s="112">
        <v>12</v>
      </c>
      <c r="I180" s="113">
        <v>3.5</v>
      </c>
      <c r="J180" s="100">
        <f t="shared" si="5"/>
        <v>42</v>
      </c>
      <c r="K180" s="101"/>
      <c r="L180" s="102"/>
      <c r="R180" s="98"/>
    </row>
    <row r="181" spans="1:19" ht="23.25" customHeight="1">
      <c r="A181" s="5">
        <f t="shared" si="4"/>
        <v>176</v>
      </c>
      <c r="B181" s="129" t="s">
        <v>297</v>
      </c>
      <c r="C181" s="130"/>
      <c r="D181" s="131"/>
      <c r="E181" s="132"/>
      <c r="F181" s="133"/>
      <c r="G181" s="112" t="s">
        <v>301</v>
      </c>
      <c r="H181" s="112">
        <v>25</v>
      </c>
      <c r="I181" s="113">
        <v>4.5</v>
      </c>
      <c r="J181" s="100">
        <f t="shared" si="5"/>
        <v>112.5</v>
      </c>
      <c r="K181" s="101"/>
      <c r="L181" s="102"/>
      <c r="R181" s="98"/>
    </row>
    <row r="182" spans="1:19" ht="23.25" customHeight="1">
      <c r="A182" s="5">
        <f t="shared" si="4"/>
        <v>177</v>
      </c>
      <c r="B182" s="129" t="s">
        <v>298</v>
      </c>
      <c r="C182" s="130"/>
      <c r="D182" s="131"/>
      <c r="E182" s="132"/>
      <c r="F182" s="133"/>
      <c r="G182" s="112" t="s">
        <v>301</v>
      </c>
      <c r="H182" s="112">
        <v>2</v>
      </c>
      <c r="I182" s="113">
        <v>72</v>
      </c>
      <c r="J182" s="100">
        <f t="shared" si="5"/>
        <v>144</v>
      </c>
      <c r="K182" s="101"/>
      <c r="L182" s="102"/>
      <c r="R182" s="98"/>
    </row>
    <row r="183" spans="1:19" ht="23.25" customHeight="1">
      <c r="A183" s="5">
        <f t="shared" si="4"/>
        <v>178</v>
      </c>
      <c r="B183" s="129" t="s">
        <v>299</v>
      </c>
      <c r="C183" s="130"/>
      <c r="D183" s="131"/>
      <c r="E183" s="132"/>
      <c r="F183" s="133"/>
      <c r="G183" s="112" t="s">
        <v>301</v>
      </c>
      <c r="H183" s="112">
        <v>2</v>
      </c>
      <c r="I183" s="113">
        <v>150</v>
      </c>
      <c r="J183" s="100">
        <f t="shared" si="5"/>
        <v>300</v>
      </c>
      <c r="K183" s="101"/>
      <c r="L183" s="102"/>
      <c r="R183" s="98"/>
    </row>
    <row r="184" spans="1:19" ht="23.25" customHeight="1">
      <c r="A184" s="5">
        <f t="shared" si="4"/>
        <v>179</v>
      </c>
      <c r="B184" s="129" t="s">
        <v>300</v>
      </c>
      <c r="C184" s="130"/>
      <c r="D184" s="131"/>
      <c r="E184" s="132"/>
      <c r="F184" s="133"/>
      <c r="G184" s="112" t="s">
        <v>301</v>
      </c>
      <c r="H184" s="112">
        <v>1</v>
      </c>
      <c r="I184" s="113">
        <v>407</v>
      </c>
      <c r="J184" s="100">
        <f t="shared" si="5"/>
        <v>407</v>
      </c>
      <c r="K184" s="101"/>
      <c r="L184" s="102"/>
      <c r="R184" s="98"/>
    </row>
    <row r="185" spans="1:19" ht="23.25" customHeight="1">
      <c r="A185" s="153" t="s">
        <v>8</v>
      </c>
      <c r="B185" s="154"/>
      <c r="C185" s="103"/>
      <c r="D185" s="109"/>
      <c r="E185" s="109"/>
      <c r="F185" s="109"/>
      <c r="G185" s="110"/>
      <c r="H185" s="110"/>
      <c r="I185" s="111" t="s">
        <v>9</v>
      </c>
      <c r="J185" s="100">
        <f>SUM(J6:J184)</f>
        <v>770481</v>
      </c>
      <c r="K185" s="100"/>
      <c r="L185" s="104"/>
    </row>
    <row r="186" spans="1:19" ht="20.100000000000001" customHeight="1">
      <c r="A186" s="6" t="s">
        <v>10</v>
      </c>
      <c r="B186" s="7"/>
      <c r="C186" s="7"/>
      <c r="D186" s="7"/>
      <c r="E186" s="7"/>
      <c r="F186" s="7"/>
      <c r="G186" s="7"/>
      <c r="H186" s="7"/>
      <c r="I186" s="7"/>
      <c r="J186" s="7"/>
      <c r="K186" s="8"/>
      <c r="L186" s="9"/>
    </row>
    <row r="187" spans="1:19" ht="18" customHeight="1">
      <c r="A187" s="10"/>
      <c r="J187" s="1"/>
      <c r="K187" s="1"/>
      <c r="O187" s="11"/>
      <c r="P187" s="11"/>
      <c r="R187" s="155" t="s">
        <v>11</v>
      </c>
      <c r="S187" s="13" t="s">
        <v>12</v>
      </c>
    </row>
    <row r="188" spans="1:19" ht="48.75" customHeight="1">
      <c r="R188" s="156"/>
      <c r="S188" s="15"/>
    </row>
    <row r="189" spans="1:19" ht="17.100000000000001" customHeight="1">
      <c r="O189" s="11"/>
      <c r="P189" s="11"/>
      <c r="R189" s="157"/>
      <c r="S189" s="15" t="s">
        <v>13</v>
      </c>
    </row>
    <row r="190" spans="1:19" ht="15" customHeight="1">
      <c r="O190" s="17" t="s">
        <v>14</v>
      </c>
      <c r="P190" s="158" t="s">
        <v>15</v>
      </c>
    </row>
    <row r="191" spans="1:19" ht="18" customHeight="1">
      <c r="O191" s="18" t="s">
        <v>16</v>
      </c>
      <c r="P191" s="159"/>
      <c r="R191" s="155" t="s">
        <v>17</v>
      </c>
      <c r="S191" s="12" t="s">
        <v>12</v>
      </c>
    </row>
    <row r="192" spans="1:19" ht="50.1" customHeight="1">
      <c r="O192" s="14"/>
      <c r="P192" s="14"/>
      <c r="R192" s="156"/>
      <c r="S192" s="19"/>
    </row>
    <row r="193" spans="15:19" ht="17.100000000000001" customHeight="1">
      <c r="O193" s="16" t="s">
        <v>13</v>
      </c>
      <c r="P193" s="16" t="s">
        <v>13</v>
      </c>
      <c r="R193" s="157"/>
      <c r="S193" s="15" t="s">
        <v>13</v>
      </c>
    </row>
    <row r="194" spans="15:19" ht="9.9499999999999993" customHeight="1"/>
    <row r="195" spans="15:19" ht="19.899999999999999" customHeight="1"/>
    <row r="196" spans="15:19" ht="17.45" customHeight="1">
      <c r="O196" s="160"/>
      <c r="P196" s="160"/>
    </row>
    <row r="197" spans="15:19" ht="19.899999999999999" customHeight="1">
      <c r="O197" s="160"/>
      <c r="P197" s="160"/>
    </row>
    <row r="198" spans="15:19" ht="14.25">
      <c r="O198" s="11"/>
      <c r="P198" s="11"/>
    </row>
    <row r="199" spans="15:19" ht="65.099999999999994" customHeight="1"/>
    <row r="200" spans="15:19" ht="14.25">
      <c r="O200" s="11"/>
      <c r="P200" s="11"/>
    </row>
    <row r="201" spans="15:19" ht="19.899999999999999" customHeight="1"/>
    <row r="202" spans="15:19" ht="14.25"/>
    <row r="203" spans="15:19" ht="19.899999999999999" customHeight="1"/>
    <row r="204" spans="15:19" ht="14.25"/>
    <row r="205" spans="15:19" ht="19.899999999999999" customHeight="1"/>
    <row r="206" spans="15:19" ht="19.899999999999999" customHeight="1"/>
    <row r="207" spans="15:19" ht="64.900000000000006" customHeight="1"/>
    <row r="209" spans="15:19" ht="19.899999999999999" customHeight="1"/>
    <row r="210" spans="15:19" ht="19.899999999999999" customHeight="1"/>
    <row r="211" spans="15:19" ht="64.900000000000006" customHeight="1"/>
    <row r="215" spans="15:19" ht="21" customHeight="1">
      <c r="O215" s="158" t="s">
        <v>18</v>
      </c>
      <c r="P215" s="158" t="s">
        <v>18</v>
      </c>
      <c r="S215" s="158" t="s">
        <v>12</v>
      </c>
    </row>
    <row r="216" spans="15:19" ht="21" customHeight="1">
      <c r="O216" s="159"/>
      <c r="P216" s="159"/>
      <c r="S216" s="157"/>
    </row>
    <row r="217" spans="15:19" ht="64.900000000000006" customHeight="1">
      <c r="O217" s="14"/>
      <c r="P217" s="14"/>
      <c r="S217" s="15"/>
    </row>
    <row r="218" spans="15:19" ht="7.15" customHeight="1"/>
    <row r="219" spans="15:19" ht="21" customHeight="1">
      <c r="O219" s="158" t="s">
        <v>18</v>
      </c>
      <c r="P219" s="158" t="s">
        <v>18</v>
      </c>
      <c r="S219" s="158" t="s">
        <v>19</v>
      </c>
    </row>
    <row r="220" spans="15:19" ht="21" customHeight="1">
      <c r="O220" s="159"/>
      <c r="P220" s="159"/>
      <c r="S220" s="157"/>
    </row>
    <row r="221" spans="15:19" ht="64.900000000000006" customHeight="1">
      <c r="O221" s="14"/>
      <c r="P221" s="14"/>
      <c r="S221" s="14"/>
    </row>
  </sheetData>
  <mergeCells count="382">
    <mergeCell ref="B184:C184"/>
    <mergeCell ref="D184:F184"/>
    <mergeCell ref="B181:C181"/>
    <mergeCell ref="D181:F181"/>
    <mergeCell ref="B182:C182"/>
    <mergeCell ref="D182:F182"/>
    <mergeCell ref="B183:C183"/>
    <mergeCell ref="D183:F183"/>
    <mergeCell ref="B178:C178"/>
    <mergeCell ref="D178:F178"/>
    <mergeCell ref="B179:C179"/>
    <mergeCell ref="D179:F179"/>
    <mergeCell ref="B180:C180"/>
    <mergeCell ref="D180:F180"/>
    <mergeCell ref="B175:C175"/>
    <mergeCell ref="D175:F175"/>
    <mergeCell ref="B176:C176"/>
    <mergeCell ref="D176:F176"/>
    <mergeCell ref="B177:C177"/>
    <mergeCell ref="D177:F177"/>
    <mergeCell ref="B172:C172"/>
    <mergeCell ref="D172:F172"/>
    <mergeCell ref="B173:C173"/>
    <mergeCell ref="D173:F173"/>
    <mergeCell ref="B174:C174"/>
    <mergeCell ref="D174:F174"/>
    <mergeCell ref="B169:C169"/>
    <mergeCell ref="D169:F169"/>
    <mergeCell ref="B170:C170"/>
    <mergeCell ref="D170:F170"/>
    <mergeCell ref="B171:C171"/>
    <mergeCell ref="D171:F171"/>
    <mergeCell ref="B166:C166"/>
    <mergeCell ref="D166:F166"/>
    <mergeCell ref="B167:C167"/>
    <mergeCell ref="D167:F167"/>
    <mergeCell ref="B168:C168"/>
    <mergeCell ref="D168:F168"/>
    <mergeCell ref="B163:C163"/>
    <mergeCell ref="D163:F163"/>
    <mergeCell ref="B164:C164"/>
    <mergeCell ref="D164:F164"/>
    <mergeCell ref="B165:C165"/>
    <mergeCell ref="D165:F165"/>
    <mergeCell ref="B160:C160"/>
    <mergeCell ref="D160:F160"/>
    <mergeCell ref="B161:C161"/>
    <mergeCell ref="D161:F161"/>
    <mergeCell ref="B162:C162"/>
    <mergeCell ref="D162:F162"/>
    <mergeCell ref="B157:C157"/>
    <mergeCell ref="D157:F157"/>
    <mergeCell ref="B158:C158"/>
    <mergeCell ref="D158:F158"/>
    <mergeCell ref="B159:C159"/>
    <mergeCell ref="D159:F159"/>
    <mergeCell ref="B154:C154"/>
    <mergeCell ref="D154:F154"/>
    <mergeCell ref="B155:C155"/>
    <mergeCell ref="D155:F155"/>
    <mergeCell ref="B156:C156"/>
    <mergeCell ref="D156:F156"/>
    <mergeCell ref="B151:C151"/>
    <mergeCell ref="D151:F151"/>
    <mergeCell ref="B152:C152"/>
    <mergeCell ref="D152:F152"/>
    <mergeCell ref="B153:C153"/>
    <mergeCell ref="D153:F153"/>
    <mergeCell ref="B148:C148"/>
    <mergeCell ref="D148:F148"/>
    <mergeCell ref="B149:C149"/>
    <mergeCell ref="D149:F149"/>
    <mergeCell ref="B150:C150"/>
    <mergeCell ref="D150:F150"/>
    <mergeCell ref="B145:C145"/>
    <mergeCell ref="D145:F145"/>
    <mergeCell ref="B146:C146"/>
    <mergeCell ref="D146:F146"/>
    <mergeCell ref="B147:C147"/>
    <mergeCell ref="D147:F147"/>
    <mergeCell ref="B142:C142"/>
    <mergeCell ref="D142:F142"/>
    <mergeCell ref="B143:C143"/>
    <mergeCell ref="D143:F143"/>
    <mergeCell ref="B144:C144"/>
    <mergeCell ref="D144:F144"/>
    <mergeCell ref="B139:C139"/>
    <mergeCell ref="D139:F139"/>
    <mergeCell ref="B140:C140"/>
    <mergeCell ref="D140:F140"/>
    <mergeCell ref="B141:C141"/>
    <mergeCell ref="D141:F141"/>
    <mergeCell ref="B136:C136"/>
    <mergeCell ref="D136:F136"/>
    <mergeCell ref="B137:C137"/>
    <mergeCell ref="D137:F137"/>
    <mergeCell ref="B138:C138"/>
    <mergeCell ref="D138:F138"/>
    <mergeCell ref="B133:C133"/>
    <mergeCell ref="D133:F133"/>
    <mergeCell ref="B134:C134"/>
    <mergeCell ref="D134:F134"/>
    <mergeCell ref="B135:C135"/>
    <mergeCell ref="D135:F135"/>
    <mergeCell ref="B130:C130"/>
    <mergeCell ref="D130:F130"/>
    <mergeCell ref="B131:C131"/>
    <mergeCell ref="D131:F131"/>
    <mergeCell ref="B132:C132"/>
    <mergeCell ref="D132:F132"/>
    <mergeCell ref="B127:C127"/>
    <mergeCell ref="D127:F127"/>
    <mergeCell ref="B128:C128"/>
    <mergeCell ref="D128:F128"/>
    <mergeCell ref="B129:C129"/>
    <mergeCell ref="D129:F129"/>
    <mergeCell ref="B124:C124"/>
    <mergeCell ref="D124:F124"/>
    <mergeCell ref="B125:C125"/>
    <mergeCell ref="D125:F125"/>
    <mergeCell ref="B126:C126"/>
    <mergeCell ref="D126:F126"/>
    <mergeCell ref="B121:C121"/>
    <mergeCell ref="D121:F121"/>
    <mergeCell ref="B122:C122"/>
    <mergeCell ref="D122:F122"/>
    <mergeCell ref="B123:C123"/>
    <mergeCell ref="D123:F123"/>
    <mergeCell ref="B118:C118"/>
    <mergeCell ref="D118:F118"/>
    <mergeCell ref="B119:C119"/>
    <mergeCell ref="D119:F119"/>
    <mergeCell ref="B120:C120"/>
    <mergeCell ref="D120:F120"/>
    <mergeCell ref="B115:C115"/>
    <mergeCell ref="D115:F115"/>
    <mergeCell ref="B116:C116"/>
    <mergeCell ref="D116:F116"/>
    <mergeCell ref="B117:C117"/>
    <mergeCell ref="D117:F117"/>
    <mergeCell ref="B112:C112"/>
    <mergeCell ref="D112:F112"/>
    <mergeCell ref="B113:C113"/>
    <mergeCell ref="D113:F113"/>
    <mergeCell ref="B114:C114"/>
    <mergeCell ref="D114:F114"/>
    <mergeCell ref="B109:C109"/>
    <mergeCell ref="D109:F109"/>
    <mergeCell ref="B110:C110"/>
    <mergeCell ref="D110:F110"/>
    <mergeCell ref="B111:C111"/>
    <mergeCell ref="D111:F111"/>
    <mergeCell ref="B106:C106"/>
    <mergeCell ref="D106:F106"/>
    <mergeCell ref="B107:C107"/>
    <mergeCell ref="D107:F107"/>
    <mergeCell ref="B108:C108"/>
    <mergeCell ref="D108:F108"/>
    <mergeCell ref="B103:C103"/>
    <mergeCell ref="D103:F103"/>
    <mergeCell ref="B104:C104"/>
    <mergeCell ref="D104:F104"/>
    <mergeCell ref="B105:C105"/>
    <mergeCell ref="D105:F105"/>
    <mergeCell ref="B100:C100"/>
    <mergeCell ref="D100:F100"/>
    <mergeCell ref="B101:C101"/>
    <mergeCell ref="D101:F101"/>
    <mergeCell ref="B102:C102"/>
    <mergeCell ref="D102:F102"/>
    <mergeCell ref="B97:C97"/>
    <mergeCell ref="D97:F97"/>
    <mergeCell ref="B98:C98"/>
    <mergeCell ref="D98:F98"/>
    <mergeCell ref="B99:C99"/>
    <mergeCell ref="D99:F99"/>
    <mergeCell ref="B94:C94"/>
    <mergeCell ref="D94:F94"/>
    <mergeCell ref="B95:C95"/>
    <mergeCell ref="D95:F95"/>
    <mergeCell ref="B96:C96"/>
    <mergeCell ref="D96:F96"/>
    <mergeCell ref="B91:C91"/>
    <mergeCell ref="D91:F91"/>
    <mergeCell ref="B92:C92"/>
    <mergeCell ref="D92:F92"/>
    <mergeCell ref="B93:C93"/>
    <mergeCell ref="D93:F93"/>
    <mergeCell ref="B88:C88"/>
    <mergeCell ref="D88:F88"/>
    <mergeCell ref="B89:C89"/>
    <mergeCell ref="D89:F89"/>
    <mergeCell ref="B90:C90"/>
    <mergeCell ref="D90:F90"/>
    <mergeCell ref="B85:C85"/>
    <mergeCell ref="D85:F85"/>
    <mergeCell ref="B86:C86"/>
    <mergeCell ref="D86:F86"/>
    <mergeCell ref="B87:C87"/>
    <mergeCell ref="D87:F87"/>
    <mergeCell ref="B82:C82"/>
    <mergeCell ref="D82:F82"/>
    <mergeCell ref="B83:C83"/>
    <mergeCell ref="D83:F83"/>
    <mergeCell ref="B84:C84"/>
    <mergeCell ref="D84:F84"/>
    <mergeCell ref="B79:C79"/>
    <mergeCell ref="D79:F79"/>
    <mergeCell ref="B80:C80"/>
    <mergeCell ref="D80:F80"/>
    <mergeCell ref="B81:C81"/>
    <mergeCell ref="D81:F81"/>
    <mergeCell ref="B76:C76"/>
    <mergeCell ref="D76:F76"/>
    <mergeCell ref="B77:C77"/>
    <mergeCell ref="D77:F77"/>
    <mergeCell ref="B78:C78"/>
    <mergeCell ref="D78:F78"/>
    <mergeCell ref="B73:C73"/>
    <mergeCell ref="D73:F73"/>
    <mergeCell ref="B74:C74"/>
    <mergeCell ref="D74:F74"/>
    <mergeCell ref="B75:C75"/>
    <mergeCell ref="D75:F75"/>
    <mergeCell ref="B70:C70"/>
    <mergeCell ref="D70:F70"/>
    <mergeCell ref="B71:C71"/>
    <mergeCell ref="D71:F71"/>
    <mergeCell ref="B72:C72"/>
    <mergeCell ref="D72:F72"/>
    <mergeCell ref="B67:C67"/>
    <mergeCell ref="D67:F67"/>
    <mergeCell ref="B68:C68"/>
    <mergeCell ref="D68:F68"/>
    <mergeCell ref="B69:C69"/>
    <mergeCell ref="D69:F69"/>
    <mergeCell ref="B64:C64"/>
    <mergeCell ref="D64:F64"/>
    <mergeCell ref="B65:C65"/>
    <mergeCell ref="D65:F65"/>
    <mergeCell ref="B66:C66"/>
    <mergeCell ref="D66:F66"/>
    <mergeCell ref="B61:C61"/>
    <mergeCell ref="D61:F61"/>
    <mergeCell ref="B62:C62"/>
    <mergeCell ref="D62:F62"/>
    <mergeCell ref="B63:C63"/>
    <mergeCell ref="D63:F63"/>
    <mergeCell ref="B58:C58"/>
    <mergeCell ref="D58:F58"/>
    <mergeCell ref="B59:C59"/>
    <mergeCell ref="D59:F59"/>
    <mergeCell ref="B60:C60"/>
    <mergeCell ref="D60:F60"/>
    <mergeCell ref="B55:C55"/>
    <mergeCell ref="D55:F55"/>
    <mergeCell ref="B56:C56"/>
    <mergeCell ref="D56:F56"/>
    <mergeCell ref="B57:C57"/>
    <mergeCell ref="D57:F57"/>
    <mergeCell ref="B52:C52"/>
    <mergeCell ref="D52:F52"/>
    <mergeCell ref="B53:C53"/>
    <mergeCell ref="D53:F53"/>
    <mergeCell ref="B54:C54"/>
    <mergeCell ref="D54:F54"/>
    <mergeCell ref="B49:C49"/>
    <mergeCell ref="D49:F49"/>
    <mergeCell ref="B50:C50"/>
    <mergeCell ref="D50:F50"/>
    <mergeCell ref="B51:C51"/>
    <mergeCell ref="D51:F51"/>
    <mergeCell ref="B46:C46"/>
    <mergeCell ref="D46:F46"/>
    <mergeCell ref="B47:C47"/>
    <mergeCell ref="D47:F47"/>
    <mergeCell ref="B48:C48"/>
    <mergeCell ref="D48:F48"/>
    <mergeCell ref="B43:C43"/>
    <mergeCell ref="D43:F43"/>
    <mergeCell ref="B44:C44"/>
    <mergeCell ref="D44:F44"/>
    <mergeCell ref="B45:C45"/>
    <mergeCell ref="D45:F45"/>
    <mergeCell ref="B40:C40"/>
    <mergeCell ref="D40:F40"/>
    <mergeCell ref="B41:C41"/>
    <mergeCell ref="D41:F41"/>
    <mergeCell ref="B42:C42"/>
    <mergeCell ref="D42:F42"/>
    <mergeCell ref="B37:C37"/>
    <mergeCell ref="D37:F37"/>
    <mergeCell ref="B38:C38"/>
    <mergeCell ref="D38:F38"/>
    <mergeCell ref="B39:C39"/>
    <mergeCell ref="D39:F39"/>
    <mergeCell ref="B34:C34"/>
    <mergeCell ref="D34:F34"/>
    <mergeCell ref="B35:C35"/>
    <mergeCell ref="D35:F35"/>
    <mergeCell ref="B36:C36"/>
    <mergeCell ref="D36:F36"/>
    <mergeCell ref="B31:C31"/>
    <mergeCell ref="D31:F31"/>
    <mergeCell ref="B32:C32"/>
    <mergeCell ref="D32:F32"/>
    <mergeCell ref="B33:C33"/>
    <mergeCell ref="D33:F33"/>
    <mergeCell ref="B28:C28"/>
    <mergeCell ref="D28:F28"/>
    <mergeCell ref="B29:C29"/>
    <mergeCell ref="D29:F29"/>
    <mergeCell ref="B30:C30"/>
    <mergeCell ref="D30:F30"/>
    <mergeCell ref="B25:C25"/>
    <mergeCell ref="D25:F25"/>
    <mergeCell ref="B26:C26"/>
    <mergeCell ref="D26:F26"/>
    <mergeCell ref="B27:C27"/>
    <mergeCell ref="D27:F27"/>
    <mergeCell ref="B22:C22"/>
    <mergeCell ref="D22:F22"/>
    <mergeCell ref="B23:C23"/>
    <mergeCell ref="D23:F23"/>
    <mergeCell ref="B24:C24"/>
    <mergeCell ref="D24:F24"/>
    <mergeCell ref="B19:C19"/>
    <mergeCell ref="D19:F19"/>
    <mergeCell ref="B20:C20"/>
    <mergeCell ref="D20:F20"/>
    <mergeCell ref="B21:C21"/>
    <mergeCell ref="D21:F21"/>
    <mergeCell ref="B16:C16"/>
    <mergeCell ref="D16:F16"/>
    <mergeCell ref="B17:C17"/>
    <mergeCell ref="D17:F17"/>
    <mergeCell ref="B18:C18"/>
    <mergeCell ref="D18:F18"/>
    <mergeCell ref="S215:S216"/>
    <mergeCell ref="O219:O220"/>
    <mergeCell ref="P219:P220"/>
    <mergeCell ref="S219:S220"/>
    <mergeCell ref="O196:O197"/>
    <mergeCell ref="P196:P197"/>
    <mergeCell ref="O215:O216"/>
    <mergeCell ref="P215:P216"/>
    <mergeCell ref="A185:B185"/>
    <mergeCell ref="R187:R189"/>
    <mergeCell ref="P190:P191"/>
    <mergeCell ref="R191:R193"/>
    <mergeCell ref="B9:C9"/>
    <mergeCell ref="D9:F9"/>
    <mergeCell ref="B13:C13"/>
    <mergeCell ref="D13:F13"/>
    <mergeCell ref="B14:C14"/>
    <mergeCell ref="D14:F14"/>
    <mergeCell ref="B15:C15"/>
    <mergeCell ref="D15:F15"/>
    <mergeCell ref="B10:C10"/>
    <mergeCell ref="D10:F10"/>
    <mergeCell ref="B11:C11"/>
    <mergeCell ref="D11:F11"/>
    <mergeCell ref="A4:A5"/>
    <mergeCell ref="B4:C5"/>
    <mergeCell ref="D4:F5"/>
    <mergeCell ref="G4:G5"/>
    <mergeCell ref="H4:H5"/>
    <mergeCell ref="B12:C12"/>
    <mergeCell ref="D12:F12"/>
    <mergeCell ref="J1:L1"/>
    <mergeCell ref="J2:L2"/>
    <mergeCell ref="E3:I3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80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84"/>
  <sheetViews>
    <sheetView showGridLines="0" zoomScale="95" zoomScaleNormal="95" zoomScaleSheetLayoutView="70" workbookViewId="0">
      <pane ySplit="5" topLeftCell="A183" activePane="bottomLeft" state="frozen"/>
      <selection activeCell="D30" sqref="D30"/>
      <selection pane="bottomLeft" activeCell="K187" sqref="K187"/>
    </sheetView>
  </sheetViews>
  <sheetFormatPr defaultColWidth="9" defaultRowHeight="21" customHeight="1"/>
  <cols>
    <col min="1" max="1" width="6.2851562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06" t="s">
        <v>93</v>
      </c>
      <c r="B1" s="92"/>
      <c r="C1" s="92"/>
      <c r="D1" s="92"/>
      <c r="E1" s="92"/>
      <c r="F1" s="92"/>
      <c r="G1" s="1"/>
      <c r="J1" s="134" t="str">
        <f>+MRS!J1</f>
        <v>DAESHIN PLANT</v>
      </c>
      <c r="K1" s="136"/>
    </row>
    <row r="2" spans="1:18" ht="24.95" customHeight="1">
      <c r="A2" s="3" t="str">
        <f>+MRS!A2</f>
        <v xml:space="preserve">  PJT :  SACE2           </v>
      </c>
      <c r="B2" s="93"/>
      <c r="C2" s="93"/>
      <c r="D2" s="3" t="str">
        <f>+MRS!D2</f>
        <v>Division (In charge Name) : ADMIN MANAGER (Dong Chang Kim)</v>
      </c>
      <c r="E2" s="93"/>
      <c r="F2" s="93"/>
      <c r="G2" s="20"/>
      <c r="H2" s="20"/>
      <c r="I2" s="20"/>
      <c r="J2" s="137" t="str">
        <f>+MRS!J2</f>
        <v>Subcontract name (SAC2-SC-IK-SMP-01)</v>
      </c>
      <c r="K2" s="139"/>
    </row>
    <row r="3" spans="1:18" ht="24.95" customHeight="1">
      <c r="A3" s="3" t="str">
        <f>+MRS!A3</f>
        <v xml:space="preserve">  MRS No : SAC2-DS-MRS-0333</v>
      </c>
      <c r="B3" s="93"/>
      <c r="C3" s="93"/>
      <c r="D3" s="93"/>
      <c r="E3" s="93"/>
      <c r="F3" s="93"/>
      <c r="G3" s="93"/>
      <c r="H3" s="93"/>
      <c r="I3" s="93"/>
      <c r="J3" s="93"/>
      <c r="K3" s="94">
        <f>+MRS!L3</f>
        <v>46186</v>
      </c>
    </row>
    <row r="4" spans="1:18" ht="15.95" customHeight="1">
      <c r="A4" s="166" t="s">
        <v>2</v>
      </c>
      <c r="B4" s="167" t="s">
        <v>20</v>
      </c>
      <c r="C4" s="167"/>
      <c r="D4" s="166" t="s">
        <v>4</v>
      </c>
      <c r="E4" s="166"/>
      <c r="F4" s="166"/>
      <c r="G4" s="167" t="s">
        <v>5</v>
      </c>
      <c r="H4" s="166" t="s">
        <v>88</v>
      </c>
      <c r="I4" s="166" t="s">
        <v>21</v>
      </c>
      <c r="J4" s="166" t="s">
        <v>22</v>
      </c>
      <c r="K4" s="167" t="s">
        <v>7</v>
      </c>
    </row>
    <row r="5" spans="1:18" ht="15.95" customHeight="1">
      <c r="A5" s="166"/>
      <c r="B5" s="167"/>
      <c r="C5" s="167"/>
      <c r="D5" s="166"/>
      <c r="E5" s="166"/>
      <c r="F5" s="166"/>
      <c r="G5" s="167"/>
      <c r="H5" s="166"/>
      <c r="I5" s="166"/>
      <c r="J5" s="166"/>
      <c r="K5" s="167"/>
    </row>
    <row r="6" spans="1:18" ht="105" customHeight="1">
      <c r="A6" s="21">
        <f>+MRS!A6</f>
        <v>1</v>
      </c>
      <c r="B6" s="161" t="str">
        <f>MRS!B6</f>
        <v>Dehumidifier 20 ltr 220V</v>
      </c>
      <c r="C6" s="162"/>
      <c r="D6" s="163">
        <f>MRS!D6</f>
        <v>0</v>
      </c>
      <c r="E6" s="164"/>
      <c r="F6" s="165"/>
      <c r="G6" s="95" t="str">
        <f>MRS!G6</f>
        <v>Nos</v>
      </c>
      <c r="H6" s="95">
        <f>MRS!H6</f>
        <v>1</v>
      </c>
      <c r="I6" s="96">
        <f>MRS!I6</f>
        <v>1280</v>
      </c>
      <c r="J6" s="96">
        <f>MRS!J6</f>
        <v>1280</v>
      </c>
      <c r="K6" s="97"/>
      <c r="O6" s="98"/>
      <c r="P6" s="98"/>
      <c r="R6" s="98"/>
    </row>
    <row r="7" spans="1:18" ht="105" customHeight="1">
      <c r="A7" s="21">
        <f>+MRS!A7</f>
        <v>2</v>
      </c>
      <c r="B7" s="161" t="str">
        <f>MRS!B7</f>
        <v>Liquid Leak Detector 5Ltr Weicon</v>
      </c>
      <c r="C7" s="162"/>
      <c r="D7" s="163">
        <f>MRS!D7</f>
        <v>0</v>
      </c>
      <c r="E7" s="164"/>
      <c r="F7" s="165"/>
      <c r="G7" s="95" t="str">
        <f>MRS!G7</f>
        <v>Nos</v>
      </c>
      <c r="H7" s="95">
        <f>MRS!H7</f>
        <v>40</v>
      </c>
      <c r="I7" s="96">
        <f>MRS!I7</f>
        <v>360</v>
      </c>
      <c r="J7" s="96">
        <f>MRS!J7</f>
        <v>14400</v>
      </c>
      <c r="K7" s="97"/>
      <c r="O7" s="98"/>
      <c r="P7" s="98"/>
      <c r="R7" s="98"/>
    </row>
    <row r="8" spans="1:18" ht="105" customHeight="1">
      <c r="A8" s="21">
        <f>+MRS!A8</f>
        <v>3</v>
      </c>
      <c r="B8" s="161" t="str">
        <f>MRS!B8</f>
        <v>Rebar Cutter Bit SDS Plus 20x150x300mm Bosch</v>
      </c>
      <c r="C8" s="162"/>
      <c r="D8" s="163">
        <f>MRS!D8</f>
        <v>0</v>
      </c>
      <c r="E8" s="164"/>
      <c r="F8" s="165"/>
      <c r="G8" s="95" t="str">
        <f>MRS!G8</f>
        <v>Nos</v>
      </c>
      <c r="H8" s="95">
        <f>MRS!H8</f>
        <v>4</v>
      </c>
      <c r="I8" s="96">
        <f>MRS!I8</f>
        <v>206</v>
      </c>
      <c r="J8" s="96">
        <f>MRS!J8</f>
        <v>824</v>
      </c>
      <c r="K8" s="97"/>
      <c r="O8" s="98"/>
      <c r="P8" s="98"/>
      <c r="R8" s="98"/>
    </row>
    <row r="9" spans="1:18" ht="105" customHeight="1">
      <c r="A9" s="21">
        <f>+MRS!A9</f>
        <v>4</v>
      </c>
      <c r="B9" s="161" t="str">
        <f>MRS!B9</f>
        <v>Half Round File C/S 12"</v>
      </c>
      <c r="C9" s="162"/>
      <c r="D9" s="163">
        <f>MRS!D9</f>
        <v>0</v>
      </c>
      <c r="E9" s="164"/>
      <c r="F9" s="165"/>
      <c r="G9" s="95" t="str">
        <f>MRS!G9</f>
        <v>Nos</v>
      </c>
      <c r="H9" s="95">
        <f>MRS!H9</f>
        <v>20</v>
      </c>
      <c r="I9" s="96">
        <f>MRS!I9</f>
        <v>10</v>
      </c>
      <c r="J9" s="96">
        <f>MRS!J9</f>
        <v>200</v>
      </c>
      <c r="K9" s="97"/>
      <c r="O9" s="98"/>
      <c r="P9" s="98"/>
      <c r="R9" s="98"/>
    </row>
    <row r="10" spans="1:18" ht="105" customHeight="1">
      <c r="A10" s="21">
        <f>+MRS!A10</f>
        <v>5</v>
      </c>
      <c r="B10" s="161" t="str">
        <f>MRS!B10</f>
        <v>Allen Key 8mm</v>
      </c>
      <c r="C10" s="162"/>
      <c r="D10" s="163">
        <f>MRS!D10</f>
        <v>0</v>
      </c>
      <c r="E10" s="164"/>
      <c r="F10" s="165"/>
      <c r="G10" s="95" t="str">
        <f>MRS!G10</f>
        <v>Nos</v>
      </c>
      <c r="H10" s="95">
        <f>MRS!H10</f>
        <v>20</v>
      </c>
      <c r="I10" s="96">
        <f>MRS!I10</f>
        <v>7.4</v>
      </c>
      <c r="J10" s="96">
        <f>MRS!J10</f>
        <v>148</v>
      </c>
      <c r="K10" s="97"/>
      <c r="O10" s="98"/>
      <c r="P10" s="98"/>
      <c r="R10" s="98"/>
    </row>
    <row r="11" spans="1:18" ht="105" customHeight="1">
      <c r="A11" s="21">
        <f>+MRS!A11</f>
        <v>6</v>
      </c>
      <c r="B11" s="161" t="str">
        <f>MRS!B11</f>
        <v>Crowfoot Spanner 3/8"drive 9/16"-1" 10pcs Set</v>
      </c>
      <c r="C11" s="162"/>
      <c r="D11" s="163">
        <f>MRS!D11</f>
        <v>0</v>
      </c>
      <c r="E11" s="164"/>
      <c r="F11" s="165"/>
      <c r="G11" s="95" t="str">
        <f>MRS!G11</f>
        <v>Nos</v>
      </c>
      <c r="H11" s="95">
        <f>MRS!H11</f>
        <v>1</v>
      </c>
      <c r="I11" s="96">
        <f>MRS!I11</f>
        <v>119</v>
      </c>
      <c r="J11" s="96">
        <f>MRS!J11</f>
        <v>119</v>
      </c>
      <c r="K11" s="97"/>
      <c r="O11" s="98"/>
      <c r="P11" s="98"/>
      <c r="R11" s="98"/>
    </row>
    <row r="12" spans="1:18" ht="105" customHeight="1">
      <c r="A12" s="21">
        <f>+MRS!A12</f>
        <v>7</v>
      </c>
      <c r="B12" s="161" t="str">
        <f>MRS!B12</f>
        <v>Ratchet Wrench 3/8" drive Dewesser Germany</v>
      </c>
      <c r="C12" s="162"/>
      <c r="D12" s="163">
        <f>MRS!D12</f>
        <v>0</v>
      </c>
      <c r="E12" s="164"/>
      <c r="F12" s="165"/>
      <c r="G12" s="95" t="str">
        <f>MRS!G12</f>
        <v>Nos</v>
      </c>
      <c r="H12" s="95">
        <f>MRS!H12</f>
        <v>1</v>
      </c>
      <c r="I12" s="96">
        <f>MRS!I12</f>
        <v>32</v>
      </c>
      <c r="J12" s="96">
        <f>MRS!J12</f>
        <v>32</v>
      </c>
      <c r="K12" s="97"/>
      <c r="O12" s="98"/>
      <c r="P12" s="98"/>
      <c r="R12" s="98"/>
    </row>
    <row r="13" spans="1:18" ht="105" customHeight="1">
      <c r="A13" s="21">
        <f>+MRS!A13</f>
        <v>8</v>
      </c>
      <c r="B13" s="161" t="str">
        <f>MRS!B13</f>
        <v>Argon Hose Black 1/4" WP20 Bar 300PSI 100Mtr</v>
      </c>
      <c r="C13" s="162"/>
      <c r="D13" s="163">
        <f>MRS!D13</f>
        <v>0</v>
      </c>
      <c r="E13" s="164"/>
      <c r="F13" s="165"/>
      <c r="G13" s="95" t="str">
        <f>MRS!G13</f>
        <v>Nos</v>
      </c>
      <c r="H13" s="95">
        <f>MRS!H13</f>
        <v>35</v>
      </c>
      <c r="I13" s="96">
        <f>MRS!I13</f>
        <v>345</v>
      </c>
      <c r="J13" s="96">
        <f>MRS!J13</f>
        <v>12075</v>
      </c>
      <c r="K13" s="97"/>
      <c r="O13" s="98"/>
      <c r="P13" s="98"/>
      <c r="R13" s="98"/>
    </row>
    <row r="14" spans="1:18" ht="105" customHeight="1">
      <c r="A14" s="21">
        <f>+MRS!A14</f>
        <v>9</v>
      </c>
      <c r="B14" s="161" t="str">
        <f>MRS!B14</f>
        <v>Metal Whistle</v>
      </c>
      <c r="C14" s="162"/>
      <c r="D14" s="163">
        <f>MRS!D14</f>
        <v>0</v>
      </c>
      <c r="E14" s="164"/>
      <c r="F14" s="165"/>
      <c r="G14" s="95" t="str">
        <f>MRS!G14</f>
        <v>Nos</v>
      </c>
      <c r="H14" s="95">
        <f>MRS!H14</f>
        <v>30</v>
      </c>
      <c r="I14" s="96">
        <f>MRS!I14</f>
        <v>3</v>
      </c>
      <c r="J14" s="96">
        <f>MRS!J14</f>
        <v>90</v>
      </c>
      <c r="K14" s="97"/>
      <c r="O14" s="98"/>
      <c r="P14" s="98"/>
      <c r="R14" s="98"/>
    </row>
    <row r="15" spans="1:18" ht="105" customHeight="1">
      <c r="A15" s="21">
        <f>+MRS!A15</f>
        <v>10</v>
      </c>
      <c r="B15" s="161" t="str">
        <f>MRS!B15</f>
        <v>Gas Lens Insulator 18CG (Heat Shield 54N63)</v>
      </c>
      <c r="C15" s="162"/>
      <c r="D15" s="163">
        <f>MRS!D15</f>
        <v>0</v>
      </c>
      <c r="E15" s="164"/>
      <c r="F15" s="165"/>
      <c r="G15" s="95" t="str">
        <f>MRS!G15</f>
        <v>Nos</v>
      </c>
      <c r="H15" s="95">
        <f>MRS!H15</f>
        <v>100</v>
      </c>
      <c r="I15" s="96">
        <f>MRS!I15</f>
        <v>18</v>
      </c>
      <c r="J15" s="96">
        <f>MRS!J15</f>
        <v>1800</v>
      </c>
      <c r="K15" s="97"/>
      <c r="O15" s="98"/>
      <c r="P15" s="98"/>
      <c r="R15" s="98"/>
    </row>
    <row r="16" spans="1:18" ht="105" customHeight="1">
      <c r="A16" s="21">
        <f>+MRS!A16</f>
        <v>11</v>
      </c>
      <c r="B16" s="161" t="str">
        <f>MRS!B16</f>
        <v>Gas Lens Insulator Cup Gasket (54N01)</v>
      </c>
      <c r="C16" s="162"/>
      <c r="D16" s="163">
        <f>MRS!D16</f>
        <v>0</v>
      </c>
      <c r="E16" s="164"/>
      <c r="F16" s="165"/>
      <c r="G16" s="95" t="str">
        <f>MRS!G16</f>
        <v>Nos</v>
      </c>
      <c r="H16" s="95">
        <f>MRS!H16</f>
        <v>100</v>
      </c>
      <c r="I16" s="96">
        <f>MRS!I16</f>
        <v>16.5</v>
      </c>
      <c r="J16" s="96">
        <f>MRS!J16</f>
        <v>1650</v>
      </c>
      <c r="K16" s="97"/>
      <c r="O16" s="98"/>
      <c r="P16" s="98"/>
      <c r="R16" s="98"/>
    </row>
    <row r="17" spans="1:18" ht="105" customHeight="1">
      <c r="A17" s="21">
        <f>+MRS!A17</f>
        <v>12</v>
      </c>
      <c r="B17" s="161" t="str">
        <f>MRS!B17</f>
        <v>Neon Line Tester</v>
      </c>
      <c r="C17" s="162"/>
      <c r="D17" s="163">
        <f>MRS!D17</f>
        <v>0</v>
      </c>
      <c r="E17" s="164"/>
      <c r="F17" s="165"/>
      <c r="G17" s="95" t="str">
        <f>MRS!G17</f>
        <v>Nos</v>
      </c>
      <c r="H17" s="95">
        <f>MRS!H17</f>
        <v>2</v>
      </c>
      <c r="I17" s="96">
        <f>MRS!I17</f>
        <v>2.5</v>
      </c>
      <c r="J17" s="96">
        <f>MRS!J17</f>
        <v>5</v>
      </c>
      <c r="K17" s="97"/>
      <c r="O17" s="98"/>
      <c r="P17" s="98"/>
      <c r="R17" s="98"/>
    </row>
    <row r="18" spans="1:18" ht="105" customHeight="1">
      <c r="A18" s="21">
        <f>+MRS!A18</f>
        <v>13</v>
      </c>
      <c r="B18" s="161" t="str">
        <f>MRS!B18</f>
        <v>HDPE Drum Red Color 200Ltr</v>
      </c>
      <c r="C18" s="162"/>
      <c r="D18" s="163">
        <f>MRS!D18</f>
        <v>0</v>
      </c>
      <c r="E18" s="164"/>
      <c r="F18" s="165"/>
      <c r="G18" s="95" t="str">
        <f>MRS!G18</f>
        <v>Nos</v>
      </c>
      <c r="H18" s="95">
        <f>MRS!H18</f>
        <v>2</v>
      </c>
      <c r="I18" s="96">
        <f>MRS!I18</f>
        <v>145</v>
      </c>
      <c r="J18" s="96">
        <f>MRS!J18</f>
        <v>290</v>
      </c>
      <c r="K18" s="97"/>
      <c r="O18" s="98"/>
      <c r="P18" s="98"/>
      <c r="R18" s="98"/>
    </row>
    <row r="19" spans="1:18" ht="105" customHeight="1">
      <c r="A19" s="21">
        <f>+MRS!A19</f>
        <v>14</v>
      </c>
      <c r="B19" s="161" t="str">
        <f>MRS!B19</f>
        <v>Impact Socket Adapter 1/2"(M) x 1/4"(F)</v>
      </c>
      <c r="C19" s="162"/>
      <c r="D19" s="163">
        <f>MRS!D19</f>
        <v>0</v>
      </c>
      <c r="E19" s="164"/>
      <c r="F19" s="165"/>
      <c r="G19" s="95" t="str">
        <f>MRS!G19</f>
        <v>Nos</v>
      </c>
      <c r="H19" s="95">
        <f>MRS!H19</f>
        <v>10</v>
      </c>
      <c r="I19" s="96">
        <f>MRS!I19</f>
        <v>17</v>
      </c>
      <c r="J19" s="96">
        <f>MRS!J19</f>
        <v>170</v>
      </c>
      <c r="K19" s="97"/>
      <c r="O19" s="98"/>
      <c r="P19" s="98"/>
      <c r="R19" s="98"/>
    </row>
    <row r="20" spans="1:18" ht="105" customHeight="1">
      <c r="A20" s="21">
        <f>+MRS!A20</f>
        <v>15</v>
      </c>
      <c r="B20" s="161" t="str">
        <f>MRS!B20</f>
        <v>Electric Air Blower 220V Hyundai</v>
      </c>
      <c r="C20" s="162"/>
      <c r="D20" s="163">
        <f>MRS!D20</f>
        <v>0</v>
      </c>
      <c r="E20" s="164"/>
      <c r="F20" s="165"/>
      <c r="G20" s="95" t="str">
        <f>MRS!G20</f>
        <v>Nos</v>
      </c>
      <c r="H20" s="95">
        <f>MRS!H20</f>
        <v>2</v>
      </c>
      <c r="I20" s="96">
        <f>MRS!I20</f>
        <v>185</v>
      </c>
      <c r="J20" s="96">
        <f>MRS!J20</f>
        <v>370</v>
      </c>
      <c r="K20" s="97"/>
      <c r="O20" s="98"/>
      <c r="P20" s="98"/>
      <c r="R20" s="98"/>
    </row>
    <row r="21" spans="1:18" ht="105" customHeight="1">
      <c r="A21" s="21">
        <f>+MRS!A21</f>
        <v>16</v>
      </c>
      <c r="B21" s="161" t="str">
        <f>MRS!B21</f>
        <v>Inverter ARC Welding Machine 200A ARC200 Jasic</v>
      </c>
      <c r="C21" s="162"/>
      <c r="D21" s="163">
        <f>MRS!D21</f>
        <v>0</v>
      </c>
      <c r="E21" s="164"/>
      <c r="F21" s="165"/>
      <c r="G21" s="95" t="str">
        <f>MRS!G21</f>
        <v>Nos</v>
      </c>
      <c r="H21" s="95">
        <f>MRS!H21</f>
        <v>20</v>
      </c>
      <c r="I21" s="96">
        <f>MRS!I21</f>
        <v>1600</v>
      </c>
      <c r="J21" s="96">
        <f>MRS!J21</f>
        <v>32000</v>
      </c>
      <c r="K21" s="97"/>
      <c r="O21" s="98"/>
      <c r="P21" s="98"/>
      <c r="R21" s="98"/>
    </row>
    <row r="22" spans="1:18" ht="105" customHeight="1">
      <c r="A22" s="21">
        <f>+MRS!A22</f>
        <v>17</v>
      </c>
      <c r="B22" s="161" t="str">
        <f>MRS!B22</f>
        <v>AC Gas R410A 11.6kg</v>
      </c>
      <c r="C22" s="162"/>
      <c r="D22" s="163">
        <f>MRS!D22</f>
        <v>0</v>
      </c>
      <c r="E22" s="164"/>
      <c r="F22" s="165"/>
      <c r="G22" s="95" t="str">
        <f>MRS!G22</f>
        <v>Nos</v>
      </c>
      <c r="H22" s="95">
        <f>MRS!H22</f>
        <v>5</v>
      </c>
      <c r="I22" s="96">
        <f>MRS!I22</f>
        <v>612</v>
      </c>
      <c r="J22" s="96">
        <f>MRS!J22</f>
        <v>3060</v>
      </c>
      <c r="K22" s="97"/>
      <c r="O22" s="98"/>
      <c r="P22" s="98"/>
      <c r="R22" s="98"/>
    </row>
    <row r="23" spans="1:18" ht="105" customHeight="1">
      <c r="A23" s="21">
        <f>+MRS!A23</f>
        <v>18</v>
      </c>
      <c r="B23" s="161" t="str">
        <f>MRS!B23</f>
        <v>Low Chloride Paint Marker Blue</v>
      </c>
      <c r="C23" s="162"/>
      <c r="D23" s="163">
        <f>MRS!D23</f>
        <v>0</v>
      </c>
      <c r="E23" s="164"/>
      <c r="F23" s="165"/>
      <c r="G23" s="95" t="str">
        <f>MRS!G23</f>
        <v>Nos</v>
      </c>
      <c r="H23" s="95">
        <f>MRS!H23</f>
        <v>700</v>
      </c>
      <c r="I23" s="96">
        <f>MRS!I23</f>
        <v>14.5</v>
      </c>
      <c r="J23" s="96">
        <f>MRS!J23</f>
        <v>10150</v>
      </c>
      <c r="K23" s="97"/>
      <c r="O23" s="98"/>
      <c r="P23" s="98"/>
      <c r="R23" s="98"/>
    </row>
    <row r="24" spans="1:18" ht="105" customHeight="1">
      <c r="A24" s="21">
        <f>+MRS!A24</f>
        <v>19</v>
      </c>
      <c r="B24" s="161" t="str">
        <f>MRS!B24</f>
        <v>Argon Regulator Set UL Listed</v>
      </c>
      <c r="C24" s="162"/>
      <c r="D24" s="163">
        <f>MRS!D24</f>
        <v>0</v>
      </c>
      <c r="E24" s="164"/>
      <c r="F24" s="165"/>
      <c r="G24" s="95" t="str">
        <f>MRS!G24</f>
        <v>Nos</v>
      </c>
      <c r="H24" s="95">
        <f>MRS!H24</f>
        <v>50</v>
      </c>
      <c r="I24" s="96">
        <f>MRS!I24</f>
        <v>158</v>
      </c>
      <c r="J24" s="96">
        <f>MRS!J24</f>
        <v>7900</v>
      </c>
      <c r="K24" s="97"/>
      <c r="O24" s="98"/>
      <c r="P24" s="98"/>
      <c r="R24" s="98"/>
    </row>
    <row r="25" spans="1:18" ht="105" customHeight="1">
      <c r="A25" s="21">
        <f>+MRS!A25</f>
        <v>20</v>
      </c>
      <c r="B25" s="161" t="str">
        <f>MRS!B25</f>
        <v>Magnetic Split Level 230mm</v>
      </c>
      <c r="C25" s="162"/>
      <c r="D25" s="163">
        <f>MRS!D25</f>
        <v>0</v>
      </c>
      <c r="E25" s="164"/>
      <c r="F25" s="165"/>
      <c r="G25" s="95" t="str">
        <f>MRS!G25</f>
        <v>Nos</v>
      </c>
      <c r="H25" s="95">
        <f>MRS!H25</f>
        <v>20</v>
      </c>
      <c r="I25" s="96">
        <f>MRS!I25</f>
        <v>9.5</v>
      </c>
      <c r="J25" s="96">
        <f>MRS!J25</f>
        <v>190</v>
      </c>
      <c r="K25" s="97"/>
      <c r="O25" s="98"/>
      <c r="P25" s="98"/>
      <c r="R25" s="98"/>
    </row>
    <row r="26" spans="1:18" ht="105" customHeight="1">
      <c r="A26" s="21">
        <f>+MRS!A26</f>
        <v>21</v>
      </c>
      <c r="B26" s="161" t="str">
        <f>MRS!B26</f>
        <v>S-Weld Clean Code 1100 2.5Kg</v>
      </c>
      <c r="C26" s="162"/>
      <c r="D26" s="163">
        <f>MRS!D26</f>
        <v>0</v>
      </c>
      <c r="E26" s="164"/>
      <c r="F26" s="165"/>
      <c r="G26" s="95" t="str">
        <f>MRS!G26</f>
        <v>Nos</v>
      </c>
      <c r="H26" s="95">
        <f>MRS!H26</f>
        <v>5</v>
      </c>
      <c r="I26" s="96">
        <f>MRS!I26</f>
        <v>235</v>
      </c>
      <c r="J26" s="96">
        <f>MRS!J26</f>
        <v>1175</v>
      </c>
      <c r="K26" s="97"/>
      <c r="O26" s="98"/>
      <c r="P26" s="98"/>
      <c r="R26" s="98"/>
    </row>
    <row r="27" spans="1:18" ht="105" customHeight="1">
      <c r="A27" s="21">
        <f>+MRS!A27</f>
        <v>22</v>
      </c>
      <c r="B27" s="161" t="str">
        <f>MRS!B27</f>
        <v>S-Weld Passivator Gel Code 1130 2.5kg</v>
      </c>
      <c r="C27" s="162"/>
      <c r="D27" s="163">
        <f>MRS!D27</f>
        <v>0</v>
      </c>
      <c r="E27" s="164"/>
      <c r="F27" s="165"/>
      <c r="G27" s="95" t="str">
        <f>MRS!G27</f>
        <v>Nos</v>
      </c>
      <c r="H27" s="95">
        <f>MRS!H27</f>
        <v>5</v>
      </c>
      <c r="I27" s="96">
        <f>MRS!I27</f>
        <v>235</v>
      </c>
      <c r="J27" s="96">
        <f>MRS!J27</f>
        <v>1175</v>
      </c>
      <c r="K27" s="97"/>
      <c r="O27" s="98"/>
      <c r="P27" s="98"/>
      <c r="R27" s="98"/>
    </row>
    <row r="28" spans="1:18" ht="105" customHeight="1">
      <c r="A28" s="21">
        <f>+MRS!A28</f>
        <v>23</v>
      </c>
      <c r="B28" s="161" t="str">
        <f>MRS!B28</f>
        <v>Cordless Angle Grinder 5" Paddle SW with 2-Battery &amp; Charger Dewalt</v>
      </c>
      <c r="C28" s="162"/>
      <c r="D28" s="163">
        <f>MRS!D28</f>
        <v>0</v>
      </c>
      <c r="E28" s="164"/>
      <c r="F28" s="165"/>
      <c r="G28" s="95" t="str">
        <f>MRS!G28</f>
        <v>Nos</v>
      </c>
      <c r="H28" s="95">
        <f>MRS!H28</f>
        <v>2</v>
      </c>
      <c r="I28" s="96">
        <f>MRS!I28</f>
        <v>1842</v>
      </c>
      <c r="J28" s="96">
        <f>MRS!J28</f>
        <v>3684</v>
      </c>
      <c r="K28" s="97"/>
      <c r="O28" s="98"/>
      <c r="P28" s="98"/>
      <c r="R28" s="98"/>
    </row>
    <row r="29" spans="1:18" ht="105" customHeight="1">
      <c r="A29" s="21">
        <f>+MRS!A29</f>
        <v>24</v>
      </c>
      <c r="B29" s="161" t="str">
        <f>MRS!B29</f>
        <v>Cordless Impact Driver 18V 2.0Ah and Charger DCF887-D2 Dewalt</v>
      </c>
      <c r="C29" s="162"/>
      <c r="D29" s="163">
        <f>MRS!D29</f>
        <v>0</v>
      </c>
      <c r="E29" s="164"/>
      <c r="F29" s="165"/>
      <c r="G29" s="95" t="str">
        <f>MRS!G29</f>
        <v>Nos</v>
      </c>
      <c r="H29" s="95">
        <f>MRS!H29</f>
        <v>2</v>
      </c>
      <c r="I29" s="96">
        <f>MRS!I29</f>
        <v>1225</v>
      </c>
      <c r="J29" s="96">
        <f>MRS!J29</f>
        <v>2450</v>
      </c>
      <c r="K29" s="97"/>
      <c r="O29" s="98"/>
      <c r="P29" s="98"/>
      <c r="R29" s="98"/>
    </row>
    <row r="30" spans="1:18" ht="105" customHeight="1">
      <c r="A30" s="21">
        <f>+MRS!A30</f>
        <v>25</v>
      </c>
      <c r="B30" s="161" t="str">
        <f>MRS!B30</f>
        <v>Drill Machine 16mm in Steel 1050W Boscch GBM 16-2RE</v>
      </c>
      <c r="C30" s="162"/>
      <c r="D30" s="163">
        <f>MRS!D30</f>
        <v>0</v>
      </c>
      <c r="E30" s="164"/>
      <c r="F30" s="165"/>
      <c r="G30" s="95" t="str">
        <f>MRS!G30</f>
        <v>Nos</v>
      </c>
      <c r="H30" s="95">
        <f>MRS!H30</f>
        <v>2</v>
      </c>
      <c r="I30" s="96">
        <f>MRS!I30</f>
        <v>628</v>
      </c>
      <c r="J30" s="96">
        <f>MRS!J30</f>
        <v>1256</v>
      </c>
      <c r="K30" s="97"/>
      <c r="O30" s="98"/>
      <c r="P30" s="98"/>
      <c r="R30" s="98"/>
    </row>
    <row r="31" spans="1:18" ht="105" customHeight="1">
      <c r="A31" s="21">
        <f>+MRS!A31</f>
        <v>26</v>
      </c>
      <c r="B31" s="161" t="str">
        <f>MRS!B31</f>
        <v>Welding Glass Dark #10</v>
      </c>
      <c r="C31" s="162"/>
      <c r="D31" s="163">
        <f>MRS!D31</f>
        <v>0</v>
      </c>
      <c r="E31" s="164"/>
      <c r="F31" s="165"/>
      <c r="G31" s="95" t="str">
        <f>MRS!G31</f>
        <v>Nos</v>
      </c>
      <c r="H31" s="95">
        <f>MRS!H31</f>
        <v>100</v>
      </c>
      <c r="I31" s="96">
        <f>MRS!I31</f>
        <v>0.95</v>
      </c>
      <c r="J31" s="96">
        <f>MRS!J31</f>
        <v>95</v>
      </c>
      <c r="K31" s="97"/>
      <c r="O31" s="98"/>
      <c r="P31" s="98"/>
      <c r="R31" s="98"/>
    </row>
    <row r="32" spans="1:18" ht="105" customHeight="1">
      <c r="A32" s="21">
        <f>+MRS!A32</f>
        <v>27</v>
      </c>
      <c r="B32" s="161" t="str">
        <f>MRS!B32</f>
        <v>Welding Glass Dark #11</v>
      </c>
      <c r="C32" s="162"/>
      <c r="D32" s="163">
        <f>MRS!D32</f>
        <v>0</v>
      </c>
      <c r="E32" s="164"/>
      <c r="F32" s="165"/>
      <c r="G32" s="95" t="str">
        <f>MRS!G32</f>
        <v>Nos</v>
      </c>
      <c r="H32" s="95">
        <f>MRS!H32</f>
        <v>200</v>
      </c>
      <c r="I32" s="96">
        <f>MRS!I32</f>
        <v>0.95</v>
      </c>
      <c r="J32" s="96">
        <f>MRS!J32</f>
        <v>190</v>
      </c>
      <c r="K32" s="97"/>
      <c r="O32" s="98"/>
      <c r="P32" s="98"/>
      <c r="R32" s="98"/>
    </row>
    <row r="33" spans="1:18" ht="105" customHeight="1">
      <c r="A33" s="21">
        <f>+MRS!A33</f>
        <v>28</v>
      </c>
      <c r="B33" s="161" t="str">
        <f>MRS!B33</f>
        <v>Welding Glass Dark #12</v>
      </c>
      <c r="C33" s="162"/>
      <c r="D33" s="163">
        <f>MRS!D33</f>
        <v>0</v>
      </c>
      <c r="E33" s="164"/>
      <c r="F33" s="165"/>
      <c r="G33" s="95" t="str">
        <f>MRS!G33</f>
        <v>Nos</v>
      </c>
      <c r="H33" s="95">
        <f>MRS!H33</f>
        <v>100</v>
      </c>
      <c r="I33" s="96">
        <f>MRS!I33</f>
        <v>0.95</v>
      </c>
      <c r="J33" s="96">
        <f>MRS!J33</f>
        <v>95</v>
      </c>
      <c r="K33" s="97"/>
      <c r="O33" s="98"/>
      <c r="P33" s="98"/>
      <c r="R33" s="98"/>
    </row>
    <row r="34" spans="1:18" ht="105" customHeight="1">
      <c r="A34" s="21">
        <f>+MRS!A34</f>
        <v>29</v>
      </c>
      <c r="B34" s="161" t="str">
        <f>MRS!B34</f>
        <v>Tig Torch Back Cap Long (57Y02)</v>
      </c>
      <c r="C34" s="162"/>
      <c r="D34" s="163">
        <f>MRS!D34</f>
        <v>0</v>
      </c>
      <c r="E34" s="164"/>
      <c r="F34" s="165"/>
      <c r="G34" s="95" t="str">
        <f>MRS!G34</f>
        <v>Nos</v>
      </c>
      <c r="H34" s="95">
        <f>MRS!H34</f>
        <v>100</v>
      </c>
      <c r="I34" s="96">
        <f>MRS!I34</f>
        <v>4.2</v>
      </c>
      <c r="J34" s="96">
        <f>MRS!J34</f>
        <v>420</v>
      </c>
      <c r="K34" s="97"/>
      <c r="O34" s="98"/>
      <c r="P34" s="98"/>
      <c r="R34" s="98"/>
    </row>
    <row r="35" spans="1:18" ht="105" customHeight="1">
      <c r="A35" s="21">
        <f>+MRS!A35</f>
        <v>30</v>
      </c>
      <c r="B35" s="161" t="str">
        <f>MRS!B35</f>
        <v>Tig Torch Back Cap Short (57Y04)</v>
      </c>
      <c r="C35" s="162"/>
      <c r="D35" s="163">
        <f>MRS!D35</f>
        <v>0</v>
      </c>
      <c r="E35" s="164"/>
      <c r="F35" s="165"/>
      <c r="G35" s="95" t="str">
        <f>MRS!G35</f>
        <v>Nos</v>
      </c>
      <c r="H35" s="95">
        <f>MRS!H35</f>
        <v>100</v>
      </c>
      <c r="I35" s="96">
        <f>MRS!I35</f>
        <v>3.5</v>
      </c>
      <c r="J35" s="96">
        <f>MRS!J35</f>
        <v>350</v>
      </c>
      <c r="K35" s="97"/>
      <c r="O35" s="98"/>
      <c r="P35" s="98"/>
      <c r="R35" s="98"/>
    </row>
    <row r="36" spans="1:18" ht="105" customHeight="1">
      <c r="A36" s="21">
        <f>+MRS!A36</f>
        <v>31</v>
      </c>
      <c r="B36" s="161" t="str">
        <f>MRS!B36</f>
        <v>Tungsten Electrode 2.4mm</v>
      </c>
      <c r="C36" s="162"/>
      <c r="D36" s="163">
        <f>MRS!D36</f>
        <v>0</v>
      </c>
      <c r="E36" s="164"/>
      <c r="F36" s="165"/>
      <c r="G36" s="95" t="str">
        <f>MRS!G36</f>
        <v>Nos</v>
      </c>
      <c r="H36" s="95">
        <f>MRS!H36</f>
        <v>500</v>
      </c>
      <c r="I36" s="96">
        <f>MRS!I36</f>
        <v>21</v>
      </c>
      <c r="J36" s="96">
        <f>MRS!J36</f>
        <v>10500</v>
      </c>
      <c r="K36" s="97"/>
      <c r="O36" s="98"/>
      <c r="P36" s="98"/>
      <c r="R36" s="98"/>
    </row>
    <row r="37" spans="1:18" ht="105" customHeight="1">
      <c r="A37" s="21">
        <f>+MRS!A37</f>
        <v>32</v>
      </c>
      <c r="B37" s="161" t="str">
        <f>MRS!B37</f>
        <v>Ceramic Nozzle 350A #6</v>
      </c>
      <c r="C37" s="162"/>
      <c r="D37" s="163">
        <f>MRS!D37</f>
        <v>0</v>
      </c>
      <c r="E37" s="164"/>
      <c r="F37" s="165"/>
      <c r="G37" s="95" t="str">
        <f>MRS!G37</f>
        <v>Nos</v>
      </c>
      <c r="H37" s="95">
        <f>MRS!H37</f>
        <v>500</v>
      </c>
      <c r="I37" s="96">
        <f>MRS!I37</f>
        <v>12</v>
      </c>
      <c r="J37" s="96">
        <f>MRS!J37</f>
        <v>6000</v>
      </c>
      <c r="K37" s="97"/>
      <c r="O37" s="98"/>
      <c r="P37" s="98"/>
      <c r="R37" s="98"/>
    </row>
    <row r="38" spans="1:18" ht="105" customHeight="1">
      <c r="A38" s="21">
        <f>+MRS!A38</f>
        <v>33</v>
      </c>
      <c r="B38" s="161" t="str">
        <f>MRS!B38</f>
        <v>Respirator Cartridge Filter 3M 6001</v>
      </c>
      <c r="C38" s="162"/>
      <c r="D38" s="163">
        <f>MRS!D38</f>
        <v>0</v>
      </c>
      <c r="E38" s="164"/>
      <c r="F38" s="165"/>
      <c r="G38" s="95" t="str">
        <f>MRS!G38</f>
        <v>Nos</v>
      </c>
      <c r="H38" s="95">
        <f>MRS!H38</f>
        <v>70</v>
      </c>
      <c r="I38" s="96">
        <f>MRS!I38</f>
        <v>47.5</v>
      </c>
      <c r="J38" s="96">
        <f>MRS!J38</f>
        <v>3325</v>
      </c>
      <c r="K38" s="97"/>
      <c r="O38" s="98"/>
      <c r="P38" s="98"/>
      <c r="R38" s="98"/>
    </row>
    <row r="39" spans="1:18" ht="105" customHeight="1">
      <c r="A39" s="21">
        <f>+MRS!A39</f>
        <v>34</v>
      </c>
      <c r="B39" s="161" t="str">
        <f>MRS!B39</f>
        <v>Argon Hose Quick Connector 15x6mm</v>
      </c>
      <c r="C39" s="162"/>
      <c r="D39" s="163">
        <f>MRS!D39</f>
        <v>0</v>
      </c>
      <c r="E39" s="164"/>
      <c r="F39" s="165"/>
      <c r="G39" s="95" t="str">
        <f>MRS!G39</f>
        <v>Nos</v>
      </c>
      <c r="H39" s="95">
        <f>MRS!H39</f>
        <v>500</v>
      </c>
      <c r="I39" s="96">
        <f>MRS!I39</f>
        <v>25</v>
      </c>
      <c r="J39" s="96">
        <f>MRS!J39</f>
        <v>12500</v>
      </c>
      <c r="K39" s="97"/>
      <c r="O39" s="98"/>
      <c r="P39" s="98"/>
      <c r="R39" s="98"/>
    </row>
    <row r="40" spans="1:18" ht="105" customHeight="1">
      <c r="A40" s="21">
        <f>+MRS!A40</f>
        <v>35</v>
      </c>
      <c r="B40" s="161" t="str">
        <f>MRS!B40</f>
        <v>Expansion Bolt (Set Anchor) M10x70mm</v>
      </c>
      <c r="C40" s="162"/>
      <c r="D40" s="163">
        <f>MRS!D40</f>
        <v>0</v>
      </c>
      <c r="E40" s="164"/>
      <c r="F40" s="165"/>
      <c r="G40" s="95" t="str">
        <f>MRS!G40</f>
        <v>Nos</v>
      </c>
      <c r="H40" s="95">
        <f>MRS!H40</f>
        <v>500</v>
      </c>
      <c r="I40" s="96">
        <f>MRS!I40</f>
        <v>1.6</v>
      </c>
      <c r="J40" s="96">
        <f>MRS!J40</f>
        <v>800</v>
      </c>
      <c r="K40" s="97"/>
      <c r="O40" s="98"/>
      <c r="P40" s="98"/>
      <c r="R40" s="98"/>
    </row>
    <row r="41" spans="1:18" ht="105" customHeight="1">
      <c r="A41" s="21">
        <f>+MRS!A41</f>
        <v>36</v>
      </c>
      <c r="B41" s="161" t="str">
        <f>MRS!B41</f>
        <v>PVC Flexible Conduit Black 20mmx50mtr</v>
      </c>
      <c r="C41" s="162"/>
      <c r="D41" s="163">
        <f>MRS!D41</f>
        <v>0</v>
      </c>
      <c r="E41" s="164"/>
      <c r="F41" s="165"/>
      <c r="G41" s="95" t="str">
        <f>MRS!G41</f>
        <v>Nos</v>
      </c>
      <c r="H41" s="95">
        <f>MRS!H41</f>
        <v>40</v>
      </c>
      <c r="I41" s="96">
        <f>MRS!I41</f>
        <v>31</v>
      </c>
      <c r="J41" s="96">
        <f>MRS!J41</f>
        <v>1240</v>
      </c>
      <c r="K41" s="97"/>
      <c r="O41" s="98"/>
      <c r="P41" s="98"/>
      <c r="R41" s="98"/>
    </row>
    <row r="42" spans="1:18" ht="105" customHeight="1">
      <c r="A42" s="21">
        <f>+MRS!A42</f>
        <v>37</v>
      </c>
      <c r="B42" s="161" t="str">
        <f>MRS!B42</f>
        <v>Ball Pein Hammer 1LB</v>
      </c>
      <c r="C42" s="162"/>
      <c r="D42" s="163">
        <f>MRS!D42</f>
        <v>0</v>
      </c>
      <c r="E42" s="164"/>
      <c r="F42" s="165"/>
      <c r="G42" s="95" t="str">
        <f>MRS!G42</f>
        <v>Nos</v>
      </c>
      <c r="H42" s="95">
        <f>MRS!H42</f>
        <v>12</v>
      </c>
      <c r="I42" s="96">
        <f>MRS!I42</f>
        <v>27</v>
      </c>
      <c r="J42" s="96">
        <f>MRS!J42</f>
        <v>324</v>
      </c>
      <c r="K42" s="97"/>
      <c r="O42" s="98"/>
      <c r="P42" s="98"/>
      <c r="R42" s="98"/>
    </row>
    <row r="43" spans="1:18" ht="105" customHeight="1">
      <c r="A43" s="21">
        <f>+MRS!A43</f>
        <v>38</v>
      </c>
      <c r="B43" s="161" t="str">
        <f>MRS!B43</f>
        <v>Earth Ground Rod 12mmx1mtr</v>
      </c>
      <c r="C43" s="162"/>
      <c r="D43" s="163">
        <f>MRS!D43</f>
        <v>0</v>
      </c>
      <c r="E43" s="164"/>
      <c r="F43" s="165"/>
      <c r="G43" s="95" t="str">
        <f>MRS!G43</f>
        <v>Nos</v>
      </c>
      <c r="H43" s="95">
        <f>MRS!H43</f>
        <v>12</v>
      </c>
      <c r="I43" s="96">
        <f>MRS!I43</f>
        <v>22</v>
      </c>
      <c r="J43" s="96">
        <f>MRS!J43</f>
        <v>264</v>
      </c>
      <c r="K43" s="97"/>
      <c r="O43" s="98"/>
      <c r="P43" s="98"/>
      <c r="R43" s="98"/>
    </row>
    <row r="44" spans="1:18" ht="105" customHeight="1">
      <c r="A44" s="21">
        <f>+MRS!A44</f>
        <v>39</v>
      </c>
      <c r="B44" s="161" t="str">
        <f>MRS!B44</f>
        <v>Welding Earth Clamp 300A</v>
      </c>
      <c r="C44" s="162"/>
      <c r="D44" s="163">
        <f>MRS!D44</f>
        <v>0</v>
      </c>
      <c r="E44" s="164"/>
      <c r="F44" s="165"/>
      <c r="G44" s="95" t="str">
        <f>MRS!G44</f>
        <v>Nos</v>
      </c>
      <c r="H44" s="95">
        <f>MRS!H44</f>
        <v>30</v>
      </c>
      <c r="I44" s="96">
        <f>MRS!I44</f>
        <v>17</v>
      </c>
      <c r="J44" s="96">
        <f>MRS!J44</f>
        <v>510</v>
      </c>
      <c r="K44" s="97"/>
      <c r="O44" s="98"/>
      <c r="P44" s="98"/>
      <c r="R44" s="98"/>
    </row>
    <row r="45" spans="1:18" ht="105" customHeight="1">
      <c r="A45" s="21">
        <f>+MRS!A45</f>
        <v>40</v>
      </c>
      <c r="B45" s="161" t="str">
        <f>MRS!B45</f>
        <v>Master Precision Level 0.02mm/m 200mmL Dasqua</v>
      </c>
      <c r="C45" s="162"/>
      <c r="D45" s="163">
        <f>MRS!D45</f>
        <v>0</v>
      </c>
      <c r="E45" s="164"/>
      <c r="F45" s="165"/>
      <c r="G45" s="95" t="str">
        <f>MRS!G45</f>
        <v>Nos</v>
      </c>
      <c r="H45" s="95">
        <f>MRS!H45</f>
        <v>1</v>
      </c>
      <c r="I45" s="96">
        <f>MRS!I45</f>
        <v>750</v>
      </c>
      <c r="J45" s="96">
        <f>MRS!J45</f>
        <v>750</v>
      </c>
      <c r="K45" s="97"/>
      <c r="O45" s="98"/>
      <c r="P45" s="98"/>
      <c r="R45" s="98"/>
    </row>
    <row r="46" spans="1:18" ht="105" customHeight="1">
      <c r="A46" s="21">
        <f>+MRS!A46</f>
        <v>41</v>
      </c>
      <c r="B46" s="161" t="str">
        <f>MRS!B46</f>
        <v>Coated Plywood 4'x8'x18mm</v>
      </c>
      <c r="C46" s="162"/>
      <c r="D46" s="163">
        <f>MRS!D46</f>
        <v>0</v>
      </c>
      <c r="E46" s="164"/>
      <c r="F46" s="165"/>
      <c r="G46" s="95" t="str">
        <f>MRS!G46</f>
        <v>Nos</v>
      </c>
      <c r="H46" s="95">
        <f>MRS!H46</f>
        <v>100</v>
      </c>
      <c r="I46" s="96">
        <f>MRS!I46</f>
        <v>112</v>
      </c>
      <c r="J46" s="96">
        <f>MRS!J46</f>
        <v>11200</v>
      </c>
      <c r="K46" s="97"/>
      <c r="O46" s="98"/>
      <c r="P46" s="98"/>
      <c r="R46" s="98"/>
    </row>
    <row r="47" spans="1:18" ht="105" customHeight="1">
      <c r="A47" s="21">
        <f>+MRS!A47</f>
        <v>42</v>
      </c>
      <c r="B47" s="161" t="str">
        <f>MRS!B47</f>
        <v>Weld Purge Oxygen Monitor PurgEye100</v>
      </c>
      <c r="C47" s="162"/>
      <c r="D47" s="163">
        <f>MRS!D47</f>
        <v>0</v>
      </c>
      <c r="E47" s="164"/>
      <c r="F47" s="165"/>
      <c r="G47" s="95" t="str">
        <f>MRS!G47</f>
        <v>Nos</v>
      </c>
      <c r="H47" s="95">
        <f>MRS!H47</f>
        <v>3</v>
      </c>
      <c r="I47" s="96">
        <f>MRS!I47</f>
        <v>3200</v>
      </c>
      <c r="J47" s="96">
        <f>MRS!J47</f>
        <v>9600</v>
      </c>
      <c r="K47" s="97"/>
      <c r="O47" s="98"/>
      <c r="P47" s="98"/>
      <c r="R47" s="98"/>
    </row>
    <row r="48" spans="1:18" ht="105" customHeight="1">
      <c r="A48" s="21">
        <f>+MRS!A48</f>
        <v>43</v>
      </c>
      <c r="B48" s="161" t="str">
        <f>MRS!B48</f>
        <v>Anti-Vibration Impact Gloves XL</v>
      </c>
      <c r="C48" s="162"/>
      <c r="D48" s="163">
        <f>MRS!D48</f>
        <v>0</v>
      </c>
      <c r="E48" s="164"/>
      <c r="F48" s="165"/>
      <c r="G48" s="95" t="str">
        <f>MRS!G48</f>
        <v>Nos</v>
      </c>
      <c r="H48" s="95">
        <f>MRS!H48</f>
        <v>30</v>
      </c>
      <c r="I48" s="96">
        <f>MRS!I48</f>
        <v>45</v>
      </c>
      <c r="J48" s="96">
        <f>MRS!J48</f>
        <v>1350</v>
      </c>
      <c r="K48" s="97"/>
      <c r="O48" s="98"/>
      <c r="P48" s="98"/>
      <c r="R48" s="98"/>
    </row>
    <row r="49" spans="1:18" ht="105" customHeight="1">
      <c r="A49" s="21">
        <f>+MRS!A49</f>
        <v>44</v>
      </c>
      <c r="B49" s="161" t="str">
        <f>MRS!B49</f>
        <v>Industrial Mist Fan 26" 220V</v>
      </c>
      <c r="C49" s="162"/>
      <c r="D49" s="163">
        <f>MRS!D49</f>
        <v>0</v>
      </c>
      <c r="E49" s="164"/>
      <c r="F49" s="165"/>
      <c r="G49" s="95" t="str">
        <f>MRS!G49</f>
        <v>Nos</v>
      </c>
      <c r="H49" s="95">
        <f>MRS!H49</f>
        <v>12</v>
      </c>
      <c r="I49" s="96">
        <f>MRS!I49</f>
        <v>670</v>
      </c>
      <c r="J49" s="96">
        <f>MRS!J49</f>
        <v>8040</v>
      </c>
      <c r="K49" s="97"/>
      <c r="O49" s="98"/>
      <c r="P49" s="98"/>
      <c r="R49" s="98"/>
    </row>
    <row r="50" spans="1:18" ht="105" customHeight="1">
      <c r="A50" s="21">
        <f>+MRS!A50</f>
        <v>45</v>
      </c>
      <c r="B50" s="161" t="str">
        <f>MRS!B50</f>
        <v>Power Cable CU/XLPE/PVC 4Cx35mm2</v>
      </c>
      <c r="C50" s="162"/>
      <c r="D50" s="163">
        <f>MRS!D50</f>
        <v>0</v>
      </c>
      <c r="E50" s="164"/>
      <c r="F50" s="165"/>
      <c r="G50" s="95" t="str">
        <f>MRS!G50</f>
        <v>Nos</v>
      </c>
      <c r="H50" s="95">
        <f>MRS!H50</f>
        <v>250</v>
      </c>
      <c r="I50" s="96">
        <f>MRS!I50</f>
        <v>94</v>
      </c>
      <c r="J50" s="96">
        <f>MRS!J50</f>
        <v>23500</v>
      </c>
      <c r="K50" s="97"/>
      <c r="O50" s="98"/>
      <c r="P50" s="98"/>
      <c r="R50" s="98"/>
    </row>
    <row r="51" spans="1:18" ht="105" customHeight="1">
      <c r="A51" s="21">
        <f>+MRS!A51</f>
        <v>46</v>
      </c>
      <c r="B51" s="161" t="str">
        <f>MRS!B51</f>
        <v>Pump Centrifugal 2" 18m3/h, 47mtr, 3P 220/380V 60Hz, CP680C Pedrollo Italy</v>
      </c>
      <c r="C51" s="162"/>
      <c r="D51" s="163">
        <f>MRS!D51</f>
        <v>0</v>
      </c>
      <c r="E51" s="164"/>
      <c r="F51" s="165"/>
      <c r="G51" s="95" t="str">
        <f>MRS!G51</f>
        <v>Nos</v>
      </c>
      <c r="H51" s="95">
        <f>MRS!H51</f>
        <v>8</v>
      </c>
      <c r="I51" s="96">
        <f>MRS!I51</f>
        <v>3950</v>
      </c>
      <c r="J51" s="96">
        <f>MRS!J51</f>
        <v>31600</v>
      </c>
      <c r="K51" s="97"/>
      <c r="O51" s="98"/>
      <c r="P51" s="98"/>
      <c r="R51" s="98"/>
    </row>
    <row r="52" spans="1:18" ht="105" customHeight="1">
      <c r="A52" s="21">
        <f>+MRS!A52</f>
        <v>47</v>
      </c>
      <c r="B52" s="161" t="str">
        <f>MRS!B52</f>
        <v>Magnetic Starter QCX5-22 for 5.5Kw Pump</v>
      </c>
      <c r="C52" s="162"/>
      <c r="D52" s="163">
        <f>MRS!D52</f>
        <v>0</v>
      </c>
      <c r="E52" s="164"/>
      <c r="F52" s="165"/>
      <c r="G52" s="95" t="str">
        <f>MRS!G52</f>
        <v>Nos</v>
      </c>
      <c r="H52" s="95">
        <f>MRS!H52</f>
        <v>8</v>
      </c>
      <c r="I52" s="96">
        <f>MRS!I52</f>
        <v>185</v>
      </c>
      <c r="J52" s="96">
        <f>MRS!J52</f>
        <v>1480</v>
      </c>
      <c r="K52" s="97"/>
      <c r="O52" s="98"/>
      <c r="P52" s="98"/>
      <c r="R52" s="98"/>
    </row>
    <row r="53" spans="1:18" ht="105" customHeight="1">
      <c r="A53" s="21">
        <f>+MRS!A53</f>
        <v>48</v>
      </c>
      <c r="B53" s="161" t="str">
        <f>MRS!B53</f>
        <v>Digital Hygrometer 3.05" LCD Doqaus</v>
      </c>
      <c r="C53" s="162"/>
      <c r="D53" s="163">
        <f>MRS!D53</f>
        <v>0</v>
      </c>
      <c r="E53" s="164"/>
      <c r="F53" s="165"/>
      <c r="G53" s="95" t="str">
        <f>MRS!G53</f>
        <v>Nos</v>
      </c>
      <c r="H53" s="95">
        <f>MRS!H53</f>
        <v>3</v>
      </c>
      <c r="I53" s="96">
        <f>MRS!I53</f>
        <v>65</v>
      </c>
      <c r="J53" s="96">
        <f>MRS!J53</f>
        <v>195</v>
      </c>
      <c r="K53" s="97"/>
      <c r="O53" s="98"/>
      <c r="P53" s="98"/>
      <c r="R53" s="98"/>
    </row>
    <row r="54" spans="1:18" ht="105" customHeight="1">
      <c r="A54" s="21">
        <f>+MRS!A54</f>
        <v>49</v>
      </c>
      <c r="B54" s="161" t="str">
        <f>MRS!B54</f>
        <v>LED Torch Light Rechargeable GFL4658Z Geepas</v>
      </c>
      <c r="C54" s="162"/>
      <c r="D54" s="163">
        <f>MRS!D54</f>
        <v>0</v>
      </c>
      <c r="E54" s="164"/>
      <c r="F54" s="165"/>
      <c r="G54" s="95" t="str">
        <f>MRS!G54</f>
        <v>Nos</v>
      </c>
      <c r="H54" s="95">
        <f>MRS!H54</f>
        <v>40</v>
      </c>
      <c r="I54" s="96">
        <f>MRS!I54</f>
        <v>48</v>
      </c>
      <c r="J54" s="96">
        <f>MRS!J54</f>
        <v>1920</v>
      </c>
      <c r="K54" s="97"/>
      <c r="O54" s="98"/>
      <c r="P54" s="98"/>
      <c r="R54" s="98"/>
    </row>
    <row r="55" spans="1:18" ht="105" customHeight="1">
      <c r="A55" s="21">
        <f>+MRS!A55</f>
        <v>50</v>
      </c>
      <c r="B55" s="161" t="str">
        <f>MRS!B55</f>
        <v>Hi-Lo Welding Gauge</v>
      </c>
      <c r="C55" s="162"/>
      <c r="D55" s="163">
        <f>MRS!D55</f>
        <v>0</v>
      </c>
      <c r="E55" s="164"/>
      <c r="F55" s="165"/>
      <c r="G55" s="95" t="str">
        <f>MRS!G55</f>
        <v>Nos</v>
      </c>
      <c r="H55" s="95">
        <f>MRS!H55</f>
        <v>15</v>
      </c>
      <c r="I55" s="96">
        <f>MRS!I55</f>
        <v>163</v>
      </c>
      <c r="J55" s="96">
        <f>MRS!J55</f>
        <v>2445</v>
      </c>
      <c r="K55" s="97"/>
      <c r="O55" s="98"/>
      <c r="P55" s="98"/>
      <c r="R55" s="98"/>
    </row>
    <row r="56" spans="1:18" ht="105" customHeight="1">
      <c r="A56" s="21">
        <f>+MRS!A56</f>
        <v>51</v>
      </c>
      <c r="B56" s="161" t="str">
        <f>MRS!B56</f>
        <v>Taper Gauge 15mm</v>
      </c>
      <c r="C56" s="162"/>
      <c r="D56" s="163">
        <f>MRS!D56</f>
        <v>0</v>
      </c>
      <c r="E56" s="164"/>
      <c r="F56" s="165"/>
      <c r="G56" s="95" t="str">
        <f>MRS!G56</f>
        <v>Nos</v>
      </c>
      <c r="H56" s="95">
        <f>MRS!H56</f>
        <v>5</v>
      </c>
      <c r="I56" s="96">
        <f>MRS!I56</f>
        <v>25</v>
      </c>
      <c r="J56" s="96">
        <f>MRS!J56</f>
        <v>125</v>
      </c>
      <c r="K56" s="97"/>
      <c r="O56" s="98"/>
      <c r="P56" s="98"/>
      <c r="R56" s="98"/>
    </row>
    <row r="57" spans="1:18" ht="105" customHeight="1">
      <c r="A57" s="21">
        <f>+MRS!A57</f>
        <v>52</v>
      </c>
      <c r="B57" s="161" t="str">
        <f>MRS!B57</f>
        <v>Pitch Gauge 4-42 tpi</v>
      </c>
      <c r="C57" s="162"/>
      <c r="D57" s="163">
        <f>MRS!D57</f>
        <v>0</v>
      </c>
      <c r="E57" s="164"/>
      <c r="F57" s="165"/>
      <c r="G57" s="95" t="str">
        <f>MRS!G57</f>
        <v>Nos</v>
      </c>
      <c r="H57" s="95">
        <f>MRS!H57</f>
        <v>3</v>
      </c>
      <c r="I57" s="96">
        <f>MRS!I57</f>
        <v>98</v>
      </c>
      <c r="J57" s="96">
        <f>MRS!J57</f>
        <v>294</v>
      </c>
      <c r="K57" s="97"/>
      <c r="O57" s="98"/>
      <c r="P57" s="98"/>
      <c r="R57" s="98"/>
    </row>
    <row r="58" spans="1:18" ht="105" customHeight="1">
      <c r="A58" s="21">
        <f>+MRS!A58</f>
        <v>53</v>
      </c>
      <c r="B58" s="161" t="str">
        <f>MRS!B58</f>
        <v>Parts Handle Side (562211-00) for DWE4002-B5 Dewalt</v>
      </c>
      <c r="C58" s="162"/>
      <c r="D58" s="163">
        <f>MRS!D58</f>
        <v>0</v>
      </c>
      <c r="E58" s="164"/>
      <c r="F58" s="165"/>
      <c r="G58" s="95" t="str">
        <f>MRS!G58</f>
        <v>Nos</v>
      </c>
      <c r="H58" s="95">
        <f>MRS!H58</f>
        <v>30</v>
      </c>
      <c r="I58" s="96">
        <f>MRS!I58</f>
        <v>11</v>
      </c>
      <c r="J58" s="96">
        <f>MRS!J58</f>
        <v>330</v>
      </c>
      <c r="K58" s="97"/>
      <c r="O58" s="98"/>
      <c r="P58" s="98"/>
      <c r="R58" s="98"/>
    </row>
    <row r="59" spans="1:18" ht="105" customHeight="1">
      <c r="A59" s="21">
        <f>+MRS!A59</f>
        <v>54</v>
      </c>
      <c r="B59" s="161" t="str">
        <f>MRS!B59</f>
        <v>Die Grinder 6mm 220V with Paddle Switch DWE4887N-B5 Dewalt</v>
      </c>
      <c r="C59" s="162"/>
      <c r="D59" s="163">
        <f>MRS!D59</f>
        <v>0</v>
      </c>
      <c r="E59" s="164"/>
      <c r="F59" s="165"/>
      <c r="G59" s="95" t="str">
        <f>MRS!G59</f>
        <v>Nos</v>
      </c>
      <c r="H59" s="95">
        <f>MRS!H59</f>
        <v>150</v>
      </c>
      <c r="I59" s="96">
        <f>MRS!I59</f>
        <v>550</v>
      </c>
      <c r="J59" s="96">
        <f>MRS!J59</f>
        <v>82500</v>
      </c>
      <c r="K59" s="97"/>
      <c r="O59" s="98"/>
      <c r="P59" s="98"/>
      <c r="R59" s="98"/>
    </row>
    <row r="60" spans="1:18" ht="105" customHeight="1">
      <c r="A60" s="21">
        <f>+MRS!A60</f>
        <v>55</v>
      </c>
      <c r="B60" s="161" t="str">
        <f>MRS!B60</f>
        <v>Repair Centrifugal Pump (Coil Winding, Bearing, Seal, Assembling)</v>
      </c>
      <c r="C60" s="162"/>
      <c r="D60" s="163">
        <f>MRS!D60</f>
        <v>0</v>
      </c>
      <c r="E60" s="164"/>
      <c r="F60" s="165"/>
      <c r="G60" s="95" t="str">
        <f>MRS!G60</f>
        <v>Nos</v>
      </c>
      <c r="H60" s="95">
        <f>MRS!H60</f>
        <v>5</v>
      </c>
      <c r="I60" s="96">
        <f>MRS!I60</f>
        <v>2150</v>
      </c>
      <c r="J60" s="96">
        <f>MRS!J60</f>
        <v>10750</v>
      </c>
      <c r="K60" s="97"/>
      <c r="O60" s="98"/>
      <c r="P60" s="98"/>
      <c r="R60" s="98"/>
    </row>
    <row r="61" spans="1:18" ht="105" customHeight="1">
      <c r="A61" s="21">
        <f>+MRS!A61</f>
        <v>56</v>
      </c>
      <c r="B61" s="161" t="str">
        <f>MRS!B61</f>
        <v xml:space="preserve">Angle Grinder 7" 220V with Paddle Switch DWE493-B5 Dewalt </v>
      </c>
      <c r="C61" s="162"/>
      <c r="D61" s="163">
        <f>MRS!D61</f>
        <v>0</v>
      </c>
      <c r="E61" s="164"/>
      <c r="F61" s="165"/>
      <c r="G61" s="95" t="str">
        <f>MRS!G61</f>
        <v>Nos</v>
      </c>
      <c r="H61" s="95">
        <f>MRS!H61</f>
        <v>10</v>
      </c>
      <c r="I61" s="96">
        <f>MRS!I61</f>
        <v>560</v>
      </c>
      <c r="J61" s="96">
        <f>MRS!J61</f>
        <v>5600</v>
      </c>
      <c r="K61" s="97"/>
      <c r="O61" s="98"/>
      <c r="P61" s="98"/>
      <c r="R61" s="98"/>
    </row>
    <row r="62" spans="1:18" ht="105" customHeight="1">
      <c r="A62" s="21">
        <f>+MRS!A62</f>
        <v>57</v>
      </c>
      <c r="B62" s="161" t="str">
        <f>MRS!B62</f>
        <v>Hammer Drill Machine SDS Plus GBH 2-24 DRE Bosch</v>
      </c>
      <c r="C62" s="162"/>
      <c r="D62" s="163">
        <f>MRS!D62</f>
        <v>0</v>
      </c>
      <c r="E62" s="164"/>
      <c r="F62" s="165"/>
      <c r="G62" s="95" t="str">
        <f>MRS!G62</f>
        <v>Nos</v>
      </c>
      <c r="H62" s="95">
        <f>MRS!H62</f>
        <v>1</v>
      </c>
      <c r="I62" s="96">
        <f>MRS!I62</f>
        <v>887</v>
      </c>
      <c r="J62" s="96">
        <f>MRS!J62</f>
        <v>887</v>
      </c>
      <c r="K62" s="97"/>
      <c r="O62" s="98"/>
      <c r="P62" s="98"/>
      <c r="R62" s="98"/>
    </row>
    <row r="63" spans="1:18" ht="105" customHeight="1">
      <c r="A63" s="21">
        <f>+MRS!A63</f>
        <v>58</v>
      </c>
      <c r="B63" s="161" t="str">
        <f>MRS!B63</f>
        <v>Drill Machine 13mm in Steel HP1604K Makita</v>
      </c>
      <c r="C63" s="162"/>
      <c r="D63" s="163">
        <f>MRS!D63</f>
        <v>0</v>
      </c>
      <c r="E63" s="164"/>
      <c r="F63" s="165"/>
      <c r="G63" s="95" t="str">
        <f>MRS!G63</f>
        <v>Nos</v>
      </c>
      <c r="H63" s="95">
        <f>MRS!H63</f>
        <v>10</v>
      </c>
      <c r="I63" s="96">
        <f>MRS!I63</f>
        <v>438</v>
      </c>
      <c r="J63" s="96">
        <f>MRS!J63</f>
        <v>4380</v>
      </c>
      <c r="K63" s="97"/>
      <c r="O63" s="98"/>
      <c r="P63" s="98"/>
      <c r="R63" s="98"/>
    </row>
    <row r="64" spans="1:18" ht="105" customHeight="1">
      <c r="A64" s="21">
        <f>+MRS!A64</f>
        <v>59</v>
      </c>
      <c r="B64" s="161" t="str">
        <f>MRS!B64</f>
        <v>Safety Full Body Harness with Double Lanyard</v>
      </c>
      <c r="C64" s="162"/>
      <c r="D64" s="163">
        <f>MRS!D64</f>
        <v>0</v>
      </c>
      <c r="E64" s="164"/>
      <c r="F64" s="165"/>
      <c r="G64" s="95" t="str">
        <f>MRS!G64</f>
        <v>Nos</v>
      </c>
      <c r="H64" s="95">
        <f>MRS!H64</f>
        <v>200</v>
      </c>
      <c r="I64" s="96">
        <f>MRS!I64</f>
        <v>89</v>
      </c>
      <c r="J64" s="96">
        <f>MRS!J64</f>
        <v>17800</v>
      </c>
      <c r="K64" s="97"/>
      <c r="O64" s="98"/>
      <c r="P64" s="98"/>
      <c r="R64" s="98"/>
    </row>
    <row r="65" spans="1:18" ht="105" customHeight="1">
      <c r="A65" s="21">
        <f>+MRS!A65</f>
        <v>60</v>
      </c>
      <c r="B65" s="161" t="str">
        <f>MRS!B65</f>
        <v>Suspension Trauma Strap</v>
      </c>
      <c r="C65" s="162"/>
      <c r="D65" s="163">
        <f>MRS!D65</f>
        <v>0</v>
      </c>
      <c r="E65" s="164"/>
      <c r="F65" s="165"/>
      <c r="G65" s="95" t="str">
        <f>MRS!G65</f>
        <v>Nos</v>
      </c>
      <c r="H65" s="95">
        <f>MRS!H65</f>
        <v>260</v>
      </c>
      <c r="I65" s="96">
        <f>MRS!I65</f>
        <v>12.8</v>
      </c>
      <c r="J65" s="96">
        <f>MRS!J65</f>
        <v>3328</v>
      </c>
      <c r="K65" s="97"/>
      <c r="O65" s="98"/>
      <c r="P65" s="98"/>
      <c r="R65" s="98"/>
    </row>
    <row r="66" spans="1:18" ht="105" customHeight="1">
      <c r="A66" s="21">
        <f>+MRS!A66</f>
        <v>61</v>
      </c>
      <c r="B66" s="161" t="str">
        <f>MRS!B66</f>
        <v>Electric Insulation Tape Black</v>
      </c>
      <c r="C66" s="162"/>
      <c r="D66" s="163">
        <f>MRS!D66</f>
        <v>0</v>
      </c>
      <c r="E66" s="164"/>
      <c r="F66" s="165"/>
      <c r="G66" s="95" t="str">
        <f>MRS!G66</f>
        <v>Nos</v>
      </c>
      <c r="H66" s="95">
        <f>MRS!H66</f>
        <v>100</v>
      </c>
      <c r="I66" s="96">
        <f>MRS!I66</f>
        <v>2</v>
      </c>
      <c r="J66" s="96">
        <f>MRS!J66</f>
        <v>200</v>
      </c>
      <c r="K66" s="97"/>
      <c r="O66" s="98"/>
      <c r="P66" s="98"/>
      <c r="R66" s="98"/>
    </row>
    <row r="67" spans="1:18" ht="105" customHeight="1">
      <c r="A67" s="21">
        <f>+MRS!A67</f>
        <v>62</v>
      </c>
      <c r="B67" s="161" t="str">
        <f>MRS!B67</f>
        <v>Teflon Tape 19mm x 40yard</v>
      </c>
      <c r="C67" s="162"/>
      <c r="D67" s="163">
        <f>MRS!D67</f>
        <v>0</v>
      </c>
      <c r="E67" s="164"/>
      <c r="F67" s="165"/>
      <c r="G67" s="95" t="str">
        <f>MRS!G67</f>
        <v>Nos</v>
      </c>
      <c r="H67" s="95">
        <f>MRS!H67</f>
        <v>900</v>
      </c>
      <c r="I67" s="96">
        <f>MRS!I67</f>
        <v>1.8</v>
      </c>
      <c r="J67" s="96">
        <f>MRS!J67</f>
        <v>1620</v>
      </c>
      <c r="K67" s="97"/>
      <c r="O67" s="98"/>
      <c r="P67" s="98"/>
      <c r="R67" s="98"/>
    </row>
    <row r="68" spans="1:18" ht="105" customHeight="1">
      <c r="A68" s="21">
        <f>+MRS!A68</f>
        <v>63</v>
      </c>
      <c r="B68" s="161" t="str">
        <f>MRS!B68</f>
        <v>Zinc Spray Paint</v>
      </c>
      <c r="C68" s="162"/>
      <c r="D68" s="163">
        <f>MRS!D68</f>
        <v>0</v>
      </c>
      <c r="E68" s="164"/>
      <c r="F68" s="165"/>
      <c r="G68" s="95" t="str">
        <f>MRS!G68</f>
        <v>Nos</v>
      </c>
      <c r="H68" s="95">
        <f>MRS!H68</f>
        <v>100</v>
      </c>
      <c r="I68" s="96">
        <f>MRS!I68</f>
        <v>35</v>
      </c>
      <c r="J68" s="96">
        <f>MRS!J68</f>
        <v>3500</v>
      </c>
      <c r="K68" s="97"/>
      <c r="O68" s="98"/>
      <c r="P68" s="98"/>
      <c r="R68" s="98"/>
    </row>
    <row r="69" spans="1:18" ht="105" customHeight="1">
      <c r="A69" s="21">
        <f>+MRS!A69</f>
        <v>64</v>
      </c>
      <c r="B69" s="161" t="str">
        <f>MRS!B69</f>
        <v>Tig Collet Body 250A 2.4mm</v>
      </c>
      <c r="C69" s="162"/>
      <c r="D69" s="163">
        <f>MRS!D69</f>
        <v>0</v>
      </c>
      <c r="E69" s="164"/>
      <c r="F69" s="165"/>
      <c r="G69" s="95" t="str">
        <f>MRS!G69</f>
        <v>Nos</v>
      </c>
      <c r="H69" s="95">
        <f>MRS!H69</f>
        <v>130</v>
      </c>
      <c r="I69" s="96">
        <f>MRS!I69</f>
        <v>13</v>
      </c>
      <c r="J69" s="96">
        <f>MRS!J69</f>
        <v>1690</v>
      </c>
      <c r="K69" s="97"/>
      <c r="O69" s="98"/>
      <c r="P69" s="98"/>
      <c r="R69" s="98"/>
    </row>
    <row r="70" spans="1:18" ht="105" customHeight="1">
      <c r="A70" s="21">
        <f>+MRS!A70</f>
        <v>65</v>
      </c>
      <c r="B70" s="161" t="str">
        <f>MRS!B70</f>
        <v>Tig Collet Pin 350A 2.4mm</v>
      </c>
      <c r="C70" s="162"/>
      <c r="D70" s="163">
        <f>MRS!D70</f>
        <v>0</v>
      </c>
      <c r="E70" s="164"/>
      <c r="F70" s="165"/>
      <c r="G70" s="95" t="str">
        <f>MRS!G70</f>
        <v>Nos</v>
      </c>
      <c r="H70" s="95">
        <f>MRS!H70</f>
        <v>260</v>
      </c>
      <c r="I70" s="96">
        <f>MRS!I70</f>
        <v>5.9</v>
      </c>
      <c r="J70" s="96">
        <f>MRS!J70</f>
        <v>1534</v>
      </c>
      <c r="K70" s="97"/>
      <c r="O70" s="98"/>
      <c r="P70" s="98"/>
      <c r="R70" s="98"/>
    </row>
    <row r="71" spans="1:18" ht="105" customHeight="1">
      <c r="A71" s="21">
        <f>+MRS!A71</f>
        <v>66</v>
      </c>
      <c r="B71" s="161" t="str">
        <f>MRS!B71</f>
        <v>Tungsten Electrode 2.4mm</v>
      </c>
      <c r="C71" s="162"/>
      <c r="D71" s="163">
        <f>MRS!D71</f>
        <v>0</v>
      </c>
      <c r="E71" s="164"/>
      <c r="F71" s="165"/>
      <c r="G71" s="95" t="str">
        <f>MRS!G71</f>
        <v>Nos</v>
      </c>
      <c r="H71" s="95">
        <f>MRS!H71</f>
        <v>520</v>
      </c>
      <c r="I71" s="96">
        <f>MRS!I71</f>
        <v>21</v>
      </c>
      <c r="J71" s="96">
        <f>MRS!J71</f>
        <v>10920</v>
      </c>
      <c r="K71" s="97"/>
      <c r="O71" s="98"/>
      <c r="P71" s="98"/>
      <c r="R71" s="98"/>
    </row>
    <row r="72" spans="1:18" ht="105" customHeight="1">
      <c r="A72" s="21">
        <f>+MRS!A72</f>
        <v>67</v>
      </c>
      <c r="B72" s="161" t="str">
        <f>MRS!B72</f>
        <v>Tungsten Electrode 3.2mm</v>
      </c>
      <c r="C72" s="162"/>
      <c r="D72" s="163">
        <f>MRS!D72</f>
        <v>0</v>
      </c>
      <c r="E72" s="164"/>
      <c r="F72" s="165"/>
      <c r="G72" s="95" t="str">
        <f>MRS!G72</f>
        <v>Nos</v>
      </c>
      <c r="H72" s="95">
        <f>MRS!H72</f>
        <v>520</v>
      </c>
      <c r="I72" s="96">
        <f>MRS!I72</f>
        <v>25</v>
      </c>
      <c r="J72" s="96">
        <f>MRS!J72</f>
        <v>13000</v>
      </c>
      <c r="K72" s="97"/>
      <c r="O72" s="98"/>
      <c r="P72" s="98"/>
      <c r="R72" s="98"/>
    </row>
    <row r="73" spans="1:18" ht="105" customHeight="1">
      <c r="A73" s="21">
        <f>+MRS!A73</f>
        <v>68</v>
      </c>
      <c r="B73" s="161" t="str">
        <f>MRS!B73</f>
        <v>Loctite 567 50ml</v>
      </c>
      <c r="C73" s="162"/>
      <c r="D73" s="163">
        <f>MRS!D73</f>
        <v>0</v>
      </c>
      <c r="E73" s="164"/>
      <c r="F73" s="165"/>
      <c r="G73" s="95" t="str">
        <f>MRS!G73</f>
        <v>Nos</v>
      </c>
      <c r="H73" s="95">
        <f>MRS!H73</f>
        <v>500</v>
      </c>
      <c r="I73" s="96">
        <f>MRS!I73</f>
        <v>98</v>
      </c>
      <c r="J73" s="96">
        <f>MRS!J73</f>
        <v>49000</v>
      </c>
      <c r="K73" s="97"/>
      <c r="O73" s="98"/>
      <c r="P73" s="98"/>
      <c r="R73" s="98"/>
    </row>
    <row r="74" spans="1:18" ht="105" customHeight="1">
      <c r="A74" s="21">
        <f>+MRS!A74</f>
        <v>69</v>
      </c>
      <c r="B74" s="161" t="str">
        <f>MRS!B74</f>
        <v>Infrared Thermometer Extech IR267</v>
      </c>
      <c r="C74" s="162"/>
      <c r="D74" s="163">
        <f>MRS!D74</f>
        <v>0</v>
      </c>
      <c r="E74" s="164"/>
      <c r="F74" s="165"/>
      <c r="G74" s="95" t="str">
        <f>MRS!G74</f>
        <v>Nos</v>
      </c>
      <c r="H74" s="95">
        <f>MRS!H74</f>
        <v>2</v>
      </c>
      <c r="I74" s="96">
        <f>MRS!I74</f>
        <v>480</v>
      </c>
      <c r="J74" s="96">
        <f>MRS!J74</f>
        <v>960</v>
      </c>
      <c r="K74" s="97"/>
      <c r="O74" s="98"/>
      <c r="P74" s="98"/>
      <c r="R74" s="98"/>
    </row>
    <row r="75" spans="1:18" ht="105" customHeight="1">
      <c r="A75" s="21">
        <f>+MRS!A75</f>
        <v>70</v>
      </c>
      <c r="B75" s="161" t="str">
        <f>MRS!B75</f>
        <v>Magnetic Stand 7033-10 Mitutoyo</v>
      </c>
      <c r="C75" s="162"/>
      <c r="D75" s="163">
        <f>MRS!D75</f>
        <v>0</v>
      </c>
      <c r="E75" s="164"/>
      <c r="F75" s="165"/>
      <c r="G75" s="95" t="str">
        <f>MRS!G75</f>
        <v>Nos</v>
      </c>
      <c r="H75" s="95">
        <f>MRS!H75</f>
        <v>4</v>
      </c>
      <c r="I75" s="96">
        <f>MRS!I75</f>
        <v>2100</v>
      </c>
      <c r="J75" s="96">
        <f>MRS!J75</f>
        <v>8400</v>
      </c>
      <c r="K75" s="97"/>
      <c r="O75" s="98"/>
      <c r="P75" s="98"/>
      <c r="R75" s="98"/>
    </row>
    <row r="76" spans="1:18" ht="105" customHeight="1">
      <c r="A76" s="21">
        <f>+MRS!A76</f>
        <v>71</v>
      </c>
      <c r="B76" s="161" t="str">
        <f>MRS!B76</f>
        <v>Ring Hammer Wrench 50mm</v>
      </c>
      <c r="C76" s="162"/>
      <c r="D76" s="163">
        <f>MRS!D76</f>
        <v>0</v>
      </c>
      <c r="E76" s="164"/>
      <c r="F76" s="165"/>
      <c r="G76" s="95" t="str">
        <f>MRS!G76</f>
        <v>Nos</v>
      </c>
      <c r="H76" s="95">
        <f>MRS!H76</f>
        <v>5</v>
      </c>
      <c r="I76" s="96">
        <f>MRS!I76</f>
        <v>110</v>
      </c>
      <c r="J76" s="96">
        <f>MRS!J76</f>
        <v>550</v>
      </c>
      <c r="K76" s="97"/>
      <c r="O76" s="98"/>
      <c r="P76" s="98"/>
      <c r="R76" s="98"/>
    </row>
    <row r="77" spans="1:18" ht="105" customHeight="1">
      <c r="A77" s="21">
        <f>+MRS!A77</f>
        <v>72</v>
      </c>
      <c r="B77" s="161" t="str">
        <f>MRS!B77</f>
        <v>Hacksaw Frame 12"</v>
      </c>
      <c r="C77" s="162"/>
      <c r="D77" s="163">
        <f>MRS!D77</f>
        <v>0</v>
      </c>
      <c r="E77" s="164"/>
      <c r="F77" s="165"/>
      <c r="G77" s="95" t="str">
        <f>MRS!G77</f>
        <v>Nos</v>
      </c>
      <c r="H77" s="95">
        <f>MRS!H77</f>
        <v>5</v>
      </c>
      <c r="I77" s="96">
        <f>MRS!I77</f>
        <v>11</v>
      </c>
      <c r="J77" s="96">
        <f>MRS!J77</f>
        <v>55</v>
      </c>
      <c r="K77" s="97"/>
      <c r="O77" s="98"/>
      <c r="P77" s="98"/>
      <c r="R77" s="98"/>
    </row>
    <row r="78" spans="1:18" ht="105" customHeight="1">
      <c r="A78" s="21">
        <f>+MRS!A78</f>
        <v>73</v>
      </c>
      <c r="B78" s="161" t="str">
        <f>MRS!B78</f>
        <v>Ratchet Wrench with Socket 1/2" drive 21-24mm</v>
      </c>
      <c r="C78" s="162"/>
      <c r="D78" s="163">
        <f>MRS!D78</f>
        <v>0</v>
      </c>
      <c r="E78" s="164"/>
      <c r="F78" s="165"/>
      <c r="G78" s="95" t="str">
        <f>MRS!G78</f>
        <v>Nos</v>
      </c>
      <c r="H78" s="95">
        <f>MRS!H78</f>
        <v>5</v>
      </c>
      <c r="I78" s="96">
        <f>MRS!I78</f>
        <v>32</v>
      </c>
      <c r="J78" s="96">
        <f>MRS!J78</f>
        <v>160</v>
      </c>
      <c r="K78" s="97"/>
      <c r="O78" s="98"/>
      <c r="P78" s="98"/>
      <c r="R78" s="98"/>
    </row>
    <row r="79" spans="1:18" ht="105" customHeight="1">
      <c r="A79" s="21">
        <f>+MRS!A79</f>
        <v>74</v>
      </c>
      <c r="B79" s="161" t="str">
        <f>MRS!B79</f>
        <v>Hand Soap Liquid 5ltr</v>
      </c>
      <c r="C79" s="162"/>
      <c r="D79" s="163">
        <f>MRS!D79</f>
        <v>0</v>
      </c>
      <c r="E79" s="164"/>
      <c r="F79" s="165"/>
      <c r="G79" s="95" t="str">
        <f>MRS!G79</f>
        <v>Nos</v>
      </c>
      <c r="H79" s="95">
        <f>MRS!H79</f>
        <v>1</v>
      </c>
      <c r="I79" s="96">
        <f>MRS!I79</f>
        <v>35</v>
      </c>
      <c r="J79" s="96">
        <f>MRS!J79</f>
        <v>35</v>
      </c>
      <c r="K79" s="97"/>
      <c r="O79" s="98"/>
      <c r="P79" s="98"/>
      <c r="R79" s="98"/>
    </row>
    <row r="80" spans="1:18" ht="105" customHeight="1">
      <c r="A80" s="21">
        <f>+MRS!A80</f>
        <v>75</v>
      </c>
      <c r="B80" s="161" t="str">
        <f>MRS!B80</f>
        <v>Split A/C 1.5Ton Heat &amp; Cooling Inverter Zamil</v>
      </c>
      <c r="C80" s="162"/>
      <c r="D80" s="163">
        <f>MRS!D80</f>
        <v>0</v>
      </c>
      <c r="E80" s="164"/>
      <c r="F80" s="165"/>
      <c r="G80" s="95" t="str">
        <f>MRS!G80</f>
        <v>Nos</v>
      </c>
      <c r="H80" s="95">
        <f>MRS!H80</f>
        <v>1</v>
      </c>
      <c r="I80" s="96">
        <f>MRS!I80</f>
        <v>2240</v>
      </c>
      <c r="J80" s="96">
        <f>MRS!J80</f>
        <v>2240</v>
      </c>
      <c r="K80" s="97"/>
      <c r="O80" s="98"/>
      <c r="P80" s="98"/>
      <c r="R80" s="98"/>
    </row>
    <row r="81" spans="1:18" ht="105" customHeight="1">
      <c r="A81" s="21">
        <f>+MRS!A81</f>
        <v>76</v>
      </c>
      <c r="B81" s="161" t="str">
        <f>MRS!B81</f>
        <v>Insulation Copper Pipe 1/4" x 15mtr</v>
      </c>
      <c r="C81" s="162"/>
      <c r="D81" s="163">
        <f>MRS!D81</f>
        <v>0</v>
      </c>
      <c r="E81" s="164"/>
      <c r="F81" s="165"/>
      <c r="G81" s="95" t="str">
        <f>MRS!G81</f>
        <v>Nos</v>
      </c>
      <c r="H81" s="95">
        <f>MRS!H81</f>
        <v>3</v>
      </c>
      <c r="I81" s="96">
        <f>MRS!I81</f>
        <v>12</v>
      </c>
      <c r="J81" s="96">
        <f>MRS!J81</f>
        <v>36</v>
      </c>
      <c r="K81" s="97"/>
      <c r="O81" s="98"/>
      <c r="P81" s="98"/>
      <c r="R81" s="98"/>
    </row>
    <row r="82" spans="1:18" ht="105" customHeight="1">
      <c r="A82" s="21">
        <f>+MRS!A82</f>
        <v>77</v>
      </c>
      <c r="B82" s="161" t="str">
        <f>MRS!B82</f>
        <v>Rubber Gloves XL Heavy Duty Sun</v>
      </c>
      <c r="C82" s="162"/>
      <c r="D82" s="163">
        <f>MRS!D82</f>
        <v>0</v>
      </c>
      <c r="E82" s="164"/>
      <c r="F82" s="165"/>
      <c r="G82" s="95" t="str">
        <f>MRS!G82</f>
        <v>Nos</v>
      </c>
      <c r="H82" s="95">
        <f>MRS!H82</f>
        <v>400</v>
      </c>
      <c r="I82" s="96">
        <f>MRS!I82</f>
        <v>2.5</v>
      </c>
      <c r="J82" s="96">
        <f>MRS!J82</f>
        <v>1000</v>
      </c>
      <c r="K82" s="97"/>
      <c r="O82" s="98"/>
      <c r="P82" s="98"/>
      <c r="R82" s="98"/>
    </row>
    <row r="83" spans="1:18" ht="105" customHeight="1">
      <c r="A83" s="21">
        <f>+MRS!A83</f>
        <v>78</v>
      </c>
      <c r="B83" s="161" t="str">
        <f>MRS!B83</f>
        <v>Circular Saw Machine 9" 220V GKS9 Bosch</v>
      </c>
      <c r="C83" s="162"/>
      <c r="D83" s="163">
        <f>MRS!D83</f>
        <v>0</v>
      </c>
      <c r="E83" s="164"/>
      <c r="F83" s="165"/>
      <c r="G83" s="95" t="str">
        <f>MRS!G83</f>
        <v>Nos</v>
      </c>
      <c r="H83" s="95">
        <f>MRS!H83</f>
        <v>10</v>
      </c>
      <c r="I83" s="96">
        <f>MRS!I83</f>
        <v>820</v>
      </c>
      <c r="J83" s="96">
        <f>MRS!J83</f>
        <v>8200</v>
      </c>
      <c r="K83" s="97"/>
      <c r="O83" s="98"/>
      <c r="P83" s="98"/>
      <c r="R83" s="98"/>
    </row>
    <row r="84" spans="1:18" ht="105" customHeight="1">
      <c r="A84" s="21">
        <f>+MRS!A84</f>
        <v>79</v>
      </c>
      <c r="B84" s="161" t="str">
        <f>MRS!B84</f>
        <v>High Pressure Washer 130Bar 1900W K4 Karcher</v>
      </c>
      <c r="C84" s="162"/>
      <c r="D84" s="163">
        <f>MRS!D84</f>
        <v>0</v>
      </c>
      <c r="E84" s="164"/>
      <c r="F84" s="165"/>
      <c r="G84" s="95" t="str">
        <f>MRS!G84</f>
        <v>Nos</v>
      </c>
      <c r="H84" s="95">
        <f>MRS!H84</f>
        <v>1</v>
      </c>
      <c r="I84" s="96">
        <f>MRS!I84</f>
        <v>1880</v>
      </c>
      <c r="J84" s="96">
        <f>MRS!J84</f>
        <v>1880</v>
      </c>
      <c r="K84" s="97"/>
      <c r="O84" s="98"/>
      <c r="P84" s="98"/>
      <c r="R84" s="98"/>
    </row>
    <row r="85" spans="1:18" ht="105" customHeight="1">
      <c r="A85" s="21">
        <f>+MRS!A85</f>
        <v>80</v>
      </c>
      <c r="B85" s="161" t="str">
        <f>MRS!B85</f>
        <v>Cutting Disc S/S 4"x1mm Maks</v>
      </c>
      <c r="C85" s="162"/>
      <c r="D85" s="163">
        <f>MRS!D85</f>
        <v>0</v>
      </c>
      <c r="E85" s="164"/>
      <c r="F85" s="165"/>
      <c r="G85" s="95" t="str">
        <f>MRS!G85</f>
        <v>Nos</v>
      </c>
      <c r="H85" s="95">
        <f>MRS!H85</f>
        <v>8000</v>
      </c>
      <c r="I85" s="96">
        <f>MRS!I85</f>
        <v>1.5</v>
      </c>
      <c r="J85" s="96">
        <f>MRS!J85</f>
        <v>12000</v>
      </c>
      <c r="K85" s="97"/>
      <c r="O85" s="98"/>
      <c r="P85" s="98"/>
      <c r="R85" s="98"/>
    </row>
    <row r="86" spans="1:18" ht="105" customHeight="1">
      <c r="A86" s="21">
        <f>+MRS!A86</f>
        <v>81</v>
      </c>
      <c r="B86" s="161" t="str">
        <f>MRS!B86</f>
        <v>Digital Single Input Thermometer (Contact Pyrometer) EA11 Extech</v>
      </c>
      <c r="C86" s="162"/>
      <c r="D86" s="163">
        <f>MRS!D86</f>
        <v>0</v>
      </c>
      <c r="E86" s="164"/>
      <c r="F86" s="165"/>
      <c r="G86" s="95" t="str">
        <f>MRS!G86</f>
        <v>Nos</v>
      </c>
      <c r="H86" s="95">
        <f>MRS!H86</f>
        <v>1</v>
      </c>
      <c r="I86" s="96">
        <f>MRS!I86</f>
        <v>680</v>
      </c>
      <c r="J86" s="96">
        <f>MRS!J86</f>
        <v>680</v>
      </c>
      <c r="K86" s="97"/>
      <c r="O86" s="98"/>
      <c r="P86" s="98"/>
      <c r="R86" s="98"/>
    </row>
    <row r="87" spans="1:18" ht="105" customHeight="1">
      <c r="A87" s="21">
        <f>+MRS!A87</f>
        <v>82</v>
      </c>
      <c r="B87" s="161" t="str">
        <f>MRS!B87</f>
        <v>Paint Scraper 4"</v>
      </c>
      <c r="C87" s="162"/>
      <c r="D87" s="163">
        <f>MRS!D87</f>
        <v>0</v>
      </c>
      <c r="E87" s="164"/>
      <c r="F87" s="165"/>
      <c r="G87" s="95" t="str">
        <f>MRS!G87</f>
        <v>Nos</v>
      </c>
      <c r="H87" s="95">
        <f>MRS!H87</f>
        <v>10</v>
      </c>
      <c r="I87" s="96">
        <f>MRS!I87</f>
        <v>5</v>
      </c>
      <c r="J87" s="96">
        <f>MRS!J87</f>
        <v>50</v>
      </c>
      <c r="K87" s="97"/>
      <c r="O87" s="98"/>
      <c r="P87" s="98"/>
      <c r="R87" s="98"/>
    </row>
    <row r="88" spans="1:18" ht="105" customHeight="1">
      <c r="A88" s="21">
        <f>+MRS!A88</f>
        <v>83</v>
      </c>
      <c r="B88" s="161" t="str">
        <f>MRS!B88</f>
        <v>Jigsaw Blade 105mm B-10 Makita</v>
      </c>
      <c r="C88" s="162"/>
      <c r="D88" s="163">
        <f>MRS!D88</f>
        <v>0</v>
      </c>
      <c r="E88" s="164"/>
      <c r="F88" s="165"/>
      <c r="G88" s="95" t="str">
        <f>MRS!G88</f>
        <v>Nos</v>
      </c>
      <c r="H88" s="95">
        <f>MRS!H88</f>
        <v>15</v>
      </c>
      <c r="I88" s="96">
        <f>MRS!I88</f>
        <v>4.5999999999999996</v>
      </c>
      <c r="J88" s="96">
        <f>MRS!J88</f>
        <v>69</v>
      </c>
      <c r="K88" s="97"/>
      <c r="O88" s="98"/>
      <c r="P88" s="98"/>
      <c r="R88" s="98"/>
    </row>
    <row r="89" spans="1:18" ht="105" customHeight="1">
      <c r="A89" s="21">
        <f>+MRS!A89</f>
        <v>84</v>
      </c>
      <c r="B89" s="161" t="str">
        <f>MRS!B89</f>
        <v>Spray Paint Blue Asmaco</v>
      </c>
      <c r="C89" s="162"/>
      <c r="D89" s="163">
        <f>MRS!D89</f>
        <v>0</v>
      </c>
      <c r="E89" s="164"/>
      <c r="F89" s="165"/>
      <c r="G89" s="95" t="str">
        <f>MRS!G89</f>
        <v>Nos</v>
      </c>
      <c r="H89" s="95">
        <f>MRS!H89</f>
        <v>50</v>
      </c>
      <c r="I89" s="96">
        <f>MRS!I89</f>
        <v>4</v>
      </c>
      <c r="J89" s="96">
        <f>MRS!J89</f>
        <v>200</v>
      </c>
      <c r="K89" s="97"/>
      <c r="O89" s="98"/>
      <c r="P89" s="98"/>
      <c r="R89" s="98"/>
    </row>
    <row r="90" spans="1:18" ht="105" customHeight="1">
      <c r="A90" s="21">
        <f>+MRS!A90</f>
        <v>85</v>
      </c>
      <c r="B90" s="161" t="str">
        <f>MRS!B90</f>
        <v>Hi Stick Spray Paint Rust Resistant Black</v>
      </c>
      <c r="C90" s="162"/>
      <c r="D90" s="163">
        <f>MRS!D90</f>
        <v>0</v>
      </c>
      <c r="E90" s="164"/>
      <c r="F90" s="165"/>
      <c r="G90" s="95" t="str">
        <f>MRS!G90</f>
        <v>Nos</v>
      </c>
      <c r="H90" s="95">
        <f>MRS!H90</f>
        <v>30</v>
      </c>
      <c r="I90" s="96">
        <f>MRS!I90</f>
        <v>4.5999999999999996</v>
      </c>
      <c r="J90" s="96">
        <f>MRS!J90</f>
        <v>138</v>
      </c>
      <c r="K90" s="97"/>
      <c r="O90" s="98"/>
      <c r="P90" s="98"/>
      <c r="R90" s="98"/>
    </row>
    <row r="91" spans="1:18" ht="105" customHeight="1">
      <c r="A91" s="21">
        <f>+MRS!A91</f>
        <v>86</v>
      </c>
      <c r="B91" s="161" t="str">
        <f>MRS!B91</f>
        <v>Rubber Chemical Gloves XL Heavy Duty Red Color</v>
      </c>
      <c r="C91" s="162"/>
      <c r="D91" s="163">
        <f>MRS!D91</f>
        <v>0</v>
      </c>
      <c r="E91" s="164"/>
      <c r="F91" s="165"/>
      <c r="G91" s="95" t="str">
        <f>MRS!G91</f>
        <v>Nos</v>
      </c>
      <c r="H91" s="95">
        <f>MRS!H91</f>
        <v>150</v>
      </c>
      <c r="I91" s="96">
        <f>MRS!I91</f>
        <v>4.5</v>
      </c>
      <c r="J91" s="96">
        <f>MRS!J91</f>
        <v>675</v>
      </c>
      <c r="K91" s="97"/>
      <c r="O91" s="98"/>
      <c r="P91" s="98"/>
      <c r="R91" s="98"/>
    </row>
    <row r="92" spans="1:18" ht="105" customHeight="1">
      <c r="A92" s="21">
        <f>+MRS!A92</f>
        <v>87</v>
      </c>
      <c r="B92" s="161" t="str">
        <f>MRS!B92</f>
        <v>Cable Tie 3.6mmx150mm White (100ea/pkt)</v>
      </c>
      <c r="C92" s="162"/>
      <c r="D92" s="163">
        <f>MRS!D92</f>
        <v>0</v>
      </c>
      <c r="E92" s="164"/>
      <c r="F92" s="165"/>
      <c r="G92" s="95" t="str">
        <f>MRS!G92</f>
        <v>Nos</v>
      </c>
      <c r="H92" s="95">
        <f>MRS!H92</f>
        <v>700</v>
      </c>
      <c r="I92" s="96">
        <f>MRS!I92</f>
        <v>6</v>
      </c>
      <c r="J92" s="96">
        <f>MRS!J92</f>
        <v>4200</v>
      </c>
      <c r="K92" s="97"/>
      <c r="O92" s="98"/>
      <c r="P92" s="98"/>
      <c r="R92" s="98"/>
    </row>
    <row r="93" spans="1:18" ht="105" customHeight="1">
      <c r="A93" s="21">
        <f>+MRS!A93</f>
        <v>88</v>
      </c>
      <c r="B93" s="161" t="str">
        <f>MRS!B93</f>
        <v>Cable Tie 4.8mmx300mm White (100ea/pkt)</v>
      </c>
      <c r="C93" s="162"/>
      <c r="D93" s="163">
        <f>MRS!D93</f>
        <v>0</v>
      </c>
      <c r="E93" s="164"/>
      <c r="F93" s="165"/>
      <c r="G93" s="95" t="str">
        <f>MRS!G93</f>
        <v>Nos</v>
      </c>
      <c r="H93" s="95">
        <f>MRS!H93</f>
        <v>700</v>
      </c>
      <c r="I93" s="96">
        <f>MRS!I93</f>
        <v>13</v>
      </c>
      <c r="J93" s="96">
        <f>MRS!J93</f>
        <v>9100</v>
      </c>
      <c r="K93" s="97"/>
      <c r="O93" s="98"/>
      <c r="P93" s="98"/>
      <c r="R93" s="98"/>
    </row>
    <row r="94" spans="1:18" ht="105" customHeight="1">
      <c r="A94" s="21">
        <f>+MRS!A94</f>
        <v>89</v>
      </c>
      <c r="B94" s="161" t="str">
        <f>MRS!B94</f>
        <v>Adjustable Wrench 200mm</v>
      </c>
      <c r="C94" s="162"/>
      <c r="D94" s="163">
        <f>MRS!D94</f>
        <v>0</v>
      </c>
      <c r="E94" s="164"/>
      <c r="F94" s="165"/>
      <c r="G94" s="95" t="str">
        <f>MRS!G94</f>
        <v>Nos</v>
      </c>
      <c r="H94" s="95">
        <f>MRS!H94</f>
        <v>10</v>
      </c>
      <c r="I94" s="96">
        <f>MRS!I94</f>
        <v>21</v>
      </c>
      <c r="J94" s="96">
        <f>MRS!J94</f>
        <v>210</v>
      </c>
      <c r="K94" s="97"/>
      <c r="O94" s="98"/>
      <c r="P94" s="98"/>
      <c r="R94" s="98"/>
    </row>
    <row r="95" spans="1:18" ht="105" customHeight="1">
      <c r="A95" s="21">
        <f>+MRS!A95</f>
        <v>90</v>
      </c>
      <c r="B95" s="161" t="str">
        <f>MRS!B95</f>
        <v>Combination Spanner 10mm</v>
      </c>
      <c r="C95" s="162"/>
      <c r="D95" s="163">
        <f>MRS!D95</f>
        <v>0</v>
      </c>
      <c r="E95" s="164"/>
      <c r="F95" s="165"/>
      <c r="G95" s="95" t="str">
        <f>MRS!G95</f>
        <v>Nos</v>
      </c>
      <c r="H95" s="95">
        <f>MRS!H95</f>
        <v>10</v>
      </c>
      <c r="I95" s="96">
        <f>MRS!I95</f>
        <v>6</v>
      </c>
      <c r="J95" s="96">
        <f>MRS!J95</f>
        <v>60</v>
      </c>
      <c r="K95" s="97"/>
      <c r="O95" s="98"/>
      <c r="P95" s="98"/>
      <c r="R95" s="98"/>
    </row>
    <row r="96" spans="1:18" ht="105" customHeight="1">
      <c r="A96" s="21">
        <f>+MRS!A96</f>
        <v>91</v>
      </c>
      <c r="B96" s="161" t="str">
        <f>MRS!B96</f>
        <v>Combination Spanner 12mm</v>
      </c>
      <c r="C96" s="162"/>
      <c r="D96" s="163">
        <f>MRS!D96</f>
        <v>0</v>
      </c>
      <c r="E96" s="164"/>
      <c r="F96" s="165"/>
      <c r="G96" s="95" t="str">
        <f>MRS!G96</f>
        <v>Nos</v>
      </c>
      <c r="H96" s="95">
        <f>MRS!H96</f>
        <v>10</v>
      </c>
      <c r="I96" s="96">
        <f>MRS!I96</f>
        <v>8</v>
      </c>
      <c r="J96" s="96">
        <f>MRS!J96</f>
        <v>80</v>
      </c>
      <c r="K96" s="97"/>
      <c r="O96" s="98"/>
      <c r="P96" s="98"/>
      <c r="R96" s="98"/>
    </row>
    <row r="97" spans="1:18" ht="105" customHeight="1">
      <c r="A97" s="21">
        <f>+MRS!A97</f>
        <v>92</v>
      </c>
      <c r="B97" s="161" t="str">
        <f>MRS!B97</f>
        <v>Combination Spanner 13mm</v>
      </c>
      <c r="C97" s="162"/>
      <c r="D97" s="163">
        <f>MRS!D97</f>
        <v>0</v>
      </c>
      <c r="E97" s="164"/>
      <c r="F97" s="165"/>
      <c r="G97" s="95" t="str">
        <f>MRS!G97</f>
        <v>Nos</v>
      </c>
      <c r="H97" s="95">
        <f>MRS!H97</f>
        <v>10</v>
      </c>
      <c r="I97" s="96">
        <f>MRS!I97</f>
        <v>9</v>
      </c>
      <c r="J97" s="96">
        <f>MRS!J97</f>
        <v>90</v>
      </c>
      <c r="K97" s="97"/>
      <c r="O97" s="98"/>
      <c r="P97" s="98"/>
      <c r="R97" s="98"/>
    </row>
    <row r="98" spans="1:18" ht="105" customHeight="1">
      <c r="A98" s="21">
        <f>+MRS!A98</f>
        <v>93</v>
      </c>
      <c r="B98" s="161" t="str">
        <f>MRS!B98</f>
        <v>Purple Enamel Paint RAL 4006 (2L)</v>
      </c>
      <c r="C98" s="162"/>
      <c r="D98" s="163">
        <f>MRS!D98</f>
        <v>0</v>
      </c>
      <c r="E98" s="164"/>
      <c r="F98" s="165"/>
      <c r="G98" s="95" t="str">
        <f>MRS!G98</f>
        <v>Nos</v>
      </c>
      <c r="H98" s="95">
        <f>MRS!H98</f>
        <v>2</v>
      </c>
      <c r="I98" s="96">
        <f>MRS!I98</f>
        <v>250</v>
      </c>
      <c r="J98" s="96">
        <f>MRS!J98</f>
        <v>500</v>
      </c>
      <c r="K98" s="97"/>
      <c r="O98" s="98"/>
      <c r="P98" s="98"/>
      <c r="R98" s="98"/>
    </row>
    <row r="99" spans="1:18" ht="105" customHeight="1">
      <c r="A99" s="21">
        <f>+MRS!A99</f>
        <v>94</v>
      </c>
      <c r="B99" s="161" t="str">
        <f>MRS!B99</f>
        <v>Acetone 4liter</v>
      </c>
      <c r="C99" s="162"/>
      <c r="D99" s="163">
        <f>MRS!D99</f>
        <v>0</v>
      </c>
      <c r="E99" s="164"/>
      <c r="F99" s="165"/>
      <c r="G99" s="95" t="str">
        <f>MRS!G99</f>
        <v>Nos</v>
      </c>
      <c r="H99" s="95">
        <f>MRS!H99</f>
        <v>5</v>
      </c>
      <c r="I99" s="96">
        <f>MRS!I99</f>
        <v>105</v>
      </c>
      <c r="J99" s="96">
        <f>MRS!J99</f>
        <v>525</v>
      </c>
      <c r="K99" s="97"/>
      <c r="O99" s="98"/>
      <c r="P99" s="98"/>
      <c r="R99" s="98"/>
    </row>
    <row r="100" spans="1:18" ht="105" customHeight="1">
      <c r="A100" s="21">
        <f>+MRS!A100</f>
        <v>95</v>
      </c>
      <c r="B100" s="161" t="str">
        <f>MRS!B100</f>
        <v>Permanent Marker Pen Twin Tip Blue 1.0x0.5mm</v>
      </c>
      <c r="C100" s="162"/>
      <c r="D100" s="163">
        <f>MRS!D100</f>
        <v>0</v>
      </c>
      <c r="E100" s="164"/>
      <c r="F100" s="165"/>
      <c r="G100" s="95" t="str">
        <f>MRS!G100</f>
        <v>Nos</v>
      </c>
      <c r="H100" s="95">
        <f>MRS!H100</f>
        <v>450</v>
      </c>
      <c r="I100" s="96">
        <f>MRS!I100</f>
        <v>1.84</v>
      </c>
      <c r="J100" s="96">
        <f>MRS!J100</f>
        <v>828</v>
      </c>
      <c r="K100" s="97"/>
      <c r="O100" s="98"/>
      <c r="P100" s="98"/>
      <c r="R100" s="98"/>
    </row>
    <row r="101" spans="1:18" ht="105" customHeight="1">
      <c r="A101" s="21">
        <f>+MRS!A101</f>
        <v>96</v>
      </c>
      <c r="B101" s="161" t="str">
        <f>MRS!B101</f>
        <v>GI Hex Nut M6 Left-Hand Lock Nut</v>
      </c>
      <c r="C101" s="162"/>
      <c r="D101" s="163">
        <f>MRS!D101</f>
        <v>0</v>
      </c>
      <c r="E101" s="164"/>
      <c r="F101" s="165"/>
      <c r="G101" s="95" t="str">
        <f>MRS!G101</f>
        <v>Nos</v>
      </c>
      <c r="H101" s="95">
        <f>MRS!H101</f>
        <v>100</v>
      </c>
      <c r="I101" s="96">
        <f>MRS!I101</f>
        <v>3.3</v>
      </c>
      <c r="J101" s="96">
        <f>MRS!J101</f>
        <v>330</v>
      </c>
      <c r="K101" s="97"/>
      <c r="O101" s="98"/>
      <c r="P101" s="98"/>
      <c r="R101" s="98"/>
    </row>
    <row r="102" spans="1:18" ht="105" customHeight="1">
      <c r="A102" s="21">
        <f>+MRS!A102</f>
        <v>97</v>
      </c>
      <c r="B102" s="161" t="str">
        <f>MRS!B102</f>
        <v>Cutting Disc C/S 4"x3mm Maks</v>
      </c>
      <c r="C102" s="162"/>
      <c r="D102" s="163">
        <f>MRS!D102</f>
        <v>0</v>
      </c>
      <c r="E102" s="164"/>
      <c r="F102" s="165"/>
      <c r="G102" s="95" t="str">
        <f>MRS!G102</f>
        <v>Nos</v>
      </c>
      <c r="H102" s="95">
        <f>MRS!H102</f>
        <v>2000</v>
      </c>
      <c r="I102" s="96">
        <f>MRS!I102</f>
        <v>1.7</v>
      </c>
      <c r="J102" s="96">
        <f>MRS!J102</f>
        <v>3400</v>
      </c>
      <c r="K102" s="97"/>
      <c r="O102" s="98"/>
      <c r="P102" s="98"/>
      <c r="R102" s="98"/>
    </row>
    <row r="103" spans="1:18" ht="105" customHeight="1">
      <c r="A103" s="21">
        <f>+MRS!A103</f>
        <v>98</v>
      </c>
      <c r="B103" s="161" t="str">
        <f>MRS!B103</f>
        <v>Cutting Disc S/S 4"x3mm Maks</v>
      </c>
      <c r="C103" s="162"/>
      <c r="D103" s="163">
        <f>MRS!D103</f>
        <v>0</v>
      </c>
      <c r="E103" s="164"/>
      <c r="F103" s="165"/>
      <c r="G103" s="95" t="str">
        <f>MRS!G103</f>
        <v>Nos</v>
      </c>
      <c r="H103" s="95">
        <f>MRS!H103</f>
        <v>1000</v>
      </c>
      <c r="I103" s="96">
        <f>MRS!I103</f>
        <v>2.2000000000000002</v>
      </c>
      <c r="J103" s="96">
        <f>MRS!J103</f>
        <v>2200</v>
      </c>
      <c r="K103" s="97"/>
      <c r="O103" s="98"/>
      <c r="P103" s="98"/>
      <c r="R103" s="98"/>
    </row>
    <row r="104" spans="1:18" ht="105" customHeight="1">
      <c r="A104" s="21">
        <f>+MRS!A104</f>
        <v>99</v>
      </c>
      <c r="B104" s="161" t="str">
        <f>MRS!B104</f>
        <v>Dust Mask N95 Venus</v>
      </c>
      <c r="C104" s="162"/>
      <c r="D104" s="163">
        <f>MRS!D104</f>
        <v>0</v>
      </c>
      <c r="E104" s="164"/>
      <c r="F104" s="165"/>
      <c r="G104" s="95" t="str">
        <f>MRS!G104</f>
        <v>Nos</v>
      </c>
      <c r="H104" s="95">
        <f>MRS!H104</f>
        <v>3500</v>
      </c>
      <c r="I104" s="96">
        <f>MRS!I104</f>
        <v>1.5</v>
      </c>
      <c r="J104" s="96">
        <f>MRS!J104</f>
        <v>5250</v>
      </c>
      <c r="K104" s="97"/>
      <c r="O104" s="98"/>
      <c r="P104" s="98"/>
      <c r="R104" s="98"/>
    </row>
    <row r="105" spans="1:18" ht="105" customHeight="1">
      <c r="A105" s="21">
        <f>+MRS!A105</f>
        <v>100</v>
      </c>
      <c r="B105" s="161" t="str">
        <f>MRS!B105</f>
        <v>Sponge Foam Sheet 900x1900x100mm</v>
      </c>
      <c r="C105" s="162"/>
      <c r="D105" s="163">
        <f>MRS!D105</f>
        <v>0</v>
      </c>
      <c r="E105" s="164"/>
      <c r="F105" s="165"/>
      <c r="G105" s="95" t="str">
        <f>MRS!G105</f>
        <v>Nos</v>
      </c>
      <c r="H105" s="95">
        <f>MRS!H105</f>
        <v>50</v>
      </c>
      <c r="I105" s="96">
        <f>MRS!I105</f>
        <v>97</v>
      </c>
      <c r="J105" s="96">
        <f>MRS!J105</f>
        <v>4850</v>
      </c>
      <c r="K105" s="97"/>
      <c r="O105" s="98"/>
      <c r="P105" s="98"/>
      <c r="R105" s="98"/>
    </row>
    <row r="106" spans="1:18" ht="105" customHeight="1">
      <c r="A106" s="21">
        <f>+MRS!A106</f>
        <v>101</v>
      </c>
      <c r="B106" s="161" t="str">
        <f>MRS!B106</f>
        <v>Welding Cable Connector 50-70mm2 Male &amp; Female</v>
      </c>
      <c r="C106" s="162"/>
      <c r="D106" s="163">
        <f>MRS!D106</f>
        <v>0</v>
      </c>
      <c r="E106" s="164"/>
      <c r="F106" s="165"/>
      <c r="G106" s="95" t="str">
        <f>MRS!G106</f>
        <v>Nos</v>
      </c>
      <c r="H106" s="95">
        <f>MRS!H106</f>
        <v>125</v>
      </c>
      <c r="I106" s="96">
        <f>MRS!I106</f>
        <v>24.5</v>
      </c>
      <c r="J106" s="96">
        <f>MRS!J106</f>
        <v>3062.5</v>
      </c>
      <c r="K106" s="97"/>
      <c r="O106" s="98"/>
      <c r="P106" s="98"/>
      <c r="R106" s="98"/>
    </row>
    <row r="107" spans="1:18" ht="105" customHeight="1">
      <c r="A107" s="21">
        <f>+MRS!A107</f>
        <v>102</v>
      </c>
      <c r="B107" s="161" t="str">
        <f>MRS!B107</f>
        <v>Tig Collet Body 350A 3.2mm</v>
      </c>
      <c r="C107" s="162"/>
      <c r="D107" s="163">
        <f>MRS!D107</f>
        <v>0</v>
      </c>
      <c r="E107" s="164"/>
      <c r="F107" s="165"/>
      <c r="G107" s="95" t="str">
        <f>MRS!G107</f>
        <v>Nos</v>
      </c>
      <c r="H107" s="95">
        <f>MRS!H107</f>
        <v>100</v>
      </c>
      <c r="I107" s="96">
        <f>MRS!I107</f>
        <v>13</v>
      </c>
      <c r="J107" s="96">
        <f>MRS!J107</f>
        <v>1300</v>
      </c>
      <c r="K107" s="97"/>
      <c r="O107" s="98"/>
      <c r="P107" s="98"/>
      <c r="R107" s="98"/>
    </row>
    <row r="108" spans="1:18" ht="105" customHeight="1">
      <c r="A108" s="21">
        <f>+MRS!A108</f>
        <v>103</v>
      </c>
      <c r="B108" s="161" t="str">
        <f>MRS!B108</f>
        <v>Tig Collet Body 350A 2.4mm</v>
      </c>
      <c r="C108" s="162"/>
      <c r="D108" s="163">
        <f>MRS!D108</f>
        <v>0</v>
      </c>
      <c r="E108" s="164"/>
      <c r="F108" s="165"/>
      <c r="G108" s="95" t="str">
        <f>MRS!G108</f>
        <v>Nos</v>
      </c>
      <c r="H108" s="95">
        <f>MRS!H108</f>
        <v>100</v>
      </c>
      <c r="I108" s="96">
        <f>MRS!I108</f>
        <v>13</v>
      </c>
      <c r="J108" s="96">
        <f>MRS!J108</f>
        <v>1300</v>
      </c>
      <c r="K108" s="97"/>
      <c r="O108" s="98"/>
      <c r="P108" s="98"/>
      <c r="R108" s="98"/>
    </row>
    <row r="109" spans="1:18" ht="105" customHeight="1">
      <c r="A109" s="21">
        <f>+MRS!A109</f>
        <v>104</v>
      </c>
      <c r="B109" s="161" t="str">
        <f>MRS!B109</f>
        <v>Tig Collet Pin 250A 2.4mm</v>
      </c>
      <c r="C109" s="162"/>
      <c r="D109" s="163">
        <f>MRS!D109</f>
        <v>0</v>
      </c>
      <c r="E109" s="164"/>
      <c r="F109" s="165"/>
      <c r="G109" s="95" t="str">
        <f>MRS!G109</f>
        <v>Nos</v>
      </c>
      <c r="H109" s="95">
        <f>MRS!H109</f>
        <v>350</v>
      </c>
      <c r="I109" s="96">
        <f>MRS!I109</f>
        <v>5.9</v>
      </c>
      <c r="J109" s="96">
        <f>MRS!J109</f>
        <v>2065</v>
      </c>
      <c r="K109" s="97"/>
      <c r="O109" s="98"/>
      <c r="P109" s="98"/>
      <c r="R109" s="98"/>
    </row>
    <row r="110" spans="1:18" ht="105" customHeight="1">
      <c r="A110" s="21">
        <f>+MRS!A110</f>
        <v>105</v>
      </c>
      <c r="B110" s="161" t="str">
        <f>MRS!B110</f>
        <v>Tungsten Electrode 2.4mm</v>
      </c>
      <c r="C110" s="162"/>
      <c r="D110" s="163">
        <f>MRS!D110</f>
        <v>0</v>
      </c>
      <c r="E110" s="164"/>
      <c r="F110" s="165"/>
      <c r="G110" s="95" t="str">
        <f>MRS!G110</f>
        <v>Nos</v>
      </c>
      <c r="H110" s="95">
        <f>MRS!H110</f>
        <v>120</v>
      </c>
      <c r="I110" s="96">
        <f>MRS!I110</f>
        <v>21</v>
      </c>
      <c r="J110" s="96">
        <f>MRS!J110</f>
        <v>2520</v>
      </c>
      <c r="K110" s="97"/>
      <c r="O110" s="98"/>
      <c r="P110" s="98"/>
      <c r="R110" s="98"/>
    </row>
    <row r="111" spans="1:18" ht="105" customHeight="1">
      <c r="A111" s="21">
        <f>+MRS!A111</f>
        <v>106</v>
      </c>
      <c r="B111" s="161" t="str">
        <f>MRS!B111</f>
        <v>Tungsten Electrode 3.2mm</v>
      </c>
      <c r="C111" s="162"/>
      <c r="D111" s="163">
        <f>MRS!D111</f>
        <v>0</v>
      </c>
      <c r="E111" s="164"/>
      <c r="F111" s="165"/>
      <c r="G111" s="95" t="str">
        <f>MRS!G111</f>
        <v>Nos</v>
      </c>
      <c r="H111" s="95">
        <f>MRS!H111</f>
        <v>120</v>
      </c>
      <c r="I111" s="96">
        <f>MRS!I111</f>
        <v>25</v>
      </c>
      <c r="J111" s="96">
        <f>MRS!J111</f>
        <v>3000</v>
      </c>
      <c r="K111" s="97"/>
      <c r="O111" s="98"/>
      <c r="P111" s="98"/>
      <c r="R111" s="98"/>
    </row>
    <row r="112" spans="1:18" ht="105" customHeight="1">
      <c r="A112" s="21">
        <f>+MRS!A112</f>
        <v>107</v>
      </c>
      <c r="B112" s="161" t="str">
        <f>MRS!B112</f>
        <v>Ceramic Nozzle 350A #7</v>
      </c>
      <c r="C112" s="162"/>
      <c r="D112" s="163">
        <f>MRS!D112</f>
        <v>0</v>
      </c>
      <c r="E112" s="164"/>
      <c r="F112" s="165"/>
      <c r="G112" s="95" t="str">
        <f>MRS!G112</f>
        <v>Nos</v>
      </c>
      <c r="H112" s="95">
        <f>MRS!H112</f>
        <v>500</v>
      </c>
      <c r="I112" s="96">
        <f>MRS!I112</f>
        <v>12</v>
      </c>
      <c r="J112" s="96">
        <f>MRS!J112</f>
        <v>6000</v>
      </c>
      <c r="K112" s="97"/>
      <c r="O112" s="98"/>
      <c r="P112" s="98"/>
      <c r="R112" s="98"/>
    </row>
    <row r="113" spans="1:18" ht="105" customHeight="1">
      <c r="A113" s="21">
        <f>+MRS!A113</f>
        <v>108</v>
      </c>
      <c r="B113" s="161" t="str">
        <f>MRS!B113</f>
        <v>Double Ear Clamp S/S 13-15mm</v>
      </c>
      <c r="C113" s="162"/>
      <c r="D113" s="163">
        <f>MRS!D113</f>
        <v>0</v>
      </c>
      <c r="E113" s="164"/>
      <c r="F113" s="165"/>
      <c r="G113" s="95" t="str">
        <f>MRS!G113</f>
        <v>Nos</v>
      </c>
      <c r="H113" s="95">
        <f>MRS!H113</f>
        <v>700</v>
      </c>
      <c r="I113" s="96">
        <f>MRS!I113</f>
        <v>5.8</v>
      </c>
      <c r="J113" s="96">
        <f>MRS!J113</f>
        <v>4060</v>
      </c>
      <c r="K113" s="97"/>
      <c r="O113" s="98"/>
      <c r="P113" s="98"/>
      <c r="R113" s="98"/>
    </row>
    <row r="114" spans="1:18" ht="105" customHeight="1">
      <c r="A114" s="21">
        <f>+MRS!A114</f>
        <v>109</v>
      </c>
      <c r="B114" s="161" t="str">
        <f>MRS!B114</f>
        <v>Argon Regulator Connector Nut &amp; Nipple 9/16"-1/4"</v>
      </c>
      <c r="C114" s="162"/>
      <c r="D114" s="163">
        <f>MRS!D114</f>
        <v>0</v>
      </c>
      <c r="E114" s="164"/>
      <c r="F114" s="165"/>
      <c r="G114" s="95" t="str">
        <f>MRS!G114</f>
        <v>Nos</v>
      </c>
      <c r="H114" s="95">
        <f>MRS!H114</f>
        <v>700</v>
      </c>
      <c r="I114" s="96">
        <f>MRS!I114</f>
        <v>9.8000000000000007</v>
      </c>
      <c r="J114" s="96">
        <f>MRS!J114</f>
        <v>6860.0000000000009</v>
      </c>
      <c r="K114" s="97"/>
      <c r="O114" s="98"/>
      <c r="P114" s="98"/>
      <c r="R114" s="98"/>
    </row>
    <row r="115" spans="1:18" ht="105" customHeight="1">
      <c r="A115" s="21">
        <f>+MRS!A115</f>
        <v>110</v>
      </c>
      <c r="B115" s="161" t="str">
        <f>MRS!B115</f>
        <v>Welding Rod ERNiCu-7 2.4mm ESAB</v>
      </c>
      <c r="C115" s="162"/>
      <c r="D115" s="163">
        <f>MRS!D115</f>
        <v>0</v>
      </c>
      <c r="E115" s="164"/>
      <c r="F115" s="165"/>
      <c r="G115" s="95" t="str">
        <f>MRS!G115</f>
        <v>Nos</v>
      </c>
      <c r="H115" s="95">
        <f>MRS!H115</f>
        <v>40</v>
      </c>
      <c r="I115" s="96">
        <f>MRS!I115</f>
        <v>364</v>
      </c>
      <c r="J115" s="96">
        <f>MRS!J115</f>
        <v>14560</v>
      </c>
      <c r="K115" s="97"/>
      <c r="O115" s="98"/>
      <c r="P115" s="98"/>
      <c r="R115" s="98"/>
    </row>
    <row r="116" spans="1:18" ht="105" customHeight="1">
      <c r="A116" s="21">
        <f>+MRS!A116</f>
        <v>111</v>
      </c>
      <c r="B116" s="161" t="str">
        <f>MRS!B116</f>
        <v>Ceramic Nozzle 500A #5</v>
      </c>
      <c r="C116" s="162"/>
      <c r="D116" s="163">
        <f>MRS!D116</f>
        <v>0</v>
      </c>
      <c r="E116" s="164"/>
      <c r="F116" s="165"/>
      <c r="G116" s="95" t="str">
        <f>MRS!G116</f>
        <v>Nos</v>
      </c>
      <c r="H116" s="95">
        <f>MRS!H116</f>
        <v>100</v>
      </c>
      <c r="I116" s="96">
        <f>MRS!I116</f>
        <v>15.8</v>
      </c>
      <c r="J116" s="96">
        <f>MRS!J116</f>
        <v>1580</v>
      </c>
      <c r="K116" s="97"/>
      <c r="O116" s="98"/>
      <c r="P116" s="98"/>
      <c r="R116" s="98"/>
    </row>
    <row r="117" spans="1:18" ht="105" customHeight="1">
      <c r="A117" s="21">
        <f>+MRS!A117</f>
        <v>112</v>
      </c>
      <c r="B117" s="161" t="str">
        <f>MRS!B117</f>
        <v>Ceramic Nozzle 500A #6</v>
      </c>
      <c r="C117" s="162"/>
      <c r="D117" s="163">
        <f>MRS!D117</f>
        <v>0</v>
      </c>
      <c r="E117" s="164"/>
      <c r="F117" s="165"/>
      <c r="G117" s="95" t="str">
        <f>MRS!G117</f>
        <v>Nos</v>
      </c>
      <c r="H117" s="95">
        <f>MRS!H117</f>
        <v>100</v>
      </c>
      <c r="I117" s="96">
        <f>MRS!I117</f>
        <v>15.8</v>
      </c>
      <c r="J117" s="96">
        <f>MRS!J117</f>
        <v>1580</v>
      </c>
      <c r="K117" s="97"/>
      <c r="O117" s="98"/>
      <c r="P117" s="98"/>
      <c r="R117" s="98"/>
    </row>
    <row r="118" spans="1:18" ht="105" customHeight="1">
      <c r="A118" s="21">
        <f>+MRS!A118</f>
        <v>113</v>
      </c>
      <c r="B118" s="161" t="str">
        <f>MRS!B118</f>
        <v>Ceramic Nozzle 500A #7</v>
      </c>
      <c r="C118" s="162"/>
      <c r="D118" s="163">
        <f>MRS!D118</f>
        <v>0</v>
      </c>
      <c r="E118" s="164"/>
      <c r="F118" s="165"/>
      <c r="G118" s="95" t="str">
        <f>MRS!G118</f>
        <v>Nos</v>
      </c>
      <c r="H118" s="95">
        <f>MRS!H118</f>
        <v>100</v>
      </c>
      <c r="I118" s="96">
        <f>MRS!I118</f>
        <v>15.8</v>
      </c>
      <c r="J118" s="96">
        <f>MRS!J118</f>
        <v>1580</v>
      </c>
      <c r="K118" s="97"/>
      <c r="O118" s="98"/>
      <c r="P118" s="98"/>
      <c r="R118" s="98"/>
    </row>
    <row r="119" spans="1:18" ht="105" customHeight="1">
      <c r="A119" s="21">
        <f>+MRS!A119</f>
        <v>114</v>
      </c>
      <c r="B119" s="161" t="str">
        <f>MRS!B119</f>
        <v>Ceramic Nozzle 500A #8</v>
      </c>
      <c r="C119" s="162"/>
      <c r="D119" s="163">
        <f>MRS!D119</f>
        <v>0</v>
      </c>
      <c r="E119" s="164"/>
      <c r="F119" s="165"/>
      <c r="G119" s="95" t="str">
        <f>MRS!G119</f>
        <v>Nos</v>
      </c>
      <c r="H119" s="95">
        <f>MRS!H119</f>
        <v>100</v>
      </c>
      <c r="I119" s="96">
        <f>MRS!I119</f>
        <v>15.8</v>
      </c>
      <c r="J119" s="96">
        <f>MRS!J119</f>
        <v>1580</v>
      </c>
      <c r="K119" s="97"/>
      <c r="O119" s="98"/>
      <c r="P119" s="98"/>
      <c r="R119" s="98"/>
    </row>
    <row r="120" spans="1:18" ht="105" customHeight="1">
      <c r="A120" s="21">
        <f>+MRS!A120</f>
        <v>115</v>
      </c>
      <c r="B120" s="161" t="str">
        <f>MRS!B120</f>
        <v>Argon Flow Meter</v>
      </c>
      <c r="C120" s="162"/>
      <c r="D120" s="163">
        <f>MRS!D120</f>
        <v>0</v>
      </c>
      <c r="E120" s="164"/>
      <c r="F120" s="165"/>
      <c r="G120" s="95" t="str">
        <f>MRS!G120</f>
        <v>Nos</v>
      </c>
      <c r="H120" s="95">
        <f>MRS!H120</f>
        <v>70</v>
      </c>
      <c r="I120" s="96">
        <f>MRS!I120</f>
        <v>78</v>
      </c>
      <c r="J120" s="96">
        <f>MRS!J120</f>
        <v>5460</v>
      </c>
      <c r="K120" s="97"/>
      <c r="O120" s="98"/>
      <c r="P120" s="98"/>
      <c r="R120" s="98"/>
    </row>
    <row r="121" spans="1:18" ht="105" customHeight="1">
      <c r="A121" s="21">
        <f>+MRS!A121</f>
        <v>116</v>
      </c>
      <c r="B121" s="161" t="str">
        <f>MRS!B121</f>
        <v>Cutting Disc S/S 14"x3mm</v>
      </c>
      <c r="C121" s="162"/>
      <c r="D121" s="163">
        <f>MRS!D121</f>
        <v>0</v>
      </c>
      <c r="E121" s="164"/>
      <c r="F121" s="165"/>
      <c r="G121" s="95" t="str">
        <f>MRS!G121</f>
        <v>Nos</v>
      </c>
      <c r="H121" s="95">
        <f>MRS!H121</f>
        <v>150</v>
      </c>
      <c r="I121" s="96">
        <f>MRS!I121</f>
        <v>12</v>
      </c>
      <c r="J121" s="96">
        <f>MRS!J121</f>
        <v>1800</v>
      </c>
      <c r="K121" s="97"/>
      <c r="O121" s="98"/>
      <c r="P121" s="98"/>
      <c r="R121" s="98"/>
    </row>
    <row r="122" spans="1:18" ht="105" customHeight="1">
      <c r="A122" s="21">
        <f>+MRS!A122</f>
        <v>117</v>
      </c>
      <c r="B122" s="161" t="str">
        <f>MRS!B122</f>
        <v>CS Square Tube 20x20x2mm, 6mtr</v>
      </c>
      <c r="C122" s="162"/>
      <c r="D122" s="163">
        <f>MRS!D122</f>
        <v>0</v>
      </c>
      <c r="E122" s="164"/>
      <c r="F122" s="165"/>
      <c r="G122" s="95" t="str">
        <f>MRS!G122</f>
        <v>Nos</v>
      </c>
      <c r="H122" s="95">
        <f>MRS!H122</f>
        <v>60</v>
      </c>
      <c r="I122" s="96">
        <f>MRS!I122</f>
        <v>30.5</v>
      </c>
      <c r="J122" s="96">
        <f>MRS!J122</f>
        <v>1830</v>
      </c>
      <c r="K122" s="97"/>
      <c r="O122" s="98"/>
      <c r="P122" s="98"/>
      <c r="R122" s="98"/>
    </row>
    <row r="123" spans="1:18" ht="105" customHeight="1">
      <c r="A123" s="21">
        <f>+MRS!A123</f>
        <v>118</v>
      </c>
      <c r="B123" s="161" t="str">
        <f>MRS!B123</f>
        <v>Digital Vernier Caliper 150mm</v>
      </c>
      <c r="C123" s="162"/>
      <c r="D123" s="163">
        <f>MRS!D123</f>
        <v>0</v>
      </c>
      <c r="E123" s="164"/>
      <c r="F123" s="165"/>
      <c r="G123" s="95" t="str">
        <f>MRS!G123</f>
        <v>Nos</v>
      </c>
      <c r="H123" s="95">
        <f>MRS!H123</f>
        <v>1</v>
      </c>
      <c r="I123" s="96">
        <f>MRS!I123</f>
        <v>135</v>
      </c>
      <c r="J123" s="96">
        <f>MRS!J123</f>
        <v>135</v>
      </c>
      <c r="K123" s="97"/>
      <c r="O123" s="98"/>
      <c r="P123" s="98"/>
      <c r="R123" s="98"/>
    </row>
    <row r="124" spans="1:18" ht="105" customHeight="1">
      <c r="A124" s="21">
        <f>+MRS!A124</f>
        <v>119</v>
      </c>
      <c r="B124" s="161" t="str">
        <f>MRS!B124</f>
        <v>Welding Earth Clamp Brass G-Type 500A</v>
      </c>
      <c r="C124" s="162"/>
      <c r="D124" s="163">
        <f>MRS!D124</f>
        <v>0</v>
      </c>
      <c r="E124" s="164"/>
      <c r="F124" s="165"/>
      <c r="G124" s="95" t="str">
        <f>MRS!G124</f>
        <v>Nos</v>
      </c>
      <c r="H124" s="95">
        <f>MRS!H124</f>
        <v>50</v>
      </c>
      <c r="I124" s="96">
        <f>MRS!I124</f>
        <v>98</v>
      </c>
      <c r="J124" s="96">
        <f>MRS!J124</f>
        <v>4900</v>
      </c>
      <c r="K124" s="97"/>
      <c r="O124" s="98"/>
      <c r="P124" s="98"/>
      <c r="R124" s="98"/>
    </row>
    <row r="125" spans="1:18" ht="105" customHeight="1">
      <c r="A125" s="21">
        <f>+MRS!A125</f>
        <v>120</v>
      </c>
      <c r="B125" s="161" t="str">
        <f>MRS!B125</f>
        <v>Pipe Bench Vice 4"</v>
      </c>
      <c r="C125" s="162"/>
      <c r="D125" s="163">
        <f>MRS!D125</f>
        <v>0</v>
      </c>
      <c r="E125" s="164"/>
      <c r="F125" s="165"/>
      <c r="G125" s="95" t="str">
        <f>MRS!G125</f>
        <v>Nos</v>
      </c>
      <c r="H125" s="95">
        <f>MRS!H125</f>
        <v>4</v>
      </c>
      <c r="I125" s="96">
        <f>MRS!I125</f>
        <v>470</v>
      </c>
      <c r="J125" s="96">
        <f>MRS!J125</f>
        <v>1880</v>
      </c>
      <c r="K125" s="97"/>
      <c r="O125" s="98"/>
      <c r="P125" s="98"/>
      <c r="R125" s="98"/>
    </row>
    <row r="126" spans="1:18" ht="105" customHeight="1">
      <c r="A126" s="21">
        <f>+MRS!A126</f>
        <v>121</v>
      </c>
      <c r="B126" s="161" t="str">
        <f>MRS!B126</f>
        <v>Hand Tap Set M12mm P1.75</v>
      </c>
      <c r="C126" s="162"/>
      <c r="D126" s="163">
        <f>MRS!D126</f>
        <v>0</v>
      </c>
      <c r="E126" s="164"/>
      <c r="F126" s="165"/>
      <c r="G126" s="95" t="str">
        <f>MRS!G126</f>
        <v>Nos</v>
      </c>
      <c r="H126" s="95">
        <f>MRS!H126</f>
        <v>2</v>
      </c>
      <c r="I126" s="96">
        <f>MRS!I126</f>
        <v>39</v>
      </c>
      <c r="J126" s="96">
        <f>MRS!J126</f>
        <v>78</v>
      </c>
      <c r="K126" s="97"/>
      <c r="O126" s="98"/>
      <c r="P126" s="98"/>
      <c r="R126" s="98"/>
    </row>
    <row r="127" spans="1:18" ht="105" customHeight="1">
      <c r="A127" s="21">
        <f>+MRS!A127</f>
        <v>122</v>
      </c>
      <c r="B127" s="161" t="str">
        <f>MRS!B127</f>
        <v>Dial Indicator 0-10mm/0.01mm 2046A Mitutoyo</v>
      </c>
      <c r="C127" s="162"/>
      <c r="D127" s="163">
        <f>MRS!D127</f>
        <v>0</v>
      </c>
      <c r="E127" s="164"/>
      <c r="F127" s="165"/>
      <c r="G127" s="95" t="str">
        <f>MRS!G127</f>
        <v>Nos</v>
      </c>
      <c r="H127" s="95">
        <f>MRS!H127</f>
        <v>4</v>
      </c>
      <c r="I127" s="96">
        <f>MRS!I127</f>
        <v>235</v>
      </c>
      <c r="J127" s="96">
        <f>MRS!J127</f>
        <v>940</v>
      </c>
      <c r="K127" s="97"/>
      <c r="O127" s="98"/>
      <c r="P127" s="98"/>
      <c r="R127" s="98"/>
    </row>
    <row r="128" spans="1:18" ht="105" customHeight="1">
      <c r="A128" s="21">
        <f>+MRS!A128</f>
        <v>123</v>
      </c>
      <c r="B128" s="161" t="str">
        <f>MRS!B128</f>
        <v>Hydraulic Cylinder 10ton Stroke-44mm LSC1044 Lifton Canada</v>
      </c>
      <c r="C128" s="162"/>
      <c r="D128" s="163">
        <f>MRS!D128</f>
        <v>0</v>
      </c>
      <c r="E128" s="164"/>
      <c r="F128" s="165"/>
      <c r="G128" s="95" t="str">
        <f>MRS!G128</f>
        <v>Nos</v>
      </c>
      <c r="H128" s="95">
        <f>MRS!H128</f>
        <v>3</v>
      </c>
      <c r="I128" s="96">
        <f>MRS!I128</f>
        <v>1800</v>
      </c>
      <c r="J128" s="96">
        <f>MRS!J128</f>
        <v>5400</v>
      </c>
      <c r="K128" s="97"/>
      <c r="O128" s="98"/>
      <c r="P128" s="98"/>
      <c r="R128" s="98"/>
    </row>
    <row r="129" spans="1:18" ht="105" customHeight="1">
      <c r="A129" s="21">
        <f>+MRS!A129</f>
        <v>124</v>
      </c>
      <c r="B129" s="161" t="str">
        <f>MRS!B129</f>
        <v>Hydraulic Cylinder 20ton Stroke-44mm LSC2044 Lifton Canada</v>
      </c>
      <c r="C129" s="162"/>
      <c r="D129" s="163">
        <f>MRS!D129</f>
        <v>0</v>
      </c>
      <c r="E129" s="164"/>
      <c r="F129" s="165"/>
      <c r="G129" s="95" t="str">
        <f>MRS!G129</f>
        <v>Nos</v>
      </c>
      <c r="H129" s="95">
        <f>MRS!H129</f>
        <v>2</v>
      </c>
      <c r="I129" s="96">
        <f>MRS!I129</f>
        <v>2200</v>
      </c>
      <c r="J129" s="96">
        <f>MRS!J129</f>
        <v>4400</v>
      </c>
      <c r="K129" s="97"/>
      <c r="O129" s="98"/>
      <c r="P129" s="98"/>
      <c r="R129" s="98"/>
    </row>
    <row r="130" spans="1:18" ht="105" customHeight="1">
      <c r="A130" s="21">
        <f>+MRS!A130</f>
        <v>125</v>
      </c>
      <c r="B130" s="161" t="str">
        <f>MRS!B130</f>
        <v>Hydraulic Pump with 2mtr Hose 700Bar LHP-28 Lifton Canada</v>
      </c>
      <c r="C130" s="162"/>
      <c r="D130" s="163">
        <f>MRS!D130</f>
        <v>0</v>
      </c>
      <c r="E130" s="164"/>
      <c r="F130" s="165"/>
      <c r="G130" s="95" t="str">
        <f>MRS!G130</f>
        <v>Nos</v>
      </c>
      <c r="H130" s="95">
        <f>MRS!H130</f>
        <v>5</v>
      </c>
      <c r="I130" s="96">
        <f>MRS!I130</f>
        <v>2300</v>
      </c>
      <c r="J130" s="96">
        <f>MRS!J130</f>
        <v>11500</v>
      </c>
      <c r="K130" s="97"/>
      <c r="O130" s="98"/>
      <c r="P130" s="98"/>
      <c r="R130" s="98"/>
    </row>
    <row r="131" spans="1:18" ht="105" customHeight="1">
      <c r="A131" s="21">
        <f>+MRS!A131</f>
        <v>126</v>
      </c>
      <c r="B131" s="161" t="str">
        <f>MRS!B131</f>
        <v>CS Plate 4'x8'x3mm</v>
      </c>
      <c r="C131" s="162"/>
      <c r="D131" s="163">
        <f>MRS!D131</f>
        <v>0</v>
      </c>
      <c r="E131" s="164"/>
      <c r="F131" s="165"/>
      <c r="G131" s="95" t="str">
        <f>MRS!G131</f>
        <v>Nos</v>
      </c>
      <c r="H131" s="95">
        <f>MRS!H131</f>
        <v>2</v>
      </c>
      <c r="I131" s="96">
        <f>MRS!I131</f>
        <v>253</v>
      </c>
      <c r="J131" s="96">
        <f>MRS!J131</f>
        <v>506</v>
      </c>
      <c r="K131" s="97"/>
      <c r="O131" s="98"/>
      <c r="P131" s="98"/>
      <c r="R131" s="98"/>
    </row>
    <row r="132" spans="1:18" ht="105" customHeight="1">
      <c r="A132" s="21">
        <f>+MRS!A132</f>
        <v>127</v>
      </c>
      <c r="B132" s="161" t="str">
        <f>MRS!B132</f>
        <v>CS Plate 4'x8'x6mm</v>
      </c>
      <c r="C132" s="162"/>
      <c r="D132" s="163">
        <f>MRS!D132</f>
        <v>0</v>
      </c>
      <c r="E132" s="164"/>
      <c r="F132" s="165"/>
      <c r="G132" s="95" t="str">
        <f>MRS!G132</f>
        <v>Nos</v>
      </c>
      <c r="H132" s="95">
        <f>MRS!H132</f>
        <v>2</v>
      </c>
      <c r="I132" s="96">
        <f>MRS!I132</f>
        <v>540</v>
      </c>
      <c r="J132" s="96">
        <f>MRS!J132</f>
        <v>1080</v>
      </c>
      <c r="K132" s="97"/>
      <c r="O132" s="98"/>
      <c r="P132" s="98"/>
      <c r="R132" s="98"/>
    </row>
    <row r="133" spans="1:18" ht="105" customHeight="1">
      <c r="A133" s="21">
        <f>+MRS!A133</f>
        <v>128</v>
      </c>
      <c r="B133" s="161" t="str">
        <f>MRS!B133</f>
        <v>CS Plate 4'x8'x12mm</v>
      </c>
      <c r="C133" s="162"/>
      <c r="D133" s="163">
        <f>MRS!D133</f>
        <v>0</v>
      </c>
      <c r="E133" s="164"/>
      <c r="F133" s="165"/>
      <c r="G133" s="95" t="str">
        <f>MRS!G133</f>
        <v>Nos</v>
      </c>
      <c r="H133" s="95">
        <f>MRS!H133</f>
        <v>1</v>
      </c>
      <c r="I133" s="96">
        <f>MRS!I133</f>
        <v>1080</v>
      </c>
      <c r="J133" s="96">
        <f>MRS!J133</f>
        <v>1080</v>
      </c>
      <c r="K133" s="97"/>
      <c r="O133" s="98"/>
      <c r="P133" s="98"/>
      <c r="R133" s="98"/>
    </row>
    <row r="134" spans="1:18" ht="105" customHeight="1">
      <c r="A134" s="21">
        <f>+MRS!A134</f>
        <v>129</v>
      </c>
      <c r="B134" s="161" t="str">
        <f>MRS!B134</f>
        <v>SS Plate Grade 304 4'x8'x3mm</v>
      </c>
      <c r="C134" s="162"/>
      <c r="D134" s="163">
        <f>MRS!D134</f>
        <v>0</v>
      </c>
      <c r="E134" s="164"/>
      <c r="F134" s="165"/>
      <c r="G134" s="95" t="str">
        <f>MRS!G134</f>
        <v>Nos</v>
      </c>
      <c r="H134" s="95">
        <f>MRS!H134</f>
        <v>2</v>
      </c>
      <c r="I134" s="96">
        <f>MRS!I134</f>
        <v>1190</v>
      </c>
      <c r="J134" s="96">
        <f>MRS!J134</f>
        <v>2380</v>
      </c>
      <c r="K134" s="97"/>
      <c r="O134" s="98"/>
      <c r="P134" s="98"/>
      <c r="R134" s="98"/>
    </row>
    <row r="135" spans="1:18" ht="105" customHeight="1">
      <c r="A135" s="21">
        <f>+MRS!A135</f>
        <v>130</v>
      </c>
      <c r="B135" s="161" t="str">
        <f>MRS!B135</f>
        <v>SS Plate Grade 304 4'x8'x6mm</v>
      </c>
      <c r="C135" s="162"/>
      <c r="D135" s="163">
        <f>MRS!D135</f>
        <v>0</v>
      </c>
      <c r="E135" s="164"/>
      <c r="F135" s="165"/>
      <c r="G135" s="95" t="str">
        <f>MRS!G135</f>
        <v>Nos</v>
      </c>
      <c r="H135" s="95">
        <f>MRS!H135</f>
        <v>2</v>
      </c>
      <c r="I135" s="96">
        <f>MRS!I135</f>
        <v>2395</v>
      </c>
      <c r="J135" s="96">
        <f>MRS!J135</f>
        <v>4790</v>
      </c>
      <c r="K135" s="97"/>
      <c r="O135" s="98"/>
      <c r="P135" s="98"/>
      <c r="R135" s="98"/>
    </row>
    <row r="136" spans="1:18" ht="105" customHeight="1">
      <c r="A136" s="21">
        <f>+MRS!A136</f>
        <v>131</v>
      </c>
      <c r="B136" s="161" t="str">
        <f>MRS!B136</f>
        <v>SS Plate Grade 304 4'x8'x12mm</v>
      </c>
      <c r="C136" s="162"/>
      <c r="D136" s="163">
        <f>MRS!D136</f>
        <v>0</v>
      </c>
      <c r="E136" s="164"/>
      <c r="F136" s="165"/>
      <c r="G136" s="95" t="str">
        <f>MRS!G136</f>
        <v>Nos</v>
      </c>
      <c r="H136" s="95">
        <f>MRS!H136</f>
        <v>1</v>
      </c>
      <c r="I136" s="96">
        <f>MRS!I136</f>
        <v>4840</v>
      </c>
      <c r="J136" s="96">
        <f>MRS!J136</f>
        <v>4840</v>
      </c>
      <c r="K136" s="97"/>
      <c r="O136" s="98"/>
      <c r="P136" s="98"/>
      <c r="R136" s="98"/>
    </row>
    <row r="137" spans="1:18" ht="105" customHeight="1">
      <c r="A137" s="21">
        <f>+MRS!A137</f>
        <v>132</v>
      </c>
      <c r="B137" s="161" t="str">
        <f>MRS!B137</f>
        <v>Flap Disc S/S 4" 80 Grit</v>
      </c>
      <c r="C137" s="162"/>
      <c r="D137" s="163">
        <f>MRS!D137</f>
        <v>0</v>
      </c>
      <c r="E137" s="164"/>
      <c r="F137" s="165"/>
      <c r="G137" s="95" t="str">
        <f>MRS!G137</f>
        <v>Nos</v>
      </c>
      <c r="H137" s="95">
        <f>MRS!H137</f>
        <v>5000</v>
      </c>
      <c r="I137" s="96">
        <f>MRS!I137</f>
        <v>4.5</v>
      </c>
      <c r="J137" s="96">
        <f>MRS!J137</f>
        <v>22500</v>
      </c>
      <c r="K137" s="97"/>
      <c r="O137" s="98"/>
      <c r="P137" s="98"/>
      <c r="R137" s="98"/>
    </row>
    <row r="138" spans="1:18" ht="105" customHeight="1">
      <c r="A138" s="21">
        <f>+MRS!A138</f>
        <v>133</v>
      </c>
      <c r="B138" s="161" t="str">
        <f>MRS!B138</f>
        <v>Flap Wheel S/S 40x20x6mm</v>
      </c>
      <c r="C138" s="162"/>
      <c r="D138" s="163">
        <f>MRS!D138</f>
        <v>0</v>
      </c>
      <c r="E138" s="164"/>
      <c r="F138" s="165"/>
      <c r="G138" s="95" t="str">
        <f>MRS!G138</f>
        <v>Nos</v>
      </c>
      <c r="H138" s="95">
        <f>MRS!H138</f>
        <v>700</v>
      </c>
      <c r="I138" s="96">
        <f>MRS!I138</f>
        <v>9.1999999999999993</v>
      </c>
      <c r="J138" s="96">
        <f>MRS!J138</f>
        <v>6439.9999999999991</v>
      </c>
      <c r="K138" s="97"/>
      <c r="O138" s="98"/>
      <c r="P138" s="98"/>
      <c r="R138" s="98"/>
    </row>
    <row r="139" spans="1:18" ht="105" customHeight="1">
      <c r="A139" s="21">
        <f>+MRS!A139</f>
        <v>134</v>
      </c>
      <c r="B139" s="161" t="str">
        <f>MRS!B139</f>
        <v>Cup Brush S/S Crimped M10x75mm</v>
      </c>
      <c r="C139" s="162"/>
      <c r="D139" s="163">
        <f>MRS!D139</f>
        <v>0</v>
      </c>
      <c r="E139" s="164"/>
      <c r="F139" s="165"/>
      <c r="G139" s="95" t="str">
        <f>MRS!G139</f>
        <v>Nos</v>
      </c>
      <c r="H139" s="95">
        <f>MRS!H139</f>
        <v>400</v>
      </c>
      <c r="I139" s="96">
        <f>MRS!I139</f>
        <v>18.5</v>
      </c>
      <c r="J139" s="96">
        <f>MRS!J139</f>
        <v>7400</v>
      </c>
      <c r="K139" s="97"/>
      <c r="O139" s="98"/>
      <c r="P139" s="98"/>
      <c r="R139" s="98"/>
    </row>
    <row r="140" spans="1:18" ht="105" customHeight="1">
      <c r="A140" s="21">
        <f>+MRS!A140</f>
        <v>135</v>
      </c>
      <c r="B140" s="161" t="str">
        <f>MRS!B140</f>
        <v>VD-40 Spray</v>
      </c>
      <c r="C140" s="162"/>
      <c r="D140" s="163">
        <f>MRS!D140</f>
        <v>0</v>
      </c>
      <c r="E140" s="164"/>
      <c r="F140" s="165"/>
      <c r="G140" s="95" t="str">
        <f>MRS!G140</f>
        <v>Nos</v>
      </c>
      <c r="H140" s="95">
        <f>MRS!H140</f>
        <v>1800</v>
      </c>
      <c r="I140" s="96">
        <f>MRS!I140</f>
        <v>5</v>
      </c>
      <c r="J140" s="96">
        <f>MRS!J140</f>
        <v>9000</v>
      </c>
      <c r="K140" s="97"/>
      <c r="O140" s="98"/>
      <c r="P140" s="98"/>
      <c r="R140" s="98"/>
    </row>
    <row r="141" spans="1:18" ht="105" customHeight="1">
      <c r="A141" s="21">
        <f>+MRS!A141</f>
        <v>136</v>
      </c>
      <c r="B141" s="161" t="str">
        <f>MRS!B141</f>
        <v>Ear Plug with Corded</v>
      </c>
      <c r="C141" s="162"/>
      <c r="D141" s="163">
        <f>MRS!D141</f>
        <v>0</v>
      </c>
      <c r="E141" s="164"/>
      <c r="F141" s="165"/>
      <c r="G141" s="95" t="str">
        <f>MRS!G141</f>
        <v>Nos</v>
      </c>
      <c r="H141" s="95">
        <f>MRS!H141</f>
        <v>4700</v>
      </c>
      <c r="I141" s="96">
        <f>MRS!I141</f>
        <v>0.55000000000000004</v>
      </c>
      <c r="J141" s="96">
        <f>MRS!J141</f>
        <v>2585</v>
      </c>
      <c r="K141" s="97"/>
      <c r="O141" s="98"/>
      <c r="P141" s="98"/>
      <c r="R141" s="98"/>
    </row>
    <row r="142" spans="1:18" ht="105" customHeight="1">
      <c r="A142" s="21">
        <f>+MRS!A142</f>
        <v>137</v>
      </c>
      <c r="B142" s="161" t="str">
        <f>MRS!B142</f>
        <v>Welding Electrode Holder 500A</v>
      </c>
      <c r="C142" s="162"/>
      <c r="D142" s="163">
        <f>MRS!D142</f>
        <v>0</v>
      </c>
      <c r="E142" s="164"/>
      <c r="F142" s="165"/>
      <c r="G142" s="95" t="str">
        <f>MRS!G142</f>
        <v>Nos</v>
      </c>
      <c r="H142" s="95">
        <f>MRS!H142</f>
        <v>30</v>
      </c>
      <c r="I142" s="96">
        <f>MRS!I142</f>
        <v>23.5</v>
      </c>
      <c r="J142" s="96">
        <f>MRS!J142</f>
        <v>705</v>
      </c>
      <c r="K142" s="97"/>
      <c r="O142" s="98"/>
      <c r="P142" s="98"/>
      <c r="R142" s="98"/>
    </row>
    <row r="143" spans="1:18" ht="105" customHeight="1">
      <c r="A143" s="21">
        <f>+MRS!A143</f>
        <v>138</v>
      </c>
      <c r="B143" s="161" t="str">
        <f>MRS!B143</f>
        <v>Tig Torch Switch</v>
      </c>
      <c r="C143" s="162"/>
      <c r="D143" s="163">
        <f>MRS!D143</f>
        <v>0</v>
      </c>
      <c r="E143" s="164"/>
      <c r="F143" s="165"/>
      <c r="G143" s="95" t="str">
        <f>MRS!G143</f>
        <v>Nos</v>
      </c>
      <c r="H143" s="95">
        <f>MRS!H143</f>
        <v>400</v>
      </c>
      <c r="I143" s="96">
        <f>MRS!I143</f>
        <v>12</v>
      </c>
      <c r="J143" s="96">
        <f>MRS!J143</f>
        <v>4800</v>
      </c>
      <c r="K143" s="97"/>
      <c r="O143" s="98"/>
      <c r="P143" s="98"/>
      <c r="R143" s="98"/>
    </row>
    <row r="144" spans="1:18" ht="105" customHeight="1">
      <c r="A144" s="21">
        <f>+MRS!A144</f>
        <v>139</v>
      </c>
      <c r="B144" s="161" t="str">
        <f>MRS!B144</f>
        <v>Tungsten Electrode 2.4mm</v>
      </c>
      <c r="C144" s="162"/>
      <c r="D144" s="163">
        <f>MRS!D144</f>
        <v>0</v>
      </c>
      <c r="E144" s="164"/>
      <c r="F144" s="165"/>
      <c r="G144" s="95" t="str">
        <f>MRS!G144</f>
        <v>Nos</v>
      </c>
      <c r="H144" s="95">
        <f>MRS!H144</f>
        <v>600</v>
      </c>
      <c r="I144" s="96">
        <f>MRS!I144</f>
        <v>21</v>
      </c>
      <c r="J144" s="96">
        <f>MRS!J144</f>
        <v>12600</v>
      </c>
      <c r="K144" s="97"/>
      <c r="O144" s="98"/>
      <c r="P144" s="98"/>
      <c r="R144" s="98"/>
    </row>
    <row r="145" spans="1:18" ht="105" customHeight="1">
      <c r="A145" s="21">
        <f>+MRS!A145</f>
        <v>140</v>
      </c>
      <c r="B145" s="161" t="str">
        <f>MRS!B145</f>
        <v>Ceramic Nozzle 350A #5</v>
      </c>
      <c r="C145" s="162"/>
      <c r="D145" s="163">
        <f>MRS!D145</f>
        <v>0</v>
      </c>
      <c r="E145" s="164"/>
      <c r="F145" s="165"/>
      <c r="G145" s="95" t="str">
        <f>MRS!G145</f>
        <v>Nos</v>
      </c>
      <c r="H145" s="95">
        <f>MRS!H145</f>
        <v>350</v>
      </c>
      <c r="I145" s="96">
        <f>MRS!I145</f>
        <v>12</v>
      </c>
      <c r="J145" s="96">
        <f>MRS!J145</f>
        <v>4200</v>
      </c>
      <c r="K145" s="97"/>
      <c r="O145" s="98"/>
      <c r="P145" s="98"/>
      <c r="R145" s="98"/>
    </row>
    <row r="146" spans="1:18" ht="105" customHeight="1">
      <c r="A146" s="21">
        <f>+MRS!A146</f>
        <v>141</v>
      </c>
      <c r="B146" s="161" t="str">
        <f>MRS!B146</f>
        <v>Ceramic Nozzle 350A #8</v>
      </c>
      <c r="C146" s="162"/>
      <c r="D146" s="163">
        <f>MRS!D146</f>
        <v>0</v>
      </c>
      <c r="E146" s="164"/>
      <c r="F146" s="165"/>
      <c r="G146" s="95" t="str">
        <f>MRS!G146</f>
        <v>Nos</v>
      </c>
      <c r="H146" s="95">
        <f>MRS!H146</f>
        <v>500</v>
      </c>
      <c r="I146" s="96">
        <f>MRS!I146</f>
        <v>12</v>
      </c>
      <c r="J146" s="96">
        <f>MRS!J146</f>
        <v>6000</v>
      </c>
      <c r="K146" s="97"/>
      <c r="O146" s="98"/>
      <c r="P146" s="98"/>
      <c r="R146" s="98"/>
    </row>
    <row r="147" spans="1:18" ht="105" customHeight="1">
      <c r="A147" s="21">
        <f>+MRS!A147</f>
        <v>142</v>
      </c>
      <c r="B147" s="161" t="str">
        <f>MRS!B147</f>
        <v>Angle Grinder 4" 220V with Paddle Switch DWE4002-B5 Dewalt</v>
      </c>
      <c r="C147" s="162"/>
      <c r="D147" s="163">
        <f>MRS!D147</f>
        <v>0</v>
      </c>
      <c r="E147" s="164"/>
      <c r="F147" s="165"/>
      <c r="G147" s="95" t="str">
        <f>MRS!G147</f>
        <v>Nos</v>
      </c>
      <c r="H147" s="95">
        <f>MRS!H147</f>
        <v>123</v>
      </c>
      <c r="I147" s="96">
        <f>MRS!I147</f>
        <v>320</v>
      </c>
      <c r="J147" s="96">
        <f>MRS!J147</f>
        <v>39360</v>
      </c>
      <c r="K147" s="97"/>
      <c r="O147" s="98"/>
      <c r="P147" s="98"/>
      <c r="R147" s="98"/>
    </row>
    <row r="148" spans="1:18" ht="105" customHeight="1">
      <c r="A148" s="21">
        <f>+MRS!A148</f>
        <v>143</v>
      </c>
      <c r="B148" s="161" t="str">
        <f>MRS!B148</f>
        <v>Drill Bit HSS Cobalt (S/S) 3mm</v>
      </c>
      <c r="C148" s="162"/>
      <c r="D148" s="163">
        <f>MRS!D148</f>
        <v>0</v>
      </c>
      <c r="E148" s="164"/>
      <c r="F148" s="165"/>
      <c r="G148" s="95" t="str">
        <f>MRS!G148</f>
        <v>Nos</v>
      </c>
      <c r="H148" s="95">
        <f>MRS!H148</f>
        <v>130</v>
      </c>
      <c r="I148" s="96">
        <f>MRS!I148</f>
        <v>2.2000000000000002</v>
      </c>
      <c r="J148" s="96">
        <f>MRS!J148</f>
        <v>286</v>
      </c>
      <c r="K148" s="97"/>
      <c r="O148" s="98"/>
      <c r="P148" s="98"/>
      <c r="R148" s="98"/>
    </row>
    <row r="149" spans="1:18" ht="105" customHeight="1">
      <c r="A149" s="21">
        <f>+MRS!A149</f>
        <v>144</v>
      </c>
      <c r="B149" s="161" t="str">
        <f>MRS!B149</f>
        <v>Single Gas Detector H2S 500PPM T40 II Rattler ISC</v>
      </c>
      <c r="C149" s="162"/>
      <c r="D149" s="163">
        <f>MRS!D149</f>
        <v>0</v>
      </c>
      <c r="E149" s="164"/>
      <c r="F149" s="165"/>
      <c r="G149" s="95" t="str">
        <f>MRS!G149</f>
        <v>Nos</v>
      </c>
      <c r="H149" s="95">
        <f>MRS!H149</f>
        <v>20</v>
      </c>
      <c r="I149" s="96">
        <f>MRS!I149</f>
        <v>426</v>
      </c>
      <c r="J149" s="96">
        <f>MRS!J149</f>
        <v>8520</v>
      </c>
      <c r="K149" s="97"/>
      <c r="O149" s="98"/>
      <c r="P149" s="98"/>
      <c r="R149" s="98"/>
    </row>
    <row r="150" spans="1:18" ht="105" customHeight="1">
      <c r="A150" s="21">
        <f>+MRS!A150</f>
        <v>145</v>
      </c>
      <c r="B150" s="161" t="str">
        <f>MRS!B150</f>
        <v>Impact Socket 1/2"dr (F) x 27mm (M)</v>
      </c>
      <c r="C150" s="162"/>
      <c r="D150" s="163">
        <f>MRS!D150</f>
        <v>0</v>
      </c>
      <c r="E150" s="164"/>
      <c r="F150" s="165"/>
      <c r="G150" s="95" t="str">
        <f>MRS!G150</f>
        <v>Nos</v>
      </c>
      <c r="H150" s="95">
        <f>MRS!H150</f>
        <v>5</v>
      </c>
      <c r="I150" s="96">
        <f>MRS!I150</f>
        <v>25</v>
      </c>
      <c r="J150" s="96">
        <f>MRS!J150</f>
        <v>125</v>
      </c>
      <c r="K150" s="97"/>
      <c r="O150" s="98"/>
      <c r="P150" s="98"/>
      <c r="R150" s="98"/>
    </row>
    <row r="151" spans="1:18" ht="105" customHeight="1">
      <c r="A151" s="21">
        <f>+MRS!A151</f>
        <v>146</v>
      </c>
      <c r="B151" s="161" t="str">
        <f>MRS!B151</f>
        <v>Impact Socket Adapter 1/2"(M) x 7/8"(F)</v>
      </c>
      <c r="C151" s="162"/>
      <c r="D151" s="163">
        <f>MRS!D151</f>
        <v>0</v>
      </c>
      <c r="E151" s="164"/>
      <c r="F151" s="165"/>
      <c r="G151" s="95" t="str">
        <f>MRS!G151</f>
        <v>Nos</v>
      </c>
      <c r="H151" s="95">
        <f>MRS!H151</f>
        <v>5</v>
      </c>
      <c r="I151" s="96">
        <f>MRS!I151</f>
        <v>16</v>
      </c>
      <c r="J151" s="96">
        <f>MRS!J151</f>
        <v>80</v>
      </c>
      <c r="K151" s="97"/>
      <c r="O151" s="98"/>
      <c r="P151" s="98"/>
      <c r="R151" s="98"/>
    </row>
    <row r="152" spans="1:18" ht="105" customHeight="1">
      <c r="A152" s="21">
        <f>+MRS!A152</f>
        <v>147</v>
      </c>
      <c r="B152" s="161" t="str">
        <f>MRS!B152</f>
        <v>Drill Bit HSS Cobalt (S/S) 5mm</v>
      </c>
      <c r="C152" s="162"/>
      <c r="D152" s="163">
        <f>MRS!D152</f>
        <v>0</v>
      </c>
      <c r="E152" s="164"/>
      <c r="F152" s="165"/>
      <c r="G152" s="95" t="str">
        <f>MRS!G152</f>
        <v>Nos</v>
      </c>
      <c r="H152" s="95">
        <f>MRS!H152</f>
        <v>120</v>
      </c>
      <c r="I152" s="96">
        <f>MRS!I152</f>
        <v>4.3</v>
      </c>
      <c r="J152" s="96">
        <f>MRS!J152</f>
        <v>516</v>
      </c>
      <c r="K152" s="97"/>
      <c r="O152" s="98"/>
      <c r="P152" s="98"/>
      <c r="R152" s="98"/>
    </row>
    <row r="153" spans="1:18" ht="105" customHeight="1">
      <c r="A153" s="21">
        <f>+MRS!A153</f>
        <v>148</v>
      </c>
      <c r="B153" s="161" t="str">
        <f>MRS!B153</f>
        <v>Drill Bit HSS Cobalt (S/S) 8mm</v>
      </c>
      <c r="C153" s="162"/>
      <c r="D153" s="163">
        <f>MRS!D153</f>
        <v>0</v>
      </c>
      <c r="E153" s="164"/>
      <c r="F153" s="165"/>
      <c r="G153" s="95" t="str">
        <f>MRS!G153</f>
        <v>Nos</v>
      </c>
      <c r="H153" s="95">
        <f>MRS!H153</f>
        <v>25</v>
      </c>
      <c r="I153" s="96">
        <f>MRS!I153</f>
        <v>9</v>
      </c>
      <c r="J153" s="96">
        <f>MRS!J153</f>
        <v>225</v>
      </c>
      <c r="K153" s="97"/>
      <c r="O153" s="98"/>
      <c r="P153" s="98"/>
      <c r="R153" s="98"/>
    </row>
    <row r="154" spans="1:18" ht="105" customHeight="1">
      <c r="A154" s="21">
        <f>+MRS!A154</f>
        <v>149</v>
      </c>
      <c r="B154" s="161" t="str">
        <f>MRS!B154</f>
        <v>Drill Bit HSS Cobalt (S/S) 10mm</v>
      </c>
      <c r="C154" s="162"/>
      <c r="D154" s="163">
        <f>MRS!D154</f>
        <v>0</v>
      </c>
      <c r="E154" s="164"/>
      <c r="F154" s="165"/>
      <c r="G154" s="95" t="str">
        <f>MRS!G154</f>
        <v>Nos</v>
      </c>
      <c r="H154" s="95">
        <f>MRS!H154</f>
        <v>25</v>
      </c>
      <c r="I154" s="96">
        <f>MRS!I154</f>
        <v>13</v>
      </c>
      <c r="J154" s="96">
        <f>MRS!J154</f>
        <v>325</v>
      </c>
      <c r="K154" s="97"/>
      <c r="O154" s="98"/>
      <c r="P154" s="98"/>
      <c r="R154" s="98"/>
    </row>
    <row r="155" spans="1:18" ht="105" customHeight="1">
      <c r="A155" s="21">
        <f>+MRS!A155</f>
        <v>150</v>
      </c>
      <c r="B155" s="161" t="str">
        <f>MRS!B155</f>
        <v>Die Grinder 6mm 220V with Paddle Switch GD0600 Makita</v>
      </c>
      <c r="C155" s="162"/>
      <c r="D155" s="163">
        <f>MRS!D155</f>
        <v>0</v>
      </c>
      <c r="E155" s="164"/>
      <c r="F155" s="165"/>
      <c r="G155" s="95" t="str">
        <f>MRS!G155</f>
        <v>Nos</v>
      </c>
      <c r="H155" s="95">
        <f>MRS!H155</f>
        <v>30</v>
      </c>
      <c r="I155" s="96">
        <f>MRS!I155</f>
        <v>440</v>
      </c>
      <c r="J155" s="96">
        <f>MRS!J155</f>
        <v>13200</v>
      </c>
      <c r="K155" s="97"/>
      <c r="O155" s="98"/>
      <c r="P155" s="98"/>
      <c r="R155" s="98"/>
    </row>
    <row r="156" spans="1:18" ht="105" customHeight="1">
      <c r="A156" s="21">
        <f>+MRS!A156</f>
        <v>151</v>
      </c>
      <c r="B156" s="161" t="str">
        <f>MRS!B156</f>
        <v>Plastic Sandbag Heavy Duty (Gunny Sack) 50kg</v>
      </c>
      <c r="C156" s="162"/>
      <c r="D156" s="163">
        <f>MRS!D156</f>
        <v>0</v>
      </c>
      <c r="E156" s="164"/>
      <c r="F156" s="165"/>
      <c r="G156" s="95" t="str">
        <f>MRS!G156</f>
        <v>Nos</v>
      </c>
      <c r="H156" s="95">
        <f>MRS!H156</f>
        <v>1300</v>
      </c>
      <c r="I156" s="96">
        <f>MRS!I156</f>
        <v>2.8</v>
      </c>
      <c r="J156" s="96">
        <f>MRS!J156</f>
        <v>3639.9999999999995</v>
      </c>
      <c r="K156" s="97"/>
      <c r="O156" s="98"/>
      <c r="P156" s="98"/>
      <c r="R156" s="98"/>
    </row>
    <row r="157" spans="1:18" ht="105" customHeight="1">
      <c r="A157" s="21">
        <f>+MRS!A157</f>
        <v>152</v>
      </c>
      <c r="B157" s="161" t="str">
        <f>MRS!B157</f>
        <v>VpCI-329 Oil-Based Concentrates 5 gallon Cortec</v>
      </c>
      <c r="C157" s="162"/>
      <c r="D157" s="163">
        <f>MRS!D157</f>
        <v>0</v>
      </c>
      <c r="E157" s="164"/>
      <c r="F157" s="165"/>
      <c r="G157" s="95" t="str">
        <f>MRS!G157</f>
        <v>Nos</v>
      </c>
      <c r="H157" s="95">
        <f>MRS!H157</f>
        <v>1</v>
      </c>
      <c r="I157" s="96">
        <f>MRS!I157</f>
        <v>3750</v>
      </c>
      <c r="J157" s="96">
        <f>MRS!J157</f>
        <v>3750</v>
      </c>
      <c r="K157" s="97"/>
      <c r="O157" s="98"/>
      <c r="P157" s="98"/>
      <c r="R157" s="98"/>
    </row>
    <row r="158" spans="1:18" ht="105" customHeight="1">
      <c r="A158" s="21">
        <f>+MRS!A158</f>
        <v>153</v>
      </c>
      <c r="B158" s="161" t="str">
        <f>MRS!B158</f>
        <v>Grease MP 2CL+ Petromin</v>
      </c>
      <c r="C158" s="162"/>
      <c r="D158" s="163">
        <f>MRS!D158</f>
        <v>0</v>
      </c>
      <c r="E158" s="164"/>
      <c r="F158" s="165"/>
      <c r="G158" s="95" t="str">
        <f>MRS!G158</f>
        <v>Nos</v>
      </c>
      <c r="H158" s="95">
        <f>MRS!H158</f>
        <v>1</v>
      </c>
      <c r="I158" s="96">
        <f>MRS!I158</f>
        <v>164</v>
      </c>
      <c r="J158" s="96">
        <f>MRS!J158</f>
        <v>164</v>
      </c>
      <c r="K158" s="97"/>
      <c r="O158" s="98"/>
      <c r="P158" s="98"/>
      <c r="R158" s="98"/>
    </row>
    <row r="159" spans="1:18" ht="105" customHeight="1">
      <c r="A159" s="21">
        <f>+MRS!A159</f>
        <v>154</v>
      </c>
      <c r="B159" s="161" t="str">
        <f>MRS!B159</f>
        <v>Right Angle 12"</v>
      </c>
      <c r="C159" s="162"/>
      <c r="D159" s="163">
        <f>MRS!D159</f>
        <v>0</v>
      </c>
      <c r="E159" s="164"/>
      <c r="F159" s="165"/>
      <c r="G159" s="95" t="str">
        <f>MRS!G159</f>
        <v>Nos</v>
      </c>
      <c r="H159" s="95">
        <f>MRS!H159</f>
        <v>70</v>
      </c>
      <c r="I159" s="96">
        <f>MRS!I159</f>
        <v>13</v>
      </c>
      <c r="J159" s="96">
        <f>MRS!J159</f>
        <v>910</v>
      </c>
      <c r="K159" s="97"/>
      <c r="O159" s="98"/>
      <c r="P159" s="98"/>
      <c r="R159" s="98"/>
    </row>
    <row r="160" spans="1:18" ht="105" customHeight="1">
      <c r="A160" s="21">
        <f>+MRS!A160</f>
        <v>155</v>
      </c>
      <c r="B160" s="161" t="str">
        <f>MRS!B160</f>
        <v>Right Angle 24"</v>
      </c>
      <c r="C160" s="162"/>
      <c r="D160" s="163">
        <f>MRS!D160</f>
        <v>0</v>
      </c>
      <c r="E160" s="164"/>
      <c r="F160" s="165"/>
      <c r="G160" s="95" t="str">
        <f>MRS!G160</f>
        <v>Nos</v>
      </c>
      <c r="H160" s="95">
        <f>MRS!H160</f>
        <v>70</v>
      </c>
      <c r="I160" s="96">
        <f>MRS!I160</f>
        <v>18</v>
      </c>
      <c r="J160" s="96">
        <f>MRS!J160</f>
        <v>1260</v>
      </c>
      <c r="K160" s="97"/>
      <c r="O160" s="98"/>
      <c r="P160" s="98"/>
      <c r="R160" s="98"/>
    </row>
    <row r="161" spans="1:18" ht="105" customHeight="1">
      <c r="A161" s="21">
        <f>+MRS!A161</f>
        <v>156</v>
      </c>
      <c r="B161" s="161" t="str">
        <f>MRS!B161</f>
        <v>Rubber Hammer 2Lbs</v>
      </c>
      <c r="C161" s="162"/>
      <c r="D161" s="163">
        <f>MRS!D161</f>
        <v>0</v>
      </c>
      <c r="E161" s="164"/>
      <c r="F161" s="165"/>
      <c r="G161" s="95" t="str">
        <f>MRS!G161</f>
        <v>Nos</v>
      </c>
      <c r="H161" s="95">
        <f>MRS!H161</f>
        <v>10</v>
      </c>
      <c r="I161" s="96">
        <f>MRS!I161</f>
        <v>29</v>
      </c>
      <c r="J161" s="96">
        <f>MRS!J161</f>
        <v>290</v>
      </c>
      <c r="K161" s="97"/>
      <c r="O161" s="98"/>
      <c r="P161" s="98"/>
      <c r="R161" s="98"/>
    </row>
    <row r="162" spans="1:18" ht="105" customHeight="1">
      <c r="A162" s="21">
        <f>+MRS!A162</f>
        <v>157</v>
      </c>
      <c r="B162" s="161" t="str">
        <f>MRS!B162</f>
        <v>Adjustable Wrench 12"(300mm)</v>
      </c>
      <c r="C162" s="162"/>
      <c r="D162" s="163">
        <f>MRS!D162</f>
        <v>0</v>
      </c>
      <c r="E162" s="164"/>
      <c r="F162" s="165"/>
      <c r="G162" s="95" t="str">
        <f>MRS!G162</f>
        <v>Nos</v>
      </c>
      <c r="H162" s="95">
        <f>MRS!H162</f>
        <v>50</v>
      </c>
      <c r="I162" s="96">
        <f>MRS!I162</f>
        <v>19</v>
      </c>
      <c r="J162" s="96">
        <f>MRS!J162</f>
        <v>950</v>
      </c>
      <c r="K162" s="97"/>
      <c r="O162" s="98"/>
      <c r="P162" s="98"/>
      <c r="R162" s="98"/>
    </row>
    <row r="163" spans="1:18" ht="105" customHeight="1">
      <c r="A163" s="21">
        <f>+MRS!A163</f>
        <v>158</v>
      </c>
      <c r="B163" s="161" t="str">
        <f>MRS!B163</f>
        <v>Inspection and Certification of Man Basket with Blue Sticker</v>
      </c>
      <c r="C163" s="162"/>
      <c r="D163" s="163">
        <f>MRS!D163</f>
        <v>0</v>
      </c>
      <c r="E163" s="164"/>
      <c r="F163" s="165"/>
      <c r="G163" s="95" t="str">
        <f>MRS!G163</f>
        <v>Nos</v>
      </c>
      <c r="H163" s="95">
        <f>MRS!H163</f>
        <v>1</v>
      </c>
      <c r="I163" s="96">
        <f>MRS!I163</f>
        <v>850</v>
      </c>
      <c r="J163" s="96">
        <f>MRS!J163</f>
        <v>850</v>
      </c>
      <c r="K163" s="97"/>
      <c r="O163" s="98"/>
      <c r="P163" s="98"/>
      <c r="R163" s="98"/>
    </row>
    <row r="164" spans="1:18" ht="105" customHeight="1">
      <c r="A164" s="21">
        <f>+MRS!A164</f>
        <v>159</v>
      </c>
      <c r="B164" s="161" t="str">
        <f>MRS!B164</f>
        <v>Measuring Tape 5mtr</v>
      </c>
      <c r="C164" s="162"/>
      <c r="D164" s="163">
        <f>MRS!D164</f>
        <v>0</v>
      </c>
      <c r="E164" s="164"/>
      <c r="F164" s="165"/>
      <c r="G164" s="95" t="str">
        <f>MRS!G164</f>
        <v>Nos</v>
      </c>
      <c r="H164" s="95">
        <f>MRS!H164</f>
        <v>50</v>
      </c>
      <c r="I164" s="96">
        <f>MRS!I164</f>
        <v>6</v>
      </c>
      <c r="J164" s="96">
        <f>MRS!J164</f>
        <v>300</v>
      </c>
      <c r="K164" s="97"/>
      <c r="O164" s="98"/>
      <c r="P164" s="98"/>
      <c r="R164" s="98"/>
    </row>
    <row r="165" spans="1:18" ht="105" customHeight="1">
      <c r="A165" s="21">
        <f>+MRS!A165</f>
        <v>160</v>
      </c>
      <c r="B165" s="161" t="str">
        <f>MRS!B165</f>
        <v>Split Level 12"</v>
      </c>
      <c r="C165" s="162"/>
      <c r="D165" s="163">
        <f>MRS!D165</f>
        <v>0</v>
      </c>
      <c r="E165" s="164"/>
      <c r="F165" s="165"/>
      <c r="G165" s="95" t="str">
        <f>MRS!G165</f>
        <v>Nos</v>
      </c>
      <c r="H165" s="95">
        <f>MRS!H165</f>
        <v>60</v>
      </c>
      <c r="I165" s="96">
        <f>MRS!I165</f>
        <v>29</v>
      </c>
      <c r="J165" s="96">
        <f>MRS!J165</f>
        <v>1740</v>
      </c>
      <c r="K165" s="97"/>
      <c r="O165" s="98"/>
      <c r="P165" s="98"/>
      <c r="R165" s="98"/>
    </row>
    <row r="166" spans="1:18" ht="105" customHeight="1">
      <c r="A166" s="21">
        <f>+MRS!A166</f>
        <v>161</v>
      </c>
      <c r="B166" s="161" t="str">
        <f>MRS!B166</f>
        <v>Split Level 24"</v>
      </c>
      <c r="C166" s="162"/>
      <c r="D166" s="163">
        <f>MRS!D166</f>
        <v>0</v>
      </c>
      <c r="E166" s="164"/>
      <c r="F166" s="165"/>
      <c r="G166" s="95" t="str">
        <f>MRS!G166</f>
        <v>Nos</v>
      </c>
      <c r="H166" s="95">
        <f>MRS!H166</f>
        <v>60</v>
      </c>
      <c r="I166" s="96">
        <f>MRS!I166</f>
        <v>33</v>
      </c>
      <c r="J166" s="96">
        <f>MRS!J166</f>
        <v>1980</v>
      </c>
      <c r="K166" s="97"/>
      <c r="O166" s="98"/>
      <c r="P166" s="98"/>
      <c r="R166" s="98"/>
    </row>
    <row r="167" spans="1:18" ht="105" customHeight="1">
      <c r="A167" s="21">
        <f>+MRS!A167</f>
        <v>162</v>
      </c>
      <c r="B167" s="161" t="str">
        <f>MRS!B167</f>
        <v>Magnetic Split Level 12"</v>
      </c>
      <c r="C167" s="162"/>
      <c r="D167" s="163">
        <f>MRS!D167</f>
        <v>0</v>
      </c>
      <c r="E167" s="164"/>
      <c r="F167" s="165"/>
      <c r="G167" s="95" t="str">
        <f>MRS!G167</f>
        <v>Nos</v>
      </c>
      <c r="H167" s="95">
        <f>MRS!H167</f>
        <v>30</v>
      </c>
      <c r="I167" s="96">
        <f>MRS!I167</f>
        <v>34</v>
      </c>
      <c r="J167" s="96">
        <f>MRS!J167</f>
        <v>1020</v>
      </c>
      <c r="K167" s="97"/>
      <c r="O167" s="98"/>
      <c r="P167" s="98"/>
      <c r="R167" s="98"/>
    </row>
    <row r="168" spans="1:18" ht="105" customHeight="1">
      <c r="A168" s="21">
        <f>+MRS!A168</f>
        <v>163</v>
      </c>
      <c r="B168" s="161" t="str">
        <f>MRS!B168</f>
        <v>Magnetic Split Level 24"</v>
      </c>
      <c r="C168" s="162"/>
      <c r="D168" s="163">
        <f>MRS!D168</f>
        <v>0</v>
      </c>
      <c r="E168" s="164"/>
      <c r="F168" s="165"/>
      <c r="G168" s="95" t="str">
        <f>MRS!G168</f>
        <v>Nos</v>
      </c>
      <c r="H168" s="95">
        <f>MRS!H168</f>
        <v>30</v>
      </c>
      <c r="I168" s="96">
        <f>MRS!I168</f>
        <v>38</v>
      </c>
      <c r="J168" s="96">
        <f>MRS!J168</f>
        <v>1140</v>
      </c>
      <c r="K168" s="97"/>
      <c r="O168" s="98"/>
      <c r="P168" s="98"/>
      <c r="R168" s="98"/>
    </row>
    <row r="169" spans="1:18" ht="105" customHeight="1">
      <c r="A169" s="21">
        <f>+MRS!A169</f>
        <v>164</v>
      </c>
      <c r="B169" s="161" t="str">
        <f>MRS!B169</f>
        <v>Concrete Drill Bit 16mmx210mm</v>
      </c>
      <c r="C169" s="162"/>
      <c r="D169" s="163">
        <f>MRS!D169</f>
        <v>0</v>
      </c>
      <c r="E169" s="164"/>
      <c r="F169" s="165"/>
      <c r="G169" s="95" t="str">
        <f>MRS!G169</f>
        <v>Nos</v>
      </c>
      <c r="H169" s="95">
        <f>MRS!H169</f>
        <v>30</v>
      </c>
      <c r="I169" s="96">
        <f>MRS!I169</f>
        <v>10.199999999999999</v>
      </c>
      <c r="J169" s="96">
        <f>MRS!J169</f>
        <v>306</v>
      </c>
      <c r="K169" s="97"/>
      <c r="O169" s="98"/>
      <c r="P169" s="98"/>
      <c r="R169" s="98"/>
    </row>
    <row r="170" spans="1:18" ht="105" customHeight="1">
      <c r="A170" s="21">
        <f>+MRS!A170</f>
        <v>165</v>
      </c>
      <c r="B170" s="161" t="str">
        <f>MRS!B170</f>
        <v>Electric Insulation Tape Red</v>
      </c>
      <c r="C170" s="162"/>
      <c r="D170" s="163">
        <f>MRS!D170</f>
        <v>0</v>
      </c>
      <c r="E170" s="164"/>
      <c r="F170" s="165"/>
      <c r="G170" s="95" t="str">
        <f>MRS!G170</f>
        <v>Nos</v>
      </c>
      <c r="H170" s="95">
        <f>MRS!H170</f>
        <v>400</v>
      </c>
      <c r="I170" s="96">
        <f>MRS!I170</f>
        <v>2</v>
      </c>
      <c r="J170" s="96">
        <f>MRS!J170</f>
        <v>800</v>
      </c>
      <c r="K170" s="97"/>
      <c r="O170" s="98"/>
      <c r="P170" s="98"/>
      <c r="R170" s="98"/>
    </row>
    <row r="171" spans="1:18" ht="105" customHeight="1">
      <c r="A171" s="21">
        <f>+MRS!A171</f>
        <v>166</v>
      </c>
      <c r="B171" s="161" t="str">
        <f>MRS!B171</f>
        <v>Pyrometer Infrared Thermometer</v>
      </c>
      <c r="C171" s="162"/>
      <c r="D171" s="163">
        <f>MRS!D171</f>
        <v>0</v>
      </c>
      <c r="E171" s="164"/>
      <c r="F171" s="165"/>
      <c r="G171" s="95" t="str">
        <f>MRS!G171</f>
        <v>Nos</v>
      </c>
      <c r="H171" s="95">
        <f>MRS!H171</f>
        <v>3</v>
      </c>
      <c r="I171" s="96">
        <f>MRS!I171</f>
        <v>95</v>
      </c>
      <c r="J171" s="96">
        <f>MRS!J171</f>
        <v>285</v>
      </c>
      <c r="K171" s="97"/>
      <c r="O171" s="98"/>
      <c r="P171" s="98"/>
      <c r="R171" s="98"/>
    </row>
    <row r="172" spans="1:18" ht="105" customHeight="1">
      <c r="A172" s="21">
        <f>+MRS!A172</f>
        <v>167</v>
      </c>
      <c r="B172" s="161" t="str">
        <f>MRS!B172</f>
        <v>Digital Clamp Meter 1000V &amp; 400A AC/DC TRMS SPR-216 Spartna</v>
      </c>
      <c r="C172" s="162"/>
      <c r="D172" s="163">
        <f>MRS!D172</f>
        <v>0</v>
      </c>
      <c r="E172" s="164"/>
      <c r="F172" s="165"/>
      <c r="G172" s="95" t="str">
        <f>MRS!G172</f>
        <v>Nos</v>
      </c>
      <c r="H172" s="95">
        <f>MRS!H172</f>
        <v>2</v>
      </c>
      <c r="I172" s="96">
        <f>MRS!I172</f>
        <v>535</v>
      </c>
      <c r="J172" s="96">
        <f>MRS!J172</f>
        <v>1070</v>
      </c>
      <c r="K172" s="97"/>
      <c r="O172" s="98"/>
      <c r="P172" s="98"/>
      <c r="R172" s="98"/>
    </row>
    <row r="173" spans="1:18" ht="105" customHeight="1">
      <c r="A173" s="21">
        <f>+MRS!A173</f>
        <v>168</v>
      </c>
      <c r="B173" s="161" t="str">
        <f>MRS!B173</f>
        <v>Bridge Cam Gauge</v>
      </c>
      <c r="C173" s="162"/>
      <c r="D173" s="163">
        <f>MRS!D173</f>
        <v>0</v>
      </c>
      <c r="E173" s="164"/>
      <c r="F173" s="165"/>
      <c r="G173" s="95" t="str">
        <f>MRS!G173</f>
        <v>Nos</v>
      </c>
      <c r="H173" s="95">
        <f>MRS!H173</f>
        <v>3</v>
      </c>
      <c r="I173" s="96">
        <f>MRS!I173</f>
        <v>130</v>
      </c>
      <c r="J173" s="96">
        <f>MRS!J173</f>
        <v>390</v>
      </c>
      <c r="K173" s="97"/>
      <c r="O173" s="98"/>
      <c r="P173" s="98"/>
      <c r="R173" s="98"/>
    </row>
    <row r="174" spans="1:18" ht="105" customHeight="1">
      <c r="A174" s="21">
        <f>+MRS!A174</f>
        <v>169</v>
      </c>
      <c r="B174" s="161" t="str">
        <f>MRS!B174</f>
        <v>Inspection Mirror Round 1.25" Extendable</v>
      </c>
      <c r="C174" s="162"/>
      <c r="D174" s="163">
        <f>MRS!D174</f>
        <v>0</v>
      </c>
      <c r="E174" s="164"/>
      <c r="F174" s="165"/>
      <c r="G174" s="95" t="str">
        <f>MRS!G174</f>
        <v>Nos</v>
      </c>
      <c r="H174" s="95">
        <f>MRS!H174</f>
        <v>10</v>
      </c>
      <c r="I174" s="96">
        <f>MRS!I174</f>
        <v>10</v>
      </c>
      <c r="J174" s="96">
        <f>MRS!J174</f>
        <v>100</v>
      </c>
      <c r="K174" s="97"/>
      <c r="O174" s="98"/>
      <c r="P174" s="98"/>
      <c r="R174" s="98"/>
    </row>
    <row r="175" spans="1:18" ht="105" customHeight="1">
      <c r="A175" s="21">
        <f>+MRS!A175</f>
        <v>170</v>
      </c>
      <c r="B175" s="161" t="str">
        <f>MRS!B175</f>
        <v>Inspection Mirror Round 2" Extendable</v>
      </c>
      <c r="C175" s="162"/>
      <c r="D175" s="163">
        <f>MRS!D175</f>
        <v>0</v>
      </c>
      <c r="E175" s="164"/>
      <c r="F175" s="165"/>
      <c r="G175" s="95" t="str">
        <f>MRS!G175</f>
        <v>Nos</v>
      </c>
      <c r="H175" s="95">
        <f>MRS!H175</f>
        <v>10</v>
      </c>
      <c r="I175" s="96">
        <f>MRS!I175</f>
        <v>14</v>
      </c>
      <c r="J175" s="96">
        <f>MRS!J175</f>
        <v>140</v>
      </c>
      <c r="K175" s="97"/>
      <c r="O175" s="98"/>
      <c r="P175" s="98"/>
      <c r="R175" s="98"/>
    </row>
    <row r="176" spans="1:18" ht="105" customHeight="1">
      <c r="A176" s="21">
        <f>+MRS!A176</f>
        <v>171</v>
      </c>
      <c r="B176" s="161" t="str">
        <f>MRS!B176</f>
        <v>Split A/C 2Ton Heat &amp; Cooling Inverter LG</v>
      </c>
      <c r="C176" s="162"/>
      <c r="D176" s="163">
        <f>MRS!D176</f>
        <v>0</v>
      </c>
      <c r="E176" s="164"/>
      <c r="F176" s="165"/>
      <c r="G176" s="95" t="str">
        <f>MRS!G176</f>
        <v>Nos</v>
      </c>
      <c r="H176" s="95">
        <f>MRS!H176</f>
        <v>1</v>
      </c>
      <c r="I176" s="96">
        <f>MRS!I176</f>
        <v>2700</v>
      </c>
      <c r="J176" s="96">
        <f>MRS!J176</f>
        <v>2700</v>
      </c>
      <c r="K176" s="97"/>
      <c r="O176" s="98"/>
      <c r="P176" s="98"/>
      <c r="R176" s="98"/>
    </row>
    <row r="177" spans="1:18" ht="105" customHeight="1">
      <c r="A177" s="21">
        <f>+MRS!A177</f>
        <v>172</v>
      </c>
      <c r="B177" s="161" t="str">
        <f>MRS!B177</f>
        <v>A/C Copper Tube Set 5/8"x15mtr</v>
      </c>
      <c r="C177" s="162"/>
      <c r="D177" s="163">
        <f>MRS!D177</f>
        <v>0</v>
      </c>
      <c r="E177" s="164"/>
      <c r="F177" s="165"/>
      <c r="G177" s="95" t="str">
        <f>MRS!G177</f>
        <v>Nos</v>
      </c>
      <c r="H177" s="95">
        <f>MRS!H177</f>
        <v>2</v>
      </c>
      <c r="I177" s="96">
        <f>MRS!I177</f>
        <v>430</v>
      </c>
      <c r="J177" s="96">
        <f>MRS!J177</f>
        <v>860</v>
      </c>
      <c r="K177" s="97"/>
      <c r="O177" s="98"/>
      <c r="P177" s="98"/>
      <c r="R177" s="98"/>
    </row>
    <row r="178" spans="1:18" ht="105" customHeight="1">
      <c r="A178" s="21">
        <f>+MRS!A178</f>
        <v>173</v>
      </c>
      <c r="B178" s="161" t="str">
        <f>MRS!B178</f>
        <v>A/C Copper Tube Set 1/4"x15mtr</v>
      </c>
      <c r="C178" s="162"/>
      <c r="D178" s="163">
        <f>MRS!D178</f>
        <v>0</v>
      </c>
      <c r="E178" s="164"/>
      <c r="F178" s="165"/>
      <c r="G178" s="95" t="str">
        <f>MRS!G178</f>
        <v>Nos</v>
      </c>
      <c r="H178" s="95">
        <f>MRS!H178</f>
        <v>2</v>
      </c>
      <c r="I178" s="96">
        <f>MRS!I178</f>
        <v>143</v>
      </c>
      <c r="J178" s="96">
        <f>MRS!J178</f>
        <v>286</v>
      </c>
      <c r="K178" s="97"/>
      <c r="O178" s="98"/>
      <c r="P178" s="98"/>
      <c r="R178" s="98"/>
    </row>
    <row r="179" spans="1:18" ht="105" customHeight="1">
      <c r="A179" s="21">
        <f>+MRS!A179</f>
        <v>174</v>
      </c>
      <c r="B179" s="161" t="str">
        <f>MRS!B179</f>
        <v>Insulation Copper Pipe 5/8" x 15mtr</v>
      </c>
      <c r="C179" s="162"/>
      <c r="D179" s="163">
        <f>MRS!D179</f>
        <v>0</v>
      </c>
      <c r="E179" s="164"/>
      <c r="F179" s="165"/>
      <c r="G179" s="95" t="str">
        <f>MRS!G179</f>
        <v>Nos</v>
      </c>
      <c r="H179" s="95">
        <f>MRS!H179</f>
        <v>2</v>
      </c>
      <c r="I179" s="96">
        <f>MRS!I179</f>
        <v>18</v>
      </c>
      <c r="J179" s="96">
        <f>MRS!J179</f>
        <v>36</v>
      </c>
      <c r="K179" s="97"/>
      <c r="O179" s="98"/>
      <c r="P179" s="98"/>
      <c r="R179" s="98"/>
    </row>
    <row r="180" spans="1:18" ht="105" customHeight="1">
      <c r="A180" s="21">
        <f>+MRS!A180</f>
        <v>175</v>
      </c>
      <c r="B180" s="161" t="str">
        <f>MRS!B180</f>
        <v>Insulation Tape Black 2"</v>
      </c>
      <c r="C180" s="162"/>
      <c r="D180" s="163">
        <f>MRS!D180</f>
        <v>0</v>
      </c>
      <c r="E180" s="164"/>
      <c r="F180" s="165"/>
      <c r="G180" s="95" t="str">
        <f>MRS!G180</f>
        <v>Nos</v>
      </c>
      <c r="H180" s="95">
        <f>MRS!H180</f>
        <v>12</v>
      </c>
      <c r="I180" s="96">
        <f>MRS!I180</f>
        <v>3.5</v>
      </c>
      <c r="J180" s="96">
        <f>MRS!J180</f>
        <v>42</v>
      </c>
      <c r="K180" s="97"/>
      <c r="O180" s="98"/>
      <c r="P180" s="98"/>
      <c r="R180" s="98"/>
    </row>
    <row r="181" spans="1:18" ht="105" customHeight="1">
      <c r="A181" s="21">
        <f>+MRS!A181</f>
        <v>176</v>
      </c>
      <c r="B181" s="161" t="str">
        <f>MRS!B181</f>
        <v>Padlock Brass 40mm</v>
      </c>
      <c r="C181" s="162"/>
      <c r="D181" s="163">
        <f>MRS!D181</f>
        <v>0</v>
      </c>
      <c r="E181" s="164"/>
      <c r="F181" s="165"/>
      <c r="G181" s="95" t="str">
        <f>MRS!G181</f>
        <v>Nos</v>
      </c>
      <c r="H181" s="95">
        <f>MRS!H181</f>
        <v>25</v>
      </c>
      <c r="I181" s="96">
        <f>MRS!I181</f>
        <v>4.5</v>
      </c>
      <c r="J181" s="96">
        <f>MRS!J181</f>
        <v>112.5</v>
      </c>
      <c r="K181" s="97"/>
      <c r="O181" s="98"/>
      <c r="P181" s="98"/>
      <c r="R181" s="98"/>
    </row>
    <row r="182" spans="1:18" ht="105" customHeight="1">
      <c r="A182" s="21">
        <f>+MRS!A182</f>
        <v>177</v>
      </c>
      <c r="B182" s="161" t="str">
        <f>MRS!B182</f>
        <v>Pipe Thread Tap Set C/S 1/2" NPT</v>
      </c>
      <c r="C182" s="162"/>
      <c r="D182" s="163">
        <f>MRS!D182</f>
        <v>0</v>
      </c>
      <c r="E182" s="164"/>
      <c r="F182" s="165"/>
      <c r="G182" s="95" t="str">
        <f>MRS!G182</f>
        <v>Nos</v>
      </c>
      <c r="H182" s="95">
        <f>MRS!H182</f>
        <v>2</v>
      </c>
      <c r="I182" s="96">
        <f>MRS!I182</f>
        <v>72</v>
      </c>
      <c r="J182" s="96">
        <f>MRS!J182</f>
        <v>144</v>
      </c>
      <c r="K182" s="97"/>
      <c r="O182" s="98"/>
      <c r="P182" s="98"/>
      <c r="R182" s="98"/>
    </row>
    <row r="183" spans="1:18" ht="105" customHeight="1">
      <c r="A183" s="21">
        <f>+MRS!A183</f>
        <v>178</v>
      </c>
      <c r="B183" s="161" t="str">
        <f>MRS!B183</f>
        <v>Pipe Thread Tap Set S/S 1/2" NPT</v>
      </c>
      <c r="C183" s="162"/>
      <c r="D183" s="163">
        <f>MRS!D183</f>
        <v>0</v>
      </c>
      <c r="E183" s="164"/>
      <c r="F183" s="165"/>
      <c r="G183" s="95" t="str">
        <f>MRS!G183</f>
        <v>Nos</v>
      </c>
      <c r="H183" s="95">
        <f>MRS!H183</f>
        <v>2</v>
      </c>
      <c r="I183" s="96">
        <f>MRS!I183</f>
        <v>150</v>
      </c>
      <c r="J183" s="96">
        <f>MRS!J183</f>
        <v>300</v>
      </c>
      <c r="K183" s="97"/>
      <c r="O183" s="98"/>
      <c r="P183" s="98"/>
      <c r="R183" s="98"/>
    </row>
    <row r="184" spans="1:18" ht="105" customHeight="1">
      <c r="A184" s="21">
        <f>+MRS!A184</f>
        <v>179</v>
      </c>
      <c r="B184" s="161" t="str">
        <f>MRS!B184</f>
        <v>Jigsaw Machine for Wood 230V, 450W 4326 Makita</v>
      </c>
      <c r="C184" s="162"/>
      <c r="D184" s="163">
        <f>MRS!D184</f>
        <v>0</v>
      </c>
      <c r="E184" s="164"/>
      <c r="F184" s="165"/>
      <c r="G184" s="95" t="str">
        <f>MRS!G184</f>
        <v>Nos</v>
      </c>
      <c r="H184" s="95">
        <f>MRS!H184</f>
        <v>1</v>
      </c>
      <c r="I184" s="96">
        <f>MRS!I184</f>
        <v>407</v>
      </c>
      <c r="J184" s="96">
        <f>MRS!J184</f>
        <v>407</v>
      </c>
      <c r="K184" s="97"/>
      <c r="O184" s="98"/>
      <c r="P184" s="98"/>
      <c r="R184" s="98"/>
    </row>
  </sheetData>
  <mergeCells count="368">
    <mergeCell ref="B184:C184"/>
    <mergeCell ref="D184:F184"/>
    <mergeCell ref="B181:C181"/>
    <mergeCell ref="D181:F181"/>
    <mergeCell ref="B182:C182"/>
    <mergeCell ref="D182:F182"/>
    <mergeCell ref="B183:C183"/>
    <mergeCell ref="D183:F183"/>
    <mergeCell ref="B178:C178"/>
    <mergeCell ref="D178:F178"/>
    <mergeCell ref="B179:C179"/>
    <mergeCell ref="D179:F179"/>
    <mergeCell ref="B180:C180"/>
    <mergeCell ref="D180:F180"/>
    <mergeCell ref="B175:C175"/>
    <mergeCell ref="D175:F175"/>
    <mergeCell ref="B176:C176"/>
    <mergeCell ref="D176:F176"/>
    <mergeCell ref="B177:C177"/>
    <mergeCell ref="D177:F177"/>
    <mergeCell ref="B172:C172"/>
    <mergeCell ref="D172:F172"/>
    <mergeCell ref="B173:C173"/>
    <mergeCell ref="D173:F173"/>
    <mergeCell ref="B174:C174"/>
    <mergeCell ref="D174:F174"/>
    <mergeCell ref="B169:C169"/>
    <mergeCell ref="D169:F169"/>
    <mergeCell ref="B170:C170"/>
    <mergeCell ref="D170:F170"/>
    <mergeCell ref="B171:C171"/>
    <mergeCell ref="D171:F171"/>
    <mergeCell ref="B166:C166"/>
    <mergeCell ref="D166:F166"/>
    <mergeCell ref="B167:C167"/>
    <mergeCell ref="D167:F167"/>
    <mergeCell ref="B168:C168"/>
    <mergeCell ref="D168:F168"/>
    <mergeCell ref="B163:C163"/>
    <mergeCell ref="D163:F163"/>
    <mergeCell ref="B164:C164"/>
    <mergeCell ref="D164:F164"/>
    <mergeCell ref="B165:C165"/>
    <mergeCell ref="D165:F165"/>
    <mergeCell ref="B160:C160"/>
    <mergeCell ref="D160:F160"/>
    <mergeCell ref="B161:C161"/>
    <mergeCell ref="D161:F161"/>
    <mergeCell ref="B162:C162"/>
    <mergeCell ref="D162:F162"/>
    <mergeCell ref="B157:C157"/>
    <mergeCell ref="D157:F157"/>
    <mergeCell ref="B158:C158"/>
    <mergeCell ref="D158:F158"/>
    <mergeCell ref="B159:C159"/>
    <mergeCell ref="D159:F159"/>
    <mergeCell ref="B154:C154"/>
    <mergeCell ref="D154:F154"/>
    <mergeCell ref="B155:C155"/>
    <mergeCell ref="D155:F155"/>
    <mergeCell ref="B156:C156"/>
    <mergeCell ref="D156:F156"/>
    <mergeCell ref="B151:C151"/>
    <mergeCell ref="D151:F151"/>
    <mergeCell ref="B152:C152"/>
    <mergeCell ref="D152:F152"/>
    <mergeCell ref="B153:C153"/>
    <mergeCell ref="D153:F153"/>
    <mergeCell ref="B148:C148"/>
    <mergeCell ref="D148:F148"/>
    <mergeCell ref="B149:C149"/>
    <mergeCell ref="D149:F149"/>
    <mergeCell ref="B150:C150"/>
    <mergeCell ref="D150:F150"/>
    <mergeCell ref="B145:C145"/>
    <mergeCell ref="D145:F145"/>
    <mergeCell ref="B146:C146"/>
    <mergeCell ref="D146:F146"/>
    <mergeCell ref="B147:C147"/>
    <mergeCell ref="D147:F147"/>
    <mergeCell ref="B142:C142"/>
    <mergeCell ref="D142:F142"/>
    <mergeCell ref="B143:C143"/>
    <mergeCell ref="D143:F143"/>
    <mergeCell ref="B144:C144"/>
    <mergeCell ref="D144:F144"/>
    <mergeCell ref="B139:C139"/>
    <mergeCell ref="D139:F139"/>
    <mergeCell ref="B140:C140"/>
    <mergeCell ref="D140:F140"/>
    <mergeCell ref="B141:C141"/>
    <mergeCell ref="D141:F141"/>
    <mergeCell ref="B136:C136"/>
    <mergeCell ref="D136:F136"/>
    <mergeCell ref="B137:C137"/>
    <mergeCell ref="D137:F137"/>
    <mergeCell ref="B138:C138"/>
    <mergeCell ref="D138:F138"/>
    <mergeCell ref="B133:C133"/>
    <mergeCell ref="D133:F133"/>
    <mergeCell ref="B134:C134"/>
    <mergeCell ref="D134:F134"/>
    <mergeCell ref="B135:C135"/>
    <mergeCell ref="D135:F135"/>
    <mergeCell ref="B130:C130"/>
    <mergeCell ref="D130:F130"/>
    <mergeCell ref="B131:C131"/>
    <mergeCell ref="D131:F131"/>
    <mergeCell ref="B132:C132"/>
    <mergeCell ref="D132:F132"/>
    <mergeCell ref="B127:C127"/>
    <mergeCell ref="D127:F127"/>
    <mergeCell ref="B128:C128"/>
    <mergeCell ref="D128:F128"/>
    <mergeCell ref="B129:C129"/>
    <mergeCell ref="D129:F129"/>
    <mergeCell ref="B124:C124"/>
    <mergeCell ref="D124:F124"/>
    <mergeCell ref="B125:C125"/>
    <mergeCell ref="D125:F125"/>
    <mergeCell ref="B126:C126"/>
    <mergeCell ref="D126:F126"/>
    <mergeCell ref="B121:C121"/>
    <mergeCell ref="D121:F121"/>
    <mergeCell ref="B122:C122"/>
    <mergeCell ref="D122:F122"/>
    <mergeCell ref="B123:C123"/>
    <mergeCell ref="D123:F123"/>
    <mergeCell ref="B118:C118"/>
    <mergeCell ref="D118:F118"/>
    <mergeCell ref="B119:C119"/>
    <mergeCell ref="D119:F119"/>
    <mergeCell ref="B120:C120"/>
    <mergeCell ref="D120:F120"/>
    <mergeCell ref="B115:C115"/>
    <mergeCell ref="D115:F115"/>
    <mergeCell ref="B116:C116"/>
    <mergeCell ref="D116:F116"/>
    <mergeCell ref="B117:C117"/>
    <mergeCell ref="D117:F117"/>
    <mergeCell ref="B112:C112"/>
    <mergeCell ref="D112:F112"/>
    <mergeCell ref="B113:C113"/>
    <mergeCell ref="D113:F113"/>
    <mergeCell ref="B114:C114"/>
    <mergeCell ref="D114:F114"/>
    <mergeCell ref="B109:C109"/>
    <mergeCell ref="D109:F109"/>
    <mergeCell ref="B110:C110"/>
    <mergeCell ref="D110:F110"/>
    <mergeCell ref="B111:C111"/>
    <mergeCell ref="D111:F111"/>
    <mergeCell ref="B106:C106"/>
    <mergeCell ref="D106:F106"/>
    <mergeCell ref="B107:C107"/>
    <mergeCell ref="D107:F107"/>
    <mergeCell ref="B108:C108"/>
    <mergeCell ref="D108:F108"/>
    <mergeCell ref="B103:C103"/>
    <mergeCell ref="D103:F103"/>
    <mergeCell ref="B104:C104"/>
    <mergeCell ref="D104:F104"/>
    <mergeCell ref="B105:C105"/>
    <mergeCell ref="D105:F105"/>
    <mergeCell ref="B100:C100"/>
    <mergeCell ref="D100:F100"/>
    <mergeCell ref="B101:C101"/>
    <mergeCell ref="D101:F101"/>
    <mergeCell ref="B102:C102"/>
    <mergeCell ref="D102:F102"/>
    <mergeCell ref="B97:C97"/>
    <mergeCell ref="D97:F97"/>
    <mergeCell ref="B98:C98"/>
    <mergeCell ref="D98:F98"/>
    <mergeCell ref="B99:C99"/>
    <mergeCell ref="D99:F99"/>
    <mergeCell ref="B94:C94"/>
    <mergeCell ref="D94:F94"/>
    <mergeCell ref="B95:C95"/>
    <mergeCell ref="D95:F95"/>
    <mergeCell ref="B96:C96"/>
    <mergeCell ref="D96:F96"/>
    <mergeCell ref="B91:C91"/>
    <mergeCell ref="D91:F91"/>
    <mergeCell ref="B92:C92"/>
    <mergeCell ref="D92:F92"/>
    <mergeCell ref="B93:C93"/>
    <mergeCell ref="D93:F93"/>
    <mergeCell ref="B88:C88"/>
    <mergeCell ref="D88:F88"/>
    <mergeCell ref="B89:C89"/>
    <mergeCell ref="D89:F89"/>
    <mergeCell ref="B90:C90"/>
    <mergeCell ref="D90:F90"/>
    <mergeCell ref="B85:C85"/>
    <mergeCell ref="D85:F85"/>
    <mergeCell ref="B86:C86"/>
    <mergeCell ref="D86:F86"/>
    <mergeCell ref="B87:C87"/>
    <mergeCell ref="D87:F87"/>
    <mergeCell ref="B82:C82"/>
    <mergeCell ref="D82:F82"/>
    <mergeCell ref="B83:C83"/>
    <mergeCell ref="D83:F83"/>
    <mergeCell ref="B84:C84"/>
    <mergeCell ref="D84:F84"/>
    <mergeCell ref="B79:C79"/>
    <mergeCell ref="D79:F79"/>
    <mergeCell ref="B80:C80"/>
    <mergeCell ref="D80:F80"/>
    <mergeCell ref="B81:C81"/>
    <mergeCell ref="D81:F81"/>
    <mergeCell ref="B76:C76"/>
    <mergeCell ref="D76:F76"/>
    <mergeCell ref="B77:C77"/>
    <mergeCell ref="D77:F77"/>
    <mergeCell ref="B78:C78"/>
    <mergeCell ref="D78:F78"/>
    <mergeCell ref="B73:C73"/>
    <mergeCell ref="D73:F73"/>
    <mergeCell ref="B74:C74"/>
    <mergeCell ref="D74:F74"/>
    <mergeCell ref="B75:C75"/>
    <mergeCell ref="D75:F75"/>
    <mergeCell ref="B70:C70"/>
    <mergeCell ref="D70:F70"/>
    <mergeCell ref="B71:C71"/>
    <mergeCell ref="D71:F71"/>
    <mergeCell ref="B72:C72"/>
    <mergeCell ref="D72:F72"/>
    <mergeCell ref="B67:C67"/>
    <mergeCell ref="D67:F67"/>
    <mergeCell ref="B68:C68"/>
    <mergeCell ref="D68:F68"/>
    <mergeCell ref="B69:C69"/>
    <mergeCell ref="D69:F69"/>
    <mergeCell ref="B64:C64"/>
    <mergeCell ref="D64:F64"/>
    <mergeCell ref="B65:C65"/>
    <mergeCell ref="D65:F65"/>
    <mergeCell ref="B66:C66"/>
    <mergeCell ref="D66:F66"/>
    <mergeCell ref="B61:C61"/>
    <mergeCell ref="D61:F61"/>
    <mergeCell ref="B62:C62"/>
    <mergeCell ref="D62:F62"/>
    <mergeCell ref="B63:C63"/>
    <mergeCell ref="D63:F63"/>
    <mergeCell ref="B58:C58"/>
    <mergeCell ref="D58:F58"/>
    <mergeCell ref="B59:C59"/>
    <mergeCell ref="D59:F59"/>
    <mergeCell ref="B60:C60"/>
    <mergeCell ref="D60:F60"/>
    <mergeCell ref="B55:C55"/>
    <mergeCell ref="D55:F55"/>
    <mergeCell ref="B56:C56"/>
    <mergeCell ref="D56:F56"/>
    <mergeCell ref="B57:C57"/>
    <mergeCell ref="D57:F57"/>
    <mergeCell ref="B52:C52"/>
    <mergeCell ref="D52:F52"/>
    <mergeCell ref="B53:C53"/>
    <mergeCell ref="D53:F53"/>
    <mergeCell ref="B54:C54"/>
    <mergeCell ref="D54:F54"/>
    <mergeCell ref="B49:C49"/>
    <mergeCell ref="D49:F49"/>
    <mergeCell ref="B50:C50"/>
    <mergeCell ref="D50:F50"/>
    <mergeCell ref="B51:C51"/>
    <mergeCell ref="D51:F51"/>
    <mergeCell ref="B46:C46"/>
    <mergeCell ref="D46:F46"/>
    <mergeCell ref="B47:C47"/>
    <mergeCell ref="D47:F47"/>
    <mergeCell ref="B48:C48"/>
    <mergeCell ref="D48:F48"/>
    <mergeCell ref="B43:C43"/>
    <mergeCell ref="D43:F43"/>
    <mergeCell ref="B44:C44"/>
    <mergeCell ref="D44:F44"/>
    <mergeCell ref="B45:C45"/>
    <mergeCell ref="D45:F45"/>
    <mergeCell ref="B40:C40"/>
    <mergeCell ref="D40:F40"/>
    <mergeCell ref="B41:C41"/>
    <mergeCell ref="D41:F41"/>
    <mergeCell ref="B42:C42"/>
    <mergeCell ref="D42:F42"/>
    <mergeCell ref="B37:C37"/>
    <mergeCell ref="D37:F37"/>
    <mergeCell ref="B38:C38"/>
    <mergeCell ref="D38:F38"/>
    <mergeCell ref="B39:C39"/>
    <mergeCell ref="D39:F39"/>
    <mergeCell ref="B34:C34"/>
    <mergeCell ref="D34:F34"/>
    <mergeCell ref="B35:C35"/>
    <mergeCell ref="D35:F35"/>
    <mergeCell ref="B36:C36"/>
    <mergeCell ref="D36:F36"/>
    <mergeCell ref="B31:C31"/>
    <mergeCell ref="D31:F31"/>
    <mergeCell ref="B32:C32"/>
    <mergeCell ref="D32:F32"/>
    <mergeCell ref="B33:C33"/>
    <mergeCell ref="D33:F33"/>
    <mergeCell ref="B28:C28"/>
    <mergeCell ref="D28:F28"/>
    <mergeCell ref="B29:C29"/>
    <mergeCell ref="D29:F29"/>
    <mergeCell ref="B30:C30"/>
    <mergeCell ref="D30:F30"/>
    <mergeCell ref="B25:C25"/>
    <mergeCell ref="D25:F25"/>
    <mergeCell ref="B26:C26"/>
    <mergeCell ref="D26:F26"/>
    <mergeCell ref="B27:C27"/>
    <mergeCell ref="D27:F27"/>
    <mergeCell ref="B22:C22"/>
    <mergeCell ref="D22:F22"/>
    <mergeCell ref="B23:C23"/>
    <mergeCell ref="D23:F23"/>
    <mergeCell ref="B24:C24"/>
    <mergeCell ref="D24:F24"/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21:C21"/>
    <mergeCell ref="D21:F21"/>
    <mergeCell ref="B18:C18"/>
    <mergeCell ref="D18:F18"/>
    <mergeCell ref="B19:C19"/>
    <mergeCell ref="D19:F19"/>
    <mergeCell ref="B20:C20"/>
    <mergeCell ref="D20:F2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topLeftCell="A47" zoomScale="130" zoomScaleNormal="100" zoomScaleSheetLayoutView="130" workbookViewId="0">
      <selection activeCell="F31" sqref="F31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2.42578125" style="26" bestFit="1" customWidth="1"/>
    <col min="5" max="5" width="2.5703125" style="26" customWidth="1"/>
    <col min="6" max="6" width="14" style="26" customWidth="1"/>
    <col min="7" max="7" width="6.5703125" style="26" customWidth="1"/>
    <col min="8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109</v>
      </c>
    </row>
    <row r="3" spans="2:13" s="22" customFormat="1">
      <c r="M3" s="24" t="s">
        <v>23</v>
      </c>
    </row>
    <row r="4" spans="2:13" s="22" customFormat="1">
      <c r="M4" s="24" t="s">
        <v>24</v>
      </c>
    </row>
    <row r="5" spans="2:13" s="22" customFormat="1">
      <c r="B5" s="25" t="s">
        <v>25</v>
      </c>
      <c r="M5" s="24" t="s">
        <v>26</v>
      </c>
    </row>
    <row r="6" spans="2:13" s="22" customFormat="1">
      <c r="M6" s="24" t="s">
        <v>27</v>
      </c>
    </row>
    <row r="7" spans="2:13">
      <c r="M7" s="27"/>
    </row>
    <row r="8" spans="2:13">
      <c r="M8" s="27"/>
    </row>
    <row r="9" spans="2:13" s="71" customFormat="1" ht="13.5">
      <c r="B9" s="69" t="s">
        <v>28</v>
      </c>
      <c r="C9" s="70" t="s">
        <v>99</v>
      </c>
      <c r="D9" s="38"/>
      <c r="E9" s="38"/>
    </row>
    <row r="10" spans="2:13" s="38" customFormat="1">
      <c r="B10" s="69"/>
      <c r="C10" s="38" t="s">
        <v>29</v>
      </c>
      <c r="D10" s="73" t="s">
        <v>100</v>
      </c>
      <c r="J10" s="38" t="s">
        <v>30</v>
      </c>
      <c r="K10" s="121">
        <f>MRS!L3</f>
        <v>46186</v>
      </c>
      <c r="L10" s="122"/>
      <c r="M10" s="122"/>
    </row>
    <row r="11" spans="2:13" s="38" customFormat="1">
      <c r="B11" s="69"/>
      <c r="C11" s="72" t="s">
        <v>31</v>
      </c>
      <c r="D11" s="73" t="s">
        <v>101</v>
      </c>
      <c r="J11" s="38" t="s">
        <v>32</v>
      </c>
      <c r="K11" s="123" t="str">
        <f>SUBSTITUTE(SUBSTITUTE(+MRS!A3,"  MRS No : ",""),"-MRS","-PO")</f>
        <v>SAC2-DS-PO-0333</v>
      </c>
      <c r="L11" s="123"/>
      <c r="M11" s="123"/>
    </row>
    <row r="12" spans="2:13" s="38" customFormat="1">
      <c r="B12" s="69"/>
      <c r="C12" s="72" t="s">
        <v>33</v>
      </c>
      <c r="D12" s="38" t="s">
        <v>102</v>
      </c>
      <c r="J12" s="38" t="s">
        <v>34</v>
      </c>
    </row>
    <row r="13" spans="2:13" s="38" customFormat="1">
      <c r="B13" s="69"/>
      <c r="C13" s="74"/>
      <c r="D13" s="73" t="s">
        <v>103</v>
      </c>
      <c r="J13" s="38" t="s">
        <v>35</v>
      </c>
    </row>
    <row r="14" spans="2:13" s="38" customFormat="1">
      <c r="B14" s="69"/>
      <c r="C14" s="114" t="s">
        <v>108</v>
      </c>
      <c r="J14" s="38" t="s">
        <v>36</v>
      </c>
      <c r="K14" s="38" t="s">
        <v>302</v>
      </c>
    </row>
    <row r="15" spans="2:13" s="38" customFormat="1">
      <c r="B15" s="69"/>
      <c r="C15" s="72" t="s">
        <v>104</v>
      </c>
      <c r="J15" s="38" t="s">
        <v>37</v>
      </c>
      <c r="K15" s="75">
        <v>46185</v>
      </c>
    </row>
    <row r="16" spans="2:13" s="38" customFormat="1">
      <c r="C16" s="74"/>
      <c r="K16" s="75"/>
    </row>
    <row r="17" spans="2:13" ht="6" customHeight="1">
      <c r="C17" s="29"/>
      <c r="K17" s="30"/>
    </row>
    <row r="18" spans="2:13" ht="20.25">
      <c r="B18" s="124" t="s">
        <v>38</v>
      </c>
      <c r="C18" s="124"/>
      <c r="D18" s="124"/>
      <c r="E18" s="124"/>
      <c r="F18" s="124"/>
      <c r="G18" s="124"/>
      <c r="H18" s="124"/>
      <c r="I18" s="124"/>
      <c r="J18" s="124"/>
      <c r="K18" s="124"/>
      <c r="L18" s="124"/>
      <c r="M18" s="124"/>
    </row>
    <row r="19" spans="2:13" ht="12" customHeight="1"/>
    <row r="20" spans="2:13" s="31" customFormat="1" ht="12" customHeight="1">
      <c r="B20" s="125" t="s">
        <v>39</v>
      </c>
      <c r="C20" s="125"/>
      <c r="D20" s="125"/>
      <c r="E20" s="125"/>
      <c r="F20" s="125"/>
      <c r="G20" s="125"/>
      <c r="H20" s="125"/>
      <c r="I20" s="125"/>
      <c r="J20" s="125"/>
      <c r="K20" s="125"/>
      <c r="L20" s="125"/>
      <c r="M20" s="125"/>
    </row>
    <row r="21" spans="2:13" s="31" customFormat="1" ht="12" customHeight="1">
      <c r="B21" s="125" t="s">
        <v>40</v>
      </c>
      <c r="C21" s="125"/>
      <c r="D21" s="125"/>
      <c r="E21" s="125"/>
      <c r="F21" s="125"/>
      <c r="G21" s="125"/>
      <c r="H21" s="125"/>
      <c r="I21" s="125"/>
      <c r="J21" s="125"/>
      <c r="K21" s="125"/>
      <c r="L21" s="125"/>
      <c r="M21" s="125"/>
    </row>
    <row r="22" spans="2:13" s="31" customFormat="1" ht="12" customHeight="1">
      <c r="B22" s="125" t="s">
        <v>41</v>
      </c>
      <c r="C22" s="125"/>
      <c r="D22" s="125"/>
      <c r="E22" s="125"/>
      <c r="F22" s="125"/>
      <c r="G22" s="125"/>
      <c r="H22" s="125"/>
      <c r="I22" s="125"/>
      <c r="J22" s="125"/>
      <c r="K22" s="125"/>
      <c r="L22" s="125"/>
      <c r="M22" s="125"/>
    </row>
    <row r="23" spans="2:13" ht="3.75" customHeight="1">
      <c r="B23" s="126"/>
      <c r="C23" s="126"/>
      <c r="D23" s="126"/>
      <c r="E23" s="126"/>
      <c r="F23" s="126"/>
      <c r="G23" s="126"/>
      <c r="H23" s="126"/>
      <c r="I23" s="126"/>
      <c r="J23" s="126"/>
      <c r="K23" s="126"/>
      <c r="L23" s="126"/>
      <c r="M23" s="126"/>
    </row>
    <row r="24" spans="2:13" ht="6.95" customHeight="1">
      <c r="B24" s="127"/>
      <c r="C24" s="127"/>
      <c r="D24" s="127"/>
      <c r="E24" s="127"/>
      <c r="F24" s="127"/>
      <c r="G24" s="127"/>
      <c r="H24" s="127"/>
      <c r="I24" s="127"/>
      <c r="J24" s="127"/>
      <c r="K24" s="127"/>
      <c r="L24" s="127"/>
      <c r="M24" s="127"/>
    </row>
    <row r="25" spans="2:13" s="32" customFormat="1" ht="15" customHeight="1">
      <c r="B25" s="32">
        <v>1</v>
      </c>
      <c r="C25" s="32" t="s">
        <v>42</v>
      </c>
    </row>
    <row r="26" spans="2:13" s="38" customFormat="1" ht="15" customHeight="1">
      <c r="B26" s="70"/>
      <c r="C26" s="73" t="s">
        <v>124</v>
      </c>
      <c r="M26" s="76" t="s">
        <v>43</v>
      </c>
    </row>
    <row r="27" spans="2:13" ht="11.1" customHeight="1">
      <c r="B27" s="32"/>
    </row>
    <row r="28" spans="2:13" ht="15" customHeight="1">
      <c r="B28" s="32">
        <v>2</v>
      </c>
      <c r="C28" s="32" t="s">
        <v>44</v>
      </c>
    </row>
    <row r="29" spans="2:13" ht="15" customHeight="1">
      <c r="B29" s="32"/>
      <c r="C29" s="26" t="s">
        <v>45</v>
      </c>
      <c r="E29" s="26" t="s">
        <v>46</v>
      </c>
      <c r="F29" s="115">
        <f>'PO 2nd page'!G185</f>
        <v>770481</v>
      </c>
      <c r="G29" s="108"/>
      <c r="H29" s="108"/>
      <c r="M29" s="33"/>
    </row>
    <row r="30" spans="2:13" ht="15" customHeight="1">
      <c r="B30" s="32"/>
      <c r="C30" s="26" t="s">
        <v>47</v>
      </c>
      <c r="E30" s="26" t="s">
        <v>46</v>
      </c>
      <c r="F30" s="115">
        <f>'PO 2nd page'!G186</f>
        <v>115572.15</v>
      </c>
      <c r="G30" s="108"/>
      <c r="H30" s="108"/>
    </row>
    <row r="31" spans="2:13" ht="15" customHeight="1">
      <c r="B31" s="32"/>
      <c r="C31" s="26" t="s">
        <v>48</v>
      </c>
      <c r="D31" s="34"/>
      <c r="E31" s="26" t="s">
        <v>46</v>
      </c>
      <c r="F31" s="115">
        <f>'PO 2nd page'!G187</f>
        <v>886053.15</v>
      </c>
      <c r="G31" s="108"/>
      <c r="H31" s="108"/>
    </row>
    <row r="32" spans="2:13" ht="11.1" customHeight="1">
      <c r="B32" s="32"/>
    </row>
    <row r="33" spans="2:13" ht="15" customHeight="1">
      <c r="B33" s="32">
        <v>3</v>
      </c>
      <c r="C33" s="32" t="s">
        <v>49</v>
      </c>
    </row>
    <row r="34" spans="2:13" ht="12" customHeight="1">
      <c r="B34" s="32"/>
      <c r="C34" s="22" t="s">
        <v>50</v>
      </c>
    </row>
    <row r="35" spans="2:13" ht="12" customHeight="1">
      <c r="B35" s="32"/>
      <c r="C35" s="22" t="s">
        <v>51</v>
      </c>
    </row>
    <row r="36" spans="2:13" ht="12" customHeight="1">
      <c r="B36" s="32"/>
      <c r="C36" s="22" t="s">
        <v>52</v>
      </c>
    </row>
    <row r="37" spans="2:13" ht="6" customHeight="1">
      <c r="B37" s="32"/>
    </row>
    <row r="38" spans="2:13" ht="15" customHeight="1">
      <c r="B38" s="32">
        <v>4</v>
      </c>
      <c r="C38" s="32" t="s">
        <v>53</v>
      </c>
    </row>
    <row r="39" spans="2:13" ht="12" customHeight="1">
      <c r="B39" s="32"/>
      <c r="C39" s="26" t="s">
        <v>54</v>
      </c>
    </row>
    <row r="40" spans="2:13" ht="6" customHeight="1">
      <c r="B40" s="32"/>
    </row>
    <row r="41" spans="2:13" ht="15" customHeight="1">
      <c r="B41" s="32">
        <v>5</v>
      </c>
      <c r="C41" s="32" t="s">
        <v>55</v>
      </c>
    </row>
    <row r="42" spans="2:13" ht="12" customHeight="1">
      <c r="B42" s="32"/>
      <c r="C42" s="35" t="s">
        <v>56</v>
      </c>
      <c r="D42" s="36"/>
      <c r="E42" s="37"/>
      <c r="F42" s="37"/>
      <c r="G42" s="37"/>
      <c r="H42" s="37"/>
      <c r="I42" s="37"/>
      <c r="J42" s="37"/>
      <c r="K42" s="37"/>
      <c r="L42" s="37"/>
      <c r="M42" s="37"/>
    </row>
    <row r="43" spans="2:13" ht="12" customHeight="1">
      <c r="B43" s="32"/>
      <c r="C43" s="35" t="s">
        <v>57</v>
      </c>
      <c r="D43" s="36"/>
      <c r="E43" s="37"/>
      <c r="F43" s="37"/>
      <c r="G43" s="37"/>
      <c r="H43" s="37"/>
      <c r="I43" s="37"/>
      <c r="J43" s="37"/>
      <c r="K43" s="37"/>
      <c r="L43" s="37"/>
      <c r="M43" s="37"/>
    </row>
    <row r="44" spans="2:13" ht="12" customHeight="1">
      <c r="B44" s="32"/>
      <c r="C44" s="35" t="s">
        <v>58</v>
      </c>
      <c r="D44" s="36"/>
      <c r="E44" s="37"/>
      <c r="F44" s="37"/>
      <c r="G44" s="37"/>
      <c r="H44" s="37"/>
      <c r="I44" s="37"/>
      <c r="J44" s="37"/>
      <c r="K44" s="37"/>
      <c r="L44" s="37"/>
      <c r="M44" s="37"/>
    </row>
    <row r="45" spans="2:13" ht="12" customHeight="1">
      <c r="B45" s="32"/>
      <c r="C45" s="35" t="s">
        <v>59</v>
      </c>
      <c r="D45" s="36"/>
      <c r="E45" s="37"/>
      <c r="F45" s="37"/>
      <c r="G45" s="37"/>
      <c r="H45" s="37"/>
      <c r="I45" s="37"/>
      <c r="J45" s="37"/>
      <c r="K45" s="37"/>
      <c r="L45" s="37"/>
      <c r="M45" s="37"/>
    </row>
    <row r="46" spans="2:13" ht="12" customHeight="1">
      <c r="B46" s="32"/>
      <c r="C46" s="38" t="s">
        <v>60</v>
      </c>
      <c r="D46" s="39"/>
      <c r="E46" s="40"/>
      <c r="F46" s="40"/>
      <c r="G46" s="40"/>
      <c r="H46" s="40"/>
      <c r="I46" s="40"/>
      <c r="J46" s="40"/>
      <c r="K46" s="40"/>
      <c r="L46" s="40"/>
      <c r="M46" s="40"/>
    </row>
    <row r="47" spans="2:13" ht="6" customHeight="1">
      <c r="B47" s="32"/>
    </row>
    <row r="48" spans="2:13" ht="15" customHeight="1">
      <c r="B48" s="32">
        <v>6</v>
      </c>
      <c r="C48" s="32" t="s">
        <v>61</v>
      </c>
    </row>
    <row r="49" spans="2:16" s="38" customFormat="1" ht="12" customHeight="1">
      <c r="B49" s="77" t="s">
        <v>62</v>
      </c>
      <c r="C49" s="78" t="s">
        <v>97</v>
      </c>
      <c r="P49" s="79"/>
    </row>
    <row r="50" spans="2:16" s="80" customFormat="1" ht="12" customHeight="1">
      <c r="B50" s="81" t="s">
        <v>62</v>
      </c>
      <c r="C50" s="78" t="s">
        <v>90</v>
      </c>
    </row>
    <row r="51" spans="2:16" s="80" customFormat="1" ht="12" customHeight="1">
      <c r="B51" s="81" t="s">
        <v>62</v>
      </c>
      <c r="C51" s="78" t="s">
        <v>89</v>
      </c>
    </row>
    <row r="52" spans="2:16" s="80" customFormat="1" ht="6" customHeight="1">
      <c r="B52" s="81"/>
      <c r="C52" s="78"/>
    </row>
    <row r="53" spans="2:16" ht="15" customHeight="1">
      <c r="B53" s="41">
        <v>7</v>
      </c>
      <c r="C53" s="32" t="s">
        <v>110</v>
      </c>
    </row>
    <row r="54" spans="2:16" ht="12" customHeight="1">
      <c r="B54" s="81" t="s">
        <v>62</v>
      </c>
      <c r="C54" s="116" t="s">
        <v>116</v>
      </c>
      <c r="F54" s="26" t="s">
        <v>111</v>
      </c>
    </row>
    <row r="55" spans="2:16" ht="12" customHeight="1">
      <c r="B55" s="81" t="s">
        <v>62</v>
      </c>
      <c r="C55" s="116" t="s">
        <v>117</v>
      </c>
      <c r="F55" s="117" t="s">
        <v>112</v>
      </c>
    </row>
    <row r="56" spans="2:16" ht="12" customHeight="1">
      <c r="B56" s="81" t="s">
        <v>62</v>
      </c>
      <c r="C56" s="116" t="s">
        <v>118</v>
      </c>
      <c r="F56" s="26" t="s">
        <v>123</v>
      </c>
    </row>
    <row r="57" spans="2:16" ht="12" customHeight="1">
      <c r="B57" s="81" t="s">
        <v>62</v>
      </c>
      <c r="C57" s="116" t="s">
        <v>119</v>
      </c>
      <c r="F57" s="26" t="s">
        <v>113</v>
      </c>
    </row>
    <row r="58" spans="2:16" ht="12" customHeight="1">
      <c r="B58" s="81" t="s">
        <v>62</v>
      </c>
      <c r="C58" s="116" t="s">
        <v>120</v>
      </c>
      <c r="F58" s="26" t="s">
        <v>114</v>
      </c>
    </row>
    <row r="59" spans="2:16" ht="12" customHeight="1">
      <c r="B59" s="81" t="s">
        <v>62</v>
      </c>
      <c r="C59" s="116" t="s">
        <v>121</v>
      </c>
      <c r="F59" s="26" t="s">
        <v>115</v>
      </c>
    </row>
    <row r="60" spans="2:16" ht="12" customHeight="1">
      <c r="B60" s="81"/>
      <c r="C60" s="116" t="s">
        <v>122</v>
      </c>
    </row>
    <row r="61" spans="2:16" ht="6.75" customHeight="1">
      <c r="B61" s="81"/>
      <c r="C61" s="116"/>
    </row>
    <row r="62" spans="2:16" ht="6" customHeight="1">
      <c r="B62" s="118"/>
      <c r="C62" s="119"/>
      <c r="D62" s="119"/>
      <c r="E62" s="119"/>
      <c r="F62" s="119"/>
      <c r="G62" s="119"/>
      <c r="H62" s="119"/>
      <c r="I62" s="119"/>
      <c r="J62" s="119"/>
      <c r="K62" s="119"/>
      <c r="L62" s="119"/>
      <c r="M62" s="119"/>
    </row>
    <row r="63" spans="2:16" ht="11.1" customHeight="1">
      <c r="B63" s="41"/>
    </row>
    <row r="64" spans="2:16">
      <c r="B64" s="32" t="s">
        <v>63</v>
      </c>
      <c r="J64" s="32" t="s">
        <v>64</v>
      </c>
    </row>
    <row r="65" spans="1:13" ht="41.25" customHeight="1"/>
    <row r="66" spans="1:13" ht="13.5" customHeight="1">
      <c r="B66" s="26" t="s">
        <v>65</v>
      </c>
      <c r="J66" s="26" t="s">
        <v>65</v>
      </c>
    </row>
    <row r="67" spans="1:13" ht="13.5" customHeight="1">
      <c r="B67" s="26" t="s">
        <v>66</v>
      </c>
      <c r="J67" s="26" t="s">
        <v>67</v>
      </c>
      <c r="K67" s="22" t="str">
        <f>D12</f>
        <v>Shashank Kamra</v>
      </c>
    </row>
    <row r="68" spans="1:13" ht="13.5" customHeight="1">
      <c r="B68" s="26" t="s">
        <v>68</v>
      </c>
      <c r="J68" s="26" t="s">
        <v>69</v>
      </c>
      <c r="K68" s="22" t="s">
        <v>105</v>
      </c>
    </row>
    <row r="69" spans="1:13" ht="13.5" customHeight="1">
      <c r="B69" s="26" t="s">
        <v>70</v>
      </c>
      <c r="J69" s="26" t="s">
        <v>71</v>
      </c>
    </row>
    <row r="70" spans="1:13" s="28" customFormat="1" ht="24.75" customHeight="1">
      <c r="B70" s="25" t="s">
        <v>107</v>
      </c>
      <c r="J70" s="128" t="str">
        <f>C9</f>
        <v>JSAJ(Jassim Saif Amer Aljaberi Trading Est.)</v>
      </c>
      <c r="K70" s="128"/>
      <c r="L70" s="128"/>
      <c r="M70" s="128"/>
    </row>
    <row r="71" spans="1:13" ht="27.95" customHeight="1">
      <c r="A71" s="120" t="s">
        <v>72</v>
      </c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93" max="12" man="1"/>
  </rowBreaks>
  <colBreaks count="1" manualBreakCount="1">
    <brk id="5" max="60" man="1"/>
  </colBreaks>
  <ignoredErrors>
    <ignoredError sqref="F55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195"/>
  <sheetViews>
    <sheetView showGridLines="0" view="pageBreakPreview" topLeftCell="A60" zoomScaleSheetLayoutView="100" zoomScalePageLayoutView="55" workbookViewId="0">
      <selection activeCell="L3" sqref="L3"/>
    </sheetView>
  </sheetViews>
  <sheetFormatPr defaultColWidth="9" defaultRowHeight="12.75"/>
  <cols>
    <col min="1" max="1" width="8.5703125" style="42" customWidth="1"/>
    <col min="2" max="2" width="25.5703125" style="43" customWidth="1"/>
    <col min="3" max="3" width="23.5703125" style="43" customWidth="1"/>
    <col min="4" max="4" width="8.5703125" style="42" customWidth="1"/>
    <col min="5" max="5" width="13.5703125" style="42" customWidth="1"/>
    <col min="6" max="6" width="15.5703125" style="42" customWidth="1"/>
    <col min="7" max="8" width="17.140625" style="42" customWidth="1"/>
    <col min="9" max="9" width="0.85546875" style="42" customWidth="1"/>
    <col min="10" max="251" width="9" style="42"/>
    <col min="252" max="252" width="8.7109375" style="42" customWidth="1"/>
    <col min="253" max="253" width="45.140625" style="42" customWidth="1"/>
    <col min="254" max="254" width="13.28515625" style="42" customWidth="1"/>
    <col min="255" max="255" width="9.42578125" style="42" customWidth="1"/>
    <col min="256" max="256" width="6.42578125" style="42" customWidth="1"/>
    <col min="257" max="257" width="11.5703125" style="42" customWidth="1"/>
    <col min="258" max="258" width="12.85546875" style="42" bestFit="1" customWidth="1"/>
    <col min="259" max="259" width="25.5703125" style="42" customWidth="1"/>
    <col min="260" max="507" width="9" style="42"/>
    <col min="508" max="508" width="8.7109375" style="42" customWidth="1"/>
    <col min="509" max="509" width="45.140625" style="42" customWidth="1"/>
    <col min="510" max="510" width="13.28515625" style="42" customWidth="1"/>
    <col min="511" max="511" width="9.42578125" style="42" customWidth="1"/>
    <col min="512" max="512" width="6.42578125" style="42" customWidth="1"/>
    <col min="513" max="513" width="11.5703125" style="42" customWidth="1"/>
    <col min="514" max="514" width="12.85546875" style="42" bestFit="1" customWidth="1"/>
    <col min="515" max="515" width="25.5703125" style="42" customWidth="1"/>
    <col min="516" max="763" width="9" style="42"/>
    <col min="764" max="764" width="8.7109375" style="42" customWidth="1"/>
    <col min="765" max="765" width="45.140625" style="42" customWidth="1"/>
    <col min="766" max="766" width="13.28515625" style="42" customWidth="1"/>
    <col min="767" max="767" width="9.42578125" style="42" customWidth="1"/>
    <col min="768" max="768" width="6.42578125" style="42" customWidth="1"/>
    <col min="769" max="769" width="11.5703125" style="42" customWidth="1"/>
    <col min="770" max="770" width="12.85546875" style="42" bestFit="1" customWidth="1"/>
    <col min="771" max="771" width="25.5703125" style="42" customWidth="1"/>
    <col min="772" max="1019" width="9" style="42"/>
    <col min="1020" max="1020" width="8.7109375" style="42" customWidth="1"/>
    <col min="1021" max="1021" width="45.140625" style="42" customWidth="1"/>
    <col min="1022" max="1022" width="13.28515625" style="42" customWidth="1"/>
    <col min="1023" max="1023" width="9.42578125" style="42" customWidth="1"/>
    <col min="1024" max="1024" width="6.42578125" style="42" customWidth="1"/>
    <col min="1025" max="1025" width="11.5703125" style="42" customWidth="1"/>
    <col min="1026" max="1026" width="12.85546875" style="42" bestFit="1" customWidth="1"/>
    <col min="1027" max="1027" width="25.5703125" style="42" customWidth="1"/>
    <col min="1028" max="1275" width="9" style="42"/>
    <col min="1276" max="1276" width="8.7109375" style="42" customWidth="1"/>
    <col min="1277" max="1277" width="45.140625" style="42" customWidth="1"/>
    <col min="1278" max="1278" width="13.28515625" style="42" customWidth="1"/>
    <col min="1279" max="1279" width="9.42578125" style="42" customWidth="1"/>
    <col min="1280" max="1280" width="6.42578125" style="42" customWidth="1"/>
    <col min="1281" max="1281" width="11.5703125" style="42" customWidth="1"/>
    <col min="1282" max="1282" width="12.85546875" style="42" bestFit="1" customWidth="1"/>
    <col min="1283" max="1283" width="25.5703125" style="42" customWidth="1"/>
    <col min="1284" max="1531" width="9" style="42"/>
    <col min="1532" max="1532" width="8.7109375" style="42" customWidth="1"/>
    <col min="1533" max="1533" width="45.140625" style="42" customWidth="1"/>
    <col min="1534" max="1534" width="13.28515625" style="42" customWidth="1"/>
    <col min="1535" max="1535" width="9.42578125" style="42" customWidth="1"/>
    <col min="1536" max="1536" width="6.42578125" style="42" customWidth="1"/>
    <col min="1537" max="1537" width="11.5703125" style="42" customWidth="1"/>
    <col min="1538" max="1538" width="12.85546875" style="42" bestFit="1" customWidth="1"/>
    <col min="1539" max="1539" width="25.5703125" style="42" customWidth="1"/>
    <col min="1540" max="1787" width="9" style="42"/>
    <col min="1788" max="1788" width="8.7109375" style="42" customWidth="1"/>
    <col min="1789" max="1789" width="45.140625" style="42" customWidth="1"/>
    <col min="1790" max="1790" width="13.28515625" style="42" customWidth="1"/>
    <col min="1791" max="1791" width="9.42578125" style="42" customWidth="1"/>
    <col min="1792" max="1792" width="6.42578125" style="42" customWidth="1"/>
    <col min="1793" max="1793" width="11.5703125" style="42" customWidth="1"/>
    <col min="1794" max="1794" width="12.85546875" style="42" bestFit="1" customWidth="1"/>
    <col min="1795" max="1795" width="25.5703125" style="42" customWidth="1"/>
    <col min="1796" max="2043" width="9" style="42"/>
    <col min="2044" max="2044" width="8.7109375" style="42" customWidth="1"/>
    <col min="2045" max="2045" width="45.140625" style="42" customWidth="1"/>
    <col min="2046" max="2046" width="13.28515625" style="42" customWidth="1"/>
    <col min="2047" max="2047" width="9.42578125" style="42" customWidth="1"/>
    <col min="2048" max="2048" width="6.42578125" style="42" customWidth="1"/>
    <col min="2049" max="2049" width="11.5703125" style="42" customWidth="1"/>
    <col min="2050" max="2050" width="12.85546875" style="42" bestFit="1" customWidth="1"/>
    <col min="2051" max="2051" width="25.5703125" style="42" customWidth="1"/>
    <col min="2052" max="2299" width="9" style="42"/>
    <col min="2300" max="2300" width="8.7109375" style="42" customWidth="1"/>
    <col min="2301" max="2301" width="45.140625" style="42" customWidth="1"/>
    <col min="2302" max="2302" width="13.28515625" style="42" customWidth="1"/>
    <col min="2303" max="2303" width="9.42578125" style="42" customWidth="1"/>
    <col min="2304" max="2304" width="6.42578125" style="42" customWidth="1"/>
    <col min="2305" max="2305" width="11.5703125" style="42" customWidth="1"/>
    <col min="2306" max="2306" width="12.85546875" style="42" bestFit="1" customWidth="1"/>
    <col min="2307" max="2307" width="25.5703125" style="42" customWidth="1"/>
    <col min="2308" max="2555" width="9" style="42"/>
    <col min="2556" max="2556" width="8.7109375" style="42" customWidth="1"/>
    <col min="2557" max="2557" width="45.140625" style="42" customWidth="1"/>
    <col min="2558" max="2558" width="13.28515625" style="42" customWidth="1"/>
    <col min="2559" max="2559" width="9.42578125" style="42" customWidth="1"/>
    <col min="2560" max="2560" width="6.42578125" style="42" customWidth="1"/>
    <col min="2561" max="2561" width="11.5703125" style="42" customWidth="1"/>
    <col min="2562" max="2562" width="12.85546875" style="42" bestFit="1" customWidth="1"/>
    <col min="2563" max="2563" width="25.5703125" style="42" customWidth="1"/>
    <col min="2564" max="2811" width="9" style="42"/>
    <col min="2812" max="2812" width="8.7109375" style="42" customWidth="1"/>
    <col min="2813" max="2813" width="45.140625" style="42" customWidth="1"/>
    <col min="2814" max="2814" width="13.28515625" style="42" customWidth="1"/>
    <col min="2815" max="2815" width="9.42578125" style="42" customWidth="1"/>
    <col min="2816" max="2816" width="6.42578125" style="42" customWidth="1"/>
    <col min="2817" max="2817" width="11.5703125" style="42" customWidth="1"/>
    <col min="2818" max="2818" width="12.85546875" style="42" bestFit="1" customWidth="1"/>
    <col min="2819" max="2819" width="25.5703125" style="42" customWidth="1"/>
    <col min="2820" max="3067" width="9" style="42"/>
    <col min="3068" max="3068" width="8.7109375" style="42" customWidth="1"/>
    <col min="3069" max="3069" width="45.140625" style="42" customWidth="1"/>
    <col min="3070" max="3070" width="13.28515625" style="42" customWidth="1"/>
    <col min="3071" max="3071" width="9.42578125" style="42" customWidth="1"/>
    <col min="3072" max="3072" width="6.42578125" style="42" customWidth="1"/>
    <col min="3073" max="3073" width="11.5703125" style="42" customWidth="1"/>
    <col min="3074" max="3074" width="12.85546875" style="42" bestFit="1" customWidth="1"/>
    <col min="3075" max="3075" width="25.5703125" style="42" customWidth="1"/>
    <col min="3076" max="3323" width="9" style="42"/>
    <col min="3324" max="3324" width="8.7109375" style="42" customWidth="1"/>
    <col min="3325" max="3325" width="45.140625" style="42" customWidth="1"/>
    <col min="3326" max="3326" width="13.28515625" style="42" customWidth="1"/>
    <col min="3327" max="3327" width="9.42578125" style="42" customWidth="1"/>
    <col min="3328" max="3328" width="6.42578125" style="42" customWidth="1"/>
    <col min="3329" max="3329" width="11.5703125" style="42" customWidth="1"/>
    <col min="3330" max="3330" width="12.85546875" style="42" bestFit="1" customWidth="1"/>
    <col min="3331" max="3331" width="25.5703125" style="42" customWidth="1"/>
    <col min="3332" max="3579" width="9" style="42"/>
    <col min="3580" max="3580" width="8.7109375" style="42" customWidth="1"/>
    <col min="3581" max="3581" width="45.140625" style="42" customWidth="1"/>
    <col min="3582" max="3582" width="13.28515625" style="42" customWidth="1"/>
    <col min="3583" max="3583" width="9.42578125" style="42" customWidth="1"/>
    <col min="3584" max="3584" width="6.42578125" style="42" customWidth="1"/>
    <col min="3585" max="3585" width="11.5703125" style="42" customWidth="1"/>
    <col min="3586" max="3586" width="12.85546875" style="42" bestFit="1" customWidth="1"/>
    <col min="3587" max="3587" width="25.5703125" style="42" customWidth="1"/>
    <col min="3588" max="3835" width="9" style="42"/>
    <col min="3836" max="3836" width="8.7109375" style="42" customWidth="1"/>
    <col min="3837" max="3837" width="45.140625" style="42" customWidth="1"/>
    <col min="3838" max="3838" width="13.28515625" style="42" customWidth="1"/>
    <col min="3839" max="3839" width="9.42578125" style="42" customWidth="1"/>
    <col min="3840" max="3840" width="6.42578125" style="42" customWidth="1"/>
    <col min="3841" max="3841" width="11.5703125" style="42" customWidth="1"/>
    <col min="3842" max="3842" width="12.85546875" style="42" bestFit="1" customWidth="1"/>
    <col min="3843" max="3843" width="25.5703125" style="42" customWidth="1"/>
    <col min="3844" max="4091" width="9" style="42"/>
    <col min="4092" max="4092" width="8.7109375" style="42" customWidth="1"/>
    <col min="4093" max="4093" width="45.140625" style="42" customWidth="1"/>
    <col min="4094" max="4094" width="13.28515625" style="42" customWidth="1"/>
    <col min="4095" max="4095" width="9.42578125" style="42" customWidth="1"/>
    <col min="4096" max="4096" width="6.42578125" style="42" customWidth="1"/>
    <col min="4097" max="4097" width="11.5703125" style="42" customWidth="1"/>
    <col min="4098" max="4098" width="12.85546875" style="42" bestFit="1" customWidth="1"/>
    <col min="4099" max="4099" width="25.5703125" style="42" customWidth="1"/>
    <col min="4100" max="4347" width="9" style="42"/>
    <col min="4348" max="4348" width="8.7109375" style="42" customWidth="1"/>
    <col min="4349" max="4349" width="45.140625" style="42" customWidth="1"/>
    <col min="4350" max="4350" width="13.28515625" style="42" customWidth="1"/>
    <col min="4351" max="4351" width="9.42578125" style="42" customWidth="1"/>
    <col min="4352" max="4352" width="6.42578125" style="42" customWidth="1"/>
    <col min="4353" max="4353" width="11.5703125" style="42" customWidth="1"/>
    <col min="4354" max="4354" width="12.85546875" style="42" bestFit="1" customWidth="1"/>
    <col min="4355" max="4355" width="25.5703125" style="42" customWidth="1"/>
    <col min="4356" max="4603" width="9" style="42"/>
    <col min="4604" max="4604" width="8.7109375" style="42" customWidth="1"/>
    <col min="4605" max="4605" width="45.140625" style="42" customWidth="1"/>
    <col min="4606" max="4606" width="13.28515625" style="42" customWidth="1"/>
    <col min="4607" max="4607" width="9.42578125" style="42" customWidth="1"/>
    <col min="4608" max="4608" width="6.42578125" style="42" customWidth="1"/>
    <col min="4609" max="4609" width="11.5703125" style="42" customWidth="1"/>
    <col min="4610" max="4610" width="12.85546875" style="42" bestFit="1" customWidth="1"/>
    <col min="4611" max="4611" width="25.5703125" style="42" customWidth="1"/>
    <col min="4612" max="4859" width="9" style="42"/>
    <col min="4860" max="4860" width="8.7109375" style="42" customWidth="1"/>
    <col min="4861" max="4861" width="45.140625" style="42" customWidth="1"/>
    <col min="4862" max="4862" width="13.28515625" style="42" customWidth="1"/>
    <col min="4863" max="4863" width="9.42578125" style="42" customWidth="1"/>
    <col min="4864" max="4864" width="6.42578125" style="42" customWidth="1"/>
    <col min="4865" max="4865" width="11.5703125" style="42" customWidth="1"/>
    <col min="4866" max="4866" width="12.85546875" style="42" bestFit="1" customWidth="1"/>
    <col min="4867" max="4867" width="25.5703125" style="42" customWidth="1"/>
    <col min="4868" max="5115" width="9" style="42"/>
    <col min="5116" max="5116" width="8.7109375" style="42" customWidth="1"/>
    <col min="5117" max="5117" width="45.140625" style="42" customWidth="1"/>
    <col min="5118" max="5118" width="13.28515625" style="42" customWidth="1"/>
    <col min="5119" max="5119" width="9.42578125" style="42" customWidth="1"/>
    <col min="5120" max="5120" width="6.42578125" style="42" customWidth="1"/>
    <col min="5121" max="5121" width="11.5703125" style="42" customWidth="1"/>
    <col min="5122" max="5122" width="12.85546875" style="42" bestFit="1" customWidth="1"/>
    <col min="5123" max="5123" width="25.5703125" style="42" customWidth="1"/>
    <col min="5124" max="5371" width="9" style="42"/>
    <col min="5372" max="5372" width="8.7109375" style="42" customWidth="1"/>
    <col min="5373" max="5373" width="45.140625" style="42" customWidth="1"/>
    <col min="5374" max="5374" width="13.28515625" style="42" customWidth="1"/>
    <col min="5375" max="5375" width="9.42578125" style="42" customWidth="1"/>
    <col min="5376" max="5376" width="6.42578125" style="42" customWidth="1"/>
    <col min="5377" max="5377" width="11.5703125" style="42" customWidth="1"/>
    <col min="5378" max="5378" width="12.85546875" style="42" bestFit="1" customWidth="1"/>
    <col min="5379" max="5379" width="25.5703125" style="42" customWidth="1"/>
    <col min="5380" max="5627" width="9" style="42"/>
    <col min="5628" max="5628" width="8.7109375" style="42" customWidth="1"/>
    <col min="5629" max="5629" width="45.140625" style="42" customWidth="1"/>
    <col min="5630" max="5630" width="13.28515625" style="42" customWidth="1"/>
    <col min="5631" max="5631" width="9.42578125" style="42" customWidth="1"/>
    <col min="5632" max="5632" width="6.42578125" style="42" customWidth="1"/>
    <col min="5633" max="5633" width="11.5703125" style="42" customWidth="1"/>
    <col min="5634" max="5634" width="12.85546875" style="42" bestFit="1" customWidth="1"/>
    <col min="5635" max="5635" width="25.5703125" style="42" customWidth="1"/>
    <col min="5636" max="5883" width="9" style="42"/>
    <col min="5884" max="5884" width="8.7109375" style="42" customWidth="1"/>
    <col min="5885" max="5885" width="45.140625" style="42" customWidth="1"/>
    <col min="5886" max="5886" width="13.28515625" style="42" customWidth="1"/>
    <col min="5887" max="5887" width="9.42578125" style="42" customWidth="1"/>
    <col min="5888" max="5888" width="6.42578125" style="42" customWidth="1"/>
    <col min="5889" max="5889" width="11.5703125" style="42" customWidth="1"/>
    <col min="5890" max="5890" width="12.85546875" style="42" bestFit="1" customWidth="1"/>
    <col min="5891" max="5891" width="25.5703125" style="42" customWidth="1"/>
    <col min="5892" max="6139" width="9" style="42"/>
    <col min="6140" max="6140" width="8.7109375" style="42" customWidth="1"/>
    <col min="6141" max="6141" width="45.140625" style="42" customWidth="1"/>
    <col min="6142" max="6142" width="13.28515625" style="42" customWidth="1"/>
    <col min="6143" max="6143" width="9.42578125" style="42" customWidth="1"/>
    <col min="6144" max="6144" width="6.42578125" style="42" customWidth="1"/>
    <col min="6145" max="6145" width="11.5703125" style="42" customWidth="1"/>
    <col min="6146" max="6146" width="12.85546875" style="42" bestFit="1" customWidth="1"/>
    <col min="6147" max="6147" width="25.5703125" style="42" customWidth="1"/>
    <col min="6148" max="6395" width="9" style="42"/>
    <col min="6396" max="6396" width="8.7109375" style="42" customWidth="1"/>
    <col min="6397" max="6397" width="45.140625" style="42" customWidth="1"/>
    <col min="6398" max="6398" width="13.28515625" style="42" customWidth="1"/>
    <col min="6399" max="6399" width="9.42578125" style="42" customWidth="1"/>
    <col min="6400" max="6400" width="6.42578125" style="42" customWidth="1"/>
    <col min="6401" max="6401" width="11.5703125" style="42" customWidth="1"/>
    <col min="6402" max="6402" width="12.85546875" style="42" bestFit="1" customWidth="1"/>
    <col min="6403" max="6403" width="25.5703125" style="42" customWidth="1"/>
    <col min="6404" max="6651" width="9" style="42"/>
    <col min="6652" max="6652" width="8.7109375" style="42" customWidth="1"/>
    <col min="6653" max="6653" width="45.140625" style="42" customWidth="1"/>
    <col min="6654" max="6654" width="13.28515625" style="42" customWidth="1"/>
    <col min="6655" max="6655" width="9.42578125" style="42" customWidth="1"/>
    <col min="6656" max="6656" width="6.42578125" style="42" customWidth="1"/>
    <col min="6657" max="6657" width="11.5703125" style="42" customWidth="1"/>
    <col min="6658" max="6658" width="12.85546875" style="42" bestFit="1" customWidth="1"/>
    <col min="6659" max="6659" width="25.5703125" style="42" customWidth="1"/>
    <col min="6660" max="6907" width="9" style="42"/>
    <col min="6908" max="6908" width="8.7109375" style="42" customWidth="1"/>
    <col min="6909" max="6909" width="45.140625" style="42" customWidth="1"/>
    <col min="6910" max="6910" width="13.28515625" style="42" customWidth="1"/>
    <col min="6911" max="6911" width="9.42578125" style="42" customWidth="1"/>
    <col min="6912" max="6912" width="6.42578125" style="42" customWidth="1"/>
    <col min="6913" max="6913" width="11.5703125" style="42" customWidth="1"/>
    <col min="6914" max="6914" width="12.85546875" style="42" bestFit="1" customWidth="1"/>
    <col min="6915" max="6915" width="25.5703125" style="42" customWidth="1"/>
    <col min="6916" max="7163" width="9" style="42"/>
    <col min="7164" max="7164" width="8.7109375" style="42" customWidth="1"/>
    <col min="7165" max="7165" width="45.140625" style="42" customWidth="1"/>
    <col min="7166" max="7166" width="13.28515625" style="42" customWidth="1"/>
    <col min="7167" max="7167" width="9.42578125" style="42" customWidth="1"/>
    <col min="7168" max="7168" width="6.42578125" style="42" customWidth="1"/>
    <col min="7169" max="7169" width="11.5703125" style="42" customWidth="1"/>
    <col min="7170" max="7170" width="12.85546875" style="42" bestFit="1" customWidth="1"/>
    <col min="7171" max="7171" width="25.5703125" style="42" customWidth="1"/>
    <col min="7172" max="7419" width="9" style="42"/>
    <col min="7420" max="7420" width="8.7109375" style="42" customWidth="1"/>
    <col min="7421" max="7421" width="45.140625" style="42" customWidth="1"/>
    <col min="7422" max="7422" width="13.28515625" style="42" customWidth="1"/>
    <col min="7423" max="7423" width="9.42578125" style="42" customWidth="1"/>
    <col min="7424" max="7424" width="6.42578125" style="42" customWidth="1"/>
    <col min="7425" max="7425" width="11.5703125" style="42" customWidth="1"/>
    <col min="7426" max="7426" width="12.85546875" style="42" bestFit="1" customWidth="1"/>
    <col min="7427" max="7427" width="25.5703125" style="42" customWidth="1"/>
    <col min="7428" max="7675" width="9" style="42"/>
    <col min="7676" max="7676" width="8.7109375" style="42" customWidth="1"/>
    <col min="7677" max="7677" width="45.140625" style="42" customWidth="1"/>
    <col min="7678" max="7678" width="13.28515625" style="42" customWidth="1"/>
    <col min="7679" max="7679" width="9.42578125" style="42" customWidth="1"/>
    <col min="7680" max="7680" width="6.42578125" style="42" customWidth="1"/>
    <col min="7681" max="7681" width="11.5703125" style="42" customWidth="1"/>
    <col min="7682" max="7682" width="12.85546875" style="42" bestFit="1" customWidth="1"/>
    <col min="7683" max="7683" width="25.5703125" style="42" customWidth="1"/>
    <col min="7684" max="7931" width="9" style="42"/>
    <col min="7932" max="7932" width="8.7109375" style="42" customWidth="1"/>
    <col min="7933" max="7933" width="45.140625" style="42" customWidth="1"/>
    <col min="7934" max="7934" width="13.28515625" style="42" customWidth="1"/>
    <col min="7935" max="7935" width="9.42578125" style="42" customWidth="1"/>
    <col min="7936" max="7936" width="6.42578125" style="42" customWidth="1"/>
    <col min="7937" max="7937" width="11.5703125" style="42" customWidth="1"/>
    <col min="7938" max="7938" width="12.85546875" style="42" bestFit="1" customWidth="1"/>
    <col min="7939" max="7939" width="25.5703125" style="42" customWidth="1"/>
    <col min="7940" max="8187" width="9" style="42"/>
    <col min="8188" max="8188" width="8.7109375" style="42" customWidth="1"/>
    <col min="8189" max="8189" width="45.140625" style="42" customWidth="1"/>
    <col min="8190" max="8190" width="13.28515625" style="42" customWidth="1"/>
    <col min="8191" max="8191" width="9.42578125" style="42" customWidth="1"/>
    <col min="8192" max="8192" width="6.42578125" style="42" customWidth="1"/>
    <col min="8193" max="8193" width="11.5703125" style="42" customWidth="1"/>
    <col min="8194" max="8194" width="12.85546875" style="42" bestFit="1" customWidth="1"/>
    <col min="8195" max="8195" width="25.5703125" style="42" customWidth="1"/>
    <col min="8196" max="8443" width="9" style="42"/>
    <col min="8444" max="8444" width="8.7109375" style="42" customWidth="1"/>
    <col min="8445" max="8445" width="45.140625" style="42" customWidth="1"/>
    <col min="8446" max="8446" width="13.28515625" style="42" customWidth="1"/>
    <col min="8447" max="8447" width="9.42578125" style="42" customWidth="1"/>
    <col min="8448" max="8448" width="6.42578125" style="42" customWidth="1"/>
    <col min="8449" max="8449" width="11.5703125" style="42" customWidth="1"/>
    <col min="8450" max="8450" width="12.85546875" style="42" bestFit="1" customWidth="1"/>
    <col min="8451" max="8451" width="25.5703125" style="42" customWidth="1"/>
    <col min="8452" max="8699" width="9" style="42"/>
    <col min="8700" max="8700" width="8.7109375" style="42" customWidth="1"/>
    <col min="8701" max="8701" width="45.140625" style="42" customWidth="1"/>
    <col min="8702" max="8702" width="13.28515625" style="42" customWidth="1"/>
    <col min="8703" max="8703" width="9.42578125" style="42" customWidth="1"/>
    <col min="8704" max="8704" width="6.42578125" style="42" customWidth="1"/>
    <col min="8705" max="8705" width="11.5703125" style="42" customWidth="1"/>
    <col min="8706" max="8706" width="12.85546875" style="42" bestFit="1" customWidth="1"/>
    <col min="8707" max="8707" width="25.5703125" style="42" customWidth="1"/>
    <col min="8708" max="8955" width="9" style="42"/>
    <col min="8956" max="8956" width="8.7109375" style="42" customWidth="1"/>
    <col min="8957" max="8957" width="45.140625" style="42" customWidth="1"/>
    <col min="8958" max="8958" width="13.28515625" style="42" customWidth="1"/>
    <col min="8959" max="8959" width="9.42578125" style="42" customWidth="1"/>
    <col min="8960" max="8960" width="6.42578125" style="42" customWidth="1"/>
    <col min="8961" max="8961" width="11.5703125" style="42" customWidth="1"/>
    <col min="8962" max="8962" width="12.85546875" style="42" bestFit="1" customWidth="1"/>
    <col min="8963" max="8963" width="25.5703125" style="42" customWidth="1"/>
    <col min="8964" max="9211" width="9" style="42"/>
    <col min="9212" max="9212" width="8.7109375" style="42" customWidth="1"/>
    <col min="9213" max="9213" width="45.140625" style="42" customWidth="1"/>
    <col min="9214" max="9214" width="13.28515625" style="42" customWidth="1"/>
    <col min="9215" max="9215" width="9.42578125" style="42" customWidth="1"/>
    <col min="9216" max="9216" width="6.42578125" style="42" customWidth="1"/>
    <col min="9217" max="9217" width="11.5703125" style="42" customWidth="1"/>
    <col min="9218" max="9218" width="12.85546875" style="42" bestFit="1" customWidth="1"/>
    <col min="9219" max="9219" width="25.5703125" style="42" customWidth="1"/>
    <col min="9220" max="9467" width="9" style="42"/>
    <col min="9468" max="9468" width="8.7109375" style="42" customWidth="1"/>
    <col min="9469" max="9469" width="45.140625" style="42" customWidth="1"/>
    <col min="9470" max="9470" width="13.28515625" style="42" customWidth="1"/>
    <col min="9471" max="9471" width="9.42578125" style="42" customWidth="1"/>
    <col min="9472" max="9472" width="6.42578125" style="42" customWidth="1"/>
    <col min="9473" max="9473" width="11.5703125" style="42" customWidth="1"/>
    <col min="9474" max="9474" width="12.85546875" style="42" bestFit="1" customWidth="1"/>
    <col min="9475" max="9475" width="25.5703125" style="42" customWidth="1"/>
    <col min="9476" max="9723" width="9" style="42"/>
    <col min="9724" max="9724" width="8.7109375" style="42" customWidth="1"/>
    <col min="9725" max="9725" width="45.140625" style="42" customWidth="1"/>
    <col min="9726" max="9726" width="13.28515625" style="42" customWidth="1"/>
    <col min="9727" max="9727" width="9.42578125" style="42" customWidth="1"/>
    <col min="9728" max="9728" width="6.42578125" style="42" customWidth="1"/>
    <col min="9729" max="9729" width="11.5703125" style="42" customWidth="1"/>
    <col min="9730" max="9730" width="12.85546875" style="42" bestFit="1" customWidth="1"/>
    <col min="9731" max="9731" width="25.5703125" style="42" customWidth="1"/>
    <col min="9732" max="9979" width="9" style="42"/>
    <col min="9980" max="9980" width="8.7109375" style="42" customWidth="1"/>
    <col min="9981" max="9981" width="45.140625" style="42" customWidth="1"/>
    <col min="9982" max="9982" width="13.28515625" style="42" customWidth="1"/>
    <col min="9983" max="9983" width="9.42578125" style="42" customWidth="1"/>
    <col min="9984" max="9984" width="6.42578125" style="42" customWidth="1"/>
    <col min="9985" max="9985" width="11.5703125" style="42" customWidth="1"/>
    <col min="9986" max="9986" width="12.85546875" style="42" bestFit="1" customWidth="1"/>
    <col min="9987" max="9987" width="25.5703125" style="42" customWidth="1"/>
    <col min="9988" max="10235" width="9" style="42"/>
    <col min="10236" max="10236" width="8.7109375" style="42" customWidth="1"/>
    <col min="10237" max="10237" width="45.140625" style="42" customWidth="1"/>
    <col min="10238" max="10238" width="13.28515625" style="42" customWidth="1"/>
    <col min="10239" max="10239" width="9.42578125" style="42" customWidth="1"/>
    <col min="10240" max="10240" width="6.42578125" style="42" customWidth="1"/>
    <col min="10241" max="10241" width="11.5703125" style="42" customWidth="1"/>
    <col min="10242" max="10242" width="12.85546875" style="42" bestFit="1" customWidth="1"/>
    <col min="10243" max="10243" width="25.5703125" style="42" customWidth="1"/>
    <col min="10244" max="10491" width="9" style="42"/>
    <col min="10492" max="10492" width="8.7109375" style="42" customWidth="1"/>
    <col min="10493" max="10493" width="45.140625" style="42" customWidth="1"/>
    <col min="10494" max="10494" width="13.28515625" style="42" customWidth="1"/>
    <col min="10495" max="10495" width="9.42578125" style="42" customWidth="1"/>
    <col min="10496" max="10496" width="6.42578125" style="42" customWidth="1"/>
    <col min="10497" max="10497" width="11.5703125" style="42" customWidth="1"/>
    <col min="10498" max="10498" width="12.85546875" style="42" bestFit="1" customWidth="1"/>
    <col min="10499" max="10499" width="25.5703125" style="42" customWidth="1"/>
    <col min="10500" max="10747" width="9" style="42"/>
    <col min="10748" max="10748" width="8.7109375" style="42" customWidth="1"/>
    <col min="10749" max="10749" width="45.140625" style="42" customWidth="1"/>
    <col min="10750" max="10750" width="13.28515625" style="42" customWidth="1"/>
    <col min="10751" max="10751" width="9.42578125" style="42" customWidth="1"/>
    <col min="10752" max="10752" width="6.42578125" style="42" customWidth="1"/>
    <col min="10753" max="10753" width="11.5703125" style="42" customWidth="1"/>
    <col min="10754" max="10754" width="12.85546875" style="42" bestFit="1" customWidth="1"/>
    <col min="10755" max="10755" width="25.5703125" style="42" customWidth="1"/>
    <col min="10756" max="11003" width="9" style="42"/>
    <col min="11004" max="11004" width="8.7109375" style="42" customWidth="1"/>
    <col min="11005" max="11005" width="45.140625" style="42" customWidth="1"/>
    <col min="11006" max="11006" width="13.28515625" style="42" customWidth="1"/>
    <col min="11007" max="11007" width="9.42578125" style="42" customWidth="1"/>
    <col min="11008" max="11008" width="6.42578125" style="42" customWidth="1"/>
    <col min="11009" max="11009" width="11.5703125" style="42" customWidth="1"/>
    <col min="11010" max="11010" width="12.85546875" style="42" bestFit="1" customWidth="1"/>
    <col min="11011" max="11011" width="25.5703125" style="42" customWidth="1"/>
    <col min="11012" max="11259" width="9" style="42"/>
    <col min="11260" max="11260" width="8.7109375" style="42" customWidth="1"/>
    <col min="11261" max="11261" width="45.140625" style="42" customWidth="1"/>
    <col min="11262" max="11262" width="13.28515625" style="42" customWidth="1"/>
    <col min="11263" max="11263" width="9.42578125" style="42" customWidth="1"/>
    <col min="11264" max="11264" width="6.42578125" style="42" customWidth="1"/>
    <col min="11265" max="11265" width="11.5703125" style="42" customWidth="1"/>
    <col min="11266" max="11266" width="12.85546875" style="42" bestFit="1" customWidth="1"/>
    <col min="11267" max="11267" width="25.5703125" style="42" customWidth="1"/>
    <col min="11268" max="11515" width="9" style="42"/>
    <col min="11516" max="11516" width="8.7109375" style="42" customWidth="1"/>
    <col min="11517" max="11517" width="45.140625" style="42" customWidth="1"/>
    <col min="11518" max="11518" width="13.28515625" style="42" customWidth="1"/>
    <col min="11519" max="11519" width="9.42578125" style="42" customWidth="1"/>
    <col min="11520" max="11520" width="6.42578125" style="42" customWidth="1"/>
    <col min="11521" max="11521" width="11.5703125" style="42" customWidth="1"/>
    <col min="11522" max="11522" width="12.85546875" style="42" bestFit="1" customWidth="1"/>
    <col min="11523" max="11523" width="25.5703125" style="42" customWidth="1"/>
    <col min="11524" max="11771" width="9" style="42"/>
    <col min="11772" max="11772" width="8.7109375" style="42" customWidth="1"/>
    <col min="11773" max="11773" width="45.140625" style="42" customWidth="1"/>
    <col min="11774" max="11774" width="13.28515625" style="42" customWidth="1"/>
    <col min="11775" max="11775" width="9.42578125" style="42" customWidth="1"/>
    <col min="11776" max="11776" width="6.42578125" style="42" customWidth="1"/>
    <col min="11777" max="11777" width="11.5703125" style="42" customWidth="1"/>
    <col min="11778" max="11778" width="12.85546875" style="42" bestFit="1" customWidth="1"/>
    <col min="11779" max="11779" width="25.5703125" style="42" customWidth="1"/>
    <col min="11780" max="12027" width="9" style="42"/>
    <col min="12028" max="12028" width="8.7109375" style="42" customWidth="1"/>
    <col min="12029" max="12029" width="45.140625" style="42" customWidth="1"/>
    <col min="12030" max="12030" width="13.28515625" style="42" customWidth="1"/>
    <col min="12031" max="12031" width="9.42578125" style="42" customWidth="1"/>
    <col min="12032" max="12032" width="6.42578125" style="42" customWidth="1"/>
    <col min="12033" max="12033" width="11.5703125" style="42" customWidth="1"/>
    <col min="12034" max="12034" width="12.85546875" style="42" bestFit="1" customWidth="1"/>
    <col min="12035" max="12035" width="25.5703125" style="42" customWidth="1"/>
    <col min="12036" max="12283" width="9" style="42"/>
    <col min="12284" max="12284" width="8.7109375" style="42" customWidth="1"/>
    <col min="12285" max="12285" width="45.140625" style="42" customWidth="1"/>
    <col min="12286" max="12286" width="13.28515625" style="42" customWidth="1"/>
    <col min="12287" max="12287" width="9.42578125" style="42" customWidth="1"/>
    <col min="12288" max="12288" width="6.42578125" style="42" customWidth="1"/>
    <col min="12289" max="12289" width="11.5703125" style="42" customWidth="1"/>
    <col min="12290" max="12290" width="12.85546875" style="42" bestFit="1" customWidth="1"/>
    <col min="12291" max="12291" width="25.5703125" style="42" customWidth="1"/>
    <col min="12292" max="12539" width="9" style="42"/>
    <col min="12540" max="12540" width="8.7109375" style="42" customWidth="1"/>
    <col min="12541" max="12541" width="45.140625" style="42" customWidth="1"/>
    <col min="12542" max="12542" width="13.28515625" style="42" customWidth="1"/>
    <col min="12543" max="12543" width="9.42578125" style="42" customWidth="1"/>
    <col min="12544" max="12544" width="6.42578125" style="42" customWidth="1"/>
    <col min="12545" max="12545" width="11.5703125" style="42" customWidth="1"/>
    <col min="12546" max="12546" width="12.85546875" style="42" bestFit="1" customWidth="1"/>
    <col min="12547" max="12547" width="25.5703125" style="42" customWidth="1"/>
    <col min="12548" max="12795" width="9" style="42"/>
    <col min="12796" max="12796" width="8.7109375" style="42" customWidth="1"/>
    <col min="12797" max="12797" width="45.140625" style="42" customWidth="1"/>
    <col min="12798" max="12798" width="13.28515625" style="42" customWidth="1"/>
    <col min="12799" max="12799" width="9.42578125" style="42" customWidth="1"/>
    <col min="12800" max="12800" width="6.42578125" style="42" customWidth="1"/>
    <col min="12801" max="12801" width="11.5703125" style="42" customWidth="1"/>
    <col min="12802" max="12802" width="12.85546875" style="42" bestFit="1" customWidth="1"/>
    <col min="12803" max="12803" width="25.5703125" style="42" customWidth="1"/>
    <col min="12804" max="13051" width="9" style="42"/>
    <col min="13052" max="13052" width="8.7109375" style="42" customWidth="1"/>
    <col min="13053" max="13053" width="45.140625" style="42" customWidth="1"/>
    <col min="13054" max="13054" width="13.28515625" style="42" customWidth="1"/>
    <col min="13055" max="13055" width="9.42578125" style="42" customWidth="1"/>
    <col min="13056" max="13056" width="6.42578125" style="42" customWidth="1"/>
    <col min="13057" max="13057" width="11.5703125" style="42" customWidth="1"/>
    <col min="13058" max="13058" width="12.85546875" style="42" bestFit="1" customWidth="1"/>
    <col min="13059" max="13059" width="25.5703125" style="42" customWidth="1"/>
    <col min="13060" max="13307" width="9" style="42"/>
    <col min="13308" max="13308" width="8.7109375" style="42" customWidth="1"/>
    <col min="13309" max="13309" width="45.140625" style="42" customWidth="1"/>
    <col min="13310" max="13310" width="13.28515625" style="42" customWidth="1"/>
    <col min="13311" max="13311" width="9.42578125" style="42" customWidth="1"/>
    <col min="13312" max="13312" width="6.42578125" style="42" customWidth="1"/>
    <col min="13313" max="13313" width="11.5703125" style="42" customWidth="1"/>
    <col min="13314" max="13314" width="12.85546875" style="42" bestFit="1" customWidth="1"/>
    <col min="13315" max="13315" width="25.5703125" style="42" customWidth="1"/>
    <col min="13316" max="13563" width="9" style="42"/>
    <col min="13564" max="13564" width="8.7109375" style="42" customWidth="1"/>
    <col min="13565" max="13565" width="45.140625" style="42" customWidth="1"/>
    <col min="13566" max="13566" width="13.28515625" style="42" customWidth="1"/>
    <col min="13567" max="13567" width="9.42578125" style="42" customWidth="1"/>
    <col min="13568" max="13568" width="6.42578125" style="42" customWidth="1"/>
    <col min="13569" max="13569" width="11.5703125" style="42" customWidth="1"/>
    <col min="13570" max="13570" width="12.85546875" style="42" bestFit="1" customWidth="1"/>
    <col min="13571" max="13571" width="25.5703125" style="42" customWidth="1"/>
    <col min="13572" max="13819" width="9" style="42"/>
    <col min="13820" max="13820" width="8.7109375" style="42" customWidth="1"/>
    <col min="13821" max="13821" width="45.140625" style="42" customWidth="1"/>
    <col min="13822" max="13822" width="13.28515625" style="42" customWidth="1"/>
    <col min="13823" max="13823" width="9.42578125" style="42" customWidth="1"/>
    <col min="13824" max="13824" width="6.42578125" style="42" customWidth="1"/>
    <col min="13825" max="13825" width="11.5703125" style="42" customWidth="1"/>
    <col min="13826" max="13826" width="12.85546875" style="42" bestFit="1" customWidth="1"/>
    <col min="13827" max="13827" width="25.5703125" style="42" customWidth="1"/>
    <col min="13828" max="14075" width="9" style="42"/>
    <col min="14076" max="14076" width="8.7109375" style="42" customWidth="1"/>
    <col min="14077" max="14077" width="45.140625" style="42" customWidth="1"/>
    <col min="14078" max="14078" width="13.28515625" style="42" customWidth="1"/>
    <col min="14079" max="14079" width="9.42578125" style="42" customWidth="1"/>
    <col min="14080" max="14080" width="6.42578125" style="42" customWidth="1"/>
    <col min="14081" max="14081" width="11.5703125" style="42" customWidth="1"/>
    <col min="14082" max="14082" width="12.85546875" style="42" bestFit="1" customWidth="1"/>
    <col min="14083" max="14083" width="25.5703125" style="42" customWidth="1"/>
    <col min="14084" max="14331" width="9" style="42"/>
    <col min="14332" max="14332" width="8.7109375" style="42" customWidth="1"/>
    <col min="14333" max="14333" width="45.140625" style="42" customWidth="1"/>
    <col min="14334" max="14334" width="13.28515625" style="42" customWidth="1"/>
    <col min="14335" max="14335" width="9.42578125" style="42" customWidth="1"/>
    <col min="14336" max="14336" width="6.42578125" style="42" customWidth="1"/>
    <col min="14337" max="14337" width="11.5703125" style="42" customWidth="1"/>
    <col min="14338" max="14338" width="12.85546875" style="42" bestFit="1" customWidth="1"/>
    <col min="14339" max="14339" width="25.5703125" style="42" customWidth="1"/>
    <col min="14340" max="14587" width="9" style="42"/>
    <col min="14588" max="14588" width="8.7109375" style="42" customWidth="1"/>
    <col min="14589" max="14589" width="45.140625" style="42" customWidth="1"/>
    <col min="14590" max="14590" width="13.28515625" style="42" customWidth="1"/>
    <col min="14591" max="14591" width="9.42578125" style="42" customWidth="1"/>
    <col min="14592" max="14592" width="6.42578125" style="42" customWidth="1"/>
    <col min="14593" max="14593" width="11.5703125" style="42" customWidth="1"/>
    <col min="14594" max="14594" width="12.85546875" style="42" bestFit="1" customWidth="1"/>
    <col min="14595" max="14595" width="25.5703125" style="42" customWidth="1"/>
    <col min="14596" max="14843" width="9" style="42"/>
    <col min="14844" max="14844" width="8.7109375" style="42" customWidth="1"/>
    <col min="14845" max="14845" width="45.140625" style="42" customWidth="1"/>
    <col min="14846" max="14846" width="13.28515625" style="42" customWidth="1"/>
    <col min="14847" max="14847" width="9.42578125" style="42" customWidth="1"/>
    <col min="14848" max="14848" width="6.42578125" style="42" customWidth="1"/>
    <col min="14849" max="14849" width="11.5703125" style="42" customWidth="1"/>
    <col min="14850" max="14850" width="12.85546875" style="42" bestFit="1" customWidth="1"/>
    <col min="14851" max="14851" width="25.5703125" style="42" customWidth="1"/>
    <col min="14852" max="15099" width="9" style="42"/>
    <col min="15100" max="15100" width="8.7109375" style="42" customWidth="1"/>
    <col min="15101" max="15101" width="45.140625" style="42" customWidth="1"/>
    <col min="15102" max="15102" width="13.28515625" style="42" customWidth="1"/>
    <col min="15103" max="15103" width="9.42578125" style="42" customWidth="1"/>
    <col min="15104" max="15104" width="6.42578125" style="42" customWidth="1"/>
    <col min="15105" max="15105" width="11.5703125" style="42" customWidth="1"/>
    <col min="15106" max="15106" width="12.85546875" style="42" bestFit="1" customWidth="1"/>
    <col min="15107" max="15107" width="25.5703125" style="42" customWidth="1"/>
    <col min="15108" max="15355" width="9" style="42"/>
    <col min="15356" max="15356" width="8.7109375" style="42" customWidth="1"/>
    <col min="15357" max="15357" width="45.140625" style="42" customWidth="1"/>
    <col min="15358" max="15358" width="13.28515625" style="42" customWidth="1"/>
    <col min="15359" max="15359" width="9.42578125" style="42" customWidth="1"/>
    <col min="15360" max="15360" width="6.42578125" style="42" customWidth="1"/>
    <col min="15361" max="15361" width="11.5703125" style="42" customWidth="1"/>
    <col min="15362" max="15362" width="12.85546875" style="42" bestFit="1" customWidth="1"/>
    <col min="15363" max="15363" width="25.5703125" style="42" customWidth="1"/>
    <col min="15364" max="15611" width="9" style="42"/>
    <col min="15612" max="15612" width="8.7109375" style="42" customWidth="1"/>
    <col min="15613" max="15613" width="45.140625" style="42" customWidth="1"/>
    <col min="15614" max="15614" width="13.28515625" style="42" customWidth="1"/>
    <col min="15615" max="15615" width="9.42578125" style="42" customWidth="1"/>
    <col min="15616" max="15616" width="6.42578125" style="42" customWidth="1"/>
    <col min="15617" max="15617" width="11.5703125" style="42" customWidth="1"/>
    <col min="15618" max="15618" width="12.85546875" style="42" bestFit="1" customWidth="1"/>
    <col min="15619" max="15619" width="25.5703125" style="42" customWidth="1"/>
    <col min="15620" max="15867" width="9" style="42"/>
    <col min="15868" max="15868" width="8.7109375" style="42" customWidth="1"/>
    <col min="15869" max="15869" width="45.140625" style="42" customWidth="1"/>
    <col min="15870" max="15870" width="13.28515625" style="42" customWidth="1"/>
    <col min="15871" max="15871" width="9.42578125" style="42" customWidth="1"/>
    <col min="15872" max="15872" width="6.42578125" style="42" customWidth="1"/>
    <col min="15873" max="15873" width="11.5703125" style="42" customWidth="1"/>
    <col min="15874" max="15874" width="12.85546875" style="42" bestFit="1" customWidth="1"/>
    <col min="15875" max="15875" width="25.5703125" style="42" customWidth="1"/>
    <col min="15876" max="16123" width="9" style="42"/>
    <col min="16124" max="16124" width="8.7109375" style="42" customWidth="1"/>
    <col min="16125" max="16125" width="45.140625" style="42" customWidth="1"/>
    <col min="16126" max="16126" width="13.28515625" style="42" customWidth="1"/>
    <col min="16127" max="16127" width="9.42578125" style="42" customWidth="1"/>
    <col min="16128" max="16128" width="6.42578125" style="42" customWidth="1"/>
    <col min="16129" max="16129" width="11.5703125" style="42" customWidth="1"/>
    <col min="16130" max="16130" width="12.85546875" style="42" bestFit="1" customWidth="1"/>
    <col min="16131" max="16131" width="25.5703125" style="42" customWidth="1"/>
    <col min="16132" max="16384" width="9" style="42"/>
  </cols>
  <sheetData>
    <row r="1" spans="1:13" ht="16.5" customHeight="1"/>
    <row r="2" spans="1:13" ht="27" customHeight="1">
      <c r="A2" s="44" t="s">
        <v>73</v>
      </c>
      <c r="B2" s="44" t="str">
        <f>+'PO 1st page'!K11</f>
        <v>SAC2-DS-PO-0333</v>
      </c>
      <c r="C2" s="170" t="s">
        <v>74</v>
      </c>
      <c r="D2" s="170"/>
      <c r="E2" s="170"/>
      <c r="F2" s="170"/>
      <c r="G2" s="45"/>
      <c r="H2" s="45"/>
    </row>
    <row r="3" spans="1:13" s="51" customFormat="1" ht="28.5" customHeight="1" thickBot="1">
      <c r="A3" s="46" t="s">
        <v>75</v>
      </c>
      <c r="B3" s="47">
        <f>+'PO 1st page'!K10</f>
        <v>46186</v>
      </c>
      <c r="C3" s="48"/>
      <c r="D3" s="49"/>
      <c r="E3" s="171" t="s">
        <v>76</v>
      </c>
      <c r="F3" s="171"/>
      <c r="G3" s="171"/>
      <c r="H3" s="171"/>
      <c r="I3" s="50"/>
    </row>
    <row r="4" spans="1:13" s="52" customFormat="1" ht="28.5" customHeight="1" thickTop="1">
      <c r="A4" s="172" t="s">
        <v>77</v>
      </c>
      <c r="B4" s="174" t="s">
        <v>78</v>
      </c>
      <c r="C4" s="175"/>
      <c r="D4" s="178" t="s">
        <v>79</v>
      </c>
      <c r="E4" s="178" t="s">
        <v>80</v>
      </c>
      <c r="F4" s="180" t="str">
        <f>'PO 1st page'!C9</f>
        <v>JSAJ(Jassim Saif Amer Aljaberi Trading Est.)</v>
      </c>
      <c r="G4" s="181"/>
      <c r="H4" s="182" t="s">
        <v>81</v>
      </c>
      <c r="K4" s="53"/>
      <c r="L4" s="53"/>
      <c r="M4" s="53"/>
    </row>
    <row r="5" spans="1:13" s="52" customFormat="1" ht="21.95" customHeight="1">
      <c r="A5" s="173"/>
      <c r="B5" s="176"/>
      <c r="C5" s="177"/>
      <c r="D5" s="179"/>
      <c r="E5" s="179"/>
      <c r="F5" s="54" t="s">
        <v>82</v>
      </c>
      <c r="G5" s="54" t="s">
        <v>48</v>
      </c>
      <c r="H5" s="183"/>
      <c r="K5" s="53"/>
      <c r="L5" s="53"/>
      <c r="M5" s="53"/>
    </row>
    <row r="6" spans="1:13" s="52" customFormat="1" ht="32.1" customHeight="1">
      <c r="A6" s="82">
        <f t="shared" ref="A6:A69" si="0">ROW(A1)</f>
        <v>1</v>
      </c>
      <c r="B6" s="168" t="str">
        <f>MRS!B6&amp;" "&amp;MRS!D6</f>
        <v xml:space="preserve">Dehumidifier 20 ltr 220V </v>
      </c>
      <c r="C6" s="169"/>
      <c r="D6" s="83" t="str">
        <f>MRS!G6</f>
        <v>Nos</v>
      </c>
      <c r="E6" s="84">
        <f>MRS!H6</f>
        <v>1</v>
      </c>
      <c r="F6" s="85">
        <f>+'MRS LIST'!I6</f>
        <v>1280</v>
      </c>
      <c r="G6" s="86">
        <f>+'MRS LIST'!J6</f>
        <v>1280</v>
      </c>
      <c r="H6" s="87" t="s">
        <v>106</v>
      </c>
      <c r="K6" s="88"/>
      <c r="L6" s="89"/>
      <c r="M6" s="53"/>
    </row>
    <row r="7" spans="1:13" s="52" customFormat="1" ht="32.1" customHeight="1">
      <c r="A7" s="82">
        <f t="shared" si="0"/>
        <v>2</v>
      </c>
      <c r="B7" s="168" t="str">
        <f>MRS!B7&amp;" "&amp;MRS!D7</f>
        <v xml:space="preserve">Liquid Leak Detector 5Ltr Weicon </v>
      </c>
      <c r="C7" s="169"/>
      <c r="D7" s="83" t="str">
        <f>MRS!G7</f>
        <v>Nos</v>
      </c>
      <c r="E7" s="84">
        <f>MRS!H7</f>
        <v>40</v>
      </c>
      <c r="F7" s="85">
        <f>+'MRS LIST'!I7</f>
        <v>360</v>
      </c>
      <c r="G7" s="86">
        <f>+'MRS LIST'!J7</f>
        <v>14400</v>
      </c>
      <c r="H7" s="87"/>
      <c r="K7" s="88"/>
      <c r="L7" s="89"/>
      <c r="M7" s="53"/>
    </row>
    <row r="8" spans="1:13" s="52" customFormat="1" ht="32.1" customHeight="1">
      <c r="A8" s="90">
        <f t="shared" si="0"/>
        <v>3</v>
      </c>
      <c r="B8" s="168" t="str">
        <f>MRS!B8&amp;" "&amp;MRS!D8</f>
        <v xml:space="preserve">Rebar Cutter Bit SDS Plus 20x150x300mm Bosch </v>
      </c>
      <c r="C8" s="169"/>
      <c r="D8" s="83" t="str">
        <f>MRS!G8</f>
        <v>Nos</v>
      </c>
      <c r="E8" s="84">
        <f>MRS!H8</f>
        <v>4</v>
      </c>
      <c r="F8" s="85">
        <f>+'MRS LIST'!I8</f>
        <v>206</v>
      </c>
      <c r="G8" s="86">
        <f>+'MRS LIST'!J8</f>
        <v>824</v>
      </c>
      <c r="H8" s="87"/>
      <c r="K8" s="53"/>
      <c r="L8" s="53"/>
      <c r="M8" s="53"/>
    </row>
    <row r="9" spans="1:13" s="52" customFormat="1" ht="32.1" customHeight="1">
      <c r="A9" s="90">
        <f t="shared" si="0"/>
        <v>4</v>
      </c>
      <c r="B9" s="168" t="str">
        <f>MRS!B9&amp;" "&amp;MRS!D9</f>
        <v xml:space="preserve">Half Round File C/S 12" </v>
      </c>
      <c r="C9" s="169"/>
      <c r="D9" s="83" t="str">
        <f>MRS!G9</f>
        <v>Nos</v>
      </c>
      <c r="E9" s="84">
        <f>MRS!H9</f>
        <v>20</v>
      </c>
      <c r="F9" s="85">
        <f>+'MRS LIST'!I9</f>
        <v>10</v>
      </c>
      <c r="G9" s="86">
        <f>+'MRS LIST'!J9</f>
        <v>200</v>
      </c>
      <c r="H9" s="91"/>
    </row>
    <row r="10" spans="1:13" s="52" customFormat="1" ht="32.1" customHeight="1">
      <c r="A10" s="90">
        <f t="shared" si="0"/>
        <v>5</v>
      </c>
      <c r="B10" s="168" t="str">
        <f>MRS!B10&amp;" "&amp;MRS!D10</f>
        <v xml:space="preserve">Allen Key 8mm </v>
      </c>
      <c r="C10" s="169"/>
      <c r="D10" s="83" t="str">
        <f>MRS!G10</f>
        <v>Nos</v>
      </c>
      <c r="E10" s="84">
        <f>MRS!H10</f>
        <v>20</v>
      </c>
      <c r="F10" s="85">
        <f>+'MRS LIST'!I10</f>
        <v>7.4</v>
      </c>
      <c r="G10" s="86">
        <f>+'MRS LIST'!J10</f>
        <v>148</v>
      </c>
      <c r="H10" s="91"/>
    </row>
    <row r="11" spans="1:13" s="52" customFormat="1" ht="32.1" customHeight="1">
      <c r="A11" s="90">
        <f t="shared" si="0"/>
        <v>6</v>
      </c>
      <c r="B11" s="168" t="str">
        <f>MRS!B11&amp;" "&amp;MRS!D11</f>
        <v xml:space="preserve">Crowfoot Spanner 3/8"drive 9/16"-1" 10pcs Set </v>
      </c>
      <c r="C11" s="169"/>
      <c r="D11" s="83" t="str">
        <f>MRS!G11</f>
        <v>Nos</v>
      </c>
      <c r="E11" s="84">
        <f>MRS!H11</f>
        <v>1</v>
      </c>
      <c r="F11" s="85">
        <f>+'MRS LIST'!I11</f>
        <v>119</v>
      </c>
      <c r="G11" s="86">
        <f>+'MRS LIST'!J11</f>
        <v>119</v>
      </c>
      <c r="H11" s="91"/>
    </row>
    <row r="12" spans="1:13" s="52" customFormat="1" ht="32.1" customHeight="1">
      <c r="A12" s="90">
        <f t="shared" si="0"/>
        <v>7</v>
      </c>
      <c r="B12" s="168" t="str">
        <f>MRS!B12&amp;" "&amp;MRS!D12</f>
        <v xml:space="preserve">Ratchet Wrench 3/8" drive Dewesser Germany </v>
      </c>
      <c r="C12" s="169"/>
      <c r="D12" s="83" t="str">
        <f>MRS!G12</f>
        <v>Nos</v>
      </c>
      <c r="E12" s="84">
        <f>MRS!H12</f>
        <v>1</v>
      </c>
      <c r="F12" s="85">
        <f>+'MRS LIST'!I12</f>
        <v>32</v>
      </c>
      <c r="G12" s="86">
        <f>+'MRS LIST'!J12</f>
        <v>32</v>
      </c>
      <c r="H12" s="91"/>
    </row>
    <row r="13" spans="1:13" s="52" customFormat="1" ht="32.1" customHeight="1">
      <c r="A13" s="90">
        <f t="shared" si="0"/>
        <v>8</v>
      </c>
      <c r="B13" s="168" t="str">
        <f>MRS!B13&amp;" "&amp;MRS!D13</f>
        <v xml:space="preserve">Argon Hose Black 1/4" WP20 Bar 300PSI 100Mtr </v>
      </c>
      <c r="C13" s="169"/>
      <c r="D13" s="83" t="str">
        <f>MRS!G13</f>
        <v>Nos</v>
      </c>
      <c r="E13" s="84">
        <f>MRS!H13</f>
        <v>35</v>
      </c>
      <c r="F13" s="85">
        <f>+'MRS LIST'!I13</f>
        <v>345</v>
      </c>
      <c r="G13" s="86">
        <f>+'MRS LIST'!J13</f>
        <v>12075</v>
      </c>
      <c r="H13" s="91"/>
    </row>
    <row r="14" spans="1:13" s="52" customFormat="1" ht="32.1" customHeight="1">
      <c r="A14" s="90">
        <f t="shared" si="0"/>
        <v>9</v>
      </c>
      <c r="B14" s="168" t="str">
        <f>MRS!B14&amp;" "&amp;MRS!D14</f>
        <v xml:space="preserve">Metal Whistle </v>
      </c>
      <c r="C14" s="169"/>
      <c r="D14" s="83" t="str">
        <f>MRS!G14</f>
        <v>Nos</v>
      </c>
      <c r="E14" s="84">
        <f>MRS!H14</f>
        <v>30</v>
      </c>
      <c r="F14" s="85">
        <f>+'MRS LIST'!I14</f>
        <v>3</v>
      </c>
      <c r="G14" s="86">
        <f>+'MRS LIST'!J14</f>
        <v>90</v>
      </c>
      <c r="H14" s="91"/>
    </row>
    <row r="15" spans="1:13" s="52" customFormat="1" ht="32.1" customHeight="1">
      <c r="A15" s="90">
        <f t="shared" si="0"/>
        <v>10</v>
      </c>
      <c r="B15" s="168" t="str">
        <f>MRS!B15&amp;" "&amp;MRS!D15</f>
        <v xml:space="preserve">Gas Lens Insulator 18CG (Heat Shield 54N63) </v>
      </c>
      <c r="C15" s="169"/>
      <c r="D15" s="83" t="str">
        <f>MRS!G15</f>
        <v>Nos</v>
      </c>
      <c r="E15" s="84">
        <f>MRS!H15</f>
        <v>100</v>
      </c>
      <c r="F15" s="85">
        <f>+'MRS LIST'!I15</f>
        <v>18</v>
      </c>
      <c r="G15" s="86">
        <f>+'MRS LIST'!J15</f>
        <v>1800</v>
      </c>
      <c r="H15" s="91"/>
    </row>
    <row r="16" spans="1:13" s="52" customFormat="1" ht="32.1" customHeight="1">
      <c r="A16" s="90">
        <f t="shared" si="0"/>
        <v>11</v>
      </c>
      <c r="B16" s="168" t="str">
        <f>MRS!B16&amp;" "&amp;MRS!D16</f>
        <v xml:space="preserve">Gas Lens Insulator Cup Gasket (54N01) </v>
      </c>
      <c r="C16" s="169"/>
      <c r="D16" s="83" t="str">
        <f>MRS!G16</f>
        <v>Nos</v>
      </c>
      <c r="E16" s="84">
        <f>MRS!H16</f>
        <v>100</v>
      </c>
      <c r="F16" s="85">
        <f>+'MRS LIST'!I16</f>
        <v>16.5</v>
      </c>
      <c r="G16" s="86">
        <f>+'MRS LIST'!J16</f>
        <v>1650</v>
      </c>
      <c r="H16" s="91"/>
    </row>
    <row r="17" spans="1:8" s="52" customFormat="1" ht="32.1" customHeight="1">
      <c r="A17" s="90">
        <f t="shared" si="0"/>
        <v>12</v>
      </c>
      <c r="B17" s="168" t="str">
        <f>MRS!B17&amp;" "&amp;MRS!D17</f>
        <v xml:space="preserve">Neon Line Tester </v>
      </c>
      <c r="C17" s="169"/>
      <c r="D17" s="83" t="str">
        <f>MRS!G17</f>
        <v>Nos</v>
      </c>
      <c r="E17" s="84">
        <f>MRS!H17</f>
        <v>2</v>
      </c>
      <c r="F17" s="85">
        <f>+'MRS LIST'!I17</f>
        <v>2.5</v>
      </c>
      <c r="G17" s="86">
        <f>+'MRS LIST'!J17</f>
        <v>5</v>
      </c>
      <c r="H17" s="91"/>
    </row>
    <row r="18" spans="1:8" s="52" customFormat="1" ht="32.1" customHeight="1">
      <c r="A18" s="90">
        <f t="shared" si="0"/>
        <v>13</v>
      </c>
      <c r="B18" s="168" t="str">
        <f>MRS!B18&amp;" "&amp;MRS!D18</f>
        <v xml:space="preserve">HDPE Drum Red Color 200Ltr </v>
      </c>
      <c r="C18" s="169"/>
      <c r="D18" s="83" t="str">
        <f>MRS!G18</f>
        <v>Nos</v>
      </c>
      <c r="E18" s="84">
        <f>MRS!H18</f>
        <v>2</v>
      </c>
      <c r="F18" s="85">
        <f>+'MRS LIST'!I18</f>
        <v>145</v>
      </c>
      <c r="G18" s="86">
        <f>+'MRS LIST'!J18</f>
        <v>290</v>
      </c>
      <c r="H18" s="91"/>
    </row>
    <row r="19" spans="1:8" s="52" customFormat="1" ht="32.1" customHeight="1">
      <c r="A19" s="90">
        <f t="shared" si="0"/>
        <v>14</v>
      </c>
      <c r="B19" s="168" t="str">
        <f>MRS!B19&amp;" "&amp;MRS!D19</f>
        <v xml:space="preserve">Impact Socket Adapter 1/2"(M) x 1/4"(F) </v>
      </c>
      <c r="C19" s="169"/>
      <c r="D19" s="83" t="str">
        <f>MRS!G19</f>
        <v>Nos</v>
      </c>
      <c r="E19" s="84">
        <f>MRS!H19</f>
        <v>10</v>
      </c>
      <c r="F19" s="85">
        <f>+'MRS LIST'!I19</f>
        <v>17</v>
      </c>
      <c r="G19" s="86">
        <f>+'MRS LIST'!J19</f>
        <v>170</v>
      </c>
      <c r="H19" s="91"/>
    </row>
    <row r="20" spans="1:8" s="52" customFormat="1" ht="32.1" customHeight="1">
      <c r="A20" s="90">
        <f t="shared" si="0"/>
        <v>15</v>
      </c>
      <c r="B20" s="168" t="str">
        <f>MRS!B20&amp;" "&amp;MRS!D20</f>
        <v xml:space="preserve">Electric Air Blower 220V Hyundai </v>
      </c>
      <c r="C20" s="169"/>
      <c r="D20" s="83" t="str">
        <f>MRS!G20</f>
        <v>Nos</v>
      </c>
      <c r="E20" s="84">
        <f>MRS!H20</f>
        <v>2</v>
      </c>
      <c r="F20" s="85">
        <f>+'MRS LIST'!I20</f>
        <v>185</v>
      </c>
      <c r="G20" s="86">
        <f>+'MRS LIST'!J20</f>
        <v>370</v>
      </c>
      <c r="H20" s="91"/>
    </row>
    <row r="21" spans="1:8" s="52" customFormat="1" ht="32.1" customHeight="1">
      <c r="A21" s="90">
        <f t="shared" si="0"/>
        <v>16</v>
      </c>
      <c r="B21" s="168" t="str">
        <f>MRS!B21&amp;" "&amp;MRS!D21</f>
        <v xml:space="preserve">Inverter ARC Welding Machine 200A ARC200 Jasic </v>
      </c>
      <c r="C21" s="169"/>
      <c r="D21" s="83" t="str">
        <f>MRS!G21</f>
        <v>Nos</v>
      </c>
      <c r="E21" s="84">
        <f>MRS!H21</f>
        <v>20</v>
      </c>
      <c r="F21" s="85">
        <f>+'MRS LIST'!I21</f>
        <v>1600</v>
      </c>
      <c r="G21" s="86">
        <f>+'MRS LIST'!J21</f>
        <v>32000</v>
      </c>
      <c r="H21" s="91"/>
    </row>
    <row r="22" spans="1:8" s="52" customFormat="1" ht="32.1" customHeight="1">
      <c r="A22" s="90">
        <f t="shared" si="0"/>
        <v>17</v>
      </c>
      <c r="B22" s="168" t="str">
        <f>MRS!B22&amp;" "&amp;MRS!D22</f>
        <v xml:space="preserve">AC Gas R410A 11.6kg </v>
      </c>
      <c r="C22" s="169"/>
      <c r="D22" s="83" t="str">
        <f>MRS!G22</f>
        <v>Nos</v>
      </c>
      <c r="E22" s="84">
        <f>MRS!H22</f>
        <v>5</v>
      </c>
      <c r="F22" s="85">
        <f>+'MRS LIST'!I22</f>
        <v>612</v>
      </c>
      <c r="G22" s="86">
        <f>+'MRS LIST'!J22</f>
        <v>3060</v>
      </c>
      <c r="H22" s="91"/>
    </row>
    <row r="23" spans="1:8" s="52" customFormat="1" ht="32.1" customHeight="1">
      <c r="A23" s="90">
        <f t="shared" si="0"/>
        <v>18</v>
      </c>
      <c r="B23" s="168" t="str">
        <f>MRS!B23&amp;" "&amp;MRS!D23</f>
        <v xml:space="preserve">Low Chloride Paint Marker Blue </v>
      </c>
      <c r="C23" s="169"/>
      <c r="D23" s="83" t="str">
        <f>MRS!G23</f>
        <v>Nos</v>
      </c>
      <c r="E23" s="84">
        <f>MRS!H23</f>
        <v>700</v>
      </c>
      <c r="F23" s="85">
        <f>+'MRS LIST'!I23</f>
        <v>14.5</v>
      </c>
      <c r="G23" s="86">
        <f>+'MRS LIST'!J23</f>
        <v>10150</v>
      </c>
      <c r="H23" s="91"/>
    </row>
    <row r="24" spans="1:8" s="52" customFormat="1" ht="32.1" customHeight="1">
      <c r="A24" s="90">
        <f t="shared" si="0"/>
        <v>19</v>
      </c>
      <c r="B24" s="168" t="str">
        <f>MRS!B24&amp;" "&amp;MRS!D24</f>
        <v xml:space="preserve">Argon Regulator Set UL Listed </v>
      </c>
      <c r="C24" s="169"/>
      <c r="D24" s="83" t="str">
        <f>MRS!G24</f>
        <v>Nos</v>
      </c>
      <c r="E24" s="84">
        <f>MRS!H24</f>
        <v>50</v>
      </c>
      <c r="F24" s="85">
        <f>+'MRS LIST'!I24</f>
        <v>158</v>
      </c>
      <c r="G24" s="86">
        <f>+'MRS LIST'!J24</f>
        <v>7900</v>
      </c>
      <c r="H24" s="91"/>
    </row>
    <row r="25" spans="1:8" s="52" customFormat="1" ht="32.1" customHeight="1">
      <c r="A25" s="90">
        <f t="shared" si="0"/>
        <v>20</v>
      </c>
      <c r="B25" s="168" t="str">
        <f>MRS!B25&amp;" "&amp;MRS!D25</f>
        <v xml:space="preserve">Magnetic Split Level 230mm </v>
      </c>
      <c r="C25" s="169"/>
      <c r="D25" s="83" t="str">
        <f>MRS!G25</f>
        <v>Nos</v>
      </c>
      <c r="E25" s="84">
        <f>MRS!H25</f>
        <v>20</v>
      </c>
      <c r="F25" s="85">
        <f>+'MRS LIST'!I25</f>
        <v>9.5</v>
      </c>
      <c r="G25" s="86">
        <f>+'MRS LIST'!J25</f>
        <v>190</v>
      </c>
      <c r="H25" s="91"/>
    </row>
    <row r="26" spans="1:8" s="52" customFormat="1" ht="32.1" customHeight="1">
      <c r="A26" s="90">
        <f t="shared" si="0"/>
        <v>21</v>
      </c>
      <c r="B26" s="168" t="str">
        <f>MRS!B26&amp;" "&amp;MRS!D26</f>
        <v xml:space="preserve">S-Weld Clean Code 1100 2.5Kg </v>
      </c>
      <c r="C26" s="169"/>
      <c r="D26" s="83" t="str">
        <f>MRS!G26</f>
        <v>Nos</v>
      </c>
      <c r="E26" s="84">
        <f>MRS!H26</f>
        <v>5</v>
      </c>
      <c r="F26" s="85">
        <f>+'MRS LIST'!I26</f>
        <v>235</v>
      </c>
      <c r="G26" s="86">
        <f>+'MRS LIST'!J26</f>
        <v>1175</v>
      </c>
      <c r="H26" s="91"/>
    </row>
    <row r="27" spans="1:8" s="52" customFormat="1" ht="32.1" customHeight="1">
      <c r="A27" s="90">
        <f t="shared" si="0"/>
        <v>22</v>
      </c>
      <c r="B27" s="168" t="str">
        <f>MRS!B27&amp;" "&amp;MRS!D27</f>
        <v xml:space="preserve">S-Weld Passivator Gel Code 1130 2.5kg </v>
      </c>
      <c r="C27" s="169"/>
      <c r="D27" s="83" t="str">
        <f>MRS!G27</f>
        <v>Nos</v>
      </c>
      <c r="E27" s="84">
        <f>MRS!H27</f>
        <v>5</v>
      </c>
      <c r="F27" s="85">
        <f>+'MRS LIST'!I27</f>
        <v>235</v>
      </c>
      <c r="G27" s="86">
        <f>+'MRS LIST'!J27</f>
        <v>1175</v>
      </c>
      <c r="H27" s="91"/>
    </row>
    <row r="28" spans="1:8" s="52" customFormat="1" ht="32.1" customHeight="1">
      <c r="A28" s="90">
        <f t="shared" si="0"/>
        <v>23</v>
      </c>
      <c r="B28" s="168" t="str">
        <f>MRS!B28&amp;" "&amp;MRS!D28</f>
        <v xml:space="preserve">Cordless Angle Grinder 5" Paddle SW with 2-Battery &amp; Charger Dewalt </v>
      </c>
      <c r="C28" s="169"/>
      <c r="D28" s="83" t="str">
        <f>MRS!G28</f>
        <v>Nos</v>
      </c>
      <c r="E28" s="84">
        <f>MRS!H28</f>
        <v>2</v>
      </c>
      <c r="F28" s="85">
        <f>+'MRS LIST'!I28</f>
        <v>1842</v>
      </c>
      <c r="G28" s="86">
        <f>+'MRS LIST'!J28</f>
        <v>3684</v>
      </c>
      <c r="H28" s="91"/>
    </row>
    <row r="29" spans="1:8" s="52" customFormat="1" ht="32.1" customHeight="1">
      <c r="A29" s="90">
        <f t="shared" si="0"/>
        <v>24</v>
      </c>
      <c r="B29" s="168" t="str">
        <f>MRS!B29&amp;" "&amp;MRS!D29</f>
        <v xml:space="preserve">Cordless Impact Driver 18V 2.0Ah and Charger DCF887-D2 Dewalt </v>
      </c>
      <c r="C29" s="169"/>
      <c r="D29" s="83" t="str">
        <f>MRS!G29</f>
        <v>Nos</v>
      </c>
      <c r="E29" s="84">
        <f>MRS!H29</f>
        <v>2</v>
      </c>
      <c r="F29" s="85">
        <f>+'MRS LIST'!I29</f>
        <v>1225</v>
      </c>
      <c r="G29" s="86">
        <f>+'MRS LIST'!J29</f>
        <v>2450</v>
      </c>
      <c r="H29" s="91"/>
    </row>
    <row r="30" spans="1:8" s="52" customFormat="1" ht="32.1" customHeight="1">
      <c r="A30" s="90">
        <f t="shared" si="0"/>
        <v>25</v>
      </c>
      <c r="B30" s="168" t="str">
        <f>MRS!B30&amp;" "&amp;MRS!D30</f>
        <v xml:space="preserve">Drill Machine 16mm in Steel 1050W Boscch GBM 16-2RE </v>
      </c>
      <c r="C30" s="169"/>
      <c r="D30" s="83" t="str">
        <f>MRS!G30</f>
        <v>Nos</v>
      </c>
      <c r="E30" s="84">
        <f>MRS!H30</f>
        <v>2</v>
      </c>
      <c r="F30" s="85">
        <f>+'MRS LIST'!I30</f>
        <v>628</v>
      </c>
      <c r="G30" s="86">
        <f>+'MRS LIST'!J30</f>
        <v>1256</v>
      </c>
      <c r="H30" s="91"/>
    </row>
    <row r="31" spans="1:8" s="52" customFormat="1" ht="32.1" customHeight="1">
      <c r="A31" s="90">
        <f t="shared" si="0"/>
        <v>26</v>
      </c>
      <c r="B31" s="168" t="str">
        <f>MRS!B31&amp;" "&amp;MRS!D31</f>
        <v xml:space="preserve">Welding Glass Dark #10 </v>
      </c>
      <c r="C31" s="169"/>
      <c r="D31" s="83" t="str">
        <f>MRS!G31</f>
        <v>Nos</v>
      </c>
      <c r="E31" s="84">
        <f>MRS!H31</f>
        <v>100</v>
      </c>
      <c r="F31" s="85">
        <f>+'MRS LIST'!I31</f>
        <v>0.95</v>
      </c>
      <c r="G31" s="86">
        <f>+'MRS LIST'!J31</f>
        <v>95</v>
      </c>
      <c r="H31" s="91"/>
    </row>
    <row r="32" spans="1:8" s="52" customFormat="1" ht="32.1" customHeight="1">
      <c r="A32" s="90">
        <f t="shared" si="0"/>
        <v>27</v>
      </c>
      <c r="B32" s="168" t="str">
        <f>MRS!B32&amp;" "&amp;MRS!D32</f>
        <v xml:space="preserve">Welding Glass Dark #11 </v>
      </c>
      <c r="C32" s="169"/>
      <c r="D32" s="83" t="str">
        <f>MRS!G32</f>
        <v>Nos</v>
      </c>
      <c r="E32" s="84">
        <f>MRS!H32</f>
        <v>200</v>
      </c>
      <c r="F32" s="85">
        <f>+'MRS LIST'!I32</f>
        <v>0.95</v>
      </c>
      <c r="G32" s="86">
        <f>+'MRS LIST'!J32</f>
        <v>190</v>
      </c>
      <c r="H32" s="91"/>
    </row>
    <row r="33" spans="1:8" s="52" customFormat="1" ht="32.1" customHeight="1">
      <c r="A33" s="90">
        <f t="shared" si="0"/>
        <v>28</v>
      </c>
      <c r="B33" s="168" t="str">
        <f>MRS!B33&amp;" "&amp;MRS!D33</f>
        <v xml:space="preserve">Welding Glass Dark #12 </v>
      </c>
      <c r="C33" s="169"/>
      <c r="D33" s="83" t="str">
        <f>MRS!G33</f>
        <v>Nos</v>
      </c>
      <c r="E33" s="84">
        <f>MRS!H33</f>
        <v>100</v>
      </c>
      <c r="F33" s="85">
        <f>+'MRS LIST'!I33</f>
        <v>0.95</v>
      </c>
      <c r="G33" s="86">
        <f>+'MRS LIST'!J33</f>
        <v>95</v>
      </c>
      <c r="H33" s="91"/>
    </row>
    <row r="34" spans="1:8" s="52" customFormat="1" ht="32.1" customHeight="1">
      <c r="A34" s="90">
        <f t="shared" si="0"/>
        <v>29</v>
      </c>
      <c r="B34" s="168" t="str">
        <f>MRS!B34&amp;" "&amp;MRS!D34</f>
        <v xml:space="preserve">Tig Torch Back Cap Long (57Y02) </v>
      </c>
      <c r="C34" s="169"/>
      <c r="D34" s="83" t="str">
        <f>MRS!G34</f>
        <v>Nos</v>
      </c>
      <c r="E34" s="84">
        <f>MRS!H34</f>
        <v>100</v>
      </c>
      <c r="F34" s="85">
        <f>+'MRS LIST'!I34</f>
        <v>4.2</v>
      </c>
      <c r="G34" s="86">
        <f>+'MRS LIST'!J34</f>
        <v>420</v>
      </c>
      <c r="H34" s="91"/>
    </row>
    <row r="35" spans="1:8" s="52" customFormat="1" ht="32.1" customHeight="1">
      <c r="A35" s="90">
        <f t="shared" si="0"/>
        <v>30</v>
      </c>
      <c r="B35" s="168" t="str">
        <f>MRS!B35&amp;" "&amp;MRS!D35</f>
        <v xml:space="preserve">Tig Torch Back Cap Short (57Y04) </v>
      </c>
      <c r="C35" s="169"/>
      <c r="D35" s="83" t="str">
        <f>MRS!G35</f>
        <v>Nos</v>
      </c>
      <c r="E35" s="84">
        <f>MRS!H35</f>
        <v>100</v>
      </c>
      <c r="F35" s="85">
        <f>+'MRS LIST'!I35</f>
        <v>3.5</v>
      </c>
      <c r="G35" s="86">
        <f>+'MRS LIST'!J35</f>
        <v>350</v>
      </c>
      <c r="H35" s="91"/>
    </row>
    <row r="36" spans="1:8" s="52" customFormat="1" ht="32.1" customHeight="1">
      <c r="A36" s="90">
        <f t="shared" si="0"/>
        <v>31</v>
      </c>
      <c r="B36" s="168" t="str">
        <f>MRS!B36&amp;" "&amp;MRS!D36</f>
        <v xml:space="preserve">Tungsten Electrode 2.4mm </v>
      </c>
      <c r="C36" s="169"/>
      <c r="D36" s="83" t="str">
        <f>MRS!G36</f>
        <v>Nos</v>
      </c>
      <c r="E36" s="84">
        <f>MRS!H36</f>
        <v>500</v>
      </c>
      <c r="F36" s="85">
        <f>+'MRS LIST'!I36</f>
        <v>21</v>
      </c>
      <c r="G36" s="86">
        <f>+'MRS LIST'!J36</f>
        <v>10500</v>
      </c>
      <c r="H36" s="91"/>
    </row>
    <row r="37" spans="1:8" s="52" customFormat="1" ht="32.1" customHeight="1">
      <c r="A37" s="90">
        <f t="shared" si="0"/>
        <v>32</v>
      </c>
      <c r="B37" s="168" t="str">
        <f>MRS!B37&amp;" "&amp;MRS!D37</f>
        <v xml:space="preserve">Ceramic Nozzle 350A #6 </v>
      </c>
      <c r="C37" s="169"/>
      <c r="D37" s="83" t="str">
        <f>MRS!G37</f>
        <v>Nos</v>
      </c>
      <c r="E37" s="84">
        <f>MRS!H37</f>
        <v>500</v>
      </c>
      <c r="F37" s="85">
        <f>+'MRS LIST'!I37</f>
        <v>12</v>
      </c>
      <c r="G37" s="86">
        <f>+'MRS LIST'!J37</f>
        <v>6000</v>
      </c>
      <c r="H37" s="91"/>
    </row>
    <row r="38" spans="1:8" s="52" customFormat="1" ht="32.1" customHeight="1">
      <c r="A38" s="90">
        <f t="shared" si="0"/>
        <v>33</v>
      </c>
      <c r="B38" s="168" t="str">
        <f>MRS!B38&amp;" "&amp;MRS!D38</f>
        <v xml:space="preserve">Respirator Cartridge Filter 3M 6001 </v>
      </c>
      <c r="C38" s="169"/>
      <c r="D38" s="83" t="str">
        <f>MRS!G38</f>
        <v>Nos</v>
      </c>
      <c r="E38" s="84">
        <f>MRS!H38</f>
        <v>70</v>
      </c>
      <c r="F38" s="85">
        <f>+'MRS LIST'!I38</f>
        <v>47.5</v>
      </c>
      <c r="G38" s="86">
        <f>+'MRS LIST'!J38</f>
        <v>3325</v>
      </c>
      <c r="H38" s="91"/>
    </row>
    <row r="39" spans="1:8" s="52" customFormat="1" ht="32.1" customHeight="1">
      <c r="A39" s="90">
        <f t="shared" si="0"/>
        <v>34</v>
      </c>
      <c r="B39" s="168" t="str">
        <f>MRS!B39&amp;" "&amp;MRS!D39</f>
        <v xml:space="preserve">Argon Hose Quick Connector 15x6mm </v>
      </c>
      <c r="C39" s="169"/>
      <c r="D39" s="83" t="str">
        <f>MRS!G39</f>
        <v>Nos</v>
      </c>
      <c r="E39" s="84">
        <f>MRS!H39</f>
        <v>500</v>
      </c>
      <c r="F39" s="85">
        <f>+'MRS LIST'!I39</f>
        <v>25</v>
      </c>
      <c r="G39" s="86">
        <f>+'MRS LIST'!J39</f>
        <v>12500</v>
      </c>
      <c r="H39" s="91"/>
    </row>
    <row r="40" spans="1:8" s="52" customFormat="1" ht="32.1" customHeight="1">
      <c r="A40" s="90">
        <f t="shared" si="0"/>
        <v>35</v>
      </c>
      <c r="B40" s="168" t="str">
        <f>MRS!B40&amp;" "&amp;MRS!D40</f>
        <v xml:space="preserve">Expansion Bolt (Set Anchor) M10x70mm </v>
      </c>
      <c r="C40" s="169"/>
      <c r="D40" s="83" t="str">
        <f>MRS!G40</f>
        <v>Nos</v>
      </c>
      <c r="E40" s="84">
        <f>MRS!H40</f>
        <v>500</v>
      </c>
      <c r="F40" s="85">
        <f>+'MRS LIST'!I40</f>
        <v>1.6</v>
      </c>
      <c r="G40" s="86">
        <f>+'MRS LIST'!J40</f>
        <v>800</v>
      </c>
      <c r="H40" s="91"/>
    </row>
    <row r="41" spans="1:8" s="52" customFormat="1" ht="32.1" customHeight="1">
      <c r="A41" s="90">
        <f t="shared" si="0"/>
        <v>36</v>
      </c>
      <c r="B41" s="168" t="str">
        <f>MRS!B41&amp;" "&amp;MRS!D41</f>
        <v xml:space="preserve">PVC Flexible Conduit Black 20mmx50mtr </v>
      </c>
      <c r="C41" s="169"/>
      <c r="D41" s="83" t="str">
        <f>MRS!G41</f>
        <v>Nos</v>
      </c>
      <c r="E41" s="84">
        <f>MRS!H41</f>
        <v>40</v>
      </c>
      <c r="F41" s="85">
        <f>+'MRS LIST'!I41</f>
        <v>31</v>
      </c>
      <c r="G41" s="86">
        <f>+'MRS LIST'!J41</f>
        <v>1240</v>
      </c>
      <c r="H41" s="91"/>
    </row>
    <row r="42" spans="1:8" s="52" customFormat="1" ht="32.1" customHeight="1">
      <c r="A42" s="90">
        <f t="shared" si="0"/>
        <v>37</v>
      </c>
      <c r="B42" s="168" t="str">
        <f>MRS!B42&amp;" "&amp;MRS!D42</f>
        <v xml:space="preserve">Ball Pein Hammer 1LB </v>
      </c>
      <c r="C42" s="169"/>
      <c r="D42" s="83" t="str">
        <f>MRS!G42</f>
        <v>Nos</v>
      </c>
      <c r="E42" s="84">
        <f>MRS!H42</f>
        <v>12</v>
      </c>
      <c r="F42" s="85">
        <f>+'MRS LIST'!I42</f>
        <v>27</v>
      </c>
      <c r="G42" s="86">
        <f>+'MRS LIST'!J42</f>
        <v>324</v>
      </c>
      <c r="H42" s="91"/>
    </row>
    <row r="43" spans="1:8" s="52" customFormat="1" ht="32.1" customHeight="1">
      <c r="A43" s="90">
        <f t="shared" si="0"/>
        <v>38</v>
      </c>
      <c r="B43" s="168" t="str">
        <f>MRS!B43&amp;" "&amp;MRS!D43</f>
        <v xml:space="preserve">Earth Ground Rod 12mmx1mtr </v>
      </c>
      <c r="C43" s="169"/>
      <c r="D43" s="83" t="str">
        <f>MRS!G43</f>
        <v>Nos</v>
      </c>
      <c r="E43" s="84">
        <f>MRS!H43</f>
        <v>12</v>
      </c>
      <c r="F43" s="85">
        <f>+'MRS LIST'!I43</f>
        <v>22</v>
      </c>
      <c r="G43" s="86">
        <f>+'MRS LIST'!J43</f>
        <v>264</v>
      </c>
      <c r="H43" s="91"/>
    </row>
    <row r="44" spans="1:8" s="52" customFormat="1" ht="32.1" customHeight="1">
      <c r="A44" s="90">
        <f t="shared" si="0"/>
        <v>39</v>
      </c>
      <c r="B44" s="168" t="str">
        <f>MRS!B44&amp;" "&amp;MRS!D44</f>
        <v xml:space="preserve">Welding Earth Clamp 300A </v>
      </c>
      <c r="C44" s="169"/>
      <c r="D44" s="83" t="str">
        <f>MRS!G44</f>
        <v>Nos</v>
      </c>
      <c r="E44" s="84">
        <f>MRS!H44</f>
        <v>30</v>
      </c>
      <c r="F44" s="85">
        <f>+'MRS LIST'!I44</f>
        <v>17</v>
      </c>
      <c r="G44" s="86">
        <f>+'MRS LIST'!J44</f>
        <v>510</v>
      </c>
      <c r="H44" s="91"/>
    </row>
    <row r="45" spans="1:8" s="52" customFormat="1" ht="32.1" customHeight="1">
      <c r="A45" s="90">
        <f t="shared" si="0"/>
        <v>40</v>
      </c>
      <c r="B45" s="168" t="str">
        <f>MRS!B45&amp;" "&amp;MRS!D45</f>
        <v xml:space="preserve">Master Precision Level 0.02mm/m 200mmL Dasqua </v>
      </c>
      <c r="C45" s="169"/>
      <c r="D45" s="83" t="str">
        <f>MRS!G45</f>
        <v>Nos</v>
      </c>
      <c r="E45" s="84">
        <f>MRS!H45</f>
        <v>1</v>
      </c>
      <c r="F45" s="85">
        <f>+'MRS LIST'!I45</f>
        <v>750</v>
      </c>
      <c r="G45" s="86">
        <f>+'MRS LIST'!J45</f>
        <v>750</v>
      </c>
      <c r="H45" s="91"/>
    </row>
    <row r="46" spans="1:8" s="52" customFormat="1" ht="32.1" customHeight="1">
      <c r="A46" s="90">
        <f t="shared" si="0"/>
        <v>41</v>
      </c>
      <c r="B46" s="168" t="str">
        <f>MRS!B46&amp;" "&amp;MRS!D46</f>
        <v xml:space="preserve">Coated Plywood 4'x8'x18mm </v>
      </c>
      <c r="C46" s="169"/>
      <c r="D46" s="83" t="str">
        <f>MRS!G46</f>
        <v>Nos</v>
      </c>
      <c r="E46" s="84">
        <f>MRS!H46</f>
        <v>100</v>
      </c>
      <c r="F46" s="85">
        <f>+'MRS LIST'!I46</f>
        <v>112</v>
      </c>
      <c r="G46" s="86">
        <f>+'MRS LIST'!J46</f>
        <v>11200</v>
      </c>
      <c r="H46" s="91"/>
    </row>
    <row r="47" spans="1:8" s="52" customFormat="1" ht="32.1" customHeight="1">
      <c r="A47" s="90">
        <f t="shared" si="0"/>
        <v>42</v>
      </c>
      <c r="B47" s="168" t="str">
        <f>MRS!B47&amp;" "&amp;MRS!D47</f>
        <v xml:space="preserve">Weld Purge Oxygen Monitor PurgEye100 </v>
      </c>
      <c r="C47" s="169"/>
      <c r="D47" s="83" t="str">
        <f>MRS!G47</f>
        <v>Nos</v>
      </c>
      <c r="E47" s="84">
        <f>MRS!H47</f>
        <v>3</v>
      </c>
      <c r="F47" s="85">
        <f>+'MRS LIST'!I47</f>
        <v>3200</v>
      </c>
      <c r="G47" s="86">
        <f>+'MRS LIST'!J47</f>
        <v>9600</v>
      </c>
      <c r="H47" s="91"/>
    </row>
    <row r="48" spans="1:8" s="52" customFormat="1" ht="32.1" customHeight="1">
      <c r="A48" s="90">
        <f t="shared" si="0"/>
        <v>43</v>
      </c>
      <c r="B48" s="168" t="str">
        <f>MRS!B48&amp;" "&amp;MRS!D48</f>
        <v xml:space="preserve">Anti-Vibration Impact Gloves XL </v>
      </c>
      <c r="C48" s="169"/>
      <c r="D48" s="83" t="str">
        <f>MRS!G48</f>
        <v>Nos</v>
      </c>
      <c r="E48" s="84">
        <f>MRS!H48</f>
        <v>30</v>
      </c>
      <c r="F48" s="85">
        <f>+'MRS LIST'!I48</f>
        <v>45</v>
      </c>
      <c r="G48" s="86">
        <f>+'MRS LIST'!J48</f>
        <v>1350</v>
      </c>
      <c r="H48" s="91"/>
    </row>
    <row r="49" spans="1:8" s="52" customFormat="1" ht="32.1" customHeight="1">
      <c r="A49" s="90">
        <f t="shared" si="0"/>
        <v>44</v>
      </c>
      <c r="B49" s="168" t="str">
        <f>MRS!B49&amp;" "&amp;MRS!D49</f>
        <v xml:space="preserve">Industrial Mist Fan 26" 220V </v>
      </c>
      <c r="C49" s="169"/>
      <c r="D49" s="83" t="str">
        <f>MRS!G49</f>
        <v>Nos</v>
      </c>
      <c r="E49" s="84">
        <f>MRS!H49</f>
        <v>12</v>
      </c>
      <c r="F49" s="85">
        <f>+'MRS LIST'!I49</f>
        <v>670</v>
      </c>
      <c r="G49" s="86">
        <f>+'MRS LIST'!J49</f>
        <v>8040</v>
      </c>
      <c r="H49" s="91"/>
    </row>
    <row r="50" spans="1:8" s="52" customFormat="1" ht="32.1" customHeight="1">
      <c r="A50" s="90">
        <f t="shared" si="0"/>
        <v>45</v>
      </c>
      <c r="B50" s="168" t="str">
        <f>MRS!B50&amp;" "&amp;MRS!D50</f>
        <v xml:space="preserve">Power Cable CU/XLPE/PVC 4Cx35mm2 </v>
      </c>
      <c r="C50" s="169"/>
      <c r="D50" s="83" t="str">
        <f>MRS!G50</f>
        <v>Nos</v>
      </c>
      <c r="E50" s="84">
        <f>MRS!H50</f>
        <v>250</v>
      </c>
      <c r="F50" s="85">
        <f>+'MRS LIST'!I50</f>
        <v>94</v>
      </c>
      <c r="G50" s="86">
        <f>+'MRS LIST'!J50</f>
        <v>23500</v>
      </c>
      <c r="H50" s="91"/>
    </row>
    <row r="51" spans="1:8" s="52" customFormat="1" ht="32.1" customHeight="1">
      <c r="A51" s="90">
        <f t="shared" si="0"/>
        <v>46</v>
      </c>
      <c r="B51" s="168" t="str">
        <f>MRS!B51&amp;" "&amp;MRS!D51</f>
        <v xml:space="preserve">Pump Centrifugal 2" 18m3/h, 47mtr, 3P 220/380V 60Hz, CP680C Pedrollo Italy </v>
      </c>
      <c r="C51" s="169"/>
      <c r="D51" s="83" t="str">
        <f>MRS!G51</f>
        <v>Nos</v>
      </c>
      <c r="E51" s="84">
        <f>MRS!H51</f>
        <v>8</v>
      </c>
      <c r="F51" s="85">
        <f>+'MRS LIST'!I51</f>
        <v>3950</v>
      </c>
      <c r="G51" s="86">
        <f>+'MRS LIST'!J51</f>
        <v>31600</v>
      </c>
      <c r="H51" s="91"/>
    </row>
    <row r="52" spans="1:8" s="52" customFormat="1" ht="32.1" customHeight="1">
      <c r="A52" s="90">
        <f t="shared" si="0"/>
        <v>47</v>
      </c>
      <c r="B52" s="168" t="str">
        <f>MRS!B52&amp;" "&amp;MRS!D52</f>
        <v xml:space="preserve">Magnetic Starter QCX5-22 for 5.5Kw Pump </v>
      </c>
      <c r="C52" s="169"/>
      <c r="D52" s="83" t="str">
        <f>MRS!G52</f>
        <v>Nos</v>
      </c>
      <c r="E52" s="84">
        <f>MRS!H52</f>
        <v>8</v>
      </c>
      <c r="F52" s="85">
        <f>+'MRS LIST'!I52</f>
        <v>185</v>
      </c>
      <c r="G52" s="86">
        <f>+'MRS LIST'!J52</f>
        <v>1480</v>
      </c>
      <c r="H52" s="91"/>
    </row>
    <row r="53" spans="1:8" s="52" customFormat="1" ht="32.1" customHeight="1">
      <c r="A53" s="90">
        <f t="shared" si="0"/>
        <v>48</v>
      </c>
      <c r="B53" s="168" t="str">
        <f>MRS!B53&amp;" "&amp;MRS!D53</f>
        <v xml:space="preserve">Digital Hygrometer 3.05" LCD Doqaus </v>
      </c>
      <c r="C53" s="169"/>
      <c r="D53" s="83" t="str">
        <f>MRS!G53</f>
        <v>Nos</v>
      </c>
      <c r="E53" s="84">
        <f>MRS!H53</f>
        <v>3</v>
      </c>
      <c r="F53" s="85">
        <f>+'MRS LIST'!I53</f>
        <v>65</v>
      </c>
      <c r="G53" s="86">
        <f>+'MRS LIST'!J53</f>
        <v>195</v>
      </c>
      <c r="H53" s="91"/>
    </row>
    <row r="54" spans="1:8" s="52" customFormat="1" ht="32.1" customHeight="1">
      <c r="A54" s="90">
        <f t="shared" si="0"/>
        <v>49</v>
      </c>
      <c r="B54" s="168" t="str">
        <f>MRS!B54&amp;" "&amp;MRS!D54</f>
        <v xml:space="preserve">LED Torch Light Rechargeable GFL4658Z Geepas </v>
      </c>
      <c r="C54" s="169"/>
      <c r="D54" s="83" t="str">
        <f>MRS!G54</f>
        <v>Nos</v>
      </c>
      <c r="E54" s="84">
        <f>MRS!H54</f>
        <v>40</v>
      </c>
      <c r="F54" s="85">
        <f>+'MRS LIST'!I54</f>
        <v>48</v>
      </c>
      <c r="G54" s="86">
        <f>+'MRS LIST'!J54</f>
        <v>1920</v>
      </c>
      <c r="H54" s="91"/>
    </row>
    <row r="55" spans="1:8" s="52" customFormat="1" ht="32.1" customHeight="1">
      <c r="A55" s="90">
        <f t="shared" si="0"/>
        <v>50</v>
      </c>
      <c r="B55" s="168" t="str">
        <f>MRS!B55&amp;" "&amp;MRS!D55</f>
        <v xml:space="preserve">Hi-Lo Welding Gauge </v>
      </c>
      <c r="C55" s="169"/>
      <c r="D55" s="83" t="str">
        <f>MRS!G55</f>
        <v>Nos</v>
      </c>
      <c r="E55" s="84">
        <f>MRS!H55</f>
        <v>15</v>
      </c>
      <c r="F55" s="85">
        <f>+'MRS LIST'!I55</f>
        <v>163</v>
      </c>
      <c r="G55" s="86">
        <f>+'MRS LIST'!J55</f>
        <v>2445</v>
      </c>
      <c r="H55" s="91"/>
    </row>
    <row r="56" spans="1:8" s="52" customFormat="1" ht="32.1" customHeight="1">
      <c r="A56" s="90">
        <f t="shared" si="0"/>
        <v>51</v>
      </c>
      <c r="B56" s="168" t="str">
        <f>MRS!B56&amp;" "&amp;MRS!D56</f>
        <v xml:space="preserve">Taper Gauge 15mm </v>
      </c>
      <c r="C56" s="169"/>
      <c r="D56" s="83" t="str">
        <f>MRS!G56</f>
        <v>Nos</v>
      </c>
      <c r="E56" s="84">
        <f>MRS!H56</f>
        <v>5</v>
      </c>
      <c r="F56" s="85">
        <f>+'MRS LIST'!I56</f>
        <v>25</v>
      </c>
      <c r="G56" s="86">
        <f>+'MRS LIST'!J56</f>
        <v>125</v>
      </c>
      <c r="H56" s="91"/>
    </row>
    <row r="57" spans="1:8" s="52" customFormat="1" ht="32.1" customHeight="1">
      <c r="A57" s="90">
        <f t="shared" si="0"/>
        <v>52</v>
      </c>
      <c r="B57" s="168" t="str">
        <f>MRS!B57&amp;" "&amp;MRS!D57</f>
        <v xml:space="preserve">Pitch Gauge 4-42 tpi </v>
      </c>
      <c r="C57" s="169"/>
      <c r="D57" s="83" t="str">
        <f>MRS!G57</f>
        <v>Nos</v>
      </c>
      <c r="E57" s="84">
        <f>MRS!H57</f>
        <v>3</v>
      </c>
      <c r="F57" s="85">
        <f>+'MRS LIST'!I57</f>
        <v>98</v>
      </c>
      <c r="G57" s="86">
        <f>+'MRS LIST'!J57</f>
        <v>294</v>
      </c>
      <c r="H57" s="91"/>
    </row>
    <row r="58" spans="1:8" s="52" customFormat="1" ht="32.1" customHeight="1">
      <c r="A58" s="90">
        <f t="shared" si="0"/>
        <v>53</v>
      </c>
      <c r="B58" s="168" t="str">
        <f>MRS!B58&amp;" "&amp;MRS!D58</f>
        <v xml:space="preserve">Parts Handle Side (562211-00) for DWE4002-B5 Dewalt </v>
      </c>
      <c r="C58" s="169"/>
      <c r="D58" s="83" t="str">
        <f>MRS!G58</f>
        <v>Nos</v>
      </c>
      <c r="E58" s="84">
        <f>MRS!H58</f>
        <v>30</v>
      </c>
      <c r="F58" s="85">
        <f>+'MRS LIST'!I58</f>
        <v>11</v>
      </c>
      <c r="G58" s="86">
        <f>+'MRS LIST'!J58</f>
        <v>330</v>
      </c>
      <c r="H58" s="91"/>
    </row>
    <row r="59" spans="1:8" s="52" customFormat="1" ht="32.1" customHeight="1">
      <c r="A59" s="90">
        <f t="shared" si="0"/>
        <v>54</v>
      </c>
      <c r="B59" s="168" t="str">
        <f>MRS!B59&amp;" "&amp;MRS!D59</f>
        <v xml:space="preserve">Die Grinder 6mm 220V with Paddle Switch DWE4887N-B5 Dewalt </v>
      </c>
      <c r="C59" s="169"/>
      <c r="D59" s="83" t="str">
        <f>MRS!G59</f>
        <v>Nos</v>
      </c>
      <c r="E59" s="84">
        <f>MRS!H59</f>
        <v>150</v>
      </c>
      <c r="F59" s="85">
        <f>+'MRS LIST'!I59</f>
        <v>550</v>
      </c>
      <c r="G59" s="86">
        <f>+'MRS LIST'!J59</f>
        <v>82500</v>
      </c>
      <c r="H59" s="91"/>
    </row>
    <row r="60" spans="1:8" s="52" customFormat="1" ht="32.1" customHeight="1">
      <c r="A60" s="90">
        <f t="shared" si="0"/>
        <v>55</v>
      </c>
      <c r="B60" s="168" t="str">
        <f>MRS!B60&amp;" "&amp;MRS!D60</f>
        <v xml:space="preserve">Repair Centrifugal Pump (Coil Winding, Bearing, Seal, Assembling) </v>
      </c>
      <c r="C60" s="169"/>
      <c r="D60" s="83" t="str">
        <f>MRS!G60</f>
        <v>Nos</v>
      </c>
      <c r="E60" s="84">
        <f>MRS!H60</f>
        <v>5</v>
      </c>
      <c r="F60" s="85">
        <f>+'MRS LIST'!I60</f>
        <v>2150</v>
      </c>
      <c r="G60" s="86">
        <f>+'MRS LIST'!J60</f>
        <v>10750</v>
      </c>
      <c r="H60" s="91"/>
    </row>
    <row r="61" spans="1:8" s="52" customFormat="1" ht="32.1" customHeight="1">
      <c r="A61" s="90">
        <f t="shared" si="0"/>
        <v>56</v>
      </c>
      <c r="B61" s="168" t="str">
        <f>MRS!B61&amp;" "&amp;MRS!D61</f>
        <v xml:space="preserve">Angle Grinder 7" 220V with Paddle Switch DWE493-B5 Dewalt  </v>
      </c>
      <c r="C61" s="169"/>
      <c r="D61" s="83" t="str">
        <f>MRS!G61</f>
        <v>Nos</v>
      </c>
      <c r="E61" s="84">
        <f>MRS!H61</f>
        <v>10</v>
      </c>
      <c r="F61" s="85">
        <f>+'MRS LIST'!I61</f>
        <v>560</v>
      </c>
      <c r="G61" s="86">
        <f>+'MRS LIST'!J61</f>
        <v>5600</v>
      </c>
      <c r="H61" s="91"/>
    </row>
    <row r="62" spans="1:8" s="52" customFormat="1" ht="32.1" customHeight="1">
      <c r="A62" s="90">
        <f t="shared" si="0"/>
        <v>57</v>
      </c>
      <c r="B62" s="168" t="str">
        <f>MRS!B62&amp;" "&amp;MRS!D62</f>
        <v xml:space="preserve">Hammer Drill Machine SDS Plus GBH 2-24 DRE Bosch </v>
      </c>
      <c r="C62" s="169"/>
      <c r="D62" s="83" t="str">
        <f>MRS!G62</f>
        <v>Nos</v>
      </c>
      <c r="E62" s="84">
        <f>MRS!H62</f>
        <v>1</v>
      </c>
      <c r="F62" s="85">
        <f>+'MRS LIST'!I62</f>
        <v>887</v>
      </c>
      <c r="G62" s="86">
        <f>+'MRS LIST'!J62</f>
        <v>887</v>
      </c>
      <c r="H62" s="91"/>
    </row>
    <row r="63" spans="1:8" s="52" customFormat="1" ht="32.1" customHeight="1">
      <c r="A63" s="90">
        <f t="shared" si="0"/>
        <v>58</v>
      </c>
      <c r="B63" s="168" t="str">
        <f>MRS!B63&amp;" "&amp;MRS!D63</f>
        <v xml:space="preserve">Drill Machine 13mm in Steel HP1604K Makita </v>
      </c>
      <c r="C63" s="169"/>
      <c r="D63" s="83" t="str">
        <f>MRS!G63</f>
        <v>Nos</v>
      </c>
      <c r="E63" s="84">
        <f>MRS!H63</f>
        <v>10</v>
      </c>
      <c r="F63" s="85">
        <f>+'MRS LIST'!I63</f>
        <v>438</v>
      </c>
      <c r="G63" s="86">
        <f>+'MRS LIST'!J63</f>
        <v>4380</v>
      </c>
      <c r="H63" s="91"/>
    </row>
    <row r="64" spans="1:8" s="52" customFormat="1" ht="32.1" customHeight="1">
      <c r="A64" s="90">
        <f t="shared" si="0"/>
        <v>59</v>
      </c>
      <c r="B64" s="168" t="str">
        <f>MRS!B64&amp;" "&amp;MRS!D64</f>
        <v xml:space="preserve">Safety Full Body Harness with Double Lanyard </v>
      </c>
      <c r="C64" s="169"/>
      <c r="D64" s="83" t="str">
        <f>MRS!G64</f>
        <v>Nos</v>
      </c>
      <c r="E64" s="84">
        <f>MRS!H64</f>
        <v>200</v>
      </c>
      <c r="F64" s="85">
        <f>+'MRS LIST'!I64</f>
        <v>89</v>
      </c>
      <c r="G64" s="86">
        <f>+'MRS LIST'!J64</f>
        <v>17800</v>
      </c>
      <c r="H64" s="91"/>
    </row>
    <row r="65" spans="1:8" s="52" customFormat="1" ht="32.1" customHeight="1">
      <c r="A65" s="90">
        <f t="shared" si="0"/>
        <v>60</v>
      </c>
      <c r="B65" s="168" t="str">
        <f>MRS!B65&amp;" "&amp;MRS!D65</f>
        <v xml:space="preserve">Suspension Trauma Strap </v>
      </c>
      <c r="C65" s="169"/>
      <c r="D65" s="83" t="str">
        <f>MRS!G65</f>
        <v>Nos</v>
      </c>
      <c r="E65" s="84">
        <f>MRS!H65</f>
        <v>260</v>
      </c>
      <c r="F65" s="85">
        <f>+'MRS LIST'!I65</f>
        <v>12.8</v>
      </c>
      <c r="G65" s="86">
        <f>+'MRS LIST'!J65</f>
        <v>3328</v>
      </c>
      <c r="H65" s="91"/>
    </row>
    <row r="66" spans="1:8" s="52" customFormat="1" ht="32.1" customHeight="1">
      <c r="A66" s="90">
        <f t="shared" si="0"/>
        <v>61</v>
      </c>
      <c r="B66" s="168" t="str">
        <f>MRS!B66&amp;" "&amp;MRS!D66</f>
        <v xml:space="preserve">Electric Insulation Tape Black </v>
      </c>
      <c r="C66" s="169"/>
      <c r="D66" s="83" t="str">
        <f>MRS!G66</f>
        <v>Nos</v>
      </c>
      <c r="E66" s="84">
        <f>MRS!H66</f>
        <v>100</v>
      </c>
      <c r="F66" s="85">
        <f>+'MRS LIST'!I66</f>
        <v>2</v>
      </c>
      <c r="G66" s="86">
        <f>+'MRS LIST'!J66</f>
        <v>200</v>
      </c>
      <c r="H66" s="91"/>
    </row>
    <row r="67" spans="1:8" s="52" customFormat="1" ht="32.1" customHeight="1">
      <c r="A67" s="90">
        <f t="shared" si="0"/>
        <v>62</v>
      </c>
      <c r="B67" s="168" t="str">
        <f>MRS!B67&amp;" "&amp;MRS!D67</f>
        <v xml:space="preserve">Teflon Tape 19mm x 40yard </v>
      </c>
      <c r="C67" s="169"/>
      <c r="D67" s="83" t="str">
        <f>MRS!G67</f>
        <v>Nos</v>
      </c>
      <c r="E67" s="84">
        <f>MRS!H67</f>
        <v>900</v>
      </c>
      <c r="F67" s="85">
        <f>+'MRS LIST'!I67</f>
        <v>1.8</v>
      </c>
      <c r="G67" s="86">
        <f>+'MRS LIST'!J67</f>
        <v>1620</v>
      </c>
      <c r="H67" s="91"/>
    </row>
    <row r="68" spans="1:8" s="52" customFormat="1" ht="32.1" customHeight="1">
      <c r="A68" s="90">
        <f t="shared" si="0"/>
        <v>63</v>
      </c>
      <c r="B68" s="168" t="str">
        <f>MRS!B68&amp;" "&amp;MRS!D68</f>
        <v xml:space="preserve">Zinc Spray Paint </v>
      </c>
      <c r="C68" s="169"/>
      <c r="D68" s="83" t="str">
        <f>MRS!G68</f>
        <v>Nos</v>
      </c>
      <c r="E68" s="84">
        <f>MRS!H68</f>
        <v>100</v>
      </c>
      <c r="F68" s="85">
        <f>+'MRS LIST'!I68</f>
        <v>35</v>
      </c>
      <c r="G68" s="86">
        <f>+'MRS LIST'!J68</f>
        <v>3500</v>
      </c>
      <c r="H68" s="91"/>
    </row>
    <row r="69" spans="1:8" s="52" customFormat="1" ht="32.1" customHeight="1">
      <c r="A69" s="90">
        <f t="shared" si="0"/>
        <v>64</v>
      </c>
      <c r="B69" s="168" t="str">
        <f>MRS!B69&amp;" "&amp;MRS!D69</f>
        <v xml:space="preserve">Tig Collet Body 250A 2.4mm </v>
      </c>
      <c r="C69" s="169"/>
      <c r="D69" s="83" t="str">
        <f>MRS!G69</f>
        <v>Nos</v>
      </c>
      <c r="E69" s="84">
        <f>MRS!H69</f>
        <v>130</v>
      </c>
      <c r="F69" s="85">
        <f>+'MRS LIST'!I69</f>
        <v>13</v>
      </c>
      <c r="G69" s="86">
        <f>+'MRS LIST'!J69</f>
        <v>1690</v>
      </c>
      <c r="H69" s="91"/>
    </row>
    <row r="70" spans="1:8" s="52" customFormat="1" ht="32.1" customHeight="1">
      <c r="A70" s="90">
        <f t="shared" ref="A70:A133" si="1">ROW(A65)</f>
        <v>65</v>
      </c>
      <c r="B70" s="168" t="str">
        <f>MRS!B70&amp;" "&amp;MRS!D70</f>
        <v xml:space="preserve">Tig Collet Pin 350A 2.4mm </v>
      </c>
      <c r="C70" s="169"/>
      <c r="D70" s="83" t="str">
        <f>MRS!G70</f>
        <v>Nos</v>
      </c>
      <c r="E70" s="84">
        <f>MRS!H70</f>
        <v>260</v>
      </c>
      <c r="F70" s="85">
        <f>+'MRS LIST'!I70</f>
        <v>5.9</v>
      </c>
      <c r="G70" s="86">
        <f>+'MRS LIST'!J70</f>
        <v>1534</v>
      </c>
      <c r="H70" s="91"/>
    </row>
    <row r="71" spans="1:8" s="52" customFormat="1" ht="32.1" customHeight="1">
      <c r="A71" s="90">
        <f t="shared" si="1"/>
        <v>66</v>
      </c>
      <c r="B71" s="168" t="str">
        <f>MRS!B71&amp;" "&amp;MRS!D71</f>
        <v xml:space="preserve">Tungsten Electrode 2.4mm </v>
      </c>
      <c r="C71" s="169"/>
      <c r="D71" s="83" t="str">
        <f>MRS!G71</f>
        <v>Nos</v>
      </c>
      <c r="E71" s="84">
        <f>MRS!H71</f>
        <v>520</v>
      </c>
      <c r="F71" s="85">
        <f>+'MRS LIST'!I71</f>
        <v>21</v>
      </c>
      <c r="G71" s="86">
        <f>+'MRS LIST'!J71</f>
        <v>10920</v>
      </c>
      <c r="H71" s="91"/>
    </row>
    <row r="72" spans="1:8" s="52" customFormat="1" ht="32.1" customHeight="1">
      <c r="A72" s="90">
        <f t="shared" si="1"/>
        <v>67</v>
      </c>
      <c r="B72" s="168" t="str">
        <f>MRS!B72&amp;" "&amp;MRS!D72</f>
        <v xml:space="preserve">Tungsten Electrode 3.2mm </v>
      </c>
      <c r="C72" s="169"/>
      <c r="D72" s="83" t="str">
        <f>MRS!G72</f>
        <v>Nos</v>
      </c>
      <c r="E72" s="84">
        <f>MRS!H72</f>
        <v>520</v>
      </c>
      <c r="F72" s="85">
        <f>+'MRS LIST'!I72</f>
        <v>25</v>
      </c>
      <c r="G72" s="86">
        <f>+'MRS LIST'!J72</f>
        <v>13000</v>
      </c>
      <c r="H72" s="91"/>
    </row>
    <row r="73" spans="1:8" s="52" customFormat="1" ht="32.1" customHeight="1">
      <c r="A73" s="90">
        <f t="shared" si="1"/>
        <v>68</v>
      </c>
      <c r="B73" s="168" t="str">
        <f>MRS!B73&amp;" "&amp;MRS!D73</f>
        <v xml:space="preserve">Loctite 567 50ml </v>
      </c>
      <c r="C73" s="169"/>
      <c r="D73" s="83" t="str">
        <f>MRS!G73</f>
        <v>Nos</v>
      </c>
      <c r="E73" s="84">
        <f>MRS!H73</f>
        <v>500</v>
      </c>
      <c r="F73" s="85">
        <f>+'MRS LIST'!I73</f>
        <v>98</v>
      </c>
      <c r="G73" s="86">
        <f>+'MRS LIST'!J73</f>
        <v>49000</v>
      </c>
      <c r="H73" s="91"/>
    </row>
    <row r="74" spans="1:8" s="52" customFormat="1" ht="32.1" customHeight="1">
      <c r="A74" s="90">
        <f t="shared" si="1"/>
        <v>69</v>
      </c>
      <c r="B74" s="168" t="str">
        <f>MRS!B74&amp;" "&amp;MRS!D74</f>
        <v xml:space="preserve">Infrared Thermometer Extech IR267 </v>
      </c>
      <c r="C74" s="169"/>
      <c r="D74" s="83" t="str">
        <f>MRS!G74</f>
        <v>Nos</v>
      </c>
      <c r="E74" s="84">
        <f>MRS!H74</f>
        <v>2</v>
      </c>
      <c r="F74" s="85">
        <f>+'MRS LIST'!I74</f>
        <v>480</v>
      </c>
      <c r="G74" s="86">
        <f>+'MRS LIST'!J74</f>
        <v>960</v>
      </c>
      <c r="H74" s="91"/>
    </row>
    <row r="75" spans="1:8" s="52" customFormat="1" ht="32.1" customHeight="1">
      <c r="A75" s="90">
        <f t="shared" si="1"/>
        <v>70</v>
      </c>
      <c r="B75" s="168" t="str">
        <f>MRS!B75&amp;" "&amp;MRS!D75</f>
        <v xml:space="preserve">Magnetic Stand 7033-10 Mitutoyo </v>
      </c>
      <c r="C75" s="169"/>
      <c r="D75" s="83" t="str">
        <f>MRS!G75</f>
        <v>Nos</v>
      </c>
      <c r="E75" s="84">
        <f>MRS!H75</f>
        <v>4</v>
      </c>
      <c r="F75" s="85">
        <f>+'MRS LIST'!I75</f>
        <v>2100</v>
      </c>
      <c r="G75" s="86">
        <f>+'MRS LIST'!J75</f>
        <v>8400</v>
      </c>
      <c r="H75" s="91"/>
    </row>
    <row r="76" spans="1:8" s="52" customFormat="1" ht="32.1" customHeight="1">
      <c r="A76" s="90">
        <f t="shared" si="1"/>
        <v>71</v>
      </c>
      <c r="B76" s="168" t="str">
        <f>MRS!B76&amp;" "&amp;MRS!D76</f>
        <v xml:space="preserve">Ring Hammer Wrench 50mm </v>
      </c>
      <c r="C76" s="169"/>
      <c r="D76" s="83" t="str">
        <f>MRS!G76</f>
        <v>Nos</v>
      </c>
      <c r="E76" s="84">
        <f>MRS!H76</f>
        <v>5</v>
      </c>
      <c r="F76" s="85">
        <f>+'MRS LIST'!I76</f>
        <v>110</v>
      </c>
      <c r="G76" s="86">
        <f>+'MRS LIST'!J76</f>
        <v>550</v>
      </c>
      <c r="H76" s="91"/>
    </row>
    <row r="77" spans="1:8" s="52" customFormat="1" ht="32.1" customHeight="1">
      <c r="A77" s="90">
        <f t="shared" si="1"/>
        <v>72</v>
      </c>
      <c r="B77" s="168" t="str">
        <f>MRS!B77&amp;" "&amp;MRS!D77</f>
        <v xml:space="preserve">Hacksaw Frame 12" </v>
      </c>
      <c r="C77" s="169"/>
      <c r="D77" s="83" t="str">
        <f>MRS!G77</f>
        <v>Nos</v>
      </c>
      <c r="E77" s="84">
        <f>MRS!H77</f>
        <v>5</v>
      </c>
      <c r="F77" s="85">
        <f>+'MRS LIST'!I77</f>
        <v>11</v>
      </c>
      <c r="G77" s="86">
        <f>+'MRS LIST'!J77</f>
        <v>55</v>
      </c>
      <c r="H77" s="91"/>
    </row>
    <row r="78" spans="1:8" s="52" customFormat="1" ht="32.1" customHeight="1">
      <c r="A78" s="90">
        <f t="shared" si="1"/>
        <v>73</v>
      </c>
      <c r="B78" s="168" t="str">
        <f>MRS!B78&amp;" "&amp;MRS!D78</f>
        <v xml:space="preserve">Ratchet Wrench with Socket 1/2" drive 21-24mm </v>
      </c>
      <c r="C78" s="169"/>
      <c r="D78" s="83" t="str">
        <f>MRS!G78</f>
        <v>Nos</v>
      </c>
      <c r="E78" s="84">
        <f>MRS!H78</f>
        <v>5</v>
      </c>
      <c r="F78" s="85">
        <f>+'MRS LIST'!I78</f>
        <v>32</v>
      </c>
      <c r="G78" s="86">
        <f>+'MRS LIST'!J78</f>
        <v>160</v>
      </c>
      <c r="H78" s="91"/>
    </row>
    <row r="79" spans="1:8" s="52" customFormat="1" ht="32.1" customHeight="1">
      <c r="A79" s="90">
        <f t="shared" si="1"/>
        <v>74</v>
      </c>
      <c r="B79" s="168" t="str">
        <f>MRS!B79&amp;" "&amp;MRS!D79</f>
        <v xml:space="preserve">Hand Soap Liquid 5ltr </v>
      </c>
      <c r="C79" s="169"/>
      <c r="D79" s="83" t="str">
        <f>MRS!G79</f>
        <v>Nos</v>
      </c>
      <c r="E79" s="84">
        <f>MRS!H79</f>
        <v>1</v>
      </c>
      <c r="F79" s="85">
        <f>+'MRS LIST'!I79</f>
        <v>35</v>
      </c>
      <c r="G79" s="86">
        <f>+'MRS LIST'!J79</f>
        <v>35</v>
      </c>
      <c r="H79" s="91"/>
    </row>
    <row r="80" spans="1:8" s="52" customFormat="1" ht="32.1" customHeight="1">
      <c r="A80" s="90">
        <f t="shared" si="1"/>
        <v>75</v>
      </c>
      <c r="B80" s="168" t="str">
        <f>MRS!B80&amp;" "&amp;MRS!D80</f>
        <v xml:space="preserve">Split A/C 1.5Ton Heat &amp; Cooling Inverter Zamil </v>
      </c>
      <c r="C80" s="169"/>
      <c r="D80" s="83" t="str">
        <f>MRS!G80</f>
        <v>Nos</v>
      </c>
      <c r="E80" s="84">
        <f>MRS!H80</f>
        <v>1</v>
      </c>
      <c r="F80" s="85">
        <f>+'MRS LIST'!I80</f>
        <v>2240</v>
      </c>
      <c r="G80" s="86">
        <f>+'MRS LIST'!J80</f>
        <v>2240</v>
      </c>
      <c r="H80" s="91"/>
    </row>
    <row r="81" spans="1:8" s="52" customFormat="1" ht="32.1" customHeight="1">
      <c r="A81" s="90">
        <f t="shared" si="1"/>
        <v>76</v>
      </c>
      <c r="B81" s="168" t="str">
        <f>MRS!B81&amp;" "&amp;MRS!D81</f>
        <v xml:space="preserve">Insulation Copper Pipe 1/4" x 15mtr </v>
      </c>
      <c r="C81" s="169"/>
      <c r="D81" s="83" t="str">
        <f>MRS!G81</f>
        <v>Nos</v>
      </c>
      <c r="E81" s="84">
        <f>MRS!H81</f>
        <v>3</v>
      </c>
      <c r="F81" s="85">
        <f>+'MRS LIST'!I81</f>
        <v>12</v>
      </c>
      <c r="G81" s="86">
        <f>+'MRS LIST'!J81</f>
        <v>36</v>
      </c>
      <c r="H81" s="91"/>
    </row>
    <row r="82" spans="1:8" s="52" customFormat="1" ht="32.1" customHeight="1">
      <c r="A82" s="90">
        <f t="shared" si="1"/>
        <v>77</v>
      </c>
      <c r="B82" s="168" t="str">
        <f>MRS!B82&amp;" "&amp;MRS!D82</f>
        <v xml:space="preserve">Rubber Gloves XL Heavy Duty Sun </v>
      </c>
      <c r="C82" s="169"/>
      <c r="D82" s="83" t="str">
        <f>MRS!G82</f>
        <v>Nos</v>
      </c>
      <c r="E82" s="84">
        <f>MRS!H82</f>
        <v>400</v>
      </c>
      <c r="F82" s="85">
        <f>+'MRS LIST'!I82</f>
        <v>2.5</v>
      </c>
      <c r="G82" s="86">
        <f>+'MRS LIST'!J82</f>
        <v>1000</v>
      </c>
      <c r="H82" s="91"/>
    </row>
    <row r="83" spans="1:8" s="52" customFormat="1" ht="32.1" customHeight="1">
      <c r="A83" s="90">
        <f t="shared" si="1"/>
        <v>78</v>
      </c>
      <c r="B83" s="168" t="str">
        <f>MRS!B83&amp;" "&amp;MRS!D83</f>
        <v xml:space="preserve">Circular Saw Machine 9" 220V GKS9 Bosch </v>
      </c>
      <c r="C83" s="169"/>
      <c r="D83" s="83" t="str">
        <f>MRS!G83</f>
        <v>Nos</v>
      </c>
      <c r="E83" s="84">
        <f>MRS!H83</f>
        <v>10</v>
      </c>
      <c r="F83" s="85">
        <f>+'MRS LIST'!I83</f>
        <v>820</v>
      </c>
      <c r="G83" s="86">
        <f>+'MRS LIST'!J83</f>
        <v>8200</v>
      </c>
      <c r="H83" s="91"/>
    </row>
    <row r="84" spans="1:8" s="52" customFormat="1" ht="32.1" customHeight="1">
      <c r="A84" s="90">
        <f t="shared" si="1"/>
        <v>79</v>
      </c>
      <c r="B84" s="168" t="str">
        <f>MRS!B84&amp;" "&amp;MRS!D84</f>
        <v xml:space="preserve">High Pressure Washer 130Bar 1900W K4 Karcher </v>
      </c>
      <c r="C84" s="169"/>
      <c r="D84" s="83" t="str">
        <f>MRS!G84</f>
        <v>Nos</v>
      </c>
      <c r="E84" s="84">
        <f>MRS!H84</f>
        <v>1</v>
      </c>
      <c r="F84" s="85">
        <f>+'MRS LIST'!I84</f>
        <v>1880</v>
      </c>
      <c r="G84" s="86">
        <f>+'MRS LIST'!J84</f>
        <v>1880</v>
      </c>
      <c r="H84" s="91"/>
    </row>
    <row r="85" spans="1:8" s="52" customFormat="1" ht="32.1" customHeight="1">
      <c r="A85" s="90">
        <f t="shared" si="1"/>
        <v>80</v>
      </c>
      <c r="B85" s="168" t="str">
        <f>MRS!B85&amp;" "&amp;MRS!D85</f>
        <v xml:space="preserve">Cutting Disc S/S 4"x1mm Maks </v>
      </c>
      <c r="C85" s="169"/>
      <c r="D85" s="83" t="str">
        <f>MRS!G85</f>
        <v>Nos</v>
      </c>
      <c r="E85" s="84">
        <f>MRS!H85</f>
        <v>8000</v>
      </c>
      <c r="F85" s="85">
        <f>+'MRS LIST'!I85</f>
        <v>1.5</v>
      </c>
      <c r="G85" s="86">
        <f>+'MRS LIST'!J85</f>
        <v>12000</v>
      </c>
      <c r="H85" s="91"/>
    </row>
    <row r="86" spans="1:8" s="52" customFormat="1" ht="32.1" customHeight="1">
      <c r="A86" s="90">
        <f t="shared" si="1"/>
        <v>81</v>
      </c>
      <c r="B86" s="168" t="str">
        <f>MRS!B86&amp;" "&amp;MRS!D86</f>
        <v xml:space="preserve">Digital Single Input Thermometer (Contact Pyrometer) EA11 Extech </v>
      </c>
      <c r="C86" s="169"/>
      <c r="D86" s="83" t="str">
        <f>MRS!G86</f>
        <v>Nos</v>
      </c>
      <c r="E86" s="84">
        <f>MRS!H86</f>
        <v>1</v>
      </c>
      <c r="F86" s="85">
        <f>+'MRS LIST'!I86</f>
        <v>680</v>
      </c>
      <c r="G86" s="86">
        <f>+'MRS LIST'!J86</f>
        <v>680</v>
      </c>
      <c r="H86" s="91"/>
    </row>
    <row r="87" spans="1:8" s="52" customFormat="1" ht="32.1" customHeight="1">
      <c r="A87" s="90">
        <f t="shared" si="1"/>
        <v>82</v>
      </c>
      <c r="B87" s="168" t="str">
        <f>MRS!B87&amp;" "&amp;MRS!D87</f>
        <v xml:space="preserve">Paint Scraper 4" </v>
      </c>
      <c r="C87" s="169"/>
      <c r="D87" s="83" t="str">
        <f>MRS!G87</f>
        <v>Nos</v>
      </c>
      <c r="E87" s="84">
        <f>MRS!H87</f>
        <v>10</v>
      </c>
      <c r="F87" s="85">
        <f>+'MRS LIST'!I87</f>
        <v>5</v>
      </c>
      <c r="G87" s="86">
        <f>+'MRS LIST'!J87</f>
        <v>50</v>
      </c>
      <c r="H87" s="91"/>
    </row>
    <row r="88" spans="1:8" s="52" customFormat="1" ht="32.1" customHeight="1">
      <c r="A88" s="90">
        <f t="shared" si="1"/>
        <v>83</v>
      </c>
      <c r="B88" s="168" t="str">
        <f>MRS!B88&amp;" "&amp;MRS!D88</f>
        <v xml:space="preserve">Jigsaw Blade 105mm B-10 Makita </v>
      </c>
      <c r="C88" s="169"/>
      <c r="D88" s="83" t="str">
        <f>MRS!G88</f>
        <v>Nos</v>
      </c>
      <c r="E88" s="84">
        <f>MRS!H88</f>
        <v>15</v>
      </c>
      <c r="F88" s="85">
        <f>+'MRS LIST'!I88</f>
        <v>4.5999999999999996</v>
      </c>
      <c r="G88" s="86">
        <f>+'MRS LIST'!J88</f>
        <v>69</v>
      </c>
      <c r="H88" s="91"/>
    </row>
    <row r="89" spans="1:8" s="52" customFormat="1" ht="32.1" customHeight="1">
      <c r="A89" s="90">
        <f t="shared" si="1"/>
        <v>84</v>
      </c>
      <c r="B89" s="168" t="str">
        <f>MRS!B89&amp;" "&amp;MRS!D89</f>
        <v xml:space="preserve">Spray Paint Blue Asmaco </v>
      </c>
      <c r="C89" s="169"/>
      <c r="D89" s="83" t="str">
        <f>MRS!G89</f>
        <v>Nos</v>
      </c>
      <c r="E89" s="84">
        <f>MRS!H89</f>
        <v>50</v>
      </c>
      <c r="F89" s="85">
        <f>+'MRS LIST'!I89</f>
        <v>4</v>
      </c>
      <c r="G89" s="86">
        <f>+'MRS LIST'!J89</f>
        <v>200</v>
      </c>
      <c r="H89" s="91"/>
    </row>
    <row r="90" spans="1:8" s="52" customFormat="1" ht="32.1" customHeight="1">
      <c r="A90" s="90">
        <f t="shared" si="1"/>
        <v>85</v>
      </c>
      <c r="B90" s="168" t="str">
        <f>MRS!B90&amp;" "&amp;MRS!D90</f>
        <v xml:space="preserve">Hi Stick Spray Paint Rust Resistant Black </v>
      </c>
      <c r="C90" s="169"/>
      <c r="D90" s="83" t="str">
        <f>MRS!G90</f>
        <v>Nos</v>
      </c>
      <c r="E90" s="84">
        <f>MRS!H90</f>
        <v>30</v>
      </c>
      <c r="F90" s="85">
        <f>+'MRS LIST'!I90</f>
        <v>4.5999999999999996</v>
      </c>
      <c r="G90" s="86">
        <f>+'MRS LIST'!J90</f>
        <v>138</v>
      </c>
      <c r="H90" s="91"/>
    </row>
    <row r="91" spans="1:8" s="52" customFormat="1" ht="32.1" customHeight="1">
      <c r="A91" s="90">
        <f t="shared" si="1"/>
        <v>86</v>
      </c>
      <c r="B91" s="168" t="str">
        <f>MRS!B91&amp;" "&amp;MRS!D91</f>
        <v xml:space="preserve">Rubber Chemical Gloves XL Heavy Duty Red Color </v>
      </c>
      <c r="C91" s="169"/>
      <c r="D91" s="83" t="str">
        <f>MRS!G91</f>
        <v>Nos</v>
      </c>
      <c r="E91" s="84">
        <f>MRS!H91</f>
        <v>150</v>
      </c>
      <c r="F91" s="85">
        <f>+'MRS LIST'!I91</f>
        <v>4.5</v>
      </c>
      <c r="G91" s="86">
        <f>+'MRS LIST'!J91</f>
        <v>675</v>
      </c>
      <c r="H91" s="91"/>
    </row>
    <row r="92" spans="1:8" s="52" customFormat="1" ht="32.1" customHeight="1">
      <c r="A92" s="90">
        <f t="shared" si="1"/>
        <v>87</v>
      </c>
      <c r="B92" s="168" t="str">
        <f>MRS!B92&amp;" "&amp;MRS!D92</f>
        <v xml:space="preserve">Cable Tie 3.6mmx150mm White (100ea/pkt) </v>
      </c>
      <c r="C92" s="169"/>
      <c r="D92" s="83" t="str">
        <f>MRS!G92</f>
        <v>Nos</v>
      </c>
      <c r="E92" s="84">
        <f>MRS!H92</f>
        <v>700</v>
      </c>
      <c r="F92" s="85">
        <f>+'MRS LIST'!I92</f>
        <v>6</v>
      </c>
      <c r="G92" s="86">
        <f>+'MRS LIST'!J92</f>
        <v>4200</v>
      </c>
      <c r="H92" s="91"/>
    </row>
    <row r="93" spans="1:8" s="52" customFormat="1" ht="32.1" customHeight="1">
      <c r="A93" s="90">
        <f t="shared" si="1"/>
        <v>88</v>
      </c>
      <c r="B93" s="168" t="str">
        <f>MRS!B93&amp;" "&amp;MRS!D93</f>
        <v xml:space="preserve">Cable Tie 4.8mmx300mm White (100ea/pkt) </v>
      </c>
      <c r="C93" s="169"/>
      <c r="D93" s="83" t="str">
        <f>MRS!G93</f>
        <v>Nos</v>
      </c>
      <c r="E93" s="84">
        <f>MRS!H93</f>
        <v>700</v>
      </c>
      <c r="F93" s="85">
        <f>+'MRS LIST'!I93</f>
        <v>13</v>
      </c>
      <c r="G93" s="86">
        <f>+'MRS LIST'!J93</f>
        <v>9100</v>
      </c>
      <c r="H93" s="91"/>
    </row>
    <row r="94" spans="1:8" s="52" customFormat="1" ht="32.1" customHeight="1">
      <c r="A94" s="90">
        <f t="shared" si="1"/>
        <v>89</v>
      </c>
      <c r="B94" s="168" t="str">
        <f>MRS!B94&amp;" "&amp;MRS!D94</f>
        <v xml:space="preserve">Adjustable Wrench 200mm </v>
      </c>
      <c r="C94" s="169"/>
      <c r="D94" s="83" t="str">
        <f>MRS!G94</f>
        <v>Nos</v>
      </c>
      <c r="E94" s="84">
        <f>MRS!H94</f>
        <v>10</v>
      </c>
      <c r="F94" s="85">
        <f>+'MRS LIST'!I94</f>
        <v>21</v>
      </c>
      <c r="G94" s="86">
        <f>+'MRS LIST'!J94</f>
        <v>210</v>
      </c>
      <c r="H94" s="91"/>
    </row>
    <row r="95" spans="1:8" s="52" customFormat="1" ht="32.1" customHeight="1">
      <c r="A95" s="90">
        <f t="shared" si="1"/>
        <v>90</v>
      </c>
      <c r="B95" s="168" t="str">
        <f>MRS!B95&amp;" "&amp;MRS!D95</f>
        <v xml:space="preserve">Combination Spanner 10mm </v>
      </c>
      <c r="C95" s="169"/>
      <c r="D95" s="83" t="str">
        <f>MRS!G95</f>
        <v>Nos</v>
      </c>
      <c r="E95" s="84">
        <f>MRS!H95</f>
        <v>10</v>
      </c>
      <c r="F95" s="85">
        <f>+'MRS LIST'!I95</f>
        <v>6</v>
      </c>
      <c r="G95" s="86">
        <f>+'MRS LIST'!J95</f>
        <v>60</v>
      </c>
      <c r="H95" s="91"/>
    </row>
    <row r="96" spans="1:8" s="52" customFormat="1" ht="32.1" customHeight="1">
      <c r="A96" s="90">
        <f t="shared" si="1"/>
        <v>91</v>
      </c>
      <c r="B96" s="168" t="str">
        <f>MRS!B96&amp;" "&amp;MRS!D96</f>
        <v xml:space="preserve">Combination Spanner 12mm </v>
      </c>
      <c r="C96" s="169"/>
      <c r="D96" s="83" t="str">
        <f>MRS!G96</f>
        <v>Nos</v>
      </c>
      <c r="E96" s="84">
        <f>MRS!H96</f>
        <v>10</v>
      </c>
      <c r="F96" s="85">
        <f>+'MRS LIST'!I96</f>
        <v>8</v>
      </c>
      <c r="G96" s="86">
        <f>+'MRS LIST'!J96</f>
        <v>80</v>
      </c>
      <c r="H96" s="91"/>
    </row>
    <row r="97" spans="1:8" s="52" customFormat="1" ht="32.1" customHeight="1">
      <c r="A97" s="90">
        <f t="shared" si="1"/>
        <v>92</v>
      </c>
      <c r="B97" s="168" t="str">
        <f>MRS!B97&amp;" "&amp;MRS!D97</f>
        <v xml:space="preserve">Combination Spanner 13mm </v>
      </c>
      <c r="C97" s="169"/>
      <c r="D97" s="83" t="str">
        <f>MRS!G97</f>
        <v>Nos</v>
      </c>
      <c r="E97" s="84">
        <f>MRS!H97</f>
        <v>10</v>
      </c>
      <c r="F97" s="85">
        <f>+'MRS LIST'!I97</f>
        <v>9</v>
      </c>
      <c r="G97" s="86">
        <f>+'MRS LIST'!J97</f>
        <v>90</v>
      </c>
      <c r="H97" s="91"/>
    </row>
    <row r="98" spans="1:8" s="52" customFormat="1" ht="32.1" customHeight="1">
      <c r="A98" s="90">
        <f t="shared" si="1"/>
        <v>93</v>
      </c>
      <c r="B98" s="168" t="str">
        <f>MRS!B98&amp;" "&amp;MRS!D98</f>
        <v xml:space="preserve">Purple Enamel Paint RAL 4006 (2L) </v>
      </c>
      <c r="C98" s="169"/>
      <c r="D98" s="83" t="str">
        <f>MRS!G98</f>
        <v>Nos</v>
      </c>
      <c r="E98" s="84">
        <f>MRS!H98</f>
        <v>2</v>
      </c>
      <c r="F98" s="85">
        <f>+'MRS LIST'!I98</f>
        <v>250</v>
      </c>
      <c r="G98" s="86">
        <f>+'MRS LIST'!J98</f>
        <v>500</v>
      </c>
      <c r="H98" s="91"/>
    </row>
    <row r="99" spans="1:8" s="52" customFormat="1" ht="32.1" customHeight="1">
      <c r="A99" s="90">
        <f t="shared" si="1"/>
        <v>94</v>
      </c>
      <c r="B99" s="168" t="str">
        <f>MRS!B99&amp;" "&amp;MRS!D99</f>
        <v xml:space="preserve">Acetone 4liter </v>
      </c>
      <c r="C99" s="169"/>
      <c r="D99" s="83" t="str">
        <f>MRS!G99</f>
        <v>Nos</v>
      </c>
      <c r="E99" s="84">
        <f>MRS!H99</f>
        <v>5</v>
      </c>
      <c r="F99" s="85">
        <f>+'MRS LIST'!I99</f>
        <v>105</v>
      </c>
      <c r="G99" s="86">
        <f>+'MRS LIST'!J99</f>
        <v>525</v>
      </c>
      <c r="H99" s="91"/>
    </row>
    <row r="100" spans="1:8" s="52" customFormat="1" ht="32.1" customHeight="1">
      <c r="A100" s="90">
        <f t="shared" si="1"/>
        <v>95</v>
      </c>
      <c r="B100" s="168" t="str">
        <f>MRS!B100&amp;" "&amp;MRS!D100</f>
        <v xml:space="preserve">Permanent Marker Pen Twin Tip Blue 1.0x0.5mm </v>
      </c>
      <c r="C100" s="169"/>
      <c r="D100" s="83" t="str">
        <f>MRS!G100</f>
        <v>Nos</v>
      </c>
      <c r="E100" s="84">
        <f>MRS!H100</f>
        <v>450</v>
      </c>
      <c r="F100" s="85">
        <f>+'MRS LIST'!I100</f>
        <v>1.84</v>
      </c>
      <c r="G100" s="86">
        <f>+'MRS LIST'!J100</f>
        <v>828</v>
      </c>
      <c r="H100" s="91"/>
    </row>
    <row r="101" spans="1:8" s="52" customFormat="1" ht="32.1" customHeight="1">
      <c r="A101" s="90">
        <f t="shared" si="1"/>
        <v>96</v>
      </c>
      <c r="B101" s="168" t="str">
        <f>MRS!B101&amp;" "&amp;MRS!D101</f>
        <v xml:space="preserve">GI Hex Nut M6 Left-Hand Lock Nut </v>
      </c>
      <c r="C101" s="169"/>
      <c r="D101" s="83" t="str">
        <f>MRS!G101</f>
        <v>Nos</v>
      </c>
      <c r="E101" s="84">
        <f>MRS!H101</f>
        <v>100</v>
      </c>
      <c r="F101" s="85">
        <f>+'MRS LIST'!I101</f>
        <v>3.3</v>
      </c>
      <c r="G101" s="86">
        <f>+'MRS LIST'!J101</f>
        <v>330</v>
      </c>
      <c r="H101" s="91"/>
    </row>
    <row r="102" spans="1:8" s="52" customFormat="1" ht="32.1" customHeight="1">
      <c r="A102" s="90">
        <f t="shared" si="1"/>
        <v>97</v>
      </c>
      <c r="B102" s="168" t="str">
        <f>MRS!B102&amp;" "&amp;MRS!D102</f>
        <v xml:space="preserve">Cutting Disc C/S 4"x3mm Maks </v>
      </c>
      <c r="C102" s="169"/>
      <c r="D102" s="83" t="str">
        <f>MRS!G102</f>
        <v>Nos</v>
      </c>
      <c r="E102" s="84">
        <f>MRS!H102</f>
        <v>2000</v>
      </c>
      <c r="F102" s="85">
        <f>+'MRS LIST'!I102</f>
        <v>1.7</v>
      </c>
      <c r="G102" s="86">
        <f>+'MRS LIST'!J102</f>
        <v>3400</v>
      </c>
      <c r="H102" s="91"/>
    </row>
    <row r="103" spans="1:8" s="52" customFormat="1" ht="32.1" customHeight="1">
      <c r="A103" s="90">
        <f t="shared" si="1"/>
        <v>98</v>
      </c>
      <c r="B103" s="168" t="str">
        <f>MRS!B103&amp;" "&amp;MRS!D103</f>
        <v xml:space="preserve">Cutting Disc S/S 4"x3mm Maks </v>
      </c>
      <c r="C103" s="169"/>
      <c r="D103" s="83" t="str">
        <f>MRS!G103</f>
        <v>Nos</v>
      </c>
      <c r="E103" s="84">
        <f>MRS!H103</f>
        <v>1000</v>
      </c>
      <c r="F103" s="85">
        <f>+'MRS LIST'!I103</f>
        <v>2.2000000000000002</v>
      </c>
      <c r="G103" s="86">
        <f>+'MRS LIST'!J103</f>
        <v>2200</v>
      </c>
      <c r="H103" s="91"/>
    </row>
    <row r="104" spans="1:8" s="52" customFormat="1" ht="32.1" customHeight="1">
      <c r="A104" s="90">
        <f t="shared" si="1"/>
        <v>99</v>
      </c>
      <c r="B104" s="168" t="str">
        <f>MRS!B104&amp;" "&amp;MRS!D104</f>
        <v xml:space="preserve">Dust Mask N95 Venus </v>
      </c>
      <c r="C104" s="169"/>
      <c r="D104" s="83" t="str">
        <f>MRS!G104</f>
        <v>Nos</v>
      </c>
      <c r="E104" s="84">
        <f>MRS!H104</f>
        <v>3500</v>
      </c>
      <c r="F104" s="85">
        <f>+'MRS LIST'!I104</f>
        <v>1.5</v>
      </c>
      <c r="G104" s="86">
        <f>+'MRS LIST'!J104</f>
        <v>5250</v>
      </c>
      <c r="H104" s="91"/>
    </row>
    <row r="105" spans="1:8" s="52" customFormat="1" ht="32.1" customHeight="1">
      <c r="A105" s="90">
        <f t="shared" si="1"/>
        <v>100</v>
      </c>
      <c r="B105" s="168" t="str">
        <f>MRS!B105&amp;" "&amp;MRS!D105</f>
        <v xml:space="preserve">Sponge Foam Sheet 900x1900x100mm </v>
      </c>
      <c r="C105" s="169"/>
      <c r="D105" s="83" t="str">
        <f>MRS!G105</f>
        <v>Nos</v>
      </c>
      <c r="E105" s="84">
        <f>MRS!H105</f>
        <v>50</v>
      </c>
      <c r="F105" s="85">
        <f>+'MRS LIST'!I105</f>
        <v>97</v>
      </c>
      <c r="G105" s="86">
        <f>+'MRS LIST'!J105</f>
        <v>4850</v>
      </c>
      <c r="H105" s="91"/>
    </row>
    <row r="106" spans="1:8" s="52" customFormat="1" ht="32.1" customHeight="1">
      <c r="A106" s="90">
        <f t="shared" si="1"/>
        <v>101</v>
      </c>
      <c r="B106" s="168" t="str">
        <f>MRS!B106&amp;" "&amp;MRS!D106</f>
        <v xml:space="preserve">Welding Cable Connector 50-70mm2 Male &amp; Female </v>
      </c>
      <c r="C106" s="169"/>
      <c r="D106" s="83" t="str">
        <f>MRS!G106</f>
        <v>Nos</v>
      </c>
      <c r="E106" s="84">
        <f>MRS!H106</f>
        <v>125</v>
      </c>
      <c r="F106" s="85">
        <f>+'MRS LIST'!I106</f>
        <v>24.5</v>
      </c>
      <c r="G106" s="86">
        <f>+'MRS LIST'!J106</f>
        <v>3062.5</v>
      </c>
      <c r="H106" s="91"/>
    </row>
    <row r="107" spans="1:8" s="52" customFormat="1" ht="32.1" customHeight="1">
      <c r="A107" s="90">
        <f t="shared" si="1"/>
        <v>102</v>
      </c>
      <c r="B107" s="168" t="str">
        <f>MRS!B107&amp;" "&amp;MRS!D107</f>
        <v xml:space="preserve">Tig Collet Body 350A 3.2mm </v>
      </c>
      <c r="C107" s="169"/>
      <c r="D107" s="83" t="str">
        <f>MRS!G107</f>
        <v>Nos</v>
      </c>
      <c r="E107" s="84">
        <f>MRS!H107</f>
        <v>100</v>
      </c>
      <c r="F107" s="85">
        <f>+'MRS LIST'!I107</f>
        <v>13</v>
      </c>
      <c r="G107" s="86">
        <f>+'MRS LIST'!J107</f>
        <v>1300</v>
      </c>
      <c r="H107" s="91"/>
    </row>
    <row r="108" spans="1:8" s="52" customFormat="1" ht="32.1" customHeight="1">
      <c r="A108" s="90">
        <f t="shared" si="1"/>
        <v>103</v>
      </c>
      <c r="B108" s="168" t="str">
        <f>MRS!B108&amp;" "&amp;MRS!D108</f>
        <v xml:space="preserve">Tig Collet Body 350A 2.4mm </v>
      </c>
      <c r="C108" s="169"/>
      <c r="D108" s="83" t="str">
        <f>MRS!G108</f>
        <v>Nos</v>
      </c>
      <c r="E108" s="84">
        <f>MRS!H108</f>
        <v>100</v>
      </c>
      <c r="F108" s="85">
        <f>+'MRS LIST'!I108</f>
        <v>13</v>
      </c>
      <c r="G108" s="86">
        <f>+'MRS LIST'!J108</f>
        <v>1300</v>
      </c>
      <c r="H108" s="91"/>
    </row>
    <row r="109" spans="1:8" s="52" customFormat="1" ht="32.1" customHeight="1">
      <c r="A109" s="90">
        <f t="shared" si="1"/>
        <v>104</v>
      </c>
      <c r="B109" s="168" t="str">
        <f>MRS!B109&amp;" "&amp;MRS!D109</f>
        <v xml:space="preserve">Tig Collet Pin 250A 2.4mm </v>
      </c>
      <c r="C109" s="169"/>
      <c r="D109" s="83" t="str">
        <f>MRS!G109</f>
        <v>Nos</v>
      </c>
      <c r="E109" s="84">
        <f>MRS!H109</f>
        <v>350</v>
      </c>
      <c r="F109" s="85">
        <f>+'MRS LIST'!I109</f>
        <v>5.9</v>
      </c>
      <c r="G109" s="86">
        <f>+'MRS LIST'!J109</f>
        <v>2065</v>
      </c>
      <c r="H109" s="91"/>
    </row>
    <row r="110" spans="1:8" s="52" customFormat="1" ht="32.1" customHeight="1">
      <c r="A110" s="90">
        <f t="shared" si="1"/>
        <v>105</v>
      </c>
      <c r="B110" s="168" t="str">
        <f>MRS!B110&amp;" "&amp;MRS!D110</f>
        <v xml:space="preserve">Tungsten Electrode 2.4mm </v>
      </c>
      <c r="C110" s="169"/>
      <c r="D110" s="83" t="str">
        <f>MRS!G110</f>
        <v>Nos</v>
      </c>
      <c r="E110" s="84">
        <f>MRS!H110</f>
        <v>120</v>
      </c>
      <c r="F110" s="85">
        <f>+'MRS LIST'!I110</f>
        <v>21</v>
      </c>
      <c r="G110" s="86">
        <f>+'MRS LIST'!J110</f>
        <v>2520</v>
      </c>
      <c r="H110" s="91"/>
    </row>
    <row r="111" spans="1:8" s="52" customFormat="1" ht="32.1" customHeight="1">
      <c r="A111" s="90">
        <f t="shared" si="1"/>
        <v>106</v>
      </c>
      <c r="B111" s="168" t="str">
        <f>MRS!B111&amp;" "&amp;MRS!D111</f>
        <v xml:space="preserve">Tungsten Electrode 3.2mm </v>
      </c>
      <c r="C111" s="169"/>
      <c r="D111" s="83" t="str">
        <f>MRS!G111</f>
        <v>Nos</v>
      </c>
      <c r="E111" s="84">
        <f>MRS!H111</f>
        <v>120</v>
      </c>
      <c r="F111" s="85">
        <f>+'MRS LIST'!I111</f>
        <v>25</v>
      </c>
      <c r="G111" s="86">
        <f>+'MRS LIST'!J111</f>
        <v>3000</v>
      </c>
      <c r="H111" s="91"/>
    </row>
    <row r="112" spans="1:8" s="52" customFormat="1" ht="32.1" customHeight="1">
      <c r="A112" s="90">
        <f t="shared" si="1"/>
        <v>107</v>
      </c>
      <c r="B112" s="168" t="str">
        <f>MRS!B112&amp;" "&amp;MRS!D112</f>
        <v xml:space="preserve">Ceramic Nozzle 350A #7 </v>
      </c>
      <c r="C112" s="169"/>
      <c r="D112" s="83" t="str">
        <f>MRS!G112</f>
        <v>Nos</v>
      </c>
      <c r="E112" s="84">
        <f>MRS!H112</f>
        <v>500</v>
      </c>
      <c r="F112" s="85">
        <f>+'MRS LIST'!I112</f>
        <v>12</v>
      </c>
      <c r="G112" s="86">
        <f>+'MRS LIST'!J112</f>
        <v>6000</v>
      </c>
      <c r="H112" s="91"/>
    </row>
    <row r="113" spans="1:8" s="52" customFormat="1" ht="32.1" customHeight="1">
      <c r="A113" s="90">
        <f t="shared" si="1"/>
        <v>108</v>
      </c>
      <c r="B113" s="168" t="str">
        <f>MRS!B113&amp;" "&amp;MRS!D113</f>
        <v xml:space="preserve">Double Ear Clamp S/S 13-15mm </v>
      </c>
      <c r="C113" s="169"/>
      <c r="D113" s="83" t="str">
        <f>MRS!G113</f>
        <v>Nos</v>
      </c>
      <c r="E113" s="84">
        <f>MRS!H113</f>
        <v>700</v>
      </c>
      <c r="F113" s="85">
        <f>+'MRS LIST'!I113</f>
        <v>5.8</v>
      </c>
      <c r="G113" s="86">
        <f>+'MRS LIST'!J113</f>
        <v>4060</v>
      </c>
      <c r="H113" s="91"/>
    </row>
    <row r="114" spans="1:8" s="52" customFormat="1" ht="32.1" customHeight="1">
      <c r="A114" s="90">
        <f t="shared" si="1"/>
        <v>109</v>
      </c>
      <c r="B114" s="168" t="str">
        <f>MRS!B114&amp;" "&amp;MRS!D114</f>
        <v xml:space="preserve">Argon Regulator Connector Nut &amp; Nipple 9/16"-1/4" </v>
      </c>
      <c r="C114" s="169"/>
      <c r="D114" s="83" t="str">
        <f>MRS!G114</f>
        <v>Nos</v>
      </c>
      <c r="E114" s="84">
        <f>MRS!H114</f>
        <v>700</v>
      </c>
      <c r="F114" s="85">
        <f>+'MRS LIST'!I114</f>
        <v>9.8000000000000007</v>
      </c>
      <c r="G114" s="86">
        <f>+'MRS LIST'!J114</f>
        <v>6860.0000000000009</v>
      </c>
      <c r="H114" s="91"/>
    </row>
    <row r="115" spans="1:8" s="52" customFormat="1" ht="32.1" customHeight="1">
      <c r="A115" s="90">
        <f t="shared" si="1"/>
        <v>110</v>
      </c>
      <c r="B115" s="168" t="str">
        <f>MRS!B115&amp;" "&amp;MRS!D115</f>
        <v xml:space="preserve">Welding Rod ERNiCu-7 2.4mm ESAB </v>
      </c>
      <c r="C115" s="169"/>
      <c r="D115" s="83" t="str">
        <f>MRS!G115</f>
        <v>Nos</v>
      </c>
      <c r="E115" s="84">
        <f>MRS!H115</f>
        <v>40</v>
      </c>
      <c r="F115" s="85">
        <f>+'MRS LIST'!I115</f>
        <v>364</v>
      </c>
      <c r="G115" s="86">
        <f>+'MRS LIST'!J115</f>
        <v>14560</v>
      </c>
      <c r="H115" s="91"/>
    </row>
    <row r="116" spans="1:8" s="52" customFormat="1" ht="32.1" customHeight="1">
      <c r="A116" s="90">
        <f t="shared" si="1"/>
        <v>111</v>
      </c>
      <c r="B116" s="168" t="str">
        <f>MRS!B116&amp;" "&amp;MRS!D116</f>
        <v xml:space="preserve">Ceramic Nozzle 500A #5 </v>
      </c>
      <c r="C116" s="169"/>
      <c r="D116" s="83" t="str">
        <f>MRS!G116</f>
        <v>Nos</v>
      </c>
      <c r="E116" s="84">
        <f>MRS!H116</f>
        <v>100</v>
      </c>
      <c r="F116" s="85">
        <f>+'MRS LIST'!I116</f>
        <v>15.8</v>
      </c>
      <c r="G116" s="86">
        <f>+'MRS LIST'!J116</f>
        <v>1580</v>
      </c>
      <c r="H116" s="91"/>
    </row>
    <row r="117" spans="1:8" s="52" customFormat="1" ht="32.1" customHeight="1">
      <c r="A117" s="90">
        <f t="shared" si="1"/>
        <v>112</v>
      </c>
      <c r="B117" s="168" t="str">
        <f>MRS!B117&amp;" "&amp;MRS!D117</f>
        <v xml:space="preserve">Ceramic Nozzle 500A #6 </v>
      </c>
      <c r="C117" s="169"/>
      <c r="D117" s="83" t="str">
        <f>MRS!G117</f>
        <v>Nos</v>
      </c>
      <c r="E117" s="84">
        <f>MRS!H117</f>
        <v>100</v>
      </c>
      <c r="F117" s="85">
        <f>+'MRS LIST'!I117</f>
        <v>15.8</v>
      </c>
      <c r="G117" s="86">
        <f>+'MRS LIST'!J117</f>
        <v>1580</v>
      </c>
      <c r="H117" s="91"/>
    </row>
    <row r="118" spans="1:8" s="52" customFormat="1" ht="32.1" customHeight="1">
      <c r="A118" s="90">
        <f t="shared" si="1"/>
        <v>113</v>
      </c>
      <c r="B118" s="168" t="str">
        <f>MRS!B118&amp;" "&amp;MRS!D118</f>
        <v xml:space="preserve">Ceramic Nozzle 500A #7 </v>
      </c>
      <c r="C118" s="169"/>
      <c r="D118" s="83" t="str">
        <f>MRS!G118</f>
        <v>Nos</v>
      </c>
      <c r="E118" s="84">
        <f>MRS!H118</f>
        <v>100</v>
      </c>
      <c r="F118" s="85">
        <f>+'MRS LIST'!I118</f>
        <v>15.8</v>
      </c>
      <c r="G118" s="86">
        <f>+'MRS LIST'!J118</f>
        <v>1580</v>
      </c>
      <c r="H118" s="91"/>
    </row>
    <row r="119" spans="1:8" s="52" customFormat="1" ht="32.1" customHeight="1">
      <c r="A119" s="90">
        <f t="shared" si="1"/>
        <v>114</v>
      </c>
      <c r="B119" s="168" t="str">
        <f>MRS!B119&amp;" "&amp;MRS!D119</f>
        <v xml:space="preserve">Ceramic Nozzle 500A #8 </v>
      </c>
      <c r="C119" s="169"/>
      <c r="D119" s="83" t="str">
        <f>MRS!G119</f>
        <v>Nos</v>
      </c>
      <c r="E119" s="84">
        <f>MRS!H119</f>
        <v>100</v>
      </c>
      <c r="F119" s="85">
        <f>+'MRS LIST'!I119</f>
        <v>15.8</v>
      </c>
      <c r="G119" s="86">
        <f>+'MRS LIST'!J119</f>
        <v>1580</v>
      </c>
      <c r="H119" s="91"/>
    </row>
    <row r="120" spans="1:8" s="52" customFormat="1" ht="32.1" customHeight="1">
      <c r="A120" s="90">
        <f t="shared" si="1"/>
        <v>115</v>
      </c>
      <c r="B120" s="168" t="str">
        <f>MRS!B120&amp;" "&amp;MRS!D120</f>
        <v xml:space="preserve">Argon Flow Meter </v>
      </c>
      <c r="C120" s="169"/>
      <c r="D120" s="83" t="str">
        <f>MRS!G120</f>
        <v>Nos</v>
      </c>
      <c r="E120" s="84">
        <f>MRS!H120</f>
        <v>70</v>
      </c>
      <c r="F120" s="85">
        <f>+'MRS LIST'!I120</f>
        <v>78</v>
      </c>
      <c r="G120" s="86">
        <f>+'MRS LIST'!J120</f>
        <v>5460</v>
      </c>
      <c r="H120" s="91"/>
    </row>
    <row r="121" spans="1:8" s="52" customFormat="1" ht="32.1" customHeight="1">
      <c r="A121" s="90">
        <f t="shared" si="1"/>
        <v>116</v>
      </c>
      <c r="B121" s="168" t="str">
        <f>MRS!B121&amp;" "&amp;MRS!D121</f>
        <v xml:space="preserve">Cutting Disc S/S 14"x3mm </v>
      </c>
      <c r="C121" s="169"/>
      <c r="D121" s="83" t="str">
        <f>MRS!G121</f>
        <v>Nos</v>
      </c>
      <c r="E121" s="84">
        <f>MRS!H121</f>
        <v>150</v>
      </c>
      <c r="F121" s="85">
        <f>+'MRS LIST'!I121</f>
        <v>12</v>
      </c>
      <c r="G121" s="86">
        <f>+'MRS LIST'!J121</f>
        <v>1800</v>
      </c>
      <c r="H121" s="91"/>
    </row>
    <row r="122" spans="1:8" s="52" customFormat="1" ht="32.1" customHeight="1">
      <c r="A122" s="90">
        <f t="shared" si="1"/>
        <v>117</v>
      </c>
      <c r="B122" s="168" t="str">
        <f>MRS!B122&amp;" "&amp;MRS!D122</f>
        <v xml:space="preserve">CS Square Tube 20x20x2mm, 6mtr </v>
      </c>
      <c r="C122" s="169"/>
      <c r="D122" s="83" t="str">
        <f>MRS!G122</f>
        <v>Nos</v>
      </c>
      <c r="E122" s="84">
        <f>MRS!H122</f>
        <v>60</v>
      </c>
      <c r="F122" s="85">
        <f>+'MRS LIST'!I122</f>
        <v>30.5</v>
      </c>
      <c r="G122" s="86">
        <f>+'MRS LIST'!J122</f>
        <v>1830</v>
      </c>
      <c r="H122" s="91"/>
    </row>
    <row r="123" spans="1:8" s="52" customFormat="1" ht="32.1" customHeight="1">
      <c r="A123" s="90">
        <f t="shared" si="1"/>
        <v>118</v>
      </c>
      <c r="B123" s="168" t="str">
        <f>MRS!B123&amp;" "&amp;MRS!D123</f>
        <v xml:space="preserve">Digital Vernier Caliper 150mm </v>
      </c>
      <c r="C123" s="169"/>
      <c r="D123" s="83" t="str">
        <f>MRS!G123</f>
        <v>Nos</v>
      </c>
      <c r="E123" s="84">
        <f>MRS!H123</f>
        <v>1</v>
      </c>
      <c r="F123" s="85">
        <f>+'MRS LIST'!I123</f>
        <v>135</v>
      </c>
      <c r="G123" s="86">
        <f>+'MRS LIST'!J123</f>
        <v>135</v>
      </c>
      <c r="H123" s="91"/>
    </row>
    <row r="124" spans="1:8" s="52" customFormat="1" ht="32.1" customHeight="1">
      <c r="A124" s="90">
        <f t="shared" si="1"/>
        <v>119</v>
      </c>
      <c r="B124" s="168" t="str">
        <f>MRS!B124&amp;" "&amp;MRS!D124</f>
        <v xml:space="preserve">Welding Earth Clamp Brass G-Type 500A </v>
      </c>
      <c r="C124" s="169"/>
      <c r="D124" s="83" t="str">
        <f>MRS!G124</f>
        <v>Nos</v>
      </c>
      <c r="E124" s="84">
        <f>MRS!H124</f>
        <v>50</v>
      </c>
      <c r="F124" s="85">
        <f>+'MRS LIST'!I124</f>
        <v>98</v>
      </c>
      <c r="G124" s="86">
        <f>+'MRS LIST'!J124</f>
        <v>4900</v>
      </c>
      <c r="H124" s="91"/>
    </row>
    <row r="125" spans="1:8" s="52" customFormat="1" ht="32.1" customHeight="1">
      <c r="A125" s="90">
        <f t="shared" si="1"/>
        <v>120</v>
      </c>
      <c r="B125" s="168" t="str">
        <f>MRS!B125&amp;" "&amp;MRS!D125</f>
        <v xml:space="preserve">Pipe Bench Vice 4" </v>
      </c>
      <c r="C125" s="169"/>
      <c r="D125" s="83" t="str">
        <f>MRS!G125</f>
        <v>Nos</v>
      </c>
      <c r="E125" s="84">
        <f>MRS!H125</f>
        <v>4</v>
      </c>
      <c r="F125" s="85">
        <f>+'MRS LIST'!I125</f>
        <v>470</v>
      </c>
      <c r="G125" s="86">
        <f>+'MRS LIST'!J125</f>
        <v>1880</v>
      </c>
      <c r="H125" s="91"/>
    </row>
    <row r="126" spans="1:8" s="52" customFormat="1" ht="32.1" customHeight="1">
      <c r="A126" s="90">
        <f t="shared" si="1"/>
        <v>121</v>
      </c>
      <c r="B126" s="168" t="str">
        <f>MRS!B126&amp;" "&amp;MRS!D126</f>
        <v xml:space="preserve">Hand Tap Set M12mm P1.75 </v>
      </c>
      <c r="C126" s="169"/>
      <c r="D126" s="83" t="str">
        <f>MRS!G126</f>
        <v>Nos</v>
      </c>
      <c r="E126" s="84">
        <f>MRS!H126</f>
        <v>2</v>
      </c>
      <c r="F126" s="85">
        <f>+'MRS LIST'!I126</f>
        <v>39</v>
      </c>
      <c r="G126" s="86">
        <f>+'MRS LIST'!J126</f>
        <v>78</v>
      </c>
      <c r="H126" s="91"/>
    </row>
    <row r="127" spans="1:8" s="52" customFormat="1" ht="32.1" customHeight="1">
      <c r="A127" s="90">
        <f t="shared" si="1"/>
        <v>122</v>
      </c>
      <c r="B127" s="168" t="str">
        <f>MRS!B127&amp;" "&amp;MRS!D127</f>
        <v xml:space="preserve">Dial Indicator 0-10mm/0.01mm 2046A Mitutoyo </v>
      </c>
      <c r="C127" s="169"/>
      <c r="D127" s="83" t="str">
        <f>MRS!G127</f>
        <v>Nos</v>
      </c>
      <c r="E127" s="84">
        <f>MRS!H127</f>
        <v>4</v>
      </c>
      <c r="F127" s="85">
        <f>+'MRS LIST'!I127</f>
        <v>235</v>
      </c>
      <c r="G127" s="86">
        <f>+'MRS LIST'!J127</f>
        <v>940</v>
      </c>
      <c r="H127" s="91"/>
    </row>
    <row r="128" spans="1:8" s="52" customFormat="1" ht="32.1" customHeight="1">
      <c r="A128" s="90">
        <f t="shared" si="1"/>
        <v>123</v>
      </c>
      <c r="B128" s="168" t="str">
        <f>MRS!B128&amp;" "&amp;MRS!D128</f>
        <v xml:space="preserve">Hydraulic Cylinder 10ton Stroke-44mm LSC1044 Lifton Canada </v>
      </c>
      <c r="C128" s="169"/>
      <c r="D128" s="83" t="str">
        <f>MRS!G128</f>
        <v>Nos</v>
      </c>
      <c r="E128" s="84">
        <f>MRS!H128</f>
        <v>3</v>
      </c>
      <c r="F128" s="85">
        <f>+'MRS LIST'!I128</f>
        <v>1800</v>
      </c>
      <c r="G128" s="86">
        <f>+'MRS LIST'!J128</f>
        <v>5400</v>
      </c>
      <c r="H128" s="91"/>
    </row>
    <row r="129" spans="1:8" s="52" customFormat="1" ht="32.1" customHeight="1">
      <c r="A129" s="90">
        <f t="shared" si="1"/>
        <v>124</v>
      </c>
      <c r="B129" s="168" t="str">
        <f>MRS!B129&amp;" "&amp;MRS!D129</f>
        <v xml:space="preserve">Hydraulic Cylinder 20ton Stroke-44mm LSC2044 Lifton Canada </v>
      </c>
      <c r="C129" s="169"/>
      <c r="D129" s="83" t="str">
        <f>MRS!G129</f>
        <v>Nos</v>
      </c>
      <c r="E129" s="84">
        <f>MRS!H129</f>
        <v>2</v>
      </c>
      <c r="F129" s="85">
        <f>+'MRS LIST'!I129</f>
        <v>2200</v>
      </c>
      <c r="G129" s="86">
        <f>+'MRS LIST'!J129</f>
        <v>4400</v>
      </c>
      <c r="H129" s="91"/>
    </row>
    <row r="130" spans="1:8" s="52" customFormat="1" ht="32.1" customHeight="1">
      <c r="A130" s="90">
        <f t="shared" si="1"/>
        <v>125</v>
      </c>
      <c r="B130" s="168" t="str">
        <f>MRS!B130&amp;" "&amp;MRS!D130</f>
        <v xml:space="preserve">Hydraulic Pump with 2mtr Hose 700Bar LHP-28 Lifton Canada </v>
      </c>
      <c r="C130" s="169"/>
      <c r="D130" s="83" t="str">
        <f>MRS!G130</f>
        <v>Nos</v>
      </c>
      <c r="E130" s="84">
        <f>MRS!H130</f>
        <v>5</v>
      </c>
      <c r="F130" s="85">
        <f>+'MRS LIST'!I130</f>
        <v>2300</v>
      </c>
      <c r="G130" s="86">
        <f>+'MRS LIST'!J130</f>
        <v>11500</v>
      </c>
      <c r="H130" s="91"/>
    </row>
    <row r="131" spans="1:8" s="52" customFormat="1" ht="32.1" customHeight="1">
      <c r="A131" s="90">
        <f t="shared" si="1"/>
        <v>126</v>
      </c>
      <c r="B131" s="168" t="str">
        <f>MRS!B131&amp;" "&amp;MRS!D131</f>
        <v xml:space="preserve">CS Plate 4'x8'x3mm </v>
      </c>
      <c r="C131" s="169"/>
      <c r="D131" s="83" t="str">
        <f>MRS!G131</f>
        <v>Nos</v>
      </c>
      <c r="E131" s="84">
        <f>MRS!H131</f>
        <v>2</v>
      </c>
      <c r="F131" s="85">
        <f>+'MRS LIST'!I131</f>
        <v>253</v>
      </c>
      <c r="G131" s="86">
        <f>+'MRS LIST'!J131</f>
        <v>506</v>
      </c>
      <c r="H131" s="91"/>
    </row>
    <row r="132" spans="1:8" s="52" customFormat="1" ht="32.1" customHeight="1">
      <c r="A132" s="90">
        <f t="shared" si="1"/>
        <v>127</v>
      </c>
      <c r="B132" s="168" t="str">
        <f>MRS!B132&amp;" "&amp;MRS!D132</f>
        <v xml:space="preserve">CS Plate 4'x8'x6mm </v>
      </c>
      <c r="C132" s="169"/>
      <c r="D132" s="83" t="str">
        <f>MRS!G132</f>
        <v>Nos</v>
      </c>
      <c r="E132" s="84">
        <f>MRS!H132</f>
        <v>2</v>
      </c>
      <c r="F132" s="85">
        <f>+'MRS LIST'!I132</f>
        <v>540</v>
      </c>
      <c r="G132" s="86">
        <f>+'MRS LIST'!J132</f>
        <v>1080</v>
      </c>
      <c r="H132" s="91"/>
    </row>
    <row r="133" spans="1:8" s="52" customFormat="1" ht="32.1" customHeight="1">
      <c r="A133" s="90">
        <f t="shared" si="1"/>
        <v>128</v>
      </c>
      <c r="B133" s="168" t="str">
        <f>MRS!B133&amp;" "&amp;MRS!D133</f>
        <v xml:space="preserve">CS Plate 4'x8'x12mm </v>
      </c>
      <c r="C133" s="169"/>
      <c r="D133" s="83" t="str">
        <f>MRS!G133</f>
        <v>Nos</v>
      </c>
      <c r="E133" s="84">
        <f>MRS!H133</f>
        <v>1</v>
      </c>
      <c r="F133" s="85">
        <f>+'MRS LIST'!I133</f>
        <v>1080</v>
      </c>
      <c r="G133" s="86">
        <f>+'MRS LIST'!J133</f>
        <v>1080</v>
      </c>
      <c r="H133" s="91"/>
    </row>
    <row r="134" spans="1:8" s="52" customFormat="1" ht="32.1" customHeight="1">
      <c r="A134" s="90">
        <f t="shared" ref="A134:A184" si="2">ROW(A129)</f>
        <v>129</v>
      </c>
      <c r="B134" s="168" t="str">
        <f>MRS!B134&amp;" "&amp;MRS!D134</f>
        <v xml:space="preserve">SS Plate Grade 304 4'x8'x3mm </v>
      </c>
      <c r="C134" s="169"/>
      <c r="D134" s="83" t="str">
        <f>MRS!G134</f>
        <v>Nos</v>
      </c>
      <c r="E134" s="84">
        <f>MRS!H134</f>
        <v>2</v>
      </c>
      <c r="F134" s="85">
        <f>+'MRS LIST'!I134</f>
        <v>1190</v>
      </c>
      <c r="G134" s="86">
        <f>+'MRS LIST'!J134</f>
        <v>2380</v>
      </c>
      <c r="H134" s="91"/>
    </row>
    <row r="135" spans="1:8" s="52" customFormat="1" ht="32.1" customHeight="1">
      <c r="A135" s="90">
        <f t="shared" si="2"/>
        <v>130</v>
      </c>
      <c r="B135" s="168" t="str">
        <f>MRS!B135&amp;" "&amp;MRS!D135</f>
        <v xml:space="preserve">SS Plate Grade 304 4'x8'x6mm </v>
      </c>
      <c r="C135" s="169"/>
      <c r="D135" s="83" t="str">
        <f>MRS!G135</f>
        <v>Nos</v>
      </c>
      <c r="E135" s="84">
        <f>MRS!H135</f>
        <v>2</v>
      </c>
      <c r="F135" s="85">
        <f>+'MRS LIST'!I135</f>
        <v>2395</v>
      </c>
      <c r="G135" s="86">
        <f>+'MRS LIST'!J135</f>
        <v>4790</v>
      </c>
      <c r="H135" s="91"/>
    </row>
    <row r="136" spans="1:8" s="52" customFormat="1" ht="32.1" customHeight="1">
      <c r="A136" s="90">
        <f t="shared" si="2"/>
        <v>131</v>
      </c>
      <c r="B136" s="168" t="str">
        <f>MRS!B136&amp;" "&amp;MRS!D136</f>
        <v xml:space="preserve">SS Plate Grade 304 4'x8'x12mm </v>
      </c>
      <c r="C136" s="169"/>
      <c r="D136" s="83" t="str">
        <f>MRS!G136</f>
        <v>Nos</v>
      </c>
      <c r="E136" s="84">
        <f>MRS!H136</f>
        <v>1</v>
      </c>
      <c r="F136" s="85">
        <f>+'MRS LIST'!I136</f>
        <v>4840</v>
      </c>
      <c r="G136" s="86">
        <f>+'MRS LIST'!J136</f>
        <v>4840</v>
      </c>
      <c r="H136" s="91"/>
    </row>
    <row r="137" spans="1:8" s="52" customFormat="1" ht="32.1" customHeight="1">
      <c r="A137" s="90">
        <f t="shared" si="2"/>
        <v>132</v>
      </c>
      <c r="B137" s="168" t="str">
        <f>MRS!B137&amp;" "&amp;MRS!D137</f>
        <v xml:space="preserve">Flap Disc S/S 4" 80 Grit </v>
      </c>
      <c r="C137" s="169"/>
      <c r="D137" s="83" t="str">
        <f>MRS!G137</f>
        <v>Nos</v>
      </c>
      <c r="E137" s="84">
        <f>MRS!H137</f>
        <v>5000</v>
      </c>
      <c r="F137" s="85">
        <f>+'MRS LIST'!I137</f>
        <v>4.5</v>
      </c>
      <c r="G137" s="86">
        <f>+'MRS LIST'!J137</f>
        <v>22500</v>
      </c>
      <c r="H137" s="91"/>
    </row>
    <row r="138" spans="1:8" s="52" customFormat="1" ht="32.1" customHeight="1">
      <c r="A138" s="90">
        <f t="shared" si="2"/>
        <v>133</v>
      </c>
      <c r="B138" s="168" t="str">
        <f>MRS!B138&amp;" "&amp;MRS!D138</f>
        <v xml:space="preserve">Flap Wheel S/S 40x20x6mm </v>
      </c>
      <c r="C138" s="169"/>
      <c r="D138" s="83" t="str">
        <f>MRS!G138</f>
        <v>Nos</v>
      </c>
      <c r="E138" s="84">
        <f>MRS!H138</f>
        <v>700</v>
      </c>
      <c r="F138" s="85">
        <f>+'MRS LIST'!I138</f>
        <v>9.1999999999999993</v>
      </c>
      <c r="G138" s="86">
        <f>+'MRS LIST'!J138</f>
        <v>6439.9999999999991</v>
      </c>
      <c r="H138" s="91"/>
    </row>
    <row r="139" spans="1:8" s="52" customFormat="1" ht="32.1" customHeight="1">
      <c r="A139" s="90">
        <f t="shared" si="2"/>
        <v>134</v>
      </c>
      <c r="B139" s="168" t="str">
        <f>MRS!B139&amp;" "&amp;MRS!D139</f>
        <v xml:space="preserve">Cup Brush S/S Crimped M10x75mm </v>
      </c>
      <c r="C139" s="169"/>
      <c r="D139" s="83" t="str">
        <f>MRS!G139</f>
        <v>Nos</v>
      </c>
      <c r="E139" s="84">
        <f>MRS!H139</f>
        <v>400</v>
      </c>
      <c r="F139" s="85">
        <f>+'MRS LIST'!I139</f>
        <v>18.5</v>
      </c>
      <c r="G139" s="86">
        <f>+'MRS LIST'!J139</f>
        <v>7400</v>
      </c>
      <c r="H139" s="91"/>
    </row>
    <row r="140" spans="1:8" s="52" customFormat="1" ht="32.1" customHeight="1">
      <c r="A140" s="90">
        <f t="shared" si="2"/>
        <v>135</v>
      </c>
      <c r="B140" s="168" t="str">
        <f>MRS!B140&amp;" "&amp;MRS!D140</f>
        <v xml:space="preserve">VD-40 Spray </v>
      </c>
      <c r="C140" s="169"/>
      <c r="D140" s="83" t="str">
        <f>MRS!G140</f>
        <v>Nos</v>
      </c>
      <c r="E140" s="84">
        <f>MRS!H140</f>
        <v>1800</v>
      </c>
      <c r="F140" s="85">
        <f>+'MRS LIST'!I140</f>
        <v>5</v>
      </c>
      <c r="G140" s="86">
        <f>+'MRS LIST'!J140</f>
        <v>9000</v>
      </c>
      <c r="H140" s="91"/>
    </row>
    <row r="141" spans="1:8" s="52" customFormat="1" ht="32.1" customHeight="1">
      <c r="A141" s="90">
        <f t="shared" si="2"/>
        <v>136</v>
      </c>
      <c r="B141" s="168" t="str">
        <f>MRS!B141&amp;" "&amp;MRS!D141</f>
        <v xml:space="preserve">Ear Plug with Corded </v>
      </c>
      <c r="C141" s="169"/>
      <c r="D141" s="83" t="str">
        <f>MRS!G141</f>
        <v>Nos</v>
      </c>
      <c r="E141" s="84">
        <f>MRS!H141</f>
        <v>4700</v>
      </c>
      <c r="F141" s="85">
        <f>+'MRS LIST'!I141</f>
        <v>0.55000000000000004</v>
      </c>
      <c r="G141" s="86">
        <f>+'MRS LIST'!J141</f>
        <v>2585</v>
      </c>
      <c r="H141" s="91"/>
    </row>
    <row r="142" spans="1:8" s="52" customFormat="1" ht="32.1" customHeight="1">
      <c r="A142" s="90">
        <f t="shared" si="2"/>
        <v>137</v>
      </c>
      <c r="B142" s="168" t="str">
        <f>MRS!B142&amp;" "&amp;MRS!D142</f>
        <v xml:space="preserve">Welding Electrode Holder 500A </v>
      </c>
      <c r="C142" s="169"/>
      <c r="D142" s="83" t="str">
        <f>MRS!G142</f>
        <v>Nos</v>
      </c>
      <c r="E142" s="84">
        <f>MRS!H142</f>
        <v>30</v>
      </c>
      <c r="F142" s="85">
        <f>+'MRS LIST'!I142</f>
        <v>23.5</v>
      </c>
      <c r="G142" s="86">
        <f>+'MRS LIST'!J142</f>
        <v>705</v>
      </c>
      <c r="H142" s="91"/>
    </row>
    <row r="143" spans="1:8" s="52" customFormat="1" ht="32.1" customHeight="1">
      <c r="A143" s="90">
        <f t="shared" si="2"/>
        <v>138</v>
      </c>
      <c r="B143" s="168" t="str">
        <f>MRS!B143&amp;" "&amp;MRS!D143</f>
        <v xml:space="preserve">Tig Torch Switch </v>
      </c>
      <c r="C143" s="169"/>
      <c r="D143" s="83" t="str">
        <f>MRS!G143</f>
        <v>Nos</v>
      </c>
      <c r="E143" s="84">
        <f>MRS!H143</f>
        <v>400</v>
      </c>
      <c r="F143" s="85">
        <f>+'MRS LIST'!I143</f>
        <v>12</v>
      </c>
      <c r="G143" s="86">
        <f>+'MRS LIST'!J143</f>
        <v>4800</v>
      </c>
      <c r="H143" s="91"/>
    </row>
    <row r="144" spans="1:8" s="52" customFormat="1" ht="32.1" customHeight="1">
      <c r="A144" s="90">
        <f t="shared" si="2"/>
        <v>139</v>
      </c>
      <c r="B144" s="168" t="str">
        <f>MRS!B144&amp;" "&amp;MRS!D144</f>
        <v xml:space="preserve">Tungsten Electrode 2.4mm </v>
      </c>
      <c r="C144" s="169"/>
      <c r="D144" s="83" t="str">
        <f>MRS!G144</f>
        <v>Nos</v>
      </c>
      <c r="E144" s="84">
        <f>MRS!H144</f>
        <v>600</v>
      </c>
      <c r="F144" s="85">
        <f>+'MRS LIST'!I144</f>
        <v>21</v>
      </c>
      <c r="G144" s="86">
        <f>+'MRS LIST'!J144</f>
        <v>12600</v>
      </c>
      <c r="H144" s="91"/>
    </row>
    <row r="145" spans="1:8" s="52" customFormat="1" ht="32.1" customHeight="1">
      <c r="A145" s="90">
        <f t="shared" si="2"/>
        <v>140</v>
      </c>
      <c r="B145" s="168" t="str">
        <f>MRS!B145&amp;" "&amp;MRS!D145</f>
        <v xml:space="preserve">Ceramic Nozzle 350A #5 </v>
      </c>
      <c r="C145" s="169"/>
      <c r="D145" s="83" t="str">
        <f>MRS!G145</f>
        <v>Nos</v>
      </c>
      <c r="E145" s="84">
        <f>MRS!H145</f>
        <v>350</v>
      </c>
      <c r="F145" s="85">
        <f>+'MRS LIST'!I145</f>
        <v>12</v>
      </c>
      <c r="G145" s="86">
        <f>+'MRS LIST'!J145</f>
        <v>4200</v>
      </c>
      <c r="H145" s="91"/>
    </row>
    <row r="146" spans="1:8" s="52" customFormat="1" ht="32.1" customHeight="1">
      <c r="A146" s="90">
        <f t="shared" si="2"/>
        <v>141</v>
      </c>
      <c r="B146" s="168" t="str">
        <f>MRS!B146&amp;" "&amp;MRS!D146</f>
        <v xml:space="preserve">Ceramic Nozzle 350A #8 </v>
      </c>
      <c r="C146" s="169"/>
      <c r="D146" s="83" t="str">
        <f>MRS!G146</f>
        <v>Nos</v>
      </c>
      <c r="E146" s="84">
        <f>MRS!H146</f>
        <v>500</v>
      </c>
      <c r="F146" s="85">
        <f>+'MRS LIST'!I146</f>
        <v>12</v>
      </c>
      <c r="G146" s="86">
        <f>+'MRS LIST'!J146</f>
        <v>6000</v>
      </c>
      <c r="H146" s="91"/>
    </row>
    <row r="147" spans="1:8" s="52" customFormat="1" ht="32.1" customHeight="1">
      <c r="A147" s="90">
        <f t="shared" si="2"/>
        <v>142</v>
      </c>
      <c r="B147" s="168" t="str">
        <f>MRS!B147&amp;" "&amp;MRS!D147</f>
        <v xml:space="preserve">Angle Grinder 4" 220V with Paddle Switch DWE4002-B5 Dewalt </v>
      </c>
      <c r="C147" s="169"/>
      <c r="D147" s="83" t="str">
        <f>MRS!G147</f>
        <v>Nos</v>
      </c>
      <c r="E147" s="84">
        <f>MRS!H147</f>
        <v>123</v>
      </c>
      <c r="F147" s="85">
        <f>+'MRS LIST'!I147</f>
        <v>320</v>
      </c>
      <c r="G147" s="86">
        <f>+'MRS LIST'!J147</f>
        <v>39360</v>
      </c>
      <c r="H147" s="91"/>
    </row>
    <row r="148" spans="1:8" s="52" customFormat="1" ht="32.1" customHeight="1">
      <c r="A148" s="90">
        <f t="shared" si="2"/>
        <v>143</v>
      </c>
      <c r="B148" s="168" t="str">
        <f>MRS!B148&amp;" "&amp;MRS!D148</f>
        <v xml:space="preserve">Drill Bit HSS Cobalt (S/S) 3mm </v>
      </c>
      <c r="C148" s="169"/>
      <c r="D148" s="83" t="str">
        <f>MRS!G148</f>
        <v>Nos</v>
      </c>
      <c r="E148" s="84">
        <f>MRS!H148</f>
        <v>130</v>
      </c>
      <c r="F148" s="85">
        <f>+'MRS LIST'!I148</f>
        <v>2.2000000000000002</v>
      </c>
      <c r="G148" s="86">
        <f>+'MRS LIST'!J148</f>
        <v>286</v>
      </c>
      <c r="H148" s="91"/>
    </row>
    <row r="149" spans="1:8" s="52" customFormat="1" ht="32.1" customHeight="1">
      <c r="A149" s="90">
        <f t="shared" si="2"/>
        <v>144</v>
      </c>
      <c r="B149" s="168" t="str">
        <f>MRS!B149&amp;" "&amp;MRS!D149</f>
        <v xml:space="preserve">Single Gas Detector H2S 500PPM T40 II Rattler ISC </v>
      </c>
      <c r="C149" s="169"/>
      <c r="D149" s="83" t="str">
        <f>MRS!G149</f>
        <v>Nos</v>
      </c>
      <c r="E149" s="84">
        <f>MRS!H149</f>
        <v>20</v>
      </c>
      <c r="F149" s="85">
        <f>+'MRS LIST'!I149</f>
        <v>426</v>
      </c>
      <c r="G149" s="86">
        <f>+'MRS LIST'!J149</f>
        <v>8520</v>
      </c>
      <c r="H149" s="91"/>
    </row>
    <row r="150" spans="1:8" s="52" customFormat="1" ht="32.1" customHeight="1">
      <c r="A150" s="90">
        <f t="shared" si="2"/>
        <v>145</v>
      </c>
      <c r="B150" s="168" t="str">
        <f>MRS!B150&amp;" "&amp;MRS!D150</f>
        <v xml:space="preserve">Impact Socket 1/2"dr (F) x 27mm (M) </v>
      </c>
      <c r="C150" s="169"/>
      <c r="D150" s="83" t="str">
        <f>MRS!G150</f>
        <v>Nos</v>
      </c>
      <c r="E150" s="84">
        <f>MRS!H150</f>
        <v>5</v>
      </c>
      <c r="F150" s="85">
        <f>+'MRS LIST'!I150</f>
        <v>25</v>
      </c>
      <c r="G150" s="86">
        <f>+'MRS LIST'!J150</f>
        <v>125</v>
      </c>
      <c r="H150" s="91"/>
    </row>
    <row r="151" spans="1:8" s="52" customFormat="1" ht="32.1" customHeight="1">
      <c r="A151" s="90">
        <f t="shared" si="2"/>
        <v>146</v>
      </c>
      <c r="B151" s="168" t="str">
        <f>MRS!B151&amp;" "&amp;MRS!D151</f>
        <v xml:space="preserve">Impact Socket Adapter 1/2"(M) x 7/8"(F) </v>
      </c>
      <c r="C151" s="169"/>
      <c r="D151" s="83" t="str">
        <f>MRS!G151</f>
        <v>Nos</v>
      </c>
      <c r="E151" s="84">
        <f>MRS!H151</f>
        <v>5</v>
      </c>
      <c r="F151" s="85">
        <f>+'MRS LIST'!I151</f>
        <v>16</v>
      </c>
      <c r="G151" s="86">
        <f>+'MRS LIST'!J151</f>
        <v>80</v>
      </c>
      <c r="H151" s="91"/>
    </row>
    <row r="152" spans="1:8" s="52" customFormat="1" ht="32.1" customHeight="1">
      <c r="A152" s="90">
        <f t="shared" si="2"/>
        <v>147</v>
      </c>
      <c r="B152" s="168" t="str">
        <f>MRS!B152&amp;" "&amp;MRS!D152</f>
        <v xml:space="preserve">Drill Bit HSS Cobalt (S/S) 5mm </v>
      </c>
      <c r="C152" s="169"/>
      <c r="D152" s="83" t="str">
        <f>MRS!G152</f>
        <v>Nos</v>
      </c>
      <c r="E152" s="84">
        <f>MRS!H152</f>
        <v>120</v>
      </c>
      <c r="F152" s="85">
        <f>+'MRS LIST'!I152</f>
        <v>4.3</v>
      </c>
      <c r="G152" s="86">
        <f>+'MRS LIST'!J152</f>
        <v>516</v>
      </c>
      <c r="H152" s="91"/>
    </row>
    <row r="153" spans="1:8" s="52" customFormat="1" ht="32.1" customHeight="1">
      <c r="A153" s="90">
        <f t="shared" si="2"/>
        <v>148</v>
      </c>
      <c r="B153" s="168" t="str">
        <f>MRS!B153&amp;" "&amp;MRS!D153</f>
        <v xml:space="preserve">Drill Bit HSS Cobalt (S/S) 8mm </v>
      </c>
      <c r="C153" s="169"/>
      <c r="D153" s="83" t="str">
        <f>MRS!G153</f>
        <v>Nos</v>
      </c>
      <c r="E153" s="84">
        <f>MRS!H153</f>
        <v>25</v>
      </c>
      <c r="F153" s="85">
        <f>+'MRS LIST'!I153</f>
        <v>9</v>
      </c>
      <c r="G153" s="86">
        <f>+'MRS LIST'!J153</f>
        <v>225</v>
      </c>
      <c r="H153" s="91"/>
    </row>
    <row r="154" spans="1:8" s="52" customFormat="1" ht="32.1" customHeight="1">
      <c r="A154" s="90">
        <f t="shared" si="2"/>
        <v>149</v>
      </c>
      <c r="B154" s="168" t="str">
        <f>MRS!B154&amp;" "&amp;MRS!D154</f>
        <v xml:space="preserve">Drill Bit HSS Cobalt (S/S) 10mm </v>
      </c>
      <c r="C154" s="169"/>
      <c r="D154" s="83" t="str">
        <f>MRS!G154</f>
        <v>Nos</v>
      </c>
      <c r="E154" s="84">
        <f>MRS!H154</f>
        <v>25</v>
      </c>
      <c r="F154" s="85">
        <f>+'MRS LIST'!I154</f>
        <v>13</v>
      </c>
      <c r="G154" s="86">
        <f>+'MRS LIST'!J154</f>
        <v>325</v>
      </c>
      <c r="H154" s="91"/>
    </row>
    <row r="155" spans="1:8" s="52" customFormat="1" ht="32.1" customHeight="1">
      <c r="A155" s="90">
        <f t="shared" si="2"/>
        <v>150</v>
      </c>
      <c r="B155" s="168" t="str">
        <f>MRS!B155&amp;" "&amp;MRS!D155</f>
        <v xml:space="preserve">Die Grinder 6mm 220V with Paddle Switch GD0600 Makita </v>
      </c>
      <c r="C155" s="169"/>
      <c r="D155" s="83" t="str">
        <f>MRS!G155</f>
        <v>Nos</v>
      </c>
      <c r="E155" s="84">
        <f>MRS!H155</f>
        <v>30</v>
      </c>
      <c r="F155" s="85">
        <f>+'MRS LIST'!I155</f>
        <v>440</v>
      </c>
      <c r="G155" s="86">
        <f>+'MRS LIST'!J155</f>
        <v>13200</v>
      </c>
      <c r="H155" s="91"/>
    </row>
    <row r="156" spans="1:8" s="52" customFormat="1" ht="32.1" customHeight="1">
      <c r="A156" s="90">
        <f t="shared" si="2"/>
        <v>151</v>
      </c>
      <c r="B156" s="168" t="str">
        <f>MRS!B156&amp;" "&amp;MRS!D156</f>
        <v xml:space="preserve">Plastic Sandbag Heavy Duty (Gunny Sack) 50kg </v>
      </c>
      <c r="C156" s="169"/>
      <c r="D156" s="83" t="str">
        <f>MRS!G156</f>
        <v>Nos</v>
      </c>
      <c r="E156" s="84">
        <f>MRS!H156</f>
        <v>1300</v>
      </c>
      <c r="F156" s="85">
        <f>+'MRS LIST'!I156</f>
        <v>2.8</v>
      </c>
      <c r="G156" s="86">
        <f>+'MRS LIST'!J156</f>
        <v>3639.9999999999995</v>
      </c>
      <c r="H156" s="91"/>
    </row>
    <row r="157" spans="1:8" s="52" customFormat="1" ht="32.1" customHeight="1">
      <c r="A157" s="90">
        <f t="shared" si="2"/>
        <v>152</v>
      </c>
      <c r="B157" s="168" t="str">
        <f>MRS!B157&amp;" "&amp;MRS!D157</f>
        <v xml:space="preserve">VpCI-329 Oil-Based Concentrates 5 gallon Cortec </v>
      </c>
      <c r="C157" s="169"/>
      <c r="D157" s="83" t="str">
        <f>MRS!G157</f>
        <v>Nos</v>
      </c>
      <c r="E157" s="84">
        <f>MRS!H157</f>
        <v>1</v>
      </c>
      <c r="F157" s="85">
        <f>+'MRS LIST'!I157</f>
        <v>3750</v>
      </c>
      <c r="G157" s="86">
        <f>+'MRS LIST'!J157</f>
        <v>3750</v>
      </c>
      <c r="H157" s="91"/>
    </row>
    <row r="158" spans="1:8" s="52" customFormat="1" ht="32.1" customHeight="1">
      <c r="A158" s="90">
        <f t="shared" si="2"/>
        <v>153</v>
      </c>
      <c r="B158" s="168" t="str">
        <f>MRS!B158&amp;" "&amp;MRS!D158</f>
        <v xml:space="preserve">Grease MP 2CL+ Petromin </v>
      </c>
      <c r="C158" s="169"/>
      <c r="D158" s="83" t="str">
        <f>MRS!G158</f>
        <v>Nos</v>
      </c>
      <c r="E158" s="84">
        <f>MRS!H158</f>
        <v>1</v>
      </c>
      <c r="F158" s="85">
        <f>+'MRS LIST'!I158</f>
        <v>164</v>
      </c>
      <c r="G158" s="86">
        <f>+'MRS LIST'!J158</f>
        <v>164</v>
      </c>
      <c r="H158" s="91"/>
    </row>
    <row r="159" spans="1:8" s="52" customFormat="1" ht="32.1" customHeight="1">
      <c r="A159" s="90">
        <f t="shared" si="2"/>
        <v>154</v>
      </c>
      <c r="B159" s="168" t="str">
        <f>MRS!B159&amp;" "&amp;MRS!D159</f>
        <v xml:space="preserve">Right Angle 12" </v>
      </c>
      <c r="C159" s="169"/>
      <c r="D159" s="83" t="str">
        <f>MRS!G159</f>
        <v>Nos</v>
      </c>
      <c r="E159" s="84">
        <f>MRS!H159</f>
        <v>70</v>
      </c>
      <c r="F159" s="85">
        <f>+'MRS LIST'!I159</f>
        <v>13</v>
      </c>
      <c r="G159" s="86">
        <f>+'MRS LIST'!J159</f>
        <v>910</v>
      </c>
      <c r="H159" s="91"/>
    </row>
    <row r="160" spans="1:8" s="52" customFormat="1" ht="32.1" customHeight="1">
      <c r="A160" s="90">
        <f t="shared" si="2"/>
        <v>155</v>
      </c>
      <c r="B160" s="168" t="str">
        <f>MRS!B160&amp;" "&amp;MRS!D160</f>
        <v xml:space="preserve">Right Angle 24" </v>
      </c>
      <c r="C160" s="169"/>
      <c r="D160" s="83" t="str">
        <f>MRS!G160</f>
        <v>Nos</v>
      </c>
      <c r="E160" s="84">
        <f>MRS!H160</f>
        <v>70</v>
      </c>
      <c r="F160" s="85">
        <f>+'MRS LIST'!I160</f>
        <v>18</v>
      </c>
      <c r="G160" s="86">
        <f>+'MRS LIST'!J160</f>
        <v>1260</v>
      </c>
      <c r="H160" s="91"/>
    </row>
    <row r="161" spans="1:8" s="52" customFormat="1" ht="32.1" customHeight="1">
      <c r="A161" s="90">
        <f t="shared" si="2"/>
        <v>156</v>
      </c>
      <c r="B161" s="168" t="str">
        <f>MRS!B161&amp;" "&amp;MRS!D161</f>
        <v xml:space="preserve">Rubber Hammer 2Lbs </v>
      </c>
      <c r="C161" s="169"/>
      <c r="D161" s="83" t="str">
        <f>MRS!G161</f>
        <v>Nos</v>
      </c>
      <c r="E161" s="84">
        <f>MRS!H161</f>
        <v>10</v>
      </c>
      <c r="F161" s="85">
        <f>+'MRS LIST'!I161</f>
        <v>29</v>
      </c>
      <c r="G161" s="86">
        <f>+'MRS LIST'!J161</f>
        <v>290</v>
      </c>
      <c r="H161" s="91"/>
    </row>
    <row r="162" spans="1:8" s="52" customFormat="1" ht="32.1" customHeight="1">
      <c r="A162" s="90">
        <f t="shared" si="2"/>
        <v>157</v>
      </c>
      <c r="B162" s="168" t="str">
        <f>MRS!B162&amp;" "&amp;MRS!D162</f>
        <v xml:space="preserve">Adjustable Wrench 12"(300mm) </v>
      </c>
      <c r="C162" s="169"/>
      <c r="D162" s="83" t="str">
        <f>MRS!G162</f>
        <v>Nos</v>
      </c>
      <c r="E162" s="84">
        <f>MRS!H162</f>
        <v>50</v>
      </c>
      <c r="F162" s="85">
        <f>+'MRS LIST'!I162</f>
        <v>19</v>
      </c>
      <c r="G162" s="86">
        <f>+'MRS LIST'!J162</f>
        <v>950</v>
      </c>
      <c r="H162" s="91"/>
    </row>
    <row r="163" spans="1:8" s="52" customFormat="1" ht="32.1" customHeight="1">
      <c r="A163" s="90">
        <f t="shared" si="2"/>
        <v>158</v>
      </c>
      <c r="B163" s="168" t="str">
        <f>MRS!B163&amp;" "&amp;MRS!D163</f>
        <v xml:space="preserve">Inspection and Certification of Man Basket with Blue Sticker </v>
      </c>
      <c r="C163" s="169"/>
      <c r="D163" s="83" t="str">
        <f>MRS!G163</f>
        <v>Nos</v>
      </c>
      <c r="E163" s="84">
        <f>MRS!H163</f>
        <v>1</v>
      </c>
      <c r="F163" s="85">
        <f>+'MRS LIST'!I163</f>
        <v>850</v>
      </c>
      <c r="G163" s="86">
        <f>+'MRS LIST'!J163</f>
        <v>850</v>
      </c>
      <c r="H163" s="91"/>
    </row>
    <row r="164" spans="1:8" s="52" customFormat="1" ht="32.1" customHeight="1">
      <c r="A164" s="90">
        <f t="shared" si="2"/>
        <v>159</v>
      </c>
      <c r="B164" s="168" t="str">
        <f>MRS!B164&amp;" "&amp;MRS!D164</f>
        <v xml:space="preserve">Measuring Tape 5mtr </v>
      </c>
      <c r="C164" s="169"/>
      <c r="D164" s="83" t="str">
        <f>MRS!G164</f>
        <v>Nos</v>
      </c>
      <c r="E164" s="84">
        <f>MRS!H164</f>
        <v>50</v>
      </c>
      <c r="F164" s="85">
        <f>+'MRS LIST'!I164</f>
        <v>6</v>
      </c>
      <c r="G164" s="86">
        <f>+'MRS LIST'!J164</f>
        <v>300</v>
      </c>
      <c r="H164" s="91"/>
    </row>
    <row r="165" spans="1:8" s="52" customFormat="1" ht="32.1" customHeight="1">
      <c r="A165" s="90">
        <f t="shared" si="2"/>
        <v>160</v>
      </c>
      <c r="B165" s="168" t="str">
        <f>MRS!B165&amp;" "&amp;MRS!D165</f>
        <v xml:space="preserve">Split Level 12" </v>
      </c>
      <c r="C165" s="169"/>
      <c r="D165" s="83" t="str">
        <f>MRS!G165</f>
        <v>Nos</v>
      </c>
      <c r="E165" s="84">
        <f>MRS!H165</f>
        <v>60</v>
      </c>
      <c r="F165" s="85">
        <f>+'MRS LIST'!I165</f>
        <v>29</v>
      </c>
      <c r="G165" s="86">
        <f>+'MRS LIST'!J165</f>
        <v>1740</v>
      </c>
      <c r="H165" s="91"/>
    </row>
    <row r="166" spans="1:8" s="52" customFormat="1" ht="32.1" customHeight="1">
      <c r="A166" s="90">
        <f t="shared" si="2"/>
        <v>161</v>
      </c>
      <c r="B166" s="168" t="str">
        <f>MRS!B166&amp;" "&amp;MRS!D166</f>
        <v xml:space="preserve">Split Level 24" </v>
      </c>
      <c r="C166" s="169"/>
      <c r="D166" s="83" t="str">
        <f>MRS!G166</f>
        <v>Nos</v>
      </c>
      <c r="E166" s="84">
        <f>MRS!H166</f>
        <v>60</v>
      </c>
      <c r="F166" s="85">
        <f>+'MRS LIST'!I166</f>
        <v>33</v>
      </c>
      <c r="G166" s="86">
        <f>+'MRS LIST'!J166</f>
        <v>1980</v>
      </c>
      <c r="H166" s="91"/>
    </row>
    <row r="167" spans="1:8" s="52" customFormat="1" ht="32.1" customHeight="1">
      <c r="A167" s="90">
        <f t="shared" si="2"/>
        <v>162</v>
      </c>
      <c r="B167" s="168" t="str">
        <f>MRS!B167&amp;" "&amp;MRS!D167</f>
        <v xml:space="preserve">Magnetic Split Level 12" </v>
      </c>
      <c r="C167" s="169"/>
      <c r="D167" s="83" t="str">
        <f>MRS!G167</f>
        <v>Nos</v>
      </c>
      <c r="E167" s="84">
        <f>MRS!H167</f>
        <v>30</v>
      </c>
      <c r="F167" s="85">
        <f>+'MRS LIST'!I167</f>
        <v>34</v>
      </c>
      <c r="G167" s="86">
        <f>+'MRS LIST'!J167</f>
        <v>1020</v>
      </c>
      <c r="H167" s="91"/>
    </row>
    <row r="168" spans="1:8" s="52" customFormat="1" ht="32.1" customHeight="1">
      <c r="A168" s="90">
        <f t="shared" si="2"/>
        <v>163</v>
      </c>
      <c r="B168" s="168" t="str">
        <f>MRS!B168&amp;" "&amp;MRS!D168</f>
        <v xml:space="preserve">Magnetic Split Level 24" </v>
      </c>
      <c r="C168" s="169"/>
      <c r="D168" s="83" t="str">
        <f>MRS!G168</f>
        <v>Nos</v>
      </c>
      <c r="E168" s="84">
        <f>MRS!H168</f>
        <v>30</v>
      </c>
      <c r="F168" s="85">
        <f>+'MRS LIST'!I168</f>
        <v>38</v>
      </c>
      <c r="G168" s="86">
        <f>+'MRS LIST'!J168</f>
        <v>1140</v>
      </c>
      <c r="H168" s="91"/>
    </row>
    <row r="169" spans="1:8" s="52" customFormat="1" ht="32.1" customHeight="1">
      <c r="A169" s="90">
        <f t="shared" si="2"/>
        <v>164</v>
      </c>
      <c r="B169" s="168" t="str">
        <f>MRS!B169&amp;" "&amp;MRS!D169</f>
        <v xml:space="preserve">Concrete Drill Bit 16mmx210mm </v>
      </c>
      <c r="C169" s="169"/>
      <c r="D169" s="83" t="str">
        <f>MRS!G169</f>
        <v>Nos</v>
      </c>
      <c r="E169" s="84">
        <f>MRS!H169</f>
        <v>30</v>
      </c>
      <c r="F169" s="85">
        <f>+'MRS LIST'!I169</f>
        <v>10.199999999999999</v>
      </c>
      <c r="G169" s="86">
        <f>+'MRS LIST'!J169</f>
        <v>306</v>
      </c>
      <c r="H169" s="91"/>
    </row>
    <row r="170" spans="1:8" s="52" customFormat="1" ht="32.1" customHeight="1">
      <c r="A170" s="90">
        <f t="shared" si="2"/>
        <v>165</v>
      </c>
      <c r="B170" s="168" t="str">
        <f>MRS!B170&amp;" "&amp;MRS!D170</f>
        <v xml:space="preserve">Electric Insulation Tape Red </v>
      </c>
      <c r="C170" s="169"/>
      <c r="D170" s="83" t="str">
        <f>MRS!G170</f>
        <v>Nos</v>
      </c>
      <c r="E170" s="84">
        <f>MRS!H170</f>
        <v>400</v>
      </c>
      <c r="F170" s="85">
        <f>+'MRS LIST'!I170</f>
        <v>2</v>
      </c>
      <c r="G170" s="86">
        <f>+'MRS LIST'!J170</f>
        <v>800</v>
      </c>
      <c r="H170" s="91"/>
    </row>
    <row r="171" spans="1:8" s="52" customFormat="1" ht="32.1" customHeight="1">
      <c r="A171" s="90">
        <f t="shared" si="2"/>
        <v>166</v>
      </c>
      <c r="B171" s="168" t="str">
        <f>MRS!B171&amp;" "&amp;MRS!D171</f>
        <v xml:space="preserve">Pyrometer Infrared Thermometer </v>
      </c>
      <c r="C171" s="169"/>
      <c r="D171" s="83" t="str">
        <f>MRS!G171</f>
        <v>Nos</v>
      </c>
      <c r="E171" s="84">
        <f>MRS!H171</f>
        <v>3</v>
      </c>
      <c r="F171" s="85">
        <f>+'MRS LIST'!I171</f>
        <v>95</v>
      </c>
      <c r="G171" s="86">
        <f>+'MRS LIST'!J171</f>
        <v>285</v>
      </c>
      <c r="H171" s="91"/>
    </row>
    <row r="172" spans="1:8" s="52" customFormat="1" ht="32.1" customHeight="1">
      <c r="A172" s="90">
        <f t="shared" si="2"/>
        <v>167</v>
      </c>
      <c r="B172" s="168" t="str">
        <f>MRS!B172&amp;" "&amp;MRS!D172</f>
        <v xml:space="preserve">Digital Clamp Meter 1000V &amp; 400A AC/DC TRMS SPR-216 Spartna </v>
      </c>
      <c r="C172" s="169"/>
      <c r="D172" s="83" t="str">
        <f>MRS!G172</f>
        <v>Nos</v>
      </c>
      <c r="E172" s="84">
        <f>MRS!H172</f>
        <v>2</v>
      </c>
      <c r="F172" s="85">
        <f>+'MRS LIST'!I172</f>
        <v>535</v>
      </c>
      <c r="G172" s="86">
        <f>+'MRS LIST'!J172</f>
        <v>1070</v>
      </c>
      <c r="H172" s="91"/>
    </row>
    <row r="173" spans="1:8" s="52" customFormat="1" ht="32.1" customHeight="1">
      <c r="A173" s="90">
        <f t="shared" si="2"/>
        <v>168</v>
      </c>
      <c r="B173" s="168" t="str">
        <f>MRS!B173&amp;" "&amp;MRS!D173</f>
        <v xml:space="preserve">Bridge Cam Gauge </v>
      </c>
      <c r="C173" s="169"/>
      <c r="D173" s="83" t="str">
        <f>MRS!G173</f>
        <v>Nos</v>
      </c>
      <c r="E173" s="84">
        <f>MRS!H173</f>
        <v>3</v>
      </c>
      <c r="F173" s="85">
        <f>+'MRS LIST'!I173</f>
        <v>130</v>
      </c>
      <c r="G173" s="86">
        <f>+'MRS LIST'!J173</f>
        <v>390</v>
      </c>
      <c r="H173" s="91"/>
    </row>
    <row r="174" spans="1:8" s="52" customFormat="1" ht="32.1" customHeight="1">
      <c r="A174" s="90">
        <f t="shared" si="2"/>
        <v>169</v>
      </c>
      <c r="B174" s="168" t="str">
        <f>MRS!B174&amp;" "&amp;MRS!D174</f>
        <v xml:space="preserve">Inspection Mirror Round 1.25" Extendable </v>
      </c>
      <c r="C174" s="169"/>
      <c r="D174" s="83" t="str">
        <f>MRS!G174</f>
        <v>Nos</v>
      </c>
      <c r="E174" s="84">
        <f>MRS!H174</f>
        <v>10</v>
      </c>
      <c r="F174" s="85">
        <f>+'MRS LIST'!I174</f>
        <v>10</v>
      </c>
      <c r="G174" s="86">
        <f>+'MRS LIST'!J174</f>
        <v>100</v>
      </c>
      <c r="H174" s="91"/>
    </row>
    <row r="175" spans="1:8" s="52" customFormat="1" ht="32.1" customHeight="1">
      <c r="A175" s="90">
        <f t="shared" si="2"/>
        <v>170</v>
      </c>
      <c r="B175" s="168" t="str">
        <f>MRS!B175&amp;" "&amp;MRS!D175</f>
        <v xml:space="preserve">Inspection Mirror Round 2" Extendable </v>
      </c>
      <c r="C175" s="169"/>
      <c r="D175" s="83" t="str">
        <f>MRS!G175</f>
        <v>Nos</v>
      </c>
      <c r="E175" s="84">
        <f>MRS!H175</f>
        <v>10</v>
      </c>
      <c r="F175" s="85">
        <f>+'MRS LIST'!I175</f>
        <v>14</v>
      </c>
      <c r="G175" s="86">
        <f>+'MRS LIST'!J175</f>
        <v>140</v>
      </c>
      <c r="H175" s="91"/>
    </row>
    <row r="176" spans="1:8" s="52" customFormat="1" ht="32.1" customHeight="1">
      <c r="A176" s="90">
        <f t="shared" si="2"/>
        <v>171</v>
      </c>
      <c r="B176" s="168" t="str">
        <f>MRS!B176&amp;" "&amp;MRS!D176</f>
        <v xml:space="preserve">Split A/C 2Ton Heat &amp; Cooling Inverter LG </v>
      </c>
      <c r="C176" s="169"/>
      <c r="D176" s="83" t="str">
        <f>MRS!G176</f>
        <v>Nos</v>
      </c>
      <c r="E176" s="84">
        <f>MRS!H176</f>
        <v>1</v>
      </c>
      <c r="F176" s="85">
        <f>+'MRS LIST'!I176</f>
        <v>2700</v>
      </c>
      <c r="G176" s="86">
        <f>+'MRS LIST'!J176</f>
        <v>2700</v>
      </c>
      <c r="H176" s="91"/>
    </row>
    <row r="177" spans="1:13" s="52" customFormat="1" ht="32.1" customHeight="1">
      <c r="A177" s="90">
        <f t="shared" si="2"/>
        <v>172</v>
      </c>
      <c r="B177" s="168" t="str">
        <f>MRS!B177&amp;" "&amp;MRS!D177</f>
        <v xml:space="preserve">A/C Copper Tube Set 5/8"x15mtr </v>
      </c>
      <c r="C177" s="169"/>
      <c r="D177" s="83" t="str">
        <f>MRS!G177</f>
        <v>Nos</v>
      </c>
      <c r="E177" s="84">
        <f>MRS!H177</f>
        <v>2</v>
      </c>
      <c r="F177" s="85">
        <f>+'MRS LIST'!I177</f>
        <v>430</v>
      </c>
      <c r="G177" s="86">
        <f>+'MRS LIST'!J177</f>
        <v>860</v>
      </c>
      <c r="H177" s="91"/>
    </row>
    <row r="178" spans="1:13" s="52" customFormat="1" ht="32.1" customHeight="1">
      <c r="A178" s="90">
        <f t="shared" si="2"/>
        <v>173</v>
      </c>
      <c r="B178" s="168" t="str">
        <f>MRS!B178&amp;" "&amp;MRS!D178</f>
        <v xml:space="preserve">A/C Copper Tube Set 1/4"x15mtr </v>
      </c>
      <c r="C178" s="169"/>
      <c r="D178" s="83" t="str">
        <f>MRS!G178</f>
        <v>Nos</v>
      </c>
      <c r="E178" s="84">
        <f>MRS!H178</f>
        <v>2</v>
      </c>
      <c r="F178" s="85">
        <f>+'MRS LIST'!I178</f>
        <v>143</v>
      </c>
      <c r="G178" s="86">
        <f>+'MRS LIST'!J178</f>
        <v>286</v>
      </c>
      <c r="H178" s="91"/>
    </row>
    <row r="179" spans="1:13" s="52" customFormat="1" ht="32.1" customHeight="1">
      <c r="A179" s="90">
        <f t="shared" si="2"/>
        <v>174</v>
      </c>
      <c r="B179" s="168" t="str">
        <f>MRS!B179&amp;" "&amp;MRS!D179</f>
        <v xml:space="preserve">Insulation Copper Pipe 5/8" x 15mtr </v>
      </c>
      <c r="C179" s="169"/>
      <c r="D179" s="83" t="str">
        <f>MRS!G179</f>
        <v>Nos</v>
      </c>
      <c r="E179" s="84">
        <f>MRS!H179</f>
        <v>2</v>
      </c>
      <c r="F179" s="85">
        <f>+'MRS LIST'!I179</f>
        <v>18</v>
      </c>
      <c r="G179" s="86">
        <f>+'MRS LIST'!J179</f>
        <v>36</v>
      </c>
      <c r="H179" s="91"/>
    </row>
    <row r="180" spans="1:13" s="52" customFormat="1" ht="32.1" customHeight="1">
      <c r="A180" s="90">
        <f t="shared" si="2"/>
        <v>175</v>
      </c>
      <c r="B180" s="168" t="str">
        <f>MRS!B180&amp;" "&amp;MRS!D180</f>
        <v xml:space="preserve">Insulation Tape Black 2" </v>
      </c>
      <c r="C180" s="169"/>
      <c r="D180" s="83" t="str">
        <f>MRS!G180</f>
        <v>Nos</v>
      </c>
      <c r="E180" s="84">
        <f>MRS!H180</f>
        <v>12</v>
      </c>
      <c r="F180" s="85">
        <f>+'MRS LIST'!I180</f>
        <v>3.5</v>
      </c>
      <c r="G180" s="86">
        <f>+'MRS LIST'!J180</f>
        <v>42</v>
      </c>
      <c r="H180" s="91"/>
    </row>
    <row r="181" spans="1:13" s="52" customFormat="1" ht="32.1" customHeight="1">
      <c r="A181" s="90">
        <f t="shared" si="2"/>
        <v>176</v>
      </c>
      <c r="B181" s="168" t="str">
        <f>MRS!B181&amp;" "&amp;MRS!D181</f>
        <v xml:space="preserve">Padlock Brass 40mm </v>
      </c>
      <c r="C181" s="169"/>
      <c r="D181" s="83" t="str">
        <f>MRS!G181</f>
        <v>Nos</v>
      </c>
      <c r="E181" s="84">
        <f>MRS!H181</f>
        <v>25</v>
      </c>
      <c r="F181" s="85">
        <f>+'MRS LIST'!I181</f>
        <v>4.5</v>
      </c>
      <c r="G181" s="86">
        <f>+'MRS LIST'!J181</f>
        <v>112.5</v>
      </c>
      <c r="H181" s="91"/>
    </row>
    <row r="182" spans="1:13" s="52" customFormat="1" ht="32.1" customHeight="1">
      <c r="A182" s="90">
        <f t="shared" si="2"/>
        <v>177</v>
      </c>
      <c r="B182" s="168" t="str">
        <f>MRS!B182&amp;" "&amp;MRS!D182</f>
        <v xml:space="preserve">Pipe Thread Tap Set C/S 1/2" NPT </v>
      </c>
      <c r="C182" s="169"/>
      <c r="D182" s="83" t="str">
        <f>MRS!G182</f>
        <v>Nos</v>
      </c>
      <c r="E182" s="84">
        <f>MRS!H182</f>
        <v>2</v>
      </c>
      <c r="F182" s="85">
        <f>+'MRS LIST'!I182</f>
        <v>72</v>
      </c>
      <c r="G182" s="86">
        <f>+'MRS LIST'!J182</f>
        <v>144</v>
      </c>
      <c r="H182" s="91"/>
    </row>
    <row r="183" spans="1:13" s="52" customFormat="1" ht="32.1" customHeight="1">
      <c r="A183" s="90">
        <f t="shared" si="2"/>
        <v>178</v>
      </c>
      <c r="B183" s="168" t="str">
        <f>MRS!B183&amp;" "&amp;MRS!D183</f>
        <v xml:space="preserve">Pipe Thread Tap Set S/S 1/2" NPT </v>
      </c>
      <c r="C183" s="169"/>
      <c r="D183" s="83" t="str">
        <f>MRS!G183</f>
        <v>Nos</v>
      </c>
      <c r="E183" s="84">
        <f>MRS!H183</f>
        <v>2</v>
      </c>
      <c r="F183" s="85">
        <f>+'MRS LIST'!I183</f>
        <v>150</v>
      </c>
      <c r="G183" s="86">
        <f>+'MRS LIST'!J183</f>
        <v>300</v>
      </c>
      <c r="H183" s="91"/>
    </row>
    <row r="184" spans="1:13" s="52" customFormat="1" ht="32.1" customHeight="1">
      <c r="A184" s="90">
        <f t="shared" si="2"/>
        <v>179</v>
      </c>
      <c r="B184" s="168" t="str">
        <f>MRS!B184&amp;" "&amp;MRS!D184</f>
        <v xml:space="preserve">Jigsaw Machine for Wood 230V, 450W 4326 Makita </v>
      </c>
      <c r="C184" s="169"/>
      <c r="D184" s="83" t="str">
        <f>MRS!G184</f>
        <v>Nos</v>
      </c>
      <c r="E184" s="84">
        <f>MRS!H184</f>
        <v>1</v>
      </c>
      <c r="F184" s="85">
        <f>+'MRS LIST'!I184</f>
        <v>407</v>
      </c>
      <c r="G184" s="86">
        <f>+'MRS LIST'!J184</f>
        <v>407</v>
      </c>
      <c r="H184" s="91"/>
    </row>
    <row r="185" spans="1:13" s="52" customFormat="1" ht="23.1" customHeight="1">
      <c r="A185" s="184" t="s">
        <v>83</v>
      </c>
      <c r="B185" s="185"/>
      <c r="C185" s="185"/>
      <c r="D185" s="185"/>
      <c r="E185" s="185"/>
      <c r="F185" s="185"/>
      <c r="G185" s="55">
        <f>SUM(G6:G184)</f>
        <v>770481</v>
      </c>
      <c r="H185" s="56"/>
    </row>
    <row r="186" spans="1:13" s="52" customFormat="1" ht="23.1" customHeight="1">
      <c r="A186" s="184" t="s">
        <v>47</v>
      </c>
      <c r="B186" s="185"/>
      <c r="C186" s="185"/>
      <c r="D186" s="185"/>
      <c r="E186" s="185"/>
      <c r="F186" s="185"/>
      <c r="G186" s="55">
        <f>+G185*0.15</f>
        <v>115572.15</v>
      </c>
      <c r="H186" s="56"/>
    </row>
    <row r="187" spans="1:13" s="52" customFormat="1" ht="24.95" customHeight="1" thickBot="1">
      <c r="A187" s="186" t="s">
        <v>84</v>
      </c>
      <c r="B187" s="187"/>
      <c r="C187" s="187"/>
      <c r="D187" s="187"/>
      <c r="E187" s="187"/>
      <c r="F187" s="187"/>
      <c r="G187" s="57">
        <f>G186+G185</f>
        <v>886053.15</v>
      </c>
      <c r="H187" s="58"/>
    </row>
    <row r="188" spans="1:13" ht="15.75" thickTop="1">
      <c r="A188" s="59" t="str">
        <f>" 1) Above Price are as per your quotation with ref "&amp;'PO 1st page'!K14</f>
        <v xml:space="preserve"> 1) Above Price are as per your quotation with ref Q-20263209</v>
      </c>
      <c r="B188" s="60"/>
      <c r="C188" s="60"/>
      <c r="D188" s="61"/>
      <c r="E188" s="61"/>
      <c r="F188" s="61"/>
      <c r="G188" s="61"/>
      <c r="H188" s="61"/>
    </row>
    <row r="189" spans="1:13" ht="15">
      <c r="A189" s="62" t="s">
        <v>85</v>
      </c>
      <c r="B189" s="63"/>
      <c r="C189" s="63"/>
      <c r="D189" s="64"/>
      <c r="E189" s="64"/>
      <c r="F189" s="64"/>
      <c r="G189" s="64"/>
      <c r="H189" s="64"/>
      <c r="I189" s="65"/>
    </row>
    <row r="190" spans="1:13" ht="15.75">
      <c r="A190" s="66"/>
    </row>
    <row r="191" spans="1:13">
      <c r="A191" s="120" t="s">
        <v>86</v>
      </c>
      <c r="B191" s="120"/>
      <c r="C191" s="120"/>
      <c r="D191" s="120"/>
      <c r="E191" s="120"/>
      <c r="F191" s="120"/>
      <c r="G191" s="120"/>
      <c r="H191" s="120"/>
      <c r="I191" s="67"/>
      <c r="J191" s="67"/>
      <c r="K191" s="67"/>
      <c r="L191" s="67"/>
      <c r="M191" s="67"/>
    </row>
    <row r="192" spans="1:13" ht="15.75">
      <c r="A192" s="66"/>
      <c r="C192" s="68"/>
    </row>
    <row r="193" spans="1:3" ht="15.75">
      <c r="A193" s="66"/>
      <c r="C193" s="68"/>
    </row>
    <row r="195" spans="1:3" ht="12" customHeight="1"/>
  </sheetData>
  <mergeCells count="191">
    <mergeCell ref="B183:C183"/>
    <mergeCell ref="B184:C184"/>
    <mergeCell ref="B178:C178"/>
    <mergeCell ref="B179:C179"/>
    <mergeCell ref="B180:C180"/>
    <mergeCell ref="B181:C181"/>
    <mergeCell ref="B182:C182"/>
    <mergeCell ref="B173:C173"/>
    <mergeCell ref="B174:C174"/>
    <mergeCell ref="B175:C175"/>
    <mergeCell ref="B176:C176"/>
    <mergeCell ref="B177:C177"/>
    <mergeCell ref="B168:C168"/>
    <mergeCell ref="B169:C169"/>
    <mergeCell ref="B170:C170"/>
    <mergeCell ref="B171:C171"/>
    <mergeCell ref="B172:C172"/>
    <mergeCell ref="B163:C163"/>
    <mergeCell ref="B164:C164"/>
    <mergeCell ref="B165:C165"/>
    <mergeCell ref="B166:C166"/>
    <mergeCell ref="B167:C167"/>
    <mergeCell ref="B158:C158"/>
    <mergeCell ref="B159:C159"/>
    <mergeCell ref="B160:C160"/>
    <mergeCell ref="B161:C161"/>
    <mergeCell ref="B162:C162"/>
    <mergeCell ref="B153:C153"/>
    <mergeCell ref="B154:C154"/>
    <mergeCell ref="B155:C155"/>
    <mergeCell ref="B156:C156"/>
    <mergeCell ref="B157:C157"/>
    <mergeCell ref="B148:C148"/>
    <mergeCell ref="B149:C149"/>
    <mergeCell ref="B150:C150"/>
    <mergeCell ref="B151:C151"/>
    <mergeCell ref="B152:C152"/>
    <mergeCell ref="B143:C143"/>
    <mergeCell ref="B144:C144"/>
    <mergeCell ref="B145:C145"/>
    <mergeCell ref="B146:C146"/>
    <mergeCell ref="B147:C147"/>
    <mergeCell ref="B138:C138"/>
    <mergeCell ref="B139:C139"/>
    <mergeCell ref="B140:C140"/>
    <mergeCell ref="B141:C141"/>
    <mergeCell ref="B142:C142"/>
    <mergeCell ref="B133:C133"/>
    <mergeCell ref="B134:C134"/>
    <mergeCell ref="B135:C135"/>
    <mergeCell ref="B136:C136"/>
    <mergeCell ref="B137:C137"/>
    <mergeCell ref="B128:C128"/>
    <mergeCell ref="B129:C129"/>
    <mergeCell ref="B130:C130"/>
    <mergeCell ref="B131:C131"/>
    <mergeCell ref="B132:C132"/>
    <mergeCell ref="B123:C123"/>
    <mergeCell ref="B124:C124"/>
    <mergeCell ref="B125:C125"/>
    <mergeCell ref="B126:C126"/>
    <mergeCell ref="B127:C127"/>
    <mergeCell ref="B118:C118"/>
    <mergeCell ref="B119:C119"/>
    <mergeCell ref="B120:C120"/>
    <mergeCell ref="B121:C121"/>
    <mergeCell ref="B122:C122"/>
    <mergeCell ref="B113:C113"/>
    <mergeCell ref="B114:C114"/>
    <mergeCell ref="B115:C115"/>
    <mergeCell ref="B116:C116"/>
    <mergeCell ref="B117:C117"/>
    <mergeCell ref="B108:C108"/>
    <mergeCell ref="B109:C109"/>
    <mergeCell ref="B110:C110"/>
    <mergeCell ref="B111:C111"/>
    <mergeCell ref="B112:C112"/>
    <mergeCell ref="B103:C103"/>
    <mergeCell ref="B104:C104"/>
    <mergeCell ref="B105:C105"/>
    <mergeCell ref="B106:C106"/>
    <mergeCell ref="B107:C107"/>
    <mergeCell ref="B98:C98"/>
    <mergeCell ref="B99:C99"/>
    <mergeCell ref="B100:C100"/>
    <mergeCell ref="B101:C101"/>
    <mergeCell ref="B102:C102"/>
    <mergeCell ref="B93:C93"/>
    <mergeCell ref="B94:C94"/>
    <mergeCell ref="B95:C95"/>
    <mergeCell ref="B96:C96"/>
    <mergeCell ref="B97:C97"/>
    <mergeCell ref="B88:C88"/>
    <mergeCell ref="B89:C89"/>
    <mergeCell ref="B90:C90"/>
    <mergeCell ref="B91:C91"/>
    <mergeCell ref="B92:C92"/>
    <mergeCell ref="B83:C83"/>
    <mergeCell ref="B84:C84"/>
    <mergeCell ref="B85:C85"/>
    <mergeCell ref="B86:C86"/>
    <mergeCell ref="B87:C87"/>
    <mergeCell ref="B78:C78"/>
    <mergeCell ref="B79:C79"/>
    <mergeCell ref="B80:C80"/>
    <mergeCell ref="B81:C81"/>
    <mergeCell ref="B82:C82"/>
    <mergeCell ref="B73:C73"/>
    <mergeCell ref="B74:C74"/>
    <mergeCell ref="B75:C75"/>
    <mergeCell ref="B76:C76"/>
    <mergeCell ref="B77:C77"/>
    <mergeCell ref="B68:C68"/>
    <mergeCell ref="B69:C69"/>
    <mergeCell ref="B70:C70"/>
    <mergeCell ref="B71:C71"/>
    <mergeCell ref="B72:C72"/>
    <mergeCell ref="B63:C63"/>
    <mergeCell ref="B64:C64"/>
    <mergeCell ref="B65:C65"/>
    <mergeCell ref="B66:C66"/>
    <mergeCell ref="B67:C67"/>
    <mergeCell ref="B58:C58"/>
    <mergeCell ref="B59:C59"/>
    <mergeCell ref="B60:C60"/>
    <mergeCell ref="B61:C61"/>
    <mergeCell ref="B62:C62"/>
    <mergeCell ref="B53:C53"/>
    <mergeCell ref="B54:C54"/>
    <mergeCell ref="B55:C55"/>
    <mergeCell ref="B56:C56"/>
    <mergeCell ref="B57:C57"/>
    <mergeCell ref="B48:C48"/>
    <mergeCell ref="B49:C49"/>
    <mergeCell ref="B50:C50"/>
    <mergeCell ref="B51:C51"/>
    <mergeCell ref="B52:C52"/>
    <mergeCell ref="B43:C43"/>
    <mergeCell ref="B44:C44"/>
    <mergeCell ref="B45:C45"/>
    <mergeCell ref="B46:C46"/>
    <mergeCell ref="B47:C47"/>
    <mergeCell ref="B38:C38"/>
    <mergeCell ref="B39:C39"/>
    <mergeCell ref="B40:C40"/>
    <mergeCell ref="B41:C41"/>
    <mergeCell ref="B42:C42"/>
    <mergeCell ref="B33:C33"/>
    <mergeCell ref="B34:C34"/>
    <mergeCell ref="B35:C35"/>
    <mergeCell ref="B36:C36"/>
    <mergeCell ref="B37:C37"/>
    <mergeCell ref="B28:C28"/>
    <mergeCell ref="B29:C29"/>
    <mergeCell ref="B30:C30"/>
    <mergeCell ref="B31:C31"/>
    <mergeCell ref="B32:C32"/>
    <mergeCell ref="B23:C23"/>
    <mergeCell ref="B24:C24"/>
    <mergeCell ref="B25:C25"/>
    <mergeCell ref="B26:C26"/>
    <mergeCell ref="B27:C27"/>
    <mergeCell ref="B18:C18"/>
    <mergeCell ref="B19:C19"/>
    <mergeCell ref="B20:C20"/>
    <mergeCell ref="B21:C21"/>
    <mergeCell ref="B22:C22"/>
    <mergeCell ref="A185:F185"/>
    <mergeCell ref="A186:F186"/>
    <mergeCell ref="A187:F187"/>
    <mergeCell ref="A191:H191"/>
    <mergeCell ref="B12:C12"/>
    <mergeCell ref="B14:C14"/>
    <mergeCell ref="B15:C15"/>
    <mergeCell ref="B13:C13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2026-06-13T12:55:26Z</cp:lastPrinted>
  <dcterms:created xsi:type="dcterms:W3CDTF">2024-10-20T11:50:19Z</dcterms:created>
  <dcterms:modified xsi:type="dcterms:W3CDTF">2026-06-13T13:00:24Z</dcterms:modified>
</cp:coreProperties>
</file>