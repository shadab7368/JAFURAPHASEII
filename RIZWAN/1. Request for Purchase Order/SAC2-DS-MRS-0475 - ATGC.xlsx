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04808FCF-E8EB-4C40-9468-507CD910277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LIST'!$A$1:$K$43</definedName>
    <definedName name="_xlnm.Print_Area" localSheetId="2">'PO 1st page'!$A$1:$N$71</definedName>
    <definedName name="_xlnm.Print_Area" localSheetId="3">'PO 2nd page'!$A$1:$H$41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26" i="3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J10" i="2"/>
  <c r="I10" i="2"/>
  <c r="H10" i="2"/>
  <c r="G10" i="2"/>
  <c r="J9" i="2"/>
  <c r="I9" i="2"/>
  <c r="H9" i="2"/>
  <c r="G9" i="2"/>
  <c r="I8" i="2"/>
  <c r="H8" i="2"/>
  <c r="G8" i="2"/>
  <c r="J7" i="2"/>
  <c r="I7" i="2"/>
  <c r="H7" i="2"/>
  <c r="G7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A15" i="2"/>
  <c r="A13" i="2"/>
  <c r="A11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14" i="2"/>
  <c r="A12" i="2"/>
  <c r="A10" i="2"/>
  <c r="A9" i="2"/>
  <c r="A8" i="2"/>
  <c r="J14" i="2"/>
  <c r="J13" i="2"/>
  <c r="J12" i="2"/>
  <c r="J11" i="2"/>
  <c r="J8" i="2"/>
  <c r="H6" i="4"/>
  <c r="J6" i="1"/>
  <c r="A6" i="1"/>
  <c r="E3" i="1"/>
  <c r="F6" i="4"/>
  <c r="E6" i="4"/>
  <c r="D6" i="4"/>
  <c r="J16" i="1" l="1"/>
  <c r="P54" i="3"/>
  <c r="G6" i="4" l="1"/>
  <c r="G35" i="4" s="1"/>
  <c r="F29" i="3" s="1"/>
  <c r="B7" i="2"/>
  <c r="B8" i="2"/>
  <c r="K67" i="3" l="1"/>
  <c r="K10" i="3" l="1"/>
  <c r="A38" i="4" l="1"/>
  <c r="I6" i="2"/>
  <c r="H6" i="2"/>
  <c r="G6" i="2"/>
  <c r="D6" i="2"/>
  <c r="B6" i="2"/>
  <c r="A6" i="4"/>
  <c r="F4" i="4"/>
  <c r="B3" i="4"/>
  <c r="J70" i="3"/>
  <c r="K11" i="3"/>
  <c r="B2" i="4" s="1"/>
  <c r="K3" i="2"/>
  <c r="A3" i="2"/>
  <c r="J2" i="2"/>
  <c r="D2" i="2"/>
  <c r="A2" i="2"/>
  <c r="J1" i="2"/>
  <c r="A7" i="2"/>
  <c r="A6" i="2"/>
  <c r="J6" i="2" l="1"/>
  <c r="G36" i="4" l="1"/>
  <c r="F30" i="3" s="1"/>
  <c r="G37" i="4" l="1"/>
  <c r="F31" i="3" s="1"/>
</calcChain>
</file>

<file path=xl/sharedStrings.xml><?xml version="1.0" encoding="utf-8"?>
<sst xmlns="http://schemas.openxmlformats.org/spreadsheetml/2006/main" count="163" uniqueCount="134">
  <si>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</si>
  <si>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</si>
  <si>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</si>
  <si>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</si>
  <si>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</si>
  <si>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</si>
  <si>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</si>
  <si>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</si>
  <si>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</si>
  <si>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</si>
  <si>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</si>
  <si>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</si>
  <si>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</si>
  <si>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</si>
  <si>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</si>
  <si>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</si>
  <si>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</si>
  <si>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</si>
  <si>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</si>
  <si>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</si>
  <si>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</si>
  <si>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</si>
  <si>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</si>
  <si>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</si>
  <si>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</si>
  <si>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</si>
  <si>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</si>
  <si>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</si>
  <si>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</si>
  <si>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</si>
  <si>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</si>
  <si>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</si>
  <si>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</si>
  <si>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</si>
  <si>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</si>
  <si>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</si>
  <si>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</si>
  <si>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</si>
  <si>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</si>
  <si>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</si>
  <si>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</si>
  <si>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</si>
  <si>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</si>
  <si>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</si>
  <si>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</si>
  <si>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</si>
  <si>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</si>
  <si>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</si>
  <si>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</si>
  <si>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</si>
  <si>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</si>
  <si>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</si>
  <si>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</si>
  <si>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</si>
  <si>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</si>
  <si>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</si>
  <si>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</si>
  <si>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</si>
  <si>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</si>
  <si>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</si>
  <si>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</si>
  <si>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</si>
  <si>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</si>
  <si>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</si>
  <si>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</si>
  <si>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</si>
  <si>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</si>
  <si>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</si>
  <si>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</si>
  <si>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</si>
  <si>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</si>
  <si>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</si>
  <si>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</si>
  <si>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</si>
  <si>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</si>
  <si>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</si>
  <si>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</si>
  <si>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</si>
  <si>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</si>
  <si>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</si>
  <si>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</si>
  <si>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</si>
  <si>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</si>
  <si>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</si>
  <si>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</si>
  <si>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</si>
  <si>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</si>
  <si>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</si>
  <si>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</si>
  <si>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</si>
  <si>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</si>
  <si>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</si>
  <si>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</si>
  <si>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</si>
  <si>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</si>
  <si>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</si>
  <si>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</si>
  <si>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</si>
  <si>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</si>
  <si>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</si>
  <si>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</si>
  <si>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</si>
  <si>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</si>
  <si>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</si>
  <si>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</si>
  <si>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</si>
  <si>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</si>
  <si>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</si>
  <si>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</si>
  <si>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</si>
  <si>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</si>
  <si>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</si>
  <si>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NATIONAL COMMERCIAL BANK</t>
  </si>
  <si>
    <t>04161114000110</t>
  </si>
  <si>
    <t>SA61 1000 0004 1611 1400 0110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</si>
  <si>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</si>
  <si>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</si>
  <si>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</si>
  <si>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</si>
  <si>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</si>
  <si>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</si>
  <si>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</si>
  <si>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</si>
  <si>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</si>
  <si>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</si>
  <si>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</si>
  <si>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</si>
  <si>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</si>
  <si>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</si>
  <si>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ALROMOZ ALFANIAH EST.</t>
  </si>
  <si>
    <t>Orning CAT6 Cable</t>
  </si>
  <si>
    <t>UTP PVC Grey - 305 M / Roll Model: Vol-6UP4-305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</si>
  <si>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-MRS-0475</t>
    </r>
  </si>
  <si>
    <t>QUO-MAT-26092001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</si>
</sst>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0" fontId="2" fillId="0" borderId="12" xfId="0" quotePrefix="1" applyFont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169" fontId="58" fillId="0" borderId="7" xfId="3" applyNumberFormat="1" applyFont="1" applyBorder="1" applyAlignment="1">
      <alignment horizontal="right"/>
    </xf>
    <xf numFmtId="0" fontId="41" fillId="3" borderId="28" xfId="5" applyFont="1" applyFill="1" applyBorder="1" applyAlignment="1">
      <alignment horizontal="left" vertical="center" wrapText="1"/>
    </xf>
    <xf numFmtId="0" fontId="41" fillId="3" borderId="29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1022685</xdr:colOff>
          <xdr:row>17</xdr:row>
          <xdr:rowOff>33589</xdr:rowOff>
        </xdr:from>
        <xdr:to>
          <xdr:col>11</xdr:col>
          <xdr:colOff>1397168</xdr:colOff>
          <xdr:row>23</xdr:row>
          <xdr:rowOff>271714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14764" y="4806115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D7" sqref="D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5703125" style="2" customWidth="1"/>
    <col min="5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1" t="s">
        <v>127</v>
      </c>
      <c r="B1" s="122"/>
      <c r="C1" s="92"/>
      <c r="D1" s="92"/>
      <c r="E1" s="92"/>
      <c r="F1" s="92"/>
      <c r="G1" s="1"/>
      <c r="J1" s="126" t="s">
        <v>81</v>
      </c>
      <c r="K1" s="127"/>
      <c r="L1" s="128"/>
    </row>
    <row r="2" spans="1:19" ht="20.100000000000001" customHeight="1">
      <c r="A2" s="3" t="s">
        <v>1</v>
      </c>
      <c r="B2" s="86"/>
      <c r="C2" s="86"/>
      <c r="D2" s="3" t="s">
        <v>128</v>
      </c>
      <c r="E2" s="86"/>
      <c r="F2" s="86"/>
      <c r="G2" s="86"/>
      <c r="H2" s="86"/>
      <c r="I2" s="4"/>
      <c r="J2" s="129" t="s">
        <v>92</v>
      </c>
      <c r="K2" s="130"/>
      <c r="L2" s="131"/>
    </row>
    <row r="3" spans="1:19" ht="20.100000000000001" customHeight="1">
      <c r="A3" s="3" t="s">
        <v>132</v>
      </c>
      <c r="B3" s="86"/>
      <c r="C3" s="86"/>
      <c r="D3" s="86"/>
      <c r="E3" s="132">
        <f>+L3+3</f>
        <v>46298</v>
      </c>
      <c r="F3" s="132"/>
      <c r="G3" s="132"/>
      <c r="H3" s="132"/>
      <c r="I3" s="132"/>
      <c r="J3" s="86"/>
      <c r="K3" s="86"/>
      <c r="L3" s="185">
        <v>46295</v>
      </c>
      <c r="M3" s="4"/>
    </row>
    <row r="4" spans="1:19" ht="21.75" customHeight="1">
      <c r="A4" s="124" t="s">
        <v>2</v>
      </c>
      <c r="B4" s="125" t="s">
        <v>3</v>
      </c>
      <c r="C4" s="125"/>
      <c r="D4" s="124" t="s">
        <v>4</v>
      </c>
      <c r="E4" s="124"/>
      <c r="F4" s="124"/>
      <c r="G4" s="125" t="s">
        <v>5</v>
      </c>
      <c r="H4" s="124" t="s">
        <v>6</v>
      </c>
      <c r="I4" s="124" t="s">
        <v>85</v>
      </c>
      <c r="J4" s="124" t="s">
        <v>86</v>
      </c>
      <c r="K4" s="124" t="s">
        <v>0</v>
      </c>
      <c r="L4" s="125" t="s">
        <v>7</v>
      </c>
    </row>
    <row r="5" spans="1:19" ht="21.75" customHeight="1">
      <c r="A5" s="124"/>
      <c r="B5" s="125"/>
      <c r="C5" s="125"/>
      <c r="D5" s="124"/>
      <c r="E5" s="124"/>
      <c r="F5" s="124"/>
      <c r="G5" s="125"/>
      <c r="H5" s="124"/>
      <c r="I5" s="124"/>
      <c r="J5" s="124"/>
      <c r="K5" s="124"/>
      <c r="L5" s="125"/>
    </row>
    <row r="6" spans="1:19" ht="22.5" customHeight="1">
      <c r="A6" s="96">
        <f t="shared" ref="A6:A15" si="0">ROW(A1)</f>
        <v>1</v>
      </c>
      <c r="B6" s="111" t="s">
        <v>130</v>
      </c>
      <c r="C6" s="112"/>
      <c r="D6" s="114" t="s">
        <v>131</v>
      </c>
      <c r="E6" s="114"/>
      <c r="F6" s="112"/>
      <c r="G6" s="97" t="s">
        <v>88</v>
      </c>
      <c r="H6" s="98">
        <v>1</v>
      </c>
      <c r="I6" s="99">
        <v>500</v>
      </c>
      <c r="J6" s="99">
        <f>+I6*H6</f>
        <v>500</v>
      </c>
      <c r="K6" s="100" t="s">
        <v>89</v>
      </c>
      <c r="L6" s="123" t="s">
        <v>94</v>
      </c>
      <c r="S6" s="91"/>
    </row>
    <row r="7" spans="1:19" ht="22.5" customHeight="1">
      <c r="A7" s="96"/>
      <c r="B7" s="111"/>
      <c r="C7" s="112"/>
      <c r="D7" s="114"/>
      <c r="E7" s="114"/>
      <c r="F7" s="112"/>
      <c r="G7" s="97"/>
      <c r="H7" s="98"/>
      <c r="I7" s="99"/>
      <c r="J7" s="99"/>
      <c r="K7" s="100"/>
      <c r="L7" s="123"/>
      <c r="S7" s="91"/>
    </row>
    <row r="8" spans="1:19" ht="22.5" customHeight="1">
      <c r="A8" s="96"/>
      <c r="B8" s="111"/>
      <c r="C8" s="112"/>
      <c r="D8" s="114"/>
      <c r="E8" s="114"/>
      <c r="F8" s="112"/>
      <c r="G8" s="97"/>
      <c r="H8" s="98"/>
      <c r="I8" s="99"/>
      <c r="J8" s="99"/>
      <c r="K8" s="100"/>
      <c r="L8" s="123"/>
      <c r="S8" s="91"/>
    </row>
    <row r="9" spans="1:19" ht="22.5" customHeight="1">
      <c r="A9" s="96"/>
      <c r="B9" s="111"/>
      <c r="C9" s="112"/>
      <c r="D9" s="114"/>
      <c r="E9" s="114"/>
      <c r="F9" s="112"/>
      <c r="G9" s="97"/>
      <c r="H9" s="98"/>
      <c r="I9" s="99"/>
      <c r="J9" s="99"/>
      <c r="K9" s="100"/>
      <c r="L9" s="123"/>
      <c r="S9" s="91"/>
    </row>
    <row r="10" spans="1:19" ht="22.5" customHeight="1">
      <c r="A10" s="96"/>
      <c r="B10" s="111"/>
      <c r="C10" s="112"/>
      <c r="D10" s="114"/>
      <c r="E10" s="114"/>
      <c r="F10" s="112"/>
      <c r="G10" s="97"/>
      <c r="H10" s="98"/>
      <c r="I10" s="99"/>
      <c r="J10" s="99"/>
      <c r="K10" s="100"/>
      <c r="L10" s="123"/>
      <c r="S10" s="91"/>
    </row>
    <row r="11" spans="1:19" ht="22.5" customHeight="1">
      <c r="A11" s="96"/>
      <c r="B11" s="111"/>
      <c r="C11" s="112"/>
      <c r="D11" s="114"/>
      <c r="E11" s="114"/>
      <c r="F11" s="112"/>
      <c r="G11" s="97"/>
      <c r="H11" s="98"/>
      <c r="I11" s="99"/>
      <c r="J11" s="99"/>
      <c r="K11" s="100"/>
      <c r="L11" s="123"/>
      <c r="S11" s="91"/>
    </row>
    <row r="12" spans="1:19" ht="22.5" customHeight="1">
      <c r="A12" s="96"/>
      <c r="B12" s="111"/>
      <c r="C12" s="112"/>
      <c r="D12" s="114"/>
      <c r="E12" s="114"/>
      <c r="F12" s="112"/>
      <c r="G12" s="97"/>
      <c r="H12" s="98"/>
      <c r="I12" s="99"/>
      <c r="J12" s="99"/>
      <c r="K12" s="100"/>
      <c r="L12" s="123"/>
      <c r="S12" s="91"/>
    </row>
    <row r="13" spans="1:19" ht="22.5" customHeight="1">
      <c r="A13" s="96"/>
      <c r="B13" s="111"/>
      <c r="C13" s="112"/>
      <c r="D13" s="114"/>
      <c r="E13" s="114"/>
      <c r="F13" s="112"/>
      <c r="G13" s="97"/>
      <c r="H13" s="98"/>
      <c r="I13" s="99"/>
      <c r="J13" s="99"/>
      <c r="K13" s="100"/>
      <c r="L13" s="123"/>
      <c r="S13" s="91"/>
    </row>
    <row r="14" spans="1:19" ht="22.5" customHeight="1">
      <c r="A14" s="96"/>
      <c r="B14" s="111"/>
      <c r="C14" s="112"/>
      <c r="D14" s="114"/>
      <c r="E14" s="114"/>
      <c r="F14" s="112"/>
      <c r="G14" s="97"/>
      <c r="H14" s="98"/>
      <c r="I14" s="99"/>
      <c r="J14" s="99"/>
      <c r="K14" s="100"/>
      <c r="L14" s="123"/>
      <c r="S14" s="91"/>
    </row>
    <row r="15" spans="1:19" ht="22.5" customHeight="1">
      <c r="A15" s="96"/>
      <c r="B15" s="111"/>
      <c r="C15" s="112"/>
      <c r="D15" s="114"/>
      <c r="E15" s="114"/>
      <c r="F15" s="112"/>
      <c r="G15" s="97"/>
      <c r="H15" s="98"/>
      <c r="I15" s="99"/>
      <c r="J15" s="99"/>
      <c r="K15" s="100"/>
      <c r="L15" s="123"/>
      <c r="S15" s="91"/>
    </row>
    <row r="16" spans="1:19" ht="22.5" customHeight="1">
      <c r="A16" s="136" t="s">
        <v>8</v>
      </c>
      <c r="B16" s="137"/>
      <c r="C16" s="103"/>
      <c r="D16" s="104"/>
      <c r="E16" s="104"/>
      <c r="F16" s="104"/>
      <c r="G16" s="105"/>
      <c r="H16" s="106"/>
      <c r="I16" s="102" t="s">
        <v>9</v>
      </c>
      <c r="J16" s="99">
        <f>SUM(J6:J15)</f>
        <v>500</v>
      </c>
      <c r="K16" s="99"/>
      <c r="L16" s="101"/>
    </row>
    <row r="17" spans="1:26" ht="25.5" customHeight="1">
      <c r="A17" s="95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26" ht="18" customHeight="1">
      <c r="A18" s="7"/>
      <c r="J18" s="1"/>
      <c r="K18" s="1"/>
      <c r="O18" s="8"/>
      <c r="P18" s="8"/>
      <c r="Q18" s="8"/>
      <c r="R18" s="8"/>
      <c r="S18" s="8"/>
      <c r="T18" s="8"/>
      <c r="U18" s="8"/>
      <c r="V18" s="8"/>
      <c r="W18" s="8"/>
      <c r="Y18" s="144"/>
      <c r="Z18" s="8"/>
    </row>
    <row r="19" spans="1:26" ht="50.1" customHeight="1">
      <c r="Y19" s="145"/>
    </row>
    <row r="20" spans="1:26" ht="15" customHeight="1">
      <c r="O20" s="140" t="s">
        <v>115</v>
      </c>
      <c r="P20" s="146"/>
      <c r="Q20" s="146"/>
      <c r="R20" s="141"/>
      <c r="S20" s="113"/>
      <c r="T20" s="140" t="s">
        <v>116</v>
      </c>
      <c r="U20" s="146"/>
      <c r="V20" s="146"/>
      <c r="W20" s="146"/>
      <c r="X20" s="146"/>
      <c r="Y20" s="141"/>
    </row>
    <row r="21" spans="1:26" ht="15" customHeight="1">
      <c r="O21" s="139" t="s">
        <v>117</v>
      </c>
      <c r="P21" s="133" t="s">
        <v>118</v>
      </c>
      <c r="Q21" s="139" t="s">
        <v>119</v>
      </c>
      <c r="R21" s="133" t="s">
        <v>120</v>
      </c>
      <c r="S21" s="113"/>
      <c r="T21" s="139" t="s">
        <v>121</v>
      </c>
      <c r="U21" s="133" t="s">
        <v>122</v>
      </c>
      <c r="V21" s="140" t="s">
        <v>123</v>
      </c>
      <c r="W21" s="146"/>
      <c r="X21" s="141"/>
      <c r="Y21" s="133" t="s">
        <v>124</v>
      </c>
    </row>
    <row r="22" spans="1:26" ht="18" customHeight="1">
      <c r="O22" s="135"/>
      <c r="P22" s="134"/>
      <c r="Q22" s="135"/>
      <c r="R22" s="134"/>
      <c r="S22" s="115"/>
      <c r="T22" s="135"/>
      <c r="U22" s="134"/>
      <c r="V22" s="10" t="s">
        <v>117</v>
      </c>
      <c r="W22" s="147" t="s">
        <v>125</v>
      </c>
      <c r="X22" s="148"/>
      <c r="Y22" s="134"/>
    </row>
    <row r="23" spans="1:26" ht="50.1" customHeight="1">
      <c r="O23" s="11"/>
      <c r="P23" s="11"/>
      <c r="Q23" s="11"/>
      <c r="R23" s="11"/>
      <c r="S23" s="113"/>
      <c r="T23" s="11"/>
      <c r="U23" s="11"/>
      <c r="V23" s="11"/>
      <c r="W23" s="140"/>
      <c r="X23" s="141"/>
      <c r="Y23" s="116"/>
    </row>
    <row r="24" spans="1:26" ht="36" customHeight="1">
      <c r="W24" s="117"/>
      <c r="X24" s="142" t="s">
        <v>126</v>
      </c>
      <c r="Y24" s="9" t="s">
        <v>124</v>
      </c>
    </row>
    <row r="25" spans="1:26" ht="50.1" customHeight="1">
      <c r="O25" s="118"/>
      <c r="P25" s="118"/>
      <c r="Q25" s="118"/>
      <c r="R25" s="118"/>
      <c r="S25" s="118"/>
      <c r="T25" s="118"/>
      <c r="U25" s="118"/>
      <c r="V25" s="118"/>
      <c r="W25" s="119"/>
      <c r="X25" s="143"/>
      <c r="Y25" s="120"/>
    </row>
    <row r="26" spans="1:26" ht="19.899999999999999" customHeight="1"/>
    <row r="27" spans="1:26" ht="17.45" customHeight="1">
      <c r="O27" s="138"/>
      <c r="P27" s="138"/>
      <c r="Q27" s="138"/>
    </row>
    <row r="28" spans="1:26" ht="19.899999999999999" customHeight="1">
      <c r="O28" s="138"/>
      <c r="P28" s="138"/>
      <c r="Q28" s="138"/>
    </row>
    <row r="29" spans="1:26" ht="14.25">
      <c r="O29" s="8"/>
      <c r="P29" s="8"/>
      <c r="Q29" s="8"/>
    </row>
    <row r="30" spans="1:26" ht="65.099999999999994" customHeight="1"/>
    <row r="31" spans="1:26" ht="14.25">
      <c r="O31" s="8"/>
      <c r="P31" s="8"/>
      <c r="Q31" s="8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3" t="s">
        <v>12</v>
      </c>
    </row>
    <row r="41" spans="15:22" ht="19.899999999999999" customHeight="1">
      <c r="T41" s="134"/>
    </row>
    <row r="42" spans="15:22" ht="64.900000000000006" customHeight="1">
      <c r="T42" s="11"/>
    </row>
    <row r="46" spans="15:22" ht="21" customHeight="1">
      <c r="O46" s="133" t="s">
        <v>12</v>
      </c>
      <c r="P46" s="133" t="s">
        <v>12</v>
      </c>
      <c r="Q46" s="133" t="s">
        <v>12</v>
      </c>
      <c r="T46" s="133" t="s">
        <v>13</v>
      </c>
      <c r="U46" s="133" t="s">
        <v>11</v>
      </c>
      <c r="V46" s="133" t="s">
        <v>12</v>
      </c>
    </row>
    <row r="47" spans="15:22" ht="21" customHeight="1">
      <c r="O47" s="134"/>
      <c r="P47" s="134"/>
      <c r="Q47" s="134"/>
      <c r="T47" s="135"/>
      <c r="U47" s="135"/>
      <c r="V47" s="134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33" t="s">
        <v>12</v>
      </c>
      <c r="P50" s="133" t="s">
        <v>12</v>
      </c>
      <c r="Q50" s="133" t="s">
        <v>12</v>
      </c>
      <c r="T50" s="133" t="s">
        <v>11</v>
      </c>
      <c r="U50" s="133" t="s">
        <v>13</v>
      </c>
      <c r="V50" s="133" t="s">
        <v>12</v>
      </c>
    </row>
    <row r="51" spans="15:22" ht="21" customHeight="1">
      <c r="O51" s="134"/>
      <c r="P51" s="134"/>
      <c r="Q51" s="134"/>
      <c r="T51" s="135"/>
      <c r="U51" s="135"/>
      <c r="V51" s="134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4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A16:B16"/>
    <mergeCell ref="P27:P28"/>
    <mergeCell ref="Q27:Q28"/>
    <mergeCell ref="O27:O28"/>
    <mergeCell ref="U46:U47"/>
    <mergeCell ref="T40:T41"/>
    <mergeCell ref="P21:P22"/>
    <mergeCell ref="Q21:Q22"/>
    <mergeCell ref="V46:V47"/>
    <mergeCell ref="O50:O51"/>
    <mergeCell ref="P50:P51"/>
    <mergeCell ref="Q50:Q51"/>
    <mergeCell ref="T50:T51"/>
    <mergeCell ref="U50:U51"/>
    <mergeCell ref="V50:V51"/>
    <mergeCell ref="O46:O47"/>
    <mergeCell ref="P46:P47"/>
    <mergeCell ref="Q46:Q47"/>
    <mergeCell ref="T46:T47"/>
    <mergeCell ref="A4:A5"/>
    <mergeCell ref="B4:C5"/>
    <mergeCell ref="D4:F5"/>
    <mergeCell ref="L4:L5"/>
    <mergeCell ref="J1:L1"/>
    <mergeCell ref="J2:L2"/>
    <mergeCell ref="E3:I3"/>
    <mergeCell ref="G4:G5"/>
    <mergeCell ref="H4:H5"/>
    <mergeCell ref="I4:I5"/>
    <mergeCell ref="J4:J5"/>
    <mergeCell ref="K4:K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view="pageBreakPreview" zoomScale="70" zoomScaleNormal="95" zoomScaleSheetLayoutView="70" workbookViewId="0">
      <pane ySplit="5" topLeftCell="A32" activePane="bottomLeft" state="frozen"/>
      <selection activeCell="D30" sqref="D30"/>
      <selection pane="bottomLeft" activeCell="I36" sqref="I3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87</v>
      </c>
      <c r="B1" s="85"/>
      <c r="C1" s="85"/>
      <c r="D1" s="85"/>
      <c r="E1" s="85"/>
      <c r="F1" s="85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SAC2-DS-MRS-0475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46295</v>
      </c>
    </row>
    <row r="4" spans="1:18" ht="15.95" customHeight="1">
      <c r="A4" s="154" t="s">
        <v>2</v>
      </c>
      <c r="B4" s="155" t="s">
        <v>14</v>
      </c>
      <c r="C4" s="155"/>
      <c r="D4" s="154" t="s">
        <v>4</v>
      </c>
      <c r="E4" s="154"/>
      <c r="F4" s="154"/>
      <c r="G4" s="155" t="s">
        <v>5</v>
      </c>
      <c r="H4" s="154" t="s">
        <v>82</v>
      </c>
      <c r="I4" s="154" t="s">
        <v>15</v>
      </c>
      <c r="J4" s="154" t="s">
        <v>16</v>
      </c>
      <c r="K4" s="155" t="s">
        <v>7</v>
      </c>
    </row>
    <row r="5" spans="1:18" ht="15.95" customHeight="1">
      <c r="A5" s="154"/>
      <c r="B5" s="155"/>
      <c r="C5" s="155"/>
      <c r="D5" s="154"/>
      <c r="E5" s="154"/>
      <c r="F5" s="154"/>
      <c r="G5" s="155"/>
      <c r="H5" s="154"/>
      <c r="I5" s="154"/>
      <c r="J5" s="154"/>
      <c r="K5" s="155"/>
    </row>
    <row r="6" spans="1:18" ht="74.25" customHeight="1">
      <c r="A6" s="14">
        <f>+MRS!A6</f>
        <v>1</v>
      </c>
      <c r="B6" s="152" t="str">
        <f>MRS!B6</f>
        <v>Orning CAT6 Cable</v>
      </c>
      <c r="C6" s="153"/>
      <c r="D6" s="149" t="str">
        <f>MRS!D6</f>
        <v>UTP PVC Grey - 305 M / Roll Model: Vol-6UP4-305</v>
      </c>
      <c r="E6" s="150"/>
      <c r="F6" s="151"/>
      <c r="G6" s="88" t="str">
        <f>MRS!G6</f>
        <v>EA</v>
      </c>
      <c r="H6" s="88">
        <f>MRS!H6</f>
        <v>1</v>
      </c>
      <c r="I6" s="89">
        <f>MRS!I6</f>
        <v>500</v>
      </c>
      <c r="J6" s="89">
        <f>MRS!J6</f>
        <v>500</v>
      </c>
      <c r="K6" s="90"/>
      <c r="O6" s="91"/>
      <c r="P6" s="91"/>
      <c r="R6" s="91"/>
    </row>
    <row r="7" spans="1:18" ht="74.25" customHeight="1">
      <c r="A7" s="14">
        <f>+MRS!A7</f>
        <v>0</v>
      </c>
      <c r="B7" s="152">
        <f>MRS!B7</f>
        <v>0</v>
      </c>
      <c r="C7" s="153"/>
      <c r="D7" s="149">
        <f>MRS!D7</f>
        <v>0</v>
      </c>
      <c r="E7" s="150"/>
      <c r="F7" s="151"/>
      <c r="G7" s="88">
        <f>MRS!G7</f>
        <v>0</v>
      </c>
      <c r="H7" s="88">
        <f>MRS!H7</f>
        <v>0</v>
      </c>
      <c r="I7" s="89">
        <f>MRS!I7</f>
        <v>0</v>
      </c>
      <c r="J7" s="89">
        <f>MRS!J7</f>
        <v>0</v>
      </c>
      <c r="K7" s="90"/>
      <c r="O7" s="91"/>
      <c r="P7" s="91"/>
      <c r="R7" s="91"/>
    </row>
    <row r="8" spans="1:18" ht="74.25" customHeight="1">
      <c r="A8" s="14">
        <f>+MRS!A8</f>
        <v>0</v>
      </c>
      <c r="B8" s="152">
        <f>MRS!B8</f>
        <v>0</v>
      </c>
      <c r="C8" s="153"/>
      <c r="D8" s="149">
        <f>MRS!D8</f>
        <v>0</v>
      </c>
      <c r="E8" s="150"/>
      <c r="F8" s="151"/>
      <c r="G8" s="88">
        <f>MRS!G8</f>
        <v>0</v>
      </c>
      <c r="H8" s="88">
        <f>MRS!H8</f>
        <v>0</v>
      </c>
      <c r="I8" s="89">
        <f>MRS!I8</f>
        <v>0</v>
      </c>
      <c r="J8" s="89">
        <f>MRS!J8</f>
        <v>0</v>
      </c>
      <c r="K8" s="90"/>
      <c r="O8" s="91"/>
      <c r="P8" s="91"/>
      <c r="R8" s="91"/>
    </row>
    <row r="9" spans="1:18" ht="74.25" customHeight="1">
      <c r="A9" s="14">
        <f>+MRS!A9</f>
        <v>0</v>
      </c>
      <c r="B9" s="152">
        <f>MRS!B9</f>
        <v>0</v>
      </c>
      <c r="C9" s="153"/>
      <c r="D9" s="149">
        <f>MRS!D9</f>
        <v>0</v>
      </c>
      <c r="E9" s="150"/>
      <c r="F9" s="151"/>
      <c r="G9" s="88">
        <f>MRS!G9</f>
        <v>0</v>
      </c>
      <c r="H9" s="88">
        <f>MRS!H9</f>
        <v>0</v>
      </c>
      <c r="I9" s="89">
        <f>MRS!I9</f>
        <v>0</v>
      </c>
      <c r="J9" s="89">
        <f>MRS!J9</f>
        <v>0</v>
      </c>
      <c r="K9" s="90"/>
      <c r="O9" s="91"/>
      <c r="P9" s="91"/>
      <c r="R9" s="91"/>
    </row>
    <row r="10" spans="1:18" ht="74.25" customHeight="1">
      <c r="A10" s="14">
        <f>+MRS!A10</f>
        <v>0</v>
      </c>
      <c r="B10" s="152">
        <f>MRS!B10</f>
        <v>0</v>
      </c>
      <c r="C10" s="153"/>
      <c r="D10" s="149">
        <f>MRS!D10</f>
        <v>0</v>
      </c>
      <c r="E10" s="150"/>
      <c r="F10" s="151"/>
      <c r="G10" s="88">
        <f>MRS!G10</f>
        <v>0</v>
      </c>
      <c r="H10" s="88">
        <f>MRS!H10</f>
        <v>0</v>
      </c>
      <c r="I10" s="89">
        <f>MRS!I10</f>
        <v>0</v>
      </c>
      <c r="J10" s="89">
        <f>MRS!J10</f>
        <v>0</v>
      </c>
      <c r="K10" s="90"/>
      <c r="O10" s="91"/>
      <c r="P10" s="91"/>
      <c r="R10" s="91"/>
    </row>
    <row r="11" spans="1:18" ht="74.25" customHeight="1">
      <c r="A11" s="14">
        <f>+MRS!A11</f>
        <v>0</v>
      </c>
      <c r="B11" s="152">
        <f>MRS!B11</f>
        <v>0</v>
      </c>
      <c r="C11" s="153"/>
      <c r="D11" s="149">
        <f>MRS!D11</f>
        <v>0</v>
      </c>
      <c r="E11" s="150"/>
      <c r="F11" s="151"/>
      <c r="G11" s="88">
        <f>MRS!G11</f>
        <v>0</v>
      </c>
      <c r="H11" s="88">
        <f>MRS!H11</f>
        <v>0</v>
      </c>
      <c r="I11" s="89">
        <f>MRS!I11</f>
        <v>0</v>
      </c>
      <c r="J11" s="89">
        <f>MRS!J11</f>
        <v>0</v>
      </c>
      <c r="K11" s="90"/>
      <c r="O11" s="91"/>
      <c r="P11" s="91"/>
      <c r="R11" s="91"/>
    </row>
    <row r="12" spans="1:18" ht="74.25" customHeight="1">
      <c r="A12" s="14">
        <f>+MRS!A12</f>
        <v>0</v>
      </c>
      <c r="B12" s="152">
        <f>MRS!B12</f>
        <v>0</v>
      </c>
      <c r="C12" s="153"/>
      <c r="D12" s="149">
        <f>MRS!D12</f>
        <v>0</v>
      </c>
      <c r="E12" s="150"/>
      <c r="F12" s="151"/>
      <c r="G12" s="88">
        <f>MRS!G12</f>
        <v>0</v>
      </c>
      <c r="H12" s="88">
        <f>MRS!H12</f>
        <v>0</v>
      </c>
      <c r="I12" s="89">
        <f>MRS!I12</f>
        <v>0</v>
      </c>
      <c r="J12" s="89">
        <f>MRS!J12</f>
        <v>0</v>
      </c>
      <c r="K12" s="90"/>
      <c r="O12" s="91"/>
      <c r="P12" s="91"/>
      <c r="R12" s="91"/>
    </row>
    <row r="13" spans="1:18" ht="74.25" customHeight="1">
      <c r="A13" s="14">
        <f>+MRS!A13</f>
        <v>0</v>
      </c>
      <c r="B13" s="152">
        <f>MRS!B13</f>
        <v>0</v>
      </c>
      <c r="C13" s="153"/>
      <c r="D13" s="149">
        <f>MRS!D13</f>
        <v>0</v>
      </c>
      <c r="E13" s="150"/>
      <c r="F13" s="151"/>
      <c r="G13" s="88">
        <f>MRS!G13</f>
        <v>0</v>
      </c>
      <c r="H13" s="88">
        <f>MRS!H13</f>
        <v>0</v>
      </c>
      <c r="I13" s="89">
        <f>MRS!I13</f>
        <v>0</v>
      </c>
      <c r="J13" s="89">
        <f>MRS!J13</f>
        <v>0</v>
      </c>
      <c r="K13" s="90"/>
      <c r="O13" s="91"/>
      <c r="P13" s="91"/>
      <c r="R13" s="91"/>
    </row>
    <row r="14" spans="1:18" ht="74.25" customHeight="1">
      <c r="A14" s="14">
        <f>+MRS!A14</f>
        <v>0</v>
      </c>
      <c r="B14" s="152">
        <f>MRS!B14</f>
        <v>0</v>
      </c>
      <c r="C14" s="153"/>
      <c r="D14" s="149">
        <f>MRS!D14</f>
        <v>0</v>
      </c>
      <c r="E14" s="150"/>
      <c r="F14" s="151"/>
      <c r="G14" s="88">
        <f>MRS!G14</f>
        <v>0</v>
      </c>
      <c r="H14" s="88">
        <f>MRS!H14</f>
        <v>0</v>
      </c>
      <c r="I14" s="89">
        <f>MRS!I14</f>
        <v>0</v>
      </c>
      <c r="J14" s="89">
        <f>MRS!J14</f>
        <v>0</v>
      </c>
      <c r="K14" s="90"/>
      <c r="O14" s="91"/>
      <c r="P14" s="91"/>
      <c r="R14" s="91"/>
    </row>
    <row r="15" spans="1:18" ht="74.25" customHeight="1">
      <c r="A15" s="14">
        <f>+MRS!A15</f>
        <v>0</v>
      </c>
      <c r="B15" s="152">
        <f>MRS!B15</f>
        <v>0</v>
      </c>
      <c r="C15" s="153"/>
      <c r="D15" s="149">
        <f>MRS!D15</f>
        <v>0</v>
      </c>
      <c r="E15" s="150"/>
      <c r="F15" s="151"/>
      <c r="G15" s="88">
        <f>MRS!G15</f>
        <v>0</v>
      </c>
      <c r="H15" s="88">
        <f>MRS!H15</f>
        <v>0</v>
      </c>
      <c r="I15" s="89">
        <f>MRS!I15</f>
        <v>0</v>
      </c>
      <c r="J15" s="89">
        <f>MRS!J15</f>
        <v>0</v>
      </c>
      <c r="K15" s="90"/>
      <c r="O15" s="91"/>
      <c r="P15" s="91"/>
      <c r="R15" s="91"/>
    </row>
    <row r="16" spans="1:18" ht="74.25" customHeight="1">
      <c r="A16" s="14" t="e">
        <f>+MRS!#REF!</f>
        <v>#REF!</v>
      </c>
      <c r="B16" s="152" t="e">
        <f>MRS!#REF!</f>
        <v>#REF!</v>
      </c>
      <c r="C16" s="153"/>
      <c r="D16" s="149" t="e">
        <f>MRS!#REF!</f>
        <v>#REF!</v>
      </c>
      <c r="E16" s="150"/>
      <c r="F16" s="151"/>
      <c r="G16" s="88" t="e">
        <f>MRS!#REF!</f>
        <v>#REF!</v>
      </c>
      <c r="H16" s="88" t="e">
        <f>MRS!#REF!</f>
        <v>#REF!</v>
      </c>
      <c r="I16" s="89" t="e">
        <f>MRS!#REF!</f>
        <v>#REF!</v>
      </c>
      <c r="J16" s="89" t="e">
        <f>MRS!#REF!</f>
        <v>#REF!</v>
      </c>
      <c r="K16" s="90"/>
      <c r="O16" s="91"/>
      <c r="P16" s="91"/>
      <c r="R16" s="91"/>
    </row>
    <row r="17" spans="1:18" ht="74.25" customHeight="1">
      <c r="A17" s="14" t="e">
        <f>+MRS!#REF!</f>
        <v>#REF!</v>
      </c>
      <c r="B17" s="152" t="e">
        <f>MRS!#REF!</f>
        <v>#REF!</v>
      </c>
      <c r="C17" s="153"/>
      <c r="D17" s="149" t="e">
        <f>MRS!#REF!</f>
        <v>#REF!</v>
      </c>
      <c r="E17" s="150"/>
      <c r="F17" s="151"/>
      <c r="G17" s="88" t="e">
        <f>MRS!#REF!</f>
        <v>#REF!</v>
      </c>
      <c r="H17" s="88" t="e">
        <f>MRS!#REF!</f>
        <v>#REF!</v>
      </c>
      <c r="I17" s="89" t="e">
        <f>MRS!#REF!</f>
        <v>#REF!</v>
      </c>
      <c r="J17" s="89" t="e">
        <f>MRS!#REF!</f>
        <v>#REF!</v>
      </c>
      <c r="K17" s="90"/>
      <c r="O17" s="91"/>
      <c r="P17" s="91"/>
      <c r="R17" s="91"/>
    </row>
    <row r="18" spans="1:18" ht="74.25" customHeight="1">
      <c r="A18" s="14" t="e">
        <f>+MRS!#REF!</f>
        <v>#REF!</v>
      </c>
      <c r="B18" s="152" t="e">
        <f>MRS!#REF!</f>
        <v>#REF!</v>
      </c>
      <c r="C18" s="153"/>
      <c r="D18" s="149" t="e">
        <f>MRS!#REF!</f>
        <v>#REF!</v>
      </c>
      <c r="E18" s="150"/>
      <c r="F18" s="151"/>
      <c r="G18" s="88" t="e">
        <f>MRS!#REF!</f>
        <v>#REF!</v>
      </c>
      <c r="H18" s="88" t="e">
        <f>MRS!#REF!</f>
        <v>#REF!</v>
      </c>
      <c r="I18" s="89" t="e">
        <f>MRS!#REF!</f>
        <v>#REF!</v>
      </c>
      <c r="J18" s="89" t="e">
        <f>MRS!#REF!</f>
        <v>#REF!</v>
      </c>
      <c r="K18" s="90"/>
      <c r="O18" s="91"/>
      <c r="P18" s="91"/>
      <c r="R18" s="91"/>
    </row>
    <row r="19" spans="1:18" ht="74.25" customHeight="1">
      <c r="A19" s="14" t="e">
        <f>+MRS!#REF!</f>
        <v>#REF!</v>
      </c>
      <c r="B19" s="152" t="e">
        <f>MRS!#REF!</f>
        <v>#REF!</v>
      </c>
      <c r="C19" s="153"/>
      <c r="D19" s="149" t="e">
        <f>MRS!#REF!</f>
        <v>#REF!</v>
      </c>
      <c r="E19" s="150"/>
      <c r="F19" s="151"/>
      <c r="G19" s="88" t="e">
        <f>MRS!#REF!</f>
        <v>#REF!</v>
      </c>
      <c r="H19" s="88" t="e">
        <f>MRS!#REF!</f>
        <v>#REF!</v>
      </c>
      <c r="I19" s="89" t="e">
        <f>MRS!#REF!</f>
        <v>#REF!</v>
      </c>
      <c r="J19" s="89" t="e">
        <f>MRS!#REF!</f>
        <v>#REF!</v>
      </c>
      <c r="K19" s="90"/>
      <c r="O19" s="91"/>
      <c r="P19" s="91"/>
      <c r="R19" s="91"/>
    </row>
    <row r="20" spans="1:18" ht="74.25" customHeight="1">
      <c r="A20" s="14" t="e">
        <f>+MRS!#REF!</f>
        <v>#REF!</v>
      </c>
      <c r="B20" s="152" t="e">
        <f>MRS!#REF!</f>
        <v>#REF!</v>
      </c>
      <c r="C20" s="153"/>
      <c r="D20" s="149" t="e">
        <f>MRS!#REF!</f>
        <v>#REF!</v>
      </c>
      <c r="E20" s="150"/>
      <c r="F20" s="151"/>
      <c r="G20" s="88" t="e">
        <f>MRS!#REF!</f>
        <v>#REF!</v>
      </c>
      <c r="H20" s="88" t="e">
        <f>MRS!#REF!</f>
        <v>#REF!</v>
      </c>
      <c r="I20" s="89" t="e">
        <f>MRS!#REF!</f>
        <v>#REF!</v>
      </c>
      <c r="J20" s="89" t="e">
        <f>MRS!#REF!</f>
        <v>#REF!</v>
      </c>
      <c r="K20" s="90"/>
      <c r="O20" s="91"/>
      <c r="P20" s="91"/>
      <c r="R20" s="91"/>
    </row>
    <row r="21" spans="1:18" ht="74.25" customHeight="1">
      <c r="A21" s="14" t="e">
        <f>+MRS!#REF!</f>
        <v>#REF!</v>
      </c>
      <c r="B21" s="152" t="e">
        <f>MRS!#REF!</f>
        <v>#REF!</v>
      </c>
      <c r="C21" s="153"/>
      <c r="D21" s="149" t="e">
        <f>MRS!#REF!</f>
        <v>#REF!</v>
      </c>
      <c r="E21" s="150"/>
      <c r="F21" s="151"/>
      <c r="G21" s="88" t="e">
        <f>MRS!#REF!</f>
        <v>#REF!</v>
      </c>
      <c r="H21" s="88" t="e">
        <f>MRS!#REF!</f>
        <v>#REF!</v>
      </c>
      <c r="I21" s="89" t="e">
        <f>MRS!#REF!</f>
        <v>#REF!</v>
      </c>
      <c r="J21" s="89" t="e">
        <f>MRS!#REF!</f>
        <v>#REF!</v>
      </c>
      <c r="K21" s="90"/>
      <c r="O21" s="91"/>
      <c r="P21" s="91"/>
      <c r="R21" s="91"/>
    </row>
    <row r="22" spans="1:18" ht="74.25" customHeight="1">
      <c r="A22" s="14" t="e">
        <f>+MRS!#REF!</f>
        <v>#REF!</v>
      </c>
      <c r="B22" s="152" t="e">
        <f>MRS!#REF!</f>
        <v>#REF!</v>
      </c>
      <c r="C22" s="153"/>
      <c r="D22" s="149" t="e">
        <f>MRS!#REF!</f>
        <v>#REF!</v>
      </c>
      <c r="E22" s="150"/>
      <c r="F22" s="151"/>
      <c r="G22" s="88" t="e">
        <f>MRS!#REF!</f>
        <v>#REF!</v>
      </c>
      <c r="H22" s="88" t="e">
        <f>MRS!#REF!</f>
        <v>#REF!</v>
      </c>
      <c r="I22" s="89" t="e">
        <f>MRS!#REF!</f>
        <v>#REF!</v>
      </c>
      <c r="J22" s="89" t="e">
        <f>MRS!#REF!</f>
        <v>#REF!</v>
      </c>
      <c r="K22" s="90"/>
      <c r="O22" s="91"/>
      <c r="P22" s="91"/>
      <c r="R22" s="91"/>
    </row>
    <row r="23" spans="1:18" ht="74.25" customHeight="1">
      <c r="A23" s="14" t="e">
        <f>+MRS!#REF!</f>
        <v>#REF!</v>
      </c>
      <c r="B23" s="152" t="e">
        <f>MRS!#REF!</f>
        <v>#REF!</v>
      </c>
      <c r="C23" s="153"/>
      <c r="D23" s="149" t="e">
        <f>MRS!#REF!</f>
        <v>#REF!</v>
      </c>
      <c r="E23" s="150"/>
      <c r="F23" s="151"/>
      <c r="G23" s="88" t="e">
        <f>MRS!#REF!</f>
        <v>#REF!</v>
      </c>
      <c r="H23" s="88" t="e">
        <f>MRS!#REF!</f>
        <v>#REF!</v>
      </c>
      <c r="I23" s="89" t="e">
        <f>MRS!#REF!</f>
        <v>#REF!</v>
      </c>
      <c r="J23" s="89" t="e">
        <f>MRS!#REF!</f>
        <v>#REF!</v>
      </c>
      <c r="K23" s="90"/>
      <c r="O23" s="91"/>
      <c r="P23" s="91"/>
      <c r="R23" s="91"/>
    </row>
    <row r="24" spans="1:18" ht="74.25" customHeight="1">
      <c r="A24" s="14" t="e">
        <f>+MRS!#REF!</f>
        <v>#REF!</v>
      </c>
      <c r="B24" s="152" t="e">
        <f>MRS!#REF!</f>
        <v>#REF!</v>
      </c>
      <c r="C24" s="153"/>
      <c r="D24" s="149" t="e">
        <f>MRS!#REF!</f>
        <v>#REF!</v>
      </c>
      <c r="E24" s="150"/>
      <c r="F24" s="151"/>
      <c r="G24" s="88" t="e">
        <f>MRS!#REF!</f>
        <v>#REF!</v>
      </c>
      <c r="H24" s="88" t="e">
        <f>MRS!#REF!</f>
        <v>#REF!</v>
      </c>
      <c r="I24" s="89" t="e">
        <f>MRS!#REF!</f>
        <v>#REF!</v>
      </c>
      <c r="J24" s="89" t="e">
        <f>MRS!#REF!</f>
        <v>#REF!</v>
      </c>
      <c r="K24" s="90"/>
      <c r="O24" s="91"/>
      <c r="P24" s="91"/>
      <c r="R24" s="91"/>
    </row>
    <row r="25" spans="1:18" ht="74.25" customHeight="1">
      <c r="A25" s="14" t="e">
        <f>+MRS!#REF!</f>
        <v>#REF!</v>
      </c>
      <c r="B25" s="152" t="e">
        <f>MRS!#REF!</f>
        <v>#REF!</v>
      </c>
      <c r="C25" s="153"/>
      <c r="D25" s="149" t="e">
        <f>MRS!#REF!</f>
        <v>#REF!</v>
      </c>
      <c r="E25" s="150"/>
      <c r="F25" s="151"/>
      <c r="G25" s="88" t="e">
        <f>MRS!#REF!</f>
        <v>#REF!</v>
      </c>
      <c r="H25" s="88" t="e">
        <f>MRS!#REF!</f>
        <v>#REF!</v>
      </c>
      <c r="I25" s="89" t="e">
        <f>MRS!#REF!</f>
        <v>#REF!</v>
      </c>
      <c r="J25" s="89" t="e">
        <f>MRS!#REF!</f>
        <v>#REF!</v>
      </c>
      <c r="K25" s="90"/>
      <c r="O25" s="91"/>
      <c r="P25" s="91"/>
      <c r="R25" s="91"/>
    </row>
    <row r="26" spans="1:18" ht="74.25" customHeight="1">
      <c r="A26" s="14" t="e">
        <f>+MRS!#REF!</f>
        <v>#REF!</v>
      </c>
      <c r="B26" s="152" t="e">
        <f>MRS!#REF!</f>
        <v>#REF!</v>
      </c>
      <c r="C26" s="153"/>
      <c r="D26" s="149" t="e">
        <f>MRS!#REF!</f>
        <v>#REF!</v>
      </c>
      <c r="E26" s="150"/>
      <c r="F26" s="151"/>
      <c r="G26" s="88" t="e">
        <f>MRS!#REF!</f>
        <v>#REF!</v>
      </c>
      <c r="H26" s="88" t="e">
        <f>MRS!#REF!</f>
        <v>#REF!</v>
      </c>
      <c r="I26" s="89" t="e">
        <f>MRS!#REF!</f>
        <v>#REF!</v>
      </c>
      <c r="J26" s="89" t="e">
        <f>MRS!#REF!</f>
        <v>#REF!</v>
      </c>
      <c r="K26" s="90"/>
      <c r="O26" s="91"/>
      <c r="P26" s="91"/>
      <c r="R26" s="91"/>
    </row>
    <row r="27" spans="1:18" ht="74.25" customHeight="1">
      <c r="A27" s="14" t="e">
        <f>+MRS!#REF!</f>
        <v>#REF!</v>
      </c>
      <c r="B27" s="152" t="e">
        <f>MRS!#REF!</f>
        <v>#REF!</v>
      </c>
      <c r="C27" s="153"/>
      <c r="D27" s="149" t="e">
        <f>MRS!#REF!</f>
        <v>#REF!</v>
      </c>
      <c r="E27" s="150"/>
      <c r="F27" s="151"/>
      <c r="G27" s="88" t="e">
        <f>MRS!#REF!</f>
        <v>#REF!</v>
      </c>
      <c r="H27" s="88" t="e">
        <f>MRS!#REF!</f>
        <v>#REF!</v>
      </c>
      <c r="I27" s="89" t="e">
        <f>MRS!#REF!</f>
        <v>#REF!</v>
      </c>
      <c r="J27" s="89" t="e">
        <f>MRS!#REF!</f>
        <v>#REF!</v>
      </c>
      <c r="K27" s="90"/>
      <c r="O27" s="91"/>
      <c r="P27" s="91"/>
      <c r="R27" s="91"/>
    </row>
    <row r="28" spans="1:18" ht="74.25" customHeight="1">
      <c r="A28" s="14" t="e">
        <f>+MRS!#REF!</f>
        <v>#REF!</v>
      </c>
      <c r="B28" s="152" t="e">
        <f>MRS!#REF!</f>
        <v>#REF!</v>
      </c>
      <c r="C28" s="153"/>
      <c r="D28" s="149" t="e">
        <f>MRS!#REF!</f>
        <v>#REF!</v>
      </c>
      <c r="E28" s="150"/>
      <c r="F28" s="151"/>
      <c r="G28" s="88" t="e">
        <f>MRS!#REF!</f>
        <v>#REF!</v>
      </c>
      <c r="H28" s="88" t="e">
        <f>MRS!#REF!</f>
        <v>#REF!</v>
      </c>
      <c r="I28" s="89" t="e">
        <f>MRS!#REF!</f>
        <v>#REF!</v>
      </c>
      <c r="J28" s="89" t="e">
        <f>MRS!#REF!</f>
        <v>#REF!</v>
      </c>
      <c r="K28" s="90"/>
      <c r="O28" s="91"/>
      <c r="P28" s="91"/>
      <c r="R28" s="91"/>
    </row>
    <row r="29" spans="1:18" ht="74.25" customHeight="1">
      <c r="A29" s="14" t="e">
        <f>+MRS!#REF!</f>
        <v>#REF!</v>
      </c>
      <c r="B29" s="152" t="e">
        <f>MRS!#REF!</f>
        <v>#REF!</v>
      </c>
      <c r="C29" s="153"/>
      <c r="D29" s="149" t="e">
        <f>MRS!#REF!</f>
        <v>#REF!</v>
      </c>
      <c r="E29" s="150"/>
      <c r="F29" s="151"/>
      <c r="G29" s="88" t="e">
        <f>MRS!#REF!</f>
        <v>#REF!</v>
      </c>
      <c r="H29" s="88" t="e">
        <f>MRS!#REF!</f>
        <v>#REF!</v>
      </c>
      <c r="I29" s="89" t="e">
        <f>MRS!#REF!</f>
        <v>#REF!</v>
      </c>
      <c r="J29" s="89" t="e">
        <f>MRS!#REF!</f>
        <v>#REF!</v>
      </c>
      <c r="K29" s="90"/>
      <c r="O29" s="91"/>
      <c r="P29" s="91"/>
      <c r="R29" s="91"/>
    </row>
    <row r="30" spans="1:18" ht="74.25" customHeight="1">
      <c r="A30" s="14" t="e">
        <f>+MRS!#REF!</f>
        <v>#REF!</v>
      </c>
      <c r="B30" s="152" t="e">
        <f>MRS!#REF!</f>
        <v>#REF!</v>
      </c>
      <c r="C30" s="153"/>
      <c r="D30" s="149" t="e">
        <f>MRS!#REF!</f>
        <v>#REF!</v>
      </c>
      <c r="E30" s="150"/>
      <c r="F30" s="151"/>
      <c r="G30" s="88" t="e">
        <f>MRS!#REF!</f>
        <v>#REF!</v>
      </c>
      <c r="H30" s="88" t="e">
        <f>MRS!#REF!</f>
        <v>#REF!</v>
      </c>
      <c r="I30" s="89" t="e">
        <f>MRS!#REF!</f>
        <v>#REF!</v>
      </c>
      <c r="J30" s="89" t="e">
        <f>MRS!#REF!</f>
        <v>#REF!</v>
      </c>
      <c r="K30" s="90"/>
      <c r="O30" s="91"/>
      <c r="P30" s="91"/>
      <c r="R30" s="91"/>
    </row>
    <row r="31" spans="1:18" ht="74.25" customHeight="1">
      <c r="A31" s="14" t="e">
        <f>+MRS!#REF!</f>
        <v>#REF!</v>
      </c>
      <c r="B31" s="152" t="e">
        <f>MRS!#REF!</f>
        <v>#REF!</v>
      </c>
      <c r="C31" s="153"/>
      <c r="D31" s="149" t="e">
        <f>MRS!#REF!</f>
        <v>#REF!</v>
      </c>
      <c r="E31" s="150"/>
      <c r="F31" s="151"/>
      <c r="G31" s="88" t="e">
        <f>MRS!#REF!</f>
        <v>#REF!</v>
      </c>
      <c r="H31" s="88" t="e">
        <f>MRS!#REF!</f>
        <v>#REF!</v>
      </c>
      <c r="I31" s="89" t="e">
        <f>MRS!#REF!</f>
        <v>#REF!</v>
      </c>
      <c r="J31" s="89" t="e">
        <f>MRS!#REF!</f>
        <v>#REF!</v>
      </c>
      <c r="K31" s="90"/>
      <c r="O31" s="91"/>
      <c r="P31" s="91"/>
      <c r="R31" s="91"/>
    </row>
    <row r="32" spans="1:18" ht="74.25" customHeight="1">
      <c r="A32" s="14" t="e">
        <f>+MRS!#REF!</f>
        <v>#REF!</v>
      </c>
      <c r="B32" s="152" t="e">
        <f>MRS!#REF!</f>
        <v>#REF!</v>
      </c>
      <c r="C32" s="153"/>
      <c r="D32" s="149" t="e">
        <f>MRS!#REF!</f>
        <v>#REF!</v>
      </c>
      <c r="E32" s="150"/>
      <c r="F32" s="151"/>
      <c r="G32" s="88" t="e">
        <f>MRS!#REF!</f>
        <v>#REF!</v>
      </c>
      <c r="H32" s="88" t="e">
        <f>MRS!#REF!</f>
        <v>#REF!</v>
      </c>
      <c r="I32" s="89" t="e">
        <f>MRS!#REF!</f>
        <v>#REF!</v>
      </c>
      <c r="J32" s="89" t="e">
        <f>MRS!#REF!</f>
        <v>#REF!</v>
      </c>
      <c r="K32" s="90"/>
      <c r="O32" s="91"/>
      <c r="P32" s="91"/>
      <c r="R32" s="91"/>
    </row>
    <row r="33" spans="1:18" ht="74.25" customHeight="1">
      <c r="A33" s="14" t="e">
        <f>+MRS!#REF!</f>
        <v>#REF!</v>
      </c>
      <c r="B33" s="152" t="e">
        <f>MRS!#REF!</f>
        <v>#REF!</v>
      </c>
      <c r="C33" s="153"/>
      <c r="D33" s="149" t="e">
        <f>MRS!#REF!</f>
        <v>#REF!</v>
      </c>
      <c r="E33" s="150"/>
      <c r="F33" s="151"/>
      <c r="G33" s="88" t="e">
        <f>MRS!#REF!</f>
        <v>#REF!</v>
      </c>
      <c r="H33" s="88" t="e">
        <f>MRS!#REF!</f>
        <v>#REF!</v>
      </c>
      <c r="I33" s="89" t="e">
        <f>MRS!#REF!</f>
        <v>#REF!</v>
      </c>
      <c r="J33" s="89" t="e">
        <f>MRS!#REF!</f>
        <v>#REF!</v>
      </c>
      <c r="K33" s="90"/>
      <c r="O33" s="91"/>
      <c r="P33" s="91"/>
      <c r="R33" s="91"/>
    </row>
    <row r="34" spans="1:18" ht="74.25" customHeight="1">
      <c r="A34" s="14" t="e">
        <f>+MRS!#REF!</f>
        <v>#REF!</v>
      </c>
      <c r="B34" s="152" t="e">
        <f>MRS!#REF!</f>
        <v>#REF!</v>
      </c>
      <c r="C34" s="153"/>
      <c r="D34" s="149" t="e">
        <f>MRS!#REF!</f>
        <v>#REF!</v>
      </c>
      <c r="E34" s="150"/>
      <c r="F34" s="151"/>
      <c r="G34" s="88" t="e">
        <f>MRS!#REF!</f>
        <v>#REF!</v>
      </c>
      <c r="H34" s="88" t="e">
        <f>MRS!#REF!</f>
        <v>#REF!</v>
      </c>
      <c r="I34" s="89" t="e">
        <f>MRS!#REF!</f>
        <v>#REF!</v>
      </c>
      <c r="J34" s="89" t="e">
        <f>MRS!#REF!</f>
        <v>#REF!</v>
      </c>
      <c r="K34" s="90"/>
      <c r="O34" s="91"/>
      <c r="P34" s="91"/>
      <c r="R34" s="91"/>
    </row>
    <row r="35" spans="1:18" ht="74.25" customHeight="1">
      <c r="A35" s="14" t="str">
        <f>+MRS!A16</f>
        <v>Purpose</v>
      </c>
      <c r="B35" s="152">
        <f>MRS!B35</f>
        <v>0</v>
      </c>
      <c r="C35" s="153"/>
      <c r="D35" s="149">
        <f>MRS!D35</f>
        <v>0</v>
      </c>
      <c r="E35" s="150"/>
      <c r="F35" s="151"/>
      <c r="G35" s="88">
        <f>MRS!G35</f>
        <v>0</v>
      </c>
      <c r="H35" s="88">
        <f>MRS!H35</f>
        <v>0</v>
      </c>
      <c r="I35" s="89">
        <f>MRS!I35</f>
        <v>0</v>
      </c>
      <c r="J35" s="89">
        <f>MRS!J35</f>
        <v>0</v>
      </c>
      <c r="K35" s="90"/>
      <c r="O35" s="91"/>
      <c r="P35" s="91"/>
      <c r="R35" s="91"/>
    </row>
    <row r="36" spans="1:18" ht="74.25" customHeight="1">
      <c r="A36" s="14" t="str">
        <f>+MRS!A17</f>
        <v xml:space="preserve">  * There will be an additional administration expense and financial expense (Depend on contract) deduction of total provision cost price.</v>
      </c>
      <c r="B36" s="152">
        <f>MRS!B36</f>
        <v>0</v>
      </c>
      <c r="C36" s="153"/>
      <c r="D36" s="149">
        <f>MRS!D36</f>
        <v>0</v>
      </c>
      <c r="E36" s="150"/>
      <c r="F36" s="151"/>
      <c r="G36" s="88">
        <f>MRS!G36</f>
        <v>0</v>
      </c>
      <c r="H36" s="88">
        <f>MRS!H36</f>
        <v>0</v>
      </c>
      <c r="I36" s="89">
        <f>MRS!I36</f>
        <v>0</v>
      </c>
      <c r="J36" s="89">
        <f>MRS!J36</f>
        <v>0</v>
      </c>
      <c r="K36" s="90"/>
      <c r="O36" s="91"/>
      <c r="P36" s="91"/>
      <c r="R36" s="91"/>
    </row>
    <row r="37" spans="1:18" ht="74.25" customHeight="1">
      <c r="A37" s="14">
        <f>+MRS!A18</f>
        <v>0</v>
      </c>
      <c r="B37" s="152">
        <f>MRS!B37</f>
        <v>0</v>
      </c>
      <c r="C37" s="153"/>
      <c r="D37" s="149">
        <f>MRS!D37</f>
        <v>0</v>
      </c>
      <c r="E37" s="150"/>
      <c r="F37" s="151"/>
      <c r="G37" s="88">
        <f>MRS!G37</f>
        <v>0</v>
      </c>
      <c r="H37" s="88">
        <f>MRS!H37</f>
        <v>0</v>
      </c>
      <c r="I37" s="89">
        <f>MRS!I37</f>
        <v>0</v>
      </c>
      <c r="J37" s="89">
        <f>MRS!J37</f>
        <v>0</v>
      </c>
      <c r="K37" s="90"/>
      <c r="O37" s="91"/>
      <c r="P37" s="91"/>
      <c r="R37" s="91"/>
    </row>
    <row r="38" spans="1:18" ht="74.25" customHeight="1">
      <c r="A38" s="14">
        <f>+MRS!A19</f>
        <v>0</v>
      </c>
      <c r="B38" s="152">
        <f>MRS!B38</f>
        <v>0</v>
      </c>
      <c r="C38" s="153"/>
      <c r="D38" s="149">
        <f>MRS!D38</f>
        <v>0</v>
      </c>
      <c r="E38" s="150"/>
      <c r="F38" s="151"/>
      <c r="G38" s="88">
        <f>MRS!G38</f>
        <v>0</v>
      </c>
      <c r="H38" s="88">
        <f>MRS!H38</f>
        <v>0</v>
      </c>
      <c r="I38" s="89">
        <f>MRS!I38</f>
        <v>0</v>
      </c>
      <c r="J38" s="89">
        <f>MRS!J38</f>
        <v>0</v>
      </c>
      <c r="K38" s="90"/>
      <c r="O38" s="91"/>
      <c r="P38" s="91"/>
      <c r="R38" s="91"/>
    </row>
    <row r="39" spans="1:18" ht="74.25" customHeight="1">
      <c r="A39" s="14">
        <f>+MRS!A20</f>
        <v>0</v>
      </c>
      <c r="B39" s="152">
        <f>MRS!B39</f>
        <v>0</v>
      </c>
      <c r="C39" s="153"/>
      <c r="D39" s="149">
        <f>MRS!D39</f>
        <v>0</v>
      </c>
      <c r="E39" s="150"/>
      <c r="F39" s="151"/>
      <c r="G39" s="88">
        <f>MRS!G39</f>
        <v>0</v>
      </c>
      <c r="H39" s="88">
        <f>MRS!H39</f>
        <v>0</v>
      </c>
      <c r="I39" s="89">
        <f>MRS!I39</f>
        <v>0</v>
      </c>
      <c r="J39" s="89">
        <f>MRS!J39</f>
        <v>0</v>
      </c>
      <c r="K39" s="90"/>
      <c r="O39" s="91"/>
      <c r="P39" s="91"/>
      <c r="R39" s="91"/>
    </row>
    <row r="40" spans="1:18" ht="21" customHeight="1">
      <c r="A40" s="14">
        <f>+MRS!A21</f>
        <v>0</v>
      </c>
    </row>
    <row r="41" spans="1:18" ht="21" customHeight="1">
      <c r="A41" s="14">
        <f>+MRS!A22</f>
        <v>0</v>
      </c>
    </row>
    <row r="42" spans="1:18" ht="21" customHeight="1">
      <c r="A42" s="14">
        <f>+MRS!A23</f>
        <v>0</v>
      </c>
    </row>
    <row r="43" spans="1:18" ht="21" customHeight="1">
      <c r="A43" s="14">
        <f>+MRS!A24</f>
        <v>0</v>
      </c>
    </row>
    <row r="44" spans="1:18" ht="21" customHeight="1">
      <c r="A44" s="14">
        <f>+MRS!A25</f>
        <v>0</v>
      </c>
    </row>
    <row r="45" spans="1:18" ht="21" customHeight="1">
      <c r="A45" s="14">
        <f>+MRS!A26</f>
        <v>0</v>
      </c>
    </row>
    <row r="46" spans="1:18" ht="21" customHeight="1">
      <c r="A46" s="14">
        <f>+MRS!A27</f>
        <v>0</v>
      </c>
    </row>
    <row r="47" spans="1:18" ht="21" customHeight="1">
      <c r="A47" s="14">
        <f>+MRS!A28</f>
        <v>0</v>
      </c>
    </row>
    <row r="48" spans="1:18" ht="21" customHeight="1">
      <c r="A48" s="14">
        <f>+MRS!A29</f>
        <v>0</v>
      </c>
    </row>
    <row r="49" spans="1:1" ht="21" customHeight="1">
      <c r="A49" s="14">
        <f>+MRS!A30</f>
        <v>0</v>
      </c>
    </row>
    <row r="50" spans="1:1" ht="21" customHeight="1">
      <c r="A50" s="14">
        <f>+MRS!A31</f>
        <v>0</v>
      </c>
    </row>
    <row r="51" spans="1:1" ht="21" customHeight="1">
      <c r="A51" s="14">
        <f>+MRS!A32</f>
        <v>0</v>
      </c>
    </row>
    <row r="52" spans="1:1" ht="21" customHeight="1">
      <c r="A52" s="14">
        <f>+MRS!A33</f>
        <v>0</v>
      </c>
    </row>
    <row r="53" spans="1:1" ht="21" customHeight="1">
      <c r="A53" s="14">
        <f>+MRS!A34</f>
        <v>0</v>
      </c>
    </row>
  </sheetData>
  <mergeCells count="78">
    <mergeCell ref="B15:C15"/>
    <mergeCell ref="D15:F1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8:F8"/>
    <mergeCell ref="B8:C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38:F38"/>
    <mergeCell ref="D39:F39"/>
    <mergeCell ref="D7:F7"/>
    <mergeCell ref="D33:F33"/>
    <mergeCell ref="D34:F34"/>
    <mergeCell ref="D35:F35"/>
    <mergeCell ref="D36:F36"/>
    <mergeCell ref="D37:F37"/>
    <mergeCell ref="D28:F28"/>
    <mergeCell ref="D29:F29"/>
    <mergeCell ref="D30:F30"/>
    <mergeCell ref="D31:F31"/>
    <mergeCell ref="D32:F3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09">
        <v>2053026325</v>
      </c>
      <c r="J10" s="31" t="s">
        <v>24</v>
      </c>
      <c r="K10" s="157">
        <f>MRS!L3</f>
        <v>46295</v>
      </c>
      <c r="L10" s="158"/>
      <c r="M10" s="158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59" t="str">
        <f>SUBSTITUTE(SUBSTITUTE(+MRS!A3,"  MRS No : ",""),"-MRS","-PO")</f>
        <v>SAC2-DS-PO-0475</v>
      </c>
      <c r="L11" s="159"/>
      <c r="M11" s="159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133</v>
      </c>
    </row>
    <row r="15" spans="2:13" s="31" customFormat="1">
      <c r="B15" s="64"/>
      <c r="C15" s="69" t="s">
        <v>97</v>
      </c>
      <c r="J15" s="31" t="s">
        <v>31</v>
      </c>
      <c r="K15" s="70">
        <v>46285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60" t="s">
        <v>32</v>
      </c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</row>
    <row r="19" spans="2:13" ht="12" customHeight="1"/>
    <row r="20" spans="2:13" s="24" customFormat="1" ht="12" customHeight="1">
      <c r="B20" s="161" t="s">
        <v>33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</row>
    <row r="21" spans="2:13" s="24" customFormat="1" ht="12" customHeight="1">
      <c r="B21" s="161" t="s">
        <v>34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</row>
    <row r="22" spans="2:13" s="24" customFormat="1" ht="12" customHeight="1">
      <c r="B22" s="161" t="s">
        <v>35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</row>
    <row r="23" spans="2:13" ht="6.95" customHeight="1"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2:13" ht="6.95" customHeight="1"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tr">
        <f>MRS!B6</f>
        <v>Orning CAT6 Cable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0">
        <f>'PO 2nd page'!G35</f>
        <v>500</v>
      </c>
      <c r="G29" s="94"/>
      <c r="H29" s="94"/>
      <c r="M29" s="26"/>
    </row>
    <row r="30" spans="2:13" ht="12" customHeight="1">
      <c r="B30" s="25"/>
      <c r="C30" s="19" t="s">
        <v>41</v>
      </c>
      <c r="E30" s="19" t="s">
        <v>40</v>
      </c>
      <c r="F30" s="110">
        <f>'PO 2nd page'!G36</f>
        <v>75</v>
      </c>
      <c r="G30" s="94"/>
      <c r="H30" s="94"/>
    </row>
    <row r="31" spans="2:13" ht="12" customHeight="1">
      <c r="B31" s="25"/>
      <c r="C31" s="19" t="s">
        <v>42</v>
      </c>
      <c r="D31" s="27"/>
      <c r="E31" s="19" t="s">
        <v>40</v>
      </c>
      <c r="F31" s="110">
        <f>'PO 2nd page'!G37</f>
        <v>575</v>
      </c>
      <c r="G31" s="94"/>
      <c r="H31" s="94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07" t="s">
        <v>103</v>
      </c>
      <c r="F54" s="19" t="s">
        <v>129</v>
      </c>
      <c r="P54" s="19" t="str">
        <f>UPPER(F54)</f>
        <v>ALROMOZ ALFANIAH EST.</v>
      </c>
    </row>
    <row r="55" spans="2:16" ht="12" customHeight="1">
      <c r="B55" s="76" t="s">
        <v>56</v>
      </c>
      <c r="C55" s="107" t="s">
        <v>104</v>
      </c>
      <c r="F55" s="108" t="s">
        <v>113</v>
      </c>
    </row>
    <row r="56" spans="2:16" ht="12" customHeight="1">
      <c r="B56" s="76" t="s">
        <v>56</v>
      </c>
      <c r="C56" s="107" t="s">
        <v>105</v>
      </c>
      <c r="F56" s="108" t="s">
        <v>114</v>
      </c>
    </row>
    <row r="57" spans="2:16" ht="12" customHeight="1">
      <c r="B57" s="76" t="s">
        <v>56</v>
      </c>
      <c r="C57" s="107" t="s">
        <v>106</v>
      </c>
      <c r="F57" s="19" t="s">
        <v>112</v>
      </c>
    </row>
    <row r="58" spans="2:16" ht="12" customHeight="1">
      <c r="B58" s="76" t="s">
        <v>56</v>
      </c>
      <c r="C58" s="107" t="s">
        <v>107</v>
      </c>
      <c r="F58" s="19" t="s">
        <v>108</v>
      </c>
    </row>
    <row r="59" spans="2:16" ht="12" customHeight="1">
      <c r="B59" s="76" t="s">
        <v>56</v>
      </c>
      <c r="C59" s="107" t="s">
        <v>109</v>
      </c>
      <c r="F59" s="19" t="s">
        <v>110</v>
      </c>
    </row>
    <row r="60" spans="2:16" ht="12" customHeight="1">
      <c r="B60" s="76"/>
      <c r="C60" s="107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64" t="str">
        <f>C9</f>
        <v>ATGC(Alrmooz Technical for General Contracting Est.)</v>
      </c>
      <c r="K70" s="164"/>
      <c r="L70" s="164"/>
      <c r="M70" s="164"/>
    </row>
    <row r="71" spans="1:13" ht="27.95" customHeight="1">
      <c r="A71" s="156" t="s">
        <v>66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8.1406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SAC2-DS-PO-0475</v>
      </c>
      <c r="C2" s="167" t="s">
        <v>68</v>
      </c>
      <c r="D2" s="167"/>
      <c r="E2" s="167"/>
      <c r="F2" s="167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46295</v>
      </c>
      <c r="C3" s="43"/>
      <c r="D3" s="44"/>
      <c r="E3" s="168" t="s">
        <v>70</v>
      </c>
      <c r="F3" s="168"/>
      <c r="G3" s="168"/>
      <c r="H3" s="168"/>
      <c r="I3" s="45"/>
    </row>
    <row r="4" spans="1:13" s="47" customFormat="1" ht="28.5" customHeight="1" thickTop="1">
      <c r="A4" s="169" t="s">
        <v>71</v>
      </c>
      <c r="B4" s="171" t="s">
        <v>72</v>
      </c>
      <c r="C4" s="172"/>
      <c r="D4" s="175" t="s">
        <v>73</v>
      </c>
      <c r="E4" s="175" t="s">
        <v>74</v>
      </c>
      <c r="F4" s="177" t="str">
        <f>'PO 1st page'!C9</f>
        <v>ATGC(Alrmooz Technical for General Contracting Est.)</v>
      </c>
      <c r="G4" s="178"/>
      <c r="H4" s="179" t="s">
        <v>75</v>
      </c>
      <c r="K4" s="48"/>
      <c r="L4" s="48"/>
      <c r="M4" s="48"/>
    </row>
    <row r="5" spans="1:13" s="47" customFormat="1" ht="21.95" customHeight="1">
      <c r="A5" s="170"/>
      <c r="B5" s="173"/>
      <c r="C5" s="174"/>
      <c r="D5" s="176"/>
      <c r="E5" s="176"/>
      <c r="F5" s="49" t="s">
        <v>76</v>
      </c>
      <c r="G5" s="49" t="s">
        <v>42</v>
      </c>
      <c r="H5" s="180"/>
      <c r="K5" s="48"/>
      <c r="L5" s="48"/>
      <c r="M5" s="48"/>
    </row>
    <row r="6" spans="1:13" s="47" customFormat="1" ht="36.75" customHeight="1">
      <c r="A6" s="77">
        <f t="shared" ref="A6:A34" si="0">ROW(A1)</f>
        <v>1</v>
      </c>
      <c r="B6" s="186" t="str">
        <f>MRS!B6&amp;", "&amp;MRS!D6</f>
        <v>Orning CAT6 Cable, UTP PVC Grey - 305 M / Roll Model: Vol-6UP4-305</v>
      </c>
      <c r="C6" s="187"/>
      <c r="D6" s="78" t="str">
        <f>MRS!G6</f>
        <v>EA</v>
      </c>
      <c r="E6" s="79">
        <f>MRS!H6</f>
        <v>1</v>
      </c>
      <c r="F6" s="80">
        <f>MRS!I6</f>
        <v>500</v>
      </c>
      <c r="G6" s="81">
        <f>F6*E6</f>
        <v>500</v>
      </c>
      <c r="H6" s="82" t="str">
        <f>MRS!L6</f>
        <v>One time</v>
      </c>
      <c r="K6" s="83"/>
      <c r="L6" s="84"/>
      <c r="M6" s="48"/>
    </row>
    <row r="7" spans="1:13" s="47" customFormat="1" ht="25.5" customHeight="1">
      <c r="A7" s="77"/>
      <c r="B7" s="165"/>
      <c r="C7" s="166"/>
      <c r="D7" s="78"/>
      <c r="E7" s="79"/>
      <c r="F7" s="80"/>
      <c r="G7" s="81"/>
      <c r="H7" s="82"/>
      <c r="K7" s="83"/>
      <c r="L7" s="84"/>
      <c r="M7" s="48"/>
    </row>
    <row r="8" spans="1:13" s="47" customFormat="1" ht="25.5" customHeight="1">
      <c r="A8" s="77"/>
      <c r="B8" s="165"/>
      <c r="C8" s="166"/>
      <c r="D8" s="78"/>
      <c r="E8" s="79"/>
      <c r="F8" s="80"/>
      <c r="G8" s="81"/>
      <c r="H8" s="82"/>
      <c r="K8" s="48"/>
      <c r="L8" s="48"/>
      <c r="M8" s="48"/>
    </row>
    <row r="9" spans="1:13" s="47" customFormat="1" ht="25.5" customHeight="1">
      <c r="A9" s="77"/>
      <c r="B9" s="165"/>
      <c r="C9" s="166"/>
      <c r="D9" s="78"/>
      <c r="E9" s="79"/>
      <c r="F9" s="80"/>
      <c r="G9" s="81"/>
      <c r="H9" s="82"/>
    </row>
    <row r="10" spans="1:13" s="47" customFormat="1" ht="25.5" customHeight="1">
      <c r="A10" s="77"/>
      <c r="B10" s="165"/>
      <c r="C10" s="166"/>
      <c r="D10" s="78"/>
      <c r="E10" s="79"/>
      <c r="F10" s="80"/>
      <c r="G10" s="81"/>
      <c r="H10" s="82"/>
    </row>
    <row r="11" spans="1:13" s="47" customFormat="1" ht="25.5" customHeight="1">
      <c r="A11" s="77"/>
      <c r="B11" s="165"/>
      <c r="C11" s="166"/>
      <c r="D11" s="78"/>
      <c r="E11" s="79"/>
      <c r="F11" s="80"/>
      <c r="G11" s="81"/>
      <c r="H11" s="82"/>
    </row>
    <row r="12" spans="1:13" s="47" customFormat="1" ht="25.5" customHeight="1">
      <c r="A12" s="77"/>
      <c r="B12" s="165"/>
      <c r="C12" s="166"/>
      <c r="D12" s="78"/>
      <c r="E12" s="79"/>
      <c r="F12" s="80"/>
      <c r="G12" s="81"/>
      <c r="H12" s="82"/>
    </row>
    <row r="13" spans="1:13" s="47" customFormat="1" ht="25.5" customHeight="1">
      <c r="A13" s="77"/>
      <c r="B13" s="165"/>
      <c r="C13" s="166"/>
      <c r="D13" s="78"/>
      <c r="E13" s="79"/>
      <c r="F13" s="80"/>
      <c r="G13" s="81"/>
      <c r="H13" s="82"/>
    </row>
    <row r="14" spans="1:13" s="47" customFormat="1" ht="25.5" customHeight="1">
      <c r="A14" s="77"/>
      <c r="B14" s="165"/>
      <c r="C14" s="166"/>
      <c r="D14" s="78"/>
      <c r="E14" s="79"/>
      <c r="F14" s="80"/>
      <c r="G14" s="81"/>
      <c r="H14" s="82"/>
    </row>
    <row r="15" spans="1:13" s="47" customFormat="1" ht="25.5" customHeight="1">
      <c r="A15" s="77"/>
      <c r="B15" s="165"/>
      <c r="C15" s="166"/>
      <c r="D15" s="78"/>
      <c r="E15" s="79"/>
      <c r="F15" s="80"/>
      <c r="G15" s="81"/>
      <c r="H15" s="82"/>
    </row>
    <row r="16" spans="1:13" s="47" customFormat="1" ht="25.5" customHeight="1">
      <c r="A16" s="77"/>
      <c r="B16" s="165"/>
      <c r="C16" s="166"/>
      <c r="D16" s="78"/>
      <c r="E16" s="79"/>
      <c r="F16" s="80"/>
      <c r="G16" s="81"/>
      <c r="H16" s="82"/>
    </row>
    <row r="17" spans="1:8" s="47" customFormat="1" ht="25.5" customHeight="1">
      <c r="A17" s="77"/>
      <c r="B17" s="165"/>
      <c r="C17" s="166"/>
      <c r="D17" s="78"/>
      <c r="E17" s="79"/>
      <c r="F17" s="80"/>
      <c r="G17" s="81"/>
      <c r="H17" s="82"/>
    </row>
    <row r="18" spans="1:8" s="47" customFormat="1" ht="25.5" customHeight="1">
      <c r="A18" s="77"/>
      <c r="B18" s="165"/>
      <c r="C18" s="166"/>
      <c r="D18" s="78"/>
      <c r="E18" s="79"/>
      <c r="F18" s="80"/>
      <c r="G18" s="81"/>
      <c r="H18" s="82"/>
    </row>
    <row r="19" spans="1:8" s="47" customFormat="1" ht="25.5" customHeight="1">
      <c r="A19" s="77"/>
      <c r="B19" s="165"/>
      <c r="C19" s="166"/>
      <c r="D19" s="78"/>
      <c r="E19" s="79"/>
      <c r="F19" s="80"/>
      <c r="G19" s="81"/>
      <c r="H19" s="82"/>
    </row>
    <row r="20" spans="1:8" s="47" customFormat="1" ht="25.5" customHeight="1">
      <c r="A20" s="77"/>
      <c r="B20" s="165"/>
      <c r="C20" s="166"/>
      <c r="D20" s="78"/>
      <c r="E20" s="79"/>
      <c r="F20" s="80"/>
      <c r="G20" s="81"/>
      <c r="H20" s="82"/>
    </row>
    <row r="21" spans="1:8" s="47" customFormat="1" ht="25.5" customHeight="1">
      <c r="A21" s="77"/>
      <c r="B21" s="165"/>
      <c r="C21" s="166"/>
      <c r="D21" s="78"/>
      <c r="E21" s="79"/>
      <c r="F21" s="80"/>
      <c r="G21" s="81"/>
      <c r="H21" s="82"/>
    </row>
    <row r="22" spans="1:8" s="47" customFormat="1" ht="25.5" customHeight="1">
      <c r="A22" s="77"/>
      <c r="B22" s="165"/>
      <c r="C22" s="166"/>
      <c r="D22" s="78"/>
      <c r="E22" s="79"/>
      <c r="F22" s="80"/>
      <c r="G22" s="81"/>
      <c r="H22" s="82"/>
    </row>
    <row r="23" spans="1:8" s="47" customFormat="1" ht="25.5" customHeight="1">
      <c r="A23" s="77"/>
      <c r="B23" s="165"/>
      <c r="C23" s="166"/>
      <c r="D23" s="78"/>
      <c r="E23" s="79"/>
      <c r="F23" s="80"/>
      <c r="G23" s="81"/>
      <c r="H23" s="82"/>
    </row>
    <row r="24" spans="1:8" s="47" customFormat="1" ht="25.5" customHeight="1">
      <c r="A24" s="77"/>
      <c r="B24" s="165"/>
      <c r="C24" s="166"/>
      <c r="D24" s="78"/>
      <c r="E24" s="79"/>
      <c r="F24" s="80"/>
      <c r="G24" s="81"/>
      <c r="H24" s="82"/>
    </row>
    <row r="25" spans="1:8" s="47" customFormat="1" ht="25.5" customHeight="1">
      <c r="A25" s="77"/>
      <c r="B25" s="165"/>
      <c r="C25" s="166"/>
      <c r="D25" s="78"/>
      <c r="E25" s="79"/>
      <c r="F25" s="80"/>
      <c r="G25" s="81"/>
      <c r="H25" s="82"/>
    </row>
    <row r="26" spans="1:8" s="47" customFormat="1" ht="25.5" customHeight="1">
      <c r="A26" s="77"/>
      <c r="B26" s="165"/>
      <c r="C26" s="166"/>
      <c r="D26" s="78"/>
      <c r="E26" s="79"/>
      <c r="F26" s="80"/>
      <c r="G26" s="81"/>
      <c r="H26" s="82"/>
    </row>
    <row r="27" spans="1:8" s="47" customFormat="1" ht="25.5" customHeight="1">
      <c r="A27" s="77"/>
      <c r="B27" s="165"/>
      <c r="C27" s="166"/>
      <c r="D27" s="78"/>
      <c r="E27" s="79"/>
      <c r="F27" s="80"/>
      <c r="G27" s="81"/>
      <c r="H27" s="82"/>
    </row>
    <row r="28" spans="1:8" s="47" customFormat="1" ht="25.5" customHeight="1">
      <c r="A28" s="77"/>
      <c r="B28" s="165"/>
      <c r="C28" s="166"/>
      <c r="D28" s="78"/>
      <c r="E28" s="79"/>
      <c r="F28" s="80"/>
      <c r="G28" s="81"/>
      <c r="H28" s="82"/>
    </row>
    <row r="29" spans="1:8" s="47" customFormat="1" ht="25.5" customHeight="1">
      <c r="A29" s="77"/>
      <c r="B29" s="165"/>
      <c r="C29" s="166"/>
      <c r="D29" s="78"/>
      <c r="E29" s="79"/>
      <c r="F29" s="80"/>
      <c r="G29" s="81"/>
      <c r="H29" s="82"/>
    </row>
    <row r="30" spans="1:8" s="47" customFormat="1" ht="25.5" customHeight="1">
      <c r="A30" s="77"/>
      <c r="B30" s="165"/>
      <c r="C30" s="166"/>
      <c r="D30" s="78"/>
      <c r="E30" s="79"/>
      <c r="F30" s="80"/>
      <c r="G30" s="81"/>
      <c r="H30" s="82"/>
    </row>
    <row r="31" spans="1:8" s="47" customFormat="1" ht="25.5" customHeight="1">
      <c r="A31" s="77"/>
      <c r="B31" s="165"/>
      <c r="C31" s="166"/>
      <c r="D31" s="78"/>
      <c r="E31" s="79"/>
      <c r="F31" s="80"/>
      <c r="G31" s="81"/>
      <c r="H31" s="82"/>
    </row>
    <row r="32" spans="1:8" s="47" customFormat="1" ht="25.5" customHeight="1">
      <c r="A32" s="77"/>
      <c r="B32" s="165"/>
      <c r="C32" s="166"/>
      <c r="D32" s="78"/>
      <c r="E32" s="79"/>
      <c r="F32" s="80"/>
      <c r="G32" s="81"/>
      <c r="H32" s="82"/>
    </row>
    <row r="33" spans="1:13" s="47" customFormat="1" ht="25.5" customHeight="1">
      <c r="A33" s="77"/>
      <c r="B33" s="165"/>
      <c r="C33" s="166"/>
      <c r="D33" s="78"/>
      <c r="E33" s="79"/>
      <c r="F33" s="80"/>
      <c r="G33" s="81"/>
      <c r="H33" s="82"/>
    </row>
    <row r="34" spans="1:13" s="47" customFormat="1" ht="25.5" customHeight="1">
      <c r="A34" s="77"/>
      <c r="B34" s="165"/>
      <c r="C34" s="166"/>
      <c r="D34" s="78"/>
      <c r="E34" s="79"/>
      <c r="F34" s="80"/>
      <c r="G34" s="81"/>
      <c r="H34" s="82"/>
    </row>
    <row r="35" spans="1:13" s="47" customFormat="1" ht="23.1" customHeight="1">
      <c r="A35" s="181" t="s">
        <v>77</v>
      </c>
      <c r="B35" s="182"/>
      <c r="C35" s="182"/>
      <c r="D35" s="182"/>
      <c r="E35" s="182"/>
      <c r="F35" s="182"/>
      <c r="G35" s="50">
        <f>SUM(G5:G34)</f>
        <v>500</v>
      </c>
      <c r="H35" s="51"/>
    </row>
    <row r="36" spans="1:13" s="47" customFormat="1" ht="23.1" customHeight="1">
      <c r="A36" s="181" t="s">
        <v>41</v>
      </c>
      <c r="B36" s="182"/>
      <c r="C36" s="182"/>
      <c r="D36" s="182"/>
      <c r="E36" s="182"/>
      <c r="F36" s="182"/>
      <c r="G36" s="50">
        <f>+G35*0.15</f>
        <v>75</v>
      </c>
      <c r="H36" s="51"/>
    </row>
    <row r="37" spans="1:13" s="47" customFormat="1" ht="24.95" customHeight="1" thickBot="1">
      <c r="A37" s="183" t="s">
        <v>78</v>
      </c>
      <c r="B37" s="184"/>
      <c r="C37" s="184"/>
      <c r="D37" s="184"/>
      <c r="E37" s="184"/>
      <c r="F37" s="184"/>
      <c r="G37" s="52">
        <f>G36+G35</f>
        <v>575</v>
      </c>
      <c r="H37" s="53"/>
    </row>
    <row r="38" spans="1:13" ht="15.75" thickTop="1">
      <c r="A38" s="54" t="str">
        <f>" 1) Above Price are as per your quotation with ref "&amp;'PO 1st page'!K14</f>
        <v xml:space="preserve"> 1) Above Price are as per your quotation with ref QUO-MAT-26092001</v>
      </c>
      <c r="B38" s="55"/>
      <c r="C38" s="55"/>
      <c r="D38" s="56"/>
      <c r="E38" s="56"/>
      <c r="F38" s="56"/>
      <c r="G38" s="56"/>
      <c r="H38" s="56"/>
    </row>
    <row r="39" spans="1:13" ht="15">
      <c r="A39" s="57" t="s">
        <v>79</v>
      </c>
      <c r="B39" s="58"/>
      <c r="C39" s="58"/>
      <c r="D39" s="59"/>
      <c r="E39" s="59"/>
      <c r="F39" s="59"/>
      <c r="G39" s="59"/>
      <c r="H39" s="59"/>
      <c r="I39" s="60"/>
    </row>
    <row r="40" spans="1:13" ht="15.75">
      <c r="A40" s="61"/>
    </row>
    <row r="41" spans="1:13">
      <c r="A41" s="156" t="s">
        <v>80</v>
      </c>
      <c r="B41" s="156"/>
      <c r="C41" s="156"/>
      <c r="D41" s="156"/>
      <c r="E41" s="156"/>
      <c r="F41" s="156"/>
      <c r="G41" s="156"/>
      <c r="H41" s="156"/>
      <c r="I41" s="62"/>
      <c r="J41" s="62"/>
      <c r="K41" s="62"/>
      <c r="L41" s="62"/>
      <c r="M41" s="62"/>
    </row>
    <row r="42" spans="1:13" ht="15.75">
      <c r="A42" s="61"/>
      <c r="C42" s="63"/>
    </row>
    <row r="43" spans="1:13" ht="15.75">
      <c r="A43" s="61"/>
      <c r="C43" s="63"/>
    </row>
    <row r="45" spans="1:13" ht="12" customHeight="1"/>
  </sheetData>
  <mergeCells count="41">
    <mergeCell ref="A35:F35"/>
    <mergeCell ref="A36:F36"/>
    <mergeCell ref="A37:F37"/>
    <mergeCell ref="A41:H41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15:C15"/>
    <mergeCell ref="B33:C33"/>
    <mergeCell ref="B34:C34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6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2026-09-30T12:52:20Z</cp:lastPrinted>
  <dcterms:created xsi:type="dcterms:W3CDTF">2024-10-20T11:50:19Z</dcterms:created>
  <dcterms:modified xsi:type="dcterms:W3CDTF">2026-09-30T12:52:24Z</dcterms:modified>
</cp:coreProperties>
</file>