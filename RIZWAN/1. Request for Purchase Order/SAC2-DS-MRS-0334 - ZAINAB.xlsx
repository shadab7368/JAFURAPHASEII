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A772FBD7-7B20-4A2B-8BF1-B5247F7411EC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MRS!$A$1:$L$32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page'!$A$1:$H$29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D7" i="4" l="1"/>
  <c r="E7" i="4"/>
  <c r="F7" i="4"/>
  <c r="D8" i="4"/>
  <c r="E8" i="4"/>
  <c r="F8" i="4"/>
  <c r="D9" i="4"/>
  <c r="E9" i="4"/>
  <c r="F9" i="4"/>
  <c r="D10" i="4"/>
  <c r="E10" i="4"/>
  <c r="F10" i="4"/>
  <c r="D11" i="4"/>
  <c r="E11" i="4"/>
  <c r="F11" i="4"/>
  <c r="D12" i="4"/>
  <c r="E12" i="4"/>
  <c r="F12" i="4"/>
  <c r="D13" i="4"/>
  <c r="E13" i="4"/>
  <c r="F13" i="4"/>
  <c r="D14" i="4"/>
  <c r="E14" i="4"/>
  <c r="F14" i="4"/>
  <c r="D15" i="4"/>
  <c r="E15" i="4"/>
  <c r="F15" i="4"/>
  <c r="D16" i="4"/>
  <c r="E16" i="4"/>
  <c r="F16" i="4"/>
  <c r="D17" i="4"/>
  <c r="E17" i="4"/>
  <c r="F17" i="4"/>
  <c r="D18" i="4"/>
  <c r="E18" i="4"/>
  <c r="F18" i="4"/>
  <c r="D19" i="4"/>
  <c r="E19" i="4"/>
  <c r="F19" i="4"/>
  <c r="D20" i="4"/>
  <c r="E20" i="4"/>
  <c r="F20" i="4"/>
  <c r="D21" i="4"/>
  <c r="E21" i="4"/>
  <c r="F21" i="4"/>
  <c r="D22" i="4"/>
  <c r="E22" i="4"/>
  <c r="F22" i="4"/>
  <c r="F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A21" i="4"/>
  <c r="A22" i="4"/>
  <c r="A15" i="4"/>
  <c r="A16" i="4"/>
  <c r="A17" i="4"/>
  <c r="A18" i="4"/>
  <c r="A19" i="4"/>
  <c r="A20" i="4"/>
  <c r="G15" i="4"/>
  <c r="G16" i="4"/>
  <c r="G17" i="4"/>
  <c r="G18" i="4"/>
  <c r="G19" i="4"/>
  <c r="G20" i="4"/>
  <c r="G21" i="4"/>
  <c r="G22" i="4"/>
  <c r="A14" i="1"/>
  <c r="A14" i="2" s="1"/>
  <c r="A15" i="1"/>
  <c r="A16" i="1"/>
  <c r="A17" i="1"/>
  <c r="A18" i="1"/>
  <c r="A19" i="1"/>
  <c r="A20" i="1"/>
  <c r="A21" i="1"/>
  <c r="A22" i="1"/>
  <c r="P54" i="3"/>
  <c r="B6" i="4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4" i="2"/>
  <c r="D13" i="2"/>
  <c r="D12" i="2"/>
  <c r="D11" i="2"/>
  <c r="D10" i="2"/>
  <c r="D9" i="2"/>
  <c r="D8" i="2"/>
  <c r="D7" i="2"/>
  <c r="B14" i="2"/>
  <c r="B13" i="2"/>
  <c r="B12" i="2"/>
  <c r="B11" i="2"/>
  <c r="B10" i="2"/>
  <c r="B9" i="2"/>
  <c r="B8" i="2"/>
  <c r="B7" i="2"/>
  <c r="B6" i="2"/>
  <c r="E6" i="4"/>
  <c r="D6" i="4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J23" i="1" l="1"/>
  <c r="J14" i="2"/>
  <c r="G14" i="4"/>
  <c r="J13" i="2"/>
  <c r="G13" i="4"/>
  <c r="J12" i="2"/>
  <c r="G12" i="4"/>
  <c r="J11" i="2"/>
  <c r="G11" i="4"/>
  <c r="J10" i="2"/>
  <c r="G10" i="4"/>
  <c r="J9" i="2"/>
  <c r="G9" i="4"/>
  <c r="J8" i="2"/>
  <c r="G8" i="4"/>
  <c r="J7" i="2"/>
  <c r="G7" i="4"/>
  <c r="J6" i="2"/>
  <c r="G6" i="4"/>
  <c r="K67" i="3"/>
  <c r="E3" i="1"/>
  <c r="K10" i="3" l="1"/>
  <c r="A26" i="4" l="1"/>
  <c r="I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23" i="4" l="1"/>
  <c r="F29" i="3" s="1"/>
  <c r="G24" i="4" l="1"/>
  <c r="F30" i="3" s="1"/>
  <c r="G25" i="4" l="1"/>
  <c r="F31" i="3" s="1"/>
</calcChain>
</file>

<file path=xl/sharedStrings.xml><?xml version="1.0" encoding="utf-8"?>
<sst xmlns="http://schemas.openxmlformats.org/spreadsheetml/2006/main" count="204" uniqueCount="156">
  <si>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</si>
  <si>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</si>
  <si>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</si>
  <si>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</si>
  <si>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</si>
  <si>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</si>
  <si>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</si>
  <si>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</si>
  <si>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</si>
  <si>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</si>
  <si>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</si>
  <si>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</si>
  <si>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</si>
  <si>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</si>
  <si>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</si>
  <si>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</si>
  <si>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</si>
  <si>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</si>
  <si>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</si>
  <si>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</si>
  <si>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</si>
  <si>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</si>
  <si>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</si>
  <si>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</si>
  <si>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</si>
  <si>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</si>
  <si>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</si>
  <si>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</si>
  <si>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</si>
  <si>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</si>
  <si>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</si>
  <si>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</si>
  <si>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</si>
  <si>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</si>
  <si>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</si>
  <si>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</si>
  <si>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</si>
  <si>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</si>
  <si>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</si>
  <si>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</si>
  <si>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</si>
  <si>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</si>
  <si>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</si>
  <si>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</si>
  <si>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</si>
  <si>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</si>
  <si>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</si>
  <si>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</si>
  <si>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</si>
  <si>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</si>
  <si>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</si>
  <si>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</si>
  <si>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</si>
  <si>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</si>
  <si>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</si>
  <si>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</si>
  <si>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</si>
  <si>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</si>
  <si>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</si>
  <si>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</si>
  <si>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</si>
  <si>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</si>
  <si>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</si>
  <si>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</si>
  <si>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</si>
  <si>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</si>
  <si>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</si>
  <si>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</si>
  <si>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</si>
  <si>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</si>
  <si>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</si>
  <si>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</si>
  <si>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</si>
  <si>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</si>
  <si>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</si>
  <si>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</si>
  <si>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</si>
  <si>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</si>
  <si>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</si>
  <si>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</si>
  <si>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</si>
  <si>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</si>
  <si>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</si>
  <si>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</si>
  <si>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</si>
  <si>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</si>
  <si>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</si>
  <si>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</si>
  <si>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</si>
  <si>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</si>
  <si>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</si>
  <si>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</si>
  <si>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</si>
  <si>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</si>
  <si>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</si>
  <si>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</si>
  <si>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</si>
  <si>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</si>
  <si>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</si>
  <si>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</si>
  <si>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</si>
  <si>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</si>
  <si>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</si>
  <si>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</si>
  <si>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</si>
  <si>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</si>
  <si>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</si>
  <si>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</si>
  <si>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</si>
  <si>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</si>
  <si>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Site Materials</t>
  </si>
  <si>
    <t>ZSAAC (Zainab Saeed Al Abdul Aal Contracting Est.)</t>
  </si>
  <si>
    <t>2050107776</t>
  </si>
  <si>
    <t>3021683249000003</t>
  </si>
  <si>
    <t>Mamun Rasid</t>
  </si>
  <si>
    <t>Mobile No. +966 57 243 0548, Email: info@primeworkforcehub.com</t>
  </si>
  <si>
    <t>Building No. 2210, Najmah Street, Al Qatif - 32645, KSA</t>
  </si>
  <si>
    <t>Mobile: +966 57 243 0548</t>
  </si>
  <si>
    <t>ZAINAB SAEED AL ABDUL AAL CONTRACTING EST.</t>
  </si>
  <si>
    <t>3263232849940</t>
  </si>
  <si>
    <t>SA05 2000 0003 2632 3284 9940</t>
  </si>
  <si>
    <t>RIYAD BANK</t>
  </si>
  <si>
    <t>RIBLSARI</t>
  </si>
  <si>
    <t>Sales &amp; Purchasing Manager</t>
  </si>
  <si>
    <t>EA</t>
  </si>
  <si>
    <t>ZAINAB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</si>
  <si>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-MRS-0334</t>
    </r>
  </si>
  <si>
    <t xml:space="preserve">6" PIPE SCH 160 CUTTING &amp; BEVELLING </t>
  </si>
  <si>
    <t>2" PIPE SCH 160 CUTTING &amp; BEVELLING</t>
  </si>
  <si>
    <t>LEAD HOSE 1.8M</t>
  </si>
  <si>
    <t>One Time</t>
  </si>
  <si>
    <t xml:space="preserve">CS PIPE </t>
  </si>
  <si>
    <t xml:space="preserve">CS PLATE </t>
  </si>
  <si>
    <t>PIPE</t>
  </si>
  <si>
    <t xml:space="preserve">HYDRAULIC FLANGE SUREADER </t>
  </si>
  <si>
    <t>LEAD HOSE</t>
  </si>
  <si>
    <t>HAND PUMP FOR HYDRAULIC NUT SPLITTER WITH HOSE</t>
  </si>
  <si>
    <t>CUTTING DISC</t>
  </si>
  <si>
    <t xml:space="preserve">CUTTING DISC </t>
  </si>
  <si>
    <t xml:space="preserve">GRINDING DISC </t>
  </si>
  <si>
    <t xml:space="preserve">SPEED CUTTING DISC </t>
  </si>
  <si>
    <t xml:space="preserve"> 2" SCH 80 X 6MTR</t>
  </si>
  <si>
    <t xml:space="preserve"> 20MM X 4'X8'</t>
  </si>
  <si>
    <t xml:space="preserve"> 3MM X3'X8'</t>
  </si>
  <si>
    <t xml:space="preserve"> 6MM X3'X8'</t>
  </si>
  <si>
    <t xml:space="preserve"> 8MM X3'X8'</t>
  </si>
  <si>
    <t xml:space="preserve"> 10MM X3'X8'</t>
  </si>
  <si>
    <t xml:space="preserve"> 3MM X4'X8'</t>
  </si>
  <si>
    <t>MODEL: HFS-14 CAPACITY: 14 TON</t>
  </si>
  <si>
    <t xml:space="preserve"> MODEL: P-392 BRAND: TORQUEING POWER SOLUTION (TSP)</t>
  </si>
  <si>
    <t xml:space="preserve"> 4" X 1MM SS INOX KONAFLEX GERMAN</t>
  </si>
  <si>
    <t xml:space="preserve"> 4" X 3MM CS MAKS PRO</t>
  </si>
  <si>
    <t xml:space="preserve"> 4" X 3MM SS MAKS PRO</t>
  </si>
  <si>
    <t>C 4" X 6 MM CS MAKS PRO</t>
  </si>
  <si>
    <t xml:space="preserve"> 14"X3MM CS MASK PRO</t>
  </si>
  <si>
    <t>JF-MAT-2026080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</si>
</sst>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2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24</xdr:row>
          <xdr:rowOff>20054</xdr:rowOff>
        </xdr:from>
        <xdr:to>
          <xdr:col>12</xdr:col>
          <xdr:colOff>499</xdr:colOff>
          <xdr:row>31</xdr:row>
          <xdr:rowOff>20055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5:$S$31" spid="_x0000_s132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9"/>
  <sheetViews>
    <sheetView showGridLines="0" view="pageBreakPreview" topLeftCell="A11" zoomScale="95" zoomScaleNormal="95" zoomScaleSheetLayoutView="95" workbookViewId="0">
      <selection activeCell="Q13" sqref="Q13"/>
    </sheetView>
  </sheetViews>
  <sheetFormatPr defaultColWidth="9" defaultRowHeight="21" customHeight="1"/>
  <cols>
    <col min="1" max="1" width="3.7109375" style="2" customWidth="1"/>
    <col min="2" max="2" width="32.42578125" style="2" customWidth="1"/>
    <col min="3" max="3" width="8.5703125" style="2" customWidth="1"/>
    <col min="4" max="4" width="17.28515625" style="2" customWidth="1"/>
    <col min="5" max="5" width="6" style="2" customWidth="1"/>
    <col min="6" max="6" width="23.8554687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6" t="s">
        <v>96</v>
      </c>
      <c r="B1" s="98"/>
      <c r="C1" s="98"/>
      <c r="D1" s="98"/>
      <c r="E1" s="98"/>
      <c r="F1" s="98"/>
      <c r="G1" s="1"/>
      <c r="J1" s="137" t="s">
        <v>87</v>
      </c>
      <c r="K1" s="138"/>
      <c r="L1" s="139"/>
    </row>
    <row r="2" spans="1:18" ht="20.100000000000001" customHeight="1">
      <c r="A2" s="3" t="s">
        <v>1</v>
      </c>
      <c r="B2" s="92"/>
      <c r="C2" s="92"/>
      <c r="D2" s="3" t="s">
        <v>95</v>
      </c>
      <c r="E2" s="92"/>
      <c r="F2" s="92"/>
      <c r="G2" s="92"/>
      <c r="H2" s="92"/>
      <c r="I2" s="4"/>
      <c r="J2" s="140" t="s">
        <v>94</v>
      </c>
      <c r="K2" s="141"/>
      <c r="L2" s="142"/>
    </row>
    <row r="3" spans="1:18" ht="20.100000000000001" customHeight="1">
      <c r="A3" s="3" t="s">
        <v>126</v>
      </c>
      <c r="B3" s="92"/>
      <c r="C3" s="92"/>
      <c r="D3" s="92"/>
      <c r="E3" s="143">
        <f>+L3</f>
        <v>46187</v>
      </c>
      <c r="F3" s="143"/>
      <c r="G3" s="143"/>
      <c r="H3" s="143"/>
      <c r="I3" s="143"/>
      <c r="J3" s="92"/>
      <c r="K3" s="92"/>
      <c r="L3" s="104">
        <v>46187</v>
      </c>
      <c r="M3" s="4"/>
    </row>
    <row r="4" spans="1:18" ht="15.95" customHeight="1">
      <c r="A4" s="146" t="s">
        <v>2</v>
      </c>
      <c r="B4" s="147" t="s">
        <v>3</v>
      </c>
      <c r="C4" s="147"/>
      <c r="D4" s="148" t="s">
        <v>4</v>
      </c>
      <c r="E4" s="149"/>
      <c r="F4" s="150"/>
      <c r="G4" s="154" t="s">
        <v>5</v>
      </c>
      <c r="H4" s="144" t="s">
        <v>6</v>
      </c>
      <c r="I4" s="144" t="s">
        <v>91</v>
      </c>
      <c r="J4" s="146" t="s">
        <v>92</v>
      </c>
      <c r="K4" s="144" t="s">
        <v>0</v>
      </c>
      <c r="L4" s="147" t="s">
        <v>7</v>
      </c>
    </row>
    <row r="5" spans="1:18" ht="15.95" customHeight="1">
      <c r="A5" s="146"/>
      <c r="B5" s="147"/>
      <c r="C5" s="147"/>
      <c r="D5" s="151"/>
      <c r="E5" s="152"/>
      <c r="F5" s="153"/>
      <c r="G5" s="155"/>
      <c r="H5" s="145"/>
      <c r="I5" s="145"/>
      <c r="J5" s="146"/>
      <c r="K5" s="145"/>
      <c r="L5" s="147"/>
    </row>
    <row r="6" spans="1:18" ht="35.25" customHeight="1">
      <c r="A6" s="5">
        <f t="shared" ref="A6:A22" si="0">ROW(A1)</f>
        <v>1</v>
      </c>
      <c r="B6" s="184" t="s">
        <v>131</v>
      </c>
      <c r="C6" s="185"/>
      <c r="D6" s="186" t="s">
        <v>141</v>
      </c>
      <c r="E6" s="187"/>
      <c r="F6" s="188"/>
      <c r="G6" s="111" t="s">
        <v>124</v>
      </c>
      <c r="H6" s="111">
        <v>2</v>
      </c>
      <c r="I6" s="112">
        <v>520</v>
      </c>
      <c r="J6" s="99">
        <f>H6*I6</f>
        <v>1040</v>
      </c>
      <c r="K6" s="100" t="s">
        <v>125</v>
      </c>
      <c r="L6" s="101" t="s">
        <v>130</v>
      </c>
      <c r="R6" s="97"/>
    </row>
    <row r="7" spans="1:18" ht="35.25" customHeight="1">
      <c r="A7" s="5">
        <f t="shared" si="0"/>
        <v>2</v>
      </c>
      <c r="B7" s="184" t="s">
        <v>132</v>
      </c>
      <c r="C7" s="185"/>
      <c r="D7" s="186" t="s">
        <v>142</v>
      </c>
      <c r="E7" s="187"/>
      <c r="F7" s="188"/>
      <c r="G7" s="111" t="s">
        <v>124</v>
      </c>
      <c r="H7" s="111">
        <v>2</v>
      </c>
      <c r="I7" s="112">
        <v>2280</v>
      </c>
      <c r="J7" s="99">
        <f t="shared" ref="J7:J22" si="1">H7*I7</f>
        <v>4560</v>
      </c>
      <c r="K7" s="100"/>
      <c r="L7" s="101"/>
      <c r="R7" s="97"/>
    </row>
    <row r="8" spans="1:18" ht="35.25" customHeight="1">
      <c r="A8" s="5">
        <f t="shared" si="0"/>
        <v>3</v>
      </c>
      <c r="B8" s="184" t="s">
        <v>132</v>
      </c>
      <c r="C8" s="185"/>
      <c r="D8" s="186" t="s">
        <v>143</v>
      </c>
      <c r="E8" s="187"/>
      <c r="F8" s="188"/>
      <c r="G8" s="111" t="s">
        <v>124</v>
      </c>
      <c r="H8" s="111">
        <v>1</v>
      </c>
      <c r="I8" s="112">
        <v>250</v>
      </c>
      <c r="J8" s="99">
        <f t="shared" si="1"/>
        <v>250</v>
      </c>
      <c r="K8" s="100"/>
      <c r="L8" s="101"/>
      <c r="R8" s="97"/>
    </row>
    <row r="9" spans="1:18" ht="35.25" customHeight="1">
      <c r="A9" s="5">
        <f t="shared" si="0"/>
        <v>4</v>
      </c>
      <c r="B9" s="184" t="s">
        <v>132</v>
      </c>
      <c r="C9" s="185"/>
      <c r="D9" s="186" t="s">
        <v>144</v>
      </c>
      <c r="E9" s="187"/>
      <c r="F9" s="188"/>
      <c r="G9" s="111" t="s">
        <v>124</v>
      </c>
      <c r="H9" s="111">
        <v>1</v>
      </c>
      <c r="I9" s="112">
        <v>650</v>
      </c>
      <c r="J9" s="99">
        <f t="shared" si="1"/>
        <v>650</v>
      </c>
      <c r="K9" s="100"/>
      <c r="L9" s="101"/>
      <c r="R9" s="97"/>
    </row>
    <row r="10" spans="1:18" ht="35.25" customHeight="1">
      <c r="A10" s="5">
        <f t="shared" si="0"/>
        <v>5</v>
      </c>
      <c r="B10" s="184" t="s">
        <v>132</v>
      </c>
      <c r="C10" s="185"/>
      <c r="D10" s="186" t="s">
        <v>145</v>
      </c>
      <c r="E10" s="187"/>
      <c r="F10" s="188"/>
      <c r="G10" s="111" t="s">
        <v>124</v>
      </c>
      <c r="H10" s="111">
        <v>1</v>
      </c>
      <c r="I10" s="112">
        <v>870</v>
      </c>
      <c r="J10" s="99">
        <f t="shared" si="1"/>
        <v>870</v>
      </c>
      <c r="K10" s="100"/>
      <c r="L10" s="101"/>
      <c r="R10" s="97"/>
    </row>
    <row r="11" spans="1:18" ht="35.25" customHeight="1">
      <c r="A11" s="5">
        <f t="shared" si="0"/>
        <v>6</v>
      </c>
      <c r="B11" s="184" t="s">
        <v>132</v>
      </c>
      <c r="C11" s="185"/>
      <c r="D11" s="186" t="s">
        <v>146</v>
      </c>
      <c r="E11" s="187"/>
      <c r="F11" s="188"/>
      <c r="G11" s="111" t="s">
        <v>124</v>
      </c>
      <c r="H11" s="111">
        <v>1</v>
      </c>
      <c r="I11" s="112">
        <v>1080</v>
      </c>
      <c r="J11" s="99">
        <f t="shared" si="1"/>
        <v>1080</v>
      </c>
      <c r="K11" s="100"/>
      <c r="L11" s="101"/>
      <c r="R11" s="97"/>
    </row>
    <row r="12" spans="1:18" ht="35.25" customHeight="1">
      <c r="A12" s="5">
        <f t="shared" si="0"/>
        <v>7</v>
      </c>
      <c r="B12" s="184" t="s">
        <v>132</v>
      </c>
      <c r="C12" s="185"/>
      <c r="D12" s="186" t="s">
        <v>147</v>
      </c>
      <c r="E12" s="187"/>
      <c r="F12" s="188"/>
      <c r="G12" s="111" t="s">
        <v>124</v>
      </c>
      <c r="H12" s="111">
        <v>78</v>
      </c>
      <c r="I12" s="112">
        <v>250</v>
      </c>
      <c r="J12" s="99">
        <f t="shared" si="1"/>
        <v>19500</v>
      </c>
      <c r="K12" s="100"/>
      <c r="L12" s="101"/>
      <c r="R12" s="97"/>
    </row>
    <row r="13" spans="1:18" ht="35.25" customHeight="1">
      <c r="A13" s="5">
        <f t="shared" si="0"/>
        <v>8</v>
      </c>
      <c r="B13" s="184" t="s">
        <v>133</v>
      </c>
      <c r="C13" s="185"/>
      <c r="D13" s="186" t="s">
        <v>127</v>
      </c>
      <c r="E13" s="187"/>
      <c r="F13" s="188"/>
      <c r="G13" s="111" t="s">
        <v>124</v>
      </c>
      <c r="H13" s="111">
        <v>126</v>
      </c>
      <c r="I13" s="112">
        <v>65</v>
      </c>
      <c r="J13" s="99">
        <f t="shared" si="1"/>
        <v>8190</v>
      </c>
      <c r="K13" s="100"/>
      <c r="L13" s="101"/>
      <c r="R13" s="97"/>
    </row>
    <row r="14" spans="1:18" ht="35.25" customHeight="1">
      <c r="A14" s="5">
        <f t="shared" si="0"/>
        <v>9</v>
      </c>
      <c r="B14" s="184" t="s">
        <v>133</v>
      </c>
      <c r="C14" s="185"/>
      <c r="D14" s="186" t="s">
        <v>128</v>
      </c>
      <c r="E14" s="187"/>
      <c r="F14" s="188"/>
      <c r="G14" s="111" t="s">
        <v>124</v>
      </c>
      <c r="H14" s="111">
        <v>20</v>
      </c>
      <c r="I14" s="112">
        <v>40</v>
      </c>
      <c r="J14" s="99">
        <f t="shared" si="1"/>
        <v>800</v>
      </c>
      <c r="K14" s="100"/>
      <c r="L14" s="101"/>
      <c r="R14" s="97"/>
    </row>
    <row r="15" spans="1:18" ht="35.25" customHeight="1">
      <c r="A15" s="5">
        <f t="shared" si="0"/>
        <v>10</v>
      </c>
      <c r="B15" s="184" t="s">
        <v>134</v>
      </c>
      <c r="C15" s="185"/>
      <c r="D15" s="186" t="s">
        <v>148</v>
      </c>
      <c r="E15" s="187"/>
      <c r="F15" s="188"/>
      <c r="G15" s="111" t="s">
        <v>124</v>
      </c>
      <c r="H15" s="111">
        <v>1</v>
      </c>
      <c r="I15" s="112">
        <v>3210</v>
      </c>
      <c r="J15" s="99">
        <f t="shared" si="1"/>
        <v>3210</v>
      </c>
      <c r="K15" s="100"/>
      <c r="L15" s="101"/>
      <c r="R15" s="97"/>
    </row>
    <row r="16" spans="1:18" ht="35.25" customHeight="1">
      <c r="A16" s="5">
        <f t="shared" si="0"/>
        <v>11</v>
      </c>
      <c r="B16" s="184" t="s">
        <v>135</v>
      </c>
      <c r="C16" s="185"/>
      <c r="D16" s="186" t="s">
        <v>129</v>
      </c>
      <c r="E16" s="187"/>
      <c r="F16" s="188"/>
      <c r="G16" s="111" t="s">
        <v>124</v>
      </c>
      <c r="H16" s="111">
        <v>1</v>
      </c>
      <c r="I16" s="112">
        <v>172.5</v>
      </c>
      <c r="J16" s="99">
        <f t="shared" si="1"/>
        <v>172.5</v>
      </c>
      <c r="K16" s="100"/>
      <c r="L16" s="101"/>
      <c r="R16" s="97"/>
    </row>
    <row r="17" spans="1:19" ht="35.25" customHeight="1">
      <c r="A17" s="5">
        <f t="shared" si="0"/>
        <v>12</v>
      </c>
      <c r="B17" s="183" t="s">
        <v>136</v>
      </c>
      <c r="C17" s="185"/>
      <c r="D17" s="189" t="s">
        <v>149</v>
      </c>
      <c r="E17" s="190"/>
      <c r="F17" s="191"/>
      <c r="G17" s="111" t="s">
        <v>124</v>
      </c>
      <c r="H17" s="111">
        <v>1</v>
      </c>
      <c r="I17" s="112">
        <v>930.35</v>
      </c>
      <c r="J17" s="99">
        <f t="shared" si="1"/>
        <v>930.35</v>
      </c>
      <c r="K17" s="100"/>
      <c r="L17" s="101"/>
      <c r="R17" s="97"/>
    </row>
    <row r="18" spans="1:19" ht="35.25" customHeight="1">
      <c r="A18" s="5">
        <f t="shared" si="0"/>
        <v>13</v>
      </c>
      <c r="B18" s="184" t="s">
        <v>137</v>
      </c>
      <c r="C18" s="185"/>
      <c r="D18" s="186" t="s">
        <v>150</v>
      </c>
      <c r="E18" s="187"/>
      <c r="F18" s="188"/>
      <c r="G18" s="111" t="s">
        <v>124</v>
      </c>
      <c r="H18" s="111">
        <v>12000</v>
      </c>
      <c r="I18" s="112">
        <v>1.65</v>
      </c>
      <c r="J18" s="99">
        <f t="shared" si="1"/>
        <v>19800</v>
      </c>
      <c r="K18" s="100"/>
      <c r="L18" s="101"/>
      <c r="R18" s="97"/>
    </row>
    <row r="19" spans="1:19" ht="35.25" customHeight="1">
      <c r="A19" s="5">
        <f t="shared" si="0"/>
        <v>14</v>
      </c>
      <c r="B19" s="184" t="s">
        <v>138</v>
      </c>
      <c r="C19" s="185"/>
      <c r="D19" s="186" t="s">
        <v>151</v>
      </c>
      <c r="E19" s="187"/>
      <c r="F19" s="188"/>
      <c r="G19" s="111" t="s">
        <v>124</v>
      </c>
      <c r="H19" s="111">
        <v>4000</v>
      </c>
      <c r="I19" s="112">
        <v>2.0499999999999998</v>
      </c>
      <c r="J19" s="99">
        <f t="shared" si="1"/>
        <v>8200</v>
      </c>
      <c r="K19" s="100"/>
      <c r="L19" s="101"/>
      <c r="R19" s="97"/>
    </row>
    <row r="20" spans="1:19" ht="35.25" customHeight="1">
      <c r="A20" s="5">
        <f t="shared" si="0"/>
        <v>15</v>
      </c>
      <c r="B20" s="184" t="s">
        <v>138</v>
      </c>
      <c r="C20" s="185"/>
      <c r="D20" s="186" t="s">
        <v>152</v>
      </c>
      <c r="E20" s="187"/>
      <c r="F20" s="188"/>
      <c r="G20" s="111" t="s">
        <v>124</v>
      </c>
      <c r="H20" s="111">
        <v>1300</v>
      </c>
      <c r="I20" s="112">
        <v>2.2999999999999998</v>
      </c>
      <c r="J20" s="99">
        <f t="shared" si="1"/>
        <v>2989.9999999999995</v>
      </c>
      <c r="K20" s="100"/>
      <c r="L20" s="101"/>
      <c r="R20" s="97"/>
    </row>
    <row r="21" spans="1:19" ht="35.25" customHeight="1">
      <c r="A21" s="5">
        <f t="shared" si="0"/>
        <v>16</v>
      </c>
      <c r="B21" s="184" t="s">
        <v>139</v>
      </c>
      <c r="C21" s="185"/>
      <c r="D21" s="186" t="s">
        <v>153</v>
      </c>
      <c r="E21" s="187"/>
      <c r="F21" s="188"/>
      <c r="G21" s="111" t="s">
        <v>124</v>
      </c>
      <c r="H21" s="111">
        <v>1300</v>
      </c>
      <c r="I21" s="112">
        <v>3.2</v>
      </c>
      <c r="J21" s="99">
        <f t="shared" si="1"/>
        <v>4160</v>
      </c>
      <c r="K21" s="100"/>
      <c r="L21" s="101"/>
      <c r="R21" s="97"/>
    </row>
    <row r="22" spans="1:19" ht="35.25" customHeight="1">
      <c r="A22" s="5">
        <f t="shared" si="0"/>
        <v>17</v>
      </c>
      <c r="B22" s="184" t="s">
        <v>140</v>
      </c>
      <c r="C22" s="185"/>
      <c r="D22" s="186" t="s">
        <v>154</v>
      </c>
      <c r="E22" s="187"/>
      <c r="F22" s="188"/>
      <c r="G22" s="111" t="s">
        <v>124</v>
      </c>
      <c r="H22" s="111">
        <v>150</v>
      </c>
      <c r="I22" s="112">
        <v>11.05</v>
      </c>
      <c r="J22" s="99">
        <f t="shared" si="1"/>
        <v>1657.5</v>
      </c>
      <c r="K22" s="100"/>
      <c r="L22" s="101"/>
      <c r="R22" s="97"/>
    </row>
    <row r="23" spans="1:19" ht="35.25" customHeight="1">
      <c r="A23" s="129" t="s">
        <v>8</v>
      </c>
      <c r="B23" s="130"/>
      <c r="C23" s="102"/>
      <c r="D23" s="108"/>
      <c r="E23" s="108"/>
      <c r="F23" s="108"/>
      <c r="G23" s="109"/>
      <c r="H23" s="109"/>
      <c r="I23" s="110" t="s">
        <v>9</v>
      </c>
      <c r="J23" s="99">
        <f>SUM(J6:J22)</f>
        <v>78060.350000000006</v>
      </c>
      <c r="K23" s="99"/>
      <c r="L23" s="103"/>
    </row>
    <row r="24" spans="1:19" ht="20.100000000000001" customHeight="1">
      <c r="A24" s="6" t="s">
        <v>10</v>
      </c>
      <c r="B24" s="7"/>
      <c r="C24" s="7"/>
      <c r="D24" s="7"/>
      <c r="E24" s="7"/>
      <c r="F24" s="7"/>
      <c r="G24" s="7"/>
      <c r="H24" s="7"/>
      <c r="I24" s="7"/>
      <c r="J24" s="7"/>
      <c r="K24" s="8"/>
      <c r="L24" s="9"/>
    </row>
    <row r="25" spans="1:19" ht="18" customHeight="1">
      <c r="A25" s="10"/>
      <c r="J25" s="1"/>
      <c r="K25" s="1"/>
      <c r="O25" s="11"/>
      <c r="P25" s="11"/>
      <c r="R25" s="131" t="s">
        <v>11</v>
      </c>
      <c r="S25" s="13" t="s">
        <v>12</v>
      </c>
    </row>
    <row r="26" spans="1:19" ht="50.1" customHeight="1">
      <c r="R26" s="132"/>
      <c r="S26" s="15"/>
    </row>
    <row r="27" spans="1:19" ht="17.100000000000001" customHeight="1">
      <c r="O27" s="11"/>
      <c r="P27" s="11"/>
      <c r="R27" s="133"/>
      <c r="S27" s="15" t="s">
        <v>13</v>
      </c>
    </row>
    <row r="28" spans="1:19" ht="15" customHeight="1">
      <c r="O28" s="17" t="s">
        <v>14</v>
      </c>
      <c r="P28" s="134" t="s">
        <v>15</v>
      </c>
    </row>
    <row r="29" spans="1:19" ht="18" customHeight="1">
      <c r="O29" s="18" t="s">
        <v>16</v>
      </c>
      <c r="P29" s="135"/>
      <c r="R29" s="131" t="s">
        <v>17</v>
      </c>
      <c r="S29" s="12" t="s">
        <v>12</v>
      </c>
    </row>
    <row r="30" spans="1:19" ht="50.1" customHeight="1">
      <c r="O30" s="14"/>
      <c r="P30" s="14"/>
      <c r="R30" s="132"/>
      <c r="S30" s="19"/>
    </row>
    <row r="31" spans="1:19" ht="17.100000000000001" customHeight="1">
      <c r="O31" s="16" t="s">
        <v>13</v>
      </c>
      <c r="P31" s="16" t="s">
        <v>13</v>
      </c>
      <c r="R31" s="133"/>
      <c r="S31" s="15" t="s">
        <v>13</v>
      </c>
    </row>
    <row r="32" spans="1:19" ht="9.9499999999999993" customHeight="1"/>
    <row r="33" spans="15:16" ht="19.899999999999999" customHeight="1"/>
    <row r="34" spans="15:16" ht="17.45" customHeight="1">
      <c r="O34" s="136"/>
      <c r="P34" s="136"/>
    </row>
    <row r="35" spans="15:16" ht="19.899999999999999" customHeight="1">
      <c r="O35" s="136"/>
      <c r="P35" s="136"/>
    </row>
    <row r="36" spans="15:16" ht="14.25">
      <c r="O36" s="11"/>
      <c r="P36" s="11"/>
    </row>
    <row r="37" spans="15:16" ht="65.099999999999994" customHeight="1"/>
    <row r="38" spans="15:16" ht="14.25">
      <c r="O38" s="11"/>
      <c r="P38" s="11"/>
    </row>
    <row r="39" spans="15:16" ht="19.899999999999999" customHeight="1"/>
    <row r="40" spans="15:16" ht="14.25"/>
    <row r="41" spans="15:16" ht="19.899999999999999" customHeight="1"/>
    <row r="42" spans="15:16" ht="14.25"/>
    <row r="43" spans="15:16" ht="19.899999999999999" customHeight="1"/>
    <row r="44" spans="15:16" ht="19.899999999999999" customHeight="1"/>
    <row r="45" spans="15:16" ht="64.900000000000006" customHeight="1"/>
    <row r="47" spans="15:16" ht="19.899999999999999" customHeight="1"/>
    <row r="48" spans="15:16" ht="19.899999999999999" customHeight="1"/>
    <row r="49" spans="15:19" ht="64.900000000000006" customHeight="1"/>
    <row r="53" spans="15:19" ht="21" customHeight="1">
      <c r="O53" s="134" t="s">
        <v>18</v>
      </c>
      <c r="P53" s="134" t="s">
        <v>18</v>
      </c>
      <c r="S53" s="134" t="s">
        <v>12</v>
      </c>
    </row>
    <row r="54" spans="15:19" ht="21" customHeight="1">
      <c r="O54" s="135"/>
      <c r="P54" s="135"/>
      <c r="S54" s="133"/>
    </row>
    <row r="55" spans="15:19" ht="64.900000000000006" customHeight="1">
      <c r="O55" s="14"/>
      <c r="P55" s="14"/>
      <c r="S55" s="15"/>
    </row>
    <row r="56" spans="15:19" ht="7.15" customHeight="1"/>
    <row r="57" spans="15:19" ht="21" customHeight="1">
      <c r="O57" s="134" t="s">
        <v>18</v>
      </c>
      <c r="P57" s="134" t="s">
        <v>18</v>
      </c>
      <c r="S57" s="134" t="s">
        <v>19</v>
      </c>
    </row>
    <row r="58" spans="15:19" ht="21" customHeight="1">
      <c r="O58" s="135"/>
      <c r="P58" s="135"/>
      <c r="S58" s="133"/>
    </row>
    <row r="59" spans="15:19" ht="64.900000000000006" customHeight="1">
      <c r="O59" s="14"/>
      <c r="P59" s="14"/>
      <c r="S59" s="14"/>
    </row>
  </sheetData>
  <mergeCells count="41">
    <mergeCell ref="D20:F20"/>
    <mergeCell ref="D21:F21"/>
    <mergeCell ref="D22:F22"/>
    <mergeCell ref="D15:F15"/>
    <mergeCell ref="D16:F16"/>
    <mergeCell ref="D17:F17"/>
    <mergeCell ref="D18:F18"/>
    <mergeCell ref="D19:F19"/>
    <mergeCell ref="A4:A5"/>
    <mergeCell ref="B4:C5"/>
    <mergeCell ref="D4:F5"/>
    <mergeCell ref="G4:G5"/>
    <mergeCell ref="H4:H5"/>
    <mergeCell ref="D6:F6"/>
    <mergeCell ref="D7:F7"/>
    <mergeCell ref="D8:F8"/>
    <mergeCell ref="J1:L1"/>
    <mergeCell ref="J2:L2"/>
    <mergeCell ref="E3:I3"/>
    <mergeCell ref="I4:I5"/>
    <mergeCell ref="J4:J5"/>
    <mergeCell ref="K4:K5"/>
    <mergeCell ref="L4:L5"/>
    <mergeCell ref="D9:F9"/>
    <mergeCell ref="D13:F13"/>
    <mergeCell ref="D14:F14"/>
    <mergeCell ref="D10:F10"/>
    <mergeCell ref="D11:F11"/>
    <mergeCell ref="D12:F12"/>
    <mergeCell ref="S53:S54"/>
    <mergeCell ref="O57:O58"/>
    <mergeCell ref="P57:P58"/>
    <mergeCell ref="S57:S58"/>
    <mergeCell ref="O34:O35"/>
    <mergeCell ref="P34:P35"/>
    <mergeCell ref="O53:O54"/>
    <mergeCell ref="P53:P54"/>
    <mergeCell ref="A23:B23"/>
    <mergeCell ref="R25:R27"/>
    <mergeCell ref="P28:P29"/>
    <mergeCell ref="R29:R3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77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13" activePane="bottomLeft" state="frozen"/>
      <selection activeCell="D30" sqref="D30"/>
      <selection pane="bottomLeft" activeCell="K16" sqref="K1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5" t="s">
        <v>93</v>
      </c>
      <c r="B1" s="91"/>
      <c r="C1" s="91"/>
      <c r="D1" s="91"/>
      <c r="E1" s="91"/>
      <c r="F1" s="91"/>
      <c r="G1" s="1"/>
      <c r="J1" s="137" t="str">
        <f>+MRS!J1</f>
        <v>DAESHIN PLANT</v>
      </c>
      <c r="K1" s="139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20"/>
      <c r="H2" s="20"/>
      <c r="I2" s="20"/>
      <c r="J2" s="140" t="str">
        <f>+MRS!J2</f>
        <v>Subcontract name (SAC2-SC-IK-SMP-01)</v>
      </c>
      <c r="K2" s="142"/>
    </row>
    <row r="3" spans="1:18" ht="24.95" customHeight="1">
      <c r="A3" s="3" t="str">
        <f>+MRS!A3</f>
        <v xml:space="preserve">  MRS No : SAC2-DS-MRS-0334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46187</v>
      </c>
    </row>
    <row r="4" spans="1:18" ht="15.95" customHeight="1">
      <c r="A4" s="161" t="s">
        <v>2</v>
      </c>
      <c r="B4" s="162" t="s">
        <v>20</v>
      </c>
      <c r="C4" s="162"/>
      <c r="D4" s="161" t="s">
        <v>4</v>
      </c>
      <c r="E4" s="161"/>
      <c r="F4" s="161"/>
      <c r="G4" s="162" t="s">
        <v>5</v>
      </c>
      <c r="H4" s="161" t="s">
        <v>88</v>
      </c>
      <c r="I4" s="161" t="s">
        <v>21</v>
      </c>
      <c r="J4" s="161" t="s">
        <v>22</v>
      </c>
      <c r="K4" s="162" t="s">
        <v>7</v>
      </c>
    </row>
    <row r="5" spans="1:18" ht="15.95" customHeight="1">
      <c r="A5" s="161"/>
      <c r="B5" s="162"/>
      <c r="C5" s="162"/>
      <c r="D5" s="161"/>
      <c r="E5" s="161"/>
      <c r="F5" s="161"/>
      <c r="G5" s="162"/>
      <c r="H5" s="161"/>
      <c r="I5" s="161"/>
      <c r="J5" s="161"/>
      <c r="K5" s="162"/>
    </row>
    <row r="6" spans="1:18" ht="105" customHeight="1">
      <c r="A6" s="21">
        <f>+MRS!A6</f>
        <v>1</v>
      </c>
      <c r="B6" s="156" t="str">
        <f>MRS!B6</f>
        <v xml:space="preserve">CS PIPE </v>
      </c>
      <c r="C6" s="157"/>
      <c r="D6" s="158" t="str">
        <f>MRS!D6</f>
        <v xml:space="preserve"> 2" SCH 80 X 6MTR</v>
      </c>
      <c r="E6" s="159"/>
      <c r="F6" s="160"/>
      <c r="G6" s="94" t="str">
        <f>MRS!G6</f>
        <v>EA</v>
      </c>
      <c r="H6" s="94">
        <f>MRS!H6</f>
        <v>2</v>
      </c>
      <c r="I6" s="95">
        <f>MRS!I6</f>
        <v>520</v>
      </c>
      <c r="J6" s="95">
        <f>MRS!J6</f>
        <v>1040</v>
      </c>
      <c r="K6" s="96"/>
      <c r="O6" s="97"/>
      <c r="P6" s="97"/>
      <c r="R6" s="97"/>
    </row>
    <row r="7" spans="1:18" ht="105" customHeight="1">
      <c r="A7" s="21">
        <f>+MRS!A7</f>
        <v>2</v>
      </c>
      <c r="B7" s="156" t="str">
        <f>MRS!B7</f>
        <v xml:space="preserve">CS PLATE </v>
      </c>
      <c r="C7" s="157"/>
      <c r="D7" s="158" t="str">
        <f>MRS!D7</f>
        <v xml:space="preserve"> 20MM X 4'X8'</v>
      </c>
      <c r="E7" s="159"/>
      <c r="F7" s="160"/>
      <c r="G7" s="94" t="str">
        <f>MRS!G7</f>
        <v>EA</v>
      </c>
      <c r="H7" s="94">
        <f>MRS!H7</f>
        <v>2</v>
      </c>
      <c r="I7" s="95">
        <f>MRS!I7</f>
        <v>2280</v>
      </c>
      <c r="J7" s="95">
        <f>MRS!J7</f>
        <v>4560</v>
      </c>
      <c r="K7" s="96"/>
      <c r="O7" s="97"/>
      <c r="P7" s="97"/>
      <c r="R7" s="97"/>
    </row>
    <row r="8" spans="1:18" ht="105" customHeight="1">
      <c r="A8" s="21">
        <f>+MRS!A8</f>
        <v>3</v>
      </c>
      <c r="B8" s="156" t="str">
        <f>MRS!B8</f>
        <v xml:space="preserve">CS PLATE </v>
      </c>
      <c r="C8" s="157"/>
      <c r="D8" s="158" t="str">
        <f>MRS!D8</f>
        <v xml:space="preserve"> 3MM X3'X8'</v>
      </c>
      <c r="E8" s="159"/>
      <c r="F8" s="160"/>
      <c r="G8" s="94" t="str">
        <f>MRS!G8</f>
        <v>EA</v>
      </c>
      <c r="H8" s="94">
        <f>MRS!H8</f>
        <v>1</v>
      </c>
      <c r="I8" s="95">
        <f>MRS!I8</f>
        <v>250</v>
      </c>
      <c r="J8" s="95">
        <f>MRS!J8</f>
        <v>250</v>
      </c>
      <c r="K8" s="96"/>
      <c r="O8" s="97"/>
      <c r="P8" s="97"/>
      <c r="R8" s="97"/>
    </row>
    <row r="9" spans="1:18" ht="105" customHeight="1">
      <c r="A9" s="21">
        <f>+MRS!A9</f>
        <v>4</v>
      </c>
      <c r="B9" s="156" t="str">
        <f>MRS!B9</f>
        <v xml:space="preserve">CS PLATE </v>
      </c>
      <c r="C9" s="157"/>
      <c r="D9" s="158" t="str">
        <f>MRS!D9</f>
        <v xml:space="preserve"> 6MM X3'X8'</v>
      </c>
      <c r="E9" s="159"/>
      <c r="F9" s="160"/>
      <c r="G9" s="94" t="str">
        <f>MRS!G9</f>
        <v>EA</v>
      </c>
      <c r="H9" s="94">
        <f>MRS!H9</f>
        <v>1</v>
      </c>
      <c r="I9" s="95">
        <f>MRS!I9</f>
        <v>650</v>
      </c>
      <c r="J9" s="95">
        <f>MRS!J9</f>
        <v>650</v>
      </c>
      <c r="K9" s="96"/>
      <c r="O9" s="97"/>
      <c r="P9" s="97"/>
      <c r="R9" s="97"/>
    </row>
    <row r="10" spans="1:18" ht="105" customHeight="1">
      <c r="A10" s="21">
        <f>+MRS!A10</f>
        <v>5</v>
      </c>
      <c r="B10" s="156" t="str">
        <f>MRS!B10</f>
        <v xml:space="preserve">CS PLATE </v>
      </c>
      <c r="C10" s="157"/>
      <c r="D10" s="158" t="str">
        <f>MRS!D10</f>
        <v xml:space="preserve"> 8MM X3'X8'</v>
      </c>
      <c r="E10" s="159"/>
      <c r="F10" s="160"/>
      <c r="G10" s="94" t="str">
        <f>MRS!G10</f>
        <v>EA</v>
      </c>
      <c r="H10" s="94">
        <f>MRS!H10</f>
        <v>1</v>
      </c>
      <c r="I10" s="95">
        <f>MRS!I10</f>
        <v>870</v>
      </c>
      <c r="J10" s="95">
        <f>MRS!J10</f>
        <v>870</v>
      </c>
      <c r="K10" s="96"/>
      <c r="O10" s="97"/>
      <c r="P10" s="97"/>
      <c r="R10" s="97"/>
    </row>
    <row r="11" spans="1:18" ht="105" customHeight="1">
      <c r="A11" s="21">
        <f>+MRS!A11</f>
        <v>6</v>
      </c>
      <c r="B11" s="156" t="str">
        <f>MRS!B11</f>
        <v xml:space="preserve">CS PLATE </v>
      </c>
      <c r="C11" s="157"/>
      <c r="D11" s="158" t="str">
        <f>MRS!D11</f>
        <v xml:space="preserve"> 10MM X3'X8'</v>
      </c>
      <c r="E11" s="159"/>
      <c r="F11" s="160"/>
      <c r="G11" s="94" t="str">
        <f>MRS!G11</f>
        <v>EA</v>
      </c>
      <c r="H11" s="94">
        <f>MRS!H11</f>
        <v>1</v>
      </c>
      <c r="I11" s="95">
        <f>MRS!I11</f>
        <v>1080</v>
      </c>
      <c r="J11" s="95">
        <f>MRS!J11</f>
        <v>1080</v>
      </c>
      <c r="K11" s="96"/>
      <c r="O11" s="97"/>
      <c r="P11" s="97"/>
      <c r="R11" s="97"/>
    </row>
    <row r="12" spans="1:18" ht="105" customHeight="1">
      <c r="A12" s="21">
        <f>+MRS!A12</f>
        <v>7</v>
      </c>
      <c r="B12" s="156" t="str">
        <f>MRS!B12</f>
        <v xml:space="preserve">CS PLATE </v>
      </c>
      <c r="C12" s="157"/>
      <c r="D12" s="158" t="str">
        <f>MRS!D12</f>
        <v xml:space="preserve"> 3MM X4'X8'</v>
      </c>
      <c r="E12" s="159"/>
      <c r="F12" s="160"/>
      <c r="G12" s="94" t="str">
        <f>MRS!G12</f>
        <v>EA</v>
      </c>
      <c r="H12" s="94">
        <f>MRS!H12</f>
        <v>78</v>
      </c>
      <c r="I12" s="95">
        <f>MRS!I12</f>
        <v>250</v>
      </c>
      <c r="J12" s="95">
        <f>MRS!J12</f>
        <v>19500</v>
      </c>
      <c r="K12" s="96"/>
      <c r="O12" s="97"/>
      <c r="P12" s="97"/>
      <c r="R12" s="97"/>
    </row>
    <row r="13" spans="1:18" ht="105" customHeight="1">
      <c r="A13" s="21">
        <f>+MRS!A13</f>
        <v>8</v>
      </c>
      <c r="B13" s="156" t="str">
        <f>MRS!B13</f>
        <v>PIPE</v>
      </c>
      <c r="C13" s="157"/>
      <c r="D13" s="158" t="str">
        <f>MRS!D13</f>
        <v xml:space="preserve">6" PIPE SCH 160 CUTTING &amp; BEVELLING </v>
      </c>
      <c r="E13" s="159"/>
      <c r="F13" s="160"/>
      <c r="G13" s="94" t="str">
        <f>MRS!G13</f>
        <v>EA</v>
      </c>
      <c r="H13" s="94">
        <f>MRS!H13</f>
        <v>126</v>
      </c>
      <c r="I13" s="95">
        <f>MRS!I13</f>
        <v>65</v>
      </c>
      <c r="J13" s="95">
        <f>MRS!J13</f>
        <v>8190</v>
      </c>
      <c r="K13" s="96"/>
      <c r="O13" s="97"/>
      <c r="P13" s="97"/>
      <c r="R13" s="97"/>
    </row>
    <row r="14" spans="1:18" ht="105" customHeight="1">
      <c r="A14" s="21">
        <f>+MRS!A14</f>
        <v>9</v>
      </c>
      <c r="B14" s="156" t="str">
        <f>MRS!B14</f>
        <v>PIPE</v>
      </c>
      <c r="C14" s="157"/>
      <c r="D14" s="158" t="str">
        <f>MRS!D14</f>
        <v>2" PIPE SCH 160 CUTTING &amp; BEVELLING</v>
      </c>
      <c r="E14" s="159"/>
      <c r="F14" s="160"/>
      <c r="G14" s="94" t="str">
        <f>MRS!G14</f>
        <v>EA</v>
      </c>
      <c r="H14" s="94">
        <f>MRS!H14</f>
        <v>20</v>
      </c>
      <c r="I14" s="95">
        <f>MRS!I14</f>
        <v>40</v>
      </c>
      <c r="J14" s="95">
        <f>MRS!J14</f>
        <v>800</v>
      </c>
      <c r="K14" s="96"/>
      <c r="O14" s="97"/>
      <c r="P14" s="97"/>
      <c r="R14" s="97"/>
    </row>
    <row r="15" spans="1:18" ht="105" customHeight="1">
      <c r="A15" s="21"/>
      <c r="B15" s="156"/>
      <c r="C15" s="157"/>
      <c r="D15" s="158"/>
      <c r="E15" s="159"/>
      <c r="F15" s="160"/>
      <c r="G15" s="94"/>
      <c r="H15" s="94"/>
      <c r="I15" s="95"/>
      <c r="J15" s="95"/>
      <c r="K15" s="96"/>
      <c r="O15" s="97"/>
      <c r="P15" s="97"/>
      <c r="R15" s="97"/>
    </row>
    <row r="16" spans="1:18" ht="105" customHeight="1">
      <c r="A16" s="21"/>
      <c r="B16" s="156"/>
      <c r="C16" s="157"/>
      <c r="D16" s="158"/>
      <c r="E16" s="159"/>
      <c r="F16" s="160"/>
      <c r="G16" s="94"/>
      <c r="H16" s="94"/>
      <c r="I16" s="95"/>
      <c r="J16" s="95"/>
      <c r="K16" s="96"/>
      <c r="O16" s="97"/>
      <c r="P16" s="97"/>
      <c r="R16" s="97"/>
    </row>
    <row r="17" spans="1:18" ht="105" customHeight="1">
      <c r="A17" s="21"/>
      <c r="B17" s="156"/>
      <c r="C17" s="157"/>
      <c r="D17" s="158"/>
      <c r="E17" s="159"/>
      <c r="F17" s="160"/>
      <c r="G17" s="94"/>
      <c r="H17" s="94"/>
      <c r="I17" s="95"/>
      <c r="J17" s="95"/>
      <c r="K17" s="96"/>
      <c r="O17" s="97"/>
      <c r="P17" s="97"/>
      <c r="R17" s="97"/>
    </row>
    <row r="18" spans="1:18" ht="105" customHeight="1">
      <c r="A18" s="21"/>
      <c r="B18" s="156"/>
      <c r="C18" s="157"/>
      <c r="D18" s="158"/>
      <c r="E18" s="159"/>
      <c r="F18" s="160"/>
      <c r="G18" s="94"/>
      <c r="H18" s="94"/>
      <c r="I18" s="95"/>
      <c r="J18" s="95"/>
      <c r="K18" s="96"/>
      <c r="O18" s="97"/>
      <c r="P18" s="97"/>
      <c r="R18" s="97"/>
    </row>
    <row r="19" spans="1:18" ht="105" customHeight="1">
      <c r="A19" s="21"/>
      <c r="B19" s="156"/>
      <c r="C19" s="157"/>
      <c r="D19" s="158"/>
      <c r="E19" s="159"/>
      <c r="F19" s="160"/>
      <c r="G19" s="94"/>
      <c r="H19" s="94"/>
      <c r="I19" s="95"/>
      <c r="J19" s="95"/>
      <c r="K19" s="96"/>
      <c r="O19" s="97"/>
      <c r="P19" s="97"/>
      <c r="R19" s="97"/>
    </row>
    <row r="20" spans="1:18" ht="105" customHeight="1">
      <c r="A20" s="21"/>
      <c r="B20" s="156"/>
      <c r="C20" s="157"/>
      <c r="D20" s="158"/>
      <c r="E20" s="159"/>
      <c r="F20" s="160"/>
      <c r="G20" s="94"/>
      <c r="H20" s="94"/>
      <c r="I20" s="95"/>
      <c r="J20" s="95"/>
      <c r="K20" s="96"/>
      <c r="O20" s="97"/>
      <c r="P20" s="97"/>
      <c r="R20" s="97"/>
    </row>
    <row r="21" spans="1:18" ht="105" customHeight="1">
      <c r="A21" s="21"/>
      <c r="B21" s="156"/>
      <c r="C21" s="157"/>
      <c r="D21" s="158"/>
      <c r="E21" s="159"/>
      <c r="F21" s="160"/>
      <c r="G21" s="94"/>
      <c r="H21" s="94"/>
      <c r="I21" s="95"/>
      <c r="J21" s="95"/>
      <c r="K21" s="96"/>
      <c r="O21" s="97"/>
      <c r="P21" s="97"/>
      <c r="R21" s="97"/>
    </row>
    <row r="23" spans="1:18" ht="21" customHeight="1">
      <c r="J23" s="113"/>
    </row>
  </sheetData>
  <mergeCells count="42"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6" zoomScale="130" zoomScaleNormal="100" zoomScaleSheetLayoutView="130" workbookViewId="0">
      <selection activeCell="P29" sqref="P2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5.42578125" style="26" customWidth="1"/>
    <col min="7" max="7" width="6.5703125" style="26" customWidth="1"/>
    <col min="8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100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111</v>
      </c>
      <c r="D9" s="38"/>
      <c r="E9" s="38"/>
    </row>
    <row r="10" spans="2:13" s="38" customFormat="1">
      <c r="B10" s="69"/>
      <c r="C10" s="38" t="s">
        <v>29</v>
      </c>
      <c r="D10" s="73" t="s">
        <v>112</v>
      </c>
      <c r="J10" s="38" t="s">
        <v>30</v>
      </c>
      <c r="K10" s="121">
        <f>MRS!L3</f>
        <v>46187</v>
      </c>
      <c r="L10" s="122"/>
      <c r="M10" s="122"/>
    </row>
    <row r="11" spans="2:13" s="38" customFormat="1">
      <c r="B11" s="69"/>
      <c r="C11" s="72" t="s">
        <v>31</v>
      </c>
      <c r="D11" s="73" t="s">
        <v>113</v>
      </c>
      <c r="J11" s="38" t="s">
        <v>32</v>
      </c>
      <c r="K11" s="123" t="str">
        <f>SUBSTITUTE(SUBSTITUTE(+MRS!A3,"  MRS No : ",""),"-MRS","-PO")</f>
        <v>SAC2-DS-PO-0334</v>
      </c>
      <c r="L11" s="123"/>
      <c r="M11" s="123"/>
    </row>
    <row r="12" spans="2:13" s="38" customFormat="1">
      <c r="B12" s="69"/>
      <c r="C12" s="72" t="s">
        <v>33</v>
      </c>
      <c r="D12" s="38" t="s">
        <v>114</v>
      </c>
      <c r="J12" s="38" t="s">
        <v>34</v>
      </c>
    </row>
    <row r="13" spans="2:13" s="38" customFormat="1">
      <c r="B13" s="69"/>
      <c r="C13" s="74"/>
      <c r="D13" s="73" t="s">
        <v>115</v>
      </c>
      <c r="J13" s="38" t="s">
        <v>35</v>
      </c>
    </row>
    <row r="14" spans="2:13" s="38" customFormat="1">
      <c r="B14" s="69"/>
      <c r="C14" s="114" t="s">
        <v>116</v>
      </c>
      <c r="J14" s="38" t="s">
        <v>36</v>
      </c>
      <c r="K14" s="38" t="s">
        <v>155</v>
      </c>
    </row>
    <row r="15" spans="2:13" s="38" customFormat="1">
      <c r="B15" s="69"/>
      <c r="C15" s="72" t="s">
        <v>117</v>
      </c>
      <c r="J15" s="38" t="s">
        <v>37</v>
      </c>
      <c r="K15" s="75">
        <v>46187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24" t="s">
        <v>38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</row>
    <row r="19" spans="2:13" ht="12" customHeight="1"/>
    <row r="20" spans="2:13" s="31" customFormat="1" ht="12" customHeight="1">
      <c r="B20" s="125" t="s">
        <v>39</v>
      </c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</row>
    <row r="21" spans="2:13" s="31" customFormat="1" ht="12" customHeight="1">
      <c r="B21" s="125" t="s">
        <v>40</v>
      </c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</row>
    <row r="22" spans="2:13" s="31" customFormat="1" ht="12" customHeight="1">
      <c r="B22" s="125" t="s">
        <v>41</v>
      </c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</row>
    <row r="23" spans="2:13" ht="3.75" customHeight="1"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</row>
    <row r="24" spans="2:13" ht="6.95" customHeight="1"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110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5">
        <f>'PO 2nd page'!G23</f>
        <v>78060.350000000006</v>
      </c>
      <c r="G29" s="107"/>
      <c r="H29" s="107"/>
      <c r="M29" s="33"/>
    </row>
    <row r="30" spans="2:13" ht="15" customHeight="1">
      <c r="B30" s="32"/>
      <c r="C30" s="26" t="s">
        <v>47</v>
      </c>
      <c r="E30" s="26" t="s">
        <v>46</v>
      </c>
      <c r="F30" s="115">
        <f>'PO 2nd page'!G24</f>
        <v>11709.0525</v>
      </c>
      <c r="G30" s="107"/>
      <c r="H30" s="107"/>
    </row>
    <row r="31" spans="2:13" ht="15" customHeight="1">
      <c r="B31" s="32"/>
      <c r="C31" s="26" t="s">
        <v>48</v>
      </c>
      <c r="D31" s="34"/>
      <c r="E31" s="26" t="s">
        <v>46</v>
      </c>
      <c r="F31" s="115">
        <f>'PO 2nd page'!G25</f>
        <v>89769.402500000011</v>
      </c>
      <c r="G31" s="107"/>
      <c r="H31" s="107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101</v>
      </c>
    </row>
    <row r="54" spans="2:16" ht="12" customHeight="1">
      <c r="B54" s="81" t="s">
        <v>62</v>
      </c>
      <c r="C54" s="116" t="s">
        <v>103</v>
      </c>
      <c r="F54" s="26" t="s">
        <v>118</v>
      </c>
      <c r="P54" s="26" t="str">
        <f>UPPER(F54)</f>
        <v>ZAINAB SAEED AL ABDUL AAL CONTRACTING EST.</v>
      </c>
    </row>
    <row r="55" spans="2:16" ht="12" customHeight="1">
      <c r="B55" s="81" t="s">
        <v>62</v>
      </c>
      <c r="C55" s="116" t="s">
        <v>104</v>
      </c>
      <c r="F55" s="117" t="s">
        <v>119</v>
      </c>
    </row>
    <row r="56" spans="2:16" ht="12" customHeight="1">
      <c r="B56" s="81" t="s">
        <v>62</v>
      </c>
      <c r="C56" s="116" t="s">
        <v>105</v>
      </c>
      <c r="F56" s="26" t="s">
        <v>120</v>
      </c>
    </row>
    <row r="57" spans="2:16" ht="12" customHeight="1">
      <c r="B57" s="81" t="s">
        <v>62</v>
      </c>
      <c r="C57" s="116" t="s">
        <v>106</v>
      </c>
      <c r="F57" s="26" t="s">
        <v>121</v>
      </c>
    </row>
    <row r="58" spans="2:16" ht="12" customHeight="1">
      <c r="B58" s="81" t="s">
        <v>62</v>
      </c>
      <c r="C58" s="116" t="s">
        <v>107</v>
      </c>
      <c r="F58" s="26" t="s">
        <v>122</v>
      </c>
    </row>
    <row r="59" spans="2:16" ht="12" customHeight="1">
      <c r="B59" s="81" t="s">
        <v>62</v>
      </c>
      <c r="C59" s="116" t="s">
        <v>108</v>
      </c>
      <c r="F59" s="26" t="s">
        <v>102</v>
      </c>
    </row>
    <row r="60" spans="2:16" ht="12" customHeight="1">
      <c r="B60" s="81"/>
      <c r="C60" s="116" t="s">
        <v>109</v>
      </c>
    </row>
    <row r="61" spans="2:16" ht="6.75" customHeight="1">
      <c r="B61" s="81"/>
      <c r="C61" s="116"/>
    </row>
    <row r="62" spans="2:16" ht="6" customHeight="1">
      <c r="B62" s="118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Mamun Rasid</v>
      </c>
    </row>
    <row r="68" spans="1:13" ht="13.5" customHeight="1">
      <c r="B68" s="26" t="s">
        <v>68</v>
      </c>
      <c r="J68" s="26" t="s">
        <v>69</v>
      </c>
      <c r="K68" s="22" t="s">
        <v>123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99</v>
      </c>
      <c r="J70" s="128" t="str">
        <f>C9</f>
        <v>ZSAAC (Zainab Saeed Al Abdul Aal Contracting Est.)</v>
      </c>
      <c r="K70" s="128"/>
      <c r="L70" s="128"/>
      <c r="M70" s="128"/>
    </row>
    <row r="71" spans="1:13" ht="27.95" customHeight="1">
      <c r="A71" s="120" t="s">
        <v>72</v>
      </c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3"/>
  <sheetViews>
    <sheetView showGridLines="0" tabSelected="1" view="pageBreakPreview" zoomScaleSheetLayoutView="100" zoomScalePageLayoutView="55" workbookViewId="0">
      <selection activeCell="D36" sqref="D36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7" width="19.85546875" style="42" customWidth="1"/>
    <col min="8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SAC2-DS-PO-0334</v>
      </c>
      <c r="C2" s="169" t="s">
        <v>74</v>
      </c>
      <c r="D2" s="169"/>
      <c r="E2" s="169"/>
      <c r="F2" s="169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46187</v>
      </c>
      <c r="C3" s="48"/>
      <c r="D3" s="49"/>
      <c r="E3" s="170" t="s">
        <v>76</v>
      </c>
      <c r="F3" s="170"/>
      <c r="G3" s="170"/>
      <c r="H3" s="170"/>
      <c r="I3" s="50"/>
    </row>
    <row r="4" spans="1:13" s="52" customFormat="1" ht="28.5" customHeight="1" thickTop="1">
      <c r="A4" s="171" t="s">
        <v>77</v>
      </c>
      <c r="B4" s="173" t="s">
        <v>78</v>
      </c>
      <c r="C4" s="174"/>
      <c r="D4" s="177" t="s">
        <v>79</v>
      </c>
      <c r="E4" s="177" t="s">
        <v>80</v>
      </c>
      <c r="F4" s="179" t="str">
        <f>'PO 1st page'!C9</f>
        <v>ZSAAC (Zainab Saeed Al Abdul Aal Contracting Est.)</v>
      </c>
      <c r="G4" s="180"/>
      <c r="H4" s="181" t="s">
        <v>81</v>
      </c>
      <c r="K4" s="53"/>
      <c r="L4" s="53"/>
      <c r="M4" s="53"/>
    </row>
    <row r="5" spans="1:13" s="52" customFormat="1" ht="21.95" customHeight="1">
      <c r="A5" s="172"/>
      <c r="B5" s="175"/>
      <c r="C5" s="176"/>
      <c r="D5" s="178"/>
      <c r="E5" s="178"/>
      <c r="F5" s="54" t="s">
        <v>82</v>
      </c>
      <c r="G5" s="54" t="s">
        <v>48</v>
      </c>
      <c r="H5" s="182"/>
      <c r="K5" s="53"/>
      <c r="L5" s="53"/>
      <c r="M5" s="53"/>
    </row>
    <row r="6" spans="1:13" s="52" customFormat="1" ht="32.1" customHeight="1">
      <c r="A6" s="82">
        <f t="shared" ref="A6:A22" si="0">ROW(A1)</f>
        <v>1</v>
      </c>
      <c r="B6" s="163" t="str">
        <f>MRS!B6&amp;" "&amp;MRS!D6</f>
        <v>CS PIPE   2" SCH 80 X 6MTR</v>
      </c>
      <c r="C6" s="164"/>
      <c r="D6" s="83" t="str">
        <f>MRS!G6</f>
        <v>EA</v>
      </c>
      <c r="E6" s="84">
        <f>MRS!H6</f>
        <v>2</v>
      </c>
      <c r="F6" s="85">
        <f>MRS!I6</f>
        <v>520</v>
      </c>
      <c r="G6" s="85">
        <f>MRS!J6</f>
        <v>1040</v>
      </c>
      <c r="H6" s="86" t="s">
        <v>98</v>
      </c>
      <c r="K6" s="87"/>
      <c r="L6" s="88"/>
      <c r="M6" s="53"/>
    </row>
    <row r="7" spans="1:13" s="52" customFormat="1" ht="32.1" customHeight="1">
      <c r="A7" s="82">
        <f t="shared" si="0"/>
        <v>2</v>
      </c>
      <c r="B7" s="163" t="str">
        <f>MRS!B7&amp;" "&amp;MRS!D7</f>
        <v>CS PLATE   20MM X 4'X8'</v>
      </c>
      <c r="C7" s="164"/>
      <c r="D7" s="83" t="str">
        <f>MRS!G7</f>
        <v>EA</v>
      </c>
      <c r="E7" s="84">
        <f>MRS!H7</f>
        <v>2</v>
      </c>
      <c r="F7" s="85">
        <f>MRS!I7</f>
        <v>2280</v>
      </c>
      <c r="G7" s="85">
        <f>MRS!J7</f>
        <v>4560</v>
      </c>
      <c r="H7" s="86"/>
      <c r="K7" s="87"/>
      <c r="L7" s="88"/>
      <c r="M7" s="53"/>
    </row>
    <row r="8" spans="1:13" s="52" customFormat="1" ht="32.1" customHeight="1">
      <c r="A8" s="89">
        <f t="shared" si="0"/>
        <v>3</v>
      </c>
      <c r="B8" s="163" t="str">
        <f>MRS!B8&amp;" "&amp;MRS!D8</f>
        <v>CS PLATE   3MM X3'X8'</v>
      </c>
      <c r="C8" s="164"/>
      <c r="D8" s="83" t="str">
        <f>MRS!G8</f>
        <v>EA</v>
      </c>
      <c r="E8" s="84">
        <f>MRS!H8</f>
        <v>1</v>
      </c>
      <c r="F8" s="85">
        <f>MRS!I8</f>
        <v>250</v>
      </c>
      <c r="G8" s="85">
        <f>MRS!J8</f>
        <v>250</v>
      </c>
      <c r="H8" s="86"/>
      <c r="K8" s="53"/>
      <c r="L8" s="53"/>
      <c r="M8" s="53"/>
    </row>
    <row r="9" spans="1:13" s="52" customFormat="1" ht="32.1" customHeight="1">
      <c r="A9" s="89">
        <f t="shared" si="0"/>
        <v>4</v>
      </c>
      <c r="B9" s="163" t="str">
        <f>MRS!B9&amp;" "&amp;MRS!D9</f>
        <v>CS PLATE   6MM X3'X8'</v>
      </c>
      <c r="C9" s="164"/>
      <c r="D9" s="83" t="str">
        <f>MRS!G9</f>
        <v>EA</v>
      </c>
      <c r="E9" s="84">
        <f>MRS!H9</f>
        <v>1</v>
      </c>
      <c r="F9" s="85">
        <f>MRS!I9</f>
        <v>650</v>
      </c>
      <c r="G9" s="85">
        <f>MRS!J9</f>
        <v>650</v>
      </c>
      <c r="H9" s="90"/>
    </row>
    <row r="10" spans="1:13" s="52" customFormat="1" ht="32.1" customHeight="1">
      <c r="A10" s="89">
        <f t="shared" si="0"/>
        <v>5</v>
      </c>
      <c r="B10" s="163" t="str">
        <f>MRS!B10&amp;" "&amp;MRS!D10</f>
        <v>CS PLATE   8MM X3'X8'</v>
      </c>
      <c r="C10" s="164"/>
      <c r="D10" s="83" t="str">
        <f>MRS!G10</f>
        <v>EA</v>
      </c>
      <c r="E10" s="84">
        <f>MRS!H10</f>
        <v>1</v>
      </c>
      <c r="F10" s="85">
        <f>MRS!I10</f>
        <v>870</v>
      </c>
      <c r="G10" s="85">
        <f>MRS!J10</f>
        <v>870</v>
      </c>
      <c r="H10" s="90"/>
    </row>
    <row r="11" spans="1:13" s="52" customFormat="1" ht="32.1" customHeight="1">
      <c r="A11" s="89">
        <f t="shared" si="0"/>
        <v>6</v>
      </c>
      <c r="B11" s="163" t="str">
        <f>MRS!B11&amp;" "&amp;MRS!D11</f>
        <v>CS PLATE   10MM X3'X8'</v>
      </c>
      <c r="C11" s="164"/>
      <c r="D11" s="83" t="str">
        <f>MRS!G11</f>
        <v>EA</v>
      </c>
      <c r="E11" s="84">
        <f>MRS!H11</f>
        <v>1</v>
      </c>
      <c r="F11" s="85">
        <f>MRS!I11</f>
        <v>1080</v>
      </c>
      <c r="G11" s="85">
        <f>MRS!J11</f>
        <v>1080</v>
      </c>
      <c r="H11" s="90"/>
    </row>
    <row r="12" spans="1:13" s="52" customFormat="1" ht="32.1" customHeight="1">
      <c r="A12" s="89">
        <f t="shared" si="0"/>
        <v>7</v>
      </c>
      <c r="B12" s="163" t="str">
        <f>MRS!B12&amp;" "&amp;MRS!D12</f>
        <v>CS PLATE   3MM X4'X8'</v>
      </c>
      <c r="C12" s="164"/>
      <c r="D12" s="83" t="str">
        <f>MRS!G12</f>
        <v>EA</v>
      </c>
      <c r="E12" s="84">
        <f>MRS!H12</f>
        <v>78</v>
      </c>
      <c r="F12" s="85">
        <f>MRS!I12</f>
        <v>250</v>
      </c>
      <c r="G12" s="85">
        <f>MRS!J12</f>
        <v>19500</v>
      </c>
      <c r="H12" s="90"/>
    </row>
    <row r="13" spans="1:13" s="52" customFormat="1" ht="32.1" customHeight="1">
      <c r="A13" s="89">
        <f t="shared" si="0"/>
        <v>8</v>
      </c>
      <c r="B13" s="163" t="str">
        <f>MRS!B13&amp;" "&amp;MRS!D13</f>
        <v xml:space="preserve">PIPE 6" PIPE SCH 160 CUTTING &amp; BEVELLING </v>
      </c>
      <c r="C13" s="164"/>
      <c r="D13" s="83" t="str">
        <f>MRS!G13</f>
        <v>EA</v>
      </c>
      <c r="E13" s="84">
        <f>MRS!H13</f>
        <v>126</v>
      </c>
      <c r="F13" s="85">
        <f>MRS!I13</f>
        <v>65</v>
      </c>
      <c r="G13" s="85">
        <f>MRS!J13</f>
        <v>8190</v>
      </c>
      <c r="H13" s="90"/>
    </row>
    <row r="14" spans="1:13" s="52" customFormat="1" ht="32.1" customHeight="1">
      <c r="A14" s="89">
        <f t="shared" si="0"/>
        <v>9</v>
      </c>
      <c r="B14" s="163" t="str">
        <f>MRS!B14&amp;" "&amp;MRS!D14</f>
        <v>PIPE 2" PIPE SCH 160 CUTTING &amp; BEVELLING</v>
      </c>
      <c r="C14" s="164"/>
      <c r="D14" s="83" t="str">
        <f>MRS!G14</f>
        <v>EA</v>
      </c>
      <c r="E14" s="84">
        <f>MRS!H14</f>
        <v>20</v>
      </c>
      <c r="F14" s="85">
        <f>MRS!I14</f>
        <v>40</v>
      </c>
      <c r="G14" s="85">
        <f>MRS!J14</f>
        <v>800</v>
      </c>
      <c r="H14" s="90"/>
    </row>
    <row r="15" spans="1:13" s="52" customFormat="1" ht="32.1" customHeight="1">
      <c r="A15" s="89">
        <f t="shared" si="0"/>
        <v>10</v>
      </c>
      <c r="B15" s="163" t="str">
        <f>MRS!B15&amp;" "&amp;MRS!D15</f>
        <v>HYDRAULIC FLANGE SUREADER  MODEL: HFS-14 CAPACITY: 14 TON</v>
      </c>
      <c r="C15" s="164"/>
      <c r="D15" s="83" t="str">
        <f>MRS!G15</f>
        <v>EA</v>
      </c>
      <c r="E15" s="84">
        <f>MRS!H15</f>
        <v>1</v>
      </c>
      <c r="F15" s="85">
        <f>MRS!I15</f>
        <v>3210</v>
      </c>
      <c r="G15" s="85">
        <f>MRS!J15</f>
        <v>3210</v>
      </c>
      <c r="H15" s="90"/>
    </row>
    <row r="16" spans="1:13" s="52" customFormat="1" ht="32.1" customHeight="1">
      <c r="A16" s="89">
        <f t="shared" si="0"/>
        <v>11</v>
      </c>
      <c r="B16" s="163" t="str">
        <f>MRS!B16&amp;" "&amp;MRS!D16</f>
        <v>LEAD HOSE LEAD HOSE 1.8M</v>
      </c>
      <c r="C16" s="164"/>
      <c r="D16" s="83" t="str">
        <f>MRS!G16</f>
        <v>EA</v>
      </c>
      <c r="E16" s="84">
        <f>MRS!H16</f>
        <v>1</v>
      </c>
      <c r="F16" s="85">
        <f>MRS!I16</f>
        <v>172.5</v>
      </c>
      <c r="G16" s="85">
        <f>MRS!J16</f>
        <v>172.5</v>
      </c>
      <c r="H16" s="90"/>
    </row>
    <row r="17" spans="1:13" s="52" customFormat="1" ht="32.1" customHeight="1">
      <c r="A17" s="89">
        <f t="shared" si="0"/>
        <v>12</v>
      </c>
      <c r="B17" s="163" t="str">
        <f>MRS!B17&amp;" "&amp;MRS!D17</f>
        <v>HAND PUMP FOR HYDRAULIC NUT SPLITTER WITH HOSE  MODEL: P-392 BRAND: TORQUEING POWER SOLUTION (TSP)</v>
      </c>
      <c r="C17" s="164"/>
      <c r="D17" s="83" t="str">
        <f>MRS!G17</f>
        <v>EA</v>
      </c>
      <c r="E17" s="84">
        <f>MRS!H17</f>
        <v>1</v>
      </c>
      <c r="F17" s="85">
        <f>MRS!I17</f>
        <v>930.35</v>
      </c>
      <c r="G17" s="85">
        <f>MRS!J17</f>
        <v>930.35</v>
      </c>
      <c r="H17" s="90"/>
    </row>
    <row r="18" spans="1:13" s="52" customFormat="1" ht="32.1" customHeight="1">
      <c r="A18" s="89">
        <f t="shared" si="0"/>
        <v>13</v>
      </c>
      <c r="B18" s="163" t="str">
        <f>MRS!B18&amp;" "&amp;MRS!D18</f>
        <v>CUTTING DISC  4" X 1MM SS INOX KONAFLEX GERMAN</v>
      </c>
      <c r="C18" s="164"/>
      <c r="D18" s="83" t="str">
        <f>MRS!G18</f>
        <v>EA</v>
      </c>
      <c r="E18" s="84">
        <f>MRS!H18</f>
        <v>12000</v>
      </c>
      <c r="F18" s="85">
        <f>MRS!I18</f>
        <v>1.65</v>
      </c>
      <c r="G18" s="85">
        <f>MRS!J18</f>
        <v>19800</v>
      </c>
      <c r="H18" s="90"/>
    </row>
    <row r="19" spans="1:13" s="52" customFormat="1" ht="32.1" customHeight="1">
      <c r="A19" s="89">
        <f t="shared" si="0"/>
        <v>14</v>
      </c>
      <c r="B19" s="163" t="str">
        <f>MRS!B19&amp;" "&amp;MRS!D19</f>
        <v>CUTTING DISC   4" X 3MM CS MAKS PRO</v>
      </c>
      <c r="C19" s="164"/>
      <c r="D19" s="83" t="str">
        <f>MRS!G19</f>
        <v>EA</v>
      </c>
      <c r="E19" s="84">
        <f>MRS!H19</f>
        <v>4000</v>
      </c>
      <c r="F19" s="85">
        <f>MRS!I19</f>
        <v>2.0499999999999998</v>
      </c>
      <c r="G19" s="85">
        <f>MRS!J19</f>
        <v>8200</v>
      </c>
      <c r="H19" s="90"/>
    </row>
    <row r="20" spans="1:13" s="52" customFormat="1" ht="32.1" customHeight="1">
      <c r="A20" s="89">
        <f t="shared" si="0"/>
        <v>15</v>
      </c>
      <c r="B20" s="163" t="str">
        <f>MRS!B20&amp;" "&amp;MRS!D20</f>
        <v>CUTTING DISC   4" X 3MM SS MAKS PRO</v>
      </c>
      <c r="C20" s="164"/>
      <c r="D20" s="83" t="str">
        <f>MRS!G20</f>
        <v>EA</v>
      </c>
      <c r="E20" s="84">
        <f>MRS!H20</f>
        <v>1300</v>
      </c>
      <c r="F20" s="85">
        <f>MRS!I20</f>
        <v>2.2999999999999998</v>
      </c>
      <c r="G20" s="85">
        <f>MRS!J20</f>
        <v>2989.9999999999995</v>
      </c>
      <c r="H20" s="90"/>
    </row>
    <row r="21" spans="1:13" s="52" customFormat="1" ht="32.1" customHeight="1">
      <c r="A21" s="89">
        <f t="shared" si="0"/>
        <v>16</v>
      </c>
      <c r="B21" s="163" t="str">
        <f>MRS!B21&amp;" "&amp;MRS!D21</f>
        <v>GRINDING DISC  C 4" X 6 MM CS MAKS PRO</v>
      </c>
      <c r="C21" s="164"/>
      <c r="D21" s="83" t="str">
        <f>MRS!G21</f>
        <v>EA</v>
      </c>
      <c r="E21" s="84">
        <f>MRS!H21</f>
        <v>1300</v>
      </c>
      <c r="F21" s="85">
        <f>MRS!I21</f>
        <v>3.2</v>
      </c>
      <c r="G21" s="85">
        <f>MRS!J21</f>
        <v>4160</v>
      </c>
      <c r="H21" s="90"/>
    </row>
    <row r="22" spans="1:13" s="52" customFormat="1" ht="32.1" customHeight="1">
      <c r="A22" s="89">
        <f t="shared" si="0"/>
        <v>17</v>
      </c>
      <c r="B22" s="163" t="str">
        <f>MRS!B22&amp;" "&amp;MRS!D22</f>
        <v>SPEED CUTTING DISC   14"X3MM CS MASK PRO</v>
      </c>
      <c r="C22" s="164"/>
      <c r="D22" s="83" t="str">
        <f>MRS!G22</f>
        <v>EA</v>
      </c>
      <c r="E22" s="84">
        <f>MRS!H22</f>
        <v>150</v>
      </c>
      <c r="F22" s="85">
        <f>MRS!I22</f>
        <v>11.05</v>
      </c>
      <c r="G22" s="85">
        <f>MRS!J22</f>
        <v>1657.5</v>
      </c>
      <c r="H22" s="90"/>
    </row>
    <row r="23" spans="1:13" s="52" customFormat="1" ht="23.1" customHeight="1">
      <c r="A23" s="165" t="s">
        <v>83</v>
      </c>
      <c r="B23" s="166"/>
      <c r="C23" s="166"/>
      <c r="D23" s="166"/>
      <c r="E23" s="166"/>
      <c r="F23" s="166"/>
      <c r="G23" s="55">
        <f>SUM(G6:G22)</f>
        <v>78060.350000000006</v>
      </c>
      <c r="H23" s="56"/>
    </row>
    <row r="24" spans="1:13" s="52" customFormat="1" ht="23.1" customHeight="1">
      <c r="A24" s="165" t="s">
        <v>47</v>
      </c>
      <c r="B24" s="166"/>
      <c r="C24" s="166"/>
      <c r="D24" s="166"/>
      <c r="E24" s="166"/>
      <c r="F24" s="166"/>
      <c r="G24" s="55">
        <f>+G23*0.15</f>
        <v>11709.0525</v>
      </c>
      <c r="H24" s="56"/>
    </row>
    <row r="25" spans="1:13" s="52" customFormat="1" ht="24.95" customHeight="1" thickBot="1">
      <c r="A25" s="167" t="s">
        <v>84</v>
      </c>
      <c r="B25" s="168"/>
      <c r="C25" s="168"/>
      <c r="D25" s="168"/>
      <c r="E25" s="168"/>
      <c r="F25" s="168"/>
      <c r="G25" s="57">
        <f>G24+G23</f>
        <v>89769.402500000011</v>
      </c>
      <c r="H25" s="58"/>
    </row>
    <row r="26" spans="1:13" ht="15.75" thickTop="1">
      <c r="A26" s="59" t="str">
        <f>" 1) Above Price are as per your quotation with ref "&amp;'PO 1st page'!K14</f>
        <v xml:space="preserve"> 1) Above Price are as per your quotation with ref JF-MAT-2026080</v>
      </c>
      <c r="B26" s="60"/>
      <c r="C26" s="60"/>
      <c r="D26" s="61"/>
      <c r="E26" s="61"/>
      <c r="F26" s="61"/>
      <c r="G26" s="61"/>
      <c r="H26" s="61"/>
    </row>
    <row r="27" spans="1:13" ht="15">
      <c r="A27" s="62" t="s">
        <v>85</v>
      </c>
      <c r="B27" s="63"/>
      <c r="C27" s="63"/>
      <c r="D27" s="64"/>
      <c r="E27" s="64"/>
      <c r="F27" s="64"/>
      <c r="G27" s="64"/>
      <c r="H27" s="64"/>
      <c r="I27" s="65"/>
    </row>
    <row r="28" spans="1:13" ht="15.75">
      <c r="A28" s="66"/>
    </row>
    <row r="29" spans="1:13">
      <c r="A29" s="120" t="s">
        <v>86</v>
      </c>
      <c r="B29" s="120"/>
      <c r="C29" s="120"/>
      <c r="D29" s="120"/>
      <c r="E29" s="120"/>
      <c r="F29" s="120"/>
      <c r="G29" s="120"/>
      <c r="H29" s="120"/>
      <c r="I29" s="67"/>
      <c r="J29" s="67"/>
      <c r="K29" s="67"/>
      <c r="L29" s="67"/>
      <c r="M29" s="67"/>
    </row>
    <row r="30" spans="1:13" ht="15.75">
      <c r="A30" s="66"/>
      <c r="C30" s="68"/>
    </row>
    <row r="31" spans="1:13" ht="15.75">
      <c r="A31" s="66"/>
      <c r="C31" s="68"/>
    </row>
    <row r="33" ht="12" customHeight="1"/>
  </sheetData>
  <mergeCells count="29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23:F23"/>
    <mergeCell ref="A24:F24"/>
    <mergeCell ref="A25:F25"/>
    <mergeCell ref="A29:H29"/>
    <mergeCell ref="B12:C12"/>
    <mergeCell ref="B14:C14"/>
    <mergeCell ref="B15:C15"/>
    <mergeCell ref="B20:C20"/>
    <mergeCell ref="B16:C16"/>
    <mergeCell ref="B17:C17"/>
    <mergeCell ref="B19:C19"/>
    <mergeCell ref="B18:C18"/>
    <mergeCell ref="B13:C13"/>
    <mergeCell ref="B21:C21"/>
    <mergeCell ref="B22:C2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1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2026-06-13T13:40:55Z</cp:lastPrinted>
  <dcterms:created xsi:type="dcterms:W3CDTF">2024-10-20T11:50:19Z</dcterms:created>
  <dcterms:modified xsi:type="dcterms:W3CDTF">2026-06-13T13:40:56Z</dcterms:modified>
</cp:coreProperties>
</file>