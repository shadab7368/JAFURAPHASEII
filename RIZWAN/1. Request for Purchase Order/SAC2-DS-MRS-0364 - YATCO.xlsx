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D887AEA3-BC9D-4DE8-A771-E5A26190E76A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MRS!$A$1:$L$190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page'!$A$1:$H$187</definedName>
    <definedName name="_xlnm.Print_Titles" localSheetId="0">MRS!$4:$5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4" i="4" l="1"/>
  <c r="G181" i="4"/>
  <c r="G180" i="4"/>
  <c r="F180" i="4"/>
  <c r="E180" i="4"/>
  <c r="D180" i="4"/>
  <c r="B180" i="4"/>
  <c r="A180" i="4"/>
  <c r="G179" i="4"/>
  <c r="F179" i="4"/>
  <c r="E179" i="4"/>
  <c r="D179" i="4"/>
  <c r="B179" i="4"/>
  <c r="A179" i="4"/>
  <c r="G178" i="4"/>
  <c r="F178" i="4"/>
  <c r="E178" i="4"/>
  <c r="D178" i="4"/>
  <c r="B178" i="4"/>
  <c r="A178" i="4"/>
  <c r="G177" i="4"/>
  <c r="F177" i="4"/>
  <c r="E177" i="4"/>
  <c r="D177" i="4"/>
  <c r="B177" i="4"/>
  <c r="A177" i="4"/>
  <c r="G176" i="4"/>
  <c r="F176" i="4"/>
  <c r="E176" i="4"/>
  <c r="D176" i="4"/>
  <c r="B176" i="4"/>
  <c r="A176" i="4"/>
  <c r="G175" i="4"/>
  <c r="F175" i="4"/>
  <c r="E175" i="4"/>
  <c r="D175" i="4"/>
  <c r="B175" i="4"/>
  <c r="A175" i="4"/>
  <c r="G174" i="4"/>
  <c r="F174" i="4"/>
  <c r="E174" i="4"/>
  <c r="D174" i="4"/>
  <c r="B174" i="4"/>
  <c r="A174" i="4"/>
  <c r="G173" i="4"/>
  <c r="F173" i="4"/>
  <c r="E173" i="4"/>
  <c r="D173" i="4"/>
  <c r="B173" i="4"/>
  <c r="A173" i="4"/>
  <c r="G172" i="4"/>
  <c r="F172" i="4"/>
  <c r="E172" i="4"/>
  <c r="D172" i="4"/>
  <c r="B172" i="4"/>
  <c r="A172" i="4"/>
  <c r="G171" i="4"/>
  <c r="F171" i="4"/>
  <c r="E171" i="4"/>
  <c r="D171" i="4"/>
  <c r="B171" i="4"/>
  <c r="A171" i="4"/>
  <c r="G170" i="4"/>
  <c r="F170" i="4"/>
  <c r="E170" i="4"/>
  <c r="D170" i="4"/>
  <c r="B170" i="4"/>
  <c r="A170" i="4"/>
  <c r="G169" i="4"/>
  <c r="F169" i="4"/>
  <c r="E169" i="4"/>
  <c r="D169" i="4"/>
  <c r="B169" i="4"/>
  <c r="A169" i="4"/>
  <c r="G168" i="4"/>
  <c r="F168" i="4"/>
  <c r="E168" i="4"/>
  <c r="D168" i="4"/>
  <c r="B168" i="4"/>
  <c r="A168" i="4"/>
  <c r="G167" i="4"/>
  <c r="F167" i="4"/>
  <c r="E167" i="4"/>
  <c r="D167" i="4"/>
  <c r="B167" i="4"/>
  <c r="A167" i="4"/>
  <c r="G166" i="4"/>
  <c r="F166" i="4"/>
  <c r="E166" i="4"/>
  <c r="D166" i="4"/>
  <c r="B166" i="4"/>
  <c r="A166" i="4"/>
  <c r="G165" i="4"/>
  <c r="F165" i="4"/>
  <c r="E165" i="4"/>
  <c r="D165" i="4"/>
  <c r="B165" i="4"/>
  <c r="A165" i="4"/>
  <c r="G164" i="4"/>
  <c r="F164" i="4"/>
  <c r="E164" i="4"/>
  <c r="D164" i="4"/>
  <c r="B164" i="4"/>
  <c r="A164" i="4"/>
  <c r="G163" i="4"/>
  <c r="F163" i="4"/>
  <c r="E163" i="4"/>
  <c r="D163" i="4"/>
  <c r="B163" i="4"/>
  <c r="A163" i="4"/>
  <c r="G162" i="4"/>
  <c r="F162" i="4"/>
  <c r="E162" i="4"/>
  <c r="D162" i="4"/>
  <c r="B162" i="4"/>
  <c r="A162" i="4"/>
  <c r="G161" i="4"/>
  <c r="F161" i="4"/>
  <c r="E161" i="4"/>
  <c r="D161" i="4"/>
  <c r="B161" i="4"/>
  <c r="A161" i="4"/>
  <c r="G160" i="4"/>
  <c r="F160" i="4"/>
  <c r="E160" i="4"/>
  <c r="D160" i="4"/>
  <c r="B160" i="4"/>
  <c r="A160" i="4"/>
  <c r="G159" i="4"/>
  <c r="F159" i="4"/>
  <c r="E159" i="4"/>
  <c r="D159" i="4"/>
  <c r="B159" i="4"/>
  <c r="A159" i="4"/>
  <c r="G158" i="4"/>
  <c r="F158" i="4"/>
  <c r="E158" i="4"/>
  <c r="D158" i="4"/>
  <c r="B158" i="4"/>
  <c r="A158" i="4"/>
  <c r="G157" i="4"/>
  <c r="F157" i="4"/>
  <c r="E157" i="4"/>
  <c r="D157" i="4"/>
  <c r="B157" i="4"/>
  <c r="A157" i="4"/>
  <c r="G156" i="4"/>
  <c r="F156" i="4"/>
  <c r="E156" i="4"/>
  <c r="D156" i="4"/>
  <c r="B156" i="4"/>
  <c r="A156" i="4"/>
  <c r="G155" i="4"/>
  <c r="F155" i="4"/>
  <c r="E155" i="4"/>
  <c r="D155" i="4"/>
  <c r="B155" i="4"/>
  <c r="A155" i="4"/>
  <c r="G154" i="4"/>
  <c r="F154" i="4"/>
  <c r="E154" i="4"/>
  <c r="D154" i="4"/>
  <c r="B154" i="4"/>
  <c r="A154" i="4"/>
  <c r="G153" i="4"/>
  <c r="F153" i="4"/>
  <c r="E153" i="4"/>
  <c r="D153" i="4"/>
  <c r="B153" i="4"/>
  <c r="A153" i="4"/>
  <c r="G152" i="4"/>
  <c r="F152" i="4"/>
  <c r="E152" i="4"/>
  <c r="D152" i="4"/>
  <c r="B152" i="4"/>
  <c r="A152" i="4"/>
  <c r="G151" i="4"/>
  <c r="F151" i="4"/>
  <c r="E151" i="4"/>
  <c r="D151" i="4"/>
  <c r="B151" i="4"/>
  <c r="A151" i="4"/>
  <c r="G150" i="4"/>
  <c r="F150" i="4"/>
  <c r="E150" i="4"/>
  <c r="D150" i="4"/>
  <c r="B150" i="4"/>
  <c r="A150" i="4"/>
  <c r="G149" i="4"/>
  <c r="F149" i="4"/>
  <c r="E149" i="4"/>
  <c r="D149" i="4"/>
  <c r="B149" i="4"/>
  <c r="A149" i="4"/>
  <c r="G148" i="4"/>
  <c r="F148" i="4"/>
  <c r="E148" i="4"/>
  <c r="D148" i="4"/>
  <c r="B148" i="4"/>
  <c r="A148" i="4"/>
  <c r="G147" i="4"/>
  <c r="F147" i="4"/>
  <c r="E147" i="4"/>
  <c r="D147" i="4"/>
  <c r="B147" i="4"/>
  <c r="A147" i="4"/>
  <c r="G146" i="4"/>
  <c r="F146" i="4"/>
  <c r="E146" i="4"/>
  <c r="D146" i="4"/>
  <c r="B146" i="4"/>
  <c r="A146" i="4"/>
  <c r="G145" i="4"/>
  <c r="F145" i="4"/>
  <c r="E145" i="4"/>
  <c r="D145" i="4"/>
  <c r="B145" i="4"/>
  <c r="A145" i="4"/>
  <c r="G144" i="4"/>
  <c r="F144" i="4"/>
  <c r="E144" i="4"/>
  <c r="D144" i="4"/>
  <c r="B144" i="4"/>
  <c r="A144" i="4"/>
  <c r="G143" i="4"/>
  <c r="F143" i="4"/>
  <c r="E143" i="4"/>
  <c r="D143" i="4"/>
  <c r="B143" i="4"/>
  <c r="A143" i="4"/>
  <c r="G142" i="4"/>
  <c r="F142" i="4"/>
  <c r="E142" i="4"/>
  <c r="D142" i="4"/>
  <c r="B142" i="4"/>
  <c r="A142" i="4"/>
  <c r="G141" i="4"/>
  <c r="F141" i="4"/>
  <c r="E141" i="4"/>
  <c r="D141" i="4"/>
  <c r="B141" i="4"/>
  <c r="A141" i="4"/>
  <c r="G140" i="4"/>
  <c r="F140" i="4"/>
  <c r="E140" i="4"/>
  <c r="D140" i="4"/>
  <c r="B140" i="4"/>
  <c r="A140" i="4"/>
  <c r="G139" i="4"/>
  <c r="F139" i="4"/>
  <c r="E139" i="4"/>
  <c r="D139" i="4"/>
  <c r="B139" i="4"/>
  <c r="A139" i="4"/>
  <c r="G138" i="4"/>
  <c r="F138" i="4"/>
  <c r="E138" i="4"/>
  <c r="D138" i="4"/>
  <c r="B138" i="4"/>
  <c r="A138" i="4"/>
  <c r="G137" i="4"/>
  <c r="F137" i="4"/>
  <c r="E137" i="4"/>
  <c r="D137" i="4"/>
  <c r="B137" i="4"/>
  <c r="A137" i="4"/>
  <c r="G136" i="4"/>
  <c r="F136" i="4"/>
  <c r="E136" i="4"/>
  <c r="D136" i="4"/>
  <c r="B136" i="4"/>
  <c r="A136" i="4"/>
  <c r="G135" i="4"/>
  <c r="F135" i="4"/>
  <c r="E135" i="4"/>
  <c r="D135" i="4"/>
  <c r="B135" i="4"/>
  <c r="A135" i="4"/>
  <c r="G134" i="4"/>
  <c r="F134" i="4"/>
  <c r="E134" i="4"/>
  <c r="D134" i="4"/>
  <c r="B134" i="4"/>
  <c r="A134" i="4"/>
  <c r="G133" i="4"/>
  <c r="F133" i="4"/>
  <c r="E133" i="4"/>
  <c r="D133" i="4"/>
  <c r="B133" i="4"/>
  <c r="A133" i="4"/>
  <c r="G132" i="4"/>
  <c r="F132" i="4"/>
  <c r="E132" i="4"/>
  <c r="D132" i="4"/>
  <c r="B132" i="4"/>
  <c r="A132" i="4"/>
  <c r="G131" i="4"/>
  <c r="F131" i="4"/>
  <c r="E131" i="4"/>
  <c r="D131" i="4"/>
  <c r="B131" i="4"/>
  <c r="A131" i="4"/>
  <c r="G130" i="4"/>
  <c r="F130" i="4"/>
  <c r="E130" i="4"/>
  <c r="D130" i="4"/>
  <c r="B130" i="4"/>
  <c r="A130" i="4"/>
  <c r="G129" i="4"/>
  <c r="F129" i="4"/>
  <c r="E129" i="4"/>
  <c r="D129" i="4"/>
  <c r="B129" i="4"/>
  <c r="A129" i="4"/>
  <c r="G128" i="4"/>
  <c r="F128" i="4"/>
  <c r="E128" i="4"/>
  <c r="D128" i="4"/>
  <c r="B128" i="4"/>
  <c r="A128" i="4"/>
  <c r="G127" i="4"/>
  <c r="F127" i="4"/>
  <c r="E127" i="4"/>
  <c r="D127" i="4"/>
  <c r="B127" i="4"/>
  <c r="A127" i="4"/>
  <c r="G126" i="4"/>
  <c r="F126" i="4"/>
  <c r="E126" i="4"/>
  <c r="D126" i="4"/>
  <c r="B126" i="4"/>
  <c r="A126" i="4"/>
  <c r="G125" i="4"/>
  <c r="F125" i="4"/>
  <c r="E125" i="4"/>
  <c r="D125" i="4"/>
  <c r="B125" i="4"/>
  <c r="A125" i="4"/>
  <c r="G124" i="4"/>
  <c r="F124" i="4"/>
  <c r="E124" i="4"/>
  <c r="D124" i="4"/>
  <c r="B124" i="4"/>
  <c r="A124" i="4"/>
  <c r="G123" i="4"/>
  <c r="F123" i="4"/>
  <c r="E123" i="4"/>
  <c r="D123" i="4"/>
  <c r="B123" i="4"/>
  <c r="A123" i="4"/>
  <c r="G122" i="4"/>
  <c r="F122" i="4"/>
  <c r="E122" i="4"/>
  <c r="D122" i="4"/>
  <c r="B122" i="4"/>
  <c r="A122" i="4"/>
  <c r="G121" i="4"/>
  <c r="F121" i="4"/>
  <c r="E121" i="4"/>
  <c r="D121" i="4"/>
  <c r="B121" i="4"/>
  <c r="A121" i="4"/>
  <c r="G120" i="4"/>
  <c r="F120" i="4"/>
  <c r="E120" i="4"/>
  <c r="D120" i="4"/>
  <c r="B120" i="4"/>
  <c r="A120" i="4"/>
  <c r="G119" i="4"/>
  <c r="F119" i="4"/>
  <c r="E119" i="4"/>
  <c r="D119" i="4"/>
  <c r="B119" i="4"/>
  <c r="A119" i="4"/>
  <c r="G118" i="4"/>
  <c r="F118" i="4"/>
  <c r="E118" i="4"/>
  <c r="D118" i="4"/>
  <c r="B118" i="4"/>
  <c r="A118" i="4"/>
  <c r="J180" i="1"/>
  <c r="A180" i="1"/>
  <c r="J179" i="1"/>
  <c r="A179" i="1"/>
  <c r="J178" i="1"/>
  <c r="A178" i="1"/>
  <c r="J177" i="1"/>
  <c r="A177" i="1"/>
  <c r="J176" i="1"/>
  <c r="A176" i="1"/>
  <c r="J175" i="1"/>
  <c r="A175" i="1"/>
  <c r="J174" i="1"/>
  <c r="A174" i="1"/>
  <c r="J173" i="1"/>
  <c r="A173" i="1"/>
  <c r="J172" i="1"/>
  <c r="A172" i="1"/>
  <c r="J171" i="1"/>
  <c r="A171" i="1"/>
  <c r="J170" i="1"/>
  <c r="A170" i="1"/>
  <c r="J169" i="1"/>
  <c r="A169" i="1"/>
  <c r="J168" i="1"/>
  <c r="A168" i="1"/>
  <c r="J167" i="1"/>
  <c r="A167" i="1"/>
  <c r="J166" i="1"/>
  <c r="A166" i="1"/>
  <c r="J165" i="1"/>
  <c r="A165" i="1"/>
  <c r="J164" i="1"/>
  <c r="A164" i="1"/>
  <c r="J163" i="1"/>
  <c r="A163" i="1"/>
  <c r="J162" i="1"/>
  <c r="A162" i="1"/>
  <c r="J161" i="1"/>
  <c r="A161" i="1"/>
  <c r="J160" i="1"/>
  <c r="A160" i="1"/>
  <c r="J159" i="1"/>
  <c r="A159" i="1"/>
  <c r="J158" i="1"/>
  <c r="A158" i="1"/>
  <c r="J157" i="1"/>
  <c r="A157" i="1"/>
  <c r="J156" i="1"/>
  <c r="A156" i="1"/>
  <c r="J155" i="1"/>
  <c r="A155" i="1"/>
  <c r="J154" i="1"/>
  <c r="A154" i="1"/>
  <c r="J153" i="1"/>
  <c r="A153" i="1"/>
  <c r="J152" i="1"/>
  <c r="A152" i="1"/>
  <c r="J151" i="1"/>
  <c r="A151" i="1"/>
  <c r="J150" i="1"/>
  <c r="A150" i="1"/>
  <c r="J149" i="1"/>
  <c r="A149" i="1"/>
  <c r="J148" i="1"/>
  <c r="A148" i="1"/>
  <c r="J147" i="1"/>
  <c r="A147" i="1"/>
  <c r="J146" i="1"/>
  <c r="A146" i="1"/>
  <c r="J145" i="1"/>
  <c r="A145" i="1"/>
  <c r="A109" i="1"/>
  <c r="A110" i="1"/>
  <c r="A110" i="2" s="1"/>
  <c r="A111" i="1"/>
  <c r="A112" i="1"/>
  <c r="A113" i="1"/>
  <c r="A114" i="1"/>
  <c r="A114" i="2" s="1"/>
  <c r="A115" i="1"/>
  <c r="A116" i="1"/>
  <c r="A116" i="2" s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F117" i="4"/>
  <c r="E117" i="4"/>
  <c r="D117" i="4"/>
  <c r="B117" i="4"/>
  <c r="F116" i="4"/>
  <c r="E116" i="4"/>
  <c r="D116" i="4"/>
  <c r="B116" i="4"/>
  <c r="F115" i="4"/>
  <c r="E115" i="4"/>
  <c r="D115" i="4"/>
  <c r="B115" i="4"/>
  <c r="F114" i="4"/>
  <c r="E114" i="4"/>
  <c r="D114" i="4"/>
  <c r="B114" i="4"/>
  <c r="F113" i="4"/>
  <c r="E113" i="4"/>
  <c r="D113" i="4"/>
  <c r="B113" i="4"/>
  <c r="F112" i="4"/>
  <c r="E112" i="4"/>
  <c r="D112" i="4"/>
  <c r="B112" i="4"/>
  <c r="F111" i="4"/>
  <c r="E111" i="4"/>
  <c r="D111" i="4"/>
  <c r="B111" i="4"/>
  <c r="F110" i="4"/>
  <c r="E110" i="4"/>
  <c r="D110" i="4"/>
  <c r="B110" i="4"/>
  <c r="F109" i="4"/>
  <c r="E109" i="4"/>
  <c r="D109" i="4"/>
  <c r="B109" i="4"/>
  <c r="F108" i="4"/>
  <c r="E108" i="4"/>
  <c r="D108" i="4"/>
  <c r="B108" i="4"/>
  <c r="F107" i="4"/>
  <c r="E107" i="4"/>
  <c r="D107" i="4"/>
  <c r="B107" i="4"/>
  <c r="F106" i="4"/>
  <c r="E106" i="4"/>
  <c r="D106" i="4"/>
  <c r="B106" i="4"/>
  <c r="F105" i="4"/>
  <c r="E105" i="4"/>
  <c r="D105" i="4"/>
  <c r="B105" i="4"/>
  <c r="F104" i="4"/>
  <c r="E104" i="4"/>
  <c r="D104" i="4"/>
  <c r="B104" i="4"/>
  <c r="F103" i="4"/>
  <c r="E103" i="4"/>
  <c r="D103" i="4"/>
  <c r="B103" i="4"/>
  <c r="F102" i="4"/>
  <c r="E102" i="4"/>
  <c r="D102" i="4"/>
  <c r="B102" i="4"/>
  <c r="F101" i="4"/>
  <c r="E101" i="4"/>
  <c r="D101" i="4"/>
  <c r="B101" i="4"/>
  <c r="F100" i="4"/>
  <c r="E100" i="4"/>
  <c r="D100" i="4"/>
  <c r="B100" i="4"/>
  <c r="F99" i="4"/>
  <c r="E99" i="4"/>
  <c r="D99" i="4"/>
  <c r="B99" i="4"/>
  <c r="F98" i="4"/>
  <c r="E98" i="4"/>
  <c r="D98" i="4"/>
  <c r="B98" i="4"/>
  <c r="F97" i="4"/>
  <c r="E97" i="4"/>
  <c r="D97" i="4"/>
  <c r="B97" i="4"/>
  <c r="F96" i="4"/>
  <c r="E96" i="4"/>
  <c r="D96" i="4"/>
  <c r="B96" i="4"/>
  <c r="F95" i="4"/>
  <c r="E95" i="4"/>
  <c r="D95" i="4"/>
  <c r="B95" i="4"/>
  <c r="F94" i="4"/>
  <c r="E94" i="4"/>
  <c r="D94" i="4"/>
  <c r="B94" i="4"/>
  <c r="F93" i="4"/>
  <c r="E93" i="4"/>
  <c r="D93" i="4"/>
  <c r="B93" i="4"/>
  <c r="F92" i="4"/>
  <c r="E92" i="4"/>
  <c r="D92" i="4"/>
  <c r="B92" i="4"/>
  <c r="F91" i="4"/>
  <c r="E91" i="4"/>
  <c r="D91" i="4"/>
  <c r="B91" i="4"/>
  <c r="F90" i="4"/>
  <c r="E90" i="4"/>
  <c r="D90" i="4"/>
  <c r="B90" i="4"/>
  <c r="F89" i="4"/>
  <c r="E89" i="4"/>
  <c r="D89" i="4"/>
  <c r="B89" i="4"/>
  <c r="F88" i="4"/>
  <c r="E88" i="4"/>
  <c r="D88" i="4"/>
  <c r="B88" i="4"/>
  <c r="F87" i="4"/>
  <c r="E87" i="4"/>
  <c r="D87" i="4"/>
  <c r="B87" i="4"/>
  <c r="F86" i="4"/>
  <c r="E86" i="4"/>
  <c r="D86" i="4"/>
  <c r="B86" i="4"/>
  <c r="F85" i="4"/>
  <c r="E85" i="4"/>
  <c r="D85" i="4"/>
  <c r="B85" i="4"/>
  <c r="F84" i="4"/>
  <c r="E84" i="4"/>
  <c r="D84" i="4"/>
  <c r="B84" i="4"/>
  <c r="F83" i="4"/>
  <c r="E83" i="4"/>
  <c r="D83" i="4"/>
  <c r="B83" i="4"/>
  <c r="F82" i="4"/>
  <c r="E82" i="4"/>
  <c r="D82" i="4"/>
  <c r="B82" i="4"/>
  <c r="F81" i="4"/>
  <c r="E81" i="4"/>
  <c r="D81" i="4"/>
  <c r="B81" i="4"/>
  <c r="F80" i="4"/>
  <c r="E80" i="4"/>
  <c r="D80" i="4"/>
  <c r="B80" i="4"/>
  <c r="F79" i="4"/>
  <c r="E79" i="4"/>
  <c r="D79" i="4"/>
  <c r="B79" i="4"/>
  <c r="F78" i="4"/>
  <c r="E78" i="4"/>
  <c r="D78" i="4"/>
  <c r="B78" i="4"/>
  <c r="F77" i="4"/>
  <c r="E77" i="4"/>
  <c r="D77" i="4"/>
  <c r="B77" i="4"/>
  <c r="F76" i="4"/>
  <c r="E76" i="4"/>
  <c r="D76" i="4"/>
  <c r="B76" i="4"/>
  <c r="F75" i="4"/>
  <c r="E75" i="4"/>
  <c r="D75" i="4"/>
  <c r="B75" i="4"/>
  <c r="F74" i="4"/>
  <c r="E74" i="4"/>
  <c r="D74" i="4"/>
  <c r="B74" i="4"/>
  <c r="F73" i="4"/>
  <c r="E73" i="4"/>
  <c r="D73" i="4"/>
  <c r="B73" i="4"/>
  <c r="F72" i="4"/>
  <c r="E72" i="4"/>
  <c r="D72" i="4"/>
  <c r="B72" i="4"/>
  <c r="F71" i="4"/>
  <c r="E71" i="4"/>
  <c r="D71" i="4"/>
  <c r="B71" i="4"/>
  <c r="F70" i="4"/>
  <c r="E70" i="4"/>
  <c r="D70" i="4"/>
  <c r="B70" i="4"/>
  <c r="F69" i="4"/>
  <c r="E69" i="4"/>
  <c r="D69" i="4"/>
  <c r="B69" i="4"/>
  <c r="F68" i="4"/>
  <c r="E68" i="4"/>
  <c r="D68" i="4"/>
  <c r="B68" i="4"/>
  <c r="F67" i="4"/>
  <c r="E67" i="4"/>
  <c r="D67" i="4"/>
  <c r="B67" i="4"/>
  <c r="F66" i="4"/>
  <c r="E66" i="4"/>
  <c r="D66" i="4"/>
  <c r="B66" i="4"/>
  <c r="F65" i="4"/>
  <c r="E65" i="4"/>
  <c r="D65" i="4"/>
  <c r="B65" i="4"/>
  <c r="F64" i="4"/>
  <c r="E64" i="4"/>
  <c r="D64" i="4"/>
  <c r="B64" i="4"/>
  <c r="F63" i="4"/>
  <c r="E63" i="4"/>
  <c r="D63" i="4"/>
  <c r="B63" i="4"/>
  <c r="F62" i="4"/>
  <c r="E62" i="4"/>
  <c r="D62" i="4"/>
  <c r="B62" i="4"/>
  <c r="F61" i="4"/>
  <c r="E61" i="4"/>
  <c r="D61" i="4"/>
  <c r="B61" i="4"/>
  <c r="F60" i="4"/>
  <c r="E60" i="4"/>
  <c r="D60" i="4"/>
  <c r="B60" i="4"/>
  <c r="F59" i="4"/>
  <c r="E59" i="4"/>
  <c r="D59" i="4"/>
  <c r="B59" i="4"/>
  <c r="F58" i="4"/>
  <c r="E58" i="4"/>
  <c r="D58" i="4"/>
  <c r="B58" i="4"/>
  <c r="F57" i="4"/>
  <c r="E57" i="4"/>
  <c r="D57" i="4"/>
  <c r="B57" i="4"/>
  <c r="F56" i="4"/>
  <c r="E56" i="4"/>
  <c r="D56" i="4"/>
  <c r="B56" i="4"/>
  <c r="F55" i="4"/>
  <c r="E55" i="4"/>
  <c r="D55" i="4"/>
  <c r="B55" i="4"/>
  <c r="F54" i="4"/>
  <c r="E54" i="4"/>
  <c r="D54" i="4"/>
  <c r="B54" i="4"/>
  <c r="F53" i="4"/>
  <c r="E53" i="4"/>
  <c r="D53" i="4"/>
  <c r="B53" i="4"/>
  <c r="F52" i="4"/>
  <c r="E52" i="4"/>
  <c r="D52" i="4"/>
  <c r="B52" i="4"/>
  <c r="F51" i="4"/>
  <c r="E51" i="4"/>
  <c r="D51" i="4"/>
  <c r="B51" i="4"/>
  <c r="F50" i="4"/>
  <c r="E50" i="4"/>
  <c r="D50" i="4"/>
  <c r="B50" i="4"/>
  <c r="F49" i="4"/>
  <c r="E49" i="4"/>
  <c r="D49" i="4"/>
  <c r="B49" i="4"/>
  <c r="F48" i="4"/>
  <c r="E48" i="4"/>
  <c r="D48" i="4"/>
  <c r="B48" i="4"/>
  <c r="F47" i="4"/>
  <c r="E47" i="4"/>
  <c r="D47" i="4"/>
  <c r="B47" i="4"/>
  <c r="F46" i="4"/>
  <c r="E46" i="4"/>
  <c r="D46" i="4"/>
  <c r="B46" i="4"/>
  <c r="F45" i="4"/>
  <c r="E45" i="4"/>
  <c r="D45" i="4"/>
  <c r="B45" i="4"/>
  <c r="F44" i="4"/>
  <c r="E44" i="4"/>
  <c r="D44" i="4"/>
  <c r="B44" i="4"/>
  <c r="F43" i="4"/>
  <c r="E43" i="4"/>
  <c r="D43" i="4"/>
  <c r="B43" i="4"/>
  <c r="F42" i="4"/>
  <c r="E42" i="4"/>
  <c r="D42" i="4"/>
  <c r="B42" i="4"/>
  <c r="F41" i="4"/>
  <c r="E41" i="4"/>
  <c r="D41" i="4"/>
  <c r="B41" i="4"/>
  <c r="F40" i="4"/>
  <c r="E40" i="4"/>
  <c r="D40" i="4"/>
  <c r="B40" i="4"/>
  <c r="F39" i="4"/>
  <c r="E39" i="4"/>
  <c r="D39" i="4"/>
  <c r="B39" i="4"/>
  <c r="F38" i="4"/>
  <c r="E38" i="4"/>
  <c r="D38" i="4"/>
  <c r="B38" i="4"/>
  <c r="F37" i="4"/>
  <c r="E37" i="4"/>
  <c r="D37" i="4"/>
  <c r="B37" i="4"/>
  <c r="F36" i="4"/>
  <c r="E36" i="4"/>
  <c r="D36" i="4"/>
  <c r="B36" i="4"/>
  <c r="F35" i="4"/>
  <c r="E35" i="4"/>
  <c r="D35" i="4"/>
  <c r="B35" i="4"/>
  <c r="F34" i="4"/>
  <c r="E34" i="4"/>
  <c r="D34" i="4"/>
  <c r="B34" i="4"/>
  <c r="F33" i="4"/>
  <c r="E33" i="4"/>
  <c r="D33" i="4"/>
  <c r="B33" i="4"/>
  <c r="F32" i="4"/>
  <c r="E32" i="4"/>
  <c r="D32" i="4"/>
  <c r="B32" i="4"/>
  <c r="F31" i="4"/>
  <c r="E31" i="4"/>
  <c r="D31" i="4"/>
  <c r="B31" i="4"/>
  <c r="F30" i="4"/>
  <c r="E30" i="4"/>
  <c r="D30" i="4"/>
  <c r="B30" i="4"/>
  <c r="F29" i="4"/>
  <c r="E29" i="4"/>
  <c r="D29" i="4"/>
  <c r="B29" i="4"/>
  <c r="F28" i="4"/>
  <c r="E28" i="4"/>
  <c r="D28" i="4"/>
  <c r="B28" i="4"/>
  <c r="F27" i="4"/>
  <c r="E27" i="4"/>
  <c r="D27" i="4"/>
  <c r="B27" i="4"/>
  <c r="F26" i="4"/>
  <c r="E26" i="4"/>
  <c r="D26" i="4"/>
  <c r="B26" i="4"/>
  <c r="F25" i="4"/>
  <c r="E25" i="4"/>
  <c r="D25" i="4"/>
  <c r="B25" i="4"/>
  <c r="F24" i="4"/>
  <c r="E24" i="4"/>
  <c r="D24" i="4"/>
  <c r="B24" i="4"/>
  <c r="F23" i="4"/>
  <c r="E23" i="4"/>
  <c r="D23" i="4"/>
  <c r="B23" i="4"/>
  <c r="F22" i="4"/>
  <c r="E22" i="4"/>
  <c r="D22" i="4"/>
  <c r="B22" i="4"/>
  <c r="F21" i="4"/>
  <c r="E21" i="4"/>
  <c r="D21" i="4"/>
  <c r="B21" i="4"/>
  <c r="F20" i="4"/>
  <c r="E20" i="4"/>
  <c r="D20" i="4"/>
  <c r="B20" i="4"/>
  <c r="F19" i="4"/>
  <c r="E19" i="4"/>
  <c r="D19" i="4"/>
  <c r="B19" i="4"/>
  <c r="F18" i="4"/>
  <c r="E18" i="4"/>
  <c r="D18" i="4"/>
  <c r="B18" i="4"/>
  <c r="F17" i="4"/>
  <c r="E17" i="4"/>
  <c r="D17" i="4"/>
  <c r="B17" i="4"/>
  <c r="F16" i="4"/>
  <c r="E16" i="4"/>
  <c r="D16" i="4"/>
  <c r="B16" i="4"/>
  <c r="F15" i="4"/>
  <c r="E15" i="4"/>
  <c r="D15" i="4"/>
  <c r="B15" i="4"/>
  <c r="F14" i="4"/>
  <c r="E14" i="4"/>
  <c r="D14" i="4"/>
  <c r="B14" i="4"/>
  <c r="F13" i="4"/>
  <c r="E13" i="4"/>
  <c r="D13" i="4"/>
  <c r="B13" i="4"/>
  <c r="F12" i="4"/>
  <c r="E12" i="4"/>
  <c r="D12" i="4"/>
  <c r="B12" i="4"/>
  <c r="F11" i="4"/>
  <c r="E11" i="4"/>
  <c r="D11" i="4"/>
  <c r="B11" i="4"/>
  <c r="F10" i="4"/>
  <c r="E10" i="4"/>
  <c r="D10" i="4"/>
  <c r="B10" i="4"/>
  <c r="F9" i="4"/>
  <c r="E9" i="4"/>
  <c r="D9" i="4"/>
  <c r="B9" i="4"/>
  <c r="F8" i="4"/>
  <c r="E8" i="4"/>
  <c r="D8" i="4"/>
  <c r="B8" i="4"/>
  <c r="F7" i="4"/>
  <c r="E7" i="4"/>
  <c r="D7" i="4"/>
  <c r="B7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I117" i="2"/>
  <c r="H117" i="2"/>
  <c r="G117" i="2"/>
  <c r="D117" i="2"/>
  <c r="B117" i="2"/>
  <c r="A117" i="2"/>
  <c r="I116" i="2"/>
  <c r="H116" i="2"/>
  <c r="G116" i="2"/>
  <c r="D116" i="2"/>
  <c r="B116" i="2"/>
  <c r="I115" i="2"/>
  <c r="H115" i="2"/>
  <c r="G115" i="2"/>
  <c r="D115" i="2"/>
  <c r="B115" i="2"/>
  <c r="A115" i="2"/>
  <c r="I114" i="2"/>
  <c r="H114" i="2"/>
  <c r="G114" i="2"/>
  <c r="D114" i="2"/>
  <c r="B114" i="2"/>
  <c r="I113" i="2"/>
  <c r="H113" i="2"/>
  <c r="G113" i="2"/>
  <c r="D113" i="2"/>
  <c r="B113" i="2"/>
  <c r="I112" i="2"/>
  <c r="H112" i="2"/>
  <c r="G112" i="2"/>
  <c r="D112" i="2"/>
  <c r="B112" i="2"/>
  <c r="I111" i="2"/>
  <c r="H111" i="2"/>
  <c r="G111" i="2"/>
  <c r="D111" i="2"/>
  <c r="B111" i="2"/>
  <c r="I110" i="2"/>
  <c r="H110" i="2"/>
  <c r="G110" i="2"/>
  <c r="D110" i="2"/>
  <c r="B110" i="2"/>
  <c r="I109" i="2"/>
  <c r="H109" i="2"/>
  <c r="G109" i="2"/>
  <c r="D109" i="2"/>
  <c r="B109" i="2"/>
  <c r="I108" i="2"/>
  <c r="H108" i="2"/>
  <c r="G108" i="2"/>
  <c r="D108" i="2"/>
  <c r="B108" i="2"/>
  <c r="I107" i="2"/>
  <c r="H107" i="2"/>
  <c r="G107" i="2"/>
  <c r="D107" i="2"/>
  <c r="B107" i="2"/>
  <c r="I106" i="2"/>
  <c r="H106" i="2"/>
  <c r="G106" i="2"/>
  <c r="D106" i="2"/>
  <c r="B106" i="2"/>
  <c r="I105" i="2"/>
  <c r="H105" i="2"/>
  <c r="G105" i="2"/>
  <c r="D105" i="2"/>
  <c r="B105" i="2"/>
  <c r="I104" i="2"/>
  <c r="H104" i="2"/>
  <c r="G104" i="2"/>
  <c r="D104" i="2"/>
  <c r="B104" i="2"/>
  <c r="I103" i="2"/>
  <c r="H103" i="2"/>
  <c r="G103" i="2"/>
  <c r="D103" i="2"/>
  <c r="B103" i="2"/>
  <c r="I102" i="2"/>
  <c r="H102" i="2"/>
  <c r="G102" i="2"/>
  <c r="D102" i="2"/>
  <c r="B102" i="2"/>
  <c r="I101" i="2"/>
  <c r="H101" i="2"/>
  <c r="G101" i="2"/>
  <c r="D101" i="2"/>
  <c r="B101" i="2"/>
  <c r="I100" i="2"/>
  <c r="H100" i="2"/>
  <c r="G100" i="2"/>
  <c r="D100" i="2"/>
  <c r="B100" i="2"/>
  <c r="I99" i="2"/>
  <c r="H99" i="2"/>
  <c r="G99" i="2"/>
  <c r="D99" i="2"/>
  <c r="B99" i="2"/>
  <c r="I98" i="2"/>
  <c r="H98" i="2"/>
  <c r="G98" i="2"/>
  <c r="D98" i="2"/>
  <c r="B98" i="2"/>
  <c r="I97" i="2"/>
  <c r="H97" i="2"/>
  <c r="G97" i="2"/>
  <c r="D97" i="2"/>
  <c r="B97" i="2"/>
  <c r="I96" i="2"/>
  <c r="H96" i="2"/>
  <c r="G96" i="2"/>
  <c r="D96" i="2"/>
  <c r="B96" i="2"/>
  <c r="I95" i="2"/>
  <c r="H95" i="2"/>
  <c r="G95" i="2"/>
  <c r="D95" i="2"/>
  <c r="B95" i="2"/>
  <c r="I94" i="2"/>
  <c r="H94" i="2"/>
  <c r="G94" i="2"/>
  <c r="D94" i="2"/>
  <c r="B94" i="2"/>
  <c r="I93" i="2"/>
  <c r="H93" i="2"/>
  <c r="G93" i="2"/>
  <c r="D93" i="2"/>
  <c r="B93" i="2"/>
  <c r="I92" i="2"/>
  <c r="H92" i="2"/>
  <c r="G92" i="2"/>
  <c r="D92" i="2"/>
  <c r="B92" i="2"/>
  <c r="I91" i="2"/>
  <c r="H91" i="2"/>
  <c r="G91" i="2"/>
  <c r="D91" i="2"/>
  <c r="B91" i="2"/>
  <c r="I90" i="2"/>
  <c r="H90" i="2"/>
  <c r="G90" i="2"/>
  <c r="D90" i="2"/>
  <c r="B90" i="2"/>
  <c r="I89" i="2"/>
  <c r="H89" i="2"/>
  <c r="G89" i="2"/>
  <c r="D89" i="2"/>
  <c r="B89" i="2"/>
  <c r="I88" i="2"/>
  <c r="H88" i="2"/>
  <c r="G88" i="2"/>
  <c r="D88" i="2"/>
  <c r="B88" i="2"/>
  <c r="I87" i="2"/>
  <c r="H87" i="2"/>
  <c r="G87" i="2"/>
  <c r="D87" i="2"/>
  <c r="B87" i="2"/>
  <c r="I86" i="2"/>
  <c r="H86" i="2"/>
  <c r="G86" i="2"/>
  <c r="D86" i="2"/>
  <c r="B86" i="2"/>
  <c r="I85" i="2"/>
  <c r="H85" i="2"/>
  <c r="G85" i="2"/>
  <c r="D85" i="2"/>
  <c r="B85" i="2"/>
  <c r="I84" i="2"/>
  <c r="H84" i="2"/>
  <c r="G84" i="2"/>
  <c r="D84" i="2"/>
  <c r="B84" i="2"/>
  <c r="I83" i="2"/>
  <c r="H83" i="2"/>
  <c r="G83" i="2"/>
  <c r="D83" i="2"/>
  <c r="B83" i="2"/>
  <c r="I82" i="2"/>
  <c r="H82" i="2"/>
  <c r="G82" i="2"/>
  <c r="D82" i="2"/>
  <c r="B82" i="2"/>
  <c r="I81" i="2"/>
  <c r="H81" i="2"/>
  <c r="G81" i="2"/>
  <c r="D81" i="2"/>
  <c r="B81" i="2"/>
  <c r="I80" i="2"/>
  <c r="H80" i="2"/>
  <c r="G80" i="2"/>
  <c r="D80" i="2"/>
  <c r="B80" i="2"/>
  <c r="I79" i="2"/>
  <c r="H79" i="2"/>
  <c r="G79" i="2"/>
  <c r="D79" i="2"/>
  <c r="B79" i="2"/>
  <c r="I78" i="2"/>
  <c r="H78" i="2"/>
  <c r="G78" i="2"/>
  <c r="D78" i="2"/>
  <c r="B78" i="2"/>
  <c r="I77" i="2"/>
  <c r="H77" i="2"/>
  <c r="G77" i="2"/>
  <c r="D77" i="2"/>
  <c r="B77" i="2"/>
  <c r="I76" i="2"/>
  <c r="H76" i="2"/>
  <c r="G76" i="2"/>
  <c r="D76" i="2"/>
  <c r="B76" i="2"/>
  <c r="I75" i="2"/>
  <c r="H75" i="2"/>
  <c r="G75" i="2"/>
  <c r="D75" i="2"/>
  <c r="B75" i="2"/>
  <c r="I74" i="2"/>
  <c r="H74" i="2"/>
  <c r="G74" i="2"/>
  <c r="D74" i="2"/>
  <c r="B74" i="2"/>
  <c r="I73" i="2"/>
  <c r="H73" i="2"/>
  <c r="G73" i="2"/>
  <c r="D73" i="2"/>
  <c r="B73" i="2"/>
  <c r="I72" i="2"/>
  <c r="H72" i="2"/>
  <c r="G72" i="2"/>
  <c r="D72" i="2"/>
  <c r="B72" i="2"/>
  <c r="I71" i="2"/>
  <c r="H71" i="2"/>
  <c r="G71" i="2"/>
  <c r="D71" i="2"/>
  <c r="B71" i="2"/>
  <c r="I70" i="2"/>
  <c r="H70" i="2"/>
  <c r="G70" i="2"/>
  <c r="D70" i="2"/>
  <c r="B70" i="2"/>
  <c r="I69" i="2"/>
  <c r="H69" i="2"/>
  <c r="G69" i="2"/>
  <c r="D69" i="2"/>
  <c r="B69" i="2"/>
  <c r="I68" i="2"/>
  <c r="H68" i="2"/>
  <c r="G68" i="2"/>
  <c r="D68" i="2"/>
  <c r="B68" i="2"/>
  <c r="I67" i="2"/>
  <c r="H67" i="2"/>
  <c r="G67" i="2"/>
  <c r="D67" i="2"/>
  <c r="B67" i="2"/>
  <c r="I66" i="2"/>
  <c r="H66" i="2"/>
  <c r="G66" i="2"/>
  <c r="D66" i="2"/>
  <c r="B66" i="2"/>
  <c r="I65" i="2"/>
  <c r="H65" i="2"/>
  <c r="G65" i="2"/>
  <c r="D65" i="2"/>
  <c r="B65" i="2"/>
  <c r="I64" i="2"/>
  <c r="H64" i="2"/>
  <c r="G64" i="2"/>
  <c r="D64" i="2"/>
  <c r="B64" i="2"/>
  <c r="I63" i="2"/>
  <c r="H63" i="2"/>
  <c r="G63" i="2"/>
  <c r="D63" i="2"/>
  <c r="B63" i="2"/>
  <c r="I62" i="2"/>
  <c r="H62" i="2"/>
  <c r="G62" i="2"/>
  <c r="D62" i="2"/>
  <c r="B62" i="2"/>
  <c r="I61" i="2"/>
  <c r="H61" i="2"/>
  <c r="G61" i="2"/>
  <c r="D61" i="2"/>
  <c r="B61" i="2"/>
  <c r="I60" i="2"/>
  <c r="H60" i="2"/>
  <c r="G60" i="2"/>
  <c r="D60" i="2"/>
  <c r="B60" i="2"/>
  <c r="I59" i="2"/>
  <c r="H59" i="2"/>
  <c r="G59" i="2"/>
  <c r="D59" i="2"/>
  <c r="B59" i="2"/>
  <c r="I58" i="2"/>
  <c r="H58" i="2"/>
  <c r="G58" i="2"/>
  <c r="D58" i="2"/>
  <c r="B58" i="2"/>
  <c r="I57" i="2"/>
  <c r="H57" i="2"/>
  <c r="G57" i="2"/>
  <c r="D57" i="2"/>
  <c r="B57" i="2"/>
  <c r="I56" i="2"/>
  <c r="H56" i="2"/>
  <c r="G56" i="2"/>
  <c r="D56" i="2"/>
  <c r="B56" i="2"/>
  <c r="I55" i="2"/>
  <c r="H55" i="2"/>
  <c r="G55" i="2"/>
  <c r="D55" i="2"/>
  <c r="B55" i="2"/>
  <c r="I54" i="2"/>
  <c r="H54" i="2"/>
  <c r="G54" i="2"/>
  <c r="D54" i="2"/>
  <c r="B54" i="2"/>
  <c r="I53" i="2"/>
  <c r="H53" i="2"/>
  <c r="G53" i="2"/>
  <c r="D53" i="2"/>
  <c r="B53" i="2"/>
  <c r="I52" i="2"/>
  <c r="H52" i="2"/>
  <c r="G52" i="2"/>
  <c r="D52" i="2"/>
  <c r="B52" i="2"/>
  <c r="I51" i="2"/>
  <c r="H51" i="2"/>
  <c r="G51" i="2"/>
  <c r="D51" i="2"/>
  <c r="B51" i="2"/>
  <c r="I50" i="2"/>
  <c r="H50" i="2"/>
  <c r="G50" i="2"/>
  <c r="D50" i="2"/>
  <c r="B50" i="2"/>
  <c r="I49" i="2"/>
  <c r="H49" i="2"/>
  <c r="G49" i="2"/>
  <c r="D49" i="2"/>
  <c r="B49" i="2"/>
  <c r="I48" i="2"/>
  <c r="H48" i="2"/>
  <c r="G48" i="2"/>
  <c r="D48" i="2"/>
  <c r="B48" i="2"/>
  <c r="I47" i="2"/>
  <c r="H47" i="2"/>
  <c r="G47" i="2"/>
  <c r="D47" i="2"/>
  <c r="B47" i="2"/>
  <c r="I46" i="2"/>
  <c r="H46" i="2"/>
  <c r="G46" i="2"/>
  <c r="D46" i="2"/>
  <c r="B46" i="2"/>
  <c r="I45" i="2"/>
  <c r="H45" i="2"/>
  <c r="G45" i="2"/>
  <c r="D45" i="2"/>
  <c r="B45" i="2"/>
  <c r="I44" i="2"/>
  <c r="H44" i="2"/>
  <c r="G44" i="2"/>
  <c r="D44" i="2"/>
  <c r="B44" i="2"/>
  <c r="I43" i="2"/>
  <c r="H43" i="2"/>
  <c r="G43" i="2"/>
  <c r="D43" i="2"/>
  <c r="B43" i="2"/>
  <c r="I42" i="2"/>
  <c r="H42" i="2"/>
  <c r="G42" i="2"/>
  <c r="D42" i="2"/>
  <c r="B42" i="2"/>
  <c r="I41" i="2"/>
  <c r="H41" i="2"/>
  <c r="G41" i="2"/>
  <c r="D41" i="2"/>
  <c r="B41" i="2"/>
  <c r="I40" i="2"/>
  <c r="H40" i="2"/>
  <c r="G40" i="2"/>
  <c r="D40" i="2"/>
  <c r="B40" i="2"/>
  <c r="I39" i="2"/>
  <c r="H39" i="2"/>
  <c r="G39" i="2"/>
  <c r="D39" i="2"/>
  <c r="B39" i="2"/>
  <c r="I38" i="2"/>
  <c r="H38" i="2"/>
  <c r="G38" i="2"/>
  <c r="D38" i="2"/>
  <c r="B38" i="2"/>
  <c r="I37" i="2"/>
  <c r="H37" i="2"/>
  <c r="G37" i="2"/>
  <c r="D37" i="2"/>
  <c r="B37" i="2"/>
  <c r="I36" i="2"/>
  <c r="H36" i="2"/>
  <c r="G36" i="2"/>
  <c r="D36" i="2"/>
  <c r="B36" i="2"/>
  <c r="I35" i="2"/>
  <c r="H35" i="2"/>
  <c r="G35" i="2"/>
  <c r="D35" i="2"/>
  <c r="B35" i="2"/>
  <c r="I34" i="2"/>
  <c r="H34" i="2"/>
  <c r="G34" i="2"/>
  <c r="D34" i="2"/>
  <c r="B34" i="2"/>
  <c r="I33" i="2"/>
  <c r="H33" i="2"/>
  <c r="G33" i="2"/>
  <c r="D33" i="2"/>
  <c r="B33" i="2"/>
  <c r="I32" i="2"/>
  <c r="H32" i="2"/>
  <c r="G32" i="2"/>
  <c r="D32" i="2"/>
  <c r="B32" i="2"/>
  <c r="I31" i="2"/>
  <c r="H31" i="2"/>
  <c r="G31" i="2"/>
  <c r="D31" i="2"/>
  <c r="B31" i="2"/>
  <c r="I30" i="2"/>
  <c r="H30" i="2"/>
  <c r="G30" i="2"/>
  <c r="D30" i="2"/>
  <c r="B30" i="2"/>
  <c r="I29" i="2"/>
  <c r="H29" i="2"/>
  <c r="G29" i="2"/>
  <c r="D29" i="2"/>
  <c r="B29" i="2"/>
  <c r="I28" i="2"/>
  <c r="H28" i="2"/>
  <c r="G28" i="2"/>
  <c r="D28" i="2"/>
  <c r="B28" i="2"/>
  <c r="I27" i="2"/>
  <c r="H27" i="2"/>
  <c r="G27" i="2"/>
  <c r="D27" i="2"/>
  <c r="B27" i="2"/>
  <c r="I26" i="2"/>
  <c r="H26" i="2"/>
  <c r="G26" i="2"/>
  <c r="D26" i="2"/>
  <c r="B26" i="2"/>
  <c r="I25" i="2"/>
  <c r="H25" i="2"/>
  <c r="G25" i="2"/>
  <c r="D25" i="2"/>
  <c r="B25" i="2"/>
  <c r="I24" i="2"/>
  <c r="H24" i="2"/>
  <c r="G24" i="2"/>
  <c r="D24" i="2"/>
  <c r="B24" i="2"/>
  <c r="I23" i="2"/>
  <c r="H23" i="2"/>
  <c r="G23" i="2"/>
  <c r="D23" i="2"/>
  <c r="B23" i="2"/>
  <c r="I22" i="2"/>
  <c r="H22" i="2"/>
  <c r="G22" i="2"/>
  <c r="D22" i="2"/>
  <c r="B22" i="2"/>
  <c r="I21" i="2"/>
  <c r="H21" i="2"/>
  <c r="G21" i="2"/>
  <c r="D21" i="2"/>
  <c r="B21" i="2"/>
  <c r="I20" i="2"/>
  <c r="H20" i="2"/>
  <c r="G20" i="2"/>
  <c r="D20" i="2"/>
  <c r="B20" i="2"/>
  <c r="I19" i="2"/>
  <c r="H19" i="2"/>
  <c r="G19" i="2"/>
  <c r="D19" i="2"/>
  <c r="B19" i="2"/>
  <c r="I18" i="2"/>
  <c r="H18" i="2"/>
  <c r="G18" i="2"/>
  <c r="D18" i="2"/>
  <c r="B18" i="2"/>
  <c r="I17" i="2"/>
  <c r="H17" i="2"/>
  <c r="G17" i="2"/>
  <c r="D17" i="2"/>
  <c r="B17" i="2"/>
  <c r="I16" i="2"/>
  <c r="H16" i="2"/>
  <c r="G16" i="2"/>
  <c r="D16" i="2"/>
  <c r="B16" i="2"/>
  <c r="I15" i="2"/>
  <c r="H15" i="2"/>
  <c r="G15" i="2"/>
  <c r="D15" i="2"/>
  <c r="B15" i="2"/>
  <c r="I14" i="2"/>
  <c r="H14" i="2"/>
  <c r="G14" i="2"/>
  <c r="D14" i="2"/>
  <c r="B14" i="2"/>
  <c r="I13" i="2"/>
  <c r="H13" i="2"/>
  <c r="G13" i="2"/>
  <c r="D13" i="2"/>
  <c r="B13" i="2"/>
  <c r="I12" i="2"/>
  <c r="H12" i="2"/>
  <c r="G12" i="2"/>
  <c r="D12" i="2"/>
  <c r="B12" i="2"/>
  <c r="I11" i="2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J117" i="1"/>
  <c r="G117" i="4" s="1"/>
  <c r="J116" i="1"/>
  <c r="J116" i="2" s="1"/>
  <c r="J115" i="1"/>
  <c r="G115" i="4" s="1"/>
  <c r="J114" i="1"/>
  <c r="G114" i="4" s="1"/>
  <c r="J113" i="1"/>
  <c r="J113" i="2" s="1"/>
  <c r="J112" i="1"/>
  <c r="G112" i="4" s="1"/>
  <c r="J111" i="1"/>
  <c r="G111" i="4" s="1"/>
  <c r="J110" i="1"/>
  <c r="G110" i="4" s="1"/>
  <c r="J109" i="1"/>
  <c r="J109" i="2" s="1"/>
  <c r="J108" i="1"/>
  <c r="J108" i="2" s="1"/>
  <c r="J107" i="1"/>
  <c r="J107" i="2" s="1"/>
  <c r="J106" i="1"/>
  <c r="J106" i="2" s="1"/>
  <c r="J105" i="1"/>
  <c r="G105" i="4" s="1"/>
  <c r="J104" i="1"/>
  <c r="J104" i="2" s="1"/>
  <c r="J103" i="1"/>
  <c r="G103" i="4" s="1"/>
  <c r="J102" i="1"/>
  <c r="J102" i="2" s="1"/>
  <c r="J101" i="1"/>
  <c r="G101" i="4" s="1"/>
  <c r="J100" i="1"/>
  <c r="J100" i="2" s="1"/>
  <c r="J99" i="1"/>
  <c r="G99" i="4" s="1"/>
  <c r="J98" i="1"/>
  <c r="G98" i="4" s="1"/>
  <c r="J97" i="1"/>
  <c r="J97" i="2" s="1"/>
  <c r="J96" i="1"/>
  <c r="J96" i="2" s="1"/>
  <c r="J95" i="1"/>
  <c r="J95" i="2" s="1"/>
  <c r="J94" i="1"/>
  <c r="G94" i="4" s="1"/>
  <c r="J93" i="1"/>
  <c r="G93" i="4" s="1"/>
  <c r="J92" i="1"/>
  <c r="J92" i="2" s="1"/>
  <c r="J91" i="1"/>
  <c r="G91" i="4" s="1"/>
  <c r="J90" i="1"/>
  <c r="J90" i="2" s="1"/>
  <c r="J89" i="1"/>
  <c r="G89" i="4" s="1"/>
  <c r="J88" i="1"/>
  <c r="J88" i="2" s="1"/>
  <c r="J87" i="1"/>
  <c r="G87" i="4" s="1"/>
  <c r="J86" i="1"/>
  <c r="G86" i="4" s="1"/>
  <c r="A84" i="1"/>
  <c r="A84" i="2" s="1"/>
  <c r="A85" i="1"/>
  <c r="A85" i="2" s="1"/>
  <c r="A86" i="1"/>
  <c r="A86" i="2" s="1"/>
  <c r="A87" i="1"/>
  <c r="A87" i="2" s="1"/>
  <c r="A88" i="1"/>
  <c r="A88" i="2" s="1"/>
  <c r="A89" i="1"/>
  <c r="A89" i="2" s="1"/>
  <c r="A90" i="1"/>
  <c r="A90" i="2" s="1"/>
  <c r="A91" i="1"/>
  <c r="A91" i="2" s="1"/>
  <c r="A92" i="1"/>
  <c r="A92" i="2" s="1"/>
  <c r="A93" i="1"/>
  <c r="A93" i="2" s="1"/>
  <c r="A94" i="1"/>
  <c r="A94" i="2" s="1"/>
  <c r="A95" i="1"/>
  <c r="A95" i="2" s="1"/>
  <c r="A96" i="1"/>
  <c r="A96" i="2" s="1"/>
  <c r="A97" i="1"/>
  <c r="A97" i="2" s="1"/>
  <c r="A98" i="1"/>
  <c r="A98" i="2" s="1"/>
  <c r="A99" i="1"/>
  <c r="A99" i="2" s="1"/>
  <c r="A100" i="1"/>
  <c r="A100" i="2" s="1"/>
  <c r="A101" i="1"/>
  <c r="A101" i="2" s="1"/>
  <c r="A102" i="1"/>
  <c r="A102" i="2" s="1"/>
  <c r="A103" i="1"/>
  <c r="A103" i="2" s="1"/>
  <c r="A104" i="1"/>
  <c r="A104" i="2" s="1"/>
  <c r="A105" i="1"/>
  <c r="A105" i="2" s="1"/>
  <c r="A106" i="1"/>
  <c r="A106" i="2" s="1"/>
  <c r="A107" i="1"/>
  <c r="A107" i="2" s="1"/>
  <c r="A108" i="1"/>
  <c r="A108" i="2" s="1"/>
  <c r="A109" i="2"/>
  <c r="A111" i="2"/>
  <c r="A112" i="2"/>
  <c r="A113" i="2"/>
  <c r="A82" i="1"/>
  <c r="A82" i="2" s="1"/>
  <c r="A83" i="1"/>
  <c r="A83" i="2" s="1"/>
  <c r="F6" i="4"/>
  <c r="J15" i="1"/>
  <c r="G15" i="4" s="1"/>
  <c r="J16" i="1"/>
  <c r="G16" i="4" s="1"/>
  <c r="J17" i="1"/>
  <c r="G17" i="4" s="1"/>
  <c r="J18" i="1"/>
  <c r="J18" i="2" s="1"/>
  <c r="J19" i="1"/>
  <c r="J19" i="2" s="1"/>
  <c r="J20" i="1"/>
  <c r="J20" i="2" s="1"/>
  <c r="J21" i="1"/>
  <c r="G21" i="4" s="1"/>
  <c r="J22" i="1"/>
  <c r="G22" i="4" s="1"/>
  <c r="J23" i="1"/>
  <c r="G23" i="4" s="1"/>
  <c r="J24" i="1"/>
  <c r="J24" i="2" s="1"/>
  <c r="J25" i="1"/>
  <c r="G25" i="4" s="1"/>
  <c r="J26" i="1"/>
  <c r="J26" i="2" s="1"/>
  <c r="J27" i="1"/>
  <c r="G27" i="4" s="1"/>
  <c r="J28" i="1"/>
  <c r="J28" i="2" s="1"/>
  <c r="J29" i="1"/>
  <c r="G29" i="4" s="1"/>
  <c r="J30" i="1"/>
  <c r="G30" i="4" s="1"/>
  <c r="J31" i="1"/>
  <c r="G31" i="4" s="1"/>
  <c r="J32" i="1"/>
  <c r="J32" i="2" s="1"/>
  <c r="J33" i="1"/>
  <c r="G33" i="4" s="1"/>
  <c r="J34" i="1"/>
  <c r="G34" i="4" s="1"/>
  <c r="J35" i="1"/>
  <c r="J35" i="2" s="1"/>
  <c r="J36" i="1"/>
  <c r="G36" i="4" s="1"/>
  <c r="J37" i="1"/>
  <c r="G37" i="4" s="1"/>
  <c r="J38" i="1"/>
  <c r="J38" i="2" s="1"/>
  <c r="J39" i="1"/>
  <c r="G39" i="4" s="1"/>
  <c r="J40" i="1"/>
  <c r="J40" i="2" s="1"/>
  <c r="J41" i="1"/>
  <c r="G41" i="4" s="1"/>
  <c r="J42" i="1"/>
  <c r="G42" i="4" s="1"/>
  <c r="J43" i="1"/>
  <c r="G43" i="4" s="1"/>
  <c r="J44" i="1"/>
  <c r="J44" i="2" s="1"/>
  <c r="J45" i="1"/>
  <c r="G45" i="4" s="1"/>
  <c r="J46" i="1"/>
  <c r="G46" i="4" s="1"/>
  <c r="J47" i="1"/>
  <c r="J47" i="2" s="1"/>
  <c r="J48" i="1"/>
  <c r="G48" i="4" s="1"/>
  <c r="J49" i="1"/>
  <c r="G49" i="4" s="1"/>
  <c r="J50" i="1"/>
  <c r="J50" i="2" s="1"/>
  <c r="J51" i="1"/>
  <c r="G51" i="4" s="1"/>
  <c r="J52" i="1"/>
  <c r="J52" i="2" s="1"/>
  <c r="J53" i="1"/>
  <c r="G53" i="4" s="1"/>
  <c r="J54" i="1"/>
  <c r="J54" i="2" s="1"/>
  <c r="J55" i="1"/>
  <c r="G55" i="4" s="1"/>
  <c r="J56" i="1"/>
  <c r="J56" i="2" s="1"/>
  <c r="J57" i="1"/>
  <c r="G57" i="4" s="1"/>
  <c r="J58" i="1"/>
  <c r="G58" i="4" s="1"/>
  <c r="J59" i="1"/>
  <c r="J59" i="2" s="1"/>
  <c r="J60" i="1"/>
  <c r="G60" i="4" s="1"/>
  <c r="J61" i="1"/>
  <c r="G61" i="4" s="1"/>
  <c r="J62" i="1"/>
  <c r="J62" i="2" s="1"/>
  <c r="J63" i="1"/>
  <c r="G63" i="4" s="1"/>
  <c r="J64" i="1"/>
  <c r="J64" i="2" s="1"/>
  <c r="J65" i="1"/>
  <c r="G65" i="4" s="1"/>
  <c r="J66" i="1"/>
  <c r="J66" i="2" s="1"/>
  <c r="J67" i="1"/>
  <c r="G67" i="4" s="1"/>
  <c r="J68" i="1"/>
  <c r="J68" i="2" s="1"/>
  <c r="J69" i="1"/>
  <c r="G69" i="4" s="1"/>
  <c r="J70" i="1"/>
  <c r="G70" i="4" s="1"/>
  <c r="J71" i="1"/>
  <c r="G71" i="4" s="1"/>
  <c r="J72" i="1"/>
  <c r="G72" i="4" s="1"/>
  <c r="J73" i="1"/>
  <c r="G73" i="4" s="1"/>
  <c r="J74" i="1"/>
  <c r="G74" i="4" s="1"/>
  <c r="J75" i="1"/>
  <c r="G75" i="4" s="1"/>
  <c r="J76" i="1"/>
  <c r="J76" i="2" s="1"/>
  <c r="J77" i="1"/>
  <c r="G77" i="4" s="1"/>
  <c r="J78" i="1"/>
  <c r="G78" i="4" s="1"/>
  <c r="J79" i="1"/>
  <c r="G79" i="4" s="1"/>
  <c r="J80" i="1"/>
  <c r="J80" i="2" s="1"/>
  <c r="J81" i="1"/>
  <c r="G81" i="4" s="1"/>
  <c r="J82" i="1"/>
  <c r="G82" i="4" s="1"/>
  <c r="J83" i="1"/>
  <c r="J83" i="2" s="1"/>
  <c r="J84" i="1"/>
  <c r="G84" i="4" s="1"/>
  <c r="J85" i="1"/>
  <c r="G85" i="4" s="1"/>
  <c r="A14" i="1"/>
  <c r="A14" i="2" s="1"/>
  <c r="A15" i="1"/>
  <c r="A15" i="2" s="1"/>
  <c r="A16" i="1"/>
  <c r="A16" i="2" s="1"/>
  <c r="A17" i="1"/>
  <c r="A17" i="2" s="1"/>
  <c r="A18" i="1"/>
  <c r="A18" i="2" s="1"/>
  <c r="A19" i="1"/>
  <c r="A19" i="2" s="1"/>
  <c r="A20" i="1"/>
  <c r="A20" i="2" s="1"/>
  <c r="A21" i="1"/>
  <c r="A21" i="2" s="1"/>
  <c r="A22" i="1"/>
  <c r="A22" i="2" s="1"/>
  <c r="A23" i="1"/>
  <c r="A23" i="2" s="1"/>
  <c r="A24" i="1"/>
  <c r="A24" i="2" s="1"/>
  <c r="A25" i="1"/>
  <c r="A25" i="2" s="1"/>
  <c r="A26" i="1"/>
  <c r="A26" i="2" s="1"/>
  <c r="A27" i="1"/>
  <c r="A27" i="2" s="1"/>
  <c r="A28" i="1"/>
  <c r="A28" i="2" s="1"/>
  <c r="A29" i="1"/>
  <c r="A29" i="2" s="1"/>
  <c r="A30" i="1"/>
  <c r="A30" i="2" s="1"/>
  <c r="A31" i="1"/>
  <c r="A31" i="2" s="1"/>
  <c r="A32" i="1"/>
  <c r="A32" i="2" s="1"/>
  <c r="A33" i="1"/>
  <c r="A33" i="2" s="1"/>
  <c r="A34" i="1"/>
  <c r="A34" i="2" s="1"/>
  <c r="A35" i="1"/>
  <c r="A35" i="2" s="1"/>
  <c r="A36" i="1"/>
  <c r="A36" i="2" s="1"/>
  <c r="A37" i="1"/>
  <c r="A37" i="2" s="1"/>
  <c r="A38" i="1"/>
  <c r="A38" i="2" s="1"/>
  <c r="A39" i="1"/>
  <c r="A39" i="2" s="1"/>
  <c r="A40" i="1"/>
  <c r="A40" i="2" s="1"/>
  <c r="A41" i="1"/>
  <c r="A41" i="2" s="1"/>
  <c r="A42" i="1"/>
  <c r="A42" i="2" s="1"/>
  <c r="A43" i="1"/>
  <c r="A43" i="2" s="1"/>
  <c r="A44" i="1"/>
  <c r="A44" i="2" s="1"/>
  <c r="A45" i="1"/>
  <c r="A45" i="2" s="1"/>
  <c r="A46" i="1"/>
  <c r="A46" i="2" s="1"/>
  <c r="A47" i="1"/>
  <c r="A47" i="2" s="1"/>
  <c r="A48" i="1"/>
  <c r="A48" i="2" s="1"/>
  <c r="A49" i="1"/>
  <c r="A49" i="2" s="1"/>
  <c r="A50" i="1"/>
  <c r="A50" i="2" s="1"/>
  <c r="A51" i="1"/>
  <c r="A51" i="2" s="1"/>
  <c r="A52" i="1"/>
  <c r="A52" i="2" s="1"/>
  <c r="A53" i="1"/>
  <c r="A53" i="2" s="1"/>
  <c r="A54" i="1"/>
  <c r="A54" i="2" s="1"/>
  <c r="A55" i="1"/>
  <c r="A55" i="2" s="1"/>
  <c r="A56" i="1"/>
  <c r="A56" i="2" s="1"/>
  <c r="A57" i="1"/>
  <c r="A57" i="2" s="1"/>
  <c r="A58" i="1"/>
  <c r="A58" i="2" s="1"/>
  <c r="A59" i="1"/>
  <c r="A59" i="2" s="1"/>
  <c r="A60" i="1"/>
  <c r="A60" i="2" s="1"/>
  <c r="A61" i="1"/>
  <c r="A61" i="2" s="1"/>
  <c r="A62" i="1"/>
  <c r="A62" i="2" s="1"/>
  <c r="A63" i="1"/>
  <c r="A63" i="2" s="1"/>
  <c r="A64" i="1"/>
  <c r="A64" i="2" s="1"/>
  <c r="A65" i="1"/>
  <c r="A65" i="2" s="1"/>
  <c r="A66" i="1"/>
  <c r="A66" i="2" s="1"/>
  <c r="A67" i="1"/>
  <c r="A67" i="2" s="1"/>
  <c r="A68" i="1"/>
  <c r="A68" i="2" s="1"/>
  <c r="A69" i="1"/>
  <c r="A69" i="2" s="1"/>
  <c r="A70" i="1"/>
  <c r="A70" i="2" s="1"/>
  <c r="A71" i="1"/>
  <c r="A71" i="2" s="1"/>
  <c r="A72" i="1"/>
  <c r="A72" i="2" s="1"/>
  <c r="A73" i="1"/>
  <c r="A73" i="2" s="1"/>
  <c r="A74" i="1"/>
  <c r="A74" i="2" s="1"/>
  <c r="A75" i="1"/>
  <c r="A75" i="2" s="1"/>
  <c r="A76" i="1"/>
  <c r="A76" i="2" s="1"/>
  <c r="A77" i="1"/>
  <c r="A77" i="2" s="1"/>
  <c r="A78" i="1"/>
  <c r="A78" i="2" s="1"/>
  <c r="A79" i="1"/>
  <c r="A79" i="2" s="1"/>
  <c r="A80" i="1"/>
  <c r="A80" i="2" s="1"/>
  <c r="A81" i="1"/>
  <c r="A81" i="2" s="1"/>
  <c r="P54" i="3"/>
  <c r="B6" i="4"/>
  <c r="I7" i="2"/>
  <c r="H7" i="2"/>
  <c r="G7" i="2"/>
  <c r="H6" i="2"/>
  <c r="G6" i="2"/>
  <c r="D6" i="2"/>
  <c r="D7" i="2"/>
  <c r="B7" i="2"/>
  <c r="B6" i="2"/>
  <c r="E6" i="4"/>
  <c r="D6" i="4"/>
  <c r="A8" i="1"/>
  <c r="A8" i="2" s="1"/>
  <c r="A9" i="1"/>
  <c r="A9" i="2" s="1"/>
  <c r="A10" i="1"/>
  <c r="A10" i="2" s="1"/>
  <c r="A11" i="1"/>
  <c r="A11" i="2" s="1"/>
  <c r="A12" i="1"/>
  <c r="A12" i="2" s="1"/>
  <c r="A13" i="1"/>
  <c r="A13" i="2" s="1"/>
  <c r="J14" i="1"/>
  <c r="J14" i="2" s="1"/>
  <c r="J13" i="1"/>
  <c r="J13" i="2" s="1"/>
  <c r="J12" i="1"/>
  <c r="J12" i="2" s="1"/>
  <c r="J11" i="1"/>
  <c r="G11" i="4" s="1"/>
  <c r="J10" i="1"/>
  <c r="G10" i="4" s="1"/>
  <c r="J9" i="1"/>
  <c r="G9" i="4" s="1"/>
  <c r="J8" i="1"/>
  <c r="J8" i="2" s="1"/>
  <c r="J7" i="1"/>
  <c r="J7" i="2" s="1"/>
  <c r="J6" i="1"/>
  <c r="J6" i="2" s="1"/>
  <c r="J181" i="1" l="1"/>
  <c r="J25" i="2"/>
  <c r="J82" i="2"/>
  <c r="J21" i="2"/>
  <c r="J42" i="2"/>
  <c r="J117" i="2"/>
  <c r="J101" i="2"/>
  <c r="J33" i="2"/>
  <c r="J45" i="2"/>
  <c r="J57" i="2"/>
  <c r="J10" i="2"/>
  <c r="J78" i="2"/>
  <c r="G18" i="4"/>
  <c r="J49" i="2"/>
  <c r="J51" i="2"/>
  <c r="G24" i="4"/>
  <c r="G90" i="4"/>
  <c r="J23" i="2"/>
  <c r="J27" i="2"/>
  <c r="G96" i="4"/>
  <c r="J15" i="2"/>
  <c r="J17" i="2"/>
  <c r="J58" i="2"/>
  <c r="J85" i="2"/>
  <c r="G102" i="4"/>
  <c r="J81" i="2"/>
  <c r="J114" i="2"/>
  <c r="G108" i="4"/>
  <c r="J69" i="2"/>
  <c r="J71" i="2"/>
  <c r="J73" i="2"/>
  <c r="J75" i="2"/>
  <c r="J77" i="2"/>
  <c r="J94" i="2"/>
  <c r="J30" i="2"/>
  <c r="J63" i="2"/>
  <c r="J65" i="2"/>
  <c r="J110" i="2"/>
  <c r="J61" i="2"/>
  <c r="J84" i="2"/>
  <c r="J86" i="2"/>
  <c r="J115" i="2"/>
  <c r="G8" i="4"/>
  <c r="G20" i="4"/>
  <c r="G32" i="4"/>
  <c r="G44" i="4"/>
  <c r="G56" i="4"/>
  <c r="G68" i="4"/>
  <c r="G80" i="4"/>
  <c r="G92" i="4"/>
  <c r="G104" i="4"/>
  <c r="G116" i="4"/>
  <c r="J9" i="2"/>
  <c r="J16" i="2"/>
  <c r="J37" i="2"/>
  <c r="J70" i="2"/>
  <c r="J89" i="2"/>
  <c r="G13" i="4"/>
  <c r="G97" i="4"/>
  <c r="G109" i="4"/>
  <c r="G66" i="4"/>
  <c r="J103" i="2"/>
  <c r="G54" i="4"/>
  <c r="J11" i="2"/>
  <c r="J39" i="2"/>
  <c r="J72" i="2"/>
  <c r="J79" i="2"/>
  <c r="J91" i="2"/>
  <c r="J98" i="2"/>
  <c r="G35" i="4"/>
  <c r="G47" i="4"/>
  <c r="G59" i="4"/>
  <c r="G83" i="4"/>
  <c r="G95" i="4"/>
  <c r="G107" i="4"/>
  <c r="J34" i="2"/>
  <c r="J46" i="2"/>
  <c r="J53" i="2"/>
  <c r="J60" i="2"/>
  <c r="J67" i="2"/>
  <c r="J105" i="2"/>
  <c r="J112" i="2"/>
  <c r="G28" i="4"/>
  <c r="G40" i="4"/>
  <c r="G52" i="4"/>
  <c r="G64" i="4"/>
  <c r="G76" i="4"/>
  <c r="G88" i="4"/>
  <c r="G100" i="4"/>
  <c r="J29" i="2"/>
  <c r="J41" i="2"/>
  <c r="J48" i="2"/>
  <c r="J74" i="2"/>
  <c r="J93" i="2"/>
  <c r="J36" i="2"/>
  <c r="G14" i="4"/>
  <c r="G26" i="4"/>
  <c r="G38" i="4"/>
  <c r="G50" i="4"/>
  <c r="G62" i="4"/>
  <c r="J22" i="2"/>
  <c r="J55" i="2"/>
  <c r="J31" i="2"/>
  <c r="J43" i="2"/>
  <c r="G7" i="4"/>
  <c r="G19" i="4"/>
  <c r="G12" i="4"/>
  <c r="J111" i="2"/>
  <c r="G113" i="4"/>
  <c r="J99" i="2"/>
  <c r="G106" i="4"/>
  <c r="J87" i="2"/>
  <c r="G6" i="4"/>
  <c r="K67" i="3"/>
  <c r="E3" i="1"/>
  <c r="K10" i="3" l="1"/>
  <c r="I6" i="2" l="1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7" i="1"/>
  <c r="A7" i="2" s="1"/>
  <c r="A6" i="1"/>
  <c r="A6" i="2" s="1"/>
  <c r="F29" i="3" l="1"/>
  <c r="G182" i="4" l="1"/>
  <c r="F30" i="3" s="1"/>
  <c r="G183" i="4" l="1"/>
  <c r="F31" i="3" s="1"/>
</calcChain>
</file>

<file path=xl/sharedStrings.xml><?xml version="1.0" encoding="utf-8"?>
<sst xmlns="http://schemas.openxmlformats.org/spreadsheetml/2006/main" count="503" uniqueCount="309">
  <si>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</si>
  <si>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</si>
  <si>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</si>
  <si>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</si>
  <si>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</si>
  <si>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</si>
  <si>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</si>
  <si>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</si>
  <si>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</si>
  <si>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</si>
  <si>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</si>
  <si>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</si>
  <si>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</si>
  <si>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</si>
  <si>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</si>
  <si>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</si>
  <si>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</si>
  <si>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</si>
  <si>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</si>
  <si>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</si>
  <si>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</si>
  <si>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</si>
  <si>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</si>
  <si>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</si>
  <si>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</si>
  <si>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</si>
  <si>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</si>
  <si>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</si>
  <si>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</si>
  <si>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</si>
  <si>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</si>
  <si>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</si>
  <si>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</si>
  <si>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</si>
  <si>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</si>
  <si>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</si>
  <si>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</si>
  <si>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</si>
  <si>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</si>
  <si>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</si>
  <si>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</si>
  <si>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</si>
  <si>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</si>
  <si>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</si>
  <si>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</si>
  <si>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</si>
  <si>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</si>
  <si>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</si>
  <si>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</si>
  <si>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</si>
  <si>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</si>
  <si>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</si>
  <si>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</si>
  <si>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</si>
  <si>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</si>
  <si>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</si>
  <si>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</si>
  <si>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</si>
  <si>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</si>
  <si>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</si>
  <si>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</si>
  <si>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</si>
  <si>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</si>
  <si>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</si>
  <si>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</si>
  <si>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</si>
  <si>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</si>
  <si>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</si>
  <si>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</si>
  <si>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</si>
  <si>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</si>
  <si>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</si>
  <si>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</si>
  <si>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</si>
  <si>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</si>
  <si>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</si>
  <si>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</si>
  <si>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</si>
  <si>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</si>
  <si>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</si>
  <si>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</si>
  <si>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</si>
  <si>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</si>
  <si>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</si>
  <si>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</si>
  <si>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</si>
  <si>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</si>
  <si>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</si>
  <si>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</si>
  <si>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</si>
  <si>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</si>
  <si>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</si>
  <si>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</si>
  <si>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</si>
  <si>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</si>
  <si>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</si>
  <si>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</si>
  <si>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</si>
  <si>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Sales Manager</t>
  </si>
  <si>
    <t>One time</t>
  </si>
  <si>
    <t>Branch of Hyundai Engineering and Const. Co., Ltd. (HDEC)</t>
  </si>
  <si>
    <t>BRANCH OF HYUNDAI ENG. &amp; CONST. CO., LTD.</t>
  </si>
  <si>
    <t>Bank Account Details: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</si>
  <si>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</si>
  <si>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</si>
  <si>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</si>
  <si>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</si>
  <si>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</si>
  <si>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</si>
  <si>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</si>
  <si>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</si>
  <si>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YATCO</t>
  </si>
  <si>
    <t>YATCO(Yaqoot Arabia Trading Company)</t>
  </si>
  <si>
    <t>2050187866</t>
  </si>
  <si>
    <t>312249720500003</t>
  </si>
  <si>
    <t>YAQOOT ARABIA TRADING COMPANY</t>
  </si>
  <si>
    <t>Haris</t>
  </si>
  <si>
    <t>Mobile No. +966 565731662</t>
  </si>
  <si>
    <t>Abu Bakr Al-Razi Street Near Dharhan - Jubail Highway, Dammam 34223</t>
  </si>
  <si>
    <t>Mobile: +966 565731662</t>
  </si>
  <si>
    <t>509000010006080500631</t>
  </si>
  <si>
    <t>SA11 8000 0509 6080 1050 0631</t>
  </si>
  <si>
    <t>ALRAJHI BANK</t>
  </si>
  <si>
    <t>RJHISARI</t>
  </si>
  <si>
    <t>PCS</t>
  </si>
  <si>
    <t>PKT</t>
  </si>
  <si>
    <t>ROLL</t>
  </si>
  <si>
    <t>PAIR</t>
  </si>
  <si>
    <t>Sata. Tubing Cutter 3Mm-32Mm</t>
  </si>
  <si>
    <t xml:space="preserve">Magnetic Sprit Level - 600Mm ( Brand : Clarke ) </t>
  </si>
  <si>
    <t>Demolition Hammer Sds Max 1500W Gsh 7Vc Bosch</t>
  </si>
  <si>
    <t>Site Materials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</si>
  <si>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-MRS-0364</t>
    </r>
  </si>
  <si>
    <t>Circular Saw Machine - 5007N - 7" (Brand - Makita)</t>
  </si>
  <si>
    <t>Smoke Detector</t>
  </si>
  <si>
    <t>Carbon Brush For Angle Grinder Machine4002 Dewalt 4"</t>
  </si>
  <si>
    <t>Electrical Exhaust Fan - 12" X 12"</t>
  </si>
  <si>
    <t>Tube Cutter Blade - 1/4 X 2-1/2"  ( Brand : Super Ego )</t>
  </si>
  <si>
    <t xml:space="preserve">Concrete Mixing Drill Machine Model No : Grw 140 With Mixing Padle </t>
  </si>
  <si>
    <t xml:space="preserve">Jigsaw Blade (6-5/16") </t>
  </si>
  <si>
    <t>Industrial Mist Fan 26" 220V ( Brand : Giffex )</t>
  </si>
  <si>
    <t xml:space="preserve">Chemical Gloves Brand: U-Safe  </t>
  </si>
  <si>
    <t>Tube Cutter Blade 1/8-1 1/8"</t>
  </si>
  <si>
    <t xml:space="preserve">Cordless Drill Machine (Bosch-Brand Gsb 183) </t>
  </si>
  <si>
    <t xml:space="preserve">Cordless Hand Blower (Bosch-Brand Gbl -180) </t>
  </si>
  <si>
    <t xml:space="preserve">Magnetic Hex Nut Bit 6Mm Brand : Dewesser </t>
  </si>
  <si>
    <t xml:space="preserve">Magnetic Hex Nut Bit 8Mm Brand: Dewesser </t>
  </si>
  <si>
    <t xml:space="preserve">Magnetic Hex Nut Bit 10Mm Brand: Dewesser </t>
  </si>
  <si>
    <t xml:space="preserve">Electrical Drill Machine (Bosch-Brand Gsb 600) </t>
  </si>
  <si>
    <t xml:space="preserve">Right Angle 12" X 24" (Kspro : Brand) </t>
  </si>
  <si>
    <t>Roto Aluminium Spirit Level 30Cm</t>
  </si>
  <si>
    <t>Roto Aluminium Spirit Level 60Cm</t>
  </si>
  <si>
    <t>Roto Aluminium Spirit Level 100Cm</t>
  </si>
  <si>
    <t xml:space="preserve">Mesurement Tape - 5Mtr Clarke : Brand </t>
  </si>
  <si>
    <t xml:space="preserve">Mesurement Tape 3Mtr Clarke:Brand </t>
  </si>
  <si>
    <t>12" Adjustable Wrench (Brand - Dewesser)</t>
  </si>
  <si>
    <t>Adjustable Wrench Dewesser 10"</t>
  </si>
  <si>
    <t xml:space="preserve">Anti Vibration Hand Gloves Brand : Volta  </t>
  </si>
  <si>
    <t xml:space="preserve">Belt Strap Wrench  4" ( Brand: Clarke) </t>
  </si>
  <si>
    <t xml:space="preserve">Cable Cutter 32Mm  Brand : Giffex </t>
  </si>
  <si>
    <t xml:space="preserve">Chin Wrench 4"  (Brand : Clarke ) </t>
  </si>
  <si>
    <t>Circular Saw Blade - 9" (Brand : Clarke)</t>
  </si>
  <si>
    <t xml:space="preserve">Circular Saw Machine (Brand : Bosch Gks9) </t>
  </si>
  <si>
    <t>Combination Plier 200Mm Roto</t>
  </si>
  <si>
    <t xml:space="preserve">Concrete Grinding Disc 4" (Brand : Vermolens) </t>
  </si>
  <si>
    <t>Crimping Tool Lx-50B Giffex</t>
  </si>
  <si>
    <t xml:space="preserve">Crimping Tool Lx-120B (Brand:Giffeex) </t>
  </si>
  <si>
    <t xml:space="preserve">Cutting Plier 200Mm (Brand:Kniffex) </t>
  </si>
  <si>
    <t>Cutting Scissor - 5"</t>
  </si>
  <si>
    <t>Mini Side Cutter 4" Gx-031</t>
  </si>
  <si>
    <t>Door Closer ( Brand : Yale )</t>
  </si>
  <si>
    <t>Helmet-Mounted Ear Muff 3M</t>
  </si>
  <si>
    <t>Measurement Tape Steel Type - 30Mtr (Brand : Clarke)</t>
  </si>
  <si>
    <t>Measurement Tape Steel Type - 50Mtr (Brand : Clarke)</t>
  </si>
  <si>
    <t>Measurement Tape Steel Type - 100Mtr (Brand : Clarke)</t>
  </si>
  <si>
    <t xml:space="preserve">Mesuring Steel Tape 20Mtr (Brand: Clarke) </t>
  </si>
  <si>
    <t>Mega Phone Speaker</t>
  </si>
  <si>
    <t>Mega Phone Speaker Battery 1.5V Lr14</t>
  </si>
  <si>
    <t>Long Nose Plier 6" Cr-V</t>
  </si>
  <si>
    <t xml:space="preserve">Respirator Mask 6002 3M Brand </t>
  </si>
  <si>
    <t>Respirator Mask Filter 2091</t>
  </si>
  <si>
    <t xml:space="preserve">Rivet - Nail Size:4.8 X 18Mm  (500Pcs/Box) </t>
  </si>
  <si>
    <t xml:space="preserve">Hand Riveter Gun Rivet  </t>
  </si>
  <si>
    <t>Mesurement Tape 7.5Mtr Roto Brand</t>
  </si>
  <si>
    <t>1/2" Torch Wrench 20-220Nm Roto-Taiwan</t>
  </si>
  <si>
    <t xml:space="preserve">Torque Wrebch 1/2" 50-350Nm Brand:Tower </t>
  </si>
  <si>
    <t xml:space="preserve">Torque Wrench 1" 200-1000Nm Brand : Tower  </t>
  </si>
  <si>
    <t>Purge Paper</t>
  </si>
  <si>
    <t xml:space="preserve">Purge Tape </t>
  </si>
  <si>
    <t xml:space="preserve">Scaffloding Ratchet Spanner 36X41 Brand:Perfect </t>
  </si>
  <si>
    <t xml:space="preserve">Scaffolding Ratchet Spanner 34X36 Brand: Perfect </t>
  </si>
  <si>
    <t xml:space="preserve">Scaffolding Ratchet Spanner 22X 24 Brand: Perfect </t>
  </si>
  <si>
    <t xml:space="preserve">Scaffolding Ratchet Spanner 24X27 Brand: Perfect </t>
  </si>
  <si>
    <t xml:space="preserve">Scaffolding Ratchet Spanner 32X36 Brand : Perfect </t>
  </si>
  <si>
    <t xml:space="preserve">Scaffolding Ratchet Spanner 32X34 Brand:Perfect </t>
  </si>
  <si>
    <t xml:space="preserve">Scaffolding Ratchet Spanner Size : 19 X 21Mm Brand :Clarke </t>
  </si>
  <si>
    <t xml:space="preserve">Respirator Mask With Filter 6002 </t>
  </si>
  <si>
    <t>C-Clamp - 4" ( Brand : Clarke )</t>
  </si>
  <si>
    <t xml:space="preserve">Walkie - Talkie Thuv800D </t>
  </si>
  <si>
    <t>Impact Drill Machine 1/2" 18V Xr</t>
  </si>
  <si>
    <t>Impact Drill Machine 1/4" 18V Xr</t>
  </si>
  <si>
    <t>Alignment Pry Bar 18"</t>
  </si>
  <si>
    <t>Concrete Cutting Disc 4" Brand: Clarke</t>
  </si>
  <si>
    <t>Concrete Nail1.5" (20Kg / Box)</t>
  </si>
  <si>
    <t>Nail Concrete 2"(15Kg/Box)</t>
  </si>
  <si>
    <t>Cable Tie - 4.8 X 300Mm ( 100Ea/Pkt _ Made In Taiwan)</t>
  </si>
  <si>
    <t>Portable Eye Wash Box8 Gallon</t>
  </si>
  <si>
    <t>Hacksaw Frame12"</t>
  </si>
  <si>
    <t>Cs Hacksaw Blade 12" Brand:Clarke</t>
  </si>
  <si>
    <t>Door Locker For Cabin</t>
  </si>
  <si>
    <t>Tin Snip Cutter 10" (Brand - Giffex)</t>
  </si>
  <si>
    <t>Galvanized Wire Rope 10Mm X 15 Mtr</t>
  </si>
  <si>
    <t>Galvanized Wire Rope Clip 12Mm</t>
  </si>
  <si>
    <t xml:space="preserve">Banding Tool (Brand - Band It) </t>
  </si>
  <si>
    <t xml:space="preserve">Flat Screw Driver (Brand - Giffex) - 8" </t>
  </si>
  <si>
    <t>Anti Slip Tape For Safety 2/5Cm</t>
  </si>
  <si>
    <t>Heavy Duty Caster Wheel - 9"</t>
  </si>
  <si>
    <t>Putty Knife 4" Vermolens</t>
  </si>
  <si>
    <t>Putty Knife 4" Roto-Taiwan</t>
  </si>
  <si>
    <t>Screw Driver Star - 12" (Brand - Giffex)</t>
  </si>
  <si>
    <t>Tube Bender Size : 1/2" (Brand - Giffex)</t>
  </si>
  <si>
    <t>Warning Tape (Yellow &amp; Black)</t>
  </si>
  <si>
    <t>Portable Blower Fan (Sht-30) 12" Giffex With Duct Hose</t>
  </si>
  <si>
    <t>Pipe Wrench Dewesser 18"</t>
  </si>
  <si>
    <t>Pipe Wrench Dewesser 12"</t>
  </si>
  <si>
    <t>Cable Cutter 6" (Brand - Giffex)</t>
  </si>
  <si>
    <t>Screw Driver Star 6X150Mm Roto-Germany</t>
  </si>
  <si>
    <t>Sata. Curved Jaw Locking Pliers 7'' Ench</t>
  </si>
  <si>
    <t>Combination Spanner Set 6Mm-32Mm (Brand - Roto)</t>
  </si>
  <si>
    <t>Circlip Plier Workpro Wp231082 Straight</t>
  </si>
  <si>
    <t>Circlip Plier Workpro Wp231083 Bent</t>
  </si>
  <si>
    <t>Allenkey Set Short Workpro Wp222004 1.5</t>
  </si>
  <si>
    <t>Sata. 10 Pcs Cushion Grip Combination Screw Driver Set</t>
  </si>
  <si>
    <t>Crimping Tool 6-120Mm (Brand - Giffex)</t>
  </si>
  <si>
    <t>1/2" Torch Wrench 10-110Nm Roto-Taiwan</t>
  </si>
  <si>
    <t xml:space="preserve">Torch Wrench 3/4" 150-800Nm (Brand - Tower) </t>
  </si>
  <si>
    <t>Scaffolding Hand Gloves</t>
  </si>
  <si>
    <t xml:space="preserve">Cotton Rags Mix Color (10 Kg / Bundle) </t>
  </si>
  <si>
    <t xml:space="preserve">Cotton Rag Hq White (10 Kg / Bundle) </t>
  </si>
  <si>
    <t>Cable Tie 150 X 3.6 Black Giffex</t>
  </si>
  <si>
    <t xml:space="preserve">Interchangeable Torque Wrench Dr1/2" 40-200Nm Brand:Tower </t>
  </si>
  <si>
    <t>Impact Socket Dr1/2" X 22Mm Short</t>
  </si>
  <si>
    <t>Impact Socket Dr1/2" X 22Mm Long</t>
  </si>
  <si>
    <t>Impact Socket Dr1/2" X 27Mm Short</t>
  </si>
  <si>
    <t>Impact Socket Dr1/2" X 27Mm Long</t>
  </si>
  <si>
    <t>Impact Socket Dr1/2" X 32Mm Short</t>
  </si>
  <si>
    <t>Impact Socket Dr1/2" X 32Mm Long</t>
  </si>
  <si>
    <t>Impact Socket Dr1/2" X 36Mm Long</t>
  </si>
  <si>
    <t>Scaffolding Canvas Bucket Kasweld Brand</t>
  </si>
  <si>
    <t>Mason Trowel</t>
  </si>
  <si>
    <t>Hand Grease Gun</t>
  </si>
  <si>
    <t>Paint Scrapper - 3"</t>
  </si>
  <si>
    <t>Paint Scrapper - 8"</t>
  </si>
  <si>
    <t xml:space="preserve">Electrical Tape Blue ( Brand : Giffex ) </t>
  </si>
  <si>
    <t xml:space="preserve">Cs Hand Wire Brush ( Brand : Dewesser ) </t>
  </si>
  <si>
    <t xml:space="preserve">Ss Hand Wire Brush ( Brand : Kaspro ) </t>
  </si>
  <si>
    <t>Wd 40 Spray 330Ml</t>
  </si>
  <si>
    <t xml:space="preserve">Fire Blanket Orange Size : 1 X 50M X 0.45T ( Brand : Kaspro ) </t>
  </si>
  <si>
    <t xml:space="preserve">Magnetic Sprit Level - 300Mm ( Brand : Roto ) </t>
  </si>
  <si>
    <t xml:space="preserve">Impact Socket - Dr 1/2" X 36Mm </t>
  </si>
  <si>
    <t xml:space="preserve">Impact Socket - Dr 3/4" X 27Mm </t>
  </si>
  <si>
    <t xml:space="preserve">Impact Socket - Dr 3/4" X 32Mm </t>
  </si>
  <si>
    <t xml:space="preserve">Impact Socket - Dr 3/4" X 36Mm </t>
  </si>
  <si>
    <t xml:space="preserve">Hammer Wrench 60Mm ( Brand : Roto ) </t>
  </si>
  <si>
    <t xml:space="preserve">Torque Wrench 3/4" ( 100 - 600Nm _ Brand : Tower ) </t>
  </si>
  <si>
    <t xml:space="preserve">Torque Wrench 1/2" ( 72 - 350Nm _ Brand : Tower ) </t>
  </si>
  <si>
    <t xml:space="preserve">Torque Wrench 3/8" ( 5 - 60Nm _ Brand : Roto ) </t>
  </si>
  <si>
    <t xml:space="preserve">Long Impact Socket Size : Dr 1/2" X 41Mm ( Brand : Edge ) </t>
  </si>
  <si>
    <t xml:space="preserve">Long Impact Socket Size : Dr 1/2" X 50Mm ( Brand : Edge ) </t>
  </si>
  <si>
    <t xml:space="preserve">Scaffolding Leather Tool Belt ( Brand : Kaspro ) </t>
  </si>
  <si>
    <t xml:space="preserve">Scaffolding Tool Lanyard ( Brand : Clarke ) </t>
  </si>
  <si>
    <t xml:space="preserve">Scaffolding Sprit Level Size : 10" ( Brand : Kaspro ) </t>
  </si>
  <si>
    <t xml:space="preserve">Magnetic Nut Bit Size : 8Mm ( Brand : Dewesser ) </t>
  </si>
  <si>
    <t xml:space="preserve">Tube Cutter 3Mm-32Mm ( Brand : Super Ego ) </t>
  </si>
  <si>
    <t xml:space="preserve">Vice Grip Plier Size : 10" ( Brand : Giffex ) </t>
  </si>
  <si>
    <t xml:space="preserve">Push Bar Door Lock Aluminum Made Compatible T-Shaped Std </t>
  </si>
  <si>
    <t xml:space="preserve">Battery Type-D 1.5 Volt ( Brand : Duracell ) </t>
  </si>
  <si>
    <t>Spray Paint Color Blue , Yellow &amp; Black</t>
  </si>
  <si>
    <t xml:space="preserve">Plastic Stretcher </t>
  </si>
  <si>
    <t>Makita, Drill Magnetic 50Mm 'Hb500/220 Hb500/220 - Tuv</t>
  </si>
  <si>
    <t xml:space="preserve">Rubber Gloves ( Brand : Sun ) </t>
  </si>
  <si>
    <t xml:space="preserve">Tyvek Suit Disposable Cover All </t>
  </si>
  <si>
    <t xml:space="preserve">Hammer 1.5Kg ( Brand : Clarke ) </t>
  </si>
  <si>
    <t xml:space="preserve">Channel Lock Pliers - 8" ( Brand : Dewesser ) </t>
  </si>
  <si>
    <t xml:space="preserve">Banding Tool Upto 1" ( Brand : Rafpro ) </t>
  </si>
  <si>
    <t xml:space="preserve">Makita, Angle Grinder Paddle Switch 840Watt 41/2Inch 115Mm Model# 9557Hpg/220 </t>
  </si>
  <si>
    <t xml:space="preserve">Makita , Cordless Angle Grinder 115Mm For 18V With Paddle Switch </t>
  </si>
  <si>
    <t>Dwe1622K Magnetic Drill - Tuv</t>
  </si>
  <si>
    <t xml:space="preserve">Fire Extingusher With Trolley 25Kg Abc </t>
  </si>
  <si>
    <t xml:space="preserve">Scaffolding Hand Gloves ( 120Pair/Box ) </t>
  </si>
  <si>
    <t xml:space="preserve">Plastic Sand Bag - 30Kg </t>
  </si>
  <si>
    <t xml:space="preserve">Flexible Duct Hose 12" 300Mm X 5Mtr ( Brand : Giffex ) </t>
  </si>
  <si>
    <t xml:space="preserve">Half Round File Ss-12" ( Brand : Kaspro ) </t>
  </si>
  <si>
    <t xml:space="preserve">Knife Cutter - 138Mm X 35Mm ( Brand : Roto ) </t>
  </si>
  <si>
    <t xml:space="preserve">Paint Brush - 3" </t>
  </si>
  <si>
    <t xml:space="preserve">Battery Alkaline Type Aaa 1.5V ( Brand : Duracell ) </t>
  </si>
  <si>
    <t xml:space="preserve">Plumb Bob 400Gram X 6Mtr </t>
  </si>
  <si>
    <t xml:space="preserve">Rebar Tie Wire Twister </t>
  </si>
  <si>
    <t xml:space="preserve">Round File Ss-12" ( Brand : Kaspro ) </t>
  </si>
  <si>
    <t xml:space="preserve">Star Screw Driver Bit 6Mm X 65Mm ( Brand : Dewesser ) </t>
  </si>
  <si>
    <t xml:space="preserve">Toe Foot Guard </t>
  </si>
  <si>
    <t xml:space="preserve">Vice Grip Plier 230Mm ( Brand : Giffex ) </t>
  </si>
  <si>
    <t xml:space="preserve">Whishle </t>
  </si>
  <si>
    <t>Sata Fiberglass Claw Hammer 454G/16 Oz</t>
  </si>
  <si>
    <t>EA</t>
  </si>
  <si>
    <t>BOX</t>
  </si>
  <si>
    <t>SET</t>
  </si>
  <si>
    <t>BNDL</t>
  </si>
  <si>
    <t>QTN-C26-150692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</si>
</sst>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0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13" fillId="0" borderId="22" xfId="0" applyFont="1" applyBorder="1" applyAlignment="1">
      <alignment horizontal="right"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182</xdr:row>
          <xdr:rowOff>20054</xdr:rowOff>
        </xdr:from>
        <xdr:to>
          <xdr:col>12</xdr:col>
          <xdr:colOff>499</xdr:colOff>
          <xdr:row>189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3:$S$189" spid="_x0000_s132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217"/>
  <sheetViews>
    <sheetView showGridLines="0" tabSelected="1" view="pageBreakPreview" topLeftCell="A171" zoomScale="95" zoomScaleNormal="95" zoomScaleSheetLayoutView="95" workbookViewId="0">
      <selection activeCell="J181" sqref="J181"/>
    </sheetView>
  </sheetViews>
  <sheetFormatPr defaultColWidth="9" defaultRowHeight="21" customHeight="1"/>
  <cols>
    <col min="1" max="1" width="4.7109375" style="2" customWidth="1"/>
    <col min="2" max="3" width="32.425781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5" t="s">
        <v>96</v>
      </c>
      <c r="B1" s="97"/>
      <c r="C1" s="97"/>
      <c r="D1" s="97"/>
      <c r="E1" s="97"/>
      <c r="F1" s="97"/>
      <c r="G1" s="1"/>
      <c r="J1" s="139" t="s">
        <v>87</v>
      </c>
      <c r="K1" s="140"/>
      <c r="L1" s="141"/>
    </row>
    <row r="2" spans="1:18" ht="20.100000000000001" customHeight="1">
      <c r="A2" s="3" t="s">
        <v>1</v>
      </c>
      <c r="B2" s="91"/>
      <c r="C2" s="91"/>
      <c r="D2" s="3" t="s">
        <v>95</v>
      </c>
      <c r="E2" s="91"/>
      <c r="F2" s="91"/>
      <c r="G2" s="91"/>
      <c r="H2" s="91"/>
      <c r="I2" s="4"/>
      <c r="J2" s="142" t="s">
        <v>94</v>
      </c>
      <c r="K2" s="143"/>
      <c r="L2" s="144"/>
    </row>
    <row r="3" spans="1:18" ht="20.100000000000001" customHeight="1">
      <c r="A3" s="3" t="s">
        <v>132</v>
      </c>
      <c r="B3" s="91"/>
      <c r="C3" s="91"/>
      <c r="D3" s="91"/>
      <c r="E3" s="145">
        <f>+L3</f>
        <v>46217</v>
      </c>
      <c r="F3" s="145"/>
      <c r="G3" s="145"/>
      <c r="H3" s="145"/>
      <c r="I3" s="145"/>
      <c r="J3" s="91"/>
      <c r="K3" s="91"/>
      <c r="L3" s="103">
        <v>46217</v>
      </c>
      <c r="M3" s="4"/>
    </row>
    <row r="4" spans="1:18" ht="15.95" customHeight="1">
      <c r="A4" s="122" t="s">
        <v>2</v>
      </c>
      <c r="B4" s="123" t="s">
        <v>3</v>
      </c>
      <c r="C4" s="123"/>
      <c r="D4" s="124" t="s">
        <v>4</v>
      </c>
      <c r="E4" s="125"/>
      <c r="F4" s="126"/>
      <c r="G4" s="130" t="s">
        <v>5</v>
      </c>
      <c r="H4" s="132" t="s">
        <v>6</v>
      </c>
      <c r="I4" s="132" t="s">
        <v>91</v>
      </c>
      <c r="J4" s="122" t="s">
        <v>92</v>
      </c>
      <c r="K4" s="132" t="s">
        <v>0</v>
      </c>
      <c r="L4" s="123" t="s">
        <v>7</v>
      </c>
    </row>
    <row r="5" spans="1:18" ht="15.95" customHeight="1">
      <c r="A5" s="122"/>
      <c r="B5" s="123"/>
      <c r="C5" s="123"/>
      <c r="D5" s="127"/>
      <c r="E5" s="128"/>
      <c r="F5" s="129"/>
      <c r="G5" s="131"/>
      <c r="H5" s="133"/>
      <c r="I5" s="133"/>
      <c r="J5" s="122"/>
      <c r="K5" s="133"/>
      <c r="L5" s="123"/>
    </row>
    <row r="6" spans="1:18" ht="18" customHeight="1">
      <c r="A6" s="5">
        <f t="shared" ref="A6:A69" si="0">ROW(A1)</f>
        <v>1</v>
      </c>
      <c r="B6" s="134" t="s">
        <v>133</v>
      </c>
      <c r="C6" s="135"/>
      <c r="D6" s="136"/>
      <c r="E6" s="137"/>
      <c r="F6" s="138"/>
      <c r="G6" s="110" t="s">
        <v>304</v>
      </c>
      <c r="H6" s="118">
        <v>1</v>
      </c>
      <c r="I6" s="111">
        <v>710</v>
      </c>
      <c r="J6" s="98">
        <f>H6*I6</f>
        <v>710</v>
      </c>
      <c r="K6" s="99" t="s">
        <v>111</v>
      </c>
      <c r="L6" s="100" t="s">
        <v>99</v>
      </c>
      <c r="R6" s="96"/>
    </row>
    <row r="7" spans="1:18" ht="18" customHeight="1">
      <c r="A7" s="5">
        <f t="shared" si="0"/>
        <v>2</v>
      </c>
      <c r="B7" s="134" t="s">
        <v>130</v>
      </c>
      <c r="C7" s="135"/>
      <c r="D7" s="136"/>
      <c r="E7" s="137"/>
      <c r="F7" s="138"/>
      <c r="G7" s="110" t="s">
        <v>304</v>
      </c>
      <c r="H7" s="118">
        <v>3</v>
      </c>
      <c r="I7" s="111">
        <v>3235</v>
      </c>
      <c r="J7" s="98">
        <f t="shared" ref="J7:J117" si="1">H7*I7</f>
        <v>9705</v>
      </c>
      <c r="K7" s="99"/>
      <c r="L7" s="100"/>
      <c r="R7" s="96"/>
    </row>
    <row r="8" spans="1:18" ht="18" customHeight="1">
      <c r="A8" s="5">
        <f t="shared" si="0"/>
        <v>3</v>
      </c>
      <c r="B8" s="134" t="s">
        <v>134</v>
      </c>
      <c r="C8" s="135"/>
      <c r="D8" s="136"/>
      <c r="E8" s="137"/>
      <c r="F8" s="138"/>
      <c r="G8" s="110" t="s">
        <v>304</v>
      </c>
      <c r="H8" s="118">
        <v>10</v>
      </c>
      <c r="I8" s="111">
        <v>22</v>
      </c>
      <c r="J8" s="98">
        <f t="shared" si="1"/>
        <v>220</v>
      </c>
      <c r="K8" s="99"/>
      <c r="L8" s="100"/>
      <c r="R8" s="96"/>
    </row>
    <row r="9" spans="1:18" ht="18" customHeight="1">
      <c r="A9" s="5">
        <f t="shared" si="0"/>
        <v>4</v>
      </c>
      <c r="B9" s="134" t="s">
        <v>135</v>
      </c>
      <c r="C9" s="135"/>
      <c r="D9" s="136"/>
      <c r="E9" s="137"/>
      <c r="F9" s="138"/>
      <c r="G9" s="110" t="s">
        <v>304</v>
      </c>
      <c r="H9" s="118">
        <v>150</v>
      </c>
      <c r="I9" s="111">
        <v>13</v>
      </c>
      <c r="J9" s="98">
        <f t="shared" si="1"/>
        <v>1950</v>
      </c>
      <c r="K9" s="99"/>
      <c r="L9" s="100"/>
      <c r="R9" s="96"/>
    </row>
    <row r="10" spans="1:18" ht="18" customHeight="1">
      <c r="A10" s="5">
        <f t="shared" si="0"/>
        <v>5</v>
      </c>
      <c r="B10" s="134" t="s">
        <v>136</v>
      </c>
      <c r="C10" s="135"/>
      <c r="D10" s="136"/>
      <c r="E10" s="137"/>
      <c r="F10" s="138"/>
      <c r="G10" s="110" t="s">
        <v>304</v>
      </c>
      <c r="H10" s="118">
        <v>5</v>
      </c>
      <c r="I10" s="111">
        <v>60</v>
      </c>
      <c r="J10" s="98">
        <f t="shared" si="1"/>
        <v>300</v>
      </c>
      <c r="K10" s="99"/>
      <c r="L10" s="100"/>
      <c r="R10" s="96"/>
    </row>
    <row r="11" spans="1:18" ht="18" customHeight="1">
      <c r="A11" s="5">
        <f t="shared" si="0"/>
        <v>6</v>
      </c>
      <c r="B11" s="134" t="s">
        <v>137</v>
      </c>
      <c r="C11" s="135"/>
      <c r="D11" s="136"/>
      <c r="E11" s="137"/>
      <c r="F11" s="138"/>
      <c r="G11" s="110" t="s">
        <v>304</v>
      </c>
      <c r="H11" s="118">
        <v>248</v>
      </c>
      <c r="I11" s="111">
        <v>40</v>
      </c>
      <c r="J11" s="98">
        <f t="shared" si="1"/>
        <v>9920</v>
      </c>
      <c r="K11" s="99"/>
      <c r="L11" s="100"/>
      <c r="R11" s="96"/>
    </row>
    <row r="12" spans="1:18" ht="18" customHeight="1">
      <c r="A12" s="5">
        <f t="shared" si="0"/>
        <v>7</v>
      </c>
      <c r="B12" s="134" t="s">
        <v>138</v>
      </c>
      <c r="C12" s="135"/>
      <c r="D12" s="136"/>
      <c r="E12" s="137"/>
      <c r="F12" s="138"/>
      <c r="G12" s="110" t="s">
        <v>304</v>
      </c>
      <c r="H12" s="118">
        <v>5</v>
      </c>
      <c r="I12" s="111">
        <v>860</v>
      </c>
      <c r="J12" s="98">
        <f t="shared" si="1"/>
        <v>4300</v>
      </c>
      <c r="K12" s="99"/>
      <c r="L12" s="100"/>
      <c r="R12" s="96"/>
    </row>
    <row r="13" spans="1:18" ht="18" customHeight="1">
      <c r="A13" s="5">
        <f t="shared" si="0"/>
        <v>8</v>
      </c>
      <c r="B13" s="134" t="s">
        <v>139</v>
      </c>
      <c r="C13" s="135"/>
      <c r="D13" s="136"/>
      <c r="E13" s="137"/>
      <c r="F13" s="138"/>
      <c r="G13" s="110" t="s">
        <v>304</v>
      </c>
      <c r="H13" s="118">
        <v>185</v>
      </c>
      <c r="I13" s="111">
        <v>20</v>
      </c>
      <c r="J13" s="98">
        <f t="shared" si="1"/>
        <v>3700</v>
      </c>
      <c r="K13" s="99"/>
      <c r="L13" s="100"/>
      <c r="R13" s="96"/>
    </row>
    <row r="14" spans="1:18" ht="18" customHeight="1">
      <c r="A14" s="5">
        <f t="shared" si="0"/>
        <v>9</v>
      </c>
      <c r="B14" s="134" t="s">
        <v>140</v>
      </c>
      <c r="C14" s="135"/>
      <c r="D14" s="136"/>
      <c r="E14" s="137"/>
      <c r="F14" s="138"/>
      <c r="G14" s="110" t="s">
        <v>124</v>
      </c>
      <c r="H14" s="118">
        <v>8</v>
      </c>
      <c r="I14" s="111">
        <v>670</v>
      </c>
      <c r="J14" s="98">
        <f t="shared" si="1"/>
        <v>5360</v>
      </c>
      <c r="K14" s="99"/>
      <c r="L14" s="100"/>
      <c r="R14" s="96"/>
    </row>
    <row r="15" spans="1:18" ht="18" customHeight="1">
      <c r="A15" s="5">
        <f t="shared" si="0"/>
        <v>10</v>
      </c>
      <c r="B15" s="134" t="s">
        <v>141</v>
      </c>
      <c r="C15" s="135"/>
      <c r="D15" s="119"/>
      <c r="E15" s="120"/>
      <c r="F15" s="121"/>
      <c r="G15" s="110" t="s">
        <v>127</v>
      </c>
      <c r="H15" s="118">
        <v>700</v>
      </c>
      <c r="I15" s="111">
        <v>4.5</v>
      </c>
      <c r="J15" s="98">
        <f t="shared" si="1"/>
        <v>3150</v>
      </c>
      <c r="K15" s="99"/>
      <c r="L15" s="100"/>
      <c r="R15" s="96"/>
    </row>
    <row r="16" spans="1:18" ht="18" customHeight="1">
      <c r="A16" s="5">
        <f t="shared" si="0"/>
        <v>11</v>
      </c>
      <c r="B16" s="134" t="s">
        <v>142</v>
      </c>
      <c r="C16" s="135"/>
      <c r="D16" s="119"/>
      <c r="E16" s="120"/>
      <c r="F16" s="121"/>
      <c r="G16" s="110" t="s">
        <v>124</v>
      </c>
      <c r="H16" s="118">
        <v>110</v>
      </c>
      <c r="I16" s="111">
        <v>20</v>
      </c>
      <c r="J16" s="98">
        <f t="shared" si="1"/>
        <v>2200</v>
      </c>
      <c r="K16" s="99"/>
      <c r="L16" s="100"/>
      <c r="R16" s="96"/>
    </row>
    <row r="17" spans="1:18" ht="18" customHeight="1">
      <c r="A17" s="5">
        <f t="shared" si="0"/>
        <v>12</v>
      </c>
      <c r="B17" s="134" t="s">
        <v>143</v>
      </c>
      <c r="C17" s="135"/>
      <c r="D17" s="119"/>
      <c r="E17" s="120"/>
      <c r="F17" s="121"/>
      <c r="G17" s="110" t="s">
        <v>124</v>
      </c>
      <c r="H17" s="118">
        <v>3</v>
      </c>
      <c r="I17" s="111">
        <v>640</v>
      </c>
      <c r="J17" s="98">
        <f t="shared" si="1"/>
        <v>1920</v>
      </c>
      <c r="K17" s="99"/>
      <c r="L17" s="100"/>
      <c r="R17" s="96"/>
    </row>
    <row r="18" spans="1:18" ht="18" customHeight="1">
      <c r="A18" s="5">
        <f t="shared" si="0"/>
        <v>13</v>
      </c>
      <c r="B18" s="134" t="s">
        <v>144</v>
      </c>
      <c r="C18" s="135"/>
      <c r="D18" s="119"/>
      <c r="E18" s="120"/>
      <c r="F18" s="121"/>
      <c r="G18" s="110" t="s">
        <v>124</v>
      </c>
      <c r="H18" s="118">
        <v>3</v>
      </c>
      <c r="I18" s="111">
        <v>635</v>
      </c>
      <c r="J18" s="98">
        <f t="shared" si="1"/>
        <v>1905</v>
      </c>
      <c r="K18" s="99"/>
      <c r="L18" s="100"/>
      <c r="R18" s="96"/>
    </row>
    <row r="19" spans="1:18" ht="18" customHeight="1">
      <c r="A19" s="5">
        <f t="shared" si="0"/>
        <v>14</v>
      </c>
      <c r="B19" s="134" t="s">
        <v>145</v>
      </c>
      <c r="C19" s="135"/>
      <c r="D19" s="119"/>
      <c r="E19" s="120"/>
      <c r="F19" s="121"/>
      <c r="G19" s="110" t="s">
        <v>124</v>
      </c>
      <c r="H19" s="118">
        <v>1</v>
      </c>
      <c r="I19" s="111">
        <v>3.5</v>
      </c>
      <c r="J19" s="98">
        <f t="shared" si="1"/>
        <v>3.5</v>
      </c>
      <c r="K19" s="99"/>
      <c r="L19" s="100"/>
      <c r="R19" s="96"/>
    </row>
    <row r="20" spans="1:18" ht="18" customHeight="1">
      <c r="A20" s="5">
        <f t="shared" si="0"/>
        <v>15</v>
      </c>
      <c r="B20" s="134" t="s">
        <v>146</v>
      </c>
      <c r="C20" s="135"/>
      <c r="D20" s="119"/>
      <c r="E20" s="120"/>
      <c r="F20" s="121"/>
      <c r="G20" s="110" t="s">
        <v>124</v>
      </c>
      <c r="H20" s="118">
        <v>11</v>
      </c>
      <c r="I20" s="111">
        <v>3.5</v>
      </c>
      <c r="J20" s="98">
        <f t="shared" si="1"/>
        <v>38.5</v>
      </c>
      <c r="K20" s="99"/>
      <c r="L20" s="100"/>
      <c r="R20" s="96"/>
    </row>
    <row r="21" spans="1:18" ht="18" customHeight="1">
      <c r="A21" s="5">
        <f t="shared" si="0"/>
        <v>16</v>
      </c>
      <c r="B21" s="134" t="s">
        <v>147</v>
      </c>
      <c r="C21" s="135"/>
      <c r="D21" s="119"/>
      <c r="E21" s="120"/>
      <c r="F21" s="121"/>
      <c r="G21" s="110" t="s">
        <v>124</v>
      </c>
      <c r="H21" s="118">
        <v>31</v>
      </c>
      <c r="I21" s="111">
        <v>3.5</v>
      </c>
      <c r="J21" s="98">
        <f t="shared" si="1"/>
        <v>108.5</v>
      </c>
      <c r="K21" s="99"/>
      <c r="L21" s="100"/>
      <c r="R21" s="96"/>
    </row>
    <row r="22" spans="1:18" ht="18" customHeight="1">
      <c r="A22" s="5">
        <f t="shared" si="0"/>
        <v>17</v>
      </c>
      <c r="B22" s="134" t="s">
        <v>148</v>
      </c>
      <c r="C22" s="135"/>
      <c r="D22" s="119"/>
      <c r="E22" s="120"/>
      <c r="F22" s="121"/>
      <c r="G22" s="110" t="s">
        <v>124</v>
      </c>
      <c r="H22" s="118">
        <v>8</v>
      </c>
      <c r="I22" s="111">
        <v>220</v>
      </c>
      <c r="J22" s="98">
        <f t="shared" si="1"/>
        <v>1760</v>
      </c>
      <c r="K22" s="99"/>
      <c r="L22" s="100"/>
      <c r="R22" s="96"/>
    </row>
    <row r="23" spans="1:18" ht="18" customHeight="1">
      <c r="A23" s="5">
        <f t="shared" si="0"/>
        <v>18</v>
      </c>
      <c r="B23" s="134" t="s">
        <v>149</v>
      </c>
      <c r="C23" s="135"/>
      <c r="D23" s="119"/>
      <c r="E23" s="120"/>
      <c r="F23" s="121"/>
      <c r="G23" s="110" t="s">
        <v>124</v>
      </c>
      <c r="H23" s="118">
        <v>6</v>
      </c>
      <c r="I23" s="111">
        <v>50</v>
      </c>
      <c r="J23" s="98">
        <f t="shared" si="1"/>
        <v>300</v>
      </c>
      <c r="K23" s="99"/>
      <c r="L23" s="100"/>
      <c r="R23" s="96"/>
    </row>
    <row r="24" spans="1:18" ht="18" customHeight="1">
      <c r="A24" s="5">
        <f t="shared" si="0"/>
        <v>19</v>
      </c>
      <c r="B24" s="134" t="s">
        <v>150</v>
      </c>
      <c r="C24" s="135"/>
      <c r="D24" s="119"/>
      <c r="E24" s="120"/>
      <c r="F24" s="121"/>
      <c r="G24" s="110" t="s">
        <v>124</v>
      </c>
      <c r="H24" s="118">
        <v>50</v>
      </c>
      <c r="I24" s="111">
        <v>17</v>
      </c>
      <c r="J24" s="98">
        <f t="shared" si="1"/>
        <v>850</v>
      </c>
      <c r="K24" s="99"/>
      <c r="L24" s="100"/>
      <c r="R24" s="96"/>
    </row>
    <row r="25" spans="1:18" ht="18" customHeight="1">
      <c r="A25" s="5">
        <f t="shared" si="0"/>
        <v>20</v>
      </c>
      <c r="B25" s="134" t="s">
        <v>151</v>
      </c>
      <c r="C25" s="135"/>
      <c r="D25" s="119"/>
      <c r="E25" s="120"/>
      <c r="F25" s="121"/>
      <c r="G25" s="110" t="s">
        <v>124</v>
      </c>
      <c r="H25" s="118">
        <v>30</v>
      </c>
      <c r="I25" s="111">
        <v>31</v>
      </c>
      <c r="J25" s="98">
        <f t="shared" si="1"/>
        <v>930</v>
      </c>
      <c r="K25" s="99"/>
      <c r="L25" s="100"/>
      <c r="R25" s="96"/>
    </row>
    <row r="26" spans="1:18" ht="18" customHeight="1">
      <c r="A26" s="5">
        <f t="shared" si="0"/>
        <v>21</v>
      </c>
      <c r="B26" s="134" t="s">
        <v>152</v>
      </c>
      <c r="C26" s="135"/>
      <c r="D26" s="119"/>
      <c r="E26" s="120"/>
      <c r="F26" s="121"/>
      <c r="G26" s="110" t="s">
        <v>124</v>
      </c>
      <c r="H26" s="118">
        <v>2</v>
      </c>
      <c r="I26" s="111">
        <v>42</v>
      </c>
      <c r="J26" s="98">
        <f t="shared" si="1"/>
        <v>84</v>
      </c>
      <c r="K26" s="99"/>
      <c r="L26" s="100"/>
      <c r="R26" s="96"/>
    </row>
    <row r="27" spans="1:18" ht="18" customHeight="1">
      <c r="A27" s="5">
        <f t="shared" si="0"/>
        <v>22</v>
      </c>
      <c r="B27" s="134" t="s">
        <v>153</v>
      </c>
      <c r="C27" s="135"/>
      <c r="D27" s="119"/>
      <c r="E27" s="120"/>
      <c r="F27" s="121"/>
      <c r="G27" s="110" t="s">
        <v>124</v>
      </c>
      <c r="H27" s="118">
        <v>194</v>
      </c>
      <c r="I27" s="111">
        <v>10</v>
      </c>
      <c r="J27" s="98">
        <f t="shared" si="1"/>
        <v>1940</v>
      </c>
      <c r="K27" s="99"/>
      <c r="L27" s="100"/>
      <c r="R27" s="96"/>
    </row>
    <row r="28" spans="1:18" ht="18" customHeight="1">
      <c r="A28" s="5">
        <f t="shared" si="0"/>
        <v>23</v>
      </c>
      <c r="B28" s="134" t="s">
        <v>154</v>
      </c>
      <c r="C28" s="135"/>
      <c r="D28" s="119"/>
      <c r="E28" s="120"/>
      <c r="F28" s="121"/>
      <c r="G28" s="110" t="s">
        <v>124</v>
      </c>
      <c r="H28" s="118">
        <v>10</v>
      </c>
      <c r="I28" s="111">
        <v>7</v>
      </c>
      <c r="J28" s="98">
        <f t="shared" si="1"/>
        <v>70</v>
      </c>
      <c r="K28" s="99"/>
      <c r="L28" s="100"/>
      <c r="R28" s="96"/>
    </row>
    <row r="29" spans="1:18" ht="18" customHeight="1">
      <c r="A29" s="5">
        <f t="shared" si="0"/>
        <v>24</v>
      </c>
      <c r="B29" s="134" t="s">
        <v>155</v>
      </c>
      <c r="C29" s="135"/>
      <c r="D29" s="119"/>
      <c r="E29" s="120"/>
      <c r="F29" s="121"/>
      <c r="G29" s="110" t="s">
        <v>124</v>
      </c>
      <c r="H29" s="118">
        <v>30</v>
      </c>
      <c r="I29" s="111">
        <v>28</v>
      </c>
      <c r="J29" s="98">
        <f t="shared" si="1"/>
        <v>840</v>
      </c>
      <c r="K29" s="99"/>
      <c r="L29" s="100"/>
      <c r="R29" s="96"/>
    </row>
    <row r="30" spans="1:18" ht="18" customHeight="1">
      <c r="A30" s="5">
        <f t="shared" si="0"/>
        <v>25</v>
      </c>
      <c r="B30" s="134" t="s">
        <v>156</v>
      </c>
      <c r="C30" s="135"/>
      <c r="D30" s="119"/>
      <c r="E30" s="120"/>
      <c r="F30" s="121"/>
      <c r="G30" s="110" t="s">
        <v>124</v>
      </c>
      <c r="H30" s="118">
        <v>20</v>
      </c>
      <c r="I30" s="111">
        <v>24</v>
      </c>
      <c r="J30" s="98">
        <f t="shared" si="1"/>
        <v>480</v>
      </c>
      <c r="K30" s="99"/>
      <c r="L30" s="100"/>
      <c r="R30" s="96"/>
    </row>
    <row r="31" spans="1:18" ht="18" customHeight="1">
      <c r="A31" s="5">
        <f t="shared" si="0"/>
        <v>26</v>
      </c>
      <c r="B31" s="134" t="s">
        <v>157</v>
      </c>
      <c r="C31" s="135"/>
      <c r="D31" s="119"/>
      <c r="E31" s="120"/>
      <c r="F31" s="121"/>
      <c r="G31" s="110" t="s">
        <v>127</v>
      </c>
      <c r="H31" s="118">
        <v>50</v>
      </c>
      <c r="I31" s="111">
        <v>29</v>
      </c>
      <c r="J31" s="98">
        <f t="shared" si="1"/>
        <v>1450</v>
      </c>
      <c r="K31" s="99"/>
      <c r="L31" s="100"/>
      <c r="R31" s="96"/>
    </row>
    <row r="32" spans="1:18" ht="18" customHeight="1">
      <c r="A32" s="5">
        <f t="shared" si="0"/>
        <v>27</v>
      </c>
      <c r="B32" s="134" t="s">
        <v>158</v>
      </c>
      <c r="C32" s="135"/>
      <c r="D32" s="119"/>
      <c r="E32" s="120"/>
      <c r="F32" s="121"/>
      <c r="G32" s="110" t="s">
        <v>124</v>
      </c>
      <c r="H32" s="118">
        <v>5</v>
      </c>
      <c r="I32" s="111">
        <v>45</v>
      </c>
      <c r="J32" s="98">
        <f t="shared" si="1"/>
        <v>225</v>
      </c>
      <c r="K32" s="99"/>
      <c r="L32" s="100"/>
      <c r="R32" s="96"/>
    </row>
    <row r="33" spans="1:18" ht="18" customHeight="1">
      <c r="A33" s="5">
        <f t="shared" si="0"/>
        <v>28</v>
      </c>
      <c r="B33" s="134" t="s">
        <v>159</v>
      </c>
      <c r="C33" s="135"/>
      <c r="D33" s="119"/>
      <c r="E33" s="120"/>
      <c r="F33" s="121"/>
      <c r="G33" s="110" t="s">
        <v>124</v>
      </c>
      <c r="H33" s="118">
        <v>5</v>
      </c>
      <c r="I33" s="111">
        <v>28</v>
      </c>
      <c r="J33" s="98">
        <f t="shared" si="1"/>
        <v>140</v>
      </c>
      <c r="K33" s="99"/>
      <c r="L33" s="100"/>
      <c r="R33" s="96"/>
    </row>
    <row r="34" spans="1:18" ht="18" customHeight="1">
      <c r="A34" s="5">
        <f t="shared" si="0"/>
        <v>29</v>
      </c>
      <c r="B34" s="134" t="s">
        <v>160</v>
      </c>
      <c r="C34" s="135"/>
      <c r="D34" s="119"/>
      <c r="E34" s="120"/>
      <c r="F34" s="121"/>
      <c r="G34" s="110" t="s">
        <v>124</v>
      </c>
      <c r="H34" s="118">
        <v>5</v>
      </c>
      <c r="I34" s="111">
        <v>75</v>
      </c>
      <c r="J34" s="98">
        <f t="shared" si="1"/>
        <v>375</v>
      </c>
      <c r="K34" s="99"/>
      <c r="L34" s="100"/>
      <c r="R34" s="96"/>
    </row>
    <row r="35" spans="1:18" ht="18" customHeight="1">
      <c r="A35" s="5">
        <f t="shared" si="0"/>
        <v>30</v>
      </c>
      <c r="B35" s="134" t="s">
        <v>161</v>
      </c>
      <c r="C35" s="135"/>
      <c r="D35" s="119"/>
      <c r="E35" s="120"/>
      <c r="F35" s="121"/>
      <c r="G35" s="110" t="s">
        <v>124</v>
      </c>
      <c r="H35" s="118">
        <v>5</v>
      </c>
      <c r="I35" s="111">
        <v>36</v>
      </c>
      <c r="J35" s="98">
        <f t="shared" si="1"/>
        <v>180</v>
      </c>
      <c r="K35" s="99"/>
      <c r="L35" s="100"/>
      <c r="R35" s="96"/>
    </row>
    <row r="36" spans="1:18" ht="18" customHeight="1">
      <c r="A36" s="5">
        <f t="shared" si="0"/>
        <v>31</v>
      </c>
      <c r="B36" s="134" t="s">
        <v>162</v>
      </c>
      <c r="C36" s="135"/>
      <c r="D36" s="119"/>
      <c r="E36" s="120"/>
      <c r="F36" s="121"/>
      <c r="G36" s="110" t="s">
        <v>124</v>
      </c>
      <c r="H36" s="118">
        <v>2</v>
      </c>
      <c r="I36" s="111">
        <v>765</v>
      </c>
      <c r="J36" s="98">
        <f t="shared" si="1"/>
        <v>1530</v>
      </c>
      <c r="K36" s="99"/>
      <c r="L36" s="100"/>
      <c r="R36" s="96"/>
    </row>
    <row r="37" spans="1:18" ht="18" customHeight="1">
      <c r="A37" s="5">
        <f t="shared" si="0"/>
        <v>32</v>
      </c>
      <c r="B37" s="134" t="s">
        <v>163</v>
      </c>
      <c r="C37" s="135"/>
      <c r="D37" s="119"/>
      <c r="E37" s="120"/>
      <c r="F37" s="121"/>
      <c r="G37" s="110" t="s">
        <v>124</v>
      </c>
      <c r="H37" s="118">
        <v>7</v>
      </c>
      <c r="I37" s="111">
        <v>18</v>
      </c>
      <c r="J37" s="98">
        <f t="shared" si="1"/>
        <v>126</v>
      </c>
      <c r="K37" s="99"/>
      <c r="L37" s="100"/>
      <c r="R37" s="96"/>
    </row>
    <row r="38" spans="1:18" ht="18" customHeight="1">
      <c r="A38" s="5">
        <f t="shared" si="0"/>
        <v>33</v>
      </c>
      <c r="B38" s="134" t="s">
        <v>164</v>
      </c>
      <c r="C38" s="135"/>
      <c r="D38" s="119"/>
      <c r="E38" s="120"/>
      <c r="F38" s="121"/>
      <c r="G38" s="110" t="s">
        <v>124</v>
      </c>
      <c r="H38" s="118">
        <v>50</v>
      </c>
      <c r="I38" s="111">
        <v>30</v>
      </c>
      <c r="J38" s="98">
        <f t="shared" si="1"/>
        <v>1500</v>
      </c>
      <c r="K38" s="99"/>
      <c r="L38" s="100"/>
      <c r="R38" s="96"/>
    </row>
    <row r="39" spans="1:18" ht="18" customHeight="1">
      <c r="A39" s="5">
        <f t="shared" si="0"/>
        <v>34</v>
      </c>
      <c r="B39" s="134" t="s">
        <v>165</v>
      </c>
      <c r="C39" s="135"/>
      <c r="D39" s="119"/>
      <c r="E39" s="120"/>
      <c r="F39" s="121"/>
      <c r="G39" s="110" t="s">
        <v>124</v>
      </c>
      <c r="H39" s="118">
        <v>5</v>
      </c>
      <c r="I39" s="111">
        <v>110</v>
      </c>
      <c r="J39" s="98">
        <f t="shared" si="1"/>
        <v>550</v>
      </c>
      <c r="K39" s="99"/>
      <c r="L39" s="100"/>
      <c r="R39" s="96"/>
    </row>
    <row r="40" spans="1:18" ht="18" customHeight="1">
      <c r="A40" s="5">
        <f t="shared" si="0"/>
        <v>35</v>
      </c>
      <c r="B40" s="134" t="s">
        <v>166</v>
      </c>
      <c r="C40" s="135"/>
      <c r="D40" s="119"/>
      <c r="E40" s="120"/>
      <c r="F40" s="121"/>
      <c r="G40" s="110" t="s">
        <v>124</v>
      </c>
      <c r="H40" s="118">
        <v>2</v>
      </c>
      <c r="I40" s="111">
        <v>245</v>
      </c>
      <c r="J40" s="98">
        <f t="shared" si="1"/>
        <v>490</v>
      </c>
      <c r="K40" s="99"/>
      <c r="L40" s="100"/>
      <c r="R40" s="96"/>
    </row>
    <row r="41" spans="1:18" ht="18" customHeight="1">
      <c r="A41" s="5">
        <f t="shared" si="0"/>
        <v>36</v>
      </c>
      <c r="B41" s="134" t="s">
        <v>167</v>
      </c>
      <c r="C41" s="135"/>
      <c r="D41" s="119"/>
      <c r="E41" s="120"/>
      <c r="F41" s="121"/>
      <c r="G41" s="110" t="s">
        <v>124</v>
      </c>
      <c r="H41" s="118">
        <v>5</v>
      </c>
      <c r="I41" s="111">
        <v>45</v>
      </c>
      <c r="J41" s="98">
        <f t="shared" si="1"/>
        <v>225</v>
      </c>
      <c r="K41" s="99"/>
      <c r="L41" s="100"/>
      <c r="R41" s="96"/>
    </row>
    <row r="42" spans="1:18" ht="18" customHeight="1">
      <c r="A42" s="5">
        <f t="shared" si="0"/>
        <v>37</v>
      </c>
      <c r="B42" s="134" t="s">
        <v>168</v>
      </c>
      <c r="C42" s="135"/>
      <c r="D42" s="119"/>
      <c r="E42" s="120"/>
      <c r="F42" s="121"/>
      <c r="G42" s="110" t="s">
        <v>124</v>
      </c>
      <c r="H42" s="118">
        <v>2</v>
      </c>
      <c r="I42" s="111">
        <v>15</v>
      </c>
      <c r="J42" s="98">
        <f t="shared" si="1"/>
        <v>30</v>
      </c>
      <c r="K42" s="99"/>
      <c r="L42" s="100"/>
      <c r="R42" s="96"/>
    </row>
    <row r="43" spans="1:18" ht="18" customHeight="1">
      <c r="A43" s="5">
        <f t="shared" si="0"/>
        <v>38</v>
      </c>
      <c r="B43" s="134" t="s">
        <v>169</v>
      </c>
      <c r="C43" s="135"/>
      <c r="D43" s="119"/>
      <c r="E43" s="120"/>
      <c r="F43" s="121"/>
      <c r="G43" s="110" t="s">
        <v>124</v>
      </c>
      <c r="H43" s="118">
        <v>5</v>
      </c>
      <c r="I43" s="111">
        <v>17</v>
      </c>
      <c r="J43" s="98">
        <f t="shared" si="1"/>
        <v>85</v>
      </c>
      <c r="K43" s="99"/>
      <c r="L43" s="100"/>
      <c r="R43" s="96"/>
    </row>
    <row r="44" spans="1:18" ht="18" customHeight="1">
      <c r="A44" s="5">
        <f t="shared" si="0"/>
        <v>39</v>
      </c>
      <c r="B44" s="134" t="s">
        <v>170</v>
      </c>
      <c r="C44" s="135"/>
      <c r="D44" s="119"/>
      <c r="E44" s="120"/>
      <c r="F44" s="121"/>
      <c r="G44" s="110" t="s">
        <v>124</v>
      </c>
      <c r="H44" s="118">
        <v>2</v>
      </c>
      <c r="I44" s="111">
        <v>115</v>
      </c>
      <c r="J44" s="98">
        <f t="shared" si="1"/>
        <v>230</v>
      </c>
      <c r="K44" s="99"/>
      <c r="L44" s="100"/>
      <c r="R44" s="96"/>
    </row>
    <row r="45" spans="1:18" ht="18" customHeight="1">
      <c r="A45" s="5">
        <f t="shared" si="0"/>
        <v>40</v>
      </c>
      <c r="B45" s="134" t="s">
        <v>171</v>
      </c>
      <c r="C45" s="135"/>
      <c r="D45" s="119"/>
      <c r="E45" s="120"/>
      <c r="F45" s="121"/>
      <c r="G45" s="110" t="s">
        <v>124</v>
      </c>
      <c r="H45" s="118">
        <v>50</v>
      </c>
      <c r="I45" s="111">
        <v>75</v>
      </c>
      <c r="J45" s="98">
        <f t="shared" si="1"/>
        <v>3750</v>
      </c>
      <c r="K45" s="99"/>
      <c r="L45" s="100"/>
      <c r="R45" s="96"/>
    </row>
    <row r="46" spans="1:18" ht="18" customHeight="1">
      <c r="A46" s="5">
        <f t="shared" si="0"/>
        <v>41</v>
      </c>
      <c r="B46" s="134" t="s">
        <v>172</v>
      </c>
      <c r="C46" s="135"/>
      <c r="D46" s="119"/>
      <c r="E46" s="120"/>
      <c r="F46" s="121"/>
      <c r="G46" s="110" t="s">
        <v>124</v>
      </c>
      <c r="H46" s="118">
        <v>5</v>
      </c>
      <c r="I46" s="111">
        <v>42</v>
      </c>
      <c r="J46" s="98">
        <f t="shared" si="1"/>
        <v>210</v>
      </c>
      <c r="K46" s="99"/>
      <c r="L46" s="100"/>
      <c r="R46" s="96"/>
    </row>
    <row r="47" spans="1:18" ht="18" customHeight="1">
      <c r="A47" s="5">
        <f t="shared" si="0"/>
        <v>42</v>
      </c>
      <c r="B47" s="134" t="s">
        <v>173</v>
      </c>
      <c r="C47" s="135"/>
      <c r="D47" s="119"/>
      <c r="E47" s="120"/>
      <c r="F47" s="121"/>
      <c r="G47" s="110" t="s">
        <v>124</v>
      </c>
      <c r="H47" s="118">
        <v>5</v>
      </c>
      <c r="I47" s="111">
        <v>62</v>
      </c>
      <c r="J47" s="98">
        <f t="shared" si="1"/>
        <v>310</v>
      </c>
      <c r="K47" s="99"/>
      <c r="L47" s="100"/>
      <c r="R47" s="96"/>
    </row>
    <row r="48" spans="1:18" ht="18" customHeight="1">
      <c r="A48" s="5">
        <f t="shared" si="0"/>
        <v>43</v>
      </c>
      <c r="B48" s="134" t="s">
        <v>174</v>
      </c>
      <c r="C48" s="135"/>
      <c r="D48" s="119"/>
      <c r="E48" s="120"/>
      <c r="F48" s="121"/>
      <c r="G48" s="110" t="s">
        <v>124</v>
      </c>
      <c r="H48" s="118">
        <v>8</v>
      </c>
      <c r="I48" s="111">
        <v>110</v>
      </c>
      <c r="J48" s="98">
        <f t="shared" si="1"/>
        <v>880</v>
      </c>
      <c r="K48" s="99"/>
      <c r="L48" s="100"/>
      <c r="R48" s="96"/>
    </row>
    <row r="49" spans="1:18" ht="18" customHeight="1">
      <c r="A49" s="5">
        <f t="shared" si="0"/>
        <v>44</v>
      </c>
      <c r="B49" s="134" t="s">
        <v>175</v>
      </c>
      <c r="C49" s="135"/>
      <c r="D49" s="119"/>
      <c r="E49" s="120"/>
      <c r="F49" s="121"/>
      <c r="G49" s="110" t="s">
        <v>124</v>
      </c>
      <c r="H49" s="118">
        <v>3</v>
      </c>
      <c r="I49" s="111">
        <v>30</v>
      </c>
      <c r="J49" s="98">
        <f t="shared" si="1"/>
        <v>90</v>
      </c>
      <c r="K49" s="99"/>
      <c r="L49" s="100"/>
      <c r="R49" s="96"/>
    </row>
    <row r="50" spans="1:18" ht="18" customHeight="1">
      <c r="A50" s="5">
        <f t="shared" si="0"/>
        <v>45</v>
      </c>
      <c r="B50" s="134" t="s">
        <v>176</v>
      </c>
      <c r="C50" s="135"/>
      <c r="D50" s="119"/>
      <c r="E50" s="120"/>
      <c r="F50" s="121"/>
      <c r="G50" s="110" t="s">
        <v>124</v>
      </c>
      <c r="H50" s="118">
        <v>5</v>
      </c>
      <c r="I50" s="111">
        <v>95</v>
      </c>
      <c r="J50" s="98">
        <f t="shared" si="1"/>
        <v>475</v>
      </c>
      <c r="K50" s="99"/>
      <c r="L50" s="100"/>
      <c r="R50" s="96"/>
    </row>
    <row r="51" spans="1:18" ht="18" customHeight="1">
      <c r="A51" s="5">
        <f t="shared" si="0"/>
        <v>46</v>
      </c>
      <c r="B51" s="134" t="s">
        <v>177</v>
      </c>
      <c r="C51" s="135"/>
      <c r="D51" s="119"/>
      <c r="E51" s="120"/>
      <c r="F51" s="121"/>
      <c r="G51" s="110" t="s">
        <v>124</v>
      </c>
      <c r="H51" s="118">
        <v>50</v>
      </c>
      <c r="I51" s="111">
        <v>3.5</v>
      </c>
      <c r="J51" s="98">
        <f t="shared" si="1"/>
        <v>175</v>
      </c>
      <c r="K51" s="99"/>
      <c r="L51" s="100"/>
      <c r="R51" s="96"/>
    </row>
    <row r="52" spans="1:18" ht="18" customHeight="1">
      <c r="A52" s="5">
        <f t="shared" si="0"/>
        <v>47</v>
      </c>
      <c r="B52" s="134" t="s">
        <v>178</v>
      </c>
      <c r="C52" s="135"/>
      <c r="D52" s="119"/>
      <c r="E52" s="120"/>
      <c r="F52" s="121"/>
      <c r="G52" s="110" t="s">
        <v>124</v>
      </c>
      <c r="H52" s="118">
        <v>5</v>
      </c>
      <c r="I52" s="111">
        <v>16</v>
      </c>
      <c r="J52" s="98">
        <f t="shared" si="1"/>
        <v>80</v>
      </c>
      <c r="K52" s="99"/>
      <c r="L52" s="100"/>
      <c r="R52" s="96"/>
    </row>
    <row r="53" spans="1:18" ht="18" customHeight="1">
      <c r="A53" s="5">
        <f t="shared" si="0"/>
        <v>48</v>
      </c>
      <c r="B53" s="134" t="s">
        <v>179</v>
      </c>
      <c r="C53" s="135"/>
      <c r="D53" s="119"/>
      <c r="E53" s="120"/>
      <c r="F53" s="121"/>
      <c r="G53" s="110" t="s">
        <v>124</v>
      </c>
      <c r="H53" s="118">
        <v>100</v>
      </c>
      <c r="I53" s="111">
        <v>48</v>
      </c>
      <c r="J53" s="98">
        <f t="shared" si="1"/>
        <v>4800</v>
      </c>
      <c r="K53" s="99"/>
      <c r="L53" s="100"/>
      <c r="R53" s="96"/>
    </row>
    <row r="54" spans="1:18" ht="18" customHeight="1">
      <c r="A54" s="5">
        <f t="shared" si="0"/>
        <v>49</v>
      </c>
      <c r="B54" s="134" t="s">
        <v>180</v>
      </c>
      <c r="C54" s="135"/>
      <c r="D54" s="119"/>
      <c r="E54" s="120"/>
      <c r="F54" s="121"/>
      <c r="G54" s="110" t="s">
        <v>124</v>
      </c>
      <c r="H54" s="118">
        <v>100</v>
      </c>
      <c r="I54" s="111">
        <v>26</v>
      </c>
      <c r="J54" s="98">
        <f t="shared" si="1"/>
        <v>2600</v>
      </c>
      <c r="K54" s="99"/>
      <c r="L54" s="100"/>
      <c r="R54" s="96"/>
    </row>
    <row r="55" spans="1:18" ht="18" customHeight="1">
      <c r="A55" s="5">
        <f t="shared" si="0"/>
        <v>50</v>
      </c>
      <c r="B55" s="134" t="s">
        <v>181</v>
      </c>
      <c r="C55" s="135"/>
      <c r="D55" s="119"/>
      <c r="E55" s="120"/>
      <c r="F55" s="121"/>
      <c r="G55" s="110" t="s">
        <v>305</v>
      </c>
      <c r="H55" s="118">
        <v>1</v>
      </c>
      <c r="I55" s="111">
        <v>28</v>
      </c>
      <c r="J55" s="98">
        <f t="shared" si="1"/>
        <v>28</v>
      </c>
      <c r="K55" s="99"/>
      <c r="L55" s="100"/>
      <c r="R55" s="96"/>
    </row>
    <row r="56" spans="1:18" ht="18" customHeight="1">
      <c r="A56" s="5">
        <f t="shared" si="0"/>
        <v>51</v>
      </c>
      <c r="B56" s="134" t="s">
        <v>182</v>
      </c>
      <c r="C56" s="135"/>
      <c r="D56" s="119"/>
      <c r="E56" s="120"/>
      <c r="F56" s="121"/>
      <c r="G56" s="110" t="s">
        <v>124</v>
      </c>
      <c r="H56" s="118">
        <v>2</v>
      </c>
      <c r="I56" s="111">
        <v>32</v>
      </c>
      <c r="J56" s="98">
        <f t="shared" si="1"/>
        <v>64</v>
      </c>
      <c r="K56" s="99"/>
      <c r="L56" s="100"/>
      <c r="R56" s="96"/>
    </row>
    <row r="57" spans="1:18" ht="18" customHeight="1">
      <c r="A57" s="5">
        <f t="shared" si="0"/>
        <v>52</v>
      </c>
      <c r="B57" s="134" t="s">
        <v>183</v>
      </c>
      <c r="C57" s="135"/>
      <c r="D57" s="119"/>
      <c r="E57" s="120"/>
      <c r="F57" s="121"/>
      <c r="G57" s="110" t="s">
        <v>124</v>
      </c>
      <c r="H57" s="118">
        <v>30</v>
      </c>
      <c r="I57" s="111">
        <v>15</v>
      </c>
      <c r="J57" s="98">
        <f t="shared" si="1"/>
        <v>450</v>
      </c>
      <c r="K57" s="99"/>
      <c r="L57" s="100"/>
      <c r="R57" s="96"/>
    </row>
    <row r="58" spans="1:18" ht="18" customHeight="1">
      <c r="A58" s="5">
        <f t="shared" si="0"/>
        <v>53</v>
      </c>
      <c r="B58" s="134" t="s">
        <v>184</v>
      </c>
      <c r="C58" s="135"/>
      <c r="D58" s="119"/>
      <c r="E58" s="120"/>
      <c r="F58" s="121"/>
      <c r="G58" s="110" t="s">
        <v>124</v>
      </c>
      <c r="H58" s="118">
        <v>5</v>
      </c>
      <c r="I58" s="111">
        <v>285</v>
      </c>
      <c r="J58" s="98">
        <f t="shared" si="1"/>
        <v>1425</v>
      </c>
      <c r="K58" s="99"/>
      <c r="L58" s="100"/>
      <c r="R58" s="96"/>
    </row>
    <row r="59" spans="1:18" ht="18" customHeight="1">
      <c r="A59" s="5">
        <f t="shared" si="0"/>
        <v>54</v>
      </c>
      <c r="B59" s="134" t="s">
        <v>185</v>
      </c>
      <c r="C59" s="135"/>
      <c r="D59" s="119"/>
      <c r="E59" s="120"/>
      <c r="F59" s="121"/>
      <c r="G59" s="110" t="s">
        <v>124</v>
      </c>
      <c r="H59" s="118">
        <v>22</v>
      </c>
      <c r="I59" s="111">
        <v>368</v>
      </c>
      <c r="J59" s="98">
        <f t="shared" si="1"/>
        <v>8096</v>
      </c>
      <c r="K59" s="99"/>
      <c r="L59" s="100"/>
      <c r="R59" s="96"/>
    </row>
    <row r="60" spans="1:18" ht="18" customHeight="1">
      <c r="A60" s="5">
        <f t="shared" si="0"/>
        <v>55</v>
      </c>
      <c r="B60" s="134" t="s">
        <v>186</v>
      </c>
      <c r="C60" s="135"/>
      <c r="D60" s="119"/>
      <c r="E60" s="120"/>
      <c r="F60" s="121"/>
      <c r="G60" s="110" t="s">
        <v>124</v>
      </c>
      <c r="H60" s="118">
        <v>2</v>
      </c>
      <c r="I60" s="111">
        <v>2350</v>
      </c>
      <c r="J60" s="98">
        <f t="shared" si="1"/>
        <v>4700</v>
      </c>
      <c r="K60" s="99"/>
      <c r="L60" s="100"/>
      <c r="R60" s="96"/>
    </row>
    <row r="61" spans="1:18" ht="18" customHeight="1">
      <c r="A61" s="5">
        <f t="shared" si="0"/>
        <v>56</v>
      </c>
      <c r="B61" s="134" t="s">
        <v>187</v>
      </c>
      <c r="C61" s="135"/>
      <c r="D61" s="119"/>
      <c r="E61" s="120"/>
      <c r="F61" s="121"/>
      <c r="G61" s="110" t="s">
        <v>126</v>
      </c>
      <c r="H61" s="118">
        <v>10</v>
      </c>
      <c r="I61" s="111">
        <v>765</v>
      </c>
      <c r="J61" s="98">
        <f t="shared" si="1"/>
        <v>7650</v>
      </c>
      <c r="K61" s="99"/>
      <c r="L61" s="100"/>
      <c r="R61" s="96"/>
    </row>
    <row r="62" spans="1:18" ht="18" customHeight="1">
      <c r="A62" s="5">
        <f t="shared" si="0"/>
        <v>57</v>
      </c>
      <c r="B62" s="134" t="s">
        <v>188</v>
      </c>
      <c r="C62" s="135"/>
      <c r="D62" s="119"/>
      <c r="E62" s="120"/>
      <c r="F62" s="121"/>
      <c r="G62" s="110" t="s">
        <v>126</v>
      </c>
      <c r="H62" s="118">
        <v>10</v>
      </c>
      <c r="I62" s="111">
        <v>520</v>
      </c>
      <c r="J62" s="98">
        <f t="shared" si="1"/>
        <v>5200</v>
      </c>
      <c r="K62" s="99"/>
      <c r="L62" s="100"/>
      <c r="R62" s="96"/>
    </row>
    <row r="63" spans="1:18" ht="18" customHeight="1">
      <c r="A63" s="5">
        <f t="shared" si="0"/>
        <v>58</v>
      </c>
      <c r="B63" s="134" t="s">
        <v>189</v>
      </c>
      <c r="C63" s="135"/>
      <c r="D63" s="119"/>
      <c r="E63" s="120"/>
      <c r="F63" s="121"/>
      <c r="G63" s="110" t="s">
        <v>124</v>
      </c>
      <c r="H63" s="118">
        <v>10</v>
      </c>
      <c r="I63" s="111">
        <v>125</v>
      </c>
      <c r="J63" s="98">
        <f t="shared" si="1"/>
        <v>1250</v>
      </c>
      <c r="K63" s="99"/>
      <c r="L63" s="100"/>
      <c r="R63" s="96"/>
    </row>
    <row r="64" spans="1:18" ht="18" customHeight="1">
      <c r="A64" s="5">
        <f t="shared" si="0"/>
        <v>59</v>
      </c>
      <c r="B64" s="134" t="s">
        <v>190</v>
      </c>
      <c r="C64" s="135"/>
      <c r="D64" s="119"/>
      <c r="E64" s="120"/>
      <c r="F64" s="121"/>
      <c r="G64" s="110" t="s">
        <v>124</v>
      </c>
      <c r="H64" s="118">
        <v>8</v>
      </c>
      <c r="I64" s="111">
        <v>110</v>
      </c>
      <c r="J64" s="98">
        <f t="shared" si="1"/>
        <v>880</v>
      </c>
      <c r="K64" s="99"/>
      <c r="L64" s="100"/>
      <c r="R64" s="96"/>
    </row>
    <row r="65" spans="1:18" ht="18" customHeight="1">
      <c r="A65" s="5">
        <f t="shared" si="0"/>
        <v>60</v>
      </c>
      <c r="B65" s="134" t="s">
        <v>191</v>
      </c>
      <c r="C65" s="135"/>
      <c r="D65" s="119"/>
      <c r="E65" s="120"/>
      <c r="F65" s="121"/>
      <c r="G65" s="110" t="s">
        <v>124</v>
      </c>
      <c r="H65" s="118">
        <v>5</v>
      </c>
      <c r="I65" s="111">
        <v>37</v>
      </c>
      <c r="J65" s="98">
        <f t="shared" si="1"/>
        <v>185</v>
      </c>
      <c r="K65" s="99"/>
      <c r="L65" s="100"/>
      <c r="R65" s="96"/>
    </row>
    <row r="66" spans="1:18" ht="18" customHeight="1">
      <c r="A66" s="5">
        <f t="shared" si="0"/>
        <v>61</v>
      </c>
      <c r="B66" s="134" t="s">
        <v>192</v>
      </c>
      <c r="C66" s="135"/>
      <c r="D66" s="119"/>
      <c r="E66" s="120"/>
      <c r="F66" s="121"/>
      <c r="G66" s="110" t="s">
        <v>124</v>
      </c>
      <c r="H66" s="118">
        <v>5</v>
      </c>
      <c r="I66" s="111">
        <v>43</v>
      </c>
      <c r="J66" s="98">
        <f t="shared" si="1"/>
        <v>215</v>
      </c>
      <c r="K66" s="99"/>
      <c r="L66" s="100"/>
      <c r="R66" s="96"/>
    </row>
    <row r="67" spans="1:18" ht="18" customHeight="1">
      <c r="A67" s="5">
        <f t="shared" si="0"/>
        <v>62</v>
      </c>
      <c r="B67" s="134" t="s">
        <v>193</v>
      </c>
      <c r="C67" s="135"/>
      <c r="D67" s="119"/>
      <c r="E67" s="120"/>
      <c r="F67" s="121"/>
      <c r="G67" s="110" t="s">
        <v>124</v>
      </c>
      <c r="H67" s="118">
        <v>5</v>
      </c>
      <c r="I67" s="111">
        <v>98</v>
      </c>
      <c r="J67" s="98">
        <f t="shared" si="1"/>
        <v>490</v>
      </c>
      <c r="K67" s="99"/>
      <c r="L67" s="100"/>
      <c r="R67" s="96"/>
    </row>
    <row r="68" spans="1:18" ht="18" customHeight="1">
      <c r="A68" s="5">
        <f t="shared" si="0"/>
        <v>63</v>
      </c>
      <c r="B68" s="134" t="s">
        <v>194</v>
      </c>
      <c r="C68" s="135"/>
      <c r="D68" s="119"/>
      <c r="E68" s="120"/>
      <c r="F68" s="121"/>
      <c r="G68" s="110" t="s">
        <v>124</v>
      </c>
      <c r="H68" s="118">
        <v>5</v>
      </c>
      <c r="I68" s="111">
        <v>98</v>
      </c>
      <c r="J68" s="98">
        <f t="shared" si="1"/>
        <v>490</v>
      </c>
      <c r="K68" s="99"/>
      <c r="L68" s="100"/>
      <c r="R68" s="96"/>
    </row>
    <row r="69" spans="1:18" ht="18" customHeight="1">
      <c r="A69" s="5">
        <f t="shared" si="0"/>
        <v>64</v>
      </c>
      <c r="B69" s="134" t="s">
        <v>195</v>
      </c>
      <c r="C69" s="135"/>
      <c r="D69" s="119"/>
      <c r="E69" s="120"/>
      <c r="F69" s="121"/>
      <c r="G69" s="110" t="s">
        <v>124</v>
      </c>
      <c r="H69" s="118">
        <v>94</v>
      </c>
      <c r="I69" s="111">
        <v>28</v>
      </c>
      <c r="J69" s="98">
        <f t="shared" si="1"/>
        <v>2632</v>
      </c>
      <c r="K69" s="99"/>
      <c r="L69" s="100"/>
      <c r="R69" s="96"/>
    </row>
    <row r="70" spans="1:18" ht="18" customHeight="1">
      <c r="A70" s="5">
        <f t="shared" ref="A70:A133" si="2">ROW(A65)</f>
        <v>65</v>
      </c>
      <c r="B70" s="134" t="s">
        <v>196</v>
      </c>
      <c r="C70" s="135"/>
      <c r="D70" s="119"/>
      <c r="E70" s="120"/>
      <c r="F70" s="121"/>
      <c r="G70" s="110" t="s">
        <v>124</v>
      </c>
      <c r="H70" s="118">
        <v>100</v>
      </c>
      <c r="I70" s="111">
        <v>72</v>
      </c>
      <c r="J70" s="98">
        <f t="shared" si="1"/>
        <v>7200</v>
      </c>
      <c r="K70" s="99"/>
      <c r="L70" s="100"/>
      <c r="R70" s="96"/>
    </row>
    <row r="71" spans="1:18" ht="18" customHeight="1">
      <c r="A71" s="5">
        <f t="shared" si="2"/>
        <v>66</v>
      </c>
      <c r="B71" s="134" t="s">
        <v>197</v>
      </c>
      <c r="C71" s="135"/>
      <c r="D71" s="119"/>
      <c r="E71" s="120"/>
      <c r="F71" s="121"/>
      <c r="G71" s="110" t="s">
        <v>124</v>
      </c>
      <c r="H71" s="118">
        <v>4</v>
      </c>
      <c r="I71" s="111">
        <v>19</v>
      </c>
      <c r="J71" s="98">
        <f t="shared" si="1"/>
        <v>76</v>
      </c>
      <c r="K71" s="99"/>
      <c r="L71" s="100"/>
      <c r="R71" s="96"/>
    </row>
    <row r="72" spans="1:18" ht="18" customHeight="1">
      <c r="A72" s="5">
        <f t="shared" si="2"/>
        <v>67</v>
      </c>
      <c r="B72" s="134" t="s">
        <v>198</v>
      </c>
      <c r="C72" s="135"/>
      <c r="D72" s="119"/>
      <c r="E72" s="120"/>
      <c r="F72" s="121"/>
      <c r="G72" s="110" t="s">
        <v>124</v>
      </c>
      <c r="H72" s="118">
        <v>6</v>
      </c>
      <c r="I72" s="111">
        <v>380</v>
      </c>
      <c r="J72" s="98">
        <f t="shared" si="1"/>
        <v>2280</v>
      </c>
      <c r="K72" s="99"/>
      <c r="L72" s="100"/>
      <c r="R72" s="96"/>
    </row>
    <row r="73" spans="1:18" ht="18" customHeight="1">
      <c r="A73" s="5">
        <f t="shared" si="2"/>
        <v>68</v>
      </c>
      <c r="B73" s="134" t="s">
        <v>199</v>
      </c>
      <c r="C73" s="135"/>
      <c r="D73" s="119"/>
      <c r="E73" s="120"/>
      <c r="F73" s="121"/>
      <c r="G73" s="110" t="s">
        <v>124</v>
      </c>
      <c r="H73" s="118">
        <v>6</v>
      </c>
      <c r="I73" s="111">
        <v>2350</v>
      </c>
      <c r="J73" s="98">
        <f t="shared" si="1"/>
        <v>14100</v>
      </c>
      <c r="K73" s="99"/>
      <c r="L73" s="100"/>
      <c r="R73" s="96"/>
    </row>
    <row r="74" spans="1:18" ht="18" customHeight="1">
      <c r="A74" s="5">
        <f t="shared" si="2"/>
        <v>69</v>
      </c>
      <c r="B74" s="134" t="s">
        <v>200</v>
      </c>
      <c r="C74" s="135"/>
      <c r="D74" s="119"/>
      <c r="E74" s="120"/>
      <c r="F74" s="121"/>
      <c r="G74" s="110" t="s">
        <v>124</v>
      </c>
      <c r="H74" s="118">
        <v>6</v>
      </c>
      <c r="I74" s="111">
        <v>1775</v>
      </c>
      <c r="J74" s="98">
        <f t="shared" si="1"/>
        <v>10650</v>
      </c>
      <c r="K74" s="99"/>
      <c r="L74" s="100"/>
      <c r="R74" s="96"/>
    </row>
    <row r="75" spans="1:18" ht="18" customHeight="1">
      <c r="A75" s="5">
        <f t="shared" si="2"/>
        <v>70</v>
      </c>
      <c r="B75" s="134" t="s">
        <v>201</v>
      </c>
      <c r="C75" s="135"/>
      <c r="D75" s="119"/>
      <c r="E75" s="120"/>
      <c r="F75" s="121"/>
      <c r="G75" s="110" t="s">
        <v>124</v>
      </c>
      <c r="H75" s="118">
        <v>5</v>
      </c>
      <c r="I75" s="111">
        <v>45</v>
      </c>
      <c r="J75" s="98">
        <f t="shared" si="1"/>
        <v>225</v>
      </c>
      <c r="K75" s="99"/>
      <c r="L75" s="100"/>
      <c r="R75" s="96"/>
    </row>
    <row r="76" spans="1:18" ht="18" customHeight="1">
      <c r="A76" s="5">
        <f t="shared" si="2"/>
        <v>71</v>
      </c>
      <c r="B76" s="134" t="s">
        <v>202</v>
      </c>
      <c r="C76" s="135"/>
      <c r="D76" s="119"/>
      <c r="E76" s="120"/>
      <c r="F76" s="121"/>
      <c r="G76" s="110" t="s">
        <v>124</v>
      </c>
      <c r="H76" s="118">
        <v>50</v>
      </c>
      <c r="I76" s="111">
        <v>11</v>
      </c>
      <c r="J76" s="98">
        <f t="shared" si="1"/>
        <v>550</v>
      </c>
      <c r="K76" s="99"/>
      <c r="L76" s="100"/>
      <c r="R76" s="96"/>
    </row>
    <row r="77" spans="1:18" ht="18" customHeight="1">
      <c r="A77" s="5">
        <f t="shared" si="2"/>
        <v>72</v>
      </c>
      <c r="B77" s="134" t="s">
        <v>203</v>
      </c>
      <c r="C77" s="135"/>
      <c r="D77" s="119"/>
      <c r="E77" s="120"/>
      <c r="F77" s="121"/>
      <c r="G77" s="110" t="s">
        <v>305</v>
      </c>
      <c r="H77" s="118">
        <v>1</v>
      </c>
      <c r="I77" s="111">
        <v>145</v>
      </c>
      <c r="J77" s="98">
        <f t="shared" si="1"/>
        <v>145</v>
      </c>
      <c r="K77" s="99"/>
      <c r="L77" s="100"/>
      <c r="R77" s="96"/>
    </row>
    <row r="78" spans="1:18" ht="18" customHeight="1">
      <c r="A78" s="5">
        <f t="shared" si="2"/>
        <v>73</v>
      </c>
      <c r="B78" s="134" t="s">
        <v>204</v>
      </c>
      <c r="C78" s="135"/>
      <c r="D78" s="119"/>
      <c r="E78" s="120"/>
      <c r="F78" s="121"/>
      <c r="G78" s="110" t="s">
        <v>305</v>
      </c>
      <c r="H78" s="118">
        <v>1</v>
      </c>
      <c r="I78" s="111">
        <v>145</v>
      </c>
      <c r="J78" s="98">
        <f t="shared" si="1"/>
        <v>145</v>
      </c>
      <c r="K78" s="99"/>
      <c r="L78" s="100"/>
      <c r="R78" s="96"/>
    </row>
    <row r="79" spans="1:18" ht="18" customHeight="1">
      <c r="A79" s="5">
        <f t="shared" si="2"/>
        <v>74</v>
      </c>
      <c r="B79" s="134" t="s">
        <v>205</v>
      </c>
      <c r="C79" s="135"/>
      <c r="D79" s="119"/>
      <c r="E79" s="120"/>
      <c r="F79" s="121"/>
      <c r="G79" s="110" t="s">
        <v>125</v>
      </c>
      <c r="H79" s="118">
        <v>150</v>
      </c>
      <c r="I79" s="111">
        <v>13</v>
      </c>
      <c r="J79" s="98">
        <f t="shared" si="1"/>
        <v>1950</v>
      </c>
      <c r="K79" s="99"/>
      <c r="L79" s="100"/>
      <c r="R79" s="96"/>
    </row>
    <row r="80" spans="1:18" ht="18" customHeight="1">
      <c r="A80" s="5">
        <f t="shared" si="2"/>
        <v>75</v>
      </c>
      <c r="B80" s="134" t="s">
        <v>206</v>
      </c>
      <c r="C80" s="135"/>
      <c r="D80" s="119"/>
      <c r="E80" s="120"/>
      <c r="F80" s="121"/>
      <c r="G80" s="110" t="s">
        <v>305</v>
      </c>
      <c r="H80" s="118">
        <v>10</v>
      </c>
      <c r="I80" s="111">
        <v>245</v>
      </c>
      <c r="J80" s="98">
        <f t="shared" si="1"/>
        <v>2450</v>
      </c>
      <c r="K80" s="99"/>
      <c r="L80" s="100"/>
      <c r="R80" s="96"/>
    </row>
    <row r="81" spans="1:18" ht="18" customHeight="1">
      <c r="A81" s="5">
        <f t="shared" si="2"/>
        <v>76</v>
      </c>
      <c r="B81" s="134" t="s">
        <v>207</v>
      </c>
      <c r="C81" s="135"/>
      <c r="D81" s="119"/>
      <c r="E81" s="120"/>
      <c r="F81" s="121"/>
      <c r="G81" s="110" t="s">
        <v>124</v>
      </c>
      <c r="H81" s="118">
        <v>45</v>
      </c>
      <c r="I81" s="111">
        <v>12</v>
      </c>
      <c r="J81" s="98">
        <f t="shared" si="1"/>
        <v>540</v>
      </c>
      <c r="K81" s="99"/>
      <c r="L81" s="100"/>
      <c r="R81" s="96"/>
    </row>
    <row r="82" spans="1:18" ht="18" customHeight="1">
      <c r="A82" s="5">
        <f t="shared" si="2"/>
        <v>77</v>
      </c>
      <c r="B82" s="134" t="s">
        <v>208</v>
      </c>
      <c r="C82" s="135"/>
      <c r="D82" s="119"/>
      <c r="E82" s="120"/>
      <c r="F82" s="121"/>
      <c r="G82" s="110" t="s">
        <v>124</v>
      </c>
      <c r="H82" s="118">
        <v>50</v>
      </c>
      <c r="I82" s="111">
        <v>1.5</v>
      </c>
      <c r="J82" s="98">
        <f t="shared" si="1"/>
        <v>75</v>
      </c>
      <c r="K82" s="99"/>
      <c r="L82" s="100"/>
      <c r="R82" s="96"/>
    </row>
    <row r="83" spans="1:18" ht="18" customHeight="1">
      <c r="A83" s="5">
        <f t="shared" si="2"/>
        <v>78</v>
      </c>
      <c r="B83" s="134" t="s">
        <v>209</v>
      </c>
      <c r="C83" s="135"/>
      <c r="D83" s="119"/>
      <c r="E83" s="120"/>
      <c r="F83" s="121"/>
      <c r="G83" s="110" t="s">
        <v>124</v>
      </c>
      <c r="H83" s="118">
        <v>4</v>
      </c>
      <c r="I83" s="111">
        <v>210</v>
      </c>
      <c r="J83" s="98">
        <f t="shared" si="1"/>
        <v>840</v>
      </c>
      <c r="K83" s="99"/>
      <c r="L83" s="100"/>
      <c r="R83" s="96"/>
    </row>
    <row r="84" spans="1:18" ht="18" customHeight="1">
      <c r="A84" s="5">
        <f t="shared" si="2"/>
        <v>79</v>
      </c>
      <c r="B84" s="134" t="s">
        <v>210</v>
      </c>
      <c r="C84" s="135"/>
      <c r="D84" s="119"/>
      <c r="E84" s="120"/>
      <c r="F84" s="121"/>
      <c r="G84" s="110" t="s">
        <v>124</v>
      </c>
      <c r="H84" s="118">
        <v>30</v>
      </c>
      <c r="I84" s="111">
        <v>17.334</v>
      </c>
      <c r="J84" s="98">
        <f t="shared" si="1"/>
        <v>520.02</v>
      </c>
      <c r="K84" s="99"/>
      <c r="L84" s="100"/>
      <c r="R84" s="96"/>
    </row>
    <row r="85" spans="1:18" ht="18" customHeight="1">
      <c r="A85" s="5">
        <f t="shared" si="2"/>
        <v>80</v>
      </c>
      <c r="B85" s="134" t="s">
        <v>211</v>
      </c>
      <c r="C85" s="135"/>
      <c r="D85" s="119"/>
      <c r="E85" s="120"/>
      <c r="F85" s="121"/>
      <c r="G85" s="110" t="s">
        <v>124</v>
      </c>
      <c r="H85" s="118">
        <v>1</v>
      </c>
      <c r="I85" s="111">
        <v>9.5</v>
      </c>
      <c r="J85" s="98">
        <f t="shared" si="1"/>
        <v>9.5</v>
      </c>
      <c r="K85" s="99"/>
      <c r="L85" s="100"/>
      <c r="R85" s="96"/>
    </row>
    <row r="86" spans="1:18" ht="18" customHeight="1">
      <c r="A86" s="5">
        <f t="shared" si="2"/>
        <v>81</v>
      </c>
      <c r="B86" s="134" t="s">
        <v>212</v>
      </c>
      <c r="C86" s="135"/>
      <c r="D86" s="119"/>
      <c r="E86" s="120"/>
      <c r="F86" s="121"/>
      <c r="G86" s="110" t="s">
        <v>124</v>
      </c>
      <c r="H86" s="118">
        <v>40</v>
      </c>
      <c r="I86" s="111">
        <v>4.5</v>
      </c>
      <c r="J86" s="98">
        <f t="shared" si="1"/>
        <v>180</v>
      </c>
      <c r="K86" s="99"/>
      <c r="L86" s="100"/>
      <c r="R86" s="96"/>
    </row>
    <row r="87" spans="1:18" ht="18" customHeight="1">
      <c r="A87" s="5">
        <f t="shared" si="2"/>
        <v>82</v>
      </c>
      <c r="B87" s="134" t="s">
        <v>213</v>
      </c>
      <c r="C87" s="135"/>
      <c r="D87" s="119"/>
      <c r="E87" s="120"/>
      <c r="F87" s="121"/>
      <c r="G87" s="110" t="s">
        <v>124</v>
      </c>
      <c r="H87" s="118">
        <v>36</v>
      </c>
      <c r="I87" s="111">
        <v>565</v>
      </c>
      <c r="J87" s="98">
        <f t="shared" si="1"/>
        <v>20340</v>
      </c>
      <c r="K87" s="99"/>
      <c r="L87" s="100"/>
      <c r="R87" s="96"/>
    </row>
    <row r="88" spans="1:18" ht="18" customHeight="1">
      <c r="A88" s="5">
        <f t="shared" si="2"/>
        <v>83</v>
      </c>
      <c r="B88" s="134" t="s">
        <v>214</v>
      </c>
      <c r="C88" s="135"/>
      <c r="D88" s="119"/>
      <c r="E88" s="120"/>
      <c r="F88" s="121"/>
      <c r="G88" s="110" t="s">
        <v>124</v>
      </c>
      <c r="H88" s="118">
        <v>10</v>
      </c>
      <c r="I88" s="111">
        <v>12</v>
      </c>
      <c r="J88" s="98">
        <f t="shared" si="1"/>
        <v>120</v>
      </c>
      <c r="K88" s="99"/>
      <c r="L88" s="100"/>
      <c r="R88" s="96"/>
    </row>
    <row r="89" spans="1:18" ht="18" customHeight="1">
      <c r="A89" s="5">
        <f t="shared" si="2"/>
        <v>84</v>
      </c>
      <c r="B89" s="134" t="s">
        <v>215</v>
      </c>
      <c r="C89" s="135"/>
      <c r="D89" s="119"/>
      <c r="E89" s="120"/>
      <c r="F89" s="121"/>
      <c r="G89" s="110" t="s">
        <v>126</v>
      </c>
      <c r="H89" s="118">
        <v>40</v>
      </c>
      <c r="I89" s="111">
        <v>39</v>
      </c>
      <c r="J89" s="98">
        <f t="shared" si="1"/>
        <v>1560</v>
      </c>
      <c r="K89" s="99"/>
      <c r="L89" s="100"/>
      <c r="R89" s="96"/>
    </row>
    <row r="90" spans="1:18" ht="18" customHeight="1">
      <c r="A90" s="5">
        <f t="shared" si="2"/>
        <v>85</v>
      </c>
      <c r="B90" s="134" t="s">
        <v>216</v>
      </c>
      <c r="C90" s="135"/>
      <c r="D90" s="119"/>
      <c r="E90" s="120"/>
      <c r="F90" s="121"/>
      <c r="G90" s="110" t="s">
        <v>304</v>
      </c>
      <c r="H90" s="118">
        <v>12</v>
      </c>
      <c r="I90" s="111">
        <v>195</v>
      </c>
      <c r="J90" s="98">
        <f t="shared" si="1"/>
        <v>2340</v>
      </c>
      <c r="K90" s="99"/>
      <c r="L90" s="100"/>
      <c r="R90" s="96"/>
    </row>
    <row r="91" spans="1:18" ht="18" customHeight="1">
      <c r="A91" s="5">
        <f t="shared" si="2"/>
        <v>86</v>
      </c>
      <c r="B91" s="134" t="s">
        <v>217</v>
      </c>
      <c r="C91" s="135"/>
      <c r="D91" s="119"/>
      <c r="E91" s="120"/>
      <c r="F91" s="121"/>
      <c r="G91" s="110" t="s">
        <v>124</v>
      </c>
      <c r="H91" s="118">
        <v>65</v>
      </c>
      <c r="I91" s="111">
        <v>1.95</v>
      </c>
      <c r="J91" s="98">
        <f t="shared" si="1"/>
        <v>126.75</v>
      </c>
      <c r="K91" s="99"/>
      <c r="L91" s="100"/>
      <c r="R91" s="96"/>
    </row>
    <row r="92" spans="1:18" ht="18" customHeight="1">
      <c r="A92" s="5">
        <f t="shared" si="2"/>
        <v>87</v>
      </c>
      <c r="B92" s="134" t="s">
        <v>218</v>
      </c>
      <c r="C92" s="135"/>
      <c r="D92" s="119"/>
      <c r="E92" s="120"/>
      <c r="F92" s="121"/>
      <c r="G92" s="110" t="s">
        <v>124</v>
      </c>
      <c r="H92" s="118">
        <v>15</v>
      </c>
      <c r="I92" s="111">
        <v>2.25</v>
      </c>
      <c r="J92" s="98">
        <f t="shared" si="1"/>
        <v>33.75</v>
      </c>
      <c r="K92" s="99"/>
      <c r="L92" s="100"/>
      <c r="R92" s="96"/>
    </row>
    <row r="93" spans="1:18" ht="18" customHeight="1">
      <c r="A93" s="5">
        <f t="shared" si="2"/>
        <v>88</v>
      </c>
      <c r="B93" s="134" t="s">
        <v>219</v>
      </c>
      <c r="C93" s="135"/>
      <c r="D93" s="119"/>
      <c r="E93" s="120"/>
      <c r="F93" s="121"/>
      <c r="G93" s="110" t="s">
        <v>124</v>
      </c>
      <c r="H93" s="118">
        <v>30</v>
      </c>
      <c r="I93" s="111">
        <v>14</v>
      </c>
      <c r="J93" s="98">
        <f t="shared" si="1"/>
        <v>420</v>
      </c>
      <c r="K93" s="99"/>
      <c r="L93" s="100"/>
      <c r="R93" s="96"/>
    </row>
    <row r="94" spans="1:18" ht="18" customHeight="1">
      <c r="A94" s="5">
        <f t="shared" si="2"/>
        <v>89</v>
      </c>
      <c r="B94" s="134" t="s">
        <v>220</v>
      </c>
      <c r="C94" s="135"/>
      <c r="D94" s="119"/>
      <c r="E94" s="120"/>
      <c r="F94" s="121"/>
      <c r="G94" s="110" t="s">
        <v>304</v>
      </c>
      <c r="H94" s="118">
        <v>12</v>
      </c>
      <c r="I94" s="111">
        <v>145</v>
      </c>
      <c r="J94" s="98">
        <f t="shared" si="1"/>
        <v>1740</v>
      </c>
      <c r="K94" s="99"/>
      <c r="L94" s="100"/>
      <c r="R94" s="96"/>
    </row>
    <row r="95" spans="1:18" ht="18" customHeight="1">
      <c r="A95" s="5">
        <f t="shared" si="2"/>
        <v>90</v>
      </c>
      <c r="B95" s="134" t="s">
        <v>221</v>
      </c>
      <c r="C95" s="135"/>
      <c r="D95" s="119"/>
      <c r="E95" s="120"/>
      <c r="F95" s="121"/>
      <c r="G95" s="110" t="s">
        <v>124</v>
      </c>
      <c r="H95" s="118">
        <v>50</v>
      </c>
      <c r="I95" s="111">
        <v>3.5</v>
      </c>
      <c r="J95" s="98">
        <f t="shared" si="1"/>
        <v>175</v>
      </c>
      <c r="K95" s="99"/>
      <c r="L95" s="100"/>
      <c r="R95" s="96"/>
    </row>
    <row r="96" spans="1:18" ht="18" customHeight="1">
      <c r="A96" s="5">
        <f t="shared" si="2"/>
        <v>91</v>
      </c>
      <c r="B96" s="134" t="s">
        <v>222</v>
      </c>
      <c r="C96" s="135"/>
      <c r="D96" s="119"/>
      <c r="E96" s="120"/>
      <c r="F96" s="121"/>
      <c r="G96" s="110" t="s">
        <v>124</v>
      </c>
      <c r="H96" s="118">
        <v>4</v>
      </c>
      <c r="I96" s="111">
        <v>520</v>
      </c>
      <c r="J96" s="98">
        <f t="shared" si="1"/>
        <v>2080</v>
      </c>
      <c r="K96" s="99"/>
      <c r="L96" s="100"/>
      <c r="R96" s="96"/>
    </row>
    <row r="97" spans="1:18" ht="18" customHeight="1">
      <c r="A97" s="5">
        <f t="shared" si="2"/>
        <v>92</v>
      </c>
      <c r="B97" s="134" t="s">
        <v>223</v>
      </c>
      <c r="C97" s="135"/>
      <c r="D97" s="119"/>
      <c r="E97" s="120"/>
      <c r="F97" s="121"/>
      <c r="G97" s="110" t="s">
        <v>124</v>
      </c>
      <c r="H97" s="118">
        <v>4</v>
      </c>
      <c r="I97" s="111">
        <v>55</v>
      </c>
      <c r="J97" s="98">
        <f t="shared" si="1"/>
        <v>220</v>
      </c>
      <c r="K97" s="99"/>
      <c r="L97" s="100"/>
      <c r="R97" s="96"/>
    </row>
    <row r="98" spans="1:18" ht="18" customHeight="1">
      <c r="A98" s="5">
        <f t="shared" si="2"/>
        <v>93</v>
      </c>
      <c r="B98" s="134" t="s">
        <v>224</v>
      </c>
      <c r="C98" s="135"/>
      <c r="D98" s="119"/>
      <c r="E98" s="120"/>
      <c r="F98" s="121"/>
      <c r="G98" s="110" t="s">
        <v>124</v>
      </c>
      <c r="H98" s="118">
        <v>4</v>
      </c>
      <c r="I98" s="111">
        <v>30</v>
      </c>
      <c r="J98" s="98">
        <f t="shared" si="1"/>
        <v>120</v>
      </c>
      <c r="K98" s="99"/>
      <c r="L98" s="100"/>
      <c r="R98" s="96"/>
    </row>
    <row r="99" spans="1:18" ht="18" customHeight="1">
      <c r="A99" s="5">
        <f t="shared" si="2"/>
        <v>94</v>
      </c>
      <c r="B99" s="134" t="s">
        <v>225</v>
      </c>
      <c r="C99" s="135"/>
      <c r="D99" s="119"/>
      <c r="E99" s="120"/>
      <c r="F99" s="121"/>
      <c r="G99" s="110" t="s">
        <v>124</v>
      </c>
      <c r="H99" s="118">
        <v>2</v>
      </c>
      <c r="I99" s="111">
        <v>27</v>
      </c>
      <c r="J99" s="98">
        <f t="shared" si="1"/>
        <v>54</v>
      </c>
      <c r="K99" s="99"/>
      <c r="L99" s="100"/>
      <c r="R99" s="96"/>
    </row>
    <row r="100" spans="1:18" ht="18" customHeight="1">
      <c r="A100" s="5">
        <f t="shared" si="2"/>
        <v>95</v>
      </c>
      <c r="B100" s="134" t="s">
        <v>226</v>
      </c>
      <c r="C100" s="135"/>
      <c r="D100" s="119"/>
      <c r="E100" s="120"/>
      <c r="F100" s="121"/>
      <c r="G100" s="110" t="s">
        <v>124</v>
      </c>
      <c r="H100" s="118">
        <v>6</v>
      </c>
      <c r="I100" s="111">
        <v>10</v>
      </c>
      <c r="J100" s="98">
        <f t="shared" si="1"/>
        <v>60</v>
      </c>
      <c r="K100" s="99"/>
      <c r="L100" s="100"/>
      <c r="R100" s="96"/>
    </row>
    <row r="101" spans="1:18" ht="18" customHeight="1">
      <c r="A101" s="5">
        <f t="shared" si="2"/>
        <v>96</v>
      </c>
      <c r="B101" s="134" t="s">
        <v>227</v>
      </c>
      <c r="C101" s="135"/>
      <c r="D101" s="119"/>
      <c r="E101" s="120"/>
      <c r="F101" s="121"/>
      <c r="G101" s="110" t="s">
        <v>124</v>
      </c>
      <c r="H101" s="118">
        <v>2</v>
      </c>
      <c r="I101" s="111">
        <v>40</v>
      </c>
      <c r="J101" s="98">
        <f t="shared" si="1"/>
        <v>80</v>
      </c>
      <c r="K101" s="99"/>
      <c r="L101" s="100"/>
      <c r="R101" s="96"/>
    </row>
    <row r="102" spans="1:18" ht="18" customHeight="1">
      <c r="A102" s="5">
        <f t="shared" si="2"/>
        <v>97</v>
      </c>
      <c r="B102" s="134" t="s">
        <v>228</v>
      </c>
      <c r="C102" s="135"/>
      <c r="D102" s="119"/>
      <c r="E102" s="120"/>
      <c r="F102" s="121"/>
      <c r="G102" s="110" t="s">
        <v>306</v>
      </c>
      <c r="H102" s="118">
        <v>1</v>
      </c>
      <c r="I102" s="111">
        <v>130</v>
      </c>
      <c r="J102" s="98">
        <f t="shared" si="1"/>
        <v>130</v>
      </c>
      <c r="K102" s="99"/>
      <c r="L102" s="100"/>
      <c r="R102" s="96"/>
    </row>
    <row r="103" spans="1:18" ht="18" customHeight="1">
      <c r="A103" s="5">
        <f t="shared" si="2"/>
        <v>98</v>
      </c>
      <c r="B103" s="134" t="s">
        <v>229</v>
      </c>
      <c r="C103" s="135"/>
      <c r="D103" s="119"/>
      <c r="E103" s="120"/>
      <c r="F103" s="121"/>
      <c r="G103" s="110" t="s">
        <v>124</v>
      </c>
      <c r="H103" s="118">
        <v>1</v>
      </c>
      <c r="I103" s="111">
        <v>20</v>
      </c>
      <c r="J103" s="98">
        <f t="shared" si="1"/>
        <v>20</v>
      </c>
      <c r="K103" s="99"/>
      <c r="L103" s="100"/>
      <c r="R103" s="96"/>
    </row>
    <row r="104" spans="1:18" ht="18" customHeight="1">
      <c r="A104" s="5">
        <f t="shared" si="2"/>
        <v>99</v>
      </c>
      <c r="B104" s="134" t="s">
        <v>230</v>
      </c>
      <c r="C104" s="135"/>
      <c r="D104" s="119"/>
      <c r="E104" s="120"/>
      <c r="F104" s="121"/>
      <c r="G104" s="110" t="s">
        <v>124</v>
      </c>
      <c r="H104" s="118">
        <v>1</v>
      </c>
      <c r="I104" s="111">
        <v>20</v>
      </c>
      <c r="J104" s="98">
        <f t="shared" si="1"/>
        <v>20</v>
      </c>
      <c r="K104" s="99"/>
      <c r="L104" s="100"/>
      <c r="R104" s="96"/>
    </row>
    <row r="105" spans="1:18" ht="18" customHeight="1">
      <c r="A105" s="5">
        <f t="shared" si="2"/>
        <v>100</v>
      </c>
      <c r="B105" s="134" t="s">
        <v>231</v>
      </c>
      <c r="C105" s="135"/>
      <c r="D105" s="119"/>
      <c r="E105" s="120"/>
      <c r="F105" s="121"/>
      <c r="G105" s="110" t="s">
        <v>124</v>
      </c>
      <c r="H105" s="118">
        <v>1</v>
      </c>
      <c r="I105" s="111">
        <v>20</v>
      </c>
      <c r="J105" s="98">
        <f t="shared" si="1"/>
        <v>20</v>
      </c>
      <c r="K105" s="99"/>
      <c r="L105" s="100"/>
      <c r="R105" s="96"/>
    </row>
    <row r="106" spans="1:18" ht="18" customHeight="1">
      <c r="A106" s="5">
        <f t="shared" si="2"/>
        <v>101</v>
      </c>
      <c r="B106" s="134" t="s">
        <v>232</v>
      </c>
      <c r="C106" s="135"/>
      <c r="D106" s="119"/>
      <c r="E106" s="120"/>
      <c r="F106" s="121"/>
      <c r="G106" s="110" t="s">
        <v>306</v>
      </c>
      <c r="H106" s="118">
        <v>1</v>
      </c>
      <c r="I106" s="111">
        <v>110</v>
      </c>
      <c r="J106" s="98">
        <f t="shared" si="1"/>
        <v>110</v>
      </c>
      <c r="K106" s="99"/>
      <c r="L106" s="100"/>
      <c r="R106" s="96"/>
    </row>
    <row r="107" spans="1:18" ht="18" customHeight="1">
      <c r="A107" s="5">
        <f t="shared" si="2"/>
        <v>102</v>
      </c>
      <c r="B107" s="134" t="s">
        <v>233</v>
      </c>
      <c r="C107" s="135"/>
      <c r="D107" s="119"/>
      <c r="E107" s="120"/>
      <c r="F107" s="121"/>
      <c r="G107" s="110" t="s">
        <v>124</v>
      </c>
      <c r="H107" s="118">
        <v>1</v>
      </c>
      <c r="I107" s="111">
        <v>235</v>
      </c>
      <c r="J107" s="98">
        <f t="shared" si="1"/>
        <v>235</v>
      </c>
      <c r="K107" s="99"/>
      <c r="L107" s="100"/>
      <c r="R107" s="96"/>
    </row>
    <row r="108" spans="1:18" ht="18" customHeight="1">
      <c r="A108" s="5">
        <f t="shared" si="2"/>
        <v>103</v>
      </c>
      <c r="B108" s="134" t="s">
        <v>234</v>
      </c>
      <c r="C108" s="135"/>
      <c r="D108" s="119"/>
      <c r="E108" s="120"/>
      <c r="F108" s="121"/>
      <c r="G108" s="110" t="s">
        <v>124</v>
      </c>
      <c r="H108" s="118">
        <v>12</v>
      </c>
      <c r="I108" s="111">
        <v>230</v>
      </c>
      <c r="J108" s="98">
        <f t="shared" si="1"/>
        <v>2760</v>
      </c>
      <c r="K108" s="99"/>
      <c r="L108" s="100"/>
      <c r="R108" s="96"/>
    </row>
    <row r="109" spans="1:18" ht="18" customHeight="1">
      <c r="A109" s="5">
        <f t="shared" si="2"/>
        <v>104</v>
      </c>
      <c r="B109" s="134" t="s">
        <v>235</v>
      </c>
      <c r="C109" s="135"/>
      <c r="D109" s="119"/>
      <c r="E109" s="120"/>
      <c r="F109" s="121"/>
      <c r="G109" s="110" t="s">
        <v>124</v>
      </c>
      <c r="H109" s="118">
        <v>2</v>
      </c>
      <c r="I109" s="111">
        <v>1700</v>
      </c>
      <c r="J109" s="98">
        <f t="shared" si="1"/>
        <v>3400</v>
      </c>
      <c r="K109" s="99"/>
      <c r="L109" s="100"/>
      <c r="R109" s="96"/>
    </row>
    <row r="110" spans="1:18" ht="18" customHeight="1">
      <c r="A110" s="5">
        <f t="shared" si="2"/>
        <v>105</v>
      </c>
      <c r="B110" s="134" t="s">
        <v>236</v>
      </c>
      <c r="C110" s="135"/>
      <c r="D110" s="119"/>
      <c r="E110" s="120"/>
      <c r="F110" s="121"/>
      <c r="G110" s="110" t="s">
        <v>127</v>
      </c>
      <c r="H110" s="118">
        <v>460</v>
      </c>
      <c r="I110" s="111">
        <v>4.5</v>
      </c>
      <c r="J110" s="98">
        <f t="shared" si="1"/>
        <v>2070</v>
      </c>
      <c r="K110" s="99"/>
      <c r="L110" s="100"/>
      <c r="R110" s="96"/>
    </row>
    <row r="111" spans="1:18" ht="18" customHeight="1">
      <c r="A111" s="5">
        <f t="shared" si="2"/>
        <v>106</v>
      </c>
      <c r="B111" s="134" t="s">
        <v>237</v>
      </c>
      <c r="C111" s="135"/>
      <c r="D111" s="119"/>
      <c r="E111" s="120"/>
      <c r="F111" s="121"/>
      <c r="G111" s="110" t="s">
        <v>307</v>
      </c>
      <c r="H111" s="118">
        <v>15</v>
      </c>
      <c r="I111" s="111">
        <v>45</v>
      </c>
      <c r="J111" s="98">
        <f t="shared" si="1"/>
        <v>675</v>
      </c>
      <c r="K111" s="99"/>
      <c r="L111" s="100"/>
      <c r="R111" s="96"/>
    </row>
    <row r="112" spans="1:18" ht="18" customHeight="1">
      <c r="A112" s="5">
        <f t="shared" si="2"/>
        <v>107</v>
      </c>
      <c r="B112" s="134" t="s">
        <v>238</v>
      </c>
      <c r="C112" s="135"/>
      <c r="D112" s="119"/>
      <c r="E112" s="120"/>
      <c r="F112" s="121"/>
      <c r="G112" s="110" t="s">
        <v>307</v>
      </c>
      <c r="H112" s="118">
        <v>15</v>
      </c>
      <c r="I112" s="111">
        <v>80</v>
      </c>
      <c r="J112" s="98">
        <f t="shared" si="1"/>
        <v>1200</v>
      </c>
      <c r="K112" s="99"/>
      <c r="L112" s="100"/>
      <c r="R112" s="96"/>
    </row>
    <row r="113" spans="1:18" ht="18" customHeight="1">
      <c r="A113" s="5">
        <f t="shared" si="2"/>
        <v>108</v>
      </c>
      <c r="B113" s="134" t="s">
        <v>239</v>
      </c>
      <c r="C113" s="135"/>
      <c r="D113" s="119"/>
      <c r="E113" s="120"/>
      <c r="F113" s="121"/>
      <c r="G113" s="110" t="s">
        <v>125</v>
      </c>
      <c r="H113" s="118">
        <v>65</v>
      </c>
      <c r="I113" s="111">
        <v>7</v>
      </c>
      <c r="J113" s="98">
        <f t="shared" si="1"/>
        <v>455</v>
      </c>
      <c r="K113" s="99"/>
      <c r="L113" s="100"/>
      <c r="R113" s="96"/>
    </row>
    <row r="114" spans="1:18" ht="18" customHeight="1">
      <c r="A114" s="5">
        <f t="shared" si="2"/>
        <v>109</v>
      </c>
      <c r="B114" s="134" t="s">
        <v>240</v>
      </c>
      <c r="C114" s="135"/>
      <c r="D114" s="119"/>
      <c r="E114" s="120"/>
      <c r="F114" s="121"/>
      <c r="G114" s="110" t="s">
        <v>304</v>
      </c>
      <c r="H114" s="118">
        <v>2</v>
      </c>
      <c r="I114" s="111">
        <v>355</v>
      </c>
      <c r="J114" s="98">
        <f t="shared" si="1"/>
        <v>710</v>
      </c>
      <c r="K114" s="99"/>
      <c r="L114" s="100"/>
      <c r="R114" s="96"/>
    </row>
    <row r="115" spans="1:18" ht="18" customHeight="1">
      <c r="A115" s="5">
        <f t="shared" si="2"/>
        <v>110</v>
      </c>
      <c r="B115" s="134" t="s">
        <v>241</v>
      </c>
      <c r="C115" s="135"/>
      <c r="D115" s="119"/>
      <c r="E115" s="120"/>
      <c r="F115" s="121"/>
      <c r="G115" s="110" t="s">
        <v>304</v>
      </c>
      <c r="H115" s="118">
        <v>30</v>
      </c>
      <c r="I115" s="111">
        <v>12.5</v>
      </c>
      <c r="J115" s="98">
        <f t="shared" si="1"/>
        <v>375</v>
      </c>
      <c r="K115" s="99"/>
      <c r="L115" s="100"/>
      <c r="R115" s="96"/>
    </row>
    <row r="116" spans="1:18" ht="18" customHeight="1">
      <c r="A116" s="5">
        <f t="shared" si="2"/>
        <v>111</v>
      </c>
      <c r="B116" s="134" t="s">
        <v>242</v>
      </c>
      <c r="C116" s="135"/>
      <c r="D116" s="119"/>
      <c r="E116" s="120"/>
      <c r="F116" s="121"/>
      <c r="G116" s="110" t="s">
        <v>304</v>
      </c>
      <c r="H116" s="118">
        <v>40</v>
      </c>
      <c r="I116" s="111">
        <v>7</v>
      </c>
      <c r="J116" s="98">
        <f t="shared" si="1"/>
        <v>280</v>
      </c>
      <c r="K116" s="99"/>
      <c r="L116" s="100"/>
      <c r="R116" s="96"/>
    </row>
    <row r="117" spans="1:18" ht="18" customHeight="1">
      <c r="A117" s="5">
        <f t="shared" si="2"/>
        <v>112</v>
      </c>
      <c r="B117" s="134" t="s">
        <v>243</v>
      </c>
      <c r="C117" s="135"/>
      <c r="D117" s="119"/>
      <c r="E117" s="120"/>
      <c r="F117" s="121"/>
      <c r="G117" s="110" t="s">
        <v>304</v>
      </c>
      <c r="H117" s="118">
        <v>30</v>
      </c>
      <c r="I117" s="111">
        <v>9.5</v>
      </c>
      <c r="J117" s="98">
        <f t="shared" si="1"/>
        <v>285</v>
      </c>
      <c r="K117" s="99"/>
      <c r="L117" s="100"/>
      <c r="R117" s="96"/>
    </row>
    <row r="118" spans="1:18" ht="18" customHeight="1">
      <c r="A118" s="5">
        <f t="shared" si="2"/>
        <v>113</v>
      </c>
      <c r="B118" s="134" t="s">
        <v>244</v>
      </c>
      <c r="C118" s="135"/>
      <c r="D118" s="119"/>
      <c r="E118" s="120"/>
      <c r="F118" s="121"/>
      <c r="G118" s="110" t="s">
        <v>304</v>
      </c>
      <c r="H118" s="118">
        <v>40</v>
      </c>
      <c r="I118" s="111">
        <v>19</v>
      </c>
      <c r="J118" s="98">
        <f t="shared" ref="J118:J144" si="3">H118*I118</f>
        <v>760</v>
      </c>
      <c r="K118" s="99"/>
      <c r="L118" s="100"/>
      <c r="R118" s="96"/>
    </row>
    <row r="119" spans="1:18" ht="18" customHeight="1">
      <c r="A119" s="5">
        <f t="shared" si="2"/>
        <v>114</v>
      </c>
      <c r="B119" s="134" t="s">
        <v>245</v>
      </c>
      <c r="C119" s="135"/>
      <c r="D119" s="119"/>
      <c r="E119" s="120"/>
      <c r="F119" s="121"/>
      <c r="G119" s="110" t="s">
        <v>304</v>
      </c>
      <c r="H119" s="118">
        <v>26</v>
      </c>
      <c r="I119" s="111">
        <v>14</v>
      </c>
      <c r="J119" s="98">
        <f t="shared" si="3"/>
        <v>364</v>
      </c>
      <c r="K119" s="99"/>
      <c r="L119" s="100"/>
      <c r="R119" s="96"/>
    </row>
    <row r="120" spans="1:18" ht="18" customHeight="1">
      <c r="A120" s="5">
        <f t="shared" si="2"/>
        <v>115</v>
      </c>
      <c r="B120" s="134" t="s">
        <v>246</v>
      </c>
      <c r="C120" s="135"/>
      <c r="D120" s="119"/>
      <c r="E120" s="120"/>
      <c r="F120" s="121"/>
      <c r="G120" s="110" t="s">
        <v>304</v>
      </c>
      <c r="H120" s="118">
        <v>40</v>
      </c>
      <c r="I120" s="111">
        <v>25</v>
      </c>
      <c r="J120" s="98">
        <f t="shared" si="3"/>
        <v>1000</v>
      </c>
      <c r="K120" s="99"/>
      <c r="L120" s="100"/>
      <c r="R120" s="96"/>
    </row>
    <row r="121" spans="1:18" ht="18" customHeight="1">
      <c r="A121" s="5">
        <f t="shared" si="2"/>
        <v>116</v>
      </c>
      <c r="B121" s="134" t="s">
        <v>247</v>
      </c>
      <c r="C121" s="135"/>
      <c r="D121" s="119"/>
      <c r="E121" s="120"/>
      <c r="F121" s="121"/>
      <c r="G121" s="110" t="s">
        <v>304</v>
      </c>
      <c r="H121" s="118">
        <v>40</v>
      </c>
      <c r="I121" s="111">
        <v>32</v>
      </c>
      <c r="J121" s="98">
        <f t="shared" si="3"/>
        <v>1280</v>
      </c>
      <c r="K121" s="99"/>
      <c r="L121" s="100"/>
      <c r="R121" s="96"/>
    </row>
    <row r="122" spans="1:18" ht="18" customHeight="1">
      <c r="A122" s="5">
        <f t="shared" si="2"/>
        <v>117</v>
      </c>
      <c r="B122" s="134" t="s">
        <v>248</v>
      </c>
      <c r="C122" s="135"/>
      <c r="D122" s="119"/>
      <c r="E122" s="120"/>
      <c r="F122" s="121"/>
      <c r="G122" s="110" t="s">
        <v>304</v>
      </c>
      <c r="H122" s="118">
        <v>28</v>
      </c>
      <c r="I122" s="111">
        <v>155</v>
      </c>
      <c r="J122" s="98">
        <f t="shared" si="3"/>
        <v>4340</v>
      </c>
      <c r="K122" s="99"/>
      <c r="L122" s="100"/>
      <c r="R122" s="96"/>
    </row>
    <row r="123" spans="1:18" ht="18" customHeight="1">
      <c r="A123" s="5">
        <f t="shared" si="2"/>
        <v>118</v>
      </c>
      <c r="B123" s="134" t="s">
        <v>249</v>
      </c>
      <c r="C123" s="135"/>
      <c r="D123" s="119"/>
      <c r="E123" s="120"/>
      <c r="F123" s="121"/>
      <c r="G123" s="110" t="s">
        <v>304</v>
      </c>
      <c r="H123" s="118">
        <v>6</v>
      </c>
      <c r="I123" s="111">
        <v>16</v>
      </c>
      <c r="J123" s="98">
        <f t="shared" si="3"/>
        <v>96</v>
      </c>
      <c r="K123" s="99"/>
      <c r="L123" s="100"/>
      <c r="R123" s="96"/>
    </row>
    <row r="124" spans="1:18" ht="18" customHeight="1">
      <c r="A124" s="5">
        <f t="shared" si="2"/>
        <v>119</v>
      </c>
      <c r="B124" s="134" t="s">
        <v>250</v>
      </c>
      <c r="C124" s="135"/>
      <c r="D124" s="119"/>
      <c r="E124" s="120"/>
      <c r="F124" s="121"/>
      <c r="G124" s="110" t="s">
        <v>304</v>
      </c>
      <c r="H124" s="118">
        <v>2</v>
      </c>
      <c r="I124" s="111">
        <v>60</v>
      </c>
      <c r="J124" s="98">
        <f t="shared" si="3"/>
        <v>120</v>
      </c>
      <c r="K124" s="99"/>
      <c r="L124" s="100"/>
      <c r="R124" s="96"/>
    </row>
    <row r="125" spans="1:18" ht="18" customHeight="1">
      <c r="A125" s="5">
        <f t="shared" si="2"/>
        <v>120</v>
      </c>
      <c r="B125" s="134" t="s">
        <v>251</v>
      </c>
      <c r="C125" s="135"/>
      <c r="D125" s="119"/>
      <c r="E125" s="120"/>
      <c r="F125" s="121"/>
      <c r="G125" s="110" t="s">
        <v>304</v>
      </c>
      <c r="H125" s="118">
        <v>5</v>
      </c>
      <c r="I125" s="111">
        <v>2.25</v>
      </c>
      <c r="J125" s="98">
        <f t="shared" si="3"/>
        <v>11.25</v>
      </c>
      <c r="K125" s="99"/>
      <c r="L125" s="100"/>
      <c r="R125" s="96"/>
    </row>
    <row r="126" spans="1:18" ht="18" customHeight="1">
      <c r="A126" s="5">
        <f t="shared" si="2"/>
        <v>121</v>
      </c>
      <c r="B126" s="134" t="s">
        <v>252</v>
      </c>
      <c r="C126" s="135"/>
      <c r="D126" s="119"/>
      <c r="E126" s="120"/>
      <c r="F126" s="121"/>
      <c r="G126" s="110" t="s">
        <v>304</v>
      </c>
      <c r="H126" s="118">
        <v>5</v>
      </c>
      <c r="I126" s="111">
        <v>3.75</v>
      </c>
      <c r="J126" s="98">
        <f t="shared" si="3"/>
        <v>18.75</v>
      </c>
      <c r="K126" s="99"/>
      <c r="L126" s="100"/>
      <c r="R126" s="96"/>
    </row>
    <row r="127" spans="1:18" ht="18" customHeight="1">
      <c r="A127" s="5">
        <f t="shared" si="2"/>
        <v>122</v>
      </c>
      <c r="B127" s="134" t="s">
        <v>253</v>
      </c>
      <c r="C127" s="135"/>
      <c r="D127" s="119"/>
      <c r="E127" s="120"/>
      <c r="F127" s="121"/>
      <c r="G127" s="110" t="s">
        <v>304</v>
      </c>
      <c r="H127" s="118">
        <v>200</v>
      </c>
      <c r="I127" s="111">
        <v>2.2000000000000002</v>
      </c>
      <c r="J127" s="98">
        <f t="shared" si="3"/>
        <v>440.00000000000006</v>
      </c>
      <c r="K127" s="99"/>
      <c r="L127" s="100"/>
      <c r="R127" s="96"/>
    </row>
    <row r="128" spans="1:18" ht="18" customHeight="1">
      <c r="A128" s="5">
        <f t="shared" si="2"/>
        <v>123</v>
      </c>
      <c r="B128" s="134" t="s">
        <v>254</v>
      </c>
      <c r="C128" s="135"/>
      <c r="D128" s="119"/>
      <c r="E128" s="120"/>
      <c r="F128" s="121"/>
      <c r="G128" s="110" t="s">
        <v>304</v>
      </c>
      <c r="H128" s="118">
        <v>100</v>
      </c>
      <c r="I128" s="111">
        <v>3.5</v>
      </c>
      <c r="J128" s="98">
        <f t="shared" si="3"/>
        <v>350</v>
      </c>
      <c r="K128" s="99"/>
      <c r="L128" s="100"/>
      <c r="R128" s="96"/>
    </row>
    <row r="129" spans="1:18" ht="18" customHeight="1">
      <c r="A129" s="5">
        <f t="shared" si="2"/>
        <v>124</v>
      </c>
      <c r="B129" s="134" t="s">
        <v>255</v>
      </c>
      <c r="C129" s="135"/>
      <c r="D129" s="119"/>
      <c r="E129" s="120"/>
      <c r="F129" s="121"/>
      <c r="G129" s="110" t="s">
        <v>304</v>
      </c>
      <c r="H129" s="118">
        <v>100</v>
      </c>
      <c r="I129" s="111">
        <v>5.5</v>
      </c>
      <c r="J129" s="98">
        <f t="shared" si="3"/>
        <v>550</v>
      </c>
      <c r="K129" s="99"/>
      <c r="L129" s="100"/>
      <c r="R129" s="96"/>
    </row>
    <row r="130" spans="1:18" ht="18" customHeight="1">
      <c r="A130" s="5">
        <f t="shared" si="2"/>
        <v>125</v>
      </c>
      <c r="B130" s="134" t="s">
        <v>256</v>
      </c>
      <c r="C130" s="135"/>
      <c r="D130" s="119"/>
      <c r="E130" s="120"/>
      <c r="F130" s="121"/>
      <c r="G130" s="110" t="s">
        <v>304</v>
      </c>
      <c r="H130" s="118">
        <v>760</v>
      </c>
      <c r="I130" s="111">
        <v>16.75</v>
      </c>
      <c r="J130" s="98">
        <f t="shared" si="3"/>
        <v>12730</v>
      </c>
      <c r="K130" s="99"/>
      <c r="L130" s="100"/>
      <c r="R130" s="96"/>
    </row>
    <row r="131" spans="1:18" ht="18" customHeight="1">
      <c r="A131" s="5">
        <f t="shared" si="2"/>
        <v>126</v>
      </c>
      <c r="B131" s="134" t="s">
        <v>257</v>
      </c>
      <c r="C131" s="135"/>
      <c r="D131" s="119"/>
      <c r="E131" s="120"/>
      <c r="F131" s="121"/>
      <c r="G131" s="110" t="s">
        <v>126</v>
      </c>
      <c r="H131" s="118">
        <v>45</v>
      </c>
      <c r="I131" s="111">
        <v>520</v>
      </c>
      <c r="J131" s="98">
        <f t="shared" si="3"/>
        <v>23400</v>
      </c>
      <c r="K131" s="99"/>
      <c r="L131" s="100"/>
      <c r="R131" s="96"/>
    </row>
    <row r="132" spans="1:18" ht="18" customHeight="1">
      <c r="A132" s="5">
        <f t="shared" si="2"/>
        <v>127</v>
      </c>
      <c r="B132" s="134" t="s">
        <v>258</v>
      </c>
      <c r="C132" s="135"/>
      <c r="D132" s="119"/>
      <c r="E132" s="120"/>
      <c r="F132" s="121"/>
      <c r="G132" s="110" t="s">
        <v>304</v>
      </c>
      <c r="H132" s="118">
        <v>25</v>
      </c>
      <c r="I132" s="111">
        <v>24</v>
      </c>
      <c r="J132" s="98">
        <f t="shared" si="3"/>
        <v>600</v>
      </c>
      <c r="K132" s="99"/>
      <c r="L132" s="100"/>
      <c r="R132" s="96"/>
    </row>
    <row r="133" spans="1:18" ht="18" customHeight="1">
      <c r="A133" s="5">
        <f t="shared" si="2"/>
        <v>128</v>
      </c>
      <c r="B133" s="134" t="s">
        <v>129</v>
      </c>
      <c r="C133" s="135"/>
      <c r="D133" s="119"/>
      <c r="E133" s="120"/>
      <c r="F133" s="121"/>
      <c r="G133" s="110" t="s">
        <v>304</v>
      </c>
      <c r="H133" s="118">
        <v>25</v>
      </c>
      <c r="I133" s="111">
        <v>31</v>
      </c>
      <c r="J133" s="98">
        <f t="shared" si="3"/>
        <v>775</v>
      </c>
      <c r="K133" s="99"/>
      <c r="L133" s="100"/>
      <c r="R133" s="96"/>
    </row>
    <row r="134" spans="1:18" ht="18" customHeight="1">
      <c r="A134" s="5">
        <f t="shared" ref="A134:A180" si="4">ROW(A129)</f>
        <v>129</v>
      </c>
      <c r="B134" s="134" t="s">
        <v>259</v>
      </c>
      <c r="C134" s="135"/>
      <c r="D134" s="119"/>
      <c r="E134" s="120"/>
      <c r="F134" s="121"/>
      <c r="G134" s="110" t="s">
        <v>304</v>
      </c>
      <c r="H134" s="118">
        <v>6</v>
      </c>
      <c r="I134" s="111">
        <v>22</v>
      </c>
      <c r="J134" s="98">
        <f t="shared" si="3"/>
        <v>132</v>
      </c>
      <c r="K134" s="99"/>
      <c r="L134" s="100"/>
      <c r="R134" s="96"/>
    </row>
    <row r="135" spans="1:18" ht="18" customHeight="1">
      <c r="A135" s="5">
        <f t="shared" si="4"/>
        <v>130</v>
      </c>
      <c r="B135" s="134" t="s">
        <v>260</v>
      </c>
      <c r="C135" s="135"/>
      <c r="D135" s="119"/>
      <c r="E135" s="120"/>
      <c r="F135" s="121"/>
      <c r="G135" s="110" t="s">
        <v>304</v>
      </c>
      <c r="H135" s="118">
        <v>10</v>
      </c>
      <c r="I135" s="111">
        <v>24</v>
      </c>
      <c r="J135" s="98">
        <f t="shared" si="3"/>
        <v>240</v>
      </c>
      <c r="K135" s="99"/>
      <c r="L135" s="100"/>
      <c r="R135" s="96"/>
    </row>
    <row r="136" spans="1:18" ht="18" customHeight="1">
      <c r="A136" s="5">
        <f t="shared" si="4"/>
        <v>131</v>
      </c>
      <c r="B136" s="134" t="s">
        <v>261</v>
      </c>
      <c r="C136" s="135"/>
      <c r="D136" s="119"/>
      <c r="E136" s="120"/>
      <c r="F136" s="121"/>
      <c r="G136" s="110" t="s">
        <v>304</v>
      </c>
      <c r="H136" s="118">
        <v>10</v>
      </c>
      <c r="I136" s="111">
        <v>28</v>
      </c>
      <c r="J136" s="98">
        <f t="shared" si="3"/>
        <v>280</v>
      </c>
      <c r="K136" s="99"/>
      <c r="L136" s="100"/>
      <c r="R136" s="96"/>
    </row>
    <row r="137" spans="1:18" ht="18" customHeight="1">
      <c r="A137" s="5">
        <f t="shared" si="4"/>
        <v>132</v>
      </c>
      <c r="B137" s="134" t="s">
        <v>262</v>
      </c>
      <c r="C137" s="135"/>
      <c r="D137" s="119"/>
      <c r="E137" s="120"/>
      <c r="F137" s="121"/>
      <c r="G137" s="110" t="s">
        <v>304</v>
      </c>
      <c r="H137" s="118">
        <v>6</v>
      </c>
      <c r="I137" s="111">
        <v>30</v>
      </c>
      <c r="J137" s="98">
        <f t="shared" si="3"/>
        <v>180</v>
      </c>
      <c r="K137" s="99"/>
      <c r="L137" s="100"/>
      <c r="R137" s="96"/>
    </row>
    <row r="138" spans="1:18" ht="18" customHeight="1">
      <c r="A138" s="5">
        <f t="shared" si="4"/>
        <v>133</v>
      </c>
      <c r="B138" s="134" t="s">
        <v>263</v>
      </c>
      <c r="C138" s="135"/>
      <c r="D138" s="119"/>
      <c r="E138" s="120"/>
      <c r="F138" s="121"/>
      <c r="G138" s="110" t="s">
        <v>304</v>
      </c>
      <c r="H138" s="118">
        <v>6</v>
      </c>
      <c r="I138" s="111">
        <v>110</v>
      </c>
      <c r="J138" s="98">
        <f t="shared" si="3"/>
        <v>660</v>
      </c>
      <c r="K138" s="99"/>
      <c r="L138" s="100"/>
      <c r="R138" s="96"/>
    </row>
    <row r="139" spans="1:18" ht="18" customHeight="1">
      <c r="A139" s="5">
        <f t="shared" si="4"/>
        <v>134</v>
      </c>
      <c r="B139" s="134" t="s">
        <v>264</v>
      </c>
      <c r="C139" s="135"/>
      <c r="D139" s="119"/>
      <c r="E139" s="120"/>
      <c r="F139" s="121"/>
      <c r="G139" s="110" t="s">
        <v>124</v>
      </c>
      <c r="H139" s="118">
        <v>6</v>
      </c>
      <c r="I139" s="111">
        <v>1405</v>
      </c>
      <c r="J139" s="98">
        <f t="shared" si="3"/>
        <v>8430</v>
      </c>
      <c r="K139" s="99"/>
      <c r="L139" s="100"/>
      <c r="R139" s="96"/>
    </row>
    <row r="140" spans="1:18" ht="18" customHeight="1">
      <c r="A140" s="5">
        <f t="shared" si="4"/>
        <v>135</v>
      </c>
      <c r="B140" s="134" t="s">
        <v>265</v>
      </c>
      <c r="C140" s="135"/>
      <c r="D140" s="119"/>
      <c r="E140" s="120"/>
      <c r="F140" s="121"/>
      <c r="G140" s="110" t="s">
        <v>124</v>
      </c>
      <c r="H140" s="118">
        <v>4</v>
      </c>
      <c r="I140" s="111">
        <v>430</v>
      </c>
      <c r="J140" s="98">
        <f t="shared" si="3"/>
        <v>1720</v>
      </c>
      <c r="K140" s="99"/>
      <c r="L140" s="100"/>
      <c r="R140" s="96"/>
    </row>
    <row r="141" spans="1:18" ht="18" customHeight="1">
      <c r="A141" s="5">
        <f t="shared" si="4"/>
        <v>136</v>
      </c>
      <c r="B141" s="134" t="s">
        <v>266</v>
      </c>
      <c r="C141" s="135"/>
      <c r="D141" s="119"/>
      <c r="E141" s="120"/>
      <c r="F141" s="121"/>
      <c r="G141" s="110" t="s">
        <v>124</v>
      </c>
      <c r="H141" s="118">
        <v>10</v>
      </c>
      <c r="I141" s="111">
        <v>195</v>
      </c>
      <c r="J141" s="98">
        <f t="shared" si="3"/>
        <v>1950</v>
      </c>
      <c r="K141" s="99"/>
      <c r="L141" s="100"/>
      <c r="R141" s="96"/>
    </row>
    <row r="142" spans="1:18" ht="18" customHeight="1">
      <c r="A142" s="5">
        <f t="shared" si="4"/>
        <v>137</v>
      </c>
      <c r="B142" s="134" t="s">
        <v>267</v>
      </c>
      <c r="C142" s="135"/>
      <c r="D142" s="119"/>
      <c r="E142" s="120"/>
      <c r="F142" s="121"/>
      <c r="G142" s="110" t="s">
        <v>304</v>
      </c>
      <c r="H142" s="118">
        <v>20</v>
      </c>
      <c r="I142" s="111">
        <v>42</v>
      </c>
      <c r="J142" s="98">
        <f t="shared" si="3"/>
        <v>840</v>
      </c>
      <c r="K142" s="99"/>
      <c r="L142" s="100"/>
      <c r="R142" s="96"/>
    </row>
    <row r="143" spans="1:18" ht="18" customHeight="1">
      <c r="A143" s="5">
        <f t="shared" si="4"/>
        <v>138</v>
      </c>
      <c r="B143" s="134" t="s">
        <v>268</v>
      </c>
      <c r="C143" s="135"/>
      <c r="D143" s="119"/>
      <c r="E143" s="120"/>
      <c r="F143" s="121"/>
      <c r="G143" s="110" t="s">
        <v>304</v>
      </c>
      <c r="H143" s="118">
        <v>20</v>
      </c>
      <c r="I143" s="111">
        <v>83</v>
      </c>
      <c r="J143" s="98">
        <f t="shared" si="3"/>
        <v>1660</v>
      </c>
      <c r="K143" s="99"/>
      <c r="L143" s="100"/>
      <c r="R143" s="96"/>
    </row>
    <row r="144" spans="1:18" ht="18" customHeight="1">
      <c r="A144" s="5">
        <f t="shared" si="4"/>
        <v>139</v>
      </c>
      <c r="B144" s="134" t="s">
        <v>269</v>
      </c>
      <c r="C144" s="135"/>
      <c r="D144" s="119"/>
      <c r="E144" s="120"/>
      <c r="F144" s="121"/>
      <c r="G144" s="110" t="s">
        <v>304</v>
      </c>
      <c r="H144" s="118">
        <v>90</v>
      </c>
      <c r="I144" s="111">
        <v>110</v>
      </c>
      <c r="J144" s="98">
        <f t="shared" si="3"/>
        <v>9900</v>
      </c>
      <c r="K144" s="99"/>
      <c r="L144" s="100"/>
      <c r="R144" s="96"/>
    </row>
    <row r="145" spans="1:18" ht="18" customHeight="1">
      <c r="A145" s="5">
        <f t="shared" si="4"/>
        <v>140</v>
      </c>
      <c r="B145" s="134" t="s">
        <v>270</v>
      </c>
      <c r="C145" s="135"/>
      <c r="D145" s="119"/>
      <c r="E145" s="120"/>
      <c r="F145" s="121"/>
      <c r="G145" s="110" t="s">
        <v>304</v>
      </c>
      <c r="H145" s="118">
        <v>90</v>
      </c>
      <c r="I145" s="111">
        <v>20</v>
      </c>
      <c r="J145" s="98">
        <f t="shared" ref="J145:J175" si="5">H145*I145</f>
        <v>1800</v>
      </c>
      <c r="K145" s="99"/>
      <c r="L145" s="100"/>
      <c r="R145" s="96"/>
    </row>
    <row r="146" spans="1:18" ht="18" customHeight="1">
      <c r="A146" s="5">
        <f t="shared" si="4"/>
        <v>141</v>
      </c>
      <c r="B146" s="134" t="s">
        <v>271</v>
      </c>
      <c r="C146" s="135"/>
      <c r="D146" s="119"/>
      <c r="E146" s="120"/>
      <c r="F146" s="121"/>
      <c r="G146" s="110" t="s">
        <v>304</v>
      </c>
      <c r="H146" s="118">
        <v>50</v>
      </c>
      <c r="I146" s="111">
        <v>32</v>
      </c>
      <c r="J146" s="98">
        <f t="shared" si="5"/>
        <v>1600</v>
      </c>
      <c r="K146" s="99"/>
      <c r="L146" s="100"/>
      <c r="R146" s="96"/>
    </row>
    <row r="147" spans="1:18" ht="18" customHeight="1">
      <c r="A147" s="5">
        <f t="shared" si="4"/>
        <v>142</v>
      </c>
      <c r="B147" s="134" t="s">
        <v>272</v>
      </c>
      <c r="C147" s="135"/>
      <c r="D147" s="119"/>
      <c r="E147" s="120"/>
      <c r="F147" s="121"/>
      <c r="G147" s="110" t="s">
        <v>304</v>
      </c>
      <c r="H147" s="118">
        <v>20</v>
      </c>
      <c r="I147" s="111">
        <v>3.5</v>
      </c>
      <c r="J147" s="98">
        <f t="shared" si="5"/>
        <v>70</v>
      </c>
      <c r="K147" s="99"/>
      <c r="L147" s="100"/>
      <c r="R147" s="96"/>
    </row>
    <row r="148" spans="1:18" ht="18" customHeight="1">
      <c r="A148" s="5">
        <f t="shared" si="4"/>
        <v>143</v>
      </c>
      <c r="B148" s="134" t="s">
        <v>273</v>
      </c>
      <c r="C148" s="135"/>
      <c r="D148" s="119"/>
      <c r="E148" s="120"/>
      <c r="F148" s="121"/>
      <c r="G148" s="110" t="s">
        <v>304</v>
      </c>
      <c r="H148" s="118">
        <v>20</v>
      </c>
      <c r="I148" s="111">
        <v>120</v>
      </c>
      <c r="J148" s="98">
        <f t="shared" si="5"/>
        <v>2400</v>
      </c>
      <c r="K148" s="99"/>
      <c r="L148" s="100"/>
      <c r="R148" s="96"/>
    </row>
    <row r="149" spans="1:18" ht="18" customHeight="1">
      <c r="A149" s="5">
        <f t="shared" si="4"/>
        <v>144</v>
      </c>
      <c r="B149" s="134" t="s">
        <v>274</v>
      </c>
      <c r="C149" s="135"/>
      <c r="D149" s="119"/>
      <c r="E149" s="120"/>
      <c r="F149" s="121"/>
      <c r="G149" s="110" t="s">
        <v>304</v>
      </c>
      <c r="H149" s="118">
        <v>30</v>
      </c>
      <c r="I149" s="111">
        <v>180</v>
      </c>
      <c r="J149" s="98">
        <f t="shared" si="5"/>
        <v>5400</v>
      </c>
      <c r="K149" s="99"/>
      <c r="L149" s="100"/>
      <c r="R149" s="96"/>
    </row>
    <row r="150" spans="1:18" ht="18" customHeight="1">
      <c r="A150" s="5">
        <f t="shared" si="4"/>
        <v>145</v>
      </c>
      <c r="B150" s="134" t="s">
        <v>275</v>
      </c>
      <c r="C150" s="135"/>
      <c r="D150" s="119"/>
      <c r="E150" s="120"/>
      <c r="F150" s="121"/>
      <c r="G150" s="110" t="s">
        <v>304</v>
      </c>
      <c r="H150" s="118">
        <v>2</v>
      </c>
      <c r="I150" s="111">
        <v>75</v>
      </c>
      <c r="J150" s="98">
        <f t="shared" si="5"/>
        <v>150</v>
      </c>
      <c r="K150" s="99"/>
      <c r="L150" s="100"/>
      <c r="R150" s="96"/>
    </row>
    <row r="151" spans="1:18" ht="18" customHeight="1">
      <c r="A151" s="5">
        <f t="shared" si="4"/>
        <v>146</v>
      </c>
      <c r="B151" s="134" t="s">
        <v>276</v>
      </c>
      <c r="C151" s="135"/>
      <c r="D151" s="119"/>
      <c r="E151" s="120"/>
      <c r="F151" s="121"/>
      <c r="G151" s="110" t="s">
        <v>304</v>
      </c>
      <c r="H151" s="118">
        <v>48</v>
      </c>
      <c r="I151" s="111">
        <v>13</v>
      </c>
      <c r="J151" s="98">
        <f t="shared" si="5"/>
        <v>624</v>
      </c>
      <c r="K151" s="99"/>
      <c r="L151" s="100"/>
      <c r="R151" s="96"/>
    </row>
    <row r="152" spans="1:18" ht="18" customHeight="1">
      <c r="A152" s="5">
        <f t="shared" si="4"/>
        <v>147</v>
      </c>
      <c r="B152" s="134" t="s">
        <v>277</v>
      </c>
      <c r="C152" s="135"/>
      <c r="D152" s="119"/>
      <c r="E152" s="120"/>
      <c r="F152" s="121"/>
      <c r="G152" s="110" t="s">
        <v>304</v>
      </c>
      <c r="H152" s="118">
        <v>40</v>
      </c>
      <c r="I152" s="111">
        <v>5.5</v>
      </c>
      <c r="J152" s="98">
        <f t="shared" si="5"/>
        <v>220</v>
      </c>
      <c r="K152" s="99"/>
      <c r="L152" s="100"/>
      <c r="R152" s="96"/>
    </row>
    <row r="153" spans="1:18" ht="18" customHeight="1">
      <c r="A153" s="5">
        <f t="shared" si="4"/>
        <v>148</v>
      </c>
      <c r="B153" s="134" t="s">
        <v>278</v>
      </c>
      <c r="C153" s="135"/>
      <c r="D153" s="119"/>
      <c r="E153" s="120"/>
      <c r="F153" s="121"/>
      <c r="G153" s="110" t="s">
        <v>304</v>
      </c>
      <c r="H153" s="118">
        <v>2</v>
      </c>
      <c r="I153" s="111">
        <v>2150</v>
      </c>
      <c r="J153" s="98">
        <f t="shared" si="5"/>
        <v>4300</v>
      </c>
      <c r="K153" s="99"/>
      <c r="L153" s="100"/>
      <c r="R153" s="96"/>
    </row>
    <row r="154" spans="1:18" ht="18" customHeight="1">
      <c r="A154" s="5">
        <f t="shared" si="4"/>
        <v>149</v>
      </c>
      <c r="B154" s="134" t="s">
        <v>279</v>
      </c>
      <c r="C154" s="135"/>
      <c r="D154" s="119"/>
      <c r="E154" s="120"/>
      <c r="F154" s="121"/>
      <c r="G154" s="110" t="s">
        <v>304</v>
      </c>
      <c r="H154" s="118">
        <v>2</v>
      </c>
      <c r="I154" s="111">
        <v>8900</v>
      </c>
      <c r="J154" s="98">
        <f t="shared" si="5"/>
        <v>17800</v>
      </c>
      <c r="K154" s="99"/>
      <c r="L154" s="100"/>
      <c r="R154" s="96"/>
    </row>
    <row r="155" spans="1:18" ht="18" customHeight="1">
      <c r="A155" s="5">
        <f t="shared" si="4"/>
        <v>150</v>
      </c>
      <c r="B155" s="134" t="s">
        <v>280</v>
      </c>
      <c r="C155" s="135"/>
      <c r="D155" s="119"/>
      <c r="E155" s="120"/>
      <c r="F155" s="121"/>
      <c r="G155" s="110" t="s">
        <v>127</v>
      </c>
      <c r="H155" s="118">
        <v>100</v>
      </c>
      <c r="I155" s="111">
        <v>3.5</v>
      </c>
      <c r="J155" s="98">
        <f t="shared" si="5"/>
        <v>350</v>
      </c>
      <c r="K155" s="99"/>
      <c r="L155" s="100"/>
      <c r="R155" s="96"/>
    </row>
    <row r="156" spans="1:18" ht="18" customHeight="1">
      <c r="A156" s="5">
        <f t="shared" si="4"/>
        <v>151</v>
      </c>
      <c r="B156" s="134" t="s">
        <v>281</v>
      </c>
      <c r="C156" s="135"/>
      <c r="D156" s="119"/>
      <c r="E156" s="120"/>
      <c r="F156" s="121"/>
      <c r="G156" s="110" t="s">
        <v>124</v>
      </c>
      <c r="H156" s="118">
        <v>500</v>
      </c>
      <c r="I156" s="111">
        <v>14</v>
      </c>
      <c r="J156" s="98">
        <f t="shared" si="5"/>
        <v>7000</v>
      </c>
      <c r="K156" s="99"/>
      <c r="L156" s="100"/>
      <c r="R156" s="96"/>
    </row>
    <row r="157" spans="1:18" ht="18" customHeight="1">
      <c r="A157" s="5">
        <f t="shared" si="4"/>
        <v>152</v>
      </c>
      <c r="B157" s="134" t="s">
        <v>282</v>
      </c>
      <c r="C157" s="135"/>
      <c r="D157" s="119"/>
      <c r="E157" s="120"/>
      <c r="F157" s="121"/>
      <c r="G157" s="110" t="s">
        <v>124</v>
      </c>
      <c r="H157" s="118">
        <v>20</v>
      </c>
      <c r="I157" s="111">
        <v>22</v>
      </c>
      <c r="J157" s="98">
        <f t="shared" si="5"/>
        <v>440</v>
      </c>
      <c r="K157" s="99"/>
      <c r="L157" s="100"/>
      <c r="R157" s="96"/>
    </row>
    <row r="158" spans="1:18" ht="18" customHeight="1">
      <c r="A158" s="5">
        <f t="shared" si="4"/>
        <v>153</v>
      </c>
      <c r="B158" s="134" t="s">
        <v>283</v>
      </c>
      <c r="C158" s="135"/>
      <c r="D158" s="119"/>
      <c r="E158" s="120"/>
      <c r="F158" s="121"/>
      <c r="G158" s="110" t="s">
        <v>124</v>
      </c>
      <c r="H158" s="118">
        <v>20</v>
      </c>
      <c r="I158" s="111">
        <v>18</v>
      </c>
      <c r="J158" s="98">
        <f t="shared" si="5"/>
        <v>360</v>
      </c>
      <c r="K158" s="99"/>
      <c r="L158" s="100"/>
      <c r="R158" s="96"/>
    </row>
    <row r="159" spans="1:18" ht="18" customHeight="1">
      <c r="A159" s="5">
        <f t="shared" si="4"/>
        <v>154</v>
      </c>
      <c r="B159" s="134" t="s">
        <v>284</v>
      </c>
      <c r="C159" s="135"/>
      <c r="D159" s="119"/>
      <c r="E159" s="120"/>
      <c r="F159" s="121"/>
      <c r="G159" s="110" t="s">
        <v>304</v>
      </c>
      <c r="H159" s="118">
        <v>10</v>
      </c>
      <c r="I159" s="111">
        <v>640</v>
      </c>
      <c r="J159" s="98">
        <f t="shared" si="5"/>
        <v>6400</v>
      </c>
      <c r="K159" s="99"/>
      <c r="L159" s="100"/>
      <c r="R159" s="96"/>
    </row>
    <row r="160" spans="1:18" ht="18" customHeight="1">
      <c r="A160" s="5">
        <f t="shared" si="4"/>
        <v>155</v>
      </c>
      <c r="B160" s="134" t="s">
        <v>285</v>
      </c>
      <c r="C160" s="135"/>
      <c r="D160" s="119"/>
      <c r="E160" s="120"/>
      <c r="F160" s="121"/>
      <c r="G160" s="110" t="s">
        <v>124</v>
      </c>
      <c r="H160" s="118">
        <v>1</v>
      </c>
      <c r="I160" s="111">
        <v>350</v>
      </c>
      <c r="J160" s="98">
        <f t="shared" si="5"/>
        <v>350</v>
      </c>
      <c r="K160" s="99"/>
      <c r="L160" s="100"/>
      <c r="R160" s="96"/>
    </row>
    <row r="161" spans="1:18" ht="18" customHeight="1">
      <c r="A161" s="5">
        <f t="shared" si="4"/>
        <v>156</v>
      </c>
      <c r="B161" s="134" t="s">
        <v>286</v>
      </c>
      <c r="C161" s="135"/>
      <c r="D161" s="119"/>
      <c r="E161" s="120"/>
      <c r="F161" s="121"/>
      <c r="G161" s="110" t="s">
        <v>124</v>
      </c>
      <c r="H161" s="118">
        <v>1</v>
      </c>
      <c r="I161" s="111">
        <v>2340</v>
      </c>
      <c r="J161" s="98">
        <f t="shared" si="5"/>
        <v>2340</v>
      </c>
      <c r="K161" s="99"/>
      <c r="L161" s="100"/>
      <c r="R161" s="96"/>
    </row>
    <row r="162" spans="1:18" ht="18" customHeight="1">
      <c r="A162" s="5">
        <f t="shared" si="4"/>
        <v>157</v>
      </c>
      <c r="B162" s="134" t="s">
        <v>287</v>
      </c>
      <c r="C162" s="135"/>
      <c r="D162" s="119"/>
      <c r="E162" s="120"/>
      <c r="F162" s="121"/>
      <c r="G162" s="110" t="s">
        <v>124</v>
      </c>
      <c r="H162" s="118">
        <v>4</v>
      </c>
      <c r="I162" s="111">
        <v>7195</v>
      </c>
      <c r="J162" s="98">
        <f t="shared" si="5"/>
        <v>28780</v>
      </c>
      <c r="K162" s="99"/>
      <c r="L162" s="100"/>
      <c r="R162" s="96"/>
    </row>
    <row r="163" spans="1:18" ht="18" customHeight="1">
      <c r="A163" s="5">
        <f t="shared" si="4"/>
        <v>158</v>
      </c>
      <c r="B163" s="134" t="s">
        <v>284</v>
      </c>
      <c r="C163" s="135"/>
      <c r="D163" s="119"/>
      <c r="E163" s="120"/>
      <c r="F163" s="121"/>
      <c r="G163" s="110" t="s">
        <v>124</v>
      </c>
      <c r="H163" s="118">
        <v>40</v>
      </c>
      <c r="I163" s="111">
        <v>640</v>
      </c>
      <c r="J163" s="98">
        <f t="shared" si="5"/>
        <v>25600</v>
      </c>
      <c r="K163" s="99"/>
      <c r="L163" s="100"/>
      <c r="R163" s="96"/>
    </row>
    <row r="164" spans="1:18" ht="18" customHeight="1">
      <c r="A164" s="5">
        <f t="shared" si="4"/>
        <v>159</v>
      </c>
      <c r="B164" s="134" t="s">
        <v>288</v>
      </c>
      <c r="C164" s="135"/>
      <c r="D164" s="119"/>
      <c r="E164" s="120"/>
      <c r="F164" s="121"/>
      <c r="G164" s="110" t="s">
        <v>304</v>
      </c>
      <c r="H164" s="118">
        <v>6</v>
      </c>
      <c r="I164" s="111">
        <v>540</v>
      </c>
      <c r="J164" s="98">
        <f t="shared" si="5"/>
        <v>3240</v>
      </c>
      <c r="K164" s="99"/>
      <c r="L164" s="100"/>
      <c r="R164" s="96"/>
    </row>
    <row r="165" spans="1:18" ht="18" customHeight="1">
      <c r="A165" s="5">
        <f t="shared" si="4"/>
        <v>160</v>
      </c>
      <c r="B165" s="134" t="s">
        <v>128</v>
      </c>
      <c r="C165" s="135"/>
      <c r="D165" s="119"/>
      <c r="E165" s="120"/>
      <c r="F165" s="121"/>
      <c r="G165" s="110" t="s">
        <v>304</v>
      </c>
      <c r="H165" s="118">
        <v>10</v>
      </c>
      <c r="I165" s="111">
        <v>120</v>
      </c>
      <c r="J165" s="98">
        <f t="shared" si="5"/>
        <v>1200</v>
      </c>
      <c r="K165" s="99"/>
      <c r="L165" s="100"/>
      <c r="R165" s="96"/>
    </row>
    <row r="166" spans="1:18" ht="18" customHeight="1">
      <c r="A166" s="5">
        <f t="shared" si="4"/>
        <v>161</v>
      </c>
      <c r="B166" s="134" t="s">
        <v>289</v>
      </c>
      <c r="C166" s="135"/>
      <c r="D166" s="119"/>
      <c r="E166" s="120"/>
      <c r="F166" s="121"/>
      <c r="G166" s="110" t="s">
        <v>305</v>
      </c>
      <c r="H166" s="118">
        <v>4</v>
      </c>
      <c r="I166" s="111">
        <v>540</v>
      </c>
      <c r="J166" s="98">
        <f t="shared" si="5"/>
        <v>2160</v>
      </c>
      <c r="K166" s="99"/>
      <c r="L166" s="100"/>
      <c r="R166" s="96"/>
    </row>
    <row r="167" spans="1:18" ht="18" customHeight="1">
      <c r="A167" s="5">
        <f t="shared" si="4"/>
        <v>162</v>
      </c>
      <c r="B167" s="134" t="s">
        <v>290</v>
      </c>
      <c r="C167" s="135"/>
      <c r="D167" s="119"/>
      <c r="E167" s="120"/>
      <c r="F167" s="121"/>
      <c r="G167" s="110" t="s">
        <v>304</v>
      </c>
      <c r="H167" s="118">
        <v>1000</v>
      </c>
      <c r="I167" s="111">
        <v>2.5</v>
      </c>
      <c r="J167" s="98">
        <f t="shared" si="5"/>
        <v>2500</v>
      </c>
      <c r="K167" s="99"/>
      <c r="L167" s="100"/>
      <c r="R167" s="96"/>
    </row>
    <row r="168" spans="1:18" ht="18" customHeight="1">
      <c r="A168" s="5">
        <f t="shared" si="4"/>
        <v>163</v>
      </c>
      <c r="B168" s="134" t="s">
        <v>291</v>
      </c>
      <c r="C168" s="135"/>
      <c r="D168" s="119"/>
      <c r="E168" s="120"/>
      <c r="F168" s="121"/>
      <c r="G168" s="110" t="s">
        <v>304</v>
      </c>
      <c r="H168" s="118">
        <v>10</v>
      </c>
      <c r="I168" s="111">
        <v>135</v>
      </c>
      <c r="J168" s="98">
        <f t="shared" si="5"/>
        <v>1350</v>
      </c>
      <c r="K168" s="99"/>
      <c r="L168" s="100"/>
      <c r="R168" s="96"/>
    </row>
    <row r="169" spans="1:18" ht="18" customHeight="1">
      <c r="A169" s="5">
        <f t="shared" si="4"/>
        <v>164</v>
      </c>
      <c r="B169" s="134" t="s">
        <v>292</v>
      </c>
      <c r="C169" s="135"/>
      <c r="D169" s="119"/>
      <c r="E169" s="120"/>
      <c r="F169" s="121"/>
      <c r="G169" s="110" t="s">
        <v>304</v>
      </c>
      <c r="H169" s="118">
        <v>40</v>
      </c>
      <c r="I169" s="111">
        <v>90</v>
      </c>
      <c r="J169" s="98">
        <f t="shared" si="5"/>
        <v>3600</v>
      </c>
      <c r="K169" s="99"/>
      <c r="L169" s="100"/>
      <c r="R169" s="96"/>
    </row>
    <row r="170" spans="1:18" ht="18" customHeight="1">
      <c r="A170" s="5">
        <f t="shared" si="4"/>
        <v>165</v>
      </c>
      <c r="B170" s="134" t="s">
        <v>293</v>
      </c>
      <c r="C170" s="135"/>
      <c r="D170" s="119"/>
      <c r="E170" s="120"/>
      <c r="F170" s="121"/>
      <c r="G170" s="110" t="s">
        <v>304</v>
      </c>
      <c r="H170" s="118">
        <v>20</v>
      </c>
      <c r="I170" s="111">
        <v>15</v>
      </c>
      <c r="J170" s="98">
        <f t="shared" si="5"/>
        <v>300</v>
      </c>
      <c r="K170" s="99"/>
      <c r="L170" s="100"/>
      <c r="R170" s="96"/>
    </row>
    <row r="171" spans="1:18" ht="18" customHeight="1">
      <c r="A171" s="5">
        <f t="shared" si="4"/>
        <v>166</v>
      </c>
      <c r="B171" s="134" t="s">
        <v>294</v>
      </c>
      <c r="C171" s="135"/>
      <c r="D171" s="119"/>
      <c r="E171" s="120"/>
      <c r="F171" s="121"/>
      <c r="G171" s="110" t="s">
        <v>304</v>
      </c>
      <c r="H171" s="118">
        <v>30</v>
      </c>
      <c r="I171" s="111">
        <v>2.5</v>
      </c>
      <c r="J171" s="98">
        <f t="shared" si="5"/>
        <v>75</v>
      </c>
      <c r="K171" s="99"/>
      <c r="L171" s="100"/>
      <c r="R171" s="96"/>
    </row>
    <row r="172" spans="1:18" ht="18" customHeight="1">
      <c r="A172" s="5">
        <f t="shared" si="4"/>
        <v>167</v>
      </c>
      <c r="B172" s="134" t="s">
        <v>295</v>
      </c>
      <c r="C172" s="135"/>
      <c r="D172" s="119"/>
      <c r="E172" s="120"/>
      <c r="F172" s="121"/>
      <c r="G172" s="110" t="s">
        <v>304</v>
      </c>
      <c r="H172" s="118">
        <v>30</v>
      </c>
      <c r="I172" s="111">
        <v>2.5</v>
      </c>
      <c r="J172" s="98">
        <f t="shared" si="5"/>
        <v>75</v>
      </c>
      <c r="K172" s="99"/>
      <c r="L172" s="100"/>
      <c r="R172" s="96"/>
    </row>
    <row r="173" spans="1:18" ht="18" customHeight="1">
      <c r="A173" s="5">
        <f t="shared" si="4"/>
        <v>168</v>
      </c>
      <c r="B173" s="134" t="s">
        <v>296</v>
      </c>
      <c r="C173" s="135"/>
      <c r="D173" s="119"/>
      <c r="E173" s="120"/>
      <c r="F173" s="121"/>
      <c r="G173" s="110" t="s">
        <v>304</v>
      </c>
      <c r="H173" s="118">
        <v>30</v>
      </c>
      <c r="I173" s="111">
        <v>85</v>
      </c>
      <c r="J173" s="98">
        <f t="shared" si="5"/>
        <v>2550</v>
      </c>
      <c r="K173" s="99"/>
      <c r="L173" s="100"/>
      <c r="R173" s="96"/>
    </row>
    <row r="174" spans="1:18" ht="18" customHeight="1">
      <c r="A174" s="5">
        <f t="shared" si="4"/>
        <v>169</v>
      </c>
      <c r="B174" s="134" t="s">
        <v>297</v>
      </c>
      <c r="C174" s="135"/>
      <c r="D174" s="119"/>
      <c r="E174" s="120"/>
      <c r="F174" s="121"/>
      <c r="G174" s="110" t="s">
        <v>304</v>
      </c>
      <c r="H174" s="118">
        <v>10</v>
      </c>
      <c r="I174" s="111">
        <v>12</v>
      </c>
      <c r="J174" s="98">
        <f t="shared" si="5"/>
        <v>120</v>
      </c>
      <c r="K174" s="99"/>
      <c r="L174" s="100"/>
      <c r="R174" s="96"/>
    </row>
    <row r="175" spans="1:18" ht="18" customHeight="1">
      <c r="A175" s="5">
        <f t="shared" si="4"/>
        <v>170</v>
      </c>
      <c r="B175" s="134" t="s">
        <v>298</v>
      </c>
      <c r="C175" s="135"/>
      <c r="D175" s="119"/>
      <c r="E175" s="120"/>
      <c r="F175" s="121"/>
      <c r="G175" s="110" t="s">
        <v>304</v>
      </c>
      <c r="H175" s="118">
        <v>30</v>
      </c>
      <c r="I175" s="111">
        <v>90</v>
      </c>
      <c r="J175" s="98">
        <f t="shared" si="5"/>
        <v>2700</v>
      </c>
      <c r="K175" s="99"/>
      <c r="L175" s="100"/>
      <c r="R175" s="96"/>
    </row>
    <row r="176" spans="1:18" ht="18" customHeight="1">
      <c r="A176" s="5">
        <f t="shared" si="4"/>
        <v>171</v>
      </c>
      <c r="B176" s="134" t="s">
        <v>299</v>
      </c>
      <c r="C176" s="135"/>
      <c r="D176" s="119"/>
      <c r="E176" s="120"/>
      <c r="F176" s="121"/>
      <c r="G176" s="110" t="s">
        <v>304</v>
      </c>
      <c r="H176" s="118">
        <v>10</v>
      </c>
      <c r="I176" s="111">
        <v>12</v>
      </c>
      <c r="J176" s="98">
        <f t="shared" ref="J176:J180" si="6">H176*I176</f>
        <v>120</v>
      </c>
      <c r="K176" s="99"/>
      <c r="L176" s="100"/>
      <c r="R176" s="96"/>
    </row>
    <row r="177" spans="1:19" ht="18" customHeight="1">
      <c r="A177" s="5">
        <f t="shared" si="4"/>
        <v>172</v>
      </c>
      <c r="B177" s="134" t="s">
        <v>300</v>
      </c>
      <c r="C177" s="135"/>
      <c r="D177" s="119"/>
      <c r="E177" s="120"/>
      <c r="F177" s="121"/>
      <c r="G177" s="110" t="s">
        <v>127</v>
      </c>
      <c r="H177" s="118">
        <v>5</v>
      </c>
      <c r="I177" s="111">
        <v>245</v>
      </c>
      <c r="J177" s="98">
        <f t="shared" si="6"/>
        <v>1225</v>
      </c>
      <c r="K177" s="99"/>
      <c r="L177" s="100"/>
      <c r="R177" s="96"/>
    </row>
    <row r="178" spans="1:19" ht="18" customHeight="1">
      <c r="A178" s="5">
        <f t="shared" si="4"/>
        <v>173</v>
      </c>
      <c r="B178" s="134" t="s">
        <v>301</v>
      </c>
      <c r="C178" s="135"/>
      <c r="D178" s="119"/>
      <c r="E178" s="120"/>
      <c r="F178" s="121"/>
      <c r="G178" s="110" t="s">
        <v>304</v>
      </c>
      <c r="H178" s="118">
        <v>5</v>
      </c>
      <c r="I178" s="111">
        <v>18</v>
      </c>
      <c r="J178" s="98">
        <f t="shared" si="6"/>
        <v>90</v>
      </c>
      <c r="K178" s="99"/>
      <c r="L178" s="100"/>
      <c r="R178" s="96"/>
    </row>
    <row r="179" spans="1:19" ht="18" customHeight="1">
      <c r="A179" s="5">
        <f t="shared" si="4"/>
        <v>174</v>
      </c>
      <c r="B179" s="134" t="s">
        <v>302</v>
      </c>
      <c r="C179" s="135"/>
      <c r="D179" s="119"/>
      <c r="E179" s="120"/>
      <c r="F179" s="121"/>
      <c r="G179" s="110" t="s">
        <v>304</v>
      </c>
      <c r="H179" s="118">
        <v>20</v>
      </c>
      <c r="I179" s="111">
        <v>3.5</v>
      </c>
      <c r="J179" s="98">
        <f t="shared" si="6"/>
        <v>70</v>
      </c>
      <c r="K179" s="99"/>
      <c r="L179" s="100"/>
      <c r="R179" s="96"/>
    </row>
    <row r="180" spans="1:19" ht="18" customHeight="1">
      <c r="A180" s="5">
        <f t="shared" si="4"/>
        <v>175</v>
      </c>
      <c r="B180" s="134" t="s">
        <v>303</v>
      </c>
      <c r="C180" s="135"/>
      <c r="D180" s="119"/>
      <c r="E180" s="120"/>
      <c r="F180" s="121"/>
      <c r="G180" s="110" t="s">
        <v>304</v>
      </c>
      <c r="H180" s="118">
        <v>4</v>
      </c>
      <c r="I180" s="111">
        <v>35</v>
      </c>
      <c r="J180" s="98">
        <f t="shared" si="6"/>
        <v>140</v>
      </c>
      <c r="K180" s="99"/>
      <c r="L180" s="100"/>
      <c r="R180" s="96"/>
    </row>
    <row r="181" spans="1:19" ht="23.25" customHeight="1">
      <c r="A181" s="150" t="s">
        <v>8</v>
      </c>
      <c r="B181" s="151"/>
      <c r="C181" s="101"/>
      <c r="D181" s="107"/>
      <c r="E181" s="107"/>
      <c r="F181" s="107"/>
      <c r="G181" s="108"/>
      <c r="H181" s="108"/>
      <c r="I181" s="109" t="s">
        <v>9</v>
      </c>
      <c r="J181" s="98">
        <f>SUM(J6:J180)</f>
        <v>391481.52</v>
      </c>
      <c r="K181" s="98"/>
      <c r="L181" s="102"/>
    </row>
    <row r="182" spans="1:19" ht="20.100000000000001" customHeight="1">
      <c r="A182" s="6" t="s">
        <v>10</v>
      </c>
      <c r="B182" s="7"/>
      <c r="C182" s="7"/>
      <c r="D182" s="7"/>
      <c r="E182" s="7"/>
      <c r="F182" s="7"/>
      <c r="G182" s="7"/>
      <c r="H182" s="7"/>
      <c r="I182" s="7"/>
      <c r="J182" s="7"/>
      <c r="K182" s="8"/>
      <c r="L182" s="9"/>
    </row>
    <row r="183" spans="1:19" ht="18" customHeight="1">
      <c r="A183" s="10"/>
      <c r="J183" s="1"/>
      <c r="K183" s="1"/>
      <c r="O183" s="11"/>
      <c r="P183" s="11"/>
      <c r="R183" s="152" t="s">
        <v>11</v>
      </c>
      <c r="S183" s="13" t="s">
        <v>12</v>
      </c>
    </row>
    <row r="184" spans="1:19" ht="50.1" customHeight="1">
      <c r="R184" s="153"/>
      <c r="S184" s="15"/>
    </row>
    <row r="185" spans="1:19" ht="17.100000000000001" customHeight="1">
      <c r="O185" s="11"/>
      <c r="P185" s="11"/>
      <c r="R185" s="147"/>
      <c r="S185" s="15" t="s">
        <v>13</v>
      </c>
    </row>
    <row r="186" spans="1:19" ht="15" customHeight="1">
      <c r="O186" s="17" t="s">
        <v>14</v>
      </c>
      <c r="P186" s="146" t="s">
        <v>15</v>
      </c>
    </row>
    <row r="187" spans="1:19" ht="18" customHeight="1">
      <c r="O187" s="18" t="s">
        <v>16</v>
      </c>
      <c r="P187" s="148"/>
      <c r="R187" s="152" t="s">
        <v>17</v>
      </c>
      <c r="S187" s="12" t="s">
        <v>12</v>
      </c>
    </row>
    <row r="188" spans="1:19" ht="50.1" customHeight="1">
      <c r="O188" s="14"/>
      <c r="P188" s="14"/>
      <c r="R188" s="153"/>
      <c r="S188" s="19"/>
    </row>
    <row r="189" spans="1:19" ht="17.100000000000001" customHeight="1">
      <c r="O189" s="16" t="s">
        <v>13</v>
      </c>
      <c r="P189" s="16" t="s">
        <v>13</v>
      </c>
      <c r="R189" s="147"/>
      <c r="S189" s="15" t="s">
        <v>13</v>
      </c>
    </row>
    <row r="190" spans="1:19" ht="9.9499999999999993" customHeight="1"/>
    <row r="191" spans="1:19" ht="19.899999999999999" customHeight="1"/>
    <row r="192" spans="1:19" ht="17.45" customHeight="1">
      <c r="O192" s="149"/>
      <c r="P192" s="149"/>
    </row>
    <row r="193" spans="15:16" ht="19.899999999999999" customHeight="1">
      <c r="O193" s="149"/>
      <c r="P193" s="149"/>
    </row>
    <row r="194" spans="15:16" ht="14.25">
      <c r="O194" s="11"/>
      <c r="P194" s="11"/>
    </row>
    <row r="195" spans="15:16" ht="65.099999999999994" customHeight="1"/>
    <row r="196" spans="15:16" ht="14.25">
      <c r="O196" s="11"/>
      <c r="P196" s="11"/>
    </row>
    <row r="197" spans="15:16" ht="19.899999999999999" customHeight="1"/>
    <row r="198" spans="15:16" ht="14.25"/>
    <row r="199" spans="15:16" ht="19.899999999999999" customHeight="1"/>
    <row r="200" spans="15:16" ht="14.25"/>
    <row r="201" spans="15:16" ht="19.899999999999999" customHeight="1"/>
    <row r="202" spans="15:16" ht="19.899999999999999" customHeight="1"/>
    <row r="203" spans="15:16" ht="64.900000000000006" customHeight="1"/>
    <row r="205" spans="15:16" ht="19.899999999999999" customHeight="1"/>
    <row r="206" spans="15:16" ht="19.899999999999999" customHeight="1"/>
    <row r="207" spans="15:16" ht="64.900000000000006" customHeight="1"/>
    <row r="211" spans="15:19" ht="21" customHeight="1">
      <c r="O211" s="146" t="s">
        <v>18</v>
      </c>
      <c r="P211" s="146" t="s">
        <v>18</v>
      </c>
      <c r="S211" s="146" t="s">
        <v>12</v>
      </c>
    </row>
    <row r="212" spans="15:19" ht="21" customHeight="1">
      <c r="O212" s="148"/>
      <c r="P212" s="148"/>
      <c r="S212" s="147"/>
    </row>
    <row r="213" spans="15:19" ht="64.900000000000006" customHeight="1">
      <c r="O213" s="14"/>
      <c r="P213" s="14"/>
      <c r="S213" s="15"/>
    </row>
    <row r="214" spans="15:19" ht="7.15" customHeight="1"/>
    <row r="215" spans="15:19" ht="21" customHeight="1">
      <c r="O215" s="146" t="s">
        <v>18</v>
      </c>
      <c r="P215" s="146" t="s">
        <v>18</v>
      </c>
      <c r="S215" s="146" t="s">
        <v>19</v>
      </c>
    </row>
    <row r="216" spans="15:19" ht="21" customHeight="1">
      <c r="O216" s="148"/>
      <c r="P216" s="148"/>
      <c r="S216" s="147"/>
    </row>
    <row r="217" spans="15:19" ht="64.900000000000006" customHeight="1">
      <c r="O217" s="14"/>
      <c r="P217" s="14"/>
      <c r="S217" s="14"/>
    </row>
  </sheetData>
  <mergeCells count="208">
    <mergeCell ref="B172:C172"/>
    <mergeCell ref="B173:C173"/>
    <mergeCell ref="B174:C174"/>
    <mergeCell ref="B175:C175"/>
    <mergeCell ref="B176:C176"/>
    <mergeCell ref="B177:C177"/>
    <mergeCell ref="B178:C178"/>
    <mergeCell ref="B179:C179"/>
    <mergeCell ref="B180:C180"/>
    <mergeCell ref="B163:C163"/>
    <mergeCell ref="B164:C164"/>
    <mergeCell ref="B165:C165"/>
    <mergeCell ref="B166:C166"/>
    <mergeCell ref="B167:C167"/>
    <mergeCell ref="B168:C168"/>
    <mergeCell ref="B169:C169"/>
    <mergeCell ref="B170:C170"/>
    <mergeCell ref="B171:C171"/>
    <mergeCell ref="B154:C154"/>
    <mergeCell ref="B155:C155"/>
    <mergeCell ref="B156:C156"/>
    <mergeCell ref="B157:C157"/>
    <mergeCell ref="B158:C158"/>
    <mergeCell ref="B159:C159"/>
    <mergeCell ref="B160:C160"/>
    <mergeCell ref="B161:C161"/>
    <mergeCell ref="B162:C162"/>
    <mergeCell ref="B145:C145"/>
    <mergeCell ref="B146:C146"/>
    <mergeCell ref="B147:C147"/>
    <mergeCell ref="B148:C148"/>
    <mergeCell ref="B149:C149"/>
    <mergeCell ref="B150:C150"/>
    <mergeCell ref="B151:C151"/>
    <mergeCell ref="B152:C152"/>
    <mergeCell ref="B153:C153"/>
    <mergeCell ref="B136:C136"/>
    <mergeCell ref="B137:C137"/>
    <mergeCell ref="B138:C138"/>
    <mergeCell ref="B139:C139"/>
    <mergeCell ref="B140:C140"/>
    <mergeCell ref="B141:C141"/>
    <mergeCell ref="B142:C142"/>
    <mergeCell ref="B143:C143"/>
    <mergeCell ref="B144:C144"/>
    <mergeCell ref="B127:C127"/>
    <mergeCell ref="B128:C128"/>
    <mergeCell ref="B129:C129"/>
    <mergeCell ref="B130:C130"/>
    <mergeCell ref="B131:C131"/>
    <mergeCell ref="B132:C132"/>
    <mergeCell ref="B133:C133"/>
    <mergeCell ref="B134:C134"/>
    <mergeCell ref="B135:C135"/>
    <mergeCell ref="B118:C118"/>
    <mergeCell ref="B119:C119"/>
    <mergeCell ref="B120:C120"/>
    <mergeCell ref="B121:C121"/>
    <mergeCell ref="B122:C122"/>
    <mergeCell ref="B123:C123"/>
    <mergeCell ref="B124:C124"/>
    <mergeCell ref="B125:C125"/>
    <mergeCell ref="B126:C126"/>
    <mergeCell ref="B117:C117"/>
    <mergeCell ref="B85:C85"/>
    <mergeCell ref="B113:C113"/>
    <mergeCell ref="B114:C114"/>
    <mergeCell ref="B115:C115"/>
    <mergeCell ref="B116:C116"/>
    <mergeCell ref="B80:C80"/>
    <mergeCell ref="B81:C81"/>
    <mergeCell ref="B82:C82"/>
    <mergeCell ref="B83:C83"/>
    <mergeCell ref="B84:C84"/>
    <mergeCell ref="B105:C105"/>
    <mergeCell ref="B106:C106"/>
    <mergeCell ref="B107:C107"/>
    <mergeCell ref="B108:C108"/>
    <mergeCell ref="B109:C109"/>
    <mergeCell ref="B110:C110"/>
    <mergeCell ref="B111:C111"/>
    <mergeCell ref="B112:C112"/>
    <mergeCell ref="B75:C75"/>
    <mergeCell ref="B76:C76"/>
    <mergeCell ref="B77:C77"/>
    <mergeCell ref="B78:C78"/>
    <mergeCell ref="B79:C79"/>
    <mergeCell ref="B70:C70"/>
    <mergeCell ref="B71:C71"/>
    <mergeCell ref="B72:C72"/>
    <mergeCell ref="B73:C73"/>
    <mergeCell ref="B74:C74"/>
    <mergeCell ref="B52:C52"/>
    <mergeCell ref="B53:C53"/>
    <mergeCell ref="B54:C54"/>
    <mergeCell ref="B65:C65"/>
    <mergeCell ref="B66:C66"/>
    <mergeCell ref="B67:C67"/>
    <mergeCell ref="B68:C68"/>
    <mergeCell ref="B69:C69"/>
    <mergeCell ref="B60:C60"/>
    <mergeCell ref="B61:C61"/>
    <mergeCell ref="B62:C62"/>
    <mergeCell ref="B63:C63"/>
    <mergeCell ref="B64:C64"/>
    <mergeCell ref="B103:C103"/>
    <mergeCell ref="B104:C104"/>
    <mergeCell ref="B25:C25"/>
    <mergeCell ref="B26:C26"/>
    <mergeCell ref="B27:C27"/>
    <mergeCell ref="B28:C28"/>
    <mergeCell ref="B29:C29"/>
    <mergeCell ref="B20:C20"/>
    <mergeCell ref="B21:C21"/>
    <mergeCell ref="B22:C22"/>
    <mergeCell ref="B23:C23"/>
    <mergeCell ref="B24:C24"/>
    <mergeCell ref="B35:C35"/>
    <mergeCell ref="B36:C36"/>
    <mergeCell ref="B37:C37"/>
    <mergeCell ref="B38:C38"/>
    <mergeCell ref="B39:C39"/>
    <mergeCell ref="B30:C30"/>
    <mergeCell ref="B31:C31"/>
    <mergeCell ref="B32:C32"/>
    <mergeCell ref="B33:C33"/>
    <mergeCell ref="B34:C34"/>
    <mergeCell ref="B45:C45"/>
    <mergeCell ref="B46:C46"/>
    <mergeCell ref="B96:C96"/>
    <mergeCell ref="B97:C97"/>
    <mergeCell ref="B15:C15"/>
    <mergeCell ref="B16:C16"/>
    <mergeCell ref="B17:C17"/>
    <mergeCell ref="B18:C18"/>
    <mergeCell ref="B19:C19"/>
    <mergeCell ref="S211:S212"/>
    <mergeCell ref="O215:O216"/>
    <mergeCell ref="P215:P216"/>
    <mergeCell ref="S215:S216"/>
    <mergeCell ref="O192:O193"/>
    <mergeCell ref="P192:P193"/>
    <mergeCell ref="O211:O212"/>
    <mergeCell ref="P211:P212"/>
    <mergeCell ref="A181:B181"/>
    <mergeCell ref="R183:R185"/>
    <mergeCell ref="P186:P187"/>
    <mergeCell ref="R187:R189"/>
    <mergeCell ref="B98:C98"/>
    <mergeCell ref="B99:C99"/>
    <mergeCell ref="B100:C100"/>
    <mergeCell ref="B101:C101"/>
    <mergeCell ref="B102:C102"/>
    <mergeCell ref="B87:C87"/>
    <mergeCell ref="B88:C88"/>
    <mergeCell ref="B89:C89"/>
    <mergeCell ref="B90:C90"/>
    <mergeCell ref="B91:C91"/>
    <mergeCell ref="B92:C92"/>
    <mergeCell ref="B93:C93"/>
    <mergeCell ref="B94:C94"/>
    <mergeCell ref="B95:C95"/>
    <mergeCell ref="B13:C13"/>
    <mergeCell ref="D13:F13"/>
    <mergeCell ref="B14:C14"/>
    <mergeCell ref="D14:F14"/>
    <mergeCell ref="B10:C10"/>
    <mergeCell ref="D10:F10"/>
    <mergeCell ref="B11:C11"/>
    <mergeCell ref="D11:F11"/>
    <mergeCell ref="B86:C86"/>
    <mergeCell ref="B47:C47"/>
    <mergeCell ref="B48:C48"/>
    <mergeCell ref="B49:C49"/>
    <mergeCell ref="B40:C40"/>
    <mergeCell ref="B41:C41"/>
    <mergeCell ref="B42:C42"/>
    <mergeCell ref="B43:C43"/>
    <mergeCell ref="B44:C44"/>
    <mergeCell ref="B55:C55"/>
    <mergeCell ref="B56:C56"/>
    <mergeCell ref="B57:C57"/>
    <mergeCell ref="B58:C58"/>
    <mergeCell ref="B59:C59"/>
    <mergeCell ref="B50:C50"/>
    <mergeCell ref="B51:C5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</mergeCells>
  <phoneticPr fontId="3" type="noConversion"/>
  <printOptions horizontalCentered="1"/>
  <pageMargins left="0.39370078740157499" right="0.39370078740157499" top="0.39370078740157499" bottom="0.39370078740157499" header="0" footer="0"/>
  <pageSetup paperSize="9" scale="74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17"/>
  <sheetViews>
    <sheetView showGridLines="0" zoomScale="95" zoomScaleNormal="95" zoomScaleSheetLayoutView="70" workbookViewId="0">
      <pane ySplit="5" topLeftCell="A115" activePane="bottomLeft" state="frozen"/>
      <selection activeCell="D30" sqref="D30"/>
      <selection pane="bottomLeft" activeCell="H119" sqref="H119"/>
    </sheetView>
  </sheetViews>
  <sheetFormatPr defaultColWidth="9" defaultRowHeight="21" customHeight="1"/>
  <cols>
    <col min="1" max="1" width="6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4" t="s">
        <v>93</v>
      </c>
      <c r="B1" s="90"/>
      <c r="C1" s="90"/>
      <c r="D1" s="90"/>
      <c r="E1" s="90"/>
      <c r="F1" s="90"/>
      <c r="G1" s="1"/>
      <c r="J1" s="139" t="str">
        <f>+MRS!J1</f>
        <v>DAESHIN PLANT</v>
      </c>
      <c r="K1" s="141"/>
    </row>
    <row r="2" spans="1:18" ht="24.95" customHeight="1">
      <c r="A2" s="3" t="str">
        <f>+MRS!A2</f>
        <v xml:space="preserve">  PJT :  SACE2           </v>
      </c>
      <c r="B2" s="91"/>
      <c r="C2" s="91"/>
      <c r="D2" s="3" t="str">
        <f>+MRS!D2</f>
        <v>Division (In charge Name) : ADMIN MANAGER (Dong Chang Kim)</v>
      </c>
      <c r="E2" s="91"/>
      <c r="F2" s="91"/>
      <c r="G2" s="20"/>
      <c r="H2" s="20"/>
      <c r="I2" s="20"/>
      <c r="J2" s="142" t="str">
        <f>+MRS!J2</f>
        <v>Subcontract name (SAC2-SC-IK-SMP-01)</v>
      </c>
      <c r="K2" s="144"/>
    </row>
    <row r="3" spans="1:18" ht="24.95" customHeight="1">
      <c r="A3" s="3" t="str">
        <f>+MRS!A3</f>
        <v xml:space="preserve">  MRS No : SAC2-DS-MRS-0364</v>
      </c>
      <c r="B3" s="91"/>
      <c r="C3" s="91"/>
      <c r="D3" s="91"/>
      <c r="E3" s="91"/>
      <c r="F3" s="91"/>
      <c r="G3" s="91"/>
      <c r="H3" s="91"/>
      <c r="I3" s="91"/>
      <c r="J3" s="91"/>
      <c r="K3" s="92">
        <f>+MRS!L3</f>
        <v>46217</v>
      </c>
    </row>
    <row r="4" spans="1:18" ht="15.95" customHeight="1">
      <c r="A4" s="159" t="s">
        <v>2</v>
      </c>
      <c r="B4" s="160" t="s">
        <v>20</v>
      </c>
      <c r="C4" s="160"/>
      <c r="D4" s="159" t="s">
        <v>4</v>
      </c>
      <c r="E4" s="159"/>
      <c r="F4" s="159"/>
      <c r="G4" s="160" t="s">
        <v>5</v>
      </c>
      <c r="H4" s="159" t="s">
        <v>88</v>
      </c>
      <c r="I4" s="159" t="s">
        <v>21</v>
      </c>
      <c r="J4" s="159" t="s">
        <v>22</v>
      </c>
      <c r="K4" s="160" t="s">
        <v>7</v>
      </c>
    </row>
    <row r="5" spans="1:18" ht="15.95" customHeight="1">
      <c r="A5" s="159"/>
      <c r="B5" s="160"/>
      <c r="C5" s="160"/>
      <c r="D5" s="159"/>
      <c r="E5" s="159"/>
      <c r="F5" s="159"/>
      <c r="G5" s="160"/>
      <c r="H5" s="159"/>
      <c r="I5" s="159"/>
      <c r="J5" s="159"/>
      <c r="K5" s="160"/>
    </row>
    <row r="6" spans="1:18" ht="105" customHeight="1">
      <c r="A6" s="21">
        <f>+MRS!A6</f>
        <v>1</v>
      </c>
      <c r="B6" s="154" t="str">
        <f>MRS!B6</f>
        <v>Circular Saw Machine - 5007N - 7" (Brand - Makita)</v>
      </c>
      <c r="C6" s="155"/>
      <c r="D6" s="156">
        <f>MRS!D6</f>
        <v>0</v>
      </c>
      <c r="E6" s="157"/>
      <c r="F6" s="158"/>
      <c r="G6" s="93" t="str">
        <f>MRS!G6</f>
        <v>EA</v>
      </c>
      <c r="H6" s="93">
        <f>MRS!H6</f>
        <v>1</v>
      </c>
      <c r="I6" s="94">
        <f>MRS!I6</f>
        <v>710</v>
      </c>
      <c r="J6" s="94">
        <f>MRS!J6</f>
        <v>710</v>
      </c>
      <c r="K6" s="95"/>
      <c r="O6" s="96"/>
      <c r="P6" s="96"/>
      <c r="R6" s="96"/>
    </row>
    <row r="7" spans="1:18" ht="105" customHeight="1">
      <c r="A7" s="21">
        <f>+MRS!A7</f>
        <v>2</v>
      </c>
      <c r="B7" s="154" t="str">
        <f>MRS!B7</f>
        <v>Demolition Hammer Sds Max 1500W Gsh 7Vc Bosch</v>
      </c>
      <c r="C7" s="155"/>
      <c r="D7" s="156">
        <f>MRS!D7</f>
        <v>0</v>
      </c>
      <c r="E7" s="157"/>
      <c r="F7" s="158"/>
      <c r="G7" s="93" t="str">
        <f>MRS!G7</f>
        <v>EA</v>
      </c>
      <c r="H7" s="93">
        <f>MRS!H7</f>
        <v>3</v>
      </c>
      <c r="I7" s="94">
        <f>MRS!I7</f>
        <v>3235</v>
      </c>
      <c r="J7" s="94">
        <f>MRS!J7</f>
        <v>9705</v>
      </c>
      <c r="K7" s="95"/>
      <c r="O7" s="96"/>
      <c r="P7" s="96"/>
      <c r="R7" s="96"/>
    </row>
    <row r="8" spans="1:18" ht="105" customHeight="1">
      <c r="A8" s="21">
        <f>+MRS!A8</f>
        <v>3</v>
      </c>
      <c r="B8" s="154" t="str">
        <f>MRS!B8</f>
        <v>Smoke Detector</v>
      </c>
      <c r="C8" s="155"/>
      <c r="D8" s="156">
        <f>MRS!D8</f>
        <v>0</v>
      </c>
      <c r="E8" s="157"/>
      <c r="F8" s="158"/>
      <c r="G8" s="93" t="str">
        <f>MRS!G8</f>
        <v>EA</v>
      </c>
      <c r="H8" s="93">
        <f>MRS!H8</f>
        <v>10</v>
      </c>
      <c r="I8" s="94">
        <f>MRS!I8</f>
        <v>22</v>
      </c>
      <c r="J8" s="94">
        <f>MRS!J8</f>
        <v>220</v>
      </c>
      <c r="K8" s="95"/>
      <c r="O8" s="96"/>
      <c r="P8" s="96"/>
      <c r="R8" s="96"/>
    </row>
    <row r="9" spans="1:18" ht="105" customHeight="1">
      <c r="A9" s="21">
        <f>+MRS!A9</f>
        <v>4</v>
      </c>
      <c r="B9" s="154" t="str">
        <f>MRS!B9</f>
        <v>Carbon Brush For Angle Grinder Machine4002 Dewalt 4"</v>
      </c>
      <c r="C9" s="155"/>
      <c r="D9" s="156">
        <f>MRS!D9</f>
        <v>0</v>
      </c>
      <c r="E9" s="157"/>
      <c r="F9" s="158"/>
      <c r="G9" s="93" t="str">
        <f>MRS!G9</f>
        <v>EA</v>
      </c>
      <c r="H9" s="93">
        <f>MRS!H9</f>
        <v>150</v>
      </c>
      <c r="I9" s="94">
        <f>MRS!I9</f>
        <v>13</v>
      </c>
      <c r="J9" s="94">
        <f>MRS!J9</f>
        <v>1950</v>
      </c>
      <c r="K9" s="95"/>
      <c r="O9" s="96"/>
      <c r="P9" s="96"/>
      <c r="R9" s="96"/>
    </row>
    <row r="10" spans="1:18" ht="105" customHeight="1">
      <c r="A10" s="21">
        <f>+MRS!A10</f>
        <v>5</v>
      </c>
      <c r="B10" s="154" t="str">
        <f>MRS!B10</f>
        <v>Electrical Exhaust Fan - 12" X 12"</v>
      </c>
      <c r="C10" s="155"/>
      <c r="D10" s="156">
        <f>MRS!D10</f>
        <v>0</v>
      </c>
      <c r="E10" s="157"/>
      <c r="F10" s="158"/>
      <c r="G10" s="93" t="str">
        <f>MRS!G10</f>
        <v>EA</v>
      </c>
      <c r="H10" s="93">
        <f>MRS!H10</f>
        <v>5</v>
      </c>
      <c r="I10" s="94">
        <f>MRS!I10</f>
        <v>60</v>
      </c>
      <c r="J10" s="94">
        <f>MRS!J10</f>
        <v>300</v>
      </c>
      <c r="K10" s="95"/>
      <c r="O10" s="96"/>
      <c r="P10" s="96"/>
      <c r="R10" s="96"/>
    </row>
    <row r="11" spans="1:18" ht="105" customHeight="1">
      <c r="A11" s="21">
        <f>+MRS!A11</f>
        <v>6</v>
      </c>
      <c r="B11" s="154" t="str">
        <f>MRS!B11</f>
        <v>Tube Cutter Blade - 1/4 X 2-1/2"  ( Brand : Super Ego )</v>
      </c>
      <c r="C11" s="155"/>
      <c r="D11" s="156">
        <f>MRS!D11</f>
        <v>0</v>
      </c>
      <c r="E11" s="157"/>
      <c r="F11" s="158"/>
      <c r="G11" s="93" t="str">
        <f>MRS!G11</f>
        <v>EA</v>
      </c>
      <c r="H11" s="93">
        <f>MRS!H11</f>
        <v>248</v>
      </c>
      <c r="I11" s="94">
        <f>MRS!I11</f>
        <v>40</v>
      </c>
      <c r="J11" s="94">
        <f>MRS!J11</f>
        <v>9920</v>
      </c>
      <c r="K11" s="95"/>
      <c r="O11" s="96"/>
      <c r="P11" s="96"/>
      <c r="R11" s="96"/>
    </row>
    <row r="12" spans="1:18" ht="105" customHeight="1">
      <c r="A12" s="21">
        <f>+MRS!A12</f>
        <v>7</v>
      </c>
      <c r="B12" s="154" t="str">
        <f>MRS!B12</f>
        <v xml:space="preserve">Concrete Mixing Drill Machine Model No : Grw 140 With Mixing Padle </v>
      </c>
      <c r="C12" s="155"/>
      <c r="D12" s="156">
        <f>MRS!D12</f>
        <v>0</v>
      </c>
      <c r="E12" s="157"/>
      <c r="F12" s="158"/>
      <c r="G12" s="93" t="str">
        <f>MRS!G12</f>
        <v>EA</v>
      </c>
      <c r="H12" s="93">
        <f>MRS!H12</f>
        <v>5</v>
      </c>
      <c r="I12" s="94">
        <f>MRS!I12</f>
        <v>860</v>
      </c>
      <c r="J12" s="94">
        <f>MRS!J12</f>
        <v>4300</v>
      </c>
      <c r="K12" s="95"/>
      <c r="O12" s="96"/>
      <c r="P12" s="96"/>
      <c r="R12" s="96"/>
    </row>
    <row r="13" spans="1:18" ht="105" customHeight="1">
      <c r="A13" s="21">
        <f>+MRS!A13</f>
        <v>8</v>
      </c>
      <c r="B13" s="154" t="str">
        <f>MRS!B13</f>
        <v xml:space="preserve">Jigsaw Blade (6-5/16") </v>
      </c>
      <c r="C13" s="155"/>
      <c r="D13" s="156">
        <f>MRS!D13</f>
        <v>0</v>
      </c>
      <c r="E13" s="157"/>
      <c r="F13" s="158"/>
      <c r="G13" s="93" t="str">
        <f>MRS!G13</f>
        <v>EA</v>
      </c>
      <c r="H13" s="93">
        <f>MRS!H13</f>
        <v>185</v>
      </c>
      <c r="I13" s="94">
        <f>MRS!I13</f>
        <v>20</v>
      </c>
      <c r="J13" s="94">
        <f>MRS!J13</f>
        <v>3700</v>
      </c>
      <c r="K13" s="95"/>
      <c r="O13" s="96"/>
      <c r="P13" s="96"/>
      <c r="R13" s="96"/>
    </row>
    <row r="14" spans="1:18" ht="105" customHeight="1">
      <c r="A14" s="21">
        <f>+MRS!A14</f>
        <v>9</v>
      </c>
      <c r="B14" s="154" t="str">
        <f>MRS!B14</f>
        <v>Industrial Mist Fan 26" 220V ( Brand : Giffex )</v>
      </c>
      <c r="C14" s="155"/>
      <c r="D14" s="156">
        <f>MRS!D14</f>
        <v>0</v>
      </c>
      <c r="E14" s="157"/>
      <c r="F14" s="158"/>
      <c r="G14" s="93" t="str">
        <f>MRS!G14</f>
        <v>PCS</v>
      </c>
      <c r="H14" s="93">
        <f>MRS!H14</f>
        <v>8</v>
      </c>
      <c r="I14" s="94">
        <f>MRS!I14</f>
        <v>670</v>
      </c>
      <c r="J14" s="94">
        <f>MRS!J14</f>
        <v>5360</v>
      </c>
      <c r="K14" s="95"/>
      <c r="O14" s="96"/>
      <c r="P14" s="96"/>
      <c r="R14" s="96"/>
    </row>
    <row r="15" spans="1:18" ht="105" customHeight="1">
      <c r="A15" s="21">
        <f>+MRS!A15</f>
        <v>10</v>
      </c>
      <c r="B15" s="154" t="str">
        <f>MRS!B15</f>
        <v xml:space="preserve">Chemical Gloves Brand: U-Safe  </v>
      </c>
      <c r="C15" s="155"/>
      <c r="D15" s="156">
        <f>MRS!D15</f>
        <v>0</v>
      </c>
      <c r="E15" s="157"/>
      <c r="F15" s="158"/>
      <c r="G15" s="93" t="str">
        <f>MRS!G15</f>
        <v>PAIR</v>
      </c>
      <c r="H15" s="93">
        <f>MRS!H15</f>
        <v>700</v>
      </c>
      <c r="I15" s="94">
        <f>MRS!I15</f>
        <v>4.5</v>
      </c>
      <c r="J15" s="94">
        <f>MRS!J15</f>
        <v>3150</v>
      </c>
      <c r="K15" s="95"/>
      <c r="O15" s="96"/>
      <c r="P15" s="96"/>
      <c r="R15" s="96"/>
    </row>
    <row r="16" spans="1:18" ht="105" customHeight="1">
      <c r="A16" s="21">
        <f>+MRS!A16</f>
        <v>11</v>
      </c>
      <c r="B16" s="154" t="str">
        <f>MRS!B16</f>
        <v>Tube Cutter Blade 1/8-1 1/8"</v>
      </c>
      <c r="C16" s="155"/>
      <c r="D16" s="156">
        <f>MRS!D16</f>
        <v>0</v>
      </c>
      <c r="E16" s="157"/>
      <c r="F16" s="158"/>
      <c r="G16" s="93" t="str">
        <f>MRS!G16</f>
        <v>PCS</v>
      </c>
      <c r="H16" s="93">
        <f>MRS!H16</f>
        <v>110</v>
      </c>
      <c r="I16" s="94">
        <f>MRS!I16</f>
        <v>20</v>
      </c>
      <c r="J16" s="94">
        <f>MRS!J16</f>
        <v>2200</v>
      </c>
      <c r="K16" s="95"/>
      <c r="O16" s="96"/>
      <c r="P16" s="96"/>
      <c r="R16" s="96"/>
    </row>
    <row r="17" spans="1:18" ht="105" customHeight="1">
      <c r="A17" s="21">
        <f>+MRS!A17</f>
        <v>12</v>
      </c>
      <c r="B17" s="154" t="str">
        <f>MRS!B17</f>
        <v xml:space="preserve">Cordless Drill Machine (Bosch-Brand Gsb 183) </v>
      </c>
      <c r="C17" s="155"/>
      <c r="D17" s="156">
        <f>MRS!D17</f>
        <v>0</v>
      </c>
      <c r="E17" s="157"/>
      <c r="F17" s="158"/>
      <c r="G17" s="93" t="str">
        <f>MRS!G17</f>
        <v>PCS</v>
      </c>
      <c r="H17" s="93">
        <f>MRS!H17</f>
        <v>3</v>
      </c>
      <c r="I17" s="94">
        <f>MRS!I17</f>
        <v>640</v>
      </c>
      <c r="J17" s="94">
        <f>MRS!J17</f>
        <v>1920</v>
      </c>
      <c r="K17" s="95"/>
      <c r="O17" s="96"/>
      <c r="P17" s="96"/>
      <c r="R17" s="96"/>
    </row>
    <row r="18" spans="1:18" ht="105" customHeight="1">
      <c r="A18" s="21">
        <f>+MRS!A18</f>
        <v>13</v>
      </c>
      <c r="B18" s="154" t="str">
        <f>MRS!B18</f>
        <v xml:space="preserve">Cordless Hand Blower (Bosch-Brand Gbl -180) </v>
      </c>
      <c r="C18" s="155"/>
      <c r="D18" s="156">
        <f>MRS!D18</f>
        <v>0</v>
      </c>
      <c r="E18" s="157"/>
      <c r="F18" s="158"/>
      <c r="G18" s="93" t="str">
        <f>MRS!G18</f>
        <v>PCS</v>
      </c>
      <c r="H18" s="93">
        <f>MRS!H18</f>
        <v>3</v>
      </c>
      <c r="I18" s="94">
        <f>MRS!I18</f>
        <v>635</v>
      </c>
      <c r="J18" s="94">
        <f>MRS!J18</f>
        <v>1905</v>
      </c>
      <c r="K18" s="95"/>
      <c r="O18" s="96"/>
      <c r="P18" s="96"/>
      <c r="R18" s="96"/>
    </row>
    <row r="19" spans="1:18" ht="105" customHeight="1">
      <c r="A19" s="21">
        <f>+MRS!A19</f>
        <v>14</v>
      </c>
      <c r="B19" s="154" t="str">
        <f>MRS!B19</f>
        <v xml:space="preserve">Magnetic Hex Nut Bit 6Mm Brand : Dewesser </v>
      </c>
      <c r="C19" s="155"/>
      <c r="D19" s="156">
        <f>MRS!D19</f>
        <v>0</v>
      </c>
      <c r="E19" s="157"/>
      <c r="F19" s="158"/>
      <c r="G19" s="93" t="str">
        <f>MRS!G19</f>
        <v>PCS</v>
      </c>
      <c r="H19" s="93">
        <f>MRS!H19</f>
        <v>1</v>
      </c>
      <c r="I19" s="94">
        <f>MRS!I19</f>
        <v>3.5</v>
      </c>
      <c r="J19" s="94">
        <f>MRS!J19</f>
        <v>3.5</v>
      </c>
      <c r="K19" s="95"/>
      <c r="O19" s="96"/>
      <c r="P19" s="96"/>
      <c r="R19" s="96"/>
    </row>
    <row r="20" spans="1:18" ht="105" customHeight="1">
      <c r="A20" s="21">
        <f>+MRS!A20</f>
        <v>15</v>
      </c>
      <c r="B20" s="154" t="str">
        <f>MRS!B20</f>
        <v xml:space="preserve">Magnetic Hex Nut Bit 8Mm Brand: Dewesser </v>
      </c>
      <c r="C20" s="155"/>
      <c r="D20" s="156">
        <f>MRS!D20</f>
        <v>0</v>
      </c>
      <c r="E20" s="157"/>
      <c r="F20" s="158"/>
      <c r="G20" s="93" t="str">
        <f>MRS!G20</f>
        <v>PCS</v>
      </c>
      <c r="H20" s="93">
        <f>MRS!H20</f>
        <v>11</v>
      </c>
      <c r="I20" s="94">
        <f>MRS!I20</f>
        <v>3.5</v>
      </c>
      <c r="J20" s="94">
        <f>MRS!J20</f>
        <v>38.5</v>
      </c>
      <c r="K20" s="95"/>
      <c r="O20" s="96"/>
      <c r="P20" s="96"/>
      <c r="R20" s="96"/>
    </row>
    <row r="21" spans="1:18" ht="105" customHeight="1">
      <c r="A21" s="21">
        <f>+MRS!A21</f>
        <v>16</v>
      </c>
      <c r="B21" s="154" t="str">
        <f>MRS!B21</f>
        <v xml:space="preserve">Magnetic Hex Nut Bit 10Mm Brand: Dewesser </v>
      </c>
      <c r="C21" s="155"/>
      <c r="D21" s="156">
        <f>MRS!D21</f>
        <v>0</v>
      </c>
      <c r="E21" s="157"/>
      <c r="F21" s="158"/>
      <c r="G21" s="93" t="str">
        <f>MRS!G21</f>
        <v>PCS</v>
      </c>
      <c r="H21" s="93">
        <f>MRS!H21</f>
        <v>31</v>
      </c>
      <c r="I21" s="94">
        <f>MRS!I21</f>
        <v>3.5</v>
      </c>
      <c r="J21" s="94">
        <f>MRS!J21</f>
        <v>108.5</v>
      </c>
      <c r="K21" s="95"/>
      <c r="O21" s="96"/>
      <c r="P21" s="96"/>
      <c r="R21" s="96"/>
    </row>
    <row r="22" spans="1:18" ht="105" customHeight="1">
      <c r="A22" s="21">
        <f>+MRS!A22</f>
        <v>17</v>
      </c>
      <c r="B22" s="154" t="str">
        <f>MRS!B22</f>
        <v xml:space="preserve">Electrical Drill Machine (Bosch-Brand Gsb 600) </v>
      </c>
      <c r="C22" s="155"/>
      <c r="D22" s="156">
        <f>MRS!D22</f>
        <v>0</v>
      </c>
      <c r="E22" s="157"/>
      <c r="F22" s="158"/>
      <c r="G22" s="93" t="str">
        <f>MRS!G22</f>
        <v>PCS</v>
      </c>
      <c r="H22" s="93">
        <f>MRS!H22</f>
        <v>8</v>
      </c>
      <c r="I22" s="94">
        <f>MRS!I22</f>
        <v>220</v>
      </c>
      <c r="J22" s="94">
        <f>MRS!J22</f>
        <v>1760</v>
      </c>
      <c r="K22" s="95"/>
      <c r="O22" s="96"/>
      <c r="P22" s="96"/>
      <c r="R22" s="96"/>
    </row>
    <row r="23" spans="1:18" ht="105" customHeight="1">
      <c r="A23" s="21">
        <f>+MRS!A23</f>
        <v>18</v>
      </c>
      <c r="B23" s="154" t="str">
        <f>MRS!B23</f>
        <v xml:space="preserve">Right Angle 12" X 24" (Kspro : Brand) </v>
      </c>
      <c r="C23" s="155"/>
      <c r="D23" s="156">
        <f>MRS!D23</f>
        <v>0</v>
      </c>
      <c r="E23" s="157"/>
      <c r="F23" s="158"/>
      <c r="G23" s="93" t="str">
        <f>MRS!G23</f>
        <v>PCS</v>
      </c>
      <c r="H23" s="93">
        <f>MRS!H23</f>
        <v>6</v>
      </c>
      <c r="I23" s="94">
        <f>MRS!I23</f>
        <v>50</v>
      </c>
      <c r="J23" s="94">
        <f>MRS!J23</f>
        <v>300</v>
      </c>
      <c r="K23" s="95"/>
      <c r="O23" s="96"/>
      <c r="P23" s="96"/>
      <c r="R23" s="96"/>
    </row>
    <row r="24" spans="1:18" ht="105" customHeight="1">
      <c r="A24" s="21">
        <f>+MRS!A24</f>
        <v>19</v>
      </c>
      <c r="B24" s="154" t="str">
        <f>MRS!B24</f>
        <v>Roto Aluminium Spirit Level 30Cm</v>
      </c>
      <c r="C24" s="155"/>
      <c r="D24" s="156">
        <f>MRS!D24</f>
        <v>0</v>
      </c>
      <c r="E24" s="157"/>
      <c r="F24" s="158"/>
      <c r="G24" s="93" t="str">
        <f>MRS!G24</f>
        <v>PCS</v>
      </c>
      <c r="H24" s="93">
        <f>MRS!H24</f>
        <v>50</v>
      </c>
      <c r="I24" s="94">
        <f>MRS!I24</f>
        <v>17</v>
      </c>
      <c r="J24" s="94">
        <f>MRS!J24</f>
        <v>850</v>
      </c>
      <c r="K24" s="95"/>
      <c r="O24" s="96"/>
      <c r="P24" s="96"/>
      <c r="R24" s="96"/>
    </row>
    <row r="25" spans="1:18" ht="105" customHeight="1">
      <c r="A25" s="21">
        <f>+MRS!A25</f>
        <v>20</v>
      </c>
      <c r="B25" s="154" t="str">
        <f>MRS!B25</f>
        <v>Roto Aluminium Spirit Level 60Cm</v>
      </c>
      <c r="C25" s="155"/>
      <c r="D25" s="156">
        <f>MRS!D25</f>
        <v>0</v>
      </c>
      <c r="E25" s="157"/>
      <c r="F25" s="158"/>
      <c r="G25" s="93" t="str">
        <f>MRS!G25</f>
        <v>PCS</v>
      </c>
      <c r="H25" s="93">
        <f>MRS!H25</f>
        <v>30</v>
      </c>
      <c r="I25" s="94">
        <f>MRS!I25</f>
        <v>31</v>
      </c>
      <c r="J25" s="94">
        <f>MRS!J25</f>
        <v>930</v>
      </c>
      <c r="K25" s="95"/>
      <c r="O25" s="96"/>
      <c r="P25" s="96"/>
      <c r="R25" s="96"/>
    </row>
    <row r="26" spans="1:18" ht="105" customHeight="1">
      <c r="A26" s="21">
        <f>+MRS!A26</f>
        <v>21</v>
      </c>
      <c r="B26" s="154" t="str">
        <f>MRS!B26</f>
        <v>Roto Aluminium Spirit Level 100Cm</v>
      </c>
      <c r="C26" s="155"/>
      <c r="D26" s="156">
        <f>MRS!D26</f>
        <v>0</v>
      </c>
      <c r="E26" s="157"/>
      <c r="F26" s="158"/>
      <c r="G26" s="93" t="str">
        <f>MRS!G26</f>
        <v>PCS</v>
      </c>
      <c r="H26" s="93">
        <f>MRS!H26</f>
        <v>2</v>
      </c>
      <c r="I26" s="94">
        <f>MRS!I26</f>
        <v>42</v>
      </c>
      <c r="J26" s="94">
        <f>MRS!J26</f>
        <v>84</v>
      </c>
      <c r="K26" s="95"/>
      <c r="O26" s="96"/>
      <c r="P26" s="96"/>
      <c r="R26" s="96"/>
    </row>
    <row r="27" spans="1:18" ht="105" customHeight="1">
      <c r="A27" s="21">
        <f>+MRS!A27</f>
        <v>22</v>
      </c>
      <c r="B27" s="154" t="str">
        <f>MRS!B27</f>
        <v xml:space="preserve">Mesurement Tape - 5Mtr Clarke : Brand </v>
      </c>
      <c r="C27" s="155"/>
      <c r="D27" s="156">
        <f>MRS!D27</f>
        <v>0</v>
      </c>
      <c r="E27" s="157"/>
      <c r="F27" s="158"/>
      <c r="G27" s="93" t="str">
        <f>MRS!G27</f>
        <v>PCS</v>
      </c>
      <c r="H27" s="93">
        <f>MRS!H27</f>
        <v>194</v>
      </c>
      <c r="I27" s="94">
        <f>MRS!I27</f>
        <v>10</v>
      </c>
      <c r="J27" s="94">
        <f>MRS!J27</f>
        <v>1940</v>
      </c>
      <c r="K27" s="95"/>
      <c r="O27" s="96"/>
      <c r="P27" s="96"/>
      <c r="R27" s="96"/>
    </row>
    <row r="28" spans="1:18" ht="105" customHeight="1">
      <c r="A28" s="21">
        <f>+MRS!A28</f>
        <v>23</v>
      </c>
      <c r="B28" s="154" t="str">
        <f>MRS!B28</f>
        <v xml:space="preserve">Mesurement Tape 3Mtr Clarke:Brand </v>
      </c>
      <c r="C28" s="155"/>
      <c r="D28" s="156">
        <f>MRS!D28</f>
        <v>0</v>
      </c>
      <c r="E28" s="157"/>
      <c r="F28" s="158"/>
      <c r="G28" s="93" t="str">
        <f>MRS!G28</f>
        <v>PCS</v>
      </c>
      <c r="H28" s="93">
        <f>MRS!H28</f>
        <v>10</v>
      </c>
      <c r="I28" s="94">
        <f>MRS!I28</f>
        <v>7</v>
      </c>
      <c r="J28" s="94">
        <f>MRS!J28</f>
        <v>70</v>
      </c>
      <c r="K28" s="95"/>
      <c r="O28" s="96"/>
      <c r="P28" s="96"/>
      <c r="R28" s="96"/>
    </row>
    <row r="29" spans="1:18" ht="105" customHeight="1">
      <c r="A29" s="21">
        <f>+MRS!A29</f>
        <v>24</v>
      </c>
      <c r="B29" s="154" t="str">
        <f>MRS!B29</f>
        <v>12" Adjustable Wrench (Brand - Dewesser)</v>
      </c>
      <c r="C29" s="155"/>
      <c r="D29" s="156">
        <f>MRS!D29</f>
        <v>0</v>
      </c>
      <c r="E29" s="157"/>
      <c r="F29" s="158"/>
      <c r="G29" s="93" t="str">
        <f>MRS!G29</f>
        <v>PCS</v>
      </c>
      <c r="H29" s="93">
        <f>MRS!H29</f>
        <v>30</v>
      </c>
      <c r="I29" s="94">
        <f>MRS!I29</f>
        <v>28</v>
      </c>
      <c r="J29" s="94">
        <f>MRS!J29</f>
        <v>840</v>
      </c>
      <c r="K29" s="95"/>
      <c r="O29" s="96"/>
      <c r="P29" s="96"/>
      <c r="R29" s="96"/>
    </row>
    <row r="30" spans="1:18" ht="105" customHeight="1">
      <c r="A30" s="21">
        <f>+MRS!A30</f>
        <v>25</v>
      </c>
      <c r="B30" s="154" t="str">
        <f>MRS!B30</f>
        <v>Adjustable Wrench Dewesser 10"</v>
      </c>
      <c r="C30" s="155"/>
      <c r="D30" s="156">
        <f>MRS!D30</f>
        <v>0</v>
      </c>
      <c r="E30" s="157"/>
      <c r="F30" s="158"/>
      <c r="G30" s="93" t="str">
        <f>MRS!G30</f>
        <v>PCS</v>
      </c>
      <c r="H30" s="93">
        <f>MRS!H30</f>
        <v>20</v>
      </c>
      <c r="I30" s="94">
        <f>MRS!I30</f>
        <v>24</v>
      </c>
      <c r="J30" s="94">
        <f>MRS!J30</f>
        <v>480</v>
      </c>
      <c r="K30" s="95"/>
      <c r="O30" s="96"/>
      <c r="P30" s="96"/>
      <c r="R30" s="96"/>
    </row>
    <row r="31" spans="1:18" ht="105" customHeight="1">
      <c r="A31" s="21">
        <f>+MRS!A31</f>
        <v>26</v>
      </c>
      <c r="B31" s="154" t="str">
        <f>MRS!B31</f>
        <v xml:space="preserve">Anti Vibration Hand Gloves Brand : Volta  </v>
      </c>
      <c r="C31" s="155"/>
      <c r="D31" s="156">
        <f>MRS!D31</f>
        <v>0</v>
      </c>
      <c r="E31" s="157"/>
      <c r="F31" s="158"/>
      <c r="G31" s="93" t="str">
        <f>MRS!G31</f>
        <v>PAIR</v>
      </c>
      <c r="H31" s="93">
        <f>MRS!H31</f>
        <v>50</v>
      </c>
      <c r="I31" s="94">
        <f>MRS!I31</f>
        <v>29</v>
      </c>
      <c r="J31" s="94">
        <f>MRS!J31</f>
        <v>1450</v>
      </c>
      <c r="K31" s="95"/>
      <c r="O31" s="96"/>
      <c r="P31" s="96"/>
      <c r="R31" s="96"/>
    </row>
    <row r="32" spans="1:18" ht="105" customHeight="1">
      <c r="A32" s="21">
        <f>+MRS!A32</f>
        <v>27</v>
      </c>
      <c r="B32" s="154" t="str">
        <f>MRS!B32</f>
        <v xml:space="preserve">Belt Strap Wrench  4" ( Brand: Clarke) </v>
      </c>
      <c r="C32" s="155"/>
      <c r="D32" s="156">
        <f>MRS!D32</f>
        <v>0</v>
      </c>
      <c r="E32" s="157"/>
      <c r="F32" s="158"/>
      <c r="G32" s="93" t="str">
        <f>MRS!G32</f>
        <v>PCS</v>
      </c>
      <c r="H32" s="93">
        <f>MRS!H32</f>
        <v>5</v>
      </c>
      <c r="I32" s="94">
        <f>MRS!I32</f>
        <v>45</v>
      </c>
      <c r="J32" s="94">
        <f>MRS!J32</f>
        <v>225</v>
      </c>
      <c r="K32" s="95"/>
      <c r="O32" s="96"/>
      <c r="P32" s="96"/>
      <c r="R32" s="96"/>
    </row>
    <row r="33" spans="1:18" ht="105" customHeight="1">
      <c r="A33" s="21">
        <f>+MRS!A33</f>
        <v>28</v>
      </c>
      <c r="B33" s="154" t="str">
        <f>MRS!B33</f>
        <v xml:space="preserve">Cable Cutter 32Mm  Brand : Giffex </v>
      </c>
      <c r="C33" s="155"/>
      <c r="D33" s="156">
        <f>MRS!D33</f>
        <v>0</v>
      </c>
      <c r="E33" s="157"/>
      <c r="F33" s="158"/>
      <c r="G33" s="93" t="str">
        <f>MRS!G33</f>
        <v>PCS</v>
      </c>
      <c r="H33" s="93">
        <f>MRS!H33</f>
        <v>5</v>
      </c>
      <c r="I33" s="94">
        <f>MRS!I33</f>
        <v>28</v>
      </c>
      <c r="J33" s="94">
        <f>MRS!J33</f>
        <v>140</v>
      </c>
      <c r="K33" s="95"/>
      <c r="O33" s="96"/>
      <c r="P33" s="96"/>
      <c r="R33" s="96"/>
    </row>
    <row r="34" spans="1:18" ht="105" customHeight="1">
      <c r="A34" s="21">
        <f>+MRS!A34</f>
        <v>29</v>
      </c>
      <c r="B34" s="154" t="str">
        <f>MRS!B34</f>
        <v xml:space="preserve">Chin Wrench 4"  (Brand : Clarke ) </v>
      </c>
      <c r="C34" s="155"/>
      <c r="D34" s="156">
        <f>MRS!D34</f>
        <v>0</v>
      </c>
      <c r="E34" s="157"/>
      <c r="F34" s="158"/>
      <c r="G34" s="93" t="str">
        <f>MRS!G34</f>
        <v>PCS</v>
      </c>
      <c r="H34" s="93">
        <f>MRS!H34</f>
        <v>5</v>
      </c>
      <c r="I34" s="94">
        <f>MRS!I34</f>
        <v>75</v>
      </c>
      <c r="J34" s="94">
        <f>MRS!J34</f>
        <v>375</v>
      </c>
      <c r="K34" s="95"/>
      <c r="O34" s="96"/>
      <c r="P34" s="96"/>
      <c r="R34" s="96"/>
    </row>
    <row r="35" spans="1:18" ht="105" customHeight="1">
      <c r="A35" s="21">
        <f>+MRS!A35</f>
        <v>30</v>
      </c>
      <c r="B35" s="154" t="str">
        <f>MRS!B35</f>
        <v>Circular Saw Blade - 9" (Brand : Clarke)</v>
      </c>
      <c r="C35" s="155"/>
      <c r="D35" s="156">
        <f>MRS!D35</f>
        <v>0</v>
      </c>
      <c r="E35" s="157"/>
      <c r="F35" s="158"/>
      <c r="G35" s="93" t="str">
        <f>MRS!G35</f>
        <v>PCS</v>
      </c>
      <c r="H35" s="93">
        <f>MRS!H35</f>
        <v>5</v>
      </c>
      <c r="I35" s="94">
        <f>MRS!I35</f>
        <v>36</v>
      </c>
      <c r="J35" s="94">
        <f>MRS!J35</f>
        <v>180</v>
      </c>
      <c r="K35" s="95"/>
      <c r="O35" s="96"/>
      <c r="P35" s="96"/>
      <c r="R35" s="96"/>
    </row>
    <row r="36" spans="1:18" ht="105" customHeight="1">
      <c r="A36" s="21">
        <f>+MRS!A36</f>
        <v>31</v>
      </c>
      <c r="B36" s="154" t="str">
        <f>MRS!B36</f>
        <v xml:space="preserve">Circular Saw Machine (Brand : Bosch Gks9) </v>
      </c>
      <c r="C36" s="155"/>
      <c r="D36" s="156">
        <f>MRS!D36</f>
        <v>0</v>
      </c>
      <c r="E36" s="157"/>
      <c r="F36" s="158"/>
      <c r="G36" s="93" t="str">
        <f>MRS!G36</f>
        <v>PCS</v>
      </c>
      <c r="H36" s="93">
        <f>MRS!H36</f>
        <v>2</v>
      </c>
      <c r="I36" s="94">
        <f>MRS!I36</f>
        <v>765</v>
      </c>
      <c r="J36" s="94">
        <f>MRS!J36</f>
        <v>1530</v>
      </c>
      <c r="K36" s="95"/>
      <c r="O36" s="96"/>
      <c r="P36" s="96"/>
      <c r="R36" s="96"/>
    </row>
    <row r="37" spans="1:18" ht="105" customHeight="1">
      <c r="A37" s="21">
        <f>+MRS!A37</f>
        <v>32</v>
      </c>
      <c r="B37" s="154" t="str">
        <f>MRS!B37</f>
        <v>Combination Plier 200Mm Roto</v>
      </c>
      <c r="C37" s="155"/>
      <c r="D37" s="156">
        <f>MRS!D37</f>
        <v>0</v>
      </c>
      <c r="E37" s="157"/>
      <c r="F37" s="158"/>
      <c r="G37" s="93" t="str">
        <f>MRS!G37</f>
        <v>PCS</v>
      </c>
      <c r="H37" s="93">
        <f>MRS!H37</f>
        <v>7</v>
      </c>
      <c r="I37" s="94">
        <f>MRS!I37</f>
        <v>18</v>
      </c>
      <c r="J37" s="94">
        <f>MRS!J37</f>
        <v>126</v>
      </c>
      <c r="K37" s="95"/>
      <c r="O37" s="96"/>
      <c r="P37" s="96"/>
      <c r="R37" s="96"/>
    </row>
    <row r="38" spans="1:18" ht="105" customHeight="1">
      <c r="A38" s="21">
        <f>+MRS!A38</f>
        <v>33</v>
      </c>
      <c r="B38" s="154" t="str">
        <f>MRS!B38</f>
        <v xml:space="preserve">Concrete Grinding Disc 4" (Brand : Vermolens) </v>
      </c>
      <c r="C38" s="155"/>
      <c r="D38" s="156">
        <f>MRS!D38</f>
        <v>0</v>
      </c>
      <c r="E38" s="157"/>
      <c r="F38" s="158"/>
      <c r="G38" s="93" t="str">
        <f>MRS!G38</f>
        <v>PCS</v>
      </c>
      <c r="H38" s="93">
        <f>MRS!H38</f>
        <v>50</v>
      </c>
      <c r="I38" s="94">
        <f>MRS!I38</f>
        <v>30</v>
      </c>
      <c r="J38" s="94">
        <f>MRS!J38</f>
        <v>1500</v>
      </c>
      <c r="K38" s="95"/>
      <c r="O38" s="96"/>
      <c r="P38" s="96"/>
      <c r="R38" s="96"/>
    </row>
    <row r="39" spans="1:18" ht="105" customHeight="1">
      <c r="A39" s="21">
        <f>+MRS!A39</f>
        <v>34</v>
      </c>
      <c r="B39" s="154" t="str">
        <f>MRS!B39</f>
        <v>Crimping Tool Lx-50B Giffex</v>
      </c>
      <c r="C39" s="155"/>
      <c r="D39" s="156">
        <f>MRS!D39</f>
        <v>0</v>
      </c>
      <c r="E39" s="157"/>
      <c r="F39" s="158"/>
      <c r="G39" s="93" t="str">
        <f>MRS!G39</f>
        <v>PCS</v>
      </c>
      <c r="H39" s="93">
        <f>MRS!H39</f>
        <v>5</v>
      </c>
      <c r="I39" s="94">
        <f>MRS!I39</f>
        <v>110</v>
      </c>
      <c r="J39" s="94">
        <f>MRS!J39</f>
        <v>550</v>
      </c>
      <c r="K39" s="95"/>
      <c r="O39" s="96"/>
      <c r="P39" s="96"/>
      <c r="R39" s="96"/>
    </row>
    <row r="40" spans="1:18" ht="105" customHeight="1">
      <c r="A40" s="21">
        <f>+MRS!A40</f>
        <v>35</v>
      </c>
      <c r="B40" s="154" t="str">
        <f>MRS!B40</f>
        <v xml:space="preserve">Crimping Tool Lx-120B (Brand:Giffeex) </v>
      </c>
      <c r="C40" s="155"/>
      <c r="D40" s="156">
        <f>MRS!D40</f>
        <v>0</v>
      </c>
      <c r="E40" s="157"/>
      <c r="F40" s="158"/>
      <c r="G40" s="93" t="str">
        <f>MRS!G40</f>
        <v>PCS</v>
      </c>
      <c r="H40" s="93">
        <f>MRS!H40</f>
        <v>2</v>
      </c>
      <c r="I40" s="94">
        <f>MRS!I40</f>
        <v>245</v>
      </c>
      <c r="J40" s="94">
        <f>MRS!J40</f>
        <v>490</v>
      </c>
      <c r="K40" s="95"/>
      <c r="O40" s="96"/>
      <c r="P40" s="96"/>
      <c r="R40" s="96"/>
    </row>
    <row r="41" spans="1:18" ht="105" customHeight="1">
      <c r="A41" s="21">
        <f>+MRS!A41</f>
        <v>36</v>
      </c>
      <c r="B41" s="154" t="str">
        <f>MRS!B41</f>
        <v xml:space="preserve">Cutting Plier 200Mm (Brand:Kniffex) </v>
      </c>
      <c r="C41" s="155"/>
      <c r="D41" s="156">
        <f>MRS!D41</f>
        <v>0</v>
      </c>
      <c r="E41" s="157"/>
      <c r="F41" s="158"/>
      <c r="G41" s="93" t="str">
        <f>MRS!G41</f>
        <v>PCS</v>
      </c>
      <c r="H41" s="93">
        <f>MRS!H41</f>
        <v>5</v>
      </c>
      <c r="I41" s="94">
        <f>MRS!I41</f>
        <v>45</v>
      </c>
      <c r="J41" s="94">
        <f>MRS!J41</f>
        <v>225</v>
      </c>
      <c r="K41" s="95"/>
      <c r="O41" s="96"/>
      <c r="P41" s="96"/>
      <c r="R41" s="96"/>
    </row>
    <row r="42" spans="1:18" ht="105" customHeight="1">
      <c r="A42" s="21">
        <f>+MRS!A42</f>
        <v>37</v>
      </c>
      <c r="B42" s="154" t="str">
        <f>MRS!B42</f>
        <v>Cutting Scissor - 5"</v>
      </c>
      <c r="C42" s="155"/>
      <c r="D42" s="156">
        <f>MRS!D42</f>
        <v>0</v>
      </c>
      <c r="E42" s="157"/>
      <c r="F42" s="158"/>
      <c r="G42" s="93" t="str">
        <f>MRS!G42</f>
        <v>PCS</v>
      </c>
      <c r="H42" s="93">
        <f>MRS!H42</f>
        <v>2</v>
      </c>
      <c r="I42" s="94">
        <f>MRS!I42</f>
        <v>15</v>
      </c>
      <c r="J42" s="94">
        <f>MRS!J42</f>
        <v>30</v>
      </c>
      <c r="K42" s="95"/>
      <c r="O42" s="96"/>
      <c r="P42" s="96"/>
      <c r="R42" s="96"/>
    </row>
    <row r="43" spans="1:18" ht="105" customHeight="1">
      <c r="A43" s="21">
        <f>+MRS!A43</f>
        <v>38</v>
      </c>
      <c r="B43" s="154" t="str">
        <f>MRS!B43</f>
        <v>Mini Side Cutter 4" Gx-031</v>
      </c>
      <c r="C43" s="155"/>
      <c r="D43" s="156">
        <f>MRS!D43</f>
        <v>0</v>
      </c>
      <c r="E43" s="157"/>
      <c r="F43" s="158"/>
      <c r="G43" s="93" t="str">
        <f>MRS!G43</f>
        <v>PCS</v>
      </c>
      <c r="H43" s="93">
        <f>MRS!H43</f>
        <v>5</v>
      </c>
      <c r="I43" s="94">
        <f>MRS!I43</f>
        <v>17</v>
      </c>
      <c r="J43" s="94">
        <f>MRS!J43</f>
        <v>85</v>
      </c>
      <c r="K43" s="95"/>
      <c r="O43" s="96"/>
      <c r="P43" s="96"/>
      <c r="R43" s="96"/>
    </row>
    <row r="44" spans="1:18" ht="105" customHeight="1">
      <c r="A44" s="21">
        <f>+MRS!A44</f>
        <v>39</v>
      </c>
      <c r="B44" s="154" t="str">
        <f>MRS!B44</f>
        <v>Door Closer ( Brand : Yale )</v>
      </c>
      <c r="C44" s="155"/>
      <c r="D44" s="156">
        <f>MRS!D44</f>
        <v>0</v>
      </c>
      <c r="E44" s="157"/>
      <c r="F44" s="158"/>
      <c r="G44" s="93" t="str">
        <f>MRS!G44</f>
        <v>PCS</v>
      </c>
      <c r="H44" s="93">
        <f>MRS!H44</f>
        <v>2</v>
      </c>
      <c r="I44" s="94">
        <f>MRS!I44</f>
        <v>115</v>
      </c>
      <c r="J44" s="94">
        <f>MRS!J44</f>
        <v>230</v>
      </c>
      <c r="K44" s="95"/>
      <c r="O44" s="96"/>
      <c r="P44" s="96"/>
      <c r="R44" s="96"/>
    </row>
    <row r="45" spans="1:18" ht="105" customHeight="1">
      <c r="A45" s="21">
        <f>+MRS!A45</f>
        <v>40</v>
      </c>
      <c r="B45" s="154" t="str">
        <f>MRS!B45</f>
        <v>Helmet-Mounted Ear Muff 3M</v>
      </c>
      <c r="C45" s="155"/>
      <c r="D45" s="156">
        <f>MRS!D45</f>
        <v>0</v>
      </c>
      <c r="E45" s="157"/>
      <c r="F45" s="158"/>
      <c r="G45" s="93" t="str">
        <f>MRS!G45</f>
        <v>PCS</v>
      </c>
      <c r="H45" s="93">
        <f>MRS!H45</f>
        <v>50</v>
      </c>
      <c r="I45" s="94">
        <f>MRS!I45</f>
        <v>75</v>
      </c>
      <c r="J45" s="94">
        <f>MRS!J45</f>
        <v>3750</v>
      </c>
      <c r="K45" s="95"/>
      <c r="O45" s="96"/>
      <c r="P45" s="96"/>
      <c r="R45" s="96"/>
    </row>
    <row r="46" spans="1:18" ht="105" customHeight="1">
      <c r="A46" s="21">
        <f>+MRS!A46</f>
        <v>41</v>
      </c>
      <c r="B46" s="154" t="str">
        <f>MRS!B46</f>
        <v>Measurement Tape Steel Type - 30Mtr (Brand : Clarke)</v>
      </c>
      <c r="C46" s="155"/>
      <c r="D46" s="156">
        <f>MRS!D46</f>
        <v>0</v>
      </c>
      <c r="E46" s="157"/>
      <c r="F46" s="158"/>
      <c r="G46" s="93" t="str">
        <f>MRS!G46</f>
        <v>PCS</v>
      </c>
      <c r="H46" s="93">
        <f>MRS!H46</f>
        <v>5</v>
      </c>
      <c r="I46" s="94">
        <f>MRS!I46</f>
        <v>42</v>
      </c>
      <c r="J46" s="94">
        <f>MRS!J46</f>
        <v>210</v>
      </c>
      <c r="K46" s="95"/>
      <c r="O46" s="96"/>
      <c r="P46" s="96"/>
      <c r="R46" s="96"/>
    </row>
    <row r="47" spans="1:18" ht="105" customHeight="1">
      <c r="A47" s="21">
        <f>+MRS!A47</f>
        <v>42</v>
      </c>
      <c r="B47" s="154" t="str">
        <f>MRS!B47</f>
        <v>Measurement Tape Steel Type - 50Mtr (Brand : Clarke)</v>
      </c>
      <c r="C47" s="155"/>
      <c r="D47" s="156">
        <f>MRS!D47</f>
        <v>0</v>
      </c>
      <c r="E47" s="157"/>
      <c r="F47" s="158"/>
      <c r="G47" s="93" t="str">
        <f>MRS!G47</f>
        <v>PCS</v>
      </c>
      <c r="H47" s="93">
        <f>MRS!H47</f>
        <v>5</v>
      </c>
      <c r="I47" s="94">
        <f>MRS!I47</f>
        <v>62</v>
      </c>
      <c r="J47" s="94">
        <f>MRS!J47</f>
        <v>310</v>
      </c>
      <c r="K47" s="95"/>
      <c r="O47" s="96"/>
      <c r="P47" s="96"/>
      <c r="R47" s="96"/>
    </row>
    <row r="48" spans="1:18" ht="105" customHeight="1">
      <c r="A48" s="21">
        <f>+MRS!A48</f>
        <v>43</v>
      </c>
      <c r="B48" s="154" t="str">
        <f>MRS!B48</f>
        <v>Measurement Tape Steel Type - 100Mtr (Brand : Clarke)</v>
      </c>
      <c r="C48" s="155"/>
      <c r="D48" s="156">
        <f>MRS!D48</f>
        <v>0</v>
      </c>
      <c r="E48" s="157"/>
      <c r="F48" s="158"/>
      <c r="G48" s="93" t="str">
        <f>MRS!G48</f>
        <v>PCS</v>
      </c>
      <c r="H48" s="93">
        <f>MRS!H48</f>
        <v>8</v>
      </c>
      <c r="I48" s="94">
        <f>MRS!I48</f>
        <v>110</v>
      </c>
      <c r="J48" s="94">
        <f>MRS!J48</f>
        <v>880</v>
      </c>
      <c r="K48" s="95"/>
      <c r="O48" s="96"/>
      <c r="P48" s="96"/>
      <c r="R48" s="96"/>
    </row>
    <row r="49" spans="1:18" ht="105" customHeight="1">
      <c r="A49" s="21">
        <f>+MRS!A49</f>
        <v>44</v>
      </c>
      <c r="B49" s="154" t="str">
        <f>MRS!B49</f>
        <v xml:space="preserve">Mesuring Steel Tape 20Mtr (Brand: Clarke) </v>
      </c>
      <c r="C49" s="155"/>
      <c r="D49" s="156">
        <f>MRS!D49</f>
        <v>0</v>
      </c>
      <c r="E49" s="157"/>
      <c r="F49" s="158"/>
      <c r="G49" s="93" t="str">
        <f>MRS!G49</f>
        <v>PCS</v>
      </c>
      <c r="H49" s="93">
        <f>MRS!H49</f>
        <v>3</v>
      </c>
      <c r="I49" s="94">
        <f>MRS!I49</f>
        <v>30</v>
      </c>
      <c r="J49" s="94">
        <f>MRS!J49</f>
        <v>90</v>
      </c>
      <c r="K49" s="95"/>
      <c r="O49" s="96"/>
      <c r="P49" s="96"/>
      <c r="R49" s="96"/>
    </row>
    <row r="50" spans="1:18" ht="105" customHeight="1">
      <c r="A50" s="21">
        <f>+MRS!A50</f>
        <v>45</v>
      </c>
      <c r="B50" s="154" t="str">
        <f>MRS!B50</f>
        <v>Mega Phone Speaker</v>
      </c>
      <c r="C50" s="155"/>
      <c r="D50" s="156">
        <f>MRS!D50</f>
        <v>0</v>
      </c>
      <c r="E50" s="157"/>
      <c r="F50" s="158"/>
      <c r="G50" s="93" t="str">
        <f>MRS!G50</f>
        <v>PCS</v>
      </c>
      <c r="H50" s="93">
        <f>MRS!H50</f>
        <v>5</v>
      </c>
      <c r="I50" s="94">
        <f>MRS!I50</f>
        <v>95</v>
      </c>
      <c r="J50" s="94">
        <f>MRS!J50</f>
        <v>475</v>
      </c>
      <c r="K50" s="95"/>
      <c r="O50" s="96"/>
      <c r="P50" s="96"/>
      <c r="R50" s="96"/>
    </row>
    <row r="51" spans="1:18" ht="105" customHeight="1">
      <c r="A51" s="21">
        <f>+MRS!A51</f>
        <v>46</v>
      </c>
      <c r="B51" s="154" t="str">
        <f>MRS!B51</f>
        <v>Mega Phone Speaker Battery 1.5V Lr14</v>
      </c>
      <c r="C51" s="155"/>
      <c r="D51" s="156">
        <f>MRS!D51</f>
        <v>0</v>
      </c>
      <c r="E51" s="157"/>
      <c r="F51" s="158"/>
      <c r="G51" s="93" t="str">
        <f>MRS!G51</f>
        <v>PCS</v>
      </c>
      <c r="H51" s="93">
        <f>MRS!H51</f>
        <v>50</v>
      </c>
      <c r="I51" s="94">
        <f>MRS!I51</f>
        <v>3.5</v>
      </c>
      <c r="J51" s="94">
        <f>MRS!J51</f>
        <v>175</v>
      </c>
      <c r="K51" s="95"/>
      <c r="O51" s="96"/>
      <c r="P51" s="96"/>
      <c r="R51" s="96"/>
    </row>
    <row r="52" spans="1:18" ht="105" customHeight="1">
      <c r="A52" s="21">
        <f>+MRS!A52</f>
        <v>47</v>
      </c>
      <c r="B52" s="154" t="str">
        <f>MRS!B52</f>
        <v>Long Nose Plier 6" Cr-V</v>
      </c>
      <c r="C52" s="155"/>
      <c r="D52" s="156">
        <f>MRS!D52</f>
        <v>0</v>
      </c>
      <c r="E52" s="157"/>
      <c r="F52" s="158"/>
      <c r="G52" s="93" t="str">
        <f>MRS!G52</f>
        <v>PCS</v>
      </c>
      <c r="H52" s="93">
        <f>MRS!H52</f>
        <v>5</v>
      </c>
      <c r="I52" s="94">
        <f>MRS!I52</f>
        <v>16</v>
      </c>
      <c r="J52" s="94">
        <f>MRS!J52</f>
        <v>80</v>
      </c>
      <c r="K52" s="95"/>
      <c r="O52" s="96"/>
      <c r="P52" s="96"/>
      <c r="R52" s="96"/>
    </row>
    <row r="53" spans="1:18" ht="105" customHeight="1">
      <c r="A53" s="21">
        <f>+MRS!A53</f>
        <v>48</v>
      </c>
      <c r="B53" s="154" t="str">
        <f>MRS!B53</f>
        <v xml:space="preserve">Respirator Mask 6002 3M Brand </v>
      </c>
      <c r="C53" s="155"/>
      <c r="D53" s="156">
        <f>MRS!D53</f>
        <v>0</v>
      </c>
      <c r="E53" s="157"/>
      <c r="F53" s="158"/>
      <c r="G53" s="93" t="str">
        <f>MRS!G53</f>
        <v>PCS</v>
      </c>
      <c r="H53" s="93">
        <f>MRS!H53</f>
        <v>100</v>
      </c>
      <c r="I53" s="94">
        <f>MRS!I53</f>
        <v>48</v>
      </c>
      <c r="J53" s="94">
        <f>MRS!J53</f>
        <v>4800</v>
      </c>
      <c r="K53" s="95"/>
      <c r="O53" s="96"/>
      <c r="P53" s="96"/>
      <c r="R53" s="96"/>
    </row>
    <row r="54" spans="1:18" ht="105" customHeight="1">
      <c r="A54" s="21">
        <f>+MRS!A54</f>
        <v>49</v>
      </c>
      <c r="B54" s="154" t="str">
        <f>MRS!B54</f>
        <v>Respirator Mask Filter 2091</v>
      </c>
      <c r="C54" s="155"/>
      <c r="D54" s="156">
        <f>MRS!D54</f>
        <v>0</v>
      </c>
      <c r="E54" s="157"/>
      <c r="F54" s="158"/>
      <c r="G54" s="93" t="str">
        <f>MRS!G54</f>
        <v>PCS</v>
      </c>
      <c r="H54" s="93">
        <f>MRS!H54</f>
        <v>100</v>
      </c>
      <c r="I54" s="94">
        <f>MRS!I54</f>
        <v>26</v>
      </c>
      <c r="J54" s="94">
        <f>MRS!J54</f>
        <v>2600</v>
      </c>
      <c r="K54" s="95"/>
      <c r="O54" s="96"/>
      <c r="P54" s="96"/>
      <c r="R54" s="96"/>
    </row>
    <row r="55" spans="1:18" ht="105" customHeight="1">
      <c r="A55" s="21">
        <f>+MRS!A55</f>
        <v>50</v>
      </c>
      <c r="B55" s="154" t="str">
        <f>MRS!B55</f>
        <v xml:space="preserve">Rivet - Nail Size:4.8 X 18Mm  (500Pcs/Box) </v>
      </c>
      <c r="C55" s="155"/>
      <c r="D55" s="156">
        <f>MRS!D55</f>
        <v>0</v>
      </c>
      <c r="E55" s="157"/>
      <c r="F55" s="158"/>
      <c r="G55" s="93" t="str">
        <f>MRS!G55</f>
        <v>BOX</v>
      </c>
      <c r="H55" s="93">
        <f>MRS!H55</f>
        <v>1</v>
      </c>
      <c r="I55" s="94">
        <f>MRS!I55</f>
        <v>28</v>
      </c>
      <c r="J55" s="94">
        <f>MRS!J55</f>
        <v>28</v>
      </c>
      <c r="K55" s="95"/>
      <c r="O55" s="96"/>
      <c r="P55" s="96"/>
      <c r="R55" s="96"/>
    </row>
    <row r="56" spans="1:18" ht="105" customHeight="1">
      <c r="A56" s="21">
        <f>+MRS!A56</f>
        <v>51</v>
      </c>
      <c r="B56" s="154" t="str">
        <f>MRS!B56</f>
        <v xml:space="preserve">Hand Riveter Gun Rivet  </v>
      </c>
      <c r="C56" s="155"/>
      <c r="D56" s="156">
        <f>MRS!D56</f>
        <v>0</v>
      </c>
      <c r="E56" s="157"/>
      <c r="F56" s="158"/>
      <c r="G56" s="93" t="str">
        <f>MRS!G56</f>
        <v>PCS</v>
      </c>
      <c r="H56" s="93">
        <f>MRS!H56</f>
        <v>2</v>
      </c>
      <c r="I56" s="94">
        <f>MRS!I56</f>
        <v>32</v>
      </c>
      <c r="J56" s="94">
        <f>MRS!J56</f>
        <v>64</v>
      </c>
      <c r="K56" s="95"/>
      <c r="O56" s="96"/>
      <c r="P56" s="96"/>
      <c r="R56" s="96"/>
    </row>
    <row r="57" spans="1:18" ht="105" customHeight="1">
      <c r="A57" s="21">
        <f>+MRS!A57</f>
        <v>52</v>
      </c>
      <c r="B57" s="154" t="str">
        <f>MRS!B57</f>
        <v>Mesurement Tape 7.5Mtr Roto Brand</v>
      </c>
      <c r="C57" s="155"/>
      <c r="D57" s="156">
        <f>MRS!D57</f>
        <v>0</v>
      </c>
      <c r="E57" s="157"/>
      <c r="F57" s="158"/>
      <c r="G57" s="93" t="str">
        <f>MRS!G57</f>
        <v>PCS</v>
      </c>
      <c r="H57" s="93">
        <f>MRS!H57</f>
        <v>30</v>
      </c>
      <c r="I57" s="94">
        <f>MRS!I57</f>
        <v>15</v>
      </c>
      <c r="J57" s="94">
        <f>MRS!J57</f>
        <v>450</v>
      </c>
      <c r="K57" s="95"/>
      <c r="O57" s="96"/>
      <c r="P57" s="96"/>
      <c r="R57" s="96"/>
    </row>
    <row r="58" spans="1:18" ht="105" customHeight="1">
      <c r="A58" s="21">
        <f>+MRS!A58</f>
        <v>53</v>
      </c>
      <c r="B58" s="154" t="str">
        <f>MRS!B58</f>
        <v>1/2" Torch Wrench 20-220Nm Roto-Taiwan</v>
      </c>
      <c r="C58" s="155"/>
      <c r="D58" s="156">
        <f>MRS!D58</f>
        <v>0</v>
      </c>
      <c r="E58" s="157"/>
      <c r="F58" s="158"/>
      <c r="G58" s="93" t="str">
        <f>MRS!G58</f>
        <v>PCS</v>
      </c>
      <c r="H58" s="93">
        <f>MRS!H58</f>
        <v>5</v>
      </c>
      <c r="I58" s="94">
        <f>MRS!I58</f>
        <v>285</v>
      </c>
      <c r="J58" s="94">
        <f>MRS!J58</f>
        <v>1425</v>
      </c>
      <c r="K58" s="95"/>
      <c r="O58" s="96"/>
      <c r="P58" s="96"/>
      <c r="R58" s="96"/>
    </row>
    <row r="59" spans="1:18" ht="105" customHeight="1">
      <c r="A59" s="21">
        <f>+MRS!A59</f>
        <v>54</v>
      </c>
      <c r="B59" s="154" t="str">
        <f>MRS!B59</f>
        <v xml:space="preserve">Torque Wrebch 1/2" 50-350Nm Brand:Tower </v>
      </c>
      <c r="C59" s="155"/>
      <c r="D59" s="156">
        <f>MRS!D59</f>
        <v>0</v>
      </c>
      <c r="E59" s="157"/>
      <c r="F59" s="158"/>
      <c r="G59" s="93" t="str">
        <f>MRS!G59</f>
        <v>PCS</v>
      </c>
      <c r="H59" s="93">
        <f>MRS!H59</f>
        <v>22</v>
      </c>
      <c r="I59" s="94">
        <f>MRS!I59</f>
        <v>368</v>
      </c>
      <c r="J59" s="94">
        <f>MRS!J59</f>
        <v>8096</v>
      </c>
      <c r="K59" s="95"/>
      <c r="O59" s="96"/>
      <c r="P59" s="96"/>
      <c r="R59" s="96"/>
    </row>
    <row r="60" spans="1:18" ht="105" customHeight="1">
      <c r="A60" s="21">
        <f>+MRS!A60</f>
        <v>55</v>
      </c>
      <c r="B60" s="154" t="str">
        <f>MRS!B60</f>
        <v xml:space="preserve">Torque Wrench 1" 200-1000Nm Brand : Tower  </v>
      </c>
      <c r="C60" s="155"/>
      <c r="D60" s="156">
        <f>MRS!D60</f>
        <v>0</v>
      </c>
      <c r="E60" s="157"/>
      <c r="F60" s="158"/>
      <c r="G60" s="93" t="str">
        <f>MRS!G60</f>
        <v>PCS</v>
      </c>
      <c r="H60" s="93">
        <f>MRS!H60</f>
        <v>2</v>
      </c>
      <c r="I60" s="94">
        <f>MRS!I60</f>
        <v>2350</v>
      </c>
      <c r="J60" s="94">
        <f>MRS!J60</f>
        <v>4700</v>
      </c>
      <c r="K60" s="95"/>
      <c r="O60" s="96"/>
      <c r="P60" s="96"/>
      <c r="R60" s="96"/>
    </row>
    <row r="61" spans="1:18" ht="105" customHeight="1">
      <c r="A61" s="21">
        <f>+MRS!A61</f>
        <v>56</v>
      </c>
      <c r="B61" s="154" t="str">
        <f>MRS!B61</f>
        <v>Purge Paper</v>
      </c>
      <c r="C61" s="155"/>
      <c r="D61" s="156">
        <f>MRS!D61</f>
        <v>0</v>
      </c>
      <c r="E61" s="157"/>
      <c r="F61" s="158"/>
      <c r="G61" s="93" t="str">
        <f>MRS!G61</f>
        <v>ROLL</v>
      </c>
      <c r="H61" s="93">
        <f>MRS!H61</f>
        <v>10</v>
      </c>
      <c r="I61" s="94">
        <f>MRS!I61</f>
        <v>765</v>
      </c>
      <c r="J61" s="94">
        <f>MRS!J61</f>
        <v>7650</v>
      </c>
      <c r="K61" s="95"/>
      <c r="O61" s="96"/>
      <c r="P61" s="96"/>
      <c r="R61" s="96"/>
    </row>
    <row r="62" spans="1:18" ht="105" customHeight="1">
      <c r="A62" s="21">
        <f>+MRS!A62</f>
        <v>57</v>
      </c>
      <c r="B62" s="154" t="str">
        <f>MRS!B62</f>
        <v xml:space="preserve">Purge Tape </v>
      </c>
      <c r="C62" s="155"/>
      <c r="D62" s="156">
        <f>MRS!D62</f>
        <v>0</v>
      </c>
      <c r="E62" s="157"/>
      <c r="F62" s="158"/>
      <c r="G62" s="93" t="str">
        <f>MRS!G62</f>
        <v>ROLL</v>
      </c>
      <c r="H62" s="93">
        <f>MRS!H62</f>
        <v>10</v>
      </c>
      <c r="I62" s="94">
        <f>MRS!I62</f>
        <v>520</v>
      </c>
      <c r="J62" s="94">
        <f>MRS!J62</f>
        <v>5200</v>
      </c>
      <c r="K62" s="95"/>
      <c r="O62" s="96"/>
      <c r="P62" s="96"/>
      <c r="R62" s="96"/>
    </row>
    <row r="63" spans="1:18" ht="105" customHeight="1">
      <c r="A63" s="21">
        <f>+MRS!A63</f>
        <v>58</v>
      </c>
      <c r="B63" s="154" t="str">
        <f>MRS!B63</f>
        <v xml:space="preserve">Scaffloding Ratchet Spanner 36X41 Brand:Perfect </v>
      </c>
      <c r="C63" s="155"/>
      <c r="D63" s="156">
        <f>MRS!D63</f>
        <v>0</v>
      </c>
      <c r="E63" s="157"/>
      <c r="F63" s="158"/>
      <c r="G63" s="93" t="str">
        <f>MRS!G63</f>
        <v>PCS</v>
      </c>
      <c r="H63" s="93">
        <f>MRS!H63</f>
        <v>10</v>
      </c>
      <c r="I63" s="94">
        <f>MRS!I63</f>
        <v>125</v>
      </c>
      <c r="J63" s="94">
        <f>MRS!J63</f>
        <v>1250</v>
      </c>
      <c r="K63" s="95"/>
      <c r="O63" s="96"/>
      <c r="P63" s="96"/>
      <c r="R63" s="96"/>
    </row>
    <row r="64" spans="1:18" ht="105" customHeight="1">
      <c r="A64" s="21">
        <f>+MRS!A64</f>
        <v>59</v>
      </c>
      <c r="B64" s="154" t="str">
        <f>MRS!B64</f>
        <v xml:space="preserve">Scaffolding Ratchet Spanner 34X36 Brand: Perfect </v>
      </c>
      <c r="C64" s="155"/>
      <c r="D64" s="156">
        <f>MRS!D64</f>
        <v>0</v>
      </c>
      <c r="E64" s="157"/>
      <c r="F64" s="158"/>
      <c r="G64" s="93" t="str">
        <f>MRS!G64</f>
        <v>PCS</v>
      </c>
      <c r="H64" s="93">
        <f>MRS!H64</f>
        <v>8</v>
      </c>
      <c r="I64" s="94">
        <f>MRS!I64</f>
        <v>110</v>
      </c>
      <c r="J64" s="94">
        <f>MRS!J64</f>
        <v>880</v>
      </c>
      <c r="K64" s="95"/>
      <c r="O64" s="96"/>
      <c r="P64" s="96"/>
      <c r="R64" s="96"/>
    </row>
    <row r="65" spans="1:18" ht="105" customHeight="1">
      <c r="A65" s="21">
        <f>+MRS!A65</f>
        <v>60</v>
      </c>
      <c r="B65" s="154" t="str">
        <f>MRS!B65</f>
        <v xml:space="preserve">Scaffolding Ratchet Spanner 22X 24 Brand: Perfect </v>
      </c>
      <c r="C65" s="155"/>
      <c r="D65" s="156">
        <f>MRS!D65</f>
        <v>0</v>
      </c>
      <c r="E65" s="157"/>
      <c r="F65" s="158"/>
      <c r="G65" s="93" t="str">
        <f>MRS!G65</f>
        <v>PCS</v>
      </c>
      <c r="H65" s="93">
        <f>MRS!H65</f>
        <v>5</v>
      </c>
      <c r="I65" s="94">
        <f>MRS!I65</f>
        <v>37</v>
      </c>
      <c r="J65" s="94">
        <f>MRS!J65</f>
        <v>185</v>
      </c>
      <c r="K65" s="95"/>
      <c r="O65" s="96"/>
      <c r="P65" s="96"/>
      <c r="R65" s="96"/>
    </row>
    <row r="66" spans="1:18" ht="105" customHeight="1">
      <c r="A66" s="21">
        <f>+MRS!A66</f>
        <v>61</v>
      </c>
      <c r="B66" s="154" t="str">
        <f>MRS!B66</f>
        <v xml:space="preserve">Scaffolding Ratchet Spanner 24X27 Brand: Perfect </v>
      </c>
      <c r="C66" s="155"/>
      <c r="D66" s="156">
        <f>MRS!D66</f>
        <v>0</v>
      </c>
      <c r="E66" s="157"/>
      <c r="F66" s="158"/>
      <c r="G66" s="93" t="str">
        <f>MRS!G66</f>
        <v>PCS</v>
      </c>
      <c r="H66" s="93">
        <f>MRS!H66</f>
        <v>5</v>
      </c>
      <c r="I66" s="94">
        <f>MRS!I66</f>
        <v>43</v>
      </c>
      <c r="J66" s="94">
        <f>MRS!J66</f>
        <v>215</v>
      </c>
      <c r="K66" s="95"/>
      <c r="O66" s="96"/>
      <c r="P66" s="96"/>
      <c r="R66" s="96"/>
    </row>
    <row r="67" spans="1:18" ht="105" customHeight="1">
      <c r="A67" s="21">
        <f>+MRS!A67</f>
        <v>62</v>
      </c>
      <c r="B67" s="154" t="str">
        <f>MRS!B67</f>
        <v xml:space="preserve">Scaffolding Ratchet Spanner 32X36 Brand : Perfect </v>
      </c>
      <c r="C67" s="155"/>
      <c r="D67" s="156">
        <f>MRS!D67</f>
        <v>0</v>
      </c>
      <c r="E67" s="157"/>
      <c r="F67" s="158"/>
      <c r="G67" s="93" t="str">
        <f>MRS!G67</f>
        <v>PCS</v>
      </c>
      <c r="H67" s="93">
        <f>MRS!H67</f>
        <v>5</v>
      </c>
      <c r="I67" s="94">
        <f>MRS!I67</f>
        <v>98</v>
      </c>
      <c r="J67" s="94">
        <f>MRS!J67</f>
        <v>490</v>
      </c>
      <c r="K67" s="95"/>
      <c r="O67" s="96"/>
      <c r="P67" s="96"/>
      <c r="R67" s="96"/>
    </row>
    <row r="68" spans="1:18" ht="105" customHeight="1">
      <c r="A68" s="21">
        <f>+MRS!A68</f>
        <v>63</v>
      </c>
      <c r="B68" s="154" t="str">
        <f>MRS!B68</f>
        <v xml:space="preserve">Scaffolding Ratchet Spanner 32X34 Brand:Perfect </v>
      </c>
      <c r="C68" s="155"/>
      <c r="D68" s="156">
        <f>MRS!D68</f>
        <v>0</v>
      </c>
      <c r="E68" s="157"/>
      <c r="F68" s="158"/>
      <c r="G68" s="93" t="str">
        <f>MRS!G68</f>
        <v>PCS</v>
      </c>
      <c r="H68" s="93">
        <f>MRS!H68</f>
        <v>5</v>
      </c>
      <c r="I68" s="94">
        <f>MRS!I68</f>
        <v>98</v>
      </c>
      <c r="J68" s="94">
        <f>MRS!J68</f>
        <v>490</v>
      </c>
      <c r="K68" s="95"/>
      <c r="O68" s="96"/>
      <c r="P68" s="96"/>
      <c r="R68" s="96"/>
    </row>
    <row r="69" spans="1:18" ht="105" customHeight="1">
      <c r="A69" s="21">
        <f>+MRS!A69</f>
        <v>64</v>
      </c>
      <c r="B69" s="154" t="str">
        <f>MRS!B69</f>
        <v xml:space="preserve">Scaffolding Ratchet Spanner Size : 19 X 21Mm Brand :Clarke </v>
      </c>
      <c r="C69" s="155"/>
      <c r="D69" s="156">
        <f>MRS!D69</f>
        <v>0</v>
      </c>
      <c r="E69" s="157"/>
      <c r="F69" s="158"/>
      <c r="G69" s="93" t="str">
        <f>MRS!G69</f>
        <v>PCS</v>
      </c>
      <c r="H69" s="93">
        <f>MRS!H69</f>
        <v>94</v>
      </c>
      <c r="I69" s="94">
        <f>MRS!I69</f>
        <v>28</v>
      </c>
      <c r="J69" s="94">
        <f>MRS!J69</f>
        <v>2632</v>
      </c>
      <c r="K69" s="95"/>
      <c r="O69" s="96"/>
      <c r="P69" s="96"/>
      <c r="R69" s="96"/>
    </row>
    <row r="70" spans="1:18" ht="105" customHeight="1">
      <c r="A70" s="21">
        <f>+MRS!A70</f>
        <v>65</v>
      </c>
      <c r="B70" s="154" t="str">
        <f>MRS!B70</f>
        <v xml:space="preserve">Respirator Mask With Filter 6002 </v>
      </c>
      <c r="C70" s="155"/>
      <c r="D70" s="156">
        <f>MRS!D70</f>
        <v>0</v>
      </c>
      <c r="E70" s="157"/>
      <c r="F70" s="158"/>
      <c r="G70" s="93" t="str">
        <f>MRS!G70</f>
        <v>PCS</v>
      </c>
      <c r="H70" s="93">
        <f>MRS!H70</f>
        <v>100</v>
      </c>
      <c r="I70" s="94">
        <f>MRS!I70</f>
        <v>72</v>
      </c>
      <c r="J70" s="94">
        <f>MRS!J70</f>
        <v>7200</v>
      </c>
      <c r="K70" s="95"/>
      <c r="O70" s="96"/>
      <c r="P70" s="96"/>
      <c r="R70" s="96"/>
    </row>
    <row r="71" spans="1:18" ht="105" customHeight="1">
      <c r="A71" s="21">
        <f>+MRS!A71</f>
        <v>66</v>
      </c>
      <c r="B71" s="154" t="str">
        <f>MRS!B71</f>
        <v>C-Clamp - 4" ( Brand : Clarke )</v>
      </c>
      <c r="C71" s="155"/>
      <c r="D71" s="156">
        <f>MRS!D71</f>
        <v>0</v>
      </c>
      <c r="E71" s="157"/>
      <c r="F71" s="158"/>
      <c r="G71" s="93" t="str">
        <f>MRS!G71</f>
        <v>PCS</v>
      </c>
      <c r="H71" s="93">
        <f>MRS!H71</f>
        <v>4</v>
      </c>
      <c r="I71" s="94">
        <f>MRS!I71</f>
        <v>19</v>
      </c>
      <c r="J71" s="94">
        <f>MRS!J71</f>
        <v>76</v>
      </c>
      <c r="K71" s="95"/>
      <c r="O71" s="96"/>
      <c r="P71" s="96"/>
      <c r="R71" s="96"/>
    </row>
    <row r="72" spans="1:18" ht="105" customHeight="1">
      <c r="A72" s="21">
        <f>+MRS!A72</f>
        <v>67</v>
      </c>
      <c r="B72" s="154" t="str">
        <f>MRS!B72</f>
        <v xml:space="preserve">Walkie - Talkie Thuv800D </v>
      </c>
      <c r="C72" s="155"/>
      <c r="D72" s="156">
        <f>MRS!D72</f>
        <v>0</v>
      </c>
      <c r="E72" s="157"/>
      <c r="F72" s="158"/>
      <c r="G72" s="93" t="str">
        <f>MRS!G72</f>
        <v>PCS</v>
      </c>
      <c r="H72" s="93">
        <f>MRS!H72</f>
        <v>6</v>
      </c>
      <c r="I72" s="94">
        <f>MRS!I72</f>
        <v>380</v>
      </c>
      <c r="J72" s="94">
        <f>MRS!J72</f>
        <v>2280</v>
      </c>
      <c r="K72" s="95"/>
      <c r="O72" s="96"/>
      <c r="P72" s="96"/>
      <c r="R72" s="96"/>
    </row>
    <row r="73" spans="1:18" ht="105" customHeight="1">
      <c r="A73" s="21">
        <f>+MRS!A73</f>
        <v>68</v>
      </c>
      <c r="B73" s="154" t="str">
        <f>MRS!B73</f>
        <v>Impact Drill Machine 1/2" 18V Xr</v>
      </c>
      <c r="C73" s="155"/>
      <c r="D73" s="156">
        <f>MRS!D73</f>
        <v>0</v>
      </c>
      <c r="E73" s="157"/>
      <c r="F73" s="158"/>
      <c r="G73" s="93" t="str">
        <f>MRS!G73</f>
        <v>PCS</v>
      </c>
      <c r="H73" s="93">
        <f>MRS!H73</f>
        <v>6</v>
      </c>
      <c r="I73" s="94">
        <f>MRS!I73</f>
        <v>2350</v>
      </c>
      <c r="J73" s="94">
        <f>MRS!J73</f>
        <v>14100</v>
      </c>
      <c r="K73" s="95"/>
      <c r="O73" s="96"/>
      <c r="P73" s="96"/>
      <c r="R73" s="96"/>
    </row>
    <row r="74" spans="1:18" ht="105" customHeight="1">
      <c r="A74" s="21">
        <f>+MRS!A74</f>
        <v>69</v>
      </c>
      <c r="B74" s="154" t="str">
        <f>MRS!B74</f>
        <v>Impact Drill Machine 1/4" 18V Xr</v>
      </c>
      <c r="C74" s="155"/>
      <c r="D74" s="156">
        <f>MRS!D74</f>
        <v>0</v>
      </c>
      <c r="E74" s="157"/>
      <c r="F74" s="158"/>
      <c r="G74" s="93" t="str">
        <f>MRS!G74</f>
        <v>PCS</v>
      </c>
      <c r="H74" s="93">
        <f>MRS!H74</f>
        <v>6</v>
      </c>
      <c r="I74" s="94">
        <f>MRS!I74</f>
        <v>1775</v>
      </c>
      <c r="J74" s="94">
        <f>MRS!J74</f>
        <v>10650</v>
      </c>
      <c r="K74" s="95"/>
      <c r="O74" s="96"/>
      <c r="P74" s="96"/>
      <c r="R74" s="96"/>
    </row>
    <row r="75" spans="1:18" ht="105" customHeight="1">
      <c r="A75" s="21">
        <f>+MRS!A75</f>
        <v>70</v>
      </c>
      <c r="B75" s="154" t="str">
        <f>MRS!B75</f>
        <v>Alignment Pry Bar 18"</v>
      </c>
      <c r="C75" s="155"/>
      <c r="D75" s="156">
        <f>MRS!D75</f>
        <v>0</v>
      </c>
      <c r="E75" s="157"/>
      <c r="F75" s="158"/>
      <c r="G75" s="93" t="str">
        <f>MRS!G75</f>
        <v>PCS</v>
      </c>
      <c r="H75" s="93">
        <f>MRS!H75</f>
        <v>5</v>
      </c>
      <c r="I75" s="94">
        <f>MRS!I75</f>
        <v>45</v>
      </c>
      <c r="J75" s="94">
        <f>MRS!J75</f>
        <v>225</v>
      </c>
      <c r="K75" s="95"/>
      <c r="O75" s="96"/>
      <c r="P75" s="96"/>
      <c r="R75" s="96"/>
    </row>
    <row r="76" spans="1:18" ht="105" customHeight="1">
      <c r="A76" s="21">
        <f>+MRS!A76</f>
        <v>71</v>
      </c>
      <c r="B76" s="154" t="str">
        <f>MRS!B76</f>
        <v>Concrete Cutting Disc 4" Brand: Clarke</v>
      </c>
      <c r="C76" s="155"/>
      <c r="D76" s="156">
        <f>MRS!D76</f>
        <v>0</v>
      </c>
      <c r="E76" s="157"/>
      <c r="F76" s="158"/>
      <c r="G76" s="93" t="str">
        <f>MRS!G76</f>
        <v>PCS</v>
      </c>
      <c r="H76" s="93">
        <f>MRS!H76</f>
        <v>50</v>
      </c>
      <c r="I76" s="94">
        <f>MRS!I76</f>
        <v>11</v>
      </c>
      <c r="J76" s="94">
        <f>MRS!J76</f>
        <v>550</v>
      </c>
      <c r="K76" s="95"/>
      <c r="O76" s="96"/>
      <c r="P76" s="96"/>
      <c r="R76" s="96"/>
    </row>
    <row r="77" spans="1:18" ht="105" customHeight="1">
      <c r="A77" s="21">
        <f>+MRS!A77</f>
        <v>72</v>
      </c>
      <c r="B77" s="154" t="str">
        <f>MRS!B77</f>
        <v>Concrete Nail1.5" (20Kg / Box)</v>
      </c>
      <c r="C77" s="155"/>
      <c r="D77" s="156">
        <f>MRS!D77</f>
        <v>0</v>
      </c>
      <c r="E77" s="157"/>
      <c r="F77" s="158"/>
      <c r="G77" s="93" t="str">
        <f>MRS!G77</f>
        <v>BOX</v>
      </c>
      <c r="H77" s="93">
        <f>MRS!H77</f>
        <v>1</v>
      </c>
      <c r="I77" s="94">
        <f>MRS!I77</f>
        <v>145</v>
      </c>
      <c r="J77" s="94">
        <f>MRS!J77</f>
        <v>145</v>
      </c>
      <c r="K77" s="95"/>
      <c r="O77" s="96"/>
      <c r="P77" s="96"/>
      <c r="R77" s="96"/>
    </row>
    <row r="78" spans="1:18" ht="105" customHeight="1">
      <c r="A78" s="21">
        <f>+MRS!A78</f>
        <v>73</v>
      </c>
      <c r="B78" s="154" t="str">
        <f>MRS!B78</f>
        <v>Nail Concrete 2"(15Kg/Box)</v>
      </c>
      <c r="C78" s="155"/>
      <c r="D78" s="156">
        <f>MRS!D78</f>
        <v>0</v>
      </c>
      <c r="E78" s="157"/>
      <c r="F78" s="158"/>
      <c r="G78" s="93" t="str">
        <f>MRS!G78</f>
        <v>BOX</v>
      </c>
      <c r="H78" s="93">
        <f>MRS!H78</f>
        <v>1</v>
      </c>
      <c r="I78" s="94">
        <f>MRS!I78</f>
        <v>145</v>
      </c>
      <c r="J78" s="94">
        <f>MRS!J78</f>
        <v>145</v>
      </c>
      <c r="K78" s="95"/>
      <c r="O78" s="96"/>
      <c r="P78" s="96"/>
      <c r="R78" s="96"/>
    </row>
    <row r="79" spans="1:18" ht="105" customHeight="1">
      <c r="A79" s="21">
        <f>+MRS!A79</f>
        <v>74</v>
      </c>
      <c r="B79" s="154" t="str">
        <f>MRS!B79</f>
        <v>Cable Tie - 4.8 X 300Mm ( 100Ea/Pkt _ Made In Taiwan)</v>
      </c>
      <c r="C79" s="155"/>
      <c r="D79" s="156">
        <f>MRS!D79</f>
        <v>0</v>
      </c>
      <c r="E79" s="157"/>
      <c r="F79" s="158"/>
      <c r="G79" s="93" t="str">
        <f>MRS!G79</f>
        <v>PKT</v>
      </c>
      <c r="H79" s="93">
        <f>MRS!H79</f>
        <v>150</v>
      </c>
      <c r="I79" s="94">
        <f>MRS!I79</f>
        <v>13</v>
      </c>
      <c r="J79" s="94">
        <f>MRS!J79</f>
        <v>1950</v>
      </c>
      <c r="K79" s="95"/>
      <c r="O79" s="96"/>
      <c r="P79" s="96"/>
      <c r="R79" s="96"/>
    </row>
    <row r="80" spans="1:18" ht="105" customHeight="1">
      <c r="A80" s="21">
        <f>+MRS!A80</f>
        <v>75</v>
      </c>
      <c r="B80" s="154" t="str">
        <f>MRS!B80</f>
        <v>Portable Eye Wash Box8 Gallon</v>
      </c>
      <c r="C80" s="155"/>
      <c r="D80" s="156">
        <f>MRS!D80</f>
        <v>0</v>
      </c>
      <c r="E80" s="157"/>
      <c r="F80" s="158"/>
      <c r="G80" s="93" t="str">
        <f>MRS!G80</f>
        <v>BOX</v>
      </c>
      <c r="H80" s="93">
        <f>MRS!H80</f>
        <v>10</v>
      </c>
      <c r="I80" s="94">
        <f>MRS!I80</f>
        <v>245</v>
      </c>
      <c r="J80" s="94">
        <f>MRS!J80</f>
        <v>2450</v>
      </c>
      <c r="K80" s="95"/>
      <c r="O80" s="96"/>
      <c r="P80" s="96"/>
      <c r="R80" s="96"/>
    </row>
    <row r="81" spans="1:18" ht="105" customHeight="1">
      <c r="A81" s="21">
        <f>+MRS!A81</f>
        <v>76</v>
      </c>
      <c r="B81" s="154" t="str">
        <f>MRS!B81</f>
        <v>Hacksaw Frame12"</v>
      </c>
      <c r="C81" s="155"/>
      <c r="D81" s="156">
        <f>MRS!D81</f>
        <v>0</v>
      </c>
      <c r="E81" s="157"/>
      <c r="F81" s="158"/>
      <c r="G81" s="93" t="str">
        <f>MRS!G81</f>
        <v>PCS</v>
      </c>
      <c r="H81" s="93">
        <f>MRS!H81</f>
        <v>45</v>
      </c>
      <c r="I81" s="94">
        <f>MRS!I81</f>
        <v>12</v>
      </c>
      <c r="J81" s="94">
        <f>MRS!J81</f>
        <v>540</v>
      </c>
      <c r="K81" s="95"/>
      <c r="O81" s="96"/>
      <c r="P81" s="96"/>
      <c r="R81" s="96"/>
    </row>
    <row r="82" spans="1:18" ht="105" customHeight="1">
      <c r="A82" s="21">
        <f>+MRS!A82</f>
        <v>77</v>
      </c>
      <c r="B82" s="154" t="str">
        <f>MRS!B82</f>
        <v>Cs Hacksaw Blade 12" Brand:Clarke</v>
      </c>
      <c r="C82" s="155"/>
      <c r="D82" s="156">
        <f>MRS!D82</f>
        <v>0</v>
      </c>
      <c r="E82" s="157"/>
      <c r="F82" s="158"/>
      <c r="G82" s="93" t="str">
        <f>MRS!G82</f>
        <v>PCS</v>
      </c>
      <c r="H82" s="93">
        <f>MRS!H82</f>
        <v>50</v>
      </c>
      <c r="I82" s="94">
        <f>MRS!I82</f>
        <v>1.5</v>
      </c>
      <c r="J82" s="94">
        <f>MRS!J82</f>
        <v>75</v>
      </c>
      <c r="K82" s="95"/>
      <c r="O82" s="96"/>
      <c r="P82" s="96"/>
      <c r="R82" s="96"/>
    </row>
    <row r="83" spans="1:18" ht="105" customHeight="1">
      <c r="A83" s="21">
        <f>+MRS!A83</f>
        <v>78</v>
      </c>
      <c r="B83" s="154" t="str">
        <f>MRS!B83</f>
        <v>Door Locker For Cabin</v>
      </c>
      <c r="C83" s="155"/>
      <c r="D83" s="156">
        <f>MRS!D83</f>
        <v>0</v>
      </c>
      <c r="E83" s="157"/>
      <c r="F83" s="158"/>
      <c r="G83" s="93" t="str">
        <f>MRS!G83</f>
        <v>PCS</v>
      </c>
      <c r="H83" s="93">
        <f>MRS!H83</f>
        <v>4</v>
      </c>
      <c r="I83" s="94">
        <f>MRS!I83</f>
        <v>210</v>
      </c>
      <c r="J83" s="94">
        <f>MRS!J83</f>
        <v>840</v>
      </c>
      <c r="K83" s="95"/>
      <c r="O83" s="96"/>
      <c r="P83" s="96"/>
      <c r="R83" s="96"/>
    </row>
    <row r="84" spans="1:18" ht="105" customHeight="1">
      <c r="A84" s="21">
        <f>+MRS!A84</f>
        <v>79</v>
      </c>
      <c r="B84" s="154" t="str">
        <f>MRS!B84</f>
        <v>Tin Snip Cutter 10" (Brand - Giffex)</v>
      </c>
      <c r="C84" s="155"/>
      <c r="D84" s="156">
        <f>MRS!D84</f>
        <v>0</v>
      </c>
      <c r="E84" s="157"/>
      <c r="F84" s="158"/>
      <c r="G84" s="93" t="str">
        <f>MRS!G84</f>
        <v>PCS</v>
      </c>
      <c r="H84" s="93">
        <f>MRS!H84</f>
        <v>30</v>
      </c>
      <c r="I84" s="94">
        <f>MRS!I84</f>
        <v>17.334</v>
      </c>
      <c r="J84" s="94">
        <f>MRS!J84</f>
        <v>520.02</v>
      </c>
      <c r="K84" s="95"/>
      <c r="O84" s="96"/>
      <c r="P84" s="96"/>
      <c r="R84" s="96"/>
    </row>
    <row r="85" spans="1:18" ht="105" customHeight="1">
      <c r="A85" s="21">
        <f>+MRS!A85</f>
        <v>80</v>
      </c>
      <c r="B85" s="154" t="str">
        <f>MRS!B85</f>
        <v>Galvanized Wire Rope 10Mm X 15 Mtr</v>
      </c>
      <c r="C85" s="155"/>
      <c r="D85" s="156">
        <f>MRS!D85</f>
        <v>0</v>
      </c>
      <c r="E85" s="157"/>
      <c r="F85" s="158"/>
      <c r="G85" s="93" t="str">
        <f>MRS!G85</f>
        <v>PCS</v>
      </c>
      <c r="H85" s="93">
        <f>MRS!H85</f>
        <v>1</v>
      </c>
      <c r="I85" s="94">
        <f>MRS!I85</f>
        <v>9.5</v>
      </c>
      <c r="J85" s="94">
        <f>MRS!J85</f>
        <v>9.5</v>
      </c>
      <c r="K85" s="95"/>
      <c r="O85" s="96"/>
      <c r="P85" s="96"/>
      <c r="R85" s="96"/>
    </row>
    <row r="86" spans="1:18" ht="105" customHeight="1">
      <c r="A86" s="21">
        <f>+MRS!A86</f>
        <v>81</v>
      </c>
      <c r="B86" s="154" t="str">
        <f>MRS!B86</f>
        <v>Galvanized Wire Rope Clip 12Mm</v>
      </c>
      <c r="C86" s="155"/>
      <c r="D86" s="156">
        <f>MRS!D86</f>
        <v>0</v>
      </c>
      <c r="E86" s="157"/>
      <c r="F86" s="158"/>
      <c r="G86" s="93" t="str">
        <f>MRS!G86</f>
        <v>PCS</v>
      </c>
      <c r="H86" s="93">
        <f>MRS!H86</f>
        <v>40</v>
      </c>
      <c r="I86" s="94">
        <f>MRS!I86</f>
        <v>4.5</v>
      </c>
      <c r="J86" s="94">
        <f>MRS!J86</f>
        <v>180</v>
      </c>
      <c r="K86" s="95"/>
      <c r="O86" s="96"/>
      <c r="P86" s="96"/>
      <c r="R86" s="96"/>
    </row>
    <row r="87" spans="1:18" ht="105" customHeight="1">
      <c r="A87" s="21">
        <f>+MRS!A87</f>
        <v>82</v>
      </c>
      <c r="B87" s="154" t="str">
        <f>MRS!B87</f>
        <v xml:space="preserve">Banding Tool (Brand - Band It) </v>
      </c>
      <c r="C87" s="155"/>
      <c r="D87" s="156">
        <f>MRS!D87</f>
        <v>0</v>
      </c>
      <c r="E87" s="157"/>
      <c r="F87" s="158"/>
      <c r="G87" s="93" t="str">
        <f>MRS!G87</f>
        <v>PCS</v>
      </c>
      <c r="H87" s="93">
        <f>MRS!H87</f>
        <v>36</v>
      </c>
      <c r="I87" s="94">
        <f>MRS!I87</f>
        <v>565</v>
      </c>
      <c r="J87" s="94">
        <f>MRS!J87</f>
        <v>20340</v>
      </c>
      <c r="K87" s="95"/>
      <c r="O87" s="96"/>
      <c r="P87" s="96"/>
      <c r="R87" s="96"/>
    </row>
    <row r="88" spans="1:18" ht="105" customHeight="1">
      <c r="A88" s="21">
        <f>+MRS!A88</f>
        <v>83</v>
      </c>
      <c r="B88" s="154" t="str">
        <f>MRS!B88</f>
        <v xml:space="preserve">Flat Screw Driver (Brand - Giffex) - 8" </v>
      </c>
      <c r="C88" s="155"/>
      <c r="D88" s="156">
        <f>MRS!D88</f>
        <v>0</v>
      </c>
      <c r="E88" s="157"/>
      <c r="F88" s="158"/>
      <c r="G88" s="93" t="str">
        <f>MRS!G88</f>
        <v>PCS</v>
      </c>
      <c r="H88" s="93">
        <f>MRS!H88</f>
        <v>10</v>
      </c>
      <c r="I88" s="94">
        <f>MRS!I88</f>
        <v>12</v>
      </c>
      <c r="J88" s="94">
        <f>MRS!J88</f>
        <v>120</v>
      </c>
      <c r="K88" s="95"/>
      <c r="O88" s="96"/>
      <c r="P88" s="96"/>
      <c r="R88" s="96"/>
    </row>
    <row r="89" spans="1:18" ht="105" customHeight="1">
      <c r="A89" s="21">
        <f>+MRS!A89</f>
        <v>84</v>
      </c>
      <c r="B89" s="154" t="str">
        <f>MRS!B89</f>
        <v>Anti Slip Tape For Safety 2/5Cm</v>
      </c>
      <c r="C89" s="155"/>
      <c r="D89" s="156">
        <f>MRS!D89</f>
        <v>0</v>
      </c>
      <c r="E89" s="157"/>
      <c r="F89" s="158"/>
      <c r="G89" s="93" t="str">
        <f>MRS!G89</f>
        <v>ROLL</v>
      </c>
      <c r="H89" s="93">
        <f>MRS!H89</f>
        <v>40</v>
      </c>
      <c r="I89" s="94">
        <f>MRS!I89</f>
        <v>39</v>
      </c>
      <c r="J89" s="94">
        <f>MRS!J89</f>
        <v>1560</v>
      </c>
      <c r="K89" s="95"/>
      <c r="O89" s="96"/>
      <c r="P89" s="96"/>
      <c r="R89" s="96"/>
    </row>
    <row r="90" spans="1:18" ht="105" customHeight="1">
      <c r="A90" s="21">
        <f>+MRS!A90</f>
        <v>85</v>
      </c>
      <c r="B90" s="154" t="str">
        <f>MRS!B90</f>
        <v>Heavy Duty Caster Wheel - 9"</v>
      </c>
      <c r="C90" s="155"/>
      <c r="D90" s="156">
        <f>MRS!D90</f>
        <v>0</v>
      </c>
      <c r="E90" s="157"/>
      <c r="F90" s="158"/>
      <c r="G90" s="93" t="str">
        <f>MRS!G90</f>
        <v>EA</v>
      </c>
      <c r="H90" s="93">
        <f>MRS!H90</f>
        <v>12</v>
      </c>
      <c r="I90" s="94">
        <f>MRS!I90</f>
        <v>195</v>
      </c>
      <c r="J90" s="94">
        <f>MRS!J90</f>
        <v>2340</v>
      </c>
      <c r="K90" s="95"/>
      <c r="O90" s="96"/>
      <c r="P90" s="96"/>
      <c r="R90" s="96"/>
    </row>
    <row r="91" spans="1:18" ht="105" customHeight="1">
      <c r="A91" s="21">
        <f>+MRS!A91</f>
        <v>86</v>
      </c>
      <c r="B91" s="154" t="str">
        <f>MRS!B91</f>
        <v>Putty Knife 4" Vermolens</v>
      </c>
      <c r="C91" s="155"/>
      <c r="D91" s="156">
        <f>MRS!D91</f>
        <v>0</v>
      </c>
      <c r="E91" s="157"/>
      <c r="F91" s="158"/>
      <c r="G91" s="93" t="str">
        <f>MRS!G91</f>
        <v>PCS</v>
      </c>
      <c r="H91" s="93">
        <f>MRS!H91</f>
        <v>65</v>
      </c>
      <c r="I91" s="94">
        <f>MRS!I91</f>
        <v>1.95</v>
      </c>
      <c r="J91" s="94">
        <f>MRS!J91</f>
        <v>126.75</v>
      </c>
      <c r="K91" s="95"/>
      <c r="O91" s="96"/>
      <c r="P91" s="96"/>
      <c r="R91" s="96"/>
    </row>
    <row r="92" spans="1:18" ht="105" customHeight="1">
      <c r="A92" s="21">
        <f>+MRS!A92</f>
        <v>87</v>
      </c>
      <c r="B92" s="154" t="str">
        <f>MRS!B92</f>
        <v>Putty Knife 4" Roto-Taiwan</v>
      </c>
      <c r="C92" s="155"/>
      <c r="D92" s="156">
        <f>MRS!D92</f>
        <v>0</v>
      </c>
      <c r="E92" s="157"/>
      <c r="F92" s="158"/>
      <c r="G92" s="93" t="str">
        <f>MRS!G92</f>
        <v>PCS</v>
      </c>
      <c r="H92" s="93">
        <f>MRS!H92</f>
        <v>15</v>
      </c>
      <c r="I92" s="94">
        <f>MRS!I92</f>
        <v>2.25</v>
      </c>
      <c r="J92" s="94">
        <f>MRS!J92</f>
        <v>33.75</v>
      </c>
      <c r="K92" s="95"/>
      <c r="O92" s="96"/>
      <c r="P92" s="96"/>
      <c r="R92" s="96"/>
    </row>
    <row r="93" spans="1:18" ht="105" customHeight="1">
      <c r="A93" s="21">
        <f>+MRS!A93</f>
        <v>88</v>
      </c>
      <c r="B93" s="154" t="str">
        <f>MRS!B93</f>
        <v>Screw Driver Star - 12" (Brand - Giffex)</v>
      </c>
      <c r="C93" s="155"/>
      <c r="D93" s="156">
        <f>MRS!D93</f>
        <v>0</v>
      </c>
      <c r="E93" s="157"/>
      <c r="F93" s="158"/>
      <c r="G93" s="93" t="str">
        <f>MRS!G93</f>
        <v>PCS</v>
      </c>
      <c r="H93" s="93">
        <f>MRS!H93</f>
        <v>30</v>
      </c>
      <c r="I93" s="94">
        <f>MRS!I93</f>
        <v>14</v>
      </c>
      <c r="J93" s="94">
        <f>MRS!J93</f>
        <v>420</v>
      </c>
      <c r="K93" s="95"/>
      <c r="O93" s="96"/>
      <c r="P93" s="96"/>
      <c r="R93" s="96"/>
    </row>
    <row r="94" spans="1:18" ht="105" customHeight="1">
      <c r="A94" s="21">
        <f>+MRS!A94</f>
        <v>89</v>
      </c>
      <c r="B94" s="154" t="str">
        <f>MRS!B94</f>
        <v>Tube Bender Size : 1/2" (Brand - Giffex)</v>
      </c>
      <c r="C94" s="155"/>
      <c r="D94" s="156">
        <f>MRS!D94</f>
        <v>0</v>
      </c>
      <c r="E94" s="157"/>
      <c r="F94" s="158"/>
      <c r="G94" s="93" t="str">
        <f>MRS!G94</f>
        <v>EA</v>
      </c>
      <c r="H94" s="93">
        <f>MRS!H94</f>
        <v>12</v>
      </c>
      <c r="I94" s="94">
        <f>MRS!I94</f>
        <v>145</v>
      </c>
      <c r="J94" s="94">
        <f>MRS!J94</f>
        <v>1740</v>
      </c>
      <c r="K94" s="95"/>
      <c r="O94" s="96"/>
      <c r="P94" s="96"/>
      <c r="R94" s="96"/>
    </row>
    <row r="95" spans="1:18" ht="105" customHeight="1">
      <c r="A95" s="21">
        <f>+MRS!A95</f>
        <v>90</v>
      </c>
      <c r="B95" s="154" t="str">
        <f>MRS!B95</f>
        <v>Warning Tape (Yellow &amp; Black)</v>
      </c>
      <c r="C95" s="155"/>
      <c r="D95" s="156">
        <f>MRS!D95</f>
        <v>0</v>
      </c>
      <c r="E95" s="157"/>
      <c r="F95" s="158"/>
      <c r="G95" s="93" t="str">
        <f>MRS!G95</f>
        <v>PCS</v>
      </c>
      <c r="H95" s="93">
        <f>MRS!H95</f>
        <v>50</v>
      </c>
      <c r="I95" s="94">
        <f>MRS!I95</f>
        <v>3.5</v>
      </c>
      <c r="J95" s="94">
        <f>MRS!J95</f>
        <v>175</v>
      </c>
      <c r="K95" s="95"/>
      <c r="O95" s="96"/>
      <c r="P95" s="96"/>
      <c r="R95" s="96"/>
    </row>
    <row r="96" spans="1:18" ht="105" customHeight="1">
      <c r="A96" s="21">
        <f>+MRS!A96</f>
        <v>91</v>
      </c>
      <c r="B96" s="154" t="str">
        <f>MRS!B96</f>
        <v>Portable Blower Fan (Sht-30) 12" Giffex With Duct Hose</v>
      </c>
      <c r="C96" s="155"/>
      <c r="D96" s="156">
        <f>MRS!D96</f>
        <v>0</v>
      </c>
      <c r="E96" s="157"/>
      <c r="F96" s="158"/>
      <c r="G96" s="93" t="str">
        <f>MRS!G96</f>
        <v>PCS</v>
      </c>
      <c r="H96" s="93">
        <f>MRS!H96</f>
        <v>4</v>
      </c>
      <c r="I96" s="94">
        <f>MRS!I96</f>
        <v>520</v>
      </c>
      <c r="J96" s="94">
        <f>MRS!J96</f>
        <v>2080</v>
      </c>
      <c r="K96" s="95"/>
      <c r="O96" s="96"/>
      <c r="P96" s="96"/>
      <c r="R96" s="96"/>
    </row>
    <row r="97" spans="1:18" ht="105" customHeight="1">
      <c r="A97" s="21">
        <f>+MRS!A97</f>
        <v>92</v>
      </c>
      <c r="B97" s="154" t="str">
        <f>MRS!B97</f>
        <v>Pipe Wrench Dewesser 18"</v>
      </c>
      <c r="C97" s="155"/>
      <c r="D97" s="156">
        <f>MRS!D97</f>
        <v>0</v>
      </c>
      <c r="E97" s="157"/>
      <c r="F97" s="158"/>
      <c r="G97" s="93" t="str">
        <f>MRS!G97</f>
        <v>PCS</v>
      </c>
      <c r="H97" s="93">
        <f>MRS!H97</f>
        <v>4</v>
      </c>
      <c r="I97" s="94">
        <f>MRS!I97</f>
        <v>55</v>
      </c>
      <c r="J97" s="94">
        <f>MRS!J97</f>
        <v>220</v>
      </c>
      <c r="K97" s="95"/>
      <c r="O97" s="96"/>
      <c r="P97" s="96"/>
      <c r="R97" s="96"/>
    </row>
    <row r="98" spans="1:18" ht="105" customHeight="1">
      <c r="A98" s="21">
        <f>+MRS!A98</f>
        <v>93</v>
      </c>
      <c r="B98" s="154" t="str">
        <f>MRS!B98</f>
        <v>Pipe Wrench Dewesser 12"</v>
      </c>
      <c r="C98" s="155"/>
      <c r="D98" s="156">
        <f>MRS!D98</f>
        <v>0</v>
      </c>
      <c r="E98" s="157"/>
      <c r="F98" s="158"/>
      <c r="G98" s="93" t="str">
        <f>MRS!G98</f>
        <v>PCS</v>
      </c>
      <c r="H98" s="93">
        <f>MRS!H98</f>
        <v>4</v>
      </c>
      <c r="I98" s="94">
        <f>MRS!I98</f>
        <v>30</v>
      </c>
      <c r="J98" s="94">
        <f>MRS!J98</f>
        <v>120</v>
      </c>
      <c r="K98" s="95"/>
      <c r="O98" s="96"/>
      <c r="P98" s="96"/>
      <c r="R98" s="96"/>
    </row>
    <row r="99" spans="1:18" ht="105" customHeight="1">
      <c r="A99" s="21">
        <f>+MRS!A99</f>
        <v>94</v>
      </c>
      <c r="B99" s="154" t="str">
        <f>MRS!B99</f>
        <v>Cable Cutter 6" (Brand - Giffex)</v>
      </c>
      <c r="C99" s="155"/>
      <c r="D99" s="156">
        <f>MRS!D99</f>
        <v>0</v>
      </c>
      <c r="E99" s="157"/>
      <c r="F99" s="158"/>
      <c r="G99" s="93" t="str">
        <f>MRS!G99</f>
        <v>PCS</v>
      </c>
      <c r="H99" s="93">
        <f>MRS!H99</f>
        <v>2</v>
      </c>
      <c r="I99" s="94">
        <f>MRS!I99</f>
        <v>27</v>
      </c>
      <c r="J99" s="94">
        <f>MRS!J99</f>
        <v>54</v>
      </c>
      <c r="K99" s="95"/>
      <c r="O99" s="96"/>
      <c r="P99" s="96"/>
      <c r="R99" s="96"/>
    </row>
    <row r="100" spans="1:18" ht="105" customHeight="1">
      <c r="A100" s="21">
        <f>+MRS!A100</f>
        <v>95</v>
      </c>
      <c r="B100" s="154" t="str">
        <f>MRS!B100</f>
        <v>Screw Driver Star 6X150Mm Roto-Germany</v>
      </c>
      <c r="C100" s="155"/>
      <c r="D100" s="156">
        <f>MRS!D100</f>
        <v>0</v>
      </c>
      <c r="E100" s="157"/>
      <c r="F100" s="158"/>
      <c r="G100" s="93" t="str">
        <f>MRS!G100</f>
        <v>PCS</v>
      </c>
      <c r="H100" s="93">
        <f>MRS!H100</f>
        <v>6</v>
      </c>
      <c r="I100" s="94">
        <f>MRS!I100</f>
        <v>10</v>
      </c>
      <c r="J100" s="94">
        <f>MRS!J100</f>
        <v>60</v>
      </c>
      <c r="K100" s="95"/>
      <c r="O100" s="96"/>
      <c r="P100" s="96"/>
      <c r="R100" s="96"/>
    </row>
    <row r="101" spans="1:18" ht="105" customHeight="1">
      <c r="A101" s="21">
        <f>+MRS!A101</f>
        <v>96</v>
      </c>
      <c r="B101" s="154" t="str">
        <f>MRS!B101</f>
        <v>Sata. Curved Jaw Locking Pliers 7'' Ench</v>
      </c>
      <c r="C101" s="155"/>
      <c r="D101" s="156">
        <f>MRS!D101</f>
        <v>0</v>
      </c>
      <c r="E101" s="157"/>
      <c r="F101" s="158"/>
      <c r="G101" s="93" t="str">
        <f>MRS!G101</f>
        <v>PCS</v>
      </c>
      <c r="H101" s="93">
        <f>MRS!H101</f>
        <v>2</v>
      </c>
      <c r="I101" s="94">
        <f>MRS!I101</f>
        <v>40</v>
      </c>
      <c r="J101" s="94">
        <f>MRS!J101</f>
        <v>80</v>
      </c>
      <c r="K101" s="95"/>
      <c r="O101" s="96"/>
      <c r="P101" s="96"/>
      <c r="R101" s="96"/>
    </row>
    <row r="102" spans="1:18" ht="105" customHeight="1">
      <c r="A102" s="21">
        <f>+MRS!A102</f>
        <v>97</v>
      </c>
      <c r="B102" s="154" t="str">
        <f>MRS!B102</f>
        <v>Combination Spanner Set 6Mm-32Mm (Brand - Roto)</v>
      </c>
      <c r="C102" s="155"/>
      <c r="D102" s="156">
        <f>MRS!D102</f>
        <v>0</v>
      </c>
      <c r="E102" s="157"/>
      <c r="F102" s="158"/>
      <c r="G102" s="93" t="str">
        <f>MRS!G102</f>
        <v>SET</v>
      </c>
      <c r="H102" s="93">
        <f>MRS!H102</f>
        <v>1</v>
      </c>
      <c r="I102" s="94">
        <f>MRS!I102</f>
        <v>130</v>
      </c>
      <c r="J102" s="94">
        <f>MRS!J102</f>
        <v>130</v>
      </c>
      <c r="K102" s="95"/>
      <c r="O102" s="96"/>
      <c r="P102" s="96"/>
      <c r="R102" s="96"/>
    </row>
    <row r="103" spans="1:18" ht="105" customHeight="1">
      <c r="A103" s="21">
        <f>+MRS!A103</f>
        <v>98</v>
      </c>
      <c r="B103" s="154" t="str">
        <f>MRS!B103</f>
        <v>Circlip Plier Workpro Wp231082 Straight</v>
      </c>
      <c r="C103" s="155"/>
      <c r="D103" s="156">
        <f>MRS!D103</f>
        <v>0</v>
      </c>
      <c r="E103" s="157"/>
      <c r="F103" s="158"/>
      <c r="G103" s="93" t="str">
        <f>MRS!G103</f>
        <v>PCS</v>
      </c>
      <c r="H103" s="93">
        <f>MRS!H103</f>
        <v>1</v>
      </c>
      <c r="I103" s="94">
        <f>MRS!I103</f>
        <v>20</v>
      </c>
      <c r="J103" s="94">
        <f>MRS!J103</f>
        <v>20</v>
      </c>
      <c r="K103" s="95"/>
      <c r="O103" s="96"/>
      <c r="P103" s="96"/>
      <c r="R103" s="96"/>
    </row>
    <row r="104" spans="1:18" ht="105" customHeight="1">
      <c r="A104" s="21">
        <f>+MRS!A104</f>
        <v>99</v>
      </c>
      <c r="B104" s="154" t="str">
        <f>MRS!B104</f>
        <v>Circlip Plier Workpro Wp231083 Bent</v>
      </c>
      <c r="C104" s="155"/>
      <c r="D104" s="156">
        <f>MRS!D104</f>
        <v>0</v>
      </c>
      <c r="E104" s="157"/>
      <c r="F104" s="158"/>
      <c r="G104" s="93" t="str">
        <f>MRS!G104</f>
        <v>PCS</v>
      </c>
      <c r="H104" s="93">
        <f>MRS!H104</f>
        <v>1</v>
      </c>
      <c r="I104" s="94">
        <f>MRS!I104</f>
        <v>20</v>
      </c>
      <c r="J104" s="94">
        <f>MRS!J104</f>
        <v>20</v>
      </c>
      <c r="K104" s="95"/>
      <c r="O104" s="96"/>
      <c r="P104" s="96"/>
      <c r="R104" s="96"/>
    </row>
    <row r="105" spans="1:18" ht="105" customHeight="1">
      <c r="A105" s="21">
        <f>+MRS!A105</f>
        <v>100</v>
      </c>
      <c r="B105" s="154" t="str">
        <f>MRS!B105</f>
        <v>Allenkey Set Short Workpro Wp222004 1.5</v>
      </c>
      <c r="C105" s="155"/>
      <c r="D105" s="156">
        <f>MRS!D105</f>
        <v>0</v>
      </c>
      <c r="E105" s="157"/>
      <c r="F105" s="158"/>
      <c r="G105" s="93" t="str">
        <f>MRS!G105</f>
        <v>PCS</v>
      </c>
      <c r="H105" s="93">
        <f>MRS!H105</f>
        <v>1</v>
      </c>
      <c r="I105" s="94">
        <f>MRS!I105</f>
        <v>20</v>
      </c>
      <c r="J105" s="94">
        <f>MRS!J105</f>
        <v>20</v>
      </c>
      <c r="K105" s="95"/>
      <c r="O105" s="96"/>
      <c r="P105" s="96"/>
      <c r="R105" s="96"/>
    </row>
    <row r="106" spans="1:18" ht="105" customHeight="1">
      <c r="A106" s="21">
        <f>+MRS!A106</f>
        <v>101</v>
      </c>
      <c r="B106" s="154" t="str">
        <f>MRS!B106</f>
        <v>Sata. 10 Pcs Cushion Grip Combination Screw Driver Set</v>
      </c>
      <c r="C106" s="155"/>
      <c r="D106" s="156">
        <f>MRS!D106</f>
        <v>0</v>
      </c>
      <c r="E106" s="157"/>
      <c r="F106" s="158"/>
      <c r="G106" s="93" t="str">
        <f>MRS!G106</f>
        <v>SET</v>
      </c>
      <c r="H106" s="93">
        <f>MRS!H106</f>
        <v>1</v>
      </c>
      <c r="I106" s="94">
        <f>MRS!I106</f>
        <v>110</v>
      </c>
      <c r="J106" s="94">
        <f>MRS!J106</f>
        <v>110</v>
      </c>
      <c r="K106" s="95"/>
      <c r="O106" s="96"/>
      <c r="P106" s="96"/>
      <c r="R106" s="96"/>
    </row>
    <row r="107" spans="1:18" ht="105" customHeight="1">
      <c r="A107" s="21">
        <f>+MRS!A107</f>
        <v>102</v>
      </c>
      <c r="B107" s="154" t="str">
        <f>MRS!B107</f>
        <v>Crimping Tool 6-120Mm (Brand - Giffex)</v>
      </c>
      <c r="C107" s="155"/>
      <c r="D107" s="156">
        <f>MRS!D107</f>
        <v>0</v>
      </c>
      <c r="E107" s="157"/>
      <c r="F107" s="158"/>
      <c r="G107" s="93" t="str">
        <f>MRS!G107</f>
        <v>PCS</v>
      </c>
      <c r="H107" s="93">
        <f>MRS!H107</f>
        <v>1</v>
      </c>
      <c r="I107" s="94">
        <f>MRS!I107</f>
        <v>235</v>
      </c>
      <c r="J107" s="94">
        <f>MRS!J107</f>
        <v>235</v>
      </c>
      <c r="K107" s="95"/>
      <c r="O107" s="96"/>
      <c r="P107" s="96"/>
      <c r="R107" s="96"/>
    </row>
    <row r="108" spans="1:18" ht="105" customHeight="1">
      <c r="A108" s="21">
        <f>+MRS!A108</f>
        <v>103</v>
      </c>
      <c r="B108" s="154" t="str">
        <f>MRS!B108</f>
        <v>1/2" Torch Wrench 10-110Nm Roto-Taiwan</v>
      </c>
      <c r="C108" s="155"/>
      <c r="D108" s="156">
        <f>MRS!D108</f>
        <v>0</v>
      </c>
      <c r="E108" s="157"/>
      <c r="F108" s="158"/>
      <c r="G108" s="93" t="str">
        <f>MRS!G108</f>
        <v>PCS</v>
      </c>
      <c r="H108" s="93">
        <f>MRS!H108</f>
        <v>12</v>
      </c>
      <c r="I108" s="94">
        <f>MRS!I108</f>
        <v>230</v>
      </c>
      <c r="J108" s="94">
        <f>MRS!J108</f>
        <v>2760</v>
      </c>
      <c r="K108" s="95"/>
      <c r="O108" s="96"/>
      <c r="P108" s="96"/>
      <c r="R108" s="96"/>
    </row>
    <row r="109" spans="1:18" ht="105" customHeight="1">
      <c r="A109" s="21">
        <f>+MRS!A109</f>
        <v>104</v>
      </c>
      <c r="B109" s="154" t="str">
        <f>MRS!B109</f>
        <v xml:space="preserve">Torch Wrench 3/4" 150-800Nm (Brand - Tower) </v>
      </c>
      <c r="C109" s="155"/>
      <c r="D109" s="156">
        <f>MRS!D109</f>
        <v>0</v>
      </c>
      <c r="E109" s="157"/>
      <c r="F109" s="158"/>
      <c r="G109" s="93" t="str">
        <f>MRS!G109</f>
        <v>PCS</v>
      </c>
      <c r="H109" s="93">
        <f>MRS!H109</f>
        <v>2</v>
      </c>
      <c r="I109" s="94">
        <f>MRS!I109</f>
        <v>1700</v>
      </c>
      <c r="J109" s="94">
        <f>MRS!J109</f>
        <v>3400</v>
      </c>
      <c r="K109" s="95"/>
      <c r="O109" s="96"/>
      <c r="P109" s="96"/>
      <c r="R109" s="96"/>
    </row>
    <row r="110" spans="1:18" ht="105" customHeight="1">
      <c r="A110" s="21">
        <f>+MRS!A110</f>
        <v>105</v>
      </c>
      <c r="B110" s="154" t="str">
        <f>MRS!B110</f>
        <v>Scaffolding Hand Gloves</v>
      </c>
      <c r="C110" s="155"/>
      <c r="D110" s="156">
        <f>MRS!D110</f>
        <v>0</v>
      </c>
      <c r="E110" s="157"/>
      <c r="F110" s="158"/>
      <c r="G110" s="93" t="str">
        <f>MRS!G110</f>
        <v>PAIR</v>
      </c>
      <c r="H110" s="93">
        <f>MRS!H110</f>
        <v>460</v>
      </c>
      <c r="I110" s="94">
        <f>MRS!I110</f>
        <v>4.5</v>
      </c>
      <c r="J110" s="94">
        <f>MRS!J110</f>
        <v>2070</v>
      </c>
      <c r="K110" s="95"/>
      <c r="O110" s="96"/>
      <c r="P110" s="96"/>
      <c r="R110" s="96"/>
    </row>
    <row r="111" spans="1:18" ht="105" customHeight="1">
      <c r="A111" s="21">
        <f>+MRS!A111</f>
        <v>106</v>
      </c>
      <c r="B111" s="154" t="str">
        <f>MRS!B111</f>
        <v xml:space="preserve">Cotton Rags Mix Color (10 Kg / Bundle) </v>
      </c>
      <c r="C111" s="155"/>
      <c r="D111" s="156">
        <f>MRS!D111</f>
        <v>0</v>
      </c>
      <c r="E111" s="157"/>
      <c r="F111" s="158"/>
      <c r="G111" s="93" t="str">
        <f>MRS!G111</f>
        <v>BNDL</v>
      </c>
      <c r="H111" s="93">
        <f>MRS!H111</f>
        <v>15</v>
      </c>
      <c r="I111" s="94">
        <f>MRS!I111</f>
        <v>45</v>
      </c>
      <c r="J111" s="94">
        <f>MRS!J111</f>
        <v>675</v>
      </c>
      <c r="K111" s="95"/>
      <c r="O111" s="96"/>
      <c r="P111" s="96"/>
      <c r="R111" s="96"/>
    </row>
    <row r="112" spans="1:18" ht="105" customHeight="1">
      <c r="A112" s="21">
        <f>+MRS!A112</f>
        <v>107</v>
      </c>
      <c r="B112" s="154" t="str">
        <f>MRS!B112</f>
        <v xml:space="preserve">Cotton Rag Hq White (10 Kg / Bundle) </v>
      </c>
      <c r="C112" s="155"/>
      <c r="D112" s="156">
        <f>MRS!D112</f>
        <v>0</v>
      </c>
      <c r="E112" s="157"/>
      <c r="F112" s="158"/>
      <c r="G112" s="93" t="str">
        <f>MRS!G112</f>
        <v>BNDL</v>
      </c>
      <c r="H112" s="93">
        <f>MRS!H112</f>
        <v>15</v>
      </c>
      <c r="I112" s="94">
        <f>MRS!I112</f>
        <v>80</v>
      </c>
      <c r="J112" s="94">
        <f>MRS!J112</f>
        <v>1200</v>
      </c>
      <c r="K112" s="95"/>
      <c r="O112" s="96"/>
      <c r="P112" s="96"/>
      <c r="R112" s="96"/>
    </row>
    <row r="113" spans="1:18" ht="105" customHeight="1">
      <c r="A113" s="21">
        <f>+MRS!A113</f>
        <v>108</v>
      </c>
      <c r="B113" s="154" t="str">
        <f>MRS!B113</f>
        <v>Cable Tie 150 X 3.6 Black Giffex</v>
      </c>
      <c r="C113" s="155"/>
      <c r="D113" s="156">
        <f>MRS!D113</f>
        <v>0</v>
      </c>
      <c r="E113" s="157"/>
      <c r="F113" s="158"/>
      <c r="G113" s="93" t="str">
        <f>MRS!G113</f>
        <v>PKT</v>
      </c>
      <c r="H113" s="93">
        <f>MRS!H113</f>
        <v>65</v>
      </c>
      <c r="I113" s="94">
        <f>MRS!I113</f>
        <v>7</v>
      </c>
      <c r="J113" s="94">
        <f>MRS!J113</f>
        <v>455</v>
      </c>
      <c r="K113" s="95"/>
      <c r="O113" s="96"/>
      <c r="P113" s="96"/>
      <c r="R113" s="96"/>
    </row>
    <row r="114" spans="1:18" ht="105" customHeight="1">
      <c r="A114" s="21">
        <f>+MRS!A114</f>
        <v>109</v>
      </c>
      <c r="B114" s="154" t="str">
        <f>MRS!B114</f>
        <v xml:space="preserve">Interchangeable Torque Wrench Dr1/2" 40-200Nm Brand:Tower </v>
      </c>
      <c r="C114" s="155"/>
      <c r="D114" s="156">
        <f>MRS!D114</f>
        <v>0</v>
      </c>
      <c r="E114" s="157"/>
      <c r="F114" s="158"/>
      <c r="G114" s="93" t="str">
        <f>MRS!G114</f>
        <v>EA</v>
      </c>
      <c r="H114" s="93">
        <f>MRS!H114</f>
        <v>2</v>
      </c>
      <c r="I114" s="94">
        <f>MRS!I114</f>
        <v>355</v>
      </c>
      <c r="J114" s="94">
        <f>MRS!J114</f>
        <v>710</v>
      </c>
      <c r="K114" s="95"/>
      <c r="O114" s="96"/>
      <c r="P114" s="96"/>
      <c r="R114" s="96"/>
    </row>
    <row r="115" spans="1:18" ht="105" customHeight="1">
      <c r="A115" s="21">
        <f>+MRS!A115</f>
        <v>110</v>
      </c>
      <c r="B115" s="154" t="str">
        <f>MRS!B115</f>
        <v>Impact Socket Dr1/2" X 22Mm Short</v>
      </c>
      <c r="C115" s="155"/>
      <c r="D115" s="156">
        <f>MRS!D115</f>
        <v>0</v>
      </c>
      <c r="E115" s="157"/>
      <c r="F115" s="158"/>
      <c r="G115" s="93" t="str">
        <f>MRS!G115</f>
        <v>EA</v>
      </c>
      <c r="H115" s="93">
        <f>MRS!H115</f>
        <v>30</v>
      </c>
      <c r="I115" s="94">
        <f>MRS!I115</f>
        <v>12.5</v>
      </c>
      <c r="J115" s="94">
        <f>MRS!J115</f>
        <v>375</v>
      </c>
      <c r="K115" s="95"/>
      <c r="O115" s="96"/>
      <c r="P115" s="96"/>
      <c r="R115" s="96"/>
    </row>
    <row r="116" spans="1:18" ht="105" customHeight="1">
      <c r="A116" s="21">
        <f>+MRS!A116</f>
        <v>111</v>
      </c>
      <c r="B116" s="154" t="str">
        <f>MRS!B116</f>
        <v>Impact Socket Dr1/2" X 22Mm Long</v>
      </c>
      <c r="C116" s="155"/>
      <c r="D116" s="156">
        <f>MRS!D116</f>
        <v>0</v>
      </c>
      <c r="E116" s="157"/>
      <c r="F116" s="158"/>
      <c r="G116" s="93" t="str">
        <f>MRS!G116</f>
        <v>EA</v>
      </c>
      <c r="H116" s="93">
        <f>MRS!H116</f>
        <v>40</v>
      </c>
      <c r="I116" s="94">
        <f>MRS!I116</f>
        <v>7</v>
      </c>
      <c r="J116" s="94">
        <f>MRS!J116</f>
        <v>280</v>
      </c>
      <c r="K116" s="95"/>
      <c r="O116" s="96"/>
      <c r="P116" s="96"/>
      <c r="R116" s="96"/>
    </row>
    <row r="117" spans="1:18" ht="105" customHeight="1">
      <c r="A117" s="21">
        <f>+MRS!A117</f>
        <v>112</v>
      </c>
      <c r="B117" s="154" t="str">
        <f>MRS!B117</f>
        <v>Impact Socket Dr1/2" X 27Mm Short</v>
      </c>
      <c r="C117" s="155"/>
      <c r="D117" s="156">
        <f>MRS!D117</f>
        <v>0</v>
      </c>
      <c r="E117" s="157"/>
      <c r="F117" s="158"/>
      <c r="G117" s="93" t="str">
        <f>MRS!G117</f>
        <v>EA</v>
      </c>
      <c r="H117" s="93">
        <f>MRS!H117</f>
        <v>30</v>
      </c>
      <c r="I117" s="94">
        <f>MRS!I117</f>
        <v>9.5</v>
      </c>
      <c r="J117" s="94">
        <f>MRS!J117</f>
        <v>285</v>
      </c>
      <c r="K117" s="95"/>
      <c r="O117" s="96"/>
      <c r="P117" s="96"/>
      <c r="R117" s="96"/>
    </row>
  </sheetData>
  <mergeCells count="234">
    <mergeCell ref="B14:C14"/>
    <mergeCell ref="D14:F14"/>
    <mergeCell ref="B15:C15"/>
    <mergeCell ref="D15:F15"/>
    <mergeCell ref="B16:C16"/>
    <mergeCell ref="D16:F16"/>
    <mergeCell ref="B17:C17"/>
    <mergeCell ref="D17:F17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109:C109"/>
    <mergeCell ref="D109:F109"/>
    <mergeCell ref="B110:C110"/>
    <mergeCell ref="D110:F110"/>
    <mergeCell ref="B111:C111"/>
    <mergeCell ref="D111:F111"/>
    <mergeCell ref="B106:C106"/>
    <mergeCell ref="D106:F106"/>
    <mergeCell ref="B107:C107"/>
    <mergeCell ref="D107:F107"/>
    <mergeCell ref="B108:C108"/>
    <mergeCell ref="D108:F108"/>
    <mergeCell ref="B115:C115"/>
    <mergeCell ref="D115:F115"/>
    <mergeCell ref="B116:C116"/>
    <mergeCell ref="D116:F116"/>
    <mergeCell ref="B117:C117"/>
    <mergeCell ref="D117:F117"/>
    <mergeCell ref="B112:C112"/>
    <mergeCell ref="D112:F112"/>
    <mergeCell ref="B113:C113"/>
    <mergeCell ref="D113:F113"/>
    <mergeCell ref="B114:C114"/>
    <mergeCell ref="D114:F114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9" zoomScale="130" zoomScaleNormal="100" zoomScaleSheetLayoutView="130" workbookViewId="0">
      <selection activeCell="H39" sqref="H39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5.42578125" style="26" customWidth="1"/>
    <col min="7" max="7" width="6.5703125" style="26" customWidth="1"/>
    <col min="8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112</v>
      </c>
      <c r="D9" s="38"/>
      <c r="E9" s="38"/>
    </row>
    <row r="10" spans="2:13" s="38" customFormat="1">
      <c r="B10" s="69"/>
      <c r="C10" s="38" t="s">
        <v>29</v>
      </c>
      <c r="D10" s="73" t="s">
        <v>113</v>
      </c>
      <c r="J10" s="38" t="s">
        <v>30</v>
      </c>
      <c r="K10" s="162">
        <f>MRS!L3</f>
        <v>46217</v>
      </c>
      <c r="L10" s="163"/>
      <c r="M10" s="163"/>
    </row>
    <row r="11" spans="2:13" s="38" customFormat="1">
      <c r="B11" s="69"/>
      <c r="C11" s="72" t="s">
        <v>31</v>
      </c>
      <c r="D11" s="73" t="s">
        <v>114</v>
      </c>
      <c r="J11" s="38" t="s">
        <v>32</v>
      </c>
      <c r="K11" s="164" t="str">
        <f>SUBSTITUTE(SUBSTITUTE(+MRS!A3,"  MRS No : ",""),"-MRS","-PO")</f>
        <v>SAC2-DS-PO-0364</v>
      </c>
      <c r="L11" s="164"/>
      <c r="M11" s="164"/>
    </row>
    <row r="12" spans="2:13" s="38" customFormat="1">
      <c r="B12" s="69"/>
      <c r="C12" s="72" t="s">
        <v>33</v>
      </c>
      <c r="D12" s="38" t="s">
        <v>116</v>
      </c>
      <c r="J12" s="38" t="s">
        <v>34</v>
      </c>
    </row>
    <row r="13" spans="2:13" s="38" customFormat="1">
      <c r="B13" s="69"/>
      <c r="C13" s="74"/>
      <c r="D13" s="73" t="s">
        <v>117</v>
      </c>
      <c r="J13" s="38" t="s">
        <v>35</v>
      </c>
    </row>
    <row r="14" spans="2:13" s="38" customFormat="1">
      <c r="B14" s="69"/>
      <c r="C14" s="112" t="s">
        <v>118</v>
      </c>
      <c r="J14" s="38" t="s">
        <v>36</v>
      </c>
      <c r="K14" s="38" t="s">
        <v>308</v>
      </c>
    </row>
    <row r="15" spans="2:13" s="38" customFormat="1">
      <c r="B15" s="69"/>
      <c r="C15" s="72" t="s">
        <v>119</v>
      </c>
      <c r="J15" s="38" t="s">
        <v>37</v>
      </c>
      <c r="K15" s="75">
        <v>46216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65" t="s">
        <v>38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</row>
    <row r="19" spans="2:13" ht="12" customHeight="1"/>
    <row r="20" spans="2:13" s="31" customFormat="1" ht="12" customHeight="1">
      <c r="B20" s="166" t="s">
        <v>39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</row>
    <row r="21" spans="2:13" s="31" customFormat="1" ht="12" customHeight="1">
      <c r="B21" s="166" t="s">
        <v>40</v>
      </c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</row>
    <row r="22" spans="2:13" s="31" customFormat="1" ht="12" customHeight="1">
      <c r="B22" s="166" t="s">
        <v>41</v>
      </c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</row>
    <row r="23" spans="2:13" ht="3.75" customHeight="1">
      <c r="B23" s="167"/>
      <c r="C23" s="167"/>
      <c r="D23" s="167"/>
      <c r="E23" s="167"/>
      <c r="F23" s="167"/>
      <c r="G23" s="167"/>
      <c r="H23" s="167"/>
      <c r="I23" s="167"/>
      <c r="J23" s="167"/>
      <c r="K23" s="167"/>
      <c r="L23" s="167"/>
      <c r="M23" s="167"/>
    </row>
    <row r="24" spans="2:13" ht="6.95" customHeight="1">
      <c r="B24" s="168"/>
      <c r="C24" s="168"/>
      <c r="D24" s="168"/>
      <c r="E24" s="168"/>
      <c r="F24" s="168"/>
      <c r="G24" s="168"/>
      <c r="H24" s="168"/>
      <c r="I24" s="168"/>
      <c r="J24" s="168"/>
      <c r="K24" s="168"/>
      <c r="L24" s="168"/>
      <c r="M24" s="16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131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3">
        <f>'PO 2nd page'!G181</f>
        <v>391481.52</v>
      </c>
      <c r="G29" s="106"/>
      <c r="H29" s="106"/>
      <c r="M29" s="33"/>
    </row>
    <row r="30" spans="2:13" ht="15" customHeight="1">
      <c r="B30" s="32"/>
      <c r="C30" s="26" t="s">
        <v>47</v>
      </c>
      <c r="E30" s="26" t="s">
        <v>46</v>
      </c>
      <c r="F30" s="113">
        <f>'PO 2nd page'!G182</f>
        <v>58722.228000000003</v>
      </c>
      <c r="G30" s="106"/>
      <c r="H30" s="106"/>
    </row>
    <row r="31" spans="2:13" ht="15" customHeight="1">
      <c r="B31" s="32"/>
      <c r="C31" s="26" t="s">
        <v>48</v>
      </c>
      <c r="D31" s="34"/>
      <c r="E31" s="26" t="s">
        <v>46</v>
      </c>
      <c r="F31" s="113">
        <f>'PO 2nd page'!G183</f>
        <v>450203.74800000002</v>
      </c>
      <c r="G31" s="106"/>
      <c r="H31" s="106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102</v>
      </c>
    </row>
    <row r="54" spans="2:16" ht="12" customHeight="1">
      <c r="B54" s="81" t="s">
        <v>62</v>
      </c>
      <c r="C54" s="114" t="s">
        <v>104</v>
      </c>
      <c r="F54" s="26" t="s">
        <v>115</v>
      </c>
      <c r="P54" s="26" t="str">
        <f>UPPER(F54)</f>
        <v>YAQOOT ARABIA TRADING COMPANY</v>
      </c>
    </row>
    <row r="55" spans="2:16" ht="12" customHeight="1">
      <c r="B55" s="81" t="s">
        <v>62</v>
      </c>
      <c r="C55" s="114" t="s">
        <v>105</v>
      </c>
      <c r="F55" s="115" t="s">
        <v>120</v>
      </c>
    </row>
    <row r="56" spans="2:16" ht="12" customHeight="1">
      <c r="B56" s="81" t="s">
        <v>62</v>
      </c>
      <c r="C56" s="114" t="s">
        <v>106</v>
      </c>
      <c r="F56" s="26" t="s">
        <v>121</v>
      </c>
    </row>
    <row r="57" spans="2:16" ht="12" customHeight="1">
      <c r="B57" s="81" t="s">
        <v>62</v>
      </c>
      <c r="C57" s="114" t="s">
        <v>107</v>
      </c>
      <c r="F57" s="26" t="s">
        <v>122</v>
      </c>
    </row>
    <row r="58" spans="2:16" ht="12" customHeight="1">
      <c r="B58" s="81" t="s">
        <v>62</v>
      </c>
      <c r="C58" s="114" t="s">
        <v>108</v>
      </c>
      <c r="F58" s="26" t="s">
        <v>123</v>
      </c>
    </row>
    <row r="59" spans="2:16" ht="12" customHeight="1">
      <c r="B59" s="81" t="s">
        <v>62</v>
      </c>
      <c r="C59" s="114" t="s">
        <v>109</v>
      </c>
      <c r="F59" s="26" t="s">
        <v>103</v>
      </c>
    </row>
    <row r="60" spans="2:16" ht="12" customHeight="1">
      <c r="B60" s="81"/>
      <c r="C60" s="114" t="s">
        <v>110</v>
      </c>
    </row>
    <row r="61" spans="2:16" ht="6.75" customHeight="1">
      <c r="B61" s="81"/>
      <c r="C61" s="114"/>
    </row>
    <row r="62" spans="2:16" ht="6" customHeight="1">
      <c r="B62" s="116"/>
      <c r="C62" s="117"/>
      <c r="D62" s="117"/>
      <c r="E62" s="117"/>
      <c r="F62" s="117"/>
      <c r="G62" s="117"/>
      <c r="H62" s="117"/>
      <c r="I62" s="117"/>
      <c r="J62" s="117"/>
      <c r="K62" s="117"/>
      <c r="L62" s="117"/>
      <c r="M62" s="117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Haris</v>
      </c>
    </row>
    <row r="68" spans="1:13" ht="13.5" customHeight="1">
      <c r="B68" s="26" t="s">
        <v>68</v>
      </c>
      <c r="J68" s="26" t="s">
        <v>69</v>
      </c>
      <c r="K68" s="22" t="s">
        <v>98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100</v>
      </c>
      <c r="J70" s="169" t="str">
        <f>C9</f>
        <v>YATCO(Yaqoot Arabia Trading Company)</v>
      </c>
      <c r="K70" s="169"/>
      <c r="L70" s="169"/>
      <c r="M70" s="169"/>
    </row>
    <row r="71" spans="1:13" ht="27.95" customHeight="1">
      <c r="A71" s="161" t="s">
        <v>72</v>
      </c>
      <c r="B71" s="161"/>
      <c r="C71" s="161"/>
      <c r="D71" s="161"/>
      <c r="E71" s="161"/>
      <c r="F71" s="161"/>
      <c r="G71" s="161"/>
      <c r="H71" s="161"/>
      <c r="I71" s="161"/>
      <c r="J71" s="161"/>
      <c r="K71" s="161"/>
      <c r="L71" s="161"/>
      <c r="M71" s="16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7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91"/>
  <sheetViews>
    <sheetView showGridLines="0" view="pageBreakPreview" topLeftCell="A171" zoomScaleSheetLayoutView="100" zoomScalePageLayoutView="55" workbookViewId="0">
      <selection activeCell="L168" sqref="L168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7" width="19.85546875" style="42" customWidth="1"/>
    <col min="8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SAC2-DS-PO-0364</v>
      </c>
      <c r="C2" s="172" t="s">
        <v>74</v>
      </c>
      <c r="D2" s="172"/>
      <c r="E2" s="172"/>
      <c r="F2" s="172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46217</v>
      </c>
      <c r="C3" s="48"/>
      <c r="D3" s="49"/>
      <c r="E3" s="173" t="s">
        <v>76</v>
      </c>
      <c r="F3" s="173"/>
      <c r="G3" s="173"/>
      <c r="H3" s="173"/>
      <c r="I3" s="50"/>
    </row>
    <row r="4" spans="1:13" s="52" customFormat="1" ht="28.5" customHeight="1" thickTop="1">
      <c r="A4" s="174" t="s">
        <v>77</v>
      </c>
      <c r="B4" s="176" t="s">
        <v>78</v>
      </c>
      <c r="C4" s="177"/>
      <c r="D4" s="180" t="s">
        <v>79</v>
      </c>
      <c r="E4" s="180" t="s">
        <v>80</v>
      </c>
      <c r="F4" s="182" t="str">
        <f>'PO 1st page'!C9</f>
        <v>YATCO(Yaqoot Arabia Trading Company)</v>
      </c>
      <c r="G4" s="183"/>
      <c r="H4" s="184" t="s">
        <v>81</v>
      </c>
      <c r="K4" s="53"/>
      <c r="L4" s="53"/>
      <c r="M4" s="53"/>
    </row>
    <row r="5" spans="1:13" s="52" customFormat="1" ht="21.95" customHeight="1">
      <c r="A5" s="175"/>
      <c r="B5" s="178"/>
      <c r="C5" s="179"/>
      <c r="D5" s="181"/>
      <c r="E5" s="181"/>
      <c r="F5" s="54" t="s">
        <v>82</v>
      </c>
      <c r="G5" s="54" t="s">
        <v>48</v>
      </c>
      <c r="H5" s="185"/>
      <c r="K5" s="53"/>
      <c r="L5" s="53"/>
      <c r="M5" s="53"/>
    </row>
    <row r="6" spans="1:13" s="52" customFormat="1" ht="32.1" customHeight="1">
      <c r="A6" s="82">
        <f t="shared" ref="A6:A69" si="0">ROW(A1)</f>
        <v>1</v>
      </c>
      <c r="B6" s="170" t="str">
        <f>MRS!B6&amp;" "&amp;MRS!D6</f>
        <v xml:space="preserve">Circular Saw Machine - 5007N - 7" (Brand - Makita) </v>
      </c>
      <c r="C6" s="171"/>
      <c r="D6" s="83" t="str">
        <f>MRS!G6</f>
        <v>EA</v>
      </c>
      <c r="E6" s="84">
        <f>MRS!H6</f>
        <v>1</v>
      </c>
      <c r="F6" s="85">
        <f>MRS!I6</f>
        <v>710</v>
      </c>
      <c r="G6" s="85">
        <f>MRS!J6</f>
        <v>710</v>
      </c>
      <c r="H6" s="86" t="s">
        <v>99</v>
      </c>
      <c r="K6" s="87"/>
      <c r="L6" s="88"/>
      <c r="M6" s="53"/>
    </row>
    <row r="7" spans="1:13" s="52" customFormat="1" ht="32.1" customHeight="1">
      <c r="A7" s="82">
        <f t="shared" si="0"/>
        <v>2</v>
      </c>
      <c r="B7" s="170" t="str">
        <f>MRS!B7&amp;" "&amp;MRS!D7</f>
        <v xml:space="preserve">Demolition Hammer Sds Max 1500W Gsh 7Vc Bosch </v>
      </c>
      <c r="C7" s="171"/>
      <c r="D7" s="83" t="str">
        <f>MRS!G7</f>
        <v>EA</v>
      </c>
      <c r="E7" s="84">
        <f>MRS!H7</f>
        <v>3</v>
      </c>
      <c r="F7" s="85">
        <f>MRS!I7</f>
        <v>3235</v>
      </c>
      <c r="G7" s="85">
        <f>MRS!J7</f>
        <v>9705</v>
      </c>
      <c r="H7" s="86"/>
      <c r="K7" s="87"/>
      <c r="L7" s="88"/>
      <c r="M7" s="53"/>
    </row>
    <row r="8" spans="1:13" s="52" customFormat="1" ht="32.1" customHeight="1">
      <c r="A8" s="82">
        <f t="shared" si="0"/>
        <v>3</v>
      </c>
      <c r="B8" s="170" t="str">
        <f>MRS!B8&amp;" "&amp;MRS!D8</f>
        <v xml:space="preserve">Smoke Detector </v>
      </c>
      <c r="C8" s="171"/>
      <c r="D8" s="83" t="str">
        <f>MRS!G8</f>
        <v>EA</v>
      </c>
      <c r="E8" s="84">
        <f>MRS!H8</f>
        <v>10</v>
      </c>
      <c r="F8" s="85">
        <f>MRS!I8</f>
        <v>22</v>
      </c>
      <c r="G8" s="85">
        <f>MRS!J8</f>
        <v>220</v>
      </c>
      <c r="H8" s="86"/>
      <c r="K8" s="53"/>
      <c r="L8" s="53"/>
      <c r="M8" s="53"/>
    </row>
    <row r="9" spans="1:13" s="52" customFormat="1" ht="32.1" customHeight="1">
      <c r="A9" s="82">
        <f t="shared" si="0"/>
        <v>4</v>
      </c>
      <c r="B9" s="170" t="str">
        <f>MRS!B9&amp;" "&amp;MRS!D9</f>
        <v xml:space="preserve">Carbon Brush For Angle Grinder Machine4002 Dewalt 4" </v>
      </c>
      <c r="C9" s="171"/>
      <c r="D9" s="83" t="str">
        <f>MRS!G9</f>
        <v>EA</v>
      </c>
      <c r="E9" s="84">
        <f>MRS!H9</f>
        <v>150</v>
      </c>
      <c r="F9" s="85">
        <f>MRS!I9</f>
        <v>13</v>
      </c>
      <c r="G9" s="85">
        <f>MRS!J9</f>
        <v>1950</v>
      </c>
      <c r="H9" s="89"/>
    </row>
    <row r="10" spans="1:13" s="52" customFormat="1" ht="32.1" customHeight="1">
      <c r="A10" s="82">
        <f t="shared" si="0"/>
        <v>5</v>
      </c>
      <c r="B10" s="170" t="str">
        <f>MRS!B10&amp;" "&amp;MRS!D10</f>
        <v xml:space="preserve">Electrical Exhaust Fan - 12" X 12" </v>
      </c>
      <c r="C10" s="171"/>
      <c r="D10" s="83" t="str">
        <f>MRS!G10</f>
        <v>EA</v>
      </c>
      <c r="E10" s="84">
        <f>MRS!H10</f>
        <v>5</v>
      </c>
      <c r="F10" s="85">
        <f>MRS!I10</f>
        <v>60</v>
      </c>
      <c r="G10" s="85">
        <f>MRS!J10</f>
        <v>300</v>
      </c>
      <c r="H10" s="89"/>
    </row>
    <row r="11" spans="1:13" s="52" customFormat="1" ht="32.1" customHeight="1">
      <c r="A11" s="82">
        <f t="shared" si="0"/>
        <v>6</v>
      </c>
      <c r="B11" s="170" t="str">
        <f>MRS!B11&amp;" "&amp;MRS!D11</f>
        <v xml:space="preserve">Tube Cutter Blade - 1/4 X 2-1/2"  ( Brand : Super Ego ) </v>
      </c>
      <c r="C11" s="171"/>
      <c r="D11" s="83" t="str">
        <f>MRS!G11</f>
        <v>EA</v>
      </c>
      <c r="E11" s="84">
        <f>MRS!H11</f>
        <v>248</v>
      </c>
      <c r="F11" s="85">
        <f>MRS!I11</f>
        <v>40</v>
      </c>
      <c r="G11" s="85">
        <f>MRS!J11</f>
        <v>9920</v>
      </c>
      <c r="H11" s="89"/>
    </row>
    <row r="12" spans="1:13" s="52" customFormat="1" ht="32.1" customHeight="1">
      <c r="A12" s="82">
        <f t="shared" si="0"/>
        <v>7</v>
      </c>
      <c r="B12" s="170" t="str">
        <f>MRS!B12&amp;" "&amp;MRS!D12</f>
        <v xml:space="preserve">Concrete Mixing Drill Machine Model No : Grw 140 With Mixing Padle  </v>
      </c>
      <c r="C12" s="171"/>
      <c r="D12" s="83" t="str">
        <f>MRS!G12</f>
        <v>EA</v>
      </c>
      <c r="E12" s="84">
        <f>MRS!H12</f>
        <v>5</v>
      </c>
      <c r="F12" s="85">
        <f>MRS!I12</f>
        <v>860</v>
      </c>
      <c r="G12" s="85">
        <f>MRS!J12</f>
        <v>4300</v>
      </c>
      <c r="H12" s="89"/>
    </row>
    <row r="13" spans="1:13" s="52" customFormat="1" ht="32.1" customHeight="1">
      <c r="A13" s="82">
        <f t="shared" si="0"/>
        <v>8</v>
      </c>
      <c r="B13" s="170" t="str">
        <f>MRS!B13&amp;" "&amp;MRS!D13</f>
        <v xml:space="preserve">Jigsaw Blade (6-5/16")  </v>
      </c>
      <c r="C13" s="171"/>
      <c r="D13" s="83" t="str">
        <f>MRS!G13</f>
        <v>EA</v>
      </c>
      <c r="E13" s="84">
        <f>MRS!H13</f>
        <v>185</v>
      </c>
      <c r="F13" s="85">
        <f>MRS!I13</f>
        <v>20</v>
      </c>
      <c r="G13" s="85">
        <f>MRS!J13</f>
        <v>3700</v>
      </c>
      <c r="H13" s="89"/>
    </row>
    <row r="14" spans="1:13" s="52" customFormat="1" ht="32.1" customHeight="1">
      <c r="A14" s="82">
        <f t="shared" si="0"/>
        <v>9</v>
      </c>
      <c r="B14" s="170" t="str">
        <f>MRS!B14&amp;" "&amp;MRS!D14</f>
        <v xml:space="preserve">Industrial Mist Fan 26" 220V ( Brand : Giffex ) </v>
      </c>
      <c r="C14" s="171"/>
      <c r="D14" s="83" t="str">
        <f>MRS!G14</f>
        <v>PCS</v>
      </c>
      <c r="E14" s="84">
        <f>MRS!H14</f>
        <v>8</v>
      </c>
      <c r="F14" s="85">
        <f>MRS!I14</f>
        <v>670</v>
      </c>
      <c r="G14" s="85">
        <f>MRS!J14</f>
        <v>5360</v>
      </c>
      <c r="H14" s="89"/>
    </row>
    <row r="15" spans="1:13" s="52" customFormat="1" ht="32.1" customHeight="1">
      <c r="A15" s="82">
        <f t="shared" si="0"/>
        <v>10</v>
      </c>
      <c r="B15" s="170" t="str">
        <f>MRS!B15&amp;" "&amp;MRS!D15</f>
        <v xml:space="preserve">Chemical Gloves Brand: U-Safe   </v>
      </c>
      <c r="C15" s="171"/>
      <c r="D15" s="83" t="str">
        <f>MRS!G15</f>
        <v>PAIR</v>
      </c>
      <c r="E15" s="84">
        <f>MRS!H15</f>
        <v>700</v>
      </c>
      <c r="F15" s="85">
        <f>MRS!I15</f>
        <v>4.5</v>
      </c>
      <c r="G15" s="85">
        <f>MRS!J15</f>
        <v>3150</v>
      </c>
      <c r="H15" s="89"/>
    </row>
    <row r="16" spans="1:13" s="52" customFormat="1" ht="32.1" customHeight="1">
      <c r="A16" s="82">
        <f t="shared" si="0"/>
        <v>11</v>
      </c>
      <c r="B16" s="170" t="str">
        <f>MRS!B16&amp;" "&amp;MRS!D16</f>
        <v xml:space="preserve">Tube Cutter Blade 1/8-1 1/8" </v>
      </c>
      <c r="C16" s="171"/>
      <c r="D16" s="83" t="str">
        <f>MRS!G16</f>
        <v>PCS</v>
      </c>
      <c r="E16" s="84">
        <f>MRS!H16</f>
        <v>110</v>
      </c>
      <c r="F16" s="85">
        <f>MRS!I16</f>
        <v>20</v>
      </c>
      <c r="G16" s="85">
        <f>MRS!J16</f>
        <v>2200</v>
      </c>
      <c r="H16" s="89"/>
    </row>
    <row r="17" spans="1:8" s="52" customFormat="1" ht="32.1" customHeight="1">
      <c r="A17" s="82">
        <f t="shared" si="0"/>
        <v>12</v>
      </c>
      <c r="B17" s="170" t="str">
        <f>MRS!B17&amp;" "&amp;MRS!D17</f>
        <v xml:space="preserve">Cordless Drill Machine (Bosch-Brand Gsb 183)  </v>
      </c>
      <c r="C17" s="171"/>
      <c r="D17" s="83" t="str">
        <f>MRS!G17</f>
        <v>PCS</v>
      </c>
      <c r="E17" s="84">
        <f>MRS!H17</f>
        <v>3</v>
      </c>
      <c r="F17" s="85">
        <f>MRS!I17</f>
        <v>640</v>
      </c>
      <c r="G17" s="85">
        <f>MRS!J17</f>
        <v>1920</v>
      </c>
      <c r="H17" s="89"/>
    </row>
    <row r="18" spans="1:8" s="52" customFormat="1" ht="32.1" customHeight="1">
      <c r="A18" s="82">
        <f t="shared" si="0"/>
        <v>13</v>
      </c>
      <c r="B18" s="170" t="str">
        <f>MRS!B18&amp;" "&amp;MRS!D18</f>
        <v xml:space="preserve">Cordless Hand Blower (Bosch-Brand Gbl -180)  </v>
      </c>
      <c r="C18" s="171"/>
      <c r="D18" s="83" t="str">
        <f>MRS!G18</f>
        <v>PCS</v>
      </c>
      <c r="E18" s="84">
        <f>MRS!H18</f>
        <v>3</v>
      </c>
      <c r="F18" s="85">
        <f>MRS!I18</f>
        <v>635</v>
      </c>
      <c r="G18" s="85">
        <f>MRS!J18</f>
        <v>1905</v>
      </c>
      <c r="H18" s="89"/>
    </row>
    <row r="19" spans="1:8" s="52" customFormat="1" ht="32.1" customHeight="1">
      <c r="A19" s="82">
        <f t="shared" si="0"/>
        <v>14</v>
      </c>
      <c r="B19" s="170" t="str">
        <f>MRS!B19&amp;" "&amp;MRS!D19</f>
        <v xml:space="preserve">Magnetic Hex Nut Bit 6Mm Brand : Dewesser  </v>
      </c>
      <c r="C19" s="171"/>
      <c r="D19" s="83" t="str">
        <f>MRS!G19</f>
        <v>PCS</v>
      </c>
      <c r="E19" s="84">
        <f>MRS!H19</f>
        <v>1</v>
      </c>
      <c r="F19" s="85">
        <f>MRS!I19</f>
        <v>3.5</v>
      </c>
      <c r="G19" s="85">
        <f>MRS!J19</f>
        <v>3.5</v>
      </c>
      <c r="H19" s="89"/>
    </row>
    <row r="20" spans="1:8" s="52" customFormat="1" ht="32.1" customHeight="1">
      <c r="A20" s="82">
        <f t="shared" si="0"/>
        <v>15</v>
      </c>
      <c r="B20" s="170" t="str">
        <f>MRS!B20&amp;" "&amp;MRS!D20</f>
        <v xml:space="preserve">Magnetic Hex Nut Bit 8Mm Brand: Dewesser  </v>
      </c>
      <c r="C20" s="171"/>
      <c r="D20" s="83" t="str">
        <f>MRS!G20</f>
        <v>PCS</v>
      </c>
      <c r="E20" s="84">
        <f>MRS!H20</f>
        <v>11</v>
      </c>
      <c r="F20" s="85">
        <f>MRS!I20</f>
        <v>3.5</v>
      </c>
      <c r="G20" s="85">
        <f>MRS!J20</f>
        <v>38.5</v>
      </c>
      <c r="H20" s="89"/>
    </row>
    <row r="21" spans="1:8" s="52" customFormat="1" ht="32.1" customHeight="1">
      <c r="A21" s="82">
        <f t="shared" si="0"/>
        <v>16</v>
      </c>
      <c r="B21" s="170" t="str">
        <f>MRS!B21&amp;" "&amp;MRS!D21</f>
        <v xml:space="preserve">Magnetic Hex Nut Bit 10Mm Brand: Dewesser  </v>
      </c>
      <c r="C21" s="171"/>
      <c r="D21" s="83" t="str">
        <f>MRS!G21</f>
        <v>PCS</v>
      </c>
      <c r="E21" s="84">
        <f>MRS!H21</f>
        <v>31</v>
      </c>
      <c r="F21" s="85">
        <f>MRS!I21</f>
        <v>3.5</v>
      </c>
      <c r="G21" s="85">
        <f>MRS!J21</f>
        <v>108.5</v>
      </c>
      <c r="H21" s="89"/>
    </row>
    <row r="22" spans="1:8" s="52" customFormat="1" ht="32.1" customHeight="1">
      <c r="A22" s="82">
        <f t="shared" si="0"/>
        <v>17</v>
      </c>
      <c r="B22" s="170" t="str">
        <f>MRS!B22&amp;" "&amp;MRS!D22</f>
        <v xml:space="preserve">Electrical Drill Machine (Bosch-Brand Gsb 600)  </v>
      </c>
      <c r="C22" s="171"/>
      <c r="D22" s="83" t="str">
        <f>MRS!G22</f>
        <v>PCS</v>
      </c>
      <c r="E22" s="84">
        <f>MRS!H22</f>
        <v>8</v>
      </c>
      <c r="F22" s="85">
        <f>MRS!I22</f>
        <v>220</v>
      </c>
      <c r="G22" s="85">
        <f>MRS!J22</f>
        <v>1760</v>
      </c>
      <c r="H22" s="89"/>
    </row>
    <row r="23" spans="1:8" s="52" customFormat="1" ht="32.1" customHeight="1">
      <c r="A23" s="82">
        <f t="shared" si="0"/>
        <v>18</v>
      </c>
      <c r="B23" s="170" t="str">
        <f>MRS!B23&amp;" "&amp;MRS!D23</f>
        <v xml:space="preserve">Right Angle 12" X 24" (Kspro : Brand)  </v>
      </c>
      <c r="C23" s="171"/>
      <c r="D23" s="83" t="str">
        <f>MRS!G23</f>
        <v>PCS</v>
      </c>
      <c r="E23" s="84">
        <f>MRS!H23</f>
        <v>6</v>
      </c>
      <c r="F23" s="85">
        <f>MRS!I23</f>
        <v>50</v>
      </c>
      <c r="G23" s="85">
        <f>MRS!J23</f>
        <v>300</v>
      </c>
      <c r="H23" s="89"/>
    </row>
    <row r="24" spans="1:8" s="52" customFormat="1" ht="32.1" customHeight="1">
      <c r="A24" s="82">
        <f t="shared" si="0"/>
        <v>19</v>
      </c>
      <c r="B24" s="170" t="str">
        <f>MRS!B24&amp;" "&amp;MRS!D24</f>
        <v xml:space="preserve">Roto Aluminium Spirit Level 30Cm </v>
      </c>
      <c r="C24" s="171"/>
      <c r="D24" s="83" t="str">
        <f>MRS!G24</f>
        <v>PCS</v>
      </c>
      <c r="E24" s="84">
        <f>MRS!H24</f>
        <v>50</v>
      </c>
      <c r="F24" s="85">
        <f>MRS!I24</f>
        <v>17</v>
      </c>
      <c r="G24" s="85">
        <f>MRS!J24</f>
        <v>850</v>
      </c>
      <c r="H24" s="89"/>
    </row>
    <row r="25" spans="1:8" s="52" customFormat="1" ht="32.1" customHeight="1">
      <c r="A25" s="82">
        <f t="shared" si="0"/>
        <v>20</v>
      </c>
      <c r="B25" s="170" t="str">
        <f>MRS!B25&amp;" "&amp;MRS!D25</f>
        <v xml:space="preserve">Roto Aluminium Spirit Level 60Cm </v>
      </c>
      <c r="C25" s="171"/>
      <c r="D25" s="83" t="str">
        <f>MRS!G25</f>
        <v>PCS</v>
      </c>
      <c r="E25" s="84">
        <f>MRS!H25</f>
        <v>30</v>
      </c>
      <c r="F25" s="85">
        <f>MRS!I25</f>
        <v>31</v>
      </c>
      <c r="G25" s="85">
        <f>MRS!J25</f>
        <v>930</v>
      </c>
      <c r="H25" s="89"/>
    </row>
    <row r="26" spans="1:8" s="52" customFormat="1" ht="32.1" customHeight="1">
      <c r="A26" s="82">
        <f t="shared" si="0"/>
        <v>21</v>
      </c>
      <c r="B26" s="170" t="str">
        <f>MRS!B26&amp;" "&amp;MRS!D26</f>
        <v xml:space="preserve">Roto Aluminium Spirit Level 100Cm </v>
      </c>
      <c r="C26" s="171"/>
      <c r="D26" s="83" t="str">
        <f>MRS!G26</f>
        <v>PCS</v>
      </c>
      <c r="E26" s="84">
        <f>MRS!H26</f>
        <v>2</v>
      </c>
      <c r="F26" s="85">
        <f>MRS!I26</f>
        <v>42</v>
      </c>
      <c r="G26" s="85">
        <f>MRS!J26</f>
        <v>84</v>
      </c>
      <c r="H26" s="89"/>
    </row>
    <row r="27" spans="1:8" s="52" customFormat="1" ht="32.1" customHeight="1">
      <c r="A27" s="82">
        <f t="shared" si="0"/>
        <v>22</v>
      </c>
      <c r="B27" s="170" t="str">
        <f>MRS!B27&amp;" "&amp;MRS!D27</f>
        <v xml:space="preserve">Mesurement Tape - 5Mtr Clarke : Brand  </v>
      </c>
      <c r="C27" s="171"/>
      <c r="D27" s="83" t="str">
        <f>MRS!G27</f>
        <v>PCS</v>
      </c>
      <c r="E27" s="84">
        <f>MRS!H27</f>
        <v>194</v>
      </c>
      <c r="F27" s="85">
        <f>MRS!I27</f>
        <v>10</v>
      </c>
      <c r="G27" s="85">
        <f>MRS!J27</f>
        <v>1940</v>
      </c>
      <c r="H27" s="89"/>
    </row>
    <row r="28" spans="1:8" s="52" customFormat="1" ht="32.1" customHeight="1">
      <c r="A28" s="82">
        <f t="shared" si="0"/>
        <v>23</v>
      </c>
      <c r="B28" s="170" t="str">
        <f>MRS!B28&amp;" "&amp;MRS!D28</f>
        <v xml:space="preserve">Mesurement Tape 3Mtr Clarke:Brand  </v>
      </c>
      <c r="C28" s="171"/>
      <c r="D28" s="83" t="str">
        <f>MRS!G28</f>
        <v>PCS</v>
      </c>
      <c r="E28" s="84">
        <f>MRS!H28</f>
        <v>10</v>
      </c>
      <c r="F28" s="85">
        <f>MRS!I28</f>
        <v>7</v>
      </c>
      <c r="G28" s="85">
        <f>MRS!J28</f>
        <v>70</v>
      </c>
      <c r="H28" s="89"/>
    </row>
    <row r="29" spans="1:8" s="52" customFormat="1" ht="32.1" customHeight="1">
      <c r="A29" s="82">
        <f t="shared" si="0"/>
        <v>24</v>
      </c>
      <c r="B29" s="170" t="str">
        <f>MRS!B29&amp;" "&amp;MRS!D29</f>
        <v xml:space="preserve">12" Adjustable Wrench (Brand - Dewesser) </v>
      </c>
      <c r="C29" s="171"/>
      <c r="D29" s="83" t="str">
        <f>MRS!G29</f>
        <v>PCS</v>
      </c>
      <c r="E29" s="84">
        <f>MRS!H29</f>
        <v>30</v>
      </c>
      <c r="F29" s="85">
        <f>MRS!I29</f>
        <v>28</v>
      </c>
      <c r="G29" s="85">
        <f>MRS!J29</f>
        <v>840</v>
      </c>
      <c r="H29" s="89"/>
    </row>
    <row r="30" spans="1:8" s="52" customFormat="1" ht="32.1" customHeight="1">
      <c r="A30" s="82">
        <f t="shared" si="0"/>
        <v>25</v>
      </c>
      <c r="B30" s="170" t="str">
        <f>MRS!B30&amp;" "&amp;MRS!D30</f>
        <v xml:space="preserve">Adjustable Wrench Dewesser 10" </v>
      </c>
      <c r="C30" s="171"/>
      <c r="D30" s="83" t="str">
        <f>MRS!G30</f>
        <v>PCS</v>
      </c>
      <c r="E30" s="84">
        <f>MRS!H30</f>
        <v>20</v>
      </c>
      <c r="F30" s="85">
        <f>MRS!I30</f>
        <v>24</v>
      </c>
      <c r="G30" s="85">
        <f>MRS!J30</f>
        <v>480</v>
      </c>
      <c r="H30" s="89"/>
    </row>
    <row r="31" spans="1:8" s="52" customFormat="1" ht="32.1" customHeight="1">
      <c r="A31" s="82">
        <f t="shared" si="0"/>
        <v>26</v>
      </c>
      <c r="B31" s="170" t="str">
        <f>MRS!B31&amp;" "&amp;MRS!D31</f>
        <v xml:space="preserve">Anti Vibration Hand Gloves Brand : Volta   </v>
      </c>
      <c r="C31" s="171"/>
      <c r="D31" s="83" t="str">
        <f>MRS!G31</f>
        <v>PAIR</v>
      </c>
      <c r="E31" s="84">
        <f>MRS!H31</f>
        <v>50</v>
      </c>
      <c r="F31" s="85">
        <f>MRS!I31</f>
        <v>29</v>
      </c>
      <c r="G31" s="85">
        <f>MRS!J31</f>
        <v>1450</v>
      </c>
      <c r="H31" s="89"/>
    </row>
    <row r="32" spans="1:8" s="52" customFormat="1" ht="32.1" customHeight="1">
      <c r="A32" s="82">
        <f t="shared" si="0"/>
        <v>27</v>
      </c>
      <c r="B32" s="170" t="str">
        <f>MRS!B32&amp;" "&amp;MRS!D32</f>
        <v xml:space="preserve">Belt Strap Wrench  4" ( Brand: Clarke)  </v>
      </c>
      <c r="C32" s="171"/>
      <c r="D32" s="83" t="str">
        <f>MRS!G32</f>
        <v>PCS</v>
      </c>
      <c r="E32" s="84">
        <f>MRS!H32</f>
        <v>5</v>
      </c>
      <c r="F32" s="85">
        <f>MRS!I32</f>
        <v>45</v>
      </c>
      <c r="G32" s="85">
        <f>MRS!J32</f>
        <v>225</v>
      </c>
      <c r="H32" s="89"/>
    </row>
    <row r="33" spans="1:8" s="52" customFormat="1" ht="32.1" customHeight="1">
      <c r="A33" s="82">
        <f t="shared" si="0"/>
        <v>28</v>
      </c>
      <c r="B33" s="170" t="str">
        <f>MRS!B33&amp;" "&amp;MRS!D33</f>
        <v xml:space="preserve">Cable Cutter 32Mm  Brand : Giffex  </v>
      </c>
      <c r="C33" s="171"/>
      <c r="D33" s="83" t="str">
        <f>MRS!G33</f>
        <v>PCS</v>
      </c>
      <c r="E33" s="84">
        <f>MRS!H33</f>
        <v>5</v>
      </c>
      <c r="F33" s="85">
        <f>MRS!I33</f>
        <v>28</v>
      </c>
      <c r="G33" s="85">
        <f>MRS!J33</f>
        <v>140</v>
      </c>
      <c r="H33" s="89"/>
    </row>
    <row r="34" spans="1:8" s="52" customFormat="1" ht="32.1" customHeight="1">
      <c r="A34" s="82">
        <f t="shared" si="0"/>
        <v>29</v>
      </c>
      <c r="B34" s="170" t="str">
        <f>MRS!B34&amp;" "&amp;MRS!D34</f>
        <v xml:space="preserve">Chin Wrench 4"  (Brand : Clarke )  </v>
      </c>
      <c r="C34" s="171"/>
      <c r="D34" s="83" t="str">
        <f>MRS!G34</f>
        <v>PCS</v>
      </c>
      <c r="E34" s="84">
        <f>MRS!H34</f>
        <v>5</v>
      </c>
      <c r="F34" s="85">
        <f>MRS!I34</f>
        <v>75</v>
      </c>
      <c r="G34" s="85">
        <f>MRS!J34</f>
        <v>375</v>
      </c>
      <c r="H34" s="89"/>
    </row>
    <row r="35" spans="1:8" s="52" customFormat="1" ht="32.1" customHeight="1">
      <c r="A35" s="82">
        <f t="shared" si="0"/>
        <v>30</v>
      </c>
      <c r="B35" s="170" t="str">
        <f>MRS!B35&amp;" "&amp;MRS!D35</f>
        <v xml:space="preserve">Circular Saw Blade - 9" (Brand : Clarke) </v>
      </c>
      <c r="C35" s="171"/>
      <c r="D35" s="83" t="str">
        <f>MRS!G35</f>
        <v>PCS</v>
      </c>
      <c r="E35" s="84">
        <f>MRS!H35</f>
        <v>5</v>
      </c>
      <c r="F35" s="85">
        <f>MRS!I35</f>
        <v>36</v>
      </c>
      <c r="G35" s="85">
        <f>MRS!J35</f>
        <v>180</v>
      </c>
      <c r="H35" s="89"/>
    </row>
    <row r="36" spans="1:8" s="52" customFormat="1" ht="32.1" customHeight="1">
      <c r="A36" s="82">
        <f t="shared" si="0"/>
        <v>31</v>
      </c>
      <c r="B36" s="170" t="str">
        <f>MRS!B36&amp;" "&amp;MRS!D36</f>
        <v xml:space="preserve">Circular Saw Machine (Brand : Bosch Gks9)  </v>
      </c>
      <c r="C36" s="171"/>
      <c r="D36" s="83" t="str">
        <f>MRS!G36</f>
        <v>PCS</v>
      </c>
      <c r="E36" s="84">
        <f>MRS!H36</f>
        <v>2</v>
      </c>
      <c r="F36" s="85">
        <f>MRS!I36</f>
        <v>765</v>
      </c>
      <c r="G36" s="85">
        <f>MRS!J36</f>
        <v>1530</v>
      </c>
      <c r="H36" s="89"/>
    </row>
    <row r="37" spans="1:8" s="52" customFormat="1" ht="32.1" customHeight="1">
      <c r="A37" s="82">
        <f t="shared" si="0"/>
        <v>32</v>
      </c>
      <c r="B37" s="170" t="str">
        <f>MRS!B37&amp;" "&amp;MRS!D37</f>
        <v xml:space="preserve">Combination Plier 200Mm Roto </v>
      </c>
      <c r="C37" s="171"/>
      <c r="D37" s="83" t="str">
        <f>MRS!G37</f>
        <v>PCS</v>
      </c>
      <c r="E37" s="84">
        <f>MRS!H37</f>
        <v>7</v>
      </c>
      <c r="F37" s="85">
        <f>MRS!I37</f>
        <v>18</v>
      </c>
      <c r="G37" s="85">
        <f>MRS!J37</f>
        <v>126</v>
      </c>
      <c r="H37" s="89"/>
    </row>
    <row r="38" spans="1:8" s="52" customFormat="1" ht="32.1" customHeight="1">
      <c r="A38" s="82">
        <f t="shared" si="0"/>
        <v>33</v>
      </c>
      <c r="B38" s="170" t="str">
        <f>MRS!B38&amp;" "&amp;MRS!D38</f>
        <v xml:space="preserve">Concrete Grinding Disc 4" (Brand : Vermolens)  </v>
      </c>
      <c r="C38" s="171"/>
      <c r="D38" s="83" t="str">
        <f>MRS!G38</f>
        <v>PCS</v>
      </c>
      <c r="E38" s="84">
        <f>MRS!H38</f>
        <v>50</v>
      </c>
      <c r="F38" s="85">
        <f>MRS!I38</f>
        <v>30</v>
      </c>
      <c r="G38" s="85">
        <f>MRS!J38</f>
        <v>1500</v>
      </c>
      <c r="H38" s="89"/>
    </row>
    <row r="39" spans="1:8" s="52" customFormat="1" ht="32.1" customHeight="1">
      <c r="A39" s="82">
        <f t="shared" si="0"/>
        <v>34</v>
      </c>
      <c r="B39" s="170" t="str">
        <f>MRS!B39&amp;" "&amp;MRS!D39</f>
        <v xml:space="preserve">Crimping Tool Lx-50B Giffex </v>
      </c>
      <c r="C39" s="171"/>
      <c r="D39" s="83" t="str">
        <f>MRS!G39</f>
        <v>PCS</v>
      </c>
      <c r="E39" s="84">
        <f>MRS!H39</f>
        <v>5</v>
      </c>
      <c r="F39" s="85">
        <f>MRS!I39</f>
        <v>110</v>
      </c>
      <c r="G39" s="85">
        <f>MRS!J39</f>
        <v>550</v>
      </c>
      <c r="H39" s="89"/>
    </row>
    <row r="40" spans="1:8" s="52" customFormat="1" ht="32.1" customHeight="1">
      <c r="A40" s="82">
        <f t="shared" si="0"/>
        <v>35</v>
      </c>
      <c r="B40" s="170" t="str">
        <f>MRS!B40&amp;" "&amp;MRS!D40</f>
        <v xml:space="preserve">Crimping Tool Lx-120B (Brand:Giffeex)  </v>
      </c>
      <c r="C40" s="171"/>
      <c r="D40" s="83" t="str">
        <f>MRS!G40</f>
        <v>PCS</v>
      </c>
      <c r="E40" s="84">
        <f>MRS!H40</f>
        <v>2</v>
      </c>
      <c r="F40" s="85">
        <f>MRS!I40</f>
        <v>245</v>
      </c>
      <c r="G40" s="85">
        <f>MRS!J40</f>
        <v>490</v>
      </c>
      <c r="H40" s="89"/>
    </row>
    <row r="41" spans="1:8" s="52" customFormat="1" ht="32.1" customHeight="1">
      <c r="A41" s="82">
        <f t="shared" si="0"/>
        <v>36</v>
      </c>
      <c r="B41" s="170" t="str">
        <f>MRS!B41&amp;" "&amp;MRS!D41</f>
        <v xml:space="preserve">Cutting Plier 200Mm (Brand:Kniffex)  </v>
      </c>
      <c r="C41" s="171"/>
      <c r="D41" s="83" t="str">
        <f>MRS!G41</f>
        <v>PCS</v>
      </c>
      <c r="E41" s="84">
        <f>MRS!H41</f>
        <v>5</v>
      </c>
      <c r="F41" s="85">
        <f>MRS!I41</f>
        <v>45</v>
      </c>
      <c r="G41" s="85">
        <f>MRS!J41</f>
        <v>225</v>
      </c>
      <c r="H41" s="89"/>
    </row>
    <row r="42" spans="1:8" s="52" customFormat="1" ht="32.1" customHeight="1">
      <c r="A42" s="82">
        <f t="shared" si="0"/>
        <v>37</v>
      </c>
      <c r="B42" s="170" t="str">
        <f>MRS!B42&amp;" "&amp;MRS!D42</f>
        <v xml:space="preserve">Cutting Scissor - 5" </v>
      </c>
      <c r="C42" s="171"/>
      <c r="D42" s="83" t="str">
        <f>MRS!G42</f>
        <v>PCS</v>
      </c>
      <c r="E42" s="84">
        <f>MRS!H42</f>
        <v>2</v>
      </c>
      <c r="F42" s="85">
        <f>MRS!I42</f>
        <v>15</v>
      </c>
      <c r="G42" s="85">
        <f>MRS!J42</f>
        <v>30</v>
      </c>
      <c r="H42" s="89"/>
    </row>
    <row r="43" spans="1:8" s="52" customFormat="1" ht="32.1" customHeight="1">
      <c r="A43" s="82">
        <f t="shared" si="0"/>
        <v>38</v>
      </c>
      <c r="B43" s="170" t="str">
        <f>MRS!B43&amp;" "&amp;MRS!D43</f>
        <v xml:space="preserve">Mini Side Cutter 4" Gx-031 </v>
      </c>
      <c r="C43" s="171"/>
      <c r="D43" s="83" t="str">
        <f>MRS!G43</f>
        <v>PCS</v>
      </c>
      <c r="E43" s="84">
        <f>MRS!H43</f>
        <v>5</v>
      </c>
      <c r="F43" s="85">
        <f>MRS!I43</f>
        <v>17</v>
      </c>
      <c r="G43" s="85">
        <f>MRS!J43</f>
        <v>85</v>
      </c>
      <c r="H43" s="89"/>
    </row>
    <row r="44" spans="1:8" s="52" customFormat="1" ht="32.1" customHeight="1">
      <c r="A44" s="82">
        <f t="shared" si="0"/>
        <v>39</v>
      </c>
      <c r="B44" s="170" t="str">
        <f>MRS!B44&amp;" "&amp;MRS!D44</f>
        <v xml:space="preserve">Door Closer ( Brand : Yale ) </v>
      </c>
      <c r="C44" s="171"/>
      <c r="D44" s="83" t="str">
        <f>MRS!G44</f>
        <v>PCS</v>
      </c>
      <c r="E44" s="84">
        <f>MRS!H44</f>
        <v>2</v>
      </c>
      <c r="F44" s="85">
        <f>MRS!I44</f>
        <v>115</v>
      </c>
      <c r="G44" s="85">
        <f>MRS!J44</f>
        <v>230</v>
      </c>
      <c r="H44" s="89"/>
    </row>
    <row r="45" spans="1:8" s="52" customFormat="1" ht="32.1" customHeight="1">
      <c r="A45" s="82">
        <f t="shared" si="0"/>
        <v>40</v>
      </c>
      <c r="B45" s="170" t="str">
        <f>MRS!B45&amp;" "&amp;MRS!D45</f>
        <v xml:space="preserve">Helmet-Mounted Ear Muff 3M </v>
      </c>
      <c r="C45" s="171"/>
      <c r="D45" s="83" t="str">
        <f>MRS!G45</f>
        <v>PCS</v>
      </c>
      <c r="E45" s="84">
        <f>MRS!H45</f>
        <v>50</v>
      </c>
      <c r="F45" s="85">
        <f>MRS!I45</f>
        <v>75</v>
      </c>
      <c r="G45" s="85">
        <f>MRS!J45</f>
        <v>3750</v>
      </c>
      <c r="H45" s="89"/>
    </row>
    <row r="46" spans="1:8" s="52" customFormat="1" ht="32.1" customHeight="1">
      <c r="A46" s="82">
        <f t="shared" si="0"/>
        <v>41</v>
      </c>
      <c r="B46" s="170" t="str">
        <f>MRS!B46&amp;" "&amp;MRS!D46</f>
        <v xml:space="preserve">Measurement Tape Steel Type - 30Mtr (Brand : Clarke) </v>
      </c>
      <c r="C46" s="171"/>
      <c r="D46" s="83" t="str">
        <f>MRS!G46</f>
        <v>PCS</v>
      </c>
      <c r="E46" s="84">
        <f>MRS!H46</f>
        <v>5</v>
      </c>
      <c r="F46" s="85">
        <f>MRS!I46</f>
        <v>42</v>
      </c>
      <c r="G46" s="85">
        <f>MRS!J46</f>
        <v>210</v>
      </c>
      <c r="H46" s="89"/>
    </row>
    <row r="47" spans="1:8" s="52" customFormat="1" ht="32.1" customHeight="1">
      <c r="A47" s="82">
        <f t="shared" si="0"/>
        <v>42</v>
      </c>
      <c r="B47" s="170" t="str">
        <f>MRS!B47&amp;" "&amp;MRS!D47</f>
        <v xml:space="preserve">Measurement Tape Steel Type - 50Mtr (Brand : Clarke) </v>
      </c>
      <c r="C47" s="171"/>
      <c r="D47" s="83" t="str">
        <f>MRS!G47</f>
        <v>PCS</v>
      </c>
      <c r="E47" s="84">
        <f>MRS!H47</f>
        <v>5</v>
      </c>
      <c r="F47" s="85">
        <f>MRS!I47</f>
        <v>62</v>
      </c>
      <c r="G47" s="85">
        <f>MRS!J47</f>
        <v>310</v>
      </c>
      <c r="H47" s="89"/>
    </row>
    <row r="48" spans="1:8" s="52" customFormat="1" ht="32.1" customHeight="1">
      <c r="A48" s="82">
        <f t="shared" si="0"/>
        <v>43</v>
      </c>
      <c r="B48" s="170" t="str">
        <f>MRS!B48&amp;" "&amp;MRS!D48</f>
        <v xml:space="preserve">Measurement Tape Steel Type - 100Mtr (Brand : Clarke) </v>
      </c>
      <c r="C48" s="171"/>
      <c r="D48" s="83" t="str">
        <f>MRS!G48</f>
        <v>PCS</v>
      </c>
      <c r="E48" s="84">
        <f>MRS!H48</f>
        <v>8</v>
      </c>
      <c r="F48" s="85">
        <f>MRS!I48</f>
        <v>110</v>
      </c>
      <c r="G48" s="85">
        <f>MRS!J48</f>
        <v>880</v>
      </c>
      <c r="H48" s="89"/>
    </row>
    <row r="49" spans="1:8" s="52" customFormat="1" ht="32.1" customHeight="1">
      <c r="A49" s="82">
        <f t="shared" si="0"/>
        <v>44</v>
      </c>
      <c r="B49" s="170" t="str">
        <f>MRS!B49&amp;" "&amp;MRS!D49</f>
        <v xml:space="preserve">Mesuring Steel Tape 20Mtr (Brand: Clarke)  </v>
      </c>
      <c r="C49" s="171"/>
      <c r="D49" s="83" t="str">
        <f>MRS!G49</f>
        <v>PCS</v>
      </c>
      <c r="E49" s="84">
        <f>MRS!H49</f>
        <v>3</v>
      </c>
      <c r="F49" s="85">
        <f>MRS!I49</f>
        <v>30</v>
      </c>
      <c r="G49" s="85">
        <f>MRS!J49</f>
        <v>90</v>
      </c>
      <c r="H49" s="89"/>
    </row>
    <row r="50" spans="1:8" s="52" customFormat="1" ht="32.1" customHeight="1">
      <c r="A50" s="82">
        <f t="shared" si="0"/>
        <v>45</v>
      </c>
      <c r="B50" s="170" t="str">
        <f>MRS!B50&amp;" "&amp;MRS!D50</f>
        <v xml:space="preserve">Mega Phone Speaker </v>
      </c>
      <c r="C50" s="171"/>
      <c r="D50" s="83" t="str">
        <f>MRS!G50</f>
        <v>PCS</v>
      </c>
      <c r="E50" s="84">
        <f>MRS!H50</f>
        <v>5</v>
      </c>
      <c r="F50" s="85">
        <f>MRS!I50</f>
        <v>95</v>
      </c>
      <c r="G50" s="85">
        <f>MRS!J50</f>
        <v>475</v>
      </c>
      <c r="H50" s="89"/>
    </row>
    <row r="51" spans="1:8" s="52" customFormat="1" ht="32.1" customHeight="1">
      <c r="A51" s="82">
        <f t="shared" si="0"/>
        <v>46</v>
      </c>
      <c r="B51" s="170" t="str">
        <f>MRS!B51&amp;" "&amp;MRS!D51</f>
        <v xml:space="preserve">Mega Phone Speaker Battery 1.5V Lr14 </v>
      </c>
      <c r="C51" s="171"/>
      <c r="D51" s="83" t="str">
        <f>MRS!G51</f>
        <v>PCS</v>
      </c>
      <c r="E51" s="84">
        <f>MRS!H51</f>
        <v>50</v>
      </c>
      <c r="F51" s="85">
        <f>MRS!I51</f>
        <v>3.5</v>
      </c>
      <c r="G51" s="85">
        <f>MRS!J51</f>
        <v>175</v>
      </c>
      <c r="H51" s="89"/>
    </row>
    <row r="52" spans="1:8" s="52" customFormat="1" ht="32.1" customHeight="1">
      <c r="A52" s="82">
        <f t="shared" si="0"/>
        <v>47</v>
      </c>
      <c r="B52" s="170" t="str">
        <f>MRS!B52&amp;" "&amp;MRS!D52</f>
        <v xml:space="preserve">Long Nose Plier 6" Cr-V </v>
      </c>
      <c r="C52" s="171"/>
      <c r="D52" s="83" t="str">
        <f>MRS!G52</f>
        <v>PCS</v>
      </c>
      <c r="E52" s="84">
        <f>MRS!H52</f>
        <v>5</v>
      </c>
      <c r="F52" s="85">
        <f>MRS!I52</f>
        <v>16</v>
      </c>
      <c r="G52" s="85">
        <f>MRS!J52</f>
        <v>80</v>
      </c>
      <c r="H52" s="89"/>
    </row>
    <row r="53" spans="1:8" s="52" customFormat="1" ht="32.1" customHeight="1">
      <c r="A53" s="82">
        <f t="shared" si="0"/>
        <v>48</v>
      </c>
      <c r="B53" s="170" t="str">
        <f>MRS!B53&amp;" "&amp;MRS!D53</f>
        <v xml:space="preserve">Respirator Mask 6002 3M Brand  </v>
      </c>
      <c r="C53" s="171"/>
      <c r="D53" s="83" t="str">
        <f>MRS!G53</f>
        <v>PCS</v>
      </c>
      <c r="E53" s="84">
        <f>MRS!H53</f>
        <v>100</v>
      </c>
      <c r="F53" s="85">
        <f>MRS!I53</f>
        <v>48</v>
      </c>
      <c r="G53" s="85">
        <f>MRS!J53</f>
        <v>4800</v>
      </c>
      <c r="H53" s="89"/>
    </row>
    <row r="54" spans="1:8" s="52" customFormat="1" ht="32.1" customHeight="1">
      <c r="A54" s="82">
        <f t="shared" si="0"/>
        <v>49</v>
      </c>
      <c r="B54" s="170" t="str">
        <f>MRS!B54&amp;" "&amp;MRS!D54</f>
        <v xml:space="preserve">Respirator Mask Filter 2091 </v>
      </c>
      <c r="C54" s="171"/>
      <c r="D54" s="83" t="str">
        <f>MRS!G54</f>
        <v>PCS</v>
      </c>
      <c r="E54" s="84">
        <f>MRS!H54</f>
        <v>100</v>
      </c>
      <c r="F54" s="85">
        <f>MRS!I54</f>
        <v>26</v>
      </c>
      <c r="G54" s="85">
        <f>MRS!J54</f>
        <v>2600</v>
      </c>
      <c r="H54" s="89"/>
    </row>
    <row r="55" spans="1:8" s="52" customFormat="1" ht="32.1" customHeight="1">
      <c r="A55" s="82">
        <f t="shared" si="0"/>
        <v>50</v>
      </c>
      <c r="B55" s="170" t="str">
        <f>MRS!B55&amp;" "&amp;MRS!D55</f>
        <v xml:space="preserve">Rivet - Nail Size:4.8 X 18Mm  (500Pcs/Box)  </v>
      </c>
      <c r="C55" s="171"/>
      <c r="D55" s="83" t="str">
        <f>MRS!G55</f>
        <v>BOX</v>
      </c>
      <c r="E55" s="84">
        <f>MRS!H55</f>
        <v>1</v>
      </c>
      <c r="F55" s="85">
        <f>MRS!I55</f>
        <v>28</v>
      </c>
      <c r="G55" s="85">
        <f>MRS!J55</f>
        <v>28</v>
      </c>
      <c r="H55" s="89"/>
    </row>
    <row r="56" spans="1:8" s="52" customFormat="1" ht="32.1" customHeight="1">
      <c r="A56" s="82">
        <f t="shared" si="0"/>
        <v>51</v>
      </c>
      <c r="B56" s="170" t="str">
        <f>MRS!B56&amp;" "&amp;MRS!D56</f>
        <v xml:space="preserve">Hand Riveter Gun Rivet   </v>
      </c>
      <c r="C56" s="171"/>
      <c r="D56" s="83" t="str">
        <f>MRS!G56</f>
        <v>PCS</v>
      </c>
      <c r="E56" s="84">
        <f>MRS!H56</f>
        <v>2</v>
      </c>
      <c r="F56" s="85">
        <f>MRS!I56</f>
        <v>32</v>
      </c>
      <c r="G56" s="85">
        <f>MRS!J56</f>
        <v>64</v>
      </c>
      <c r="H56" s="89"/>
    </row>
    <row r="57" spans="1:8" s="52" customFormat="1" ht="32.1" customHeight="1">
      <c r="A57" s="82">
        <f t="shared" si="0"/>
        <v>52</v>
      </c>
      <c r="B57" s="170" t="str">
        <f>MRS!B57&amp;" "&amp;MRS!D57</f>
        <v xml:space="preserve">Mesurement Tape 7.5Mtr Roto Brand </v>
      </c>
      <c r="C57" s="171"/>
      <c r="D57" s="83" t="str">
        <f>MRS!G57</f>
        <v>PCS</v>
      </c>
      <c r="E57" s="84">
        <f>MRS!H57</f>
        <v>30</v>
      </c>
      <c r="F57" s="85">
        <f>MRS!I57</f>
        <v>15</v>
      </c>
      <c r="G57" s="85">
        <f>MRS!J57</f>
        <v>450</v>
      </c>
      <c r="H57" s="89"/>
    </row>
    <row r="58" spans="1:8" s="52" customFormat="1" ht="32.1" customHeight="1">
      <c r="A58" s="82">
        <f t="shared" si="0"/>
        <v>53</v>
      </c>
      <c r="B58" s="170" t="str">
        <f>MRS!B58&amp;" "&amp;MRS!D58</f>
        <v xml:space="preserve">1/2" Torch Wrench 20-220Nm Roto-Taiwan </v>
      </c>
      <c r="C58" s="171"/>
      <c r="D58" s="83" t="str">
        <f>MRS!G58</f>
        <v>PCS</v>
      </c>
      <c r="E58" s="84">
        <f>MRS!H58</f>
        <v>5</v>
      </c>
      <c r="F58" s="85">
        <f>MRS!I58</f>
        <v>285</v>
      </c>
      <c r="G58" s="85">
        <f>MRS!J58</f>
        <v>1425</v>
      </c>
      <c r="H58" s="89"/>
    </row>
    <row r="59" spans="1:8" s="52" customFormat="1" ht="32.1" customHeight="1">
      <c r="A59" s="82">
        <f t="shared" si="0"/>
        <v>54</v>
      </c>
      <c r="B59" s="170" t="str">
        <f>MRS!B59&amp;" "&amp;MRS!D59</f>
        <v xml:space="preserve">Torque Wrebch 1/2" 50-350Nm Brand:Tower  </v>
      </c>
      <c r="C59" s="171"/>
      <c r="D59" s="83" t="str">
        <f>MRS!G59</f>
        <v>PCS</v>
      </c>
      <c r="E59" s="84">
        <f>MRS!H59</f>
        <v>22</v>
      </c>
      <c r="F59" s="85">
        <f>MRS!I59</f>
        <v>368</v>
      </c>
      <c r="G59" s="85">
        <f>MRS!J59</f>
        <v>8096</v>
      </c>
      <c r="H59" s="89"/>
    </row>
    <row r="60" spans="1:8" s="52" customFormat="1" ht="32.1" customHeight="1">
      <c r="A60" s="82">
        <f t="shared" si="0"/>
        <v>55</v>
      </c>
      <c r="B60" s="170" t="str">
        <f>MRS!B60&amp;" "&amp;MRS!D60</f>
        <v xml:space="preserve">Torque Wrench 1" 200-1000Nm Brand : Tower   </v>
      </c>
      <c r="C60" s="171"/>
      <c r="D60" s="83" t="str">
        <f>MRS!G60</f>
        <v>PCS</v>
      </c>
      <c r="E60" s="84">
        <f>MRS!H60</f>
        <v>2</v>
      </c>
      <c r="F60" s="85">
        <f>MRS!I60</f>
        <v>2350</v>
      </c>
      <c r="G60" s="85">
        <f>MRS!J60</f>
        <v>4700</v>
      </c>
      <c r="H60" s="89"/>
    </row>
    <row r="61" spans="1:8" s="52" customFormat="1" ht="32.1" customHeight="1">
      <c r="A61" s="82">
        <f t="shared" si="0"/>
        <v>56</v>
      </c>
      <c r="B61" s="170" t="str">
        <f>MRS!B61&amp;" "&amp;MRS!D61</f>
        <v xml:space="preserve">Purge Paper </v>
      </c>
      <c r="C61" s="171"/>
      <c r="D61" s="83" t="str">
        <f>MRS!G61</f>
        <v>ROLL</v>
      </c>
      <c r="E61" s="84">
        <f>MRS!H61</f>
        <v>10</v>
      </c>
      <c r="F61" s="85">
        <f>MRS!I61</f>
        <v>765</v>
      </c>
      <c r="G61" s="85">
        <f>MRS!J61</f>
        <v>7650</v>
      </c>
      <c r="H61" s="89"/>
    </row>
    <row r="62" spans="1:8" s="52" customFormat="1" ht="32.1" customHeight="1">
      <c r="A62" s="82">
        <f t="shared" si="0"/>
        <v>57</v>
      </c>
      <c r="B62" s="170" t="str">
        <f>MRS!B62&amp;" "&amp;MRS!D62</f>
        <v xml:space="preserve">Purge Tape  </v>
      </c>
      <c r="C62" s="171"/>
      <c r="D62" s="83" t="str">
        <f>MRS!G62</f>
        <v>ROLL</v>
      </c>
      <c r="E62" s="84">
        <f>MRS!H62</f>
        <v>10</v>
      </c>
      <c r="F62" s="85">
        <f>MRS!I62</f>
        <v>520</v>
      </c>
      <c r="G62" s="85">
        <f>MRS!J62</f>
        <v>5200</v>
      </c>
      <c r="H62" s="89"/>
    </row>
    <row r="63" spans="1:8" s="52" customFormat="1" ht="32.1" customHeight="1">
      <c r="A63" s="82">
        <f t="shared" si="0"/>
        <v>58</v>
      </c>
      <c r="B63" s="170" t="str">
        <f>MRS!B63&amp;" "&amp;MRS!D63</f>
        <v xml:space="preserve">Scaffloding Ratchet Spanner 36X41 Brand:Perfect  </v>
      </c>
      <c r="C63" s="171"/>
      <c r="D63" s="83" t="str">
        <f>MRS!G63</f>
        <v>PCS</v>
      </c>
      <c r="E63" s="84">
        <f>MRS!H63</f>
        <v>10</v>
      </c>
      <c r="F63" s="85">
        <f>MRS!I63</f>
        <v>125</v>
      </c>
      <c r="G63" s="85">
        <f>MRS!J63</f>
        <v>1250</v>
      </c>
      <c r="H63" s="89"/>
    </row>
    <row r="64" spans="1:8" s="52" customFormat="1" ht="32.1" customHeight="1">
      <c r="A64" s="82">
        <f t="shared" si="0"/>
        <v>59</v>
      </c>
      <c r="B64" s="170" t="str">
        <f>MRS!B64&amp;" "&amp;MRS!D64</f>
        <v xml:space="preserve">Scaffolding Ratchet Spanner 34X36 Brand: Perfect  </v>
      </c>
      <c r="C64" s="171"/>
      <c r="D64" s="83" t="str">
        <f>MRS!G64</f>
        <v>PCS</v>
      </c>
      <c r="E64" s="84">
        <f>MRS!H64</f>
        <v>8</v>
      </c>
      <c r="F64" s="85">
        <f>MRS!I64</f>
        <v>110</v>
      </c>
      <c r="G64" s="85">
        <f>MRS!J64</f>
        <v>880</v>
      </c>
      <c r="H64" s="89"/>
    </row>
    <row r="65" spans="1:8" s="52" customFormat="1" ht="32.1" customHeight="1">
      <c r="A65" s="82">
        <f t="shared" si="0"/>
        <v>60</v>
      </c>
      <c r="B65" s="170" t="str">
        <f>MRS!B65&amp;" "&amp;MRS!D65</f>
        <v xml:space="preserve">Scaffolding Ratchet Spanner 22X 24 Brand: Perfect  </v>
      </c>
      <c r="C65" s="171"/>
      <c r="D65" s="83" t="str">
        <f>MRS!G65</f>
        <v>PCS</v>
      </c>
      <c r="E65" s="84">
        <f>MRS!H65</f>
        <v>5</v>
      </c>
      <c r="F65" s="85">
        <f>MRS!I65</f>
        <v>37</v>
      </c>
      <c r="G65" s="85">
        <f>MRS!J65</f>
        <v>185</v>
      </c>
      <c r="H65" s="89"/>
    </row>
    <row r="66" spans="1:8" s="52" customFormat="1" ht="32.1" customHeight="1">
      <c r="A66" s="82">
        <f t="shared" si="0"/>
        <v>61</v>
      </c>
      <c r="B66" s="170" t="str">
        <f>MRS!B66&amp;" "&amp;MRS!D66</f>
        <v xml:space="preserve">Scaffolding Ratchet Spanner 24X27 Brand: Perfect  </v>
      </c>
      <c r="C66" s="171"/>
      <c r="D66" s="83" t="str">
        <f>MRS!G66</f>
        <v>PCS</v>
      </c>
      <c r="E66" s="84">
        <f>MRS!H66</f>
        <v>5</v>
      </c>
      <c r="F66" s="85">
        <f>MRS!I66</f>
        <v>43</v>
      </c>
      <c r="G66" s="85">
        <f>MRS!J66</f>
        <v>215</v>
      </c>
      <c r="H66" s="89"/>
    </row>
    <row r="67" spans="1:8" s="52" customFormat="1" ht="32.1" customHeight="1">
      <c r="A67" s="82">
        <f t="shared" si="0"/>
        <v>62</v>
      </c>
      <c r="B67" s="170" t="str">
        <f>MRS!B67&amp;" "&amp;MRS!D67</f>
        <v xml:space="preserve">Scaffolding Ratchet Spanner 32X36 Brand : Perfect  </v>
      </c>
      <c r="C67" s="171"/>
      <c r="D67" s="83" t="str">
        <f>MRS!G67</f>
        <v>PCS</v>
      </c>
      <c r="E67" s="84">
        <f>MRS!H67</f>
        <v>5</v>
      </c>
      <c r="F67" s="85">
        <f>MRS!I67</f>
        <v>98</v>
      </c>
      <c r="G67" s="85">
        <f>MRS!J67</f>
        <v>490</v>
      </c>
      <c r="H67" s="89"/>
    </row>
    <row r="68" spans="1:8" s="52" customFormat="1" ht="32.1" customHeight="1">
      <c r="A68" s="82">
        <f t="shared" si="0"/>
        <v>63</v>
      </c>
      <c r="B68" s="170" t="str">
        <f>MRS!B68&amp;" "&amp;MRS!D68</f>
        <v xml:space="preserve">Scaffolding Ratchet Spanner 32X34 Brand:Perfect  </v>
      </c>
      <c r="C68" s="171"/>
      <c r="D68" s="83" t="str">
        <f>MRS!G68</f>
        <v>PCS</v>
      </c>
      <c r="E68" s="84">
        <f>MRS!H68</f>
        <v>5</v>
      </c>
      <c r="F68" s="85">
        <f>MRS!I68</f>
        <v>98</v>
      </c>
      <c r="G68" s="85">
        <f>MRS!J68</f>
        <v>490</v>
      </c>
      <c r="H68" s="89"/>
    </row>
    <row r="69" spans="1:8" s="52" customFormat="1" ht="32.1" customHeight="1">
      <c r="A69" s="82">
        <f t="shared" si="0"/>
        <v>64</v>
      </c>
      <c r="B69" s="170" t="str">
        <f>MRS!B69&amp;" "&amp;MRS!D69</f>
        <v xml:space="preserve">Scaffolding Ratchet Spanner Size : 19 X 21Mm Brand :Clarke  </v>
      </c>
      <c r="C69" s="171"/>
      <c r="D69" s="83" t="str">
        <f>MRS!G69</f>
        <v>PCS</v>
      </c>
      <c r="E69" s="84">
        <f>MRS!H69</f>
        <v>94</v>
      </c>
      <c r="F69" s="85">
        <f>MRS!I69</f>
        <v>28</v>
      </c>
      <c r="G69" s="85">
        <f>MRS!J69</f>
        <v>2632</v>
      </c>
      <c r="H69" s="89"/>
    </row>
    <row r="70" spans="1:8" s="52" customFormat="1" ht="32.1" customHeight="1">
      <c r="A70" s="82">
        <f t="shared" ref="A70:A133" si="1">ROW(A65)</f>
        <v>65</v>
      </c>
      <c r="B70" s="170" t="str">
        <f>MRS!B70&amp;" "&amp;MRS!D70</f>
        <v xml:space="preserve">Respirator Mask With Filter 6002  </v>
      </c>
      <c r="C70" s="171"/>
      <c r="D70" s="83" t="str">
        <f>MRS!G70</f>
        <v>PCS</v>
      </c>
      <c r="E70" s="84">
        <f>MRS!H70</f>
        <v>100</v>
      </c>
      <c r="F70" s="85">
        <f>MRS!I70</f>
        <v>72</v>
      </c>
      <c r="G70" s="85">
        <f>MRS!J70</f>
        <v>7200</v>
      </c>
      <c r="H70" s="89"/>
    </row>
    <row r="71" spans="1:8" s="52" customFormat="1" ht="32.1" customHeight="1">
      <c r="A71" s="82">
        <f t="shared" si="1"/>
        <v>66</v>
      </c>
      <c r="B71" s="170" t="str">
        <f>MRS!B71&amp;" "&amp;MRS!D71</f>
        <v xml:space="preserve">C-Clamp - 4" ( Brand : Clarke ) </v>
      </c>
      <c r="C71" s="171"/>
      <c r="D71" s="83" t="str">
        <f>MRS!G71</f>
        <v>PCS</v>
      </c>
      <c r="E71" s="84">
        <f>MRS!H71</f>
        <v>4</v>
      </c>
      <c r="F71" s="85">
        <f>MRS!I71</f>
        <v>19</v>
      </c>
      <c r="G71" s="85">
        <f>MRS!J71</f>
        <v>76</v>
      </c>
      <c r="H71" s="89"/>
    </row>
    <row r="72" spans="1:8" s="52" customFormat="1" ht="32.1" customHeight="1">
      <c r="A72" s="82">
        <f t="shared" si="1"/>
        <v>67</v>
      </c>
      <c r="B72" s="170" t="str">
        <f>MRS!B72&amp;" "&amp;MRS!D72</f>
        <v xml:space="preserve">Walkie - Talkie Thuv800D  </v>
      </c>
      <c r="C72" s="171"/>
      <c r="D72" s="83" t="str">
        <f>MRS!G72</f>
        <v>PCS</v>
      </c>
      <c r="E72" s="84">
        <f>MRS!H72</f>
        <v>6</v>
      </c>
      <c r="F72" s="85">
        <f>MRS!I72</f>
        <v>380</v>
      </c>
      <c r="G72" s="85">
        <f>MRS!J72</f>
        <v>2280</v>
      </c>
      <c r="H72" s="89"/>
    </row>
    <row r="73" spans="1:8" s="52" customFormat="1" ht="32.1" customHeight="1">
      <c r="A73" s="82">
        <f t="shared" si="1"/>
        <v>68</v>
      </c>
      <c r="B73" s="170" t="str">
        <f>MRS!B73&amp;" "&amp;MRS!D73</f>
        <v xml:space="preserve">Impact Drill Machine 1/2" 18V Xr </v>
      </c>
      <c r="C73" s="171"/>
      <c r="D73" s="83" t="str">
        <f>MRS!G73</f>
        <v>PCS</v>
      </c>
      <c r="E73" s="84">
        <f>MRS!H73</f>
        <v>6</v>
      </c>
      <c r="F73" s="85">
        <f>MRS!I73</f>
        <v>2350</v>
      </c>
      <c r="G73" s="85">
        <f>MRS!J73</f>
        <v>14100</v>
      </c>
      <c r="H73" s="89"/>
    </row>
    <row r="74" spans="1:8" s="52" customFormat="1" ht="32.1" customHeight="1">
      <c r="A74" s="82">
        <f t="shared" si="1"/>
        <v>69</v>
      </c>
      <c r="B74" s="170" t="str">
        <f>MRS!B74&amp;" "&amp;MRS!D74</f>
        <v xml:space="preserve">Impact Drill Machine 1/4" 18V Xr </v>
      </c>
      <c r="C74" s="171"/>
      <c r="D74" s="83" t="str">
        <f>MRS!G74</f>
        <v>PCS</v>
      </c>
      <c r="E74" s="84">
        <f>MRS!H74</f>
        <v>6</v>
      </c>
      <c r="F74" s="85">
        <f>MRS!I74</f>
        <v>1775</v>
      </c>
      <c r="G74" s="85">
        <f>MRS!J74</f>
        <v>10650</v>
      </c>
      <c r="H74" s="89"/>
    </row>
    <row r="75" spans="1:8" s="52" customFormat="1" ht="32.1" customHeight="1">
      <c r="A75" s="82">
        <f t="shared" si="1"/>
        <v>70</v>
      </c>
      <c r="B75" s="170" t="str">
        <f>MRS!B75&amp;" "&amp;MRS!D75</f>
        <v xml:space="preserve">Alignment Pry Bar 18" </v>
      </c>
      <c r="C75" s="171"/>
      <c r="D75" s="83" t="str">
        <f>MRS!G75</f>
        <v>PCS</v>
      </c>
      <c r="E75" s="84">
        <f>MRS!H75</f>
        <v>5</v>
      </c>
      <c r="F75" s="85">
        <f>MRS!I75</f>
        <v>45</v>
      </c>
      <c r="G75" s="85">
        <f>MRS!J75</f>
        <v>225</v>
      </c>
      <c r="H75" s="89"/>
    </row>
    <row r="76" spans="1:8" s="52" customFormat="1" ht="32.1" customHeight="1">
      <c r="A76" s="82">
        <f t="shared" si="1"/>
        <v>71</v>
      </c>
      <c r="B76" s="170" t="str">
        <f>MRS!B76&amp;" "&amp;MRS!D76</f>
        <v xml:space="preserve">Concrete Cutting Disc 4" Brand: Clarke </v>
      </c>
      <c r="C76" s="171"/>
      <c r="D76" s="83" t="str">
        <f>MRS!G76</f>
        <v>PCS</v>
      </c>
      <c r="E76" s="84">
        <f>MRS!H76</f>
        <v>50</v>
      </c>
      <c r="F76" s="85">
        <f>MRS!I76</f>
        <v>11</v>
      </c>
      <c r="G76" s="85">
        <f>MRS!J76</f>
        <v>550</v>
      </c>
      <c r="H76" s="89"/>
    </row>
    <row r="77" spans="1:8" s="52" customFormat="1" ht="32.1" customHeight="1">
      <c r="A77" s="82">
        <f t="shared" si="1"/>
        <v>72</v>
      </c>
      <c r="B77" s="170" t="str">
        <f>MRS!B77&amp;" "&amp;MRS!D77</f>
        <v xml:space="preserve">Concrete Nail1.5" (20Kg / Box) </v>
      </c>
      <c r="C77" s="171"/>
      <c r="D77" s="83" t="str">
        <f>MRS!G77</f>
        <v>BOX</v>
      </c>
      <c r="E77" s="84">
        <f>MRS!H77</f>
        <v>1</v>
      </c>
      <c r="F77" s="85">
        <f>MRS!I77</f>
        <v>145</v>
      </c>
      <c r="G77" s="85">
        <f>MRS!J77</f>
        <v>145</v>
      </c>
      <c r="H77" s="89"/>
    </row>
    <row r="78" spans="1:8" s="52" customFormat="1" ht="32.1" customHeight="1">
      <c r="A78" s="82">
        <f t="shared" si="1"/>
        <v>73</v>
      </c>
      <c r="B78" s="170" t="str">
        <f>MRS!B78&amp;" "&amp;MRS!D78</f>
        <v xml:space="preserve">Nail Concrete 2"(15Kg/Box) </v>
      </c>
      <c r="C78" s="171"/>
      <c r="D78" s="83" t="str">
        <f>MRS!G78</f>
        <v>BOX</v>
      </c>
      <c r="E78" s="84">
        <f>MRS!H78</f>
        <v>1</v>
      </c>
      <c r="F78" s="85">
        <f>MRS!I78</f>
        <v>145</v>
      </c>
      <c r="G78" s="85">
        <f>MRS!J78</f>
        <v>145</v>
      </c>
      <c r="H78" s="89"/>
    </row>
    <row r="79" spans="1:8" s="52" customFormat="1" ht="32.1" customHeight="1">
      <c r="A79" s="82">
        <f t="shared" si="1"/>
        <v>74</v>
      </c>
      <c r="B79" s="170" t="str">
        <f>MRS!B79&amp;" "&amp;MRS!D79</f>
        <v xml:space="preserve">Cable Tie - 4.8 X 300Mm ( 100Ea/Pkt _ Made In Taiwan) </v>
      </c>
      <c r="C79" s="171"/>
      <c r="D79" s="83" t="str">
        <f>MRS!G79</f>
        <v>PKT</v>
      </c>
      <c r="E79" s="84">
        <f>MRS!H79</f>
        <v>150</v>
      </c>
      <c r="F79" s="85">
        <f>MRS!I79</f>
        <v>13</v>
      </c>
      <c r="G79" s="85">
        <f>MRS!J79</f>
        <v>1950</v>
      </c>
      <c r="H79" s="89"/>
    </row>
    <row r="80" spans="1:8" s="52" customFormat="1" ht="32.1" customHeight="1">
      <c r="A80" s="82">
        <f t="shared" si="1"/>
        <v>75</v>
      </c>
      <c r="B80" s="170" t="str">
        <f>MRS!B80&amp;" "&amp;MRS!D80</f>
        <v xml:space="preserve">Portable Eye Wash Box8 Gallon </v>
      </c>
      <c r="C80" s="171"/>
      <c r="D80" s="83" t="str">
        <f>MRS!G80</f>
        <v>BOX</v>
      </c>
      <c r="E80" s="84">
        <f>MRS!H80</f>
        <v>10</v>
      </c>
      <c r="F80" s="85">
        <f>MRS!I80</f>
        <v>245</v>
      </c>
      <c r="G80" s="85">
        <f>MRS!J80</f>
        <v>2450</v>
      </c>
      <c r="H80" s="89"/>
    </row>
    <row r="81" spans="1:8" s="52" customFormat="1" ht="32.1" customHeight="1">
      <c r="A81" s="82">
        <f t="shared" si="1"/>
        <v>76</v>
      </c>
      <c r="B81" s="170" t="str">
        <f>MRS!B81&amp;" "&amp;MRS!D81</f>
        <v xml:space="preserve">Hacksaw Frame12" </v>
      </c>
      <c r="C81" s="171"/>
      <c r="D81" s="83" t="str">
        <f>MRS!G81</f>
        <v>PCS</v>
      </c>
      <c r="E81" s="84">
        <f>MRS!H81</f>
        <v>45</v>
      </c>
      <c r="F81" s="85">
        <f>MRS!I81</f>
        <v>12</v>
      </c>
      <c r="G81" s="85">
        <f>MRS!J81</f>
        <v>540</v>
      </c>
      <c r="H81" s="89"/>
    </row>
    <row r="82" spans="1:8" s="52" customFormat="1" ht="32.1" customHeight="1">
      <c r="A82" s="82">
        <f t="shared" si="1"/>
        <v>77</v>
      </c>
      <c r="B82" s="170" t="str">
        <f>MRS!B82&amp;" "&amp;MRS!D82</f>
        <v xml:space="preserve">Cs Hacksaw Blade 12" Brand:Clarke </v>
      </c>
      <c r="C82" s="171"/>
      <c r="D82" s="83" t="str">
        <f>MRS!G82</f>
        <v>PCS</v>
      </c>
      <c r="E82" s="84">
        <f>MRS!H82</f>
        <v>50</v>
      </c>
      <c r="F82" s="85">
        <f>MRS!I82</f>
        <v>1.5</v>
      </c>
      <c r="G82" s="85">
        <f>MRS!J82</f>
        <v>75</v>
      </c>
      <c r="H82" s="89"/>
    </row>
    <row r="83" spans="1:8" s="52" customFormat="1" ht="32.1" customHeight="1">
      <c r="A83" s="82">
        <f t="shared" si="1"/>
        <v>78</v>
      </c>
      <c r="B83" s="170" t="str">
        <f>MRS!B83&amp;" "&amp;MRS!D83</f>
        <v xml:space="preserve">Door Locker For Cabin </v>
      </c>
      <c r="C83" s="171"/>
      <c r="D83" s="83" t="str">
        <f>MRS!G83</f>
        <v>PCS</v>
      </c>
      <c r="E83" s="84">
        <f>MRS!H83</f>
        <v>4</v>
      </c>
      <c r="F83" s="85">
        <f>MRS!I83</f>
        <v>210</v>
      </c>
      <c r="G83" s="85">
        <f>MRS!J83</f>
        <v>840</v>
      </c>
      <c r="H83" s="89"/>
    </row>
    <row r="84" spans="1:8" s="52" customFormat="1" ht="32.1" customHeight="1">
      <c r="A84" s="82">
        <f t="shared" si="1"/>
        <v>79</v>
      </c>
      <c r="B84" s="170" t="str">
        <f>MRS!B84&amp;" "&amp;MRS!D84</f>
        <v xml:space="preserve">Tin Snip Cutter 10" (Brand - Giffex) </v>
      </c>
      <c r="C84" s="171"/>
      <c r="D84" s="83" t="str">
        <f>MRS!G84</f>
        <v>PCS</v>
      </c>
      <c r="E84" s="84">
        <f>MRS!H84</f>
        <v>30</v>
      </c>
      <c r="F84" s="85">
        <f>MRS!I84</f>
        <v>17.334</v>
      </c>
      <c r="G84" s="85">
        <f>MRS!J84</f>
        <v>520.02</v>
      </c>
      <c r="H84" s="89"/>
    </row>
    <row r="85" spans="1:8" s="52" customFormat="1" ht="32.1" customHeight="1">
      <c r="A85" s="82">
        <f t="shared" si="1"/>
        <v>80</v>
      </c>
      <c r="B85" s="170" t="str">
        <f>MRS!B85&amp;" "&amp;MRS!D85</f>
        <v xml:space="preserve">Galvanized Wire Rope 10Mm X 15 Mtr </v>
      </c>
      <c r="C85" s="171"/>
      <c r="D85" s="83" t="str">
        <f>MRS!G85</f>
        <v>PCS</v>
      </c>
      <c r="E85" s="84">
        <f>MRS!H85</f>
        <v>1</v>
      </c>
      <c r="F85" s="85">
        <f>MRS!I85</f>
        <v>9.5</v>
      </c>
      <c r="G85" s="85">
        <f>MRS!J85</f>
        <v>9.5</v>
      </c>
      <c r="H85" s="89"/>
    </row>
    <row r="86" spans="1:8" s="52" customFormat="1" ht="32.1" customHeight="1">
      <c r="A86" s="82">
        <f t="shared" si="1"/>
        <v>81</v>
      </c>
      <c r="B86" s="170" t="str">
        <f>MRS!B86&amp;" "&amp;MRS!D86</f>
        <v xml:space="preserve">Galvanized Wire Rope Clip 12Mm </v>
      </c>
      <c r="C86" s="171"/>
      <c r="D86" s="83" t="str">
        <f>MRS!G86</f>
        <v>PCS</v>
      </c>
      <c r="E86" s="84">
        <f>MRS!H86</f>
        <v>40</v>
      </c>
      <c r="F86" s="85">
        <f>MRS!I86</f>
        <v>4.5</v>
      </c>
      <c r="G86" s="85">
        <f>MRS!J86</f>
        <v>180</v>
      </c>
      <c r="H86" s="89"/>
    </row>
    <row r="87" spans="1:8" s="52" customFormat="1" ht="32.1" customHeight="1">
      <c r="A87" s="82">
        <f t="shared" si="1"/>
        <v>82</v>
      </c>
      <c r="B87" s="170" t="str">
        <f>MRS!B87&amp;" "&amp;MRS!D87</f>
        <v xml:space="preserve">Banding Tool (Brand - Band It)  </v>
      </c>
      <c r="C87" s="171"/>
      <c r="D87" s="83" t="str">
        <f>MRS!G87</f>
        <v>PCS</v>
      </c>
      <c r="E87" s="84">
        <f>MRS!H87</f>
        <v>36</v>
      </c>
      <c r="F87" s="85">
        <f>MRS!I87</f>
        <v>565</v>
      </c>
      <c r="G87" s="85">
        <f>MRS!J87</f>
        <v>20340</v>
      </c>
      <c r="H87" s="89"/>
    </row>
    <row r="88" spans="1:8" s="52" customFormat="1" ht="32.1" customHeight="1">
      <c r="A88" s="82">
        <f t="shared" si="1"/>
        <v>83</v>
      </c>
      <c r="B88" s="170" t="str">
        <f>MRS!B88&amp;" "&amp;MRS!D88</f>
        <v xml:space="preserve">Flat Screw Driver (Brand - Giffex) - 8"  </v>
      </c>
      <c r="C88" s="171"/>
      <c r="D88" s="83" t="str">
        <f>MRS!G88</f>
        <v>PCS</v>
      </c>
      <c r="E88" s="84">
        <f>MRS!H88</f>
        <v>10</v>
      </c>
      <c r="F88" s="85">
        <f>MRS!I88</f>
        <v>12</v>
      </c>
      <c r="G88" s="85">
        <f>MRS!J88</f>
        <v>120</v>
      </c>
      <c r="H88" s="89"/>
    </row>
    <row r="89" spans="1:8" s="52" customFormat="1" ht="32.1" customHeight="1">
      <c r="A89" s="82">
        <f t="shared" si="1"/>
        <v>84</v>
      </c>
      <c r="B89" s="170" t="str">
        <f>MRS!B89&amp;" "&amp;MRS!D89</f>
        <v xml:space="preserve">Anti Slip Tape For Safety 2/5Cm </v>
      </c>
      <c r="C89" s="171"/>
      <c r="D89" s="83" t="str">
        <f>MRS!G89</f>
        <v>ROLL</v>
      </c>
      <c r="E89" s="84">
        <f>MRS!H89</f>
        <v>40</v>
      </c>
      <c r="F89" s="85">
        <f>MRS!I89</f>
        <v>39</v>
      </c>
      <c r="G89" s="85">
        <f>MRS!J89</f>
        <v>1560</v>
      </c>
      <c r="H89" s="89"/>
    </row>
    <row r="90" spans="1:8" s="52" customFormat="1" ht="32.1" customHeight="1">
      <c r="A90" s="82">
        <f t="shared" si="1"/>
        <v>85</v>
      </c>
      <c r="B90" s="170" t="str">
        <f>MRS!B90&amp;" "&amp;MRS!D90</f>
        <v xml:space="preserve">Heavy Duty Caster Wheel - 9" </v>
      </c>
      <c r="C90" s="171"/>
      <c r="D90" s="83" t="str">
        <f>MRS!G90</f>
        <v>EA</v>
      </c>
      <c r="E90" s="84">
        <f>MRS!H90</f>
        <v>12</v>
      </c>
      <c r="F90" s="85">
        <f>MRS!I90</f>
        <v>195</v>
      </c>
      <c r="G90" s="85">
        <f>MRS!J90</f>
        <v>2340</v>
      </c>
      <c r="H90" s="89"/>
    </row>
    <row r="91" spans="1:8" s="52" customFormat="1" ht="32.1" customHeight="1">
      <c r="A91" s="82">
        <f t="shared" si="1"/>
        <v>86</v>
      </c>
      <c r="B91" s="170" t="str">
        <f>MRS!B91&amp;" "&amp;MRS!D91</f>
        <v xml:space="preserve">Putty Knife 4" Vermolens </v>
      </c>
      <c r="C91" s="171"/>
      <c r="D91" s="83" t="str">
        <f>MRS!G91</f>
        <v>PCS</v>
      </c>
      <c r="E91" s="84">
        <f>MRS!H91</f>
        <v>65</v>
      </c>
      <c r="F91" s="85">
        <f>MRS!I91</f>
        <v>1.95</v>
      </c>
      <c r="G91" s="85">
        <f>MRS!J91</f>
        <v>126.75</v>
      </c>
      <c r="H91" s="89"/>
    </row>
    <row r="92" spans="1:8" s="52" customFormat="1" ht="32.1" customHeight="1">
      <c r="A92" s="82">
        <f t="shared" si="1"/>
        <v>87</v>
      </c>
      <c r="B92" s="170" t="str">
        <f>MRS!B92&amp;" "&amp;MRS!D92</f>
        <v xml:space="preserve">Putty Knife 4" Roto-Taiwan </v>
      </c>
      <c r="C92" s="171"/>
      <c r="D92" s="83" t="str">
        <f>MRS!G92</f>
        <v>PCS</v>
      </c>
      <c r="E92" s="84">
        <f>MRS!H92</f>
        <v>15</v>
      </c>
      <c r="F92" s="85">
        <f>MRS!I92</f>
        <v>2.25</v>
      </c>
      <c r="G92" s="85">
        <f>MRS!J92</f>
        <v>33.75</v>
      </c>
      <c r="H92" s="89"/>
    </row>
    <row r="93" spans="1:8" s="52" customFormat="1" ht="32.1" customHeight="1">
      <c r="A93" s="82">
        <f t="shared" si="1"/>
        <v>88</v>
      </c>
      <c r="B93" s="170" t="str">
        <f>MRS!B93&amp;" "&amp;MRS!D93</f>
        <v xml:space="preserve">Screw Driver Star - 12" (Brand - Giffex) </v>
      </c>
      <c r="C93" s="171"/>
      <c r="D93" s="83" t="str">
        <f>MRS!G93</f>
        <v>PCS</v>
      </c>
      <c r="E93" s="84">
        <f>MRS!H93</f>
        <v>30</v>
      </c>
      <c r="F93" s="85">
        <f>MRS!I93</f>
        <v>14</v>
      </c>
      <c r="G93" s="85">
        <f>MRS!J93</f>
        <v>420</v>
      </c>
      <c r="H93" s="89"/>
    </row>
    <row r="94" spans="1:8" s="52" customFormat="1" ht="32.1" customHeight="1">
      <c r="A94" s="82">
        <f t="shared" si="1"/>
        <v>89</v>
      </c>
      <c r="B94" s="170" t="str">
        <f>MRS!B94&amp;" "&amp;MRS!D94</f>
        <v xml:space="preserve">Tube Bender Size : 1/2" (Brand - Giffex) </v>
      </c>
      <c r="C94" s="171"/>
      <c r="D94" s="83" t="str">
        <f>MRS!G94</f>
        <v>EA</v>
      </c>
      <c r="E94" s="84">
        <f>MRS!H94</f>
        <v>12</v>
      </c>
      <c r="F94" s="85">
        <f>MRS!I94</f>
        <v>145</v>
      </c>
      <c r="G94" s="85">
        <f>MRS!J94</f>
        <v>1740</v>
      </c>
      <c r="H94" s="89"/>
    </row>
    <row r="95" spans="1:8" s="52" customFormat="1" ht="32.1" customHeight="1">
      <c r="A95" s="82">
        <f t="shared" si="1"/>
        <v>90</v>
      </c>
      <c r="B95" s="170" t="str">
        <f>MRS!B95&amp;" "&amp;MRS!D95</f>
        <v xml:space="preserve">Warning Tape (Yellow &amp; Black) </v>
      </c>
      <c r="C95" s="171"/>
      <c r="D95" s="83" t="str">
        <f>MRS!G95</f>
        <v>PCS</v>
      </c>
      <c r="E95" s="84">
        <f>MRS!H95</f>
        <v>50</v>
      </c>
      <c r="F95" s="85">
        <f>MRS!I95</f>
        <v>3.5</v>
      </c>
      <c r="G95" s="85">
        <f>MRS!J95</f>
        <v>175</v>
      </c>
      <c r="H95" s="89"/>
    </row>
    <row r="96" spans="1:8" s="52" customFormat="1" ht="32.1" customHeight="1">
      <c r="A96" s="82">
        <f t="shared" si="1"/>
        <v>91</v>
      </c>
      <c r="B96" s="170" t="str">
        <f>MRS!B96&amp;" "&amp;MRS!D96</f>
        <v xml:space="preserve">Portable Blower Fan (Sht-30) 12" Giffex With Duct Hose </v>
      </c>
      <c r="C96" s="171"/>
      <c r="D96" s="83" t="str">
        <f>MRS!G96</f>
        <v>PCS</v>
      </c>
      <c r="E96" s="84">
        <f>MRS!H96</f>
        <v>4</v>
      </c>
      <c r="F96" s="85">
        <f>MRS!I96</f>
        <v>520</v>
      </c>
      <c r="G96" s="85">
        <f>MRS!J96</f>
        <v>2080</v>
      </c>
      <c r="H96" s="89"/>
    </row>
    <row r="97" spans="1:8" s="52" customFormat="1" ht="32.1" customHeight="1">
      <c r="A97" s="82">
        <f t="shared" si="1"/>
        <v>92</v>
      </c>
      <c r="B97" s="170" t="str">
        <f>MRS!B97&amp;" "&amp;MRS!D97</f>
        <v xml:space="preserve">Pipe Wrench Dewesser 18" </v>
      </c>
      <c r="C97" s="171"/>
      <c r="D97" s="83" t="str">
        <f>MRS!G97</f>
        <v>PCS</v>
      </c>
      <c r="E97" s="84">
        <f>MRS!H97</f>
        <v>4</v>
      </c>
      <c r="F97" s="85">
        <f>MRS!I97</f>
        <v>55</v>
      </c>
      <c r="G97" s="85">
        <f>MRS!J97</f>
        <v>220</v>
      </c>
      <c r="H97" s="89"/>
    </row>
    <row r="98" spans="1:8" s="52" customFormat="1" ht="32.1" customHeight="1">
      <c r="A98" s="82">
        <f t="shared" si="1"/>
        <v>93</v>
      </c>
      <c r="B98" s="170" t="str">
        <f>MRS!B98&amp;" "&amp;MRS!D98</f>
        <v xml:space="preserve">Pipe Wrench Dewesser 12" </v>
      </c>
      <c r="C98" s="171"/>
      <c r="D98" s="83" t="str">
        <f>MRS!G98</f>
        <v>PCS</v>
      </c>
      <c r="E98" s="84">
        <f>MRS!H98</f>
        <v>4</v>
      </c>
      <c r="F98" s="85">
        <f>MRS!I98</f>
        <v>30</v>
      </c>
      <c r="G98" s="85">
        <f>MRS!J98</f>
        <v>120</v>
      </c>
      <c r="H98" s="89"/>
    </row>
    <row r="99" spans="1:8" s="52" customFormat="1" ht="32.1" customHeight="1">
      <c r="A99" s="82">
        <f t="shared" si="1"/>
        <v>94</v>
      </c>
      <c r="B99" s="170" t="str">
        <f>MRS!B99&amp;" "&amp;MRS!D99</f>
        <v xml:space="preserve">Cable Cutter 6" (Brand - Giffex) </v>
      </c>
      <c r="C99" s="171"/>
      <c r="D99" s="83" t="str">
        <f>MRS!G99</f>
        <v>PCS</v>
      </c>
      <c r="E99" s="84">
        <f>MRS!H99</f>
        <v>2</v>
      </c>
      <c r="F99" s="85">
        <f>MRS!I99</f>
        <v>27</v>
      </c>
      <c r="G99" s="85">
        <f>MRS!J99</f>
        <v>54</v>
      </c>
      <c r="H99" s="89"/>
    </row>
    <row r="100" spans="1:8" s="52" customFormat="1" ht="32.1" customHeight="1">
      <c r="A100" s="82">
        <f t="shared" si="1"/>
        <v>95</v>
      </c>
      <c r="B100" s="170" t="str">
        <f>MRS!B100&amp;" "&amp;MRS!D100</f>
        <v xml:space="preserve">Screw Driver Star 6X150Mm Roto-Germany </v>
      </c>
      <c r="C100" s="171"/>
      <c r="D100" s="83" t="str">
        <f>MRS!G100</f>
        <v>PCS</v>
      </c>
      <c r="E100" s="84">
        <f>MRS!H100</f>
        <v>6</v>
      </c>
      <c r="F100" s="85">
        <f>MRS!I100</f>
        <v>10</v>
      </c>
      <c r="G100" s="85">
        <f>MRS!J100</f>
        <v>60</v>
      </c>
      <c r="H100" s="89"/>
    </row>
    <row r="101" spans="1:8" s="52" customFormat="1" ht="32.1" customHeight="1">
      <c r="A101" s="82">
        <f t="shared" si="1"/>
        <v>96</v>
      </c>
      <c r="B101" s="170" t="str">
        <f>MRS!B101&amp;" "&amp;MRS!D101</f>
        <v xml:space="preserve">Sata. Curved Jaw Locking Pliers 7'' Ench </v>
      </c>
      <c r="C101" s="171"/>
      <c r="D101" s="83" t="str">
        <f>MRS!G101</f>
        <v>PCS</v>
      </c>
      <c r="E101" s="84">
        <f>MRS!H101</f>
        <v>2</v>
      </c>
      <c r="F101" s="85">
        <f>MRS!I101</f>
        <v>40</v>
      </c>
      <c r="G101" s="85">
        <f>MRS!J101</f>
        <v>80</v>
      </c>
      <c r="H101" s="89"/>
    </row>
    <row r="102" spans="1:8" s="52" customFormat="1" ht="32.1" customHeight="1">
      <c r="A102" s="82">
        <f t="shared" si="1"/>
        <v>97</v>
      </c>
      <c r="B102" s="170" t="str">
        <f>MRS!B102&amp;" "&amp;MRS!D102</f>
        <v xml:space="preserve">Combination Spanner Set 6Mm-32Mm (Brand - Roto) </v>
      </c>
      <c r="C102" s="171"/>
      <c r="D102" s="83" t="str">
        <f>MRS!G102</f>
        <v>SET</v>
      </c>
      <c r="E102" s="84">
        <f>MRS!H102</f>
        <v>1</v>
      </c>
      <c r="F102" s="85">
        <f>MRS!I102</f>
        <v>130</v>
      </c>
      <c r="G102" s="85">
        <f>MRS!J102</f>
        <v>130</v>
      </c>
      <c r="H102" s="89"/>
    </row>
    <row r="103" spans="1:8" s="52" customFormat="1" ht="32.1" customHeight="1">
      <c r="A103" s="82">
        <f t="shared" si="1"/>
        <v>98</v>
      </c>
      <c r="B103" s="170" t="str">
        <f>MRS!B103&amp;" "&amp;MRS!D103</f>
        <v xml:space="preserve">Circlip Plier Workpro Wp231082 Straight </v>
      </c>
      <c r="C103" s="171"/>
      <c r="D103" s="83" t="str">
        <f>MRS!G103</f>
        <v>PCS</v>
      </c>
      <c r="E103" s="84">
        <f>MRS!H103</f>
        <v>1</v>
      </c>
      <c r="F103" s="85">
        <f>MRS!I103</f>
        <v>20</v>
      </c>
      <c r="G103" s="85">
        <f>MRS!J103</f>
        <v>20</v>
      </c>
      <c r="H103" s="89"/>
    </row>
    <row r="104" spans="1:8" s="52" customFormat="1" ht="32.1" customHeight="1">
      <c r="A104" s="82">
        <f t="shared" si="1"/>
        <v>99</v>
      </c>
      <c r="B104" s="170" t="str">
        <f>MRS!B104&amp;" "&amp;MRS!D104</f>
        <v xml:space="preserve">Circlip Plier Workpro Wp231083 Bent </v>
      </c>
      <c r="C104" s="171"/>
      <c r="D104" s="83" t="str">
        <f>MRS!G104</f>
        <v>PCS</v>
      </c>
      <c r="E104" s="84">
        <f>MRS!H104</f>
        <v>1</v>
      </c>
      <c r="F104" s="85">
        <f>MRS!I104</f>
        <v>20</v>
      </c>
      <c r="G104" s="85">
        <f>MRS!J104</f>
        <v>20</v>
      </c>
      <c r="H104" s="89"/>
    </row>
    <row r="105" spans="1:8" s="52" customFormat="1" ht="32.1" customHeight="1">
      <c r="A105" s="82">
        <f t="shared" si="1"/>
        <v>100</v>
      </c>
      <c r="B105" s="170" t="str">
        <f>MRS!B105&amp;" "&amp;MRS!D105</f>
        <v xml:space="preserve">Allenkey Set Short Workpro Wp222004 1.5 </v>
      </c>
      <c r="C105" s="171"/>
      <c r="D105" s="83" t="str">
        <f>MRS!G105</f>
        <v>PCS</v>
      </c>
      <c r="E105" s="84">
        <f>MRS!H105</f>
        <v>1</v>
      </c>
      <c r="F105" s="85">
        <f>MRS!I105</f>
        <v>20</v>
      </c>
      <c r="G105" s="85">
        <f>MRS!J105</f>
        <v>20</v>
      </c>
      <c r="H105" s="89"/>
    </row>
    <row r="106" spans="1:8" s="52" customFormat="1" ht="32.1" customHeight="1">
      <c r="A106" s="82">
        <f t="shared" si="1"/>
        <v>101</v>
      </c>
      <c r="B106" s="170" t="str">
        <f>MRS!B106&amp;" "&amp;MRS!D106</f>
        <v xml:space="preserve">Sata. 10 Pcs Cushion Grip Combination Screw Driver Set </v>
      </c>
      <c r="C106" s="171"/>
      <c r="D106" s="83" t="str">
        <f>MRS!G106</f>
        <v>SET</v>
      </c>
      <c r="E106" s="84">
        <f>MRS!H106</f>
        <v>1</v>
      </c>
      <c r="F106" s="85">
        <f>MRS!I106</f>
        <v>110</v>
      </c>
      <c r="G106" s="85">
        <f>MRS!J106</f>
        <v>110</v>
      </c>
      <c r="H106" s="89"/>
    </row>
    <row r="107" spans="1:8" s="52" customFormat="1" ht="32.1" customHeight="1">
      <c r="A107" s="82">
        <f t="shared" si="1"/>
        <v>102</v>
      </c>
      <c r="B107" s="170" t="str">
        <f>MRS!B107&amp;" "&amp;MRS!D107</f>
        <v xml:space="preserve">Crimping Tool 6-120Mm (Brand - Giffex) </v>
      </c>
      <c r="C107" s="171"/>
      <c r="D107" s="83" t="str">
        <f>MRS!G107</f>
        <v>PCS</v>
      </c>
      <c r="E107" s="84">
        <f>MRS!H107</f>
        <v>1</v>
      </c>
      <c r="F107" s="85">
        <f>MRS!I107</f>
        <v>235</v>
      </c>
      <c r="G107" s="85">
        <f>MRS!J107</f>
        <v>235</v>
      </c>
      <c r="H107" s="89"/>
    </row>
    <row r="108" spans="1:8" s="52" customFormat="1" ht="32.1" customHeight="1">
      <c r="A108" s="82">
        <f t="shared" si="1"/>
        <v>103</v>
      </c>
      <c r="B108" s="170" t="str">
        <f>MRS!B108&amp;" "&amp;MRS!D108</f>
        <v xml:space="preserve">1/2" Torch Wrench 10-110Nm Roto-Taiwan </v>
      </c>
      <c r="C108" s="171"/>
      <c r="D108" s="83" t="str">
        <f>MRS!G108</f>
        <v>PCS</v>
      </c>
      <c r="E108" s="84">
        <f>MRS!H108</f>
        <v>12</v>
      </c>
      <c r="F108" s="85">
        <f>MRS!I108</f>
        <v>230</v>
      </c>
      <c r="G108" s="85">
        <f>MRS!J108</f>
        <v>2760</v>
      </c>
      <c r="H108" s="89"/>
    </row>
    <row r="109" spans="1:8" s="52" customFormat="1" ht="32.1" customHeight="1">
      <c r="A109" s="82">
        <f t="shared" si="1"/>
        <v>104</v>
      </c>
      <c r="B109" s="170" t="str">
        <f>MRS!B109&amp;" "&amp;MRS!D109</f>
        <v xml:space="preserve">Torch Wrench 3/4" 150-800Nm (Brand - Tower)  </v>
      </c>
      <c r="C109" s="171"/>
      <c r="D109" s="83" t="str">
        <f>MRS!G109</f>
        <v>PCS</v>
      </c>
      <c r="E109" s="84">
        <f>MRS!H109</f>
        <v>2</v>
      </c>
      <c r="F109" s="85">
        <f>MRS!I109</f>
        <v>1700</v>
      </c>
      <c r="G109" s="85">
        <f>MRS!J109</f>
        <v>3400</v>
      </c>
      <c r="H109" s="89"/>
    </row>
    <row r="110" spans="1:8" s="52" customFormat="1" ht="32.1" customHeight="1">
      <c r="A110" s="82">
        <f t="shared" si="1"/>
        <v>105</v>
      </c>
      <c r="B110" s="170" t="str">
        <f>MRS!B110&amp;" "&amp;MRS!D110</f>
        <v xml:space="preserve">Scaffolding Hand Gloves </v>
      </c>
      <c r="C110" s="171"/>
      <c r="D110" s="83" t="str">
        <f>MRS!G110</f>
        <v>PAIR</v>
      </c>
      <c r="E110" s="84">
        <f>MRS!H110</f>
        <v>460</v>
      </c>
      <c r="F110" s="85">
        <f>MRS!I110</f>
        <v>4.5</v>
      </c>
      <c r="G110" s="85">
        <f>MRS!J110</f>
        <v>2070</v>
      </c>
      <c r="H110" s="89"/>
    </row>
    <row r="111" spans="1:8" s="52" customFormat="1" ht="32.1" customHeight="1">
      <c r="A111" s="82">
        <f t="shared" si="1"/>
        <v>106</v>
      </c>
      <c r="B111" s="170" t="str">
        <f>MRS!B111&amp;" "&amp;MRS!D111</f>
        <v xml:space="preserve">Cotton Rags Mix Color (10 Kg / Bundle)  </v>
      </c>
      <c r="C111" s="171"/>
      <c r="D111" s="83" t="str">
        <f>MRS!G111</f>
        <v>BNDL</v>
      </c>
      <c r="E111" s="84">
        <f>MRS!H111</f>
        <v>15</v>
      </c>
      <c r="F111" s="85">
        <f>MRS!I111</f>
        <v>45</v>
      </c>
      <c r="G111" s="85">
        <f>MRS!J111</f>
        <v>675</v>
      </c>
      <c r="H111" s="89"/>
    </row>
    <row r="112" spans="1:8" s="52" customFormat="1" ht="32.1" customHeight="1">
      <c r="A112" s="82">
        <f t="shared" si="1"/>
        <v>107</v>
      </c>
      <c r="B112" s="170" t="str">
        <f>MRS!B112&amp;" "&amp;MRS!D112</f>
        <v xml:space="preserve">Cotton Rag Hq White (10 Kg / Bundle)  </v>
      </c>
      <c r="C112" s="171"/>
      <c r="D112" s="83" t="str">
        <f>MRS!G112</f>
        <v>BNDL</v>
      </c>
      <c r="E112" s="84">
        <f>MRS!H112</f>
        <v>15</v>
      </c>
      <c r="F112" s="85">
        <f>MRS!I112</f>
        <v>80</v>
      </c>
      <c r="G112" s="85">
        <f>MRS!J112</f>
        <v>1200</v>
      </c>
      <c r="H112" s="89"/>
    </row>
    <row r="113" spans="1:8" s="52" customFormat="1" ht="32.1" customHeight="1">
      <c r="A113" s="82">
        <f t="shared" si="1"/>
        <v>108</v>
      </c>
      <c r="B113" s="170" t="str">
        <f>MRS!B113&amp;" "&amp;MRS!D113</f>
        <v xml:space="preserve">Cable Tie 150 X 3.6 Black Giffex </v>
      </c>
      <c r="C113" s="171"/>
      <c r="D113" s="83" t="str">
        <f>MRS!G113</f>
        <v>PKT</v>
      </c>
      <c r="E113" s="84">
        <f>MRS!H113</f>
        <v>65</v>
      </c>
      <c r="F113" s="85">
        <f>MRS!I113</f>
        <v>7</v>
      </c>
      <c r="G113" s="85">
        <f>MRS!J113</f>
        <v>455</v>
      </c>
      <c r="H113" s="89"/>
    </row>
    <row r="114" spans="1:8" s="52" customFormat="1" ht="32.1" customHeight="1">
      <c r="A114" s="82">
        <f t="shared" si="1"/>
        <v>109</v>
      </c>
      <c r="B114" s="170" t="str">
        <f>MRS!B114&amp;" "&amp;MRS!D114</f>
        <v xml:space="preserve">Interchangeable Torque Wrench Dr1/2" 40-200Nm Brand:Tower  </v>
      </c>
      <c r="C114" s="171"/>
      <c r="D114" s="83" t="str">
        <f>MRS!G114</f>
        <v>EA</v>
      </c>
      <c r="E114" s="84">
        <f>MRS!H114</f>
        <v>2</v>
      </c>
      <c r="F114" s="85">
        <f>MRS!I114</f>
        <v>355</v>
      </c>
      <c r="G114" s="85">
        <f>MRS!J114</f>
        <v>710</v>
      </c>
      <c r="H114" s="89"/>
    </row>
    <row r="115" spans="1:8" s="52" customFormat="1" ht="32.1" customHeight="1">
      <c r="A115" s="82">
        <f t="shared" si="1"/>
        <v>110</v>
      </c>
      <c r="B115" s="170" t="str">
        <f>MRS!B115&amp;" "&amp;MRS!D115</f>
        <v xml:space="preserve">Impact Socket Dr1/2" X 22Mm Short </v>
      </c>
      <c r="C115" s="171"/>
      <c r="D115" s="83" t="str">
        <f>MRS!G115</f>
        <v>EA</v>
      </c>
      <c r="E115" s="84">
        <f>MRS!H115</f>
        <v>30</v>
      </c>
      <c r="F115" s="85">
        <f>MRS!I115</f>
        <v>12.5</v>
      </c>
      <c r="G115" s="85">
        <f>MRS!J115</f>
        <v>375</v>
      </c>
      <c r="H115" s="89"/>
    </row>
    <row r="116" spans="1:8" s="52" customFormat="1" ht="32.1" customHeight="1">
      <c r="A116" s="82">
        <f t="shared" si="1"/>
        <v>111</v>
      </c>
      <c r="B116" s="170" t="str">
        <f>MRS!B116&amp;" "&amp;MRS!D116</f>
        <v xml:space="preserve">Impact Socket Dr1/2" X 22Mm Long </v>
      </c>
      <c r="C116" s="171"/>
      <c r="D116" s="83" t="str">
        <f>MRS!G116</f>
        <v>EA</v>
      </c>
      <c r="E116" s="84">
        <f>MRS!H116</f>
        <v>40</v>
      </c>
      <c r="F116" s="85">
        <f>MRS!I116</f>
        <v>7</v>
      </c>
      <c r="G116" s="85">
        <f>MRS!J116</f>
        <v>280</v>
      </c>
      <c r="H116" s="89"/>
    </row>
    <row r="117" spans="1:8" s="52" customFormat="1" ht="32.1" customHeight="1">
      <c r="A117" s="82">
        <f t="shared" si="1"/>
        <v>112</v>
      </c>
      <c r="B117" s="170" t="str">
        <f>MRS!B117&amp;" "&amp;MRS!D117</f>
        <v xml:space="preserve">Impact Socket Dr1/2" X 27Mm Short </v>
      </c>
      <c r="C117" s="171"/>
      <c r="D117" s="83" t="str">
        <f>MRS!G117</f>
        <v>EA</v>
      </c>
      <c r="E117" s="84">
        <f>MRS!H117</f>
        <v>30</v>
      </c>
      <c r="F117" s="85">
        <f>MRS!I117</f>
        <v>9.5</v>
      </c>
      <c r="G117" s="85">
        <f>MRS!J117</f>
        <v>285</v>
      </c>
      <c r="H117" s="89"/>
    </row>
    <row r="118" spans="1:8" s="52" customFormat="1" ht="32.1" customHeight="1">
      <c r="A118" s="82">
        <f t="shared" si="1"/>
        <v>113</v>
      </c>
      <c r="B118" s="170" t="str">
        <f>MRS!B118&amp;" "&amp;MRS!D118</f>
        <v xml:space="preserve">Impact Socket Dr1/2" X 27Mm Long </v>
      </c>
      <c r="C118" s="171"/>
      <c r="D118" s="83" t="str">
        <f>MRS!G118</f>
        <v>EA</v>
      </c>
      <c r="E118" s="84">
        <f>MRS!H118</f>
        <v>40</v>
      </c>
      <c r="F118" s="85">
        <f>MRS!I118</f>
        <v>19</v>
      </c>
      <c r="G118" s="85">
        <f>MRS!J118</f>
        <v>760</v>
      </c>
      <c r="H118" s="89"/>
    </row>
    <row r="119" spans="1:8" s="52" customFormat="1" ht="32.1" customHeight="1">
      <c r="A119" s="82">
        <f t="shared" si="1"/>
        <v>114</v>
      </c>
      <c r="B119" s="170" t="str">
        <f>MRS!B119&amp;" "&amp;MRS!D119</f>
        <v xml:space="preserve">Impact Socket Dr1/2" X 32Mm Short </v>
      </c>
      <c r="C119" s="171"/>
      <c r="D119" s="83" t="str">
        <f>MRS!G119</f>
        <v>EA</v>
      </c>
      <c r="E119" s="84">
        <f>MRS!H119</f>
        <v>26</v>
      </c>
      <c r="F119" s="85">
        <f>MRS!I119</f>
        <v>14</v>
      </c>
      <c r="G119" s="85">
        <f>MRS!J119</f>
        <v>364</v>
      </c>
      <c r="H119" s="89"/>
    </row>
    <row r="120" spans="1:8" s="52" customFormat="1" ht="32.1" customHeight="1">
      <c r="A120" s="82">
        <f t="shared" si="1"/>
        <v>115</v>
      </c>
      <c r="B120" s="170" t="str">
        <f>MRS!B120&amp;" "&amp;MRS!D120</f>
        <v xml:space="preserve">Impact Socket Dr1/2" X 32Mm Long </v>
      </c>
      <c r="C120" s="171"/>
      <c r="D120" s="83" t="str">
        <f>MRS!G120</f>
        <v>EA</v>
      </c>
      <c r="E120" s="84">
        <f>MRS!H120</f>
        <v>40</v>
      </c>
      <c r="F120" s="85">
        <f>MRS!I120</f>
        <v>25</v>
      </c>
      <c r="G120" s="85">
        <f>MRS!J120</f>
        <v>1000</v>
      </c>
      <c r="H120" s="89"/>
    </row>
    <row r="121" spans="1:8" s="52" customFormat="1" ht="32.1" customHeight="1">
      <c r="A121" s="82">
        <f t="shared" si="1"/>
        <v>116</v>
      </c>
      <c r="B121" s="170" t="str">
        <f>MRS!B121&amp;" "&amp;MRS!D121</f>
        <v xml:space="preserve">Impact Socket Dr1/2" X 36Mm Long </v>
      </c>
      <c r="C121" s="171"/>
      <c r="D121" s="83" t="str">
        <f>MRS!G121</f>
        <v>EA</v>
      </c>
      <c r="E121" s="84">
        <f>MRS!H121</f>
        <v>40</v>
      </c>
      <c r="F121" s="85">
        <f>MRS!I121</f>
        <v>32</v>
      </c>
      <c r="G121" s="85">
        <f>MRS!J121</f>
        <v>1280</v>
      </c>
      <c r="H121" s="89"/>
    </row>
    <row r="122" spans="1:8" s="52" customFormat="1" ht="32.1" customHeight="1">
      <c r="A122" s="82">
        <f t="shared" si="1"/>
        <v>117</v>
      </c>
      <c r="B122" s="170" t="str">
        <f>MRS!B122&amp;" "&amp;MRS!D122</f>
        <v xml:space="preserve">Scaffolding Canvas Bucket Kasweld Brand </v>
      </c>
      <c r="C122" s="171"/>
      <c r="D122" s="83" t="str">
        <f>MRS!G122</f>
        <v>EA</v>
      </c>
      <c r="E122" s="84">
        <f>MRS!H122</f>
        <v>28</v>
      </c>
      <c r="F122" s="85">
        <f>MRS!I122</f>
        <v>155</v>
      </c>
      <c r="G122" s="85">
        <f>MRS!J122</f>
        <v>4340</v>
      </c>
      <c r="H122" s="89"/>
    </row>
    <row r="123" spans="1:8" s="52" customFormat="1" ht="32.1" customHeight="1">
      <c r="A123" s="82">
        <f t="shared" si="1"/>
        <v>118</v>
      </c>
      <c r="B123" s="170" t="str">
        <f>MRS!B123&amp;" "&amp;MRS!D123</f>
        <v xml:space="preserve">Mason Trowel </v>
      </c>
      <c r="C123" s="171"/>
      <c r="D123" s="83" t="str">
        <f>MRS!G123</f>
        <v>EA</v>
      </c>
      <c r="E123" s="84">
        <f>MRS!H123</f>
        <v>6</v>
      </c>
      <c r="F123" s="85">
        <f>MRS!I123</f>
        <v>16</v>
      </c>
      <c r="G123" s="85">
        <f>MRS!J123</f>
        <v>96</v>
      </c>
      <c r="H123" s="89"/>
    </row>
    <row r="124" spans="1:8" s="52" customFormat="1" ht="32.1" customHeight="1">
      <c r="A124" s="82">
        <f t="shared" si="1"/>
        <v>119</v>
      </c>
      <c r="B124" s="170" t="str">
        <f>MRS!B124&amp;" "&amp;MRS!D124</f>
        <v xml:space="preserve">Hand Grease Gun </v>
      </c>
      <c r="C124" s="171"/>
      <c r="D124" s="83" t="str">
        <f>MRS!G124</f>
        <v>EA</v>
      </c>
      <c r="E124" s="84">
        <f>MRS!H124</f>
        <v>2</v>
      </c>
      <c r="F124" s="85">
        <f>MRS!I124</f>
        <v>60</v>
      </c>
      <c r="G124" s="85">
        <f>MRS!J124</f>
        <v>120</v>
      </c>
      <c r="H124" s="89"/>
    </row>
    <row r="125" spans="1:8" s="52" customFormat="1" ht="32.1" customHeight="1">
      <c r="A125" s="82">
        <f t="shared" si="1"/>
        <v>120</v>
      </c>
      <c r="B125" s="170" t="str">
        <f>MRS!B125&amp;" "&amp;MRS!D125</f>
        <v xml:space="preserve">Paint Scrapper - 3" </v>
      </c>
      <c r="C125" s="171"/>
      <c r="D125" s="83" t="str">
        <f>MRS!G125</f>
        <v>EA</v>
      </c>
      <c r="E125" s="84">
        <f>MRS!H125</f>
        <v>5</v>
      </c>
      <c r="F125" s="85">
        <f>MRS!I125</f>
        <v>2.25</v>
      </c>
      <c r="G125" s="85">
        <f>MRS!J125</f>
        <v>11.25</v>
      </c>
      <c r="H125" s="89"/>
    </row>
    <row r="126" spans="1:8" s="52" customFormat="1" ht="32.1" customHeight="1">
      <c r="A126" s="82">
        <f t="shared" si="1"/>
        <v>121</v>
      </c>
      <c r="B126" s="170" t="str">
        <f>MRS!B126&amp;" "&amp;MRS!D126</f>
        <v xml:space="preserve">Paint Scrapper - 8" </v>
      </c>
      <c r="C126" s="171"/>
      <c r="D126" s="83" t="str">
        <f>MRS!G126</f>
        <v>EA</v>
      </c>
      <c r="E126" s="84">
        <f>MRS!H126</f>
        <v>5</v>
      </c>
      <c r="F126" s="85">
        <f>MRS!I126</f>
        <v>3.75</v>
      </c>
      <c r="G126" s="85">
        <f>MRS!J126</f>
        <v>18.75</v>
      </c>
      <c r="H126" s="89"/>
    </row>
    <row r="127" spans="1:8" s="52" customFormat="1" ht="32.1" customHeight="1">
      <c r="A127" s="82">
        <f t="shared" si="1"/>
        <v>122</v>
      </c>
      <c r="B127" s="170" t="str">
        <f>MRS!B127&amp;" "&amp;MRS!D127</f>
        <v xml:space="preserve">Electrical Tape Blue ( Brand : Giffex )  </v>
      </c>
      <c r="C127" s="171"/>
      <c r="D127" s="83" t="str">
        <f>MRS!G127</f>
        <v>EA</v>
      </c>
      <c r="E127" s="84">
        <f>MRS!H127</f>
        <v>200</v>
      </c>
      <c r="F127" s="85">
        <f>MRS!I127</f>
        <v>2.2000000000000002</v>
      </c>
      <c r="G127" s="85">
        <f>MRS!J127</f>
        <v>440.00000000000006</v>
      </c>
      <c r="H127" s="89"/>
    </row>
    <row r="128" spans="1:8" s="52" customFormat="1" ht="32.1" customHeight="1">
      <c r="A128" s="82">
        <f t="shared" si="1"/>
        <v>123</v>
      </c>
      <c r="B128" s="170" t="str">
        <f>MRS!B128&amp;" "&amp;MRS!D128</f>
        <v xml:space="preserve">Cs Hand Wire Brush ( Brand : Dewesser )  </v>
      </c>
      <c r="C128" s="171"/>
      <c r="D128" s="83" t="str">
        <f>MRS!G128</f>
        <v>EA</v>
      </c>
      <c r="E128" s="84">
        <f>MRS!H128</f>
        <v>100</v>
      </c>
      <c r="F128" s="85">
        <f>MRS!I128</f>
        <v>3.5</v>
      </c>
      <c r="G128" s="85">
        <f>MRS!J128</f>
        <v>350</v>
      </c>
      <c r="H128" s="89"/>
    </row>
    <row r="129" spans="1:8" s="52" customFormat="1" ht="32.1" customHeight="1">
      <c r="A129" s="82">
        <f t="shared" si="1"/>
        <v>124</v>
      </c>
      <c r="B129" s="170" t="str">
        <f>MRS!B129&amp;" "&amp;MRS!D129</f>
        <v xml:space="preserve">Ss Hand Wire Brush ( Brand : Kaspro )  </v>
      </c>
      <c r="C129" s="171"/>
      <c r="D129" s="83" t="str">
        <f>MRS!G129</f>
        <v>EA</v>
      </c>
      <c r="E129" s="84">
        <f>MRS!H129</f>
        <v>100</v>
      </c>
      <c r="F129" s="85">
        <f>MRS!I129</f>
        <v>5.5</v>
      </c>
      <c r="G129" s="85">
        <f>MRS!J129</f>
        <v>550</v>
      </c>
      <c r="H129" s="89"/>
    </row>
    <row r="130" spans="1:8" s="52" customFormat="1" ht="32.1" customHeight="1">
      <c r="A130" s="82">
        <f t="shared" si="1"/>
        <v>125</v>
      </c>
      <c r="B130" s="170" t="str">
        <f>MRS!B130&amp;" "&amp;MRS!D130</f>
        <v xml:space="preserve">Wd 40 Spray 330Ml </v>
      </c>
      <c r="C130" s="171"/>
      <c r="D130" s="83" t="str">
        <f>MRS!G130</f>
        <v>EA</v>
      </c>
      <c r="E130" s="84">
        <f>MRS!H130</f>
        <v>760</v>
      </c>
      <c r="F130" s="85">
        <f>MRS!I130</f>
        <v>16.75</v>
      </c>
      <c r="G130" s="85">
        <f>MRS!J130</f>
        <v>12730</v>
      </c>
      <c r="H130" s="89"/>
    </row>
    <row r="131" spans="1:8" s="52" customFormat="1" ht="32.1" customHeight="1">
      <c r="A131" s="82">
        <f t="shared" si="1"/>
        <v>126</v>
      </c>
      <c r="B131" s="170" t="str">
        <f>MRS!B131&amp;" "&amp;MRS!D131</f>
        <v xml:space="preserve">Fire Blanket Orange Size : 1 X 50M X 0.45T ( Brand : Kaspro )  </v>
      </c>
      <c r="C131" s="171"/>
      <c r="D131" s="83" t="str">
        <f>MRS!G131</f>
        <v>ROLL</v>
      </c>
      <c r="E131" s="84">
        <f>MRS!H131</f>
        <v>45</v>
      </c>
      <c r="F131" s="85">
        <f>MRS!I131</f>
        <v>520</v>
      </c>
      <c r="G131" s="85">
        <f>MRS!J131</f>
        <v>23400</v>
      </c>
      <c r="H131" s="89"/>
    </row>
    <row r="132" spans="1:8" s="52" customFormat="1" ht="32.1" customHeight="1">
      <c r="A132" s="82">
        <f t="shared" si="1"/>
        <v>127</v>
      </c>
      <c r="B132" s="170" t="str">
        <f>MRS!B132&amp;" "&amp;MRS!D132</f>
        <v xml:space="preserve">Magnetic Sprit Level - 300Mm ( Brand : Roto )  </v>
      </c>
      <c r="C132" s="171"/>
      <c r="D132" s="83" t="str">
        <f>MRS!G132</f>
        <v>EA</v>
      </c>
      <c r="E132" s="84">
        <f>MRS!H132</f>
        <v>25</v>
      </c>
      <c r="F132" s="85">
        <f>MRS!I132</f>
        <v>24</v>
      </c>
      <c r="G132" s="85">
        <f>MRS!J132</f>
        <v>600</v>
      </c>
      <c r="H132" s="89"/>
    </row>
    <row r="133" spans="1:8" s="52" customFormat="1" ht="32.1" customHeight="1">
      <c r="A133" s="82">
        <f t="shared" si="1"/>
        <v>128</v>
      </c>
      <c r="B133" s="170" t="str">
        <f>MRS!B133&amp;" "&amp;MRS!D133</f>
        <v xml:space="preserve">Magnetic Sprit Level - 600Mm ( Brand : Clarke )  </v>
      </c>
      <c r="C133" s="171"/>
      <c r="D133" s="83" t="str">
        <f>MRS!G133</f>
        <v>EA</v>
      </c>
      <c r="E133" s="84">
        <f>MRS!H133</f>
        <v>25</v>
      </c>
      <c r="F133" s="85">
        <f>MRS!I133</f>
        <v>31</v>
      </c>
      <c r="G133" s="85">
        <f>MRS!J133</f>
        <v>775</v>
      </c>
      <c r="H133" s="89"/>
    </row>
    <row r="134" spans="1:8" s="52" customFormat="1" ht="32.1" customHeight="1">
      <c r="A134" s="82">
        <f t="shared" ref="A134:A180" si="2">ROW(A129)</f>
        <v>129</v>
      </c>
      <c r="B134" s="170" t="str">
        <f>MRS!B134&amp;" "&amp;MRS!D134</f>
        <v xml:space="preserve">Impact Socket - Dr 1/2" X 36Mm  </v>
      </c>
      <c r="C134" s="171"/>
      <c r="D134" s="83" t="str">
        <f>MRS!G134</f>
        <v>EA</v>
      </c>
      <c r="E134" s="84">
        <f>MRS!H134</f>
        <v>6</v>
      </c>
      <c r="F134" s="85">
        <f>MRS!I134</f>
        <v>22</v>
      </c>
      <c r="G134" s="85">
        <f>MRS!J134</f>
        <v>132</v>
      </c>
      <c r="H134" s="89"/>
    </row>
    <row r="135" spans="1:8" s="52" customFormat="1" ht="32.1" customHeight="1">
      <c r="A135" s="82">
        <f t="shared" si="2"/>
        <v>130</v>
      </c>
      <c r="B135" s="170" t="str">
        <f>MRS!B135&amp;" "&amp;MRS!D135</f>
        <v xml:space="preserve">Impact Socket - Dr 3/4" X 27Mm  </v>
      </c>
      <c r="C135" s="171"/>
      <c r="D135" s="83" t="str">
        <f>MRS!G135</f>
        <v>EA</v>
      </c>
      <c r="E135" s="84">
        <f>MRS!H135</f>
        <v>10</v>
      </c>
      <c r="F135" s="85">
        <f>MRS!I135</f>
        <v>24</v>
      </c>
      <c r="G135" s="85">
        <f>MRS!J135</f>
        <v>240</v>
      </c>
      <c r="H135" s="89"/>
    </row>
    <row r="136" spans="1:8" s="52" customFormat="1" ht="32.1" customHeight="1">
      <c r="A136" s="82">
        <f t="shared" si="2"/>
        <v>131</v>
      </c>
      <c r="B136" s="170" t="str">
        <f>MRS!B136&amp;" "&amp;MRS!D136</f>
        <v xml:space="preserve">Impact Socket - Dr 3/4" X 32Mm  </v>
      </c>
      <c r="C136" s="171"/>
      <c r="D136" s="83" t="str">
        <f>MRS!G136</f>
        <v>EA</v>
      </c>
      <c r="E136" s="84">
        <f>MRS!H136</f>
        <v>10</v>
      </c>
      <c r="F136" s="85">
        <f>MRS!I136</f>
        <v>28</v>
      </c>
      <c r="G136" s="85">
        <f>MRS!J136</f>
        <v>280</v>
      </c>
      <c r="H136" s="89"/>
    </row>
    <row r="137" spans="1:8" s="52" customFormat="1" ht="32.1" customHeight="1">
      <c r="A137" s="82">
        <f t="shared" si="2"/>
        <v>132</v>
      </c>
      <c r="B137" s="170" t="str">
        <f>MRS!B137&amp;" "&amp;MRS!D137</f>
        <v xml:space="preserve">Impact Socket - Dr 3/4" X 36Mm  </v>
      </c>
      <c r="C137" s="171"/>
      <c r="D137" s="83" t="str">
        <f>MRS!G137</f>
        <v>EA</v>
      </c>
      <c r="E137" s="84">
        <f>MRS!H137</f>
        <v>6</v>
      </c>
      <c r="F137" s="85">
        <f>MRS!I137</f>
        <v>30</v>
      </c>
      <c r="G137" s="85">
        <f>MRS!J137</f>
        <v>180</v>
      </c>
      <c r="H137" s="89"/>
    </row>
    <row r="138" spans="1:8" s="52" customFormat="1" ht="32.1" customHeight="1">
      <c r="A138" s="82">
        <f t="shared" si="2"/>
        <v>133</v>
      </c>
      <c r="B138" s="170" t="str">
        <f>MRS!B138&amp;" "&amp;MRS!D138</f>
        <v xml:space="preserve">Hammer Wrench 60Mm ( Brand : Roto )  </v>
      </c>
      <c r="C138" s="171"/>
      <c r="D138" s="83" t="str">
        <f>MRS!G138</f>
        <v>EA</v>
      </c>
      <c r="E138" s="84">
        <f>MRS!H138</f>
        <v>6</v>
      </c>
      <c r="F138" s="85">
        <f>MRS!I138</f>
        <v>110</v>
      </c>
      <c r="G138" s="85">
        <f>MRS!J138</f>
        <v>660</v>
      </c>
      <c r="H138" s="89"/>
    </row>
    <row r="139" spans="1:8" s="52" customFormat="1" ht="32.1" customHeight="1">
      <c r="A139" s="82">
        <f t="shared" si="2"/>
        <v>134</v>
      </c>
      <c r="B139" s="170" t="str">
        <f>MRS!B139&amp;" "&amp;MRS!D139</f>
        <v xml:space="preserve">Torque Wrench 3/4" ( 100 - 600Nm _ Brand : Tower )  </v>
      </c>
      <c r="C139" s="171"/>
      <c r="D139" s="83" t="str">
        <f>MRS!G139</f>
        <v>PCS</v>
      </c>
      <c r="E139" s="84">
        <f>MRS!H139</f>
        <v>6</v>
      </c>
      <c r="F139" s="85">
        <f>MRS!I139</f>
        <v>1405</v>
      </c>
      <c r="G139" s="85">
        <f>MRS!J139</f>
        <v>8430</v>
      </c>
      <c r="H139" s="89"/>
    </row>
    <row r="140" spans="1:8" s="52" customFormat="1" ht="32.1" customHeight="1">
      <c r="A140" s="82">
        <f t="shared" si="2"/>
        <v>135</v>
      </c>
      <c r="B140" s="170" t="str">
        <f>MRS!B140&amp;" "&amp;MRS!D140</f>
        <v xml:space="preserve">Torque Wrench 1/2" ( 72 - 350Nm _ Brand : Tower )  </v>
      </c>
      <c r="C140" s="171"/>
      <c r="D140" s="83" t="str">
        <f>MRS!G140</f>
        <v>PCS</v>
      </c>
      <c r="E140" s="84">
        <f>MRS!H140</f>
        <v>4</v>
      </c>
      <c r="F140" s="85">
        <f>MRS!I140</f>
        <v>430</v>
      </c>
      <c r="G140" s="85">
        <f>MRS!J140</f>
        <v>1720</v>
      </c>
      <c r="H140" s="89"/>
    </row>
    <row r="141" spans="1:8" s="52" customFormat="1" ht="32.1" customHeight="1">
      <c r="A141" s="82">
        <f t="shared" si="2"/>
        <v>136</v>
      </c>
      <c r="B141" s="170" t="str">
        <f>MRS!B141&amp;" "&amp;MRS!D141</f>
        <v xml:space="preserve">Torque Wrench 3/8" ( 5 - 60Nm _ Brand : Roto )  </v>
      </c>
      <c r="C141" s="171"/>
      <c r="D141" s="83" t="str">
        <f>MRS!G141</f>
        <v>PCS</v>
      </c>
      <c r="E141" s="84">
        <f>MRS!H141</f>
        <v>10</v>
      </c>
      <c r="F141" s="85">
        <f>MRS!I141</f>
        <v>195</v>
      </c>
      <c r="G141" s="85">
        <f>MRS!J141</f>
        <v>1950</v>
      </c>
      <c r="H141" s="89"/>
    </row>
    <row r="142" spans="1:8" s="52" customFormat="1" ht="32.1" customHeight="1">
      <c r="A142" s="82">
        <f t="shared" si="2"/>
        <v>137</v>
      </c>
      <c r="B142" s="170" t="str">
        <f>MRS!B142&amp;" "&amp;MRS!D142</f>
        <v xml:space="preserve">Long Impact Socket Size : Dr 1/2" X 41Mm ( Brand : Edge )  </v>
      </c>
      <c r="C142" s="171"/>
      <c r="D142" s="83" t="str">
        <f>MRS!G142</f>
        <v>EA</v>
      </c>
      <c r="E142" s="84">
        <f>MRS!H142</f>
        <v>20</v>
      </c>
      <c r="F142" s="85">
        <f>MRS!I142</f>
        <v>42</v>
      </c>
      <c r="G142" s="85">
        <f>MRS!J142</f>
        <v>840</v>
      </c>
      <c r="H142" s="89"/>
    </row>
    <row r="143" spans="1:8" s="52" customFormat="1" ht="32.1" customHeight="1">
      <c r="A143" s="82">
        <f t="shared" si="2"/>
        <v>138</v>
      </c>
      <c r="B143" s="170" t="str">
        <f>MRS!B143&amp;" "&amp;MRS!D143</f>
        <v xml:space="preserve">Long Impact Socket Size : Dr 1/2" X 50Mm ( Brand : Edge )  </v>
      </c>
      <c r="C143" s="171"/>
      <c r="D143" s="83" t="str">
        <f>MRS!G143</f>
        <v>EA</v>
      </c>
      <c r="E143" s="84">
        <f>MRS!H143</f>
        <v>20</v>
      </c>
      <c r="F143" s="85">
        <f>MRS!I143</f>
        <v>83</v>
      </c>
      <c r="G143" s="85">
        <f>MRS!J143</f>
        <v>1660</v>
      </c>
      <c r="H143" s="89"/>
    </row>
    <row r="144" spans="1:8" s="52" customFormat="1" ht="32.1" customHeight="1">
      <c r="A144" s="82">
        <f t="shared" si="2"/>
        <v>139</v>
      </c>
      <c r="B144" s="170" t="str">
        <f>MRS!B144&amp;" "&amp;MRS!D144</f>
        <v xml:space="preserve">Scaffolding Leather Tool Belt ( Brand : Kaspro )  </v>
      </c>
      <c r="C144" s="171"/>
      <c r="D144" s="83" t="str">
        <f>MRS!G144</f>
        <v>EA</v>
      </c>
      <c r="E144" s="84">
        <f>MRS!H144</f>
        <v>90</v>
      </c>
      <c r="F144" s="85">
        <f>MRS!I144</f>
        <v>110</v>
      </c>
      <c r="G144" s="85">
        <f>MRS!J144</f>
        <v>9900</v>
      </c>
      <c r="H144" s="89"/>
    </row>
    <row r="145" spans="1:8" s="52" customFormat="1" ht="32.1" customHeight="1">
      <c r="A145" s="82">
        <f t="shared" si="2"/>
        <v>140</v>
      </c>
      <c r="B145" s="170" t="str">
        <f>MRS!B145&amp;" "&amp;MRS!D145</f>
        <v xml:space="preserve">Scaffolding Tool Lanyard ( Brand : Clarke )  </v>
      </c>
      <c r="C145" s="171"/>
      <c r="D145" s="83" t="str">
        <f>MRS!G145</f>
        <v>EA</v>
      </c>
      <c r="E145" s="84">
        <f>MRS!H145</f>
        <v>90</v>
      </c>
      <c r="F145" s="85">
        <f>MRS!I145</f>
        <v>20</v>
      </c>
      <c r="G145" s="85">
        <f>MRS!J145</f>
        <v>1800</v>
      </c>
      <c r="H145" s="89"/>
    </row>
    <row r="146" spans="1:8" s="52" customFormat="1" ht="32.1" customHeight="1">
      <c r="A146" s="82">
        <f t="shared" si="2"/>
        <v>141</v>
      </c>
      <c r="B146" s="170" t="str">
        <f>MRS!B146&amp;" "&amp;MRS!D146</f>
        <v xml:space="preserve">Scaffolding Sprit Level Size : 10" ( Brand : Kaspro )  </v>
      </c>
      <c r="C146" s="171"/>
      <c r="D146" s="83" t="str">
        <f>MRS!G146</f>
        <v>EA</v>
      </c>
      <c r="E146" s="84">
        <f>MRS!H146</f>
        <v>50</v>
      </c>
      <c r="F146" s="85">
        <f>MRS!I146</f>
        <v>32</v>
      </c>
      <c r="G146" s="85">
        <f>MRS!J146</f>
        <v>1600</v>
      </c>
      <c r="H146" s="89"/>
    </row>
    <row r="147" spans="1:8" s="52" customFormat="1" ht="32.1" customHeight="1">
      <c r="A147" s="82">
        <f t="shared" si="2"/>
        <v>142</v>
      </c>
      <c r="B147" s="170" t="str">
        <f>MRS!B147&amp;" "&amp;MRS!D147</f>
        <v xml:space="preserve">Magnetic Nut Bit Size : 8Mm ( Brand : Dewesser )  </v>
      </c>
      <c r="C147" s="171"/>
      <c r="D147" s="83" t="str">
        <f>MRS!G147</f>
        <v>EA</v>
      </c>
      <c r="E147" s="84">
        <f>MRS!H147</f>
        <v>20</v>
      </c>
      <c r="F147" s="85">
        <f>MRS!I147</f>
        <v>3.5</v>
      </c>
      <c r="G147" s="85">
        <f>MRS!J147</f>
        <v>70</v>
      </c>
      <c r="H147" s="89"/>
    </row>
    <row r="148" spans="1:8" s="52" customFormat="1" ht="32.1" customHeight="1">
      <c r="A148" s="82">
        <f t="shared" si="2"/>
        <v>143</v>
      </c>
      <c r="B148" s="170" t="str">
        <f>MRS!B148&amp;" "&amp;MRS!D148</f>
        <v xml:space="preserve">Tube Cutter 3Mm-32Mm ( Brand : Super Ego )  </v>
      </c>
      <c r="C148" s="171"/>
      <c r="D148" s="83" t="str">
        <f>MRS!G148</f>
        <v>EA</v>
      </c>
      <c r="E148" s="84">
        <f>MRS!H148</f>
        <v>20</v>
      </c>
      <c r="F148" s="85">
        <f>MRS!I148</f>
        <v>120</v>
      </c>
      <c r="G148" s="85">
        <f>MRS!J148</f>
        <v>2400</v>
      </c>
      <c r="H148" s="89"/>
    </row>
    <row r="149" spans="1:8" s="52" customFormat="1" ht="32.1" customHeight="1">
      <c r="A149" s="82">
        <f t="shared" si="2"/>
        <v>144</v>
      </c>
      <c r="B149" s="170" t="str">
        <f>MRS!B149&amp;" "&amp;MRS!D149</f>
        <v xml:space="preserve">Vice Grip Plier Size : 10" ( Brand : Giffex )  </v>
      </c>
      <c r="C149" s="171"/>
      <c r="D149" s="83" t="str">
        <f>MRS!G149</f>
        <v>EA</v>
      </c>
      <c r="E149" s="84">
        <f>MRS!H149</f>
        <v>30</v>
      </c>
      <c r="F149" s="85">
        <f>MRS!I149</f>
        <v>180</v>
      </c>
      <c r="G149" s="85">
        <f>MRS!J149</f>
        <v>5400</v>
      </c>
      <c r="H149" s="89"/>
    </row>
    <row r="150" spans="1:8" s="52" customFormat="1" ht="32.1" customHeight="1">
      <c r="A150" s="82">
        <f t="shared" si="2"/>
        <v>145</v>
      </c>
      <c r="B150" s="170" t="str">
        <f>MRS!B150&amp;" "&amp;MRS!D150</f>
        <v xml:space="preserve">Push Bar Door Lock Aluminum Made Compatible T-Shaped Std  </v>
      </c>
      <c r="C150" s="171"/>
      <c r="D150" s="83" t="str">
        <f>MRS!G150</f>
        <v>EA</v>
      </c>
      <c r="E150" s="84">
        <f>MRS!H150</f>
        <v>2</v>
      </c>
      <c r="F150" s="85">
        <f>MRS!I150</f>
        <v>75</v>
      </c>
      <c r="G150" s="85">
        <f>MRS!J150</f>
        <v>150</v>
      </c>
      <c r="H150" s="89"/>
    </row>
    <row r="151" spans="1:8" s="52" customFormat="1" ht="32.1" customHeight="1">
      <c r="A151" s="82">
        <f t="shared" si="2"/>
        <v>146</v>
      </c>
      <c r="B151" s="170" t="str">
        <f>MRS!B151&amp;" "&amp;MRS!D151</f>
        <v xml:space="preserve">Battery Type-D 1.5 Volt ( Brand : Duracell )  </v>
      </c>
      <c r="C151" s="171"/>
      <c r="D151" s="83" t="str">
        <f>MRS!G151</f>
        <v>EA</v>
      </c>
      <c r="E151" s="84">
        <f>MRS!H151</f>
        <v>48</v>
      </c>
      <c r="F151" s="85">
        <f>MRS!I151</f>
        <v>13</v>
      </c>
      <c r="G151" s="85">
        <f>MRS!J151</f>
        <v>624</v>
      </c>
      <c r="H151" s="89"/>
    </row>
    <row r="152" spans="1:8" s="52" customFormat="1" ht="32.1" customHeight="1">
      <c r="A152" s="82">
        <f t="shared" si="2"/>
        <v>147</v>
      </c>
      <c r="B152" s="170" t="str">
        <f>MRS!B152&amp;" "&amp;MRS!D152</f>
        <v xml:space="preserve">Spray Paint Color Blue , Yellow &amp; Black </v>
      </c>
      <c r="C152" s="171"/>
      <c r="D152" s="83" t="str">
        <f>MRS!G152</f>
        <v>EA</v>
      </c>
      <c r="E152" s="84">
        <f>MRS!H152</f>
        <v>40</v>
      </c>
      <c r="F152" s="85">
        <f>MRS!I152</f>
        <v>5.5</v>
      </c>
      <c r="G152" s="85">
        <f>MRS!J152</f>
        <v>220</v>
      </c>
      <c r="H152" s="89"/>
    </row>
    <row r="153" spans="1:8" s="52" customFormat="1" ht="32.1" customHeight="1">
      <c r="A153" s="82">
        <f t="shared" si="2"/>
        <v>148</v>
      </c>
      <c r="B153" s="170" t="str">
        <f>MRS!B153&amp;" "&amp;MRS!D153</f>
        <v xml:space="preserve">Plastic Stretcher  </v>
      </c>
      <c r="C153" s="171"/>
      <c r="D153" s="83" t="str">
        <f>MRS!G153</f>
        <v>EA</v>
      </c>
      <c r="E153" s="84">
        <f>MRS!H153</f>
        <v>2</v>
      </c>
      <c r="F153" s="85">
        <f>MRS!I153</f>
        <v>2150</v>
      </c>
      <c r="G153" s="85">
        <f>MRS!J153</f>
        <v>4300</v>
      </c>
      <c r="H153" s="89"/>
    </row>
    <row r="154" spans="1:8" s="52" customFormat="1" ht="32.1" customHeight="1">
      <c r="A154" s="82">
        <f t="shared" si="2"/>
        <v>149</v>
      </c>
      <c r="B154" s="170" t="str">
        <f>MRS!B154&amp;" "&amp;MRS!D154</f>
        <v xml:space="preserve">Makita, Drill Magnetic 50Mm 'Hb500/220 Hb500/220 - Tuv </v>
      </c>
      <c r="C154" s="171"/>
      <c r="D154" s="83" t="str">
        <f>MRS!G154</f>
        <v>EA</v>
      </c>
      <c r="E154" s="84">
        <f>MRS!H154</f>
        <v>2</v>
      </c>
      <c r="F154" s="85">
        <f>MRS!I154</f>
        <v>8900</v>
      </c>
      <c r="G154" s="85">
        <f>MRS!J154</f>
        <v>17800</v>
      </c>
      <c r="H154" s="89"/>
    </row>
    <row r="155" spans="1:8" s="52" customFormat="1" ht="32.1" customHeight="1">
      <c r="A155" s="82">
        <f t="shared" si="2"/>
        <v>150</v>
      </c>
      <c r="B155" s="170" t="str">
        <f>MRS!B155&amp;" "&amp;MRS!D155</f>
        <v xml:space="preserve">Rubber Gloves ( Brand : Sun )  </v>
      </c>
      <c r="C155" s="171"/>
      <c r="D155" s="83" t="str">
        <f>MRS!G155</f>
        <v>PAIR</v>
      </c>
      <c r="E155" s="84">
        <f>MRS!H155</f>
        <v>100</v>
      </c>
      <c r="F155" s="85">
        <f>MRS!I155</f>
        <v>3.5</v>
      </c>
      <c r="G155" s="85">
        <f>MRS!J155</f>
        <v>350</v>
      </c>
      <c r="H155" s="89"/>
    </row>
    <row r="156" spans="1:8" s="52" customFormat="1" ht="32.1" customHeight="1">
      <c r="A156" s="82">
        <f t="shared" si="2"/>
        <v>151</v>
      </c>
      <c r="B156" s="170" t="str">
        <f>MRS!B156&amp;" "&amp;MRS!D156</f>
        <v xml:space="preserve">Tyvek Suit Disposable Cover All  </v>
      </c>
      <c r="C156" s="171"/>
      <c r="D156" s="83" t="str">
        <f>MRS!G156</f>
        <v>PCS</v>
      </c>
      <c r="E156" s="84">
        <f>MRS!H156</f>
        <v>500</v>
      </c>
      <c r="F156" s="85">
        <f>MRS!I156</f>
        <v>14</v>
      </c>
      <c r="G156" s="85">
        <f>MRS!J156</f>
        <v>7000</v>
      </c>
      <c r="H156" s="89"/>
    </row>
    <row r="157" spans="1:8" s="52" customFormat="1" ht="32.1" customHeight="1">
      <c r="A157" s="82">
        <f t="shared" si="2"/>
        <v>152</v>
      </c>
      <c r="B157" s="170" t="str">
        <f>MRS!B157&amp;" "&amp;MRS!D157</f>
        <v xml:space="preserve">Hammer 1.5Kg ( Brand : Clarke )  </v>
      </c>
      <c r="C157" s="171"/>
      <c r="D157" s="83" t="str">
        <f>MRS!G157</f>
        <v>PCS</v>
      </c>
      <c r="E157" s="84">
        <f>MRS!H157</f>
        <v>20</v>
      </c>
      <c r="F157" s="85">
        <f>MRS!I157</f>
        <v>22</v>
      </c>
      <c r="G157" s="85">
        <f>MRS!J157</f>
        <v>440</v>
      </c>
      <c r="H157" s="89"/>
    </row>
    <row r="158" spans="1:8" s="52" customFormat="1" ht="32.1" customHeight="1">
      <c r="A158" s="82">
        <f t="shared" si="2"/>
        <v>153</v>
      </c>
      <c r="B158" s="170" t="str">
        <f>MRS!B158&amp;" "&amp;MRS!D158</f>
        <v xml:space="preserve">Channel Lock Pliers - 8" ( Brand : Dewesser )  </v>
      </c>
      <c r="C158" s="171"/>
      <c r="D158" s="83" t="str">
        <f>MRS!G158</f>
        <v>PCS</v>
      </c>
      <c r="E158" s="84">
        <f>MRS!H158</f>
        <v>20</v>
      </c>
      <c r="F158" s="85">
        <f>MRS!I158</f>
        <v>18</v>
      </c>
      <c r="G158" s="85">
        <f>MRS!J158</f>
        <v>360</v>
      </c>
      <c r="H158" s="89"/>
    </row>
    <row r="159" spans="1:8" s="52" customFormat="1" ht="32.1" customHeight="1">
      <c r="A159" s="82">
        <f t="shared" si="2"/>
        <v>154</v>
      </c>
      <c r="B159" s="170" t="str">
        <f>MRS!B159&amp;" "&amp;MRS!D159</f>
        <v xml:space="preserve">Banding Tool Upto 1" ( Brand : Rafpro )  </v>
      </c>
      <c r="C159" s="171"/>
      <c r="D159" s="83" t="str">
        <f>MRS!G159</f>
        <v>EA</v>
      </c>
      <c r="E159" s="84">
        <f>MRS!H159</f>
        <v>10</v>
      </c>
      <c r="F159" s="85">
        <f>MRS!I159</f>
        <v>640</v>
      </c>
      <c r="G159" s="85">
        <f>MRS!J159</f>
        <v>6400</v>
      </c>
      <c r="H159" s="89"/>
    </row>
    <row r="160" spans="1:8" s="52" customFormat="1" ht="32.1" customHeight="1">
      <c r="A160" s="82">
        <f t="shared" si="2"/>
        <v>155</v>
      </c>
      <c r="B160" s="170" t="str">
        <f>MRS!B160&amp;" "&amp;MRS!D160</f>
        <v xml:space="preserve">Makita, Angle Grinder Paddle Switch 840Watt 41/2Inch 115Mm Model# 9557Hpg/220  </v>
      </c>
      <c r="C160" s="171"/>
      <c r="D160" s="83" t="str">
        <f>MRS!G160</f>
        <v>PCS</v>
      </c>
      <c r="E160" s="84">
        <f>MRS!H160</f>
        <v>1</v>
      </c>
      <c r="F160" s="85">
        <f>MRS!I160</f>
        <v>350</v>
      </c>
      <c r="G160" s="85">
        <f>MRS!J160</f>
        <v>350</v>
      </c>
      <c r="H160" s="89"/>
    </row>
    <row r="161" spans="1:8" s="52" customFormat="1" ht="32.1" customHeight="1">
      <c r="A161" s="82">
        <f t="shared" si="2"/>
        <v>156</v>
      </c>
      <c r="B161" s="170" t="str">
        <f>MRS!B161&amp;" "&amp;MRS!D161</f>
        <v xml:space="preserve">Makita , Cordless Angle Grinder 115Mm For 18V With Paddle Switch  </v>
      </c>
      <c r="C161" s="171"/>
      <c r="D161" s="83" t="str">
        <f>MRS!G161</f>
        <v>PCS</v>
      </c>
      <c r="E161" s="84">
        <f>MRS!H161</f>
        <v>1</v>
      </c>
      <c r="F161" s="85">
        <f>MRS!I161</f>
        <v>2340</v>
      </c>
      <c r="G161" s="85">
        <f>MRS!J161</f>
        <v>2340</v>
      </c>
      <c r="H161" s="89"/>
    </row>
    <row r="162" spans="1:8" s="52" customFormat="1" ht="32.1" customHeight="1">
      <c r="A162" s="82">
        <f t="shared" si="2"/>
        <v>157</v>
      </c>
      <c r="B162" s="170" t="str">
        <f>MRS!B162&amp;" "&amp;MRS!D162</f>
        <v xml:space="preserve">Dwe1622K Magnetic Drill - Tuv </v>
      </c>
      <c r="C162" s="171"/>
      <c r="D162" s="83" t="str">
        <f>MRS!G162</f>
        <v>PCS</v>
      </c>
      <c r="E162" s="84">
        <f>MRS!H162</f>
        <v>4</v>
      </c>
      <c r="F162" s="85">
        <f>MRS!I162</f>
        <v>7195</v>
      </c>
      <c r="G162" s="85">
        <f>MRS!J162</f>
        <v>28780</v>
      </c>
      <c r="H162" s="89"/>
    </row>
    <row r="163" spans="1:8" s="52" customFormat="1" ht="32.1" customHeight="1">
      <c r="A163" s="82">
        <f t="shared" si="2"/>
        <v>158</v>
      </c>
      <c r="B163" s="170" t="str">
        <f>MRS!B163&amp;" "&amp;MRS!D163</f>
        <v xml:space="preserve">Banding Tool Upto 1" ( Brand : Rafpro )  </v>
      </c>
      <c r="C163" s="171"/>
      <c r="D163" s="83" t="str">
        <f>MRS!G163</f>
        <v>PCS</v>
      </c>
      <c r="E163" s="84">
        <f>MRS!H163</f>
        <v>40</v>
      </c>
      <c r="F163" s="85">
        <f>MRS!I163</f>
        <v>640</v>
      </c>
      <c r="G163" s="85">
        <f>MRS!J163</f>
        <v>25600</v>
      </c>
      <c r="H163" s="89"/>
    </row>
    <row r="164" spans="1:8" s="52" customFormat="1" ht="32.1" customHeight="1">
      <c r="A164" s="82">
        <f t="shared" si="2"/>
        <v>159</v>
      </c>
      <c r="B164" s="170" t="str">
        <f>MRS!B164&amp;" "&amp;MRS!D164</f>
        <v xml:space="preserve">Fire Extingusher With Trolley 25Kg Abc  </v>
      </c>
      <c r="C164" s="171"/>
      <c r="D164" s="83" t="str">
        <f>MRS!G164</f>
        <v>EA</v>
      </c>
      <c r="E164" s="84">
        <f>MRS!H164</f>
        <v>6</v>
      </c>
      <c r="F164" s="85">
        <f>MRS!I164</f>
        <v>540</v>
      </c>
      <c r="G164" s="85">
        <f>MRS!J164</f>
        <v>3240</v>
      </c>
      <c r="H164" s="89"/>
    </row>
    <row r="165" spans="1:8" s="52" customFormat="1" ht="32.1" customHeight="1">
      <c r="A165" s="82">
        <f t="shared" si="2"/>
        <v>160</v>
      </c>
      <c r="B165" s="170" t="str">
        <f>MRS!B165&amp;" "&amp;MRS!D165</f>
        <v xml:space="preserve">Sata. Tubing Cutter 3Mm-32Mm </v>
      </c>
      <c r="C165" s="171"/>
      <c r="D165" s="83" t="str">
        <f>MRS!G165</f>
        <v>EA</v>
      </c>
      <c r="E165" s="84">
        <f>MRS!H165</f>
        <v>10</v>
      </c>
      <c r="F165" s="85">
        <f>MRS!I165</f>
        <v>120</v>
      </c>
      <c r="G165" s="85">
        <f>MRS!J165</f>
        <v>1200</v>
      </c>
      <c r="H165" s="89"/>
    </row>
    <row r="166" spans="1:8" s="52" customFormat="1" ht="32.1" customHeight="1">
      <c r="A166" s="82">
        <f t="shared" si="2"/>
        <v>161</v>
      </c>
      <c r="B166" s="170" t="str">
        <f>MRS!B166&amp;" "&amp;MRS!D166</f>
        <v xml:space="preserve">Scaffolding Hand Gloves ( 120Pair/Box )  </v>
      </c>
      <c r="C166" s="171"/>
      <c r="D166" s="83" t="str">
        <f>MRS!G166</f>
        <v>BOX</v>
      </c>
      <c r="E166" s="84">
        <f>MRS!H166</f>
        <v>4</v>
      </c>
      <c r="F166" s="85">
        <f>MRS!I166</f>
        <v>540</v>
      </c>
      <c r="G166" s="85">
        <f>MRS!J166</f>
        <v>2160</v>
      </c>
      <c r="H166" s="89"/>
    </row>
    <row r="167" spans="1:8" s="52" customFormat="1" ht="32.1" customHeight="1">
      <c r="A167" s="82">
        <f t="shared" si="2"/>
        <v>162</v>
      </c>
      <c r="B167" s="170" t="str">
        <f>MRS!B167&amp;" "&amp;MRS!D167</f>
        <v xml:space="preserve">Plastic Sand Bag - 30Kg  </v>
      </c>
      <c r="C167" s="171"/>
      <c r="D167" s="83" t="str">
        <f>MRS!G167</f>
        <v>EA</v>
      </c>
      <c r="E167" s="84">
        <f>MRS!H167</f>
        <v>1000</v>
      </c>
      <c r="F167" s="85">
        <f>MRS!I167</f>
        <v>2.5</v>
      </c>
      <c r="G167" s="85">
        <f>MRS!J167</f>
        <v>2500</v>
      </c>
      <c r="H167" s="89"/>
    </row>
    <row r="168" spans="1:8" s="52" customFormat="1" ht="32.1" customHeight="1">
      <c r="A168" s="82">
        <f t="shared" si="2"/>
        <v>163</v>
      </c>
      <c r="B168" s="170" t="str">
        <f>MRS!B168&amp;" "&amp;MRS!D168</f>
        <v xml:space="preserve">Flexible Duct Hose 12" 300Mm X 5Mtr ( Brand : Giffex )  </v>
      </c>
      <c r="C168" s="171"/>
      <c r="D168" s="83" t="str">
        <f>MRS!G168</f>
        <v>EA</v>
      </c>
      <c r="E168" s="84">
        <f>MRS!H168</f>
        <v>10</v>
      </c>
      <c r="F168" s="85">
        <f>MRS!I168</f>
        <v>135</v>
      </c>
      <c r="G168" s="85">
        <f>MRS!J168</f>
        <v>1350</v>
      </c>
      <c r="H168" s="89"/>
    </row>
    <row r="169" spans="1:8" s="52" customFormat="1" ht="32.1" customHeight="1">
      <c r="A169" s="82">
        <f t="shared" si="2"/>
        <v>164</v>
      </c>
      <c r="B169" s="170" t="str">
        <f>MRS!B169&amp;" "&amp;MRS!D169</f>
        <v xml:space="preserve">Half Round File Ss-12" ( Brand : Kaspro )  </v>
      </c>
      <c r="C169" s="171"/>
      <c r="D169" s="83" t="str">
        <f>MRS!G169</f>
        <v>EA</v>
      </c>
      <c r="E169" s="84">
        <f>MRS!H169</f>
        <v>40</v>
      </c>
      <c r="F169" s="85">
        <f>MRS!I169</f>
        <v>90</v>
      </c>
      <c r="G169" s="85">
        <f>MRS!J169</f>
        <v>3600</v>
      </c>
      <c r="H169" s="89"/>
    </row>
    <row r="170" spans="1:8" s="52" customFormat="1" ht="32.1" customHeight="1">
      <c r="A170" s="82">
        <f t="shared" si="2"/>
        <v>165</v>
      </c>
      <c r="B170" s="170" t="str">
        <f>MRS!B170&amp;" "&amp;MRS!D170</f>
        <v xml:space="preserve">Knife Cutter - 138Mm X 35Mm ( Brand : Roto )  </v>
      </c>
      <c r="C170" s="171"/>
      <c r="D170" s="83" t="str">
        <f>MRS!G170</f>
        <v>EA</v>
      </c>
      <c r="E170" s="84">
        <f>MRS!H170</f>
        <v>20</v>
      </c>
      <c r="F170" s="85">
        <f>MRS!I170</f>
        <v>15</v>
      </c>
      <c r="G170" s="85">
        <f>MRS!J170</f>
        <v>300</v>
      </c>
      <c r="H170" s="89"/>
    </row>
    <row r="171" spans="1:8" s="52" customFormat="1" ht="32.1" customHeight="1">
      <c r="A171" s="82">
        <f t="shared" si="2"/>
        <v>166</v>
      </c>
      <c r="B171" s="170" t="str">
        <f>MRS!B171&amp;" "&amp;MRS!D171</f>
        <v xml:space="preserve">Paint Brush - 3"  </v>
      </c>
      <c r="C171" s="171"/>
      <c r="D171" s="83" t="str">
        <f>MRS!G171</f>
        <v>EA</v>
      </c>
      <c r="E171" s="84">
        <f>MRS!H171</f>
        <v>30</v>
      </c>
      <c r="F171" s="85">
        <f>MRS!I171</f>
        <v>2.5</v>
      </c>
      <c r="G171" s="85">
        <f>MRS!J171</f>
        <v>75</v>
      </c>
      <c r="H171" s="89"/>
    </row>
    <row r="172" spans="1:8" s="52" customFormat="1" ht="32.1" customHeight="1">
      <c r="A172" s="82">
        <f t="shared" si="2"/>
        <v>167</v>
      </c>
      <c r="B172" s="170" t="str">
        <f>MRS!B172&amp;" "&amp;MRS!D172</f>
        <v xml:space="preserve">Battery Alkaline Type Aaa 1.5V ( Brand : Duracell )  </v>
      </c>
      <c r="C172" s="171"/>
      <c r="D172" s="83" t="str">
        <f>MRS!G172</f>
        <v>EA</v>
      </c>
      <c r="E172" s="84">
        <f>MRS!H172</f>
        <v>30</v>
      </c>
      <c r="F172" s="85">
        <f>MRS!I172</f>
        <v>2.5</v>
      </c>
      <c r="G172" s="85">
        <f>MRS!J172</f>
        <v>75</v>
      </c>
      <c r="H172" s="89"/>
    </row>
    <row r="173" spans="1:8" s="52" customFormat="1" ht="32.1" customHeight="1">
      <c r="A173" s="82">
        <f t="shared" si="2"/>
        <v>168</v>
      </c>
      <c r="B173" s="170" t="str">
        <f>MRS!B173&amp;" "&amp;MRS!D173</f>
        <v xml:space="preserve">Plumb Bob 400Gram X 6Mtr  </v>
      </c>
      <c r="C173" s="171"/>
      <c r="D173" s="83" t="str">
        <f>MRS!G173</f>
        <v>EA</v>
      </c>
      <c r="E173" s="84">
        <f>MRS!H173</f>
        <v>30</v>
      </c>
      <c r="F173" s="85">
        <f>MRS!I173</f>
        <v>85</v>
      </c>
      <c r="G173" s="85">
        <f>MRS!J173</f>
        <v>2550</v>
      </c>
      <c r="H173" s="89"/>
    </row>
    <row r="174" spans="1:8" s="52" customFormat="1" ht="32.1" customHeight="1">
      <c r="A174" s="82">
        <f t="shared" si="2"/>
        <v>169</v>
      </c>
      <c r="B174" s="170" t="str">
        <f>MRS!B174&amp;" "&amp;MRS!D174</f>
        <v xml:space="preserve">Rebar Tie Wire Twister  </v>
      </c>
      <c r="C174" s="171"/>
      <c r="D174" s="83" t="str">
        <f>MRS!G174</f>
        <v>EA</v>
      </c>
      <c r="E174" s="84">
        <f>MRS!H174</f>
        <v>10</v>
      </c>
      <c r="F174" s="85">
        <f>MRS!I174</f>
        <v>12</v>
      </c>
      <c r="G174" s="85">
        <f>MRS!J174</f>
        <v>120</v>
      </c>
      <c r="H174" s="89"/>
    </row>
    <row r="175" spans="1:8" s="52" customFormat="1" ht="32.1" customHeight="1">
      <c r="A175" s="82">
        <f t="shared" si="2"/>
        <v>170</v>
      </c>
      <c r="B175" s="170" t="str">
        <f>MRS!B175&amp;" "&amp;MRS!D175</f>
        <v xml:space="preserve">Round File Ss-12" ( Brand : Kaspro )  </v>
      </c>
      <c r="C175" s="171"/>
      <c r="D175" s="83" t="str">
        <f>MRS!G175</f>
        <v>EA</v>
      </c>
      <c r="E175" s="84">
        <f>MRS!H175</f>
        <v>30</v>
      </c>
      <c r="F175" s="85">
        <f>MRS!I175</f>
        <v>90</v>
      </c>
      <c r="G175" s="85">
        <f>MRS!J175</f>
        <v>2700</v>
      </c>
      <c r="H175" s="89"/>
    </row>
    <row r="176" spans="1:8" s="52" customFormat="1" ht="32.1" customHeight="1">
      <c r="A176" s="82">
        <f t="shared" si="2"/>
        <v>171</v>
      </c>
      <c r="B176" s="170" t="str">
        <f>MRS!B176&amp;" "&amp;MRS!D176</f>
        <v xml:space="preserve">Star Screw Driver Bit 6Mm X 65Mm ( Brand : Dewesser )  </v>
      </c>
      <c r="C176" s="171"/>
      <c r="D176" s="83" t="str">
        <f>MRS!G176</f>
        <v>EA</v>
      </c>
      <c r="E176" s="84">
        <f>MRS!H176</f>
        <v>10</v>
      </c>
      <c r="F176" s="85">
        <f>MRS!I176</f>
        <v>12</v>
      </c>
      <c r="G176" s="85">
        <f>MRS!J176</f>
        <v>120</v>
      </c>
      <c r="H176" s="89"/>
    </row>
    <row r="177" spans="1:13" s="52" customFormat="1" ht="32.1" customHeight="1">
      <c r="A177" s="82">
        <f t="shared" si="2"/>
        <v>172</v>
      </c>
      <c r="B177" s="170" t="str">
        <f>MRS!B177&amp;" "&amp;MRS!D177</f>
        <v xml:space="preserve">Toe Foot Guard  </v>
      </c>
      <c r="C177" s="171"/>
      <c r="D177" s="83" t="str">
        <f>MRS!G177</f>
        <v>PAIR</v>
      </c>
      <c r="E177" s="84">
        <f>MRS!H177</f>
        <v>5</v>
      </c>
      <c r="F177" s="85">
        <f>MRS!I177</f>
        <v>245</v>
      </c>
      <c r="G177" s="85">
        <f>MRS!J177</f>
        <v>1225</v>
      </c>
      <c r="H177" s="89"/>
    </row>
    <row r="178" spans="1:13" s="52" customFormat="1" ht="32.1" customHeight="1">
      <c r="A178" s="82">
        <f t="shared" si="2"/>
        <v>173</v>
      </c>
      <c r="B178" s="170" t="str">
        <f>MRS!B178&amp;" "&amp;MRS!D178</f>
        <v xml:space="preserve">Vice Grip Plier 230Mm ( Brand : Giffex )  </v>
      </c>
      <c r="C178" s="171"/>
      <c r="D178" s="83" t="str">
        <f>MRS!G178</f>
        <v>EA</v>
      </c>
      <c r="E178" s="84">
        <f>MRS!H178</f>
        <v>5</v>
      </c>
      <c r="F178" s="85">
        <f>MRS!I178</f>
        <v>18</v>
      </c>
      <c r="G178" s="85">
        <f>MRS!J178</f>
        <v>90</v>
      </c>
      <c r="H178" s="89"/>
    </row>
    <row r="179" spans="1:13" s="52" customFormat="1" ht="32.1" customHeight="1">
      <c r="A179" s="82">
        <f t="shared" si="2"/>
        <v>174</v>
      </c>
      <c r="B179" s="170" t="str">
        <f>MRS!B179&amp;" "&amp;MRS!D179</f>
        <v xml:space="preserve">Whishle  </v>
      </c>
      <c r="C179" s="171"/>
      <c r="D179" s="83" t="str">
        <f>MRS!G179</f>
        <v>EA</v>
      </c>
      <c r="E179" s="84">
        <f>MRS!H179</f>
        <v>20</v>
      </c>
      <c r="F179" s="85">
        <f>MRS!I179</f>
        <v>3.5</v>
      </c>
      <c r="G179" s="85">
        <f>MRS!J179</f>
        <v>70</v>
      </c>
      <c r="H179" s="89"/>
    </row>
    <row r="180" spans="1:13" s="52" customFormat="1" ht="32.1" customHeight="1">
      <c r="A180" s="82">
        <f t="shared" si="2"/>
        <v>175</v>
      </c>
      <c r="B180" s="170" t="str">
        <f>MRS!B180&amp;" "&amp;MRS!D180</f>
        <v xml:space="preserve">Sata Fiberglass Claw Hammer 454G/16 Oz </v>
      </c>
      <c r="C180" s="171"/>
      <c r="D180" s="83" t="str">
        <f>MRS!G180</f>
        <v>EA</v>
      </c>
      <c r="E180" s="84">
        <f>MRS!H180</f>
        <v>4</v>
      </c>
      <c r="F180" s="85">
        <f>MRS!I180</f>
        <v>35</v>
      </c>
      <c r="G180" s="85">
        <f>MRS!J180</f>
        <v>140</v>
      </c>
      <c r="H180" s="89"/>
    </row>
    <row r="181" spans="1:13" s="52" customFormat="1" ht="23.1" customHeight="1">
      <c r="A181" s="186" t="s">
        <v>83</v>
      </c>
      <c r="B181" s="187"/>
      <c r="C181" s="187"/>
      <c r="D181" s="187"/>
      <c r="E181" s="187"/>
      <c r="F181" s="187"/>
      <c r="G181" s="55">
        <f>SUM(G6:G180)</f>
        <v>391481.52</v>
      </c>
      <c r="H181" s="56"/>
    </row>
    <row r="182" spans="1:13" s="52" customFormat="1" ht="23.1" customHeight="1">
      <c r="A182" s="186" t="s">
        <v>47</v>
      </c>
      <c r="B182" s="187"/>
      <c r="C182" s="187"/>
      <c r="D182" s="187"/>
      <c r="E182" s="187"/>
      <c r="F182" s="187"/>
      <c r="G182" s="55">
        <f>+G181*0.15</f>
        <v>58722.228000000003</v>
      </c>
      <c r="H182" s="56"/>
    </row>
    <row r="183" spans="1:13" s="52" customFormat="1" ht="24.95" customHeight="1" thickBot="1">
      <c r="A183" s="188" t="s">
        <v>84</v>
      </c>
      <c r="B183" s="189"/>
      <c r="C183" s="189"/>
      <c r="D183" s="189"/>
      <c r="E183" s="189"/>
      <c r="F183" s="189"/>
      <c r="G183" s="57">
        <f>G182+G181</f>
        <v>450203.74800000002</v>
      </c>
      <c r="H183" s="58"/>
    </row>
    <row r="184" spans="1:13" ht="15.75" thickTop="1">
      <c r="A184" s="59" t="str">
        <f>" 1) Above Price are as per your quotation with ref "&amp;'PO 1st page'!K14</f>
        <v xml:space="preserve"> 1) Above Price are as per your quotation with ref QTN-C26-150692</v>
      </c>
      <c r="B184" s="60"/>
      <c r="C184" s="60"/>
      <c r="D184" s="61"/>
      <c r="E184" s="61"/>
      <c r="F184" s="61"/>
      <c r="G184" s="61"/>
      <c r="H184" s="61"/>
    </row>
    <row r="185" spans="1:13" ht="15">
      <c r="A185" s="62" t="s">
        <v>85</v>
      </c>
      <c r="B185" s="63"/>
      <c r="C185" s="63"/>
      <c r="D185" s="64"/>
      <c r="E185" s="64"/>
      <c r="F185" s="64"/>
      <c r="G185" s="64"/>
      <c r="H185" s="64"/>
      <c r="I185" s="65"/>
    </row>
    <row r="186" spans="1:13" ht="15.75">
      <c r="A186" s="66"/>
    </row>
    <row r="187" spans="1:13">
      <c r="A187" s="161" t="s">
        <v>86</v>
      </c>
      <c r="B187" s="161"/>
      <c r="C187" s="161"/>
      <c r="D187" s="161"/>
      <c r="E187" s="161"/>
      <c r="F187" s="161"/>
      <c r="G187" s="161"/>
      <c r="H187" s="161"/>
      <c r="I187" s="67"/>
      <c r="J187" s="67"/>
      <c r="K187" s="67"/>
      <c r="L187" s="67"/>
      <c r="M187" s="67"/>
    </row>
    <row r="188" spans="1:13" ht="15.75">
      <c r="A188" s="66"/>
      <c r="C188" s="68"/>
    </row>
    <row r="189" spans="1:13" ht="15.75">
      <c r="A189" s="66"/>
      <c r="C189" s="68"/>
    </row>
    <row r="191" spans="1:13" ht="12" customHeight="1"/>
  </sheetData>
  <mergeCells count="187"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75:C175"/>
    <mergeCell ref="B176:C176"/>
    <mergeCell ref="B177:C177"/>
    <mergeCell ref="B160:C160"/>
    <mergeCell ref="B161:C161"/>
    <mergeCell ref="B162:C162"/>
    <mergeCell ref="B163:C163"/>
    <mergeCell ref="B164:C164"/>
    <mergeCell ref="B165:C165"/>
    <mergeCell ref="B166:C166"/>
    <mergeCell ref="B167:C167"/>
    <mergeCell ref="B168:C168"/>
    <mergeCell ref="B151:C151"/>
    <mergeCell ref="B152:C152"/>
    <mergeCell ref="B153:C153"/>
    <mergeCell ref="B154:C154"/>
    <mergeCell ref="B155:C155"/>
    <mergeCell ref="B156:C156"/>
    <mergeCell ref="B157:C157"/>
    <mergeCell ref="B158:C158"/>
    <mergeCell ref="B159:C159"/>
    <mergeCell ref="B142:C142"/>
    <mergeCell ref="B143:C143"/>
    <mergeCell ref="B144:C144"/>
    <mergeCell ref="B145:C145"/>
    <mergeCell ref="B146:C146"/>
    <mergeCell ref="B147:C147"/>
    <mergeCell ref="B148:C148"/>
    <mergeCell ref="B149:C149"/>
    <mergeCell ref="B150:C150"/>
    <mergeCell ref="B133:C133"/>
    <mergeCell ref="B134:C134"/>
    <mergeCell ref="B135:C135"/>
    <mergeCell ref="B136:C136"/>
    <mergeCell ref="B137:C137"/>
    <mergeCell ref="B138:C138"/>
    <mergeCell ref="B139:C139"/>
    <mergeCell ref="B140:C140"/>
    <mergeCell ref="B141:C141"/>
    <mergeCell ref="B124:C124"/>
    <mergeCell ref="B125:C125"/>
    <mergeCell ref="B126:C126"/>
    <mergeCell ref="B127:C127"/>
    <mergeCell ref="B128:C128"/>
    <mergeCell ref="B129:C129"/>
    <mergeCell ref="B130:C130"/>
    <mergeCell ref="B131:C131"/>
    <mergeCell ref="B132:C132"/>
    <mergeCell ref="B90:C90"/>
    <mergeCell ref="B91:C91"/>
    <mergeCell ref="B92:C92"/>
    <mergeCell ref="B118:C118"/>
    <mergeCell ref="B119:C119"/>
    <mergeCell ref="B120:C120"/>
    <mergeCell ref="B121:C121"/>
    <mergeCell ref="B122:C122"/>
    <mergeCell ref="B123:C123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A181:F181"/>
    <mergeCell ref="A182:F182"/>
    <mergeCell ref="A183:F183"/>
    <mergeCell ref="A187:H187"/>
    <mergeCell ref="B12:C12"/>
    <mergeCell ref="B14:C14"/>
    <mergeCell ref="B15:C15"/>
    <mergeCell ref="B20:C20"/>
    <mergeCell ref="B93:C93"/>
    <mergeCell ref="B16:C16"/>
    <mergeCell ref="B17:C17"/>
    <mergeCell ref="B19:C19"/>
    <mergeCell ref="B18:C18"/>
    <mergeCell ref="B13:C13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94:C94"/>
    <mergeCell ref="B95:C95"/>
    <mergeCell ref="B96:C96"/>
    <mergeCell ref="B97:C97"/>
    <mergeCell ref="B98:C98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B31:C31"/>
    <mergeCell ref="B32:C32"/>
    <mergeCell ref="B33:C33"/>
    <mergeCell ref="B34:C34"/>
    <mergeCell ref="B35:C35"/>
    <mergeCell ref="B104:C104"/>
    <mergeCell ref="B105:C105"/>
    <mergeCell ref="B106:C106"/>
    <mergeCell ref="B107:C107"/>
    <mergeCell ref="B108:C108"/>
    <mergeCell ref="B99:C99"/>
    <mergeCell ref="B100:C100"/>
    <mergeCell ref="B101:C101"/>
    <mergeCell ref="B102:C102"/>
    <mergeCell ref="B103:C103"/>
    <mergeCell ref="B114:C114"/>
    <mergeCell ref="B115:C115"/>
    <mergeCell ref="B116:C116"/>
    <mergeCell ref="B117:C117"/>
    <mergeCell ref="B109:C109"/>
    <mergeCell ref="B110:C110"/>
    <mergeCell ref="B111:C111"/>
    <mergeCell ref="B112:C112"/>
    <mergeCell ref="B113:C1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1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2026-07-14T04:26:56Z</cp:lastPrinted>
  <dcterms:created xsi:type="dcterms:W3CDTF">2024-10-20T11:50:19Z</dcterms:created>
  <dcterms:modified xsi:type="dcterms:W3CDTF">2026-07-14T04:30:29Z</dcterms:modified>
</cp:coreProperties>
</file>