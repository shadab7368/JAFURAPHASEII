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74BAD02-A8BE-43A0-BC79-AA2B680FC2B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MRS!$A$1:$L$83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page'!$A$1:$H$80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4" l="1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D65" i="4"/>
  <c r="E65" i="4"/>
  <c r="F65" i="4"/>
  <c r="G65" i="4"/>
  <c r="D66" i="4"/>
  <c r="E66" i="4"/>
  <c r="F66" i="4"/>
  <c r="G66" i="4"/>
  <c r="D67" i="4"/>
  <c r="E67" i="4"/>
  <c r="F67" i="4"/>
  <c r="G67" i="4"/>
  <c r="D68" i="4"/>
  <c r="E68" i="4"/>
  <c r="F68" i="4"/>
  <c r="G68" i="4"/>
  <c r="D69" i="4"/>
  <c r="E69" i="4"/>
  <c r="F69" i="4"/>
  <c r="G69" i="4"/>
  <c r="D70" i="4"/>
  <c r="E70" i="4"/>
  <c r="F70" i="4"/>
  <c r="G70" i="4"/>
  <c r="D71" i="4"/>
  <c r="E71" i="4"/>
  <c r="F71" i="4"/>
  <c r="G71" i="4"/>
  <c r="D72" i="4"/>
  <c r="E72" i="4"/>
  <c r="F72" i="4"/>
  <c r="G72" i="4"/>
  <c r="D73" i="4"/>
  <c r="E73" i="4"/>
  <c r="F73" i="4"/>
  <c r="G73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A66" i="4"/>
  <c r="A67" i="4"/>
  <c r="A68" i="4"/>
  <c r="A69" i="4"/>
  <c r="A70" i="4"/>
  <c r="A71" i="4"/>
  <c r="A72" i="4"/>
  <c r="A73" i="4"/>
  <c r="J63" i="1"/>
  <c r="J64" i="1"/>
  <c r="J65" i="1"/>
  <c r="J66" i="1"/>
  <c r="J67" i="1"/>
  <c r="J68" i="1"/>
  <c r="J69" i="1"/>
  <c r="J70" i="1"/>
  <c r="J71" i="1"/>
  <c r="J72" i="1"/>
  <c r="J73" i="1"/>
  <c r="J15" i="2" s="1"/>
  <c r="A64" i="1"/>
  <c r="A65" i="1"/>
  <c r="A66" i="1"/>
  <c r="A67" i="1"/>
  <c r="A68" i="1"/>
  <c r="A69" i="1"/>
  <c r="A70" i="1"/>
  <c r="A71" i="1"/>
  <c r="A72" i="1"/>
  <c r="A73" i="1"/>
  <c r="F6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16" i="4"/>
  <c r="A17" i="4"/>
  <c r="A18" i="4"/>
  <c r="A19" i="4"/>
  <c r="A20" i="4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15" i="2"/>
  <c r="P54" i="3"/>
  <c r="A15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2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G6" i="4" l="1"/>
  <c r="J74" i="1"/>
  <c r="K67" i="3"/>
  <c r="E3" i="1"/>
  <c r="K10" i="3" l="1"/>
  <c r="A77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75" i="4" l="1"/>
  <c r="F30" i="3" s="1"/>
  <c r="G76" i="4" l="1"/>
  <c r="F31" i="3" s="1"/>
</calcChain>
</file>

<file path=xl/sharedStrings.xml><?xml version="1.0" encoding="utf-8"?>
<sst xmlns="http://schemas.openxmlformats.org/spreadsheetml/2006/main" count="289" uniqueCount="201">
  <si>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</si>
  <si>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</si>
  <si>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</si>
  <si>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</si>
  <si>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</si>
  <si>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</si>
  <si>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</si>
  <si>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</si>
  <si>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</si>
  <si>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</si>
  <si>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</si>
  <si>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</si>
  <si>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</si>
  <si>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</si>
  <si>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</si>
  <si>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</si>
  <si>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</si>
  <si>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</si>
  <si>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</si>
  <si>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</si>
  <si>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</si>
  <si>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</si>
  <si>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</si>
  <si>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</si>
  <si>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</si>
  <si>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</si>
  <si>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</si>
  <si>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</si>
  <si>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</si>
  <si>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</si>
  <si>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</si>
  <si>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</si>
  <si>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</si>
  <si>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</si>
  <si>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</si>
  <si>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</si>
  <si>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</si>
  <si>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</si>
  <si>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</si>
  <si>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</si>
  <si>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</si>
  <si>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</si>
  <si>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</si>
  <si>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</si>
  <si>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</si>
  <si>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</si>
  <si>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</si>
  <si>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</si>
  <si>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</si>
  <si>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</si>
  <si>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</si>
  <si>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</si>
  <si>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</si>
  <si>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</si>
  <si>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</si>
  <si>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</si>
  <si>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</si>
  <si>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</si>
  <si>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</si>
  <si>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</si>
  <si>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</si>
  <si>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</si>
  <si>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</si>
  <si>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</si>
  <si>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</si>
  <si>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</si>
  <si>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</si>
  <si>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</si>
  <si>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</si>
  <si>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</si>
  <si>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</si>
  <si>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</si>
  <si>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</si>
  <si>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</si>
  <si>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</si>
  <si>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</si>
  <si>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</si>
  <si>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</si>
  <si>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</si>
  <si>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</si>
  <si>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</si>
  <si>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</si>
  <si>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</si>
  <si>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</si>
  <si>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</si>
  <si>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</si>
  <si>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</si>
  <si>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</si>
  <si>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</si>
  <si>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</si>
  <si>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</si>
  <si>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</si>
  <si>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</si>
  <si>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</si>
  <si>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</si>
  <si>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</si>
  <si>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</si>
  <si>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</si>
  <si>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</si>
  <si>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</si>
  <si>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</si>
  <si>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</si>
  <si>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</si>
  <si>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</si>
  <si>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</si>
  <si>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</si>
  <si>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</si>
  <si>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</si>
  <si>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</si>
  <si>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</si>
  <si>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</si>
  <si>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</si>
  <si>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2050187866</t>
  </si>
  <si>
    <t>312249720500003</t>
  </si>
  <si>
    <t>YAQOOT ARABIA TRADING COMPANY</t>
  </si>
  <si>
    <t>Abu Bakr Al-Razi Street Near Dharhan - Jubail Highway, Dammam 34223</t>
  </si>
  <si>
    <t>509000010006080500631</t>
  </si>
  <si>
    <t>SA11 8000 0509 6080 1050 0631</t>
  </si>
  <si>
    <t>ALRAJHI BANK</t>
  </si>
  <si>
    <t>RJHISARI</t>
  </si>
  <si>
    <t>EA</t>
  </si>
  <si>
    <t>PAIR</t>
  </si>
  <si>
    <t>ROLL</t>
  </si>
  <si>
    <t>SET</t>
  </si>
  <si>
    <t>PKT</t>
  </si>
  <si>
    <t>Site Materials</t>
  </si>
  <si>
    <t>YATCO (Yaqoot Arabia Trading Company)</t>
  </si>
  <si>
    <t>M Musthafa</t>
  </si>
  <si>
    <t>Mobile: +966 58 352 5902</t>
  </si>
  <si>
    <t>Mobile No. +966 58 352 5902, Email; sales@yatcogulf.com</t>
  </si>
  <si>
    <t xml:space="preserve">DEWALT GRINDER MACHINE 4" DWE4002 </t>
  </si>
  <si>
    <t xml:space="preserve">HIGH SPEED AIR BLOWER ( BRAND BOSCH ) </t>
  </si>
  <si>
    <t xml:space="preserve">CONCRETE DRILL MIXING PADDLE </t>
  </si>
  <si>
    <t xml:space="preserve">DEWESSER ADJUSTABLE SPANNER SIZE : 8" </t>
  </si>
  <si>
    <t xml:space="preserve">ROTO COMBINATION SPANNER # 14 </t>
  </si>
  <si>
    <t xml:space="preserve">ROTO COMBINATION SPANNER # 15 </t>
  </si>
  <si>
    <t xml:space="preserve">ROTO COMBINATION SPANNER # 17 </t>
  </si>
  <si>
    <t>SCAFFOLDING TAG HOLDER RED</t>
  </si>
  <si>
    <t>SCAFFOLDING TAG YELLOW</t>
  </si>
  <si>
    <t>SCAFFOLDING GREEN TAG</t>
  </si>
  <si>
    <t>COMBINATION PLIER 8" CR-V</t>
  </si>
  <si>
    <t>DIAGONAL CUTTING PLIER 8" CR-V</t>
  </si>
  <si>
    <t>LONG NOSE PLIER 6" CR-V</t>
  </si>
  <si>
    <t>CRIMPING TOOL LS-35WF</t>
  </si>
  <si>
    <t xml:space="preserve">SCAFFOLDING CASTER WHEEL ROTATION TYPES 8" </t>
  </si>
  <si>
    <t xml:space="preserve">SHOVEL </t>
  </si>
  <si>
    <t xml:space="preserve">DIPOSABLE COVERALL SIZE : XL </t>
  </si>
  <si>
    <t xml:space="preserve">SAFETY GOOGLE CLEAR ( BRAND : 3M MODEL 334 ) </t>
  </si>
  <si>
    <t xml:space="preserve">CHEMICAL RESISTANCE GLOVES </t>
  </si>
  <si>
    <t xml:space="preserve">RESPIRATORY MASK ( BRAND : 3M MODEL 6200 ) </t>
  </si>
  <si>
    <t xml:space="preserve">DISPOSABLE COVERALL WHITE COLOUR – XL </t>
  </si>
  <si>
    <t xml:space="preserve">SCRAPPER - 2" ( BRAND : VERMOLENS ) </t>
  </si>
  <si>
    <t xml:space="preserve">SCRAPPER - 4" ( BRAND : VERMOLENS ) </t>
  </si>
  <si>
    <t xml:space="preserve">TIM SNIPS - 8" </t>
  </si>
  <si>
    <t xml:space="preserve">LOCKING GRIP PLIER - 8" WORKPRO </t>
  </si>
  <si>
    <t xml:space="preserve">SCAFFOLDING HAND GLOVES RED </t>
  </si>
  <si>
    <t xml:space="preserve">CABLE TIE - 3.2 X 140MM, ( 100EA/PKT _ MADE IN TAIWAN ) </t>
  </si>
  <si>
    <t xml:space="preserve">CABLE TIE - 4.8 X 300MM ( 100EA/PKT _ MADE IN TAIWAN ) </t>
  </si>
  <si>
    <t xml:space="preserve">FIRE BLANKET ORANGE 1 X 50M X 0.45T ( BRAND : KASWELD ) </t>
  </si>
  <si>
    <t xml:space="preserve">NORAMAL MANGNEFLYING GLASS </t>
  </si>
  <si>
    <t xml:space="preserve">SOCKET WRENCH 22MM DRIVE 1/2" </t>
  </si>
  <si>
    <t xml:space="preserve">SOCKET WRENCH 24MM DRIVE 1/2" </t>
  </si>
  <si>
    <t xml:space="preserve">SOCKET WRENCH 27MM DRIVE 1/2" </t>
  </si>
  <si>
    <t xml:space="preserve">PIPE WRENCH 10" </t>
  </si>
  <si>
    <t xml:space="preserve">PIPE WRENCH 18" </t>
  </si>
  <si>
    <t xml:space="preserve">MAKITA DJR187Z CORDLESS RECIPRO SAW WITH 2 BATTERY &amp; CHARGER SET </t>
  </si>
  <si>
    <t xml:space="preserve">CABLE TIE - 3.2 X 140MM,100EA/PKT </t>
  </si>
  <si>
    <t xml:space="preserve">CABLE TIE - 4.8 X 300MM,100EA/PKT </t>
  </si>
  <si>
    <t xml:space="preserve">TORQUE WRENCH 5-60NM DRIVE - 3/8" ( BRAND : ROTO ) </t>
  </si>
  <si>
    <t xml:space="preserve">TORQUE WRENCH 60-330NM DRIVE - 1/2" ( BRAND : ROTO ) </t>
  </si>
  <si>
    <t xml:space="preserve">TORQUE WRENCH 100-500NM DRIVE - 3/4" ( BRAND : ROTO ) </t>
  </si>
  <si>
    <t>WD 40 - 330ML</t>
  </si>
  <si>
    <t xml:space="preserve">WALKIE TALKIE THUV8000D YT </t>
  </si>
  <si>
    <t xml:space="preserve">CAUTION TAPE - YELLOW/BLACK </t>
  </si>
  <si>
    <t xml:space="preserve">CAUTION TAPE - BLUE/WHITE </t>
  </si>
  <si>
    <t xml:space="preserve">ANTI VIBRATION HAND GLOVES SIZE : XXL </t>
  </si>
  <si>
    <t xml:space="preserve">SCAFFOLDING CANVAS BUCKET - 30KG </t>
  </si>
  <si>
    <t xml:space="preserve">POINTED CHISEL SIZE : 18X300MM </t>
  </si>
  <si>
    <t xml:space="preserve">JIGSAW MACHINE DEWALT DCS334NT 18V </t>
  </si>
  <si>
    <t xml:space="preserve">CORDLESS IMPACT DRILL DR1/2" DEWALT </t>
  </si>
  <si>
    <t>ADJUSTABLE BASE JACK</t>
  </si>
  <si>
    <t xml:space="preserve">DEMOLITION HAMMER SDS MAX 1500W GSH 7VC BOSCH </t>
  </si>
  <si>
    <t xml:space="preserve">HEAVY DUTY CABLE CUTTER CC-250L ( BRAND : GIFFEX ) </t>
  </si>
  <si>
    <t xml:space="preserve">CORDLESS IMPACT DRILL DR1/4" DEWALT </t>
  </si>
  <si>
    <t xml:space="preserve">RATCHET SPANNER 19/21MM </t>
  </si>
  <si>
    <t>AVIATION SNIPS - STRAIGHT</t>
  </si>
  <si>
    <t xml:space="preserve">CONDUID BENDER PIPE 28MM </t>
  </si>
  <si>
    <t xml:space="preserve">SHIM CUTTER </t>
  </si>
  <si>
    <t xml:space="preserve">TORQUE WRENCH DR 1/2'' / 30-150 NM </t>
  </si>
  <si>
    <t xml:space="preserve">TORQUE WRENCH DR 1/2'' / 25-205 NM </t>
  </si>
  <si>
    <t xml:space="preserve">SCAFFOLDING CANVAS BUCKET CAPACITY 40KG SIZE : 12" X 14" KASPRO </t>
  </si>
  <si>
    <t xml:space="preserve">INDUSTRIAL MIST FAN 26" 220V ( BRAND : GIFFEX ) </t>
  </si>
  <si>
    <t xml:space="preserve">ALLEN KEY SET HEX TYPES SIZE : 1MM - 10MM ( BRAND : ROTO ) </t>
  </si>
  <si>
    <t xml:space="preserve">SHOLDING IRON LEAD WIRE SIZE : 1.2MM X 100G </t>
  </si>
  <si>
    <t xml:space="preserve">SHOLDING IRON PASTE - 100GM </t>
  </si>
  <si>
    <t xml:space="preserve">SCREW DRIVER PLUS TYPES SIZE : 6 X 300MM ( BRAND : ROTO ) </t>
  </si>
  <si>
    <t xml:space="preserve">MEGAPHONE SPEAKER </t>
  </si>
  <si>
    <t xml:space="preserve">MEGAPHONE BATTERY 1.5V LR14 </t>
  </si>
  <si>
    <t>PCS</t>
  </si>
  <si>
    <t>QT-C26-150091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</si>
  <si>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-MRS-0286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</si>
</sst>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right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75</xdr:row>
          <xdr:rowOff>20054</xdr:rowOff>
        </xdr:from>
        <xdr:to>
          <xdr:col>12</xdr:col>
          <xdr:colOff>499</xdr:colOff>
          <xdr:row>82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76:$S$82" spid="_x0000_s13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110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3" width="31.710937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42" t="s">
        <v>87</v>
      </c>
      <c r="K1" s="143"/>
      <c r="L1" s="144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45" t="s">
        <v>94</v>
      </c>
      <c r="K2" s="146"/>
      <c r="L2" s="147"/>
    </row>
    <row r="3" spans="1:18" ht="20.100000000000001" customHeight="1">
      <c r="A3" s="3" t="s">
        <v>200</v>
      </c>
      <c r="B3" s="93"/>
      <c r="C3" s="93"/>
      <c r="D3" s="93"/>
      <c r="E3" s="148">
        <f>+L3</f>
        <v>46128</v>
      </c>
      <c r="F3" s="148"/>
      <c r="G3" s="148"/>
      <c r="H3" s="148"/>
      <c r="I3" s="148"/>
      <c r="J3" s="93"/>
      <c r="K3" s="93"/>
      <c r="L3" s="105">
        <v>46128</v>
      </c>
      <c r="M3" s="4"/>
    </row>
    <row r="4" spans="1:18" ht="15.95" customHeight="1">
      <c r="A4" s="127" t="s">
        <v>2</v>
      </c>
      <c r="B4" s="128" t="s">
        <v>3</v>
      </c>
      <c r="C4" s="128"/>
      <c r="D4" s="129" t="s">
        <v>4</v>
      </c>
      <c r="E4" s="130"/>
      <c r="F4" s="131"/>
      <c r="G4" s="135" t="s">
        <v>5</v>
      </c>
      <c r="H4" s="137" t="s">
        <v>6</v>
      </c>
      <c r="I4" s="137" t="s">
        <v>91</v>
      </c>
      <c r="J4" s="127" t="s">
        <v>92</v>
      </c>
      <c r="K4" s="137" t="s">
        <v>0</v>
      </c>
      <c r="L4" s="128" t="s">
        <v>7</v>
      </c>
    </row>
    <row r="5" spans="1:18" ht="15.95" customHeight="1">
      <c r="A5" s="127"/>
      <c r="B5" s="128"/>
      <c r="C5" s="128"/>
      <c r="D5" s="132"/>
      <c r="E5" s="133"/>
      <c r="F5" s="134"/>
      <c r="G5" s="136"/>
      <c r="H5" s="138"/>
      <c r="I5" s="138"/>
      <c r="J5" s="127"/>
      <c r="K5" s="138"/>
      <c r="L5" s="128"/>
    </row>
    <row r="6" spans="1:18" ht="23.25" customHeight="1">
      <c r="A6" s="5">
        <f t="shared" ref="A6:A69" si="0">ROW(A1)</f>
        <v>1</v>
      </c>
      <c r="B6" s="125" t="s">
        <v>130</v>
      </c>
      <c r="C6" s="126"/>
      <c r="D6" s="139"/>
      <c r="E6" s="140"/>
      <c r="F6" s="141"/>
      <c r="G6" s="112" t="s">
        <v>120</v>
      </c>
      <c r="H6" s="124">
        <v>2</v>
      </c>
      <c r="I6" s="113">
        <v>365</v>
      </c>
      <c r="J6" s="100">
        <f>H6*I6</f>
        <v>730</v>
      </c>
      <c r="K6" s="101" t="s">
        <v>111</v>
      </c>
      <c r="L6" s="102" t="s">
        <v>99</v>
      </c>
      <c r="R6" s="98"/>
    </row>
    <row r="7" spans="1:18" ht="23.25" customHeight="1">
      <c r="A7" s="5">
        <f t="shared" si="0"/>
        <v>2</v>
      </c>
      <c r="B7" s="125" t="s">
        <v>131</v>
      </c>
      <c r="C7" s="126"/>
      <c r="D7" s="139"/>
      <c r="E7" s="140"/>
      <c r="F7" s="141"/>
      <c r="G7" s="112" t="s">
        <v>120</v>
      </c>
      <c r="H7" s="124">
        <v>4</v>
      </c>
      <c r="I7" s="113">
        <v>880</v>
      </c>
      <c r="J7" s="100">
        <f t="shared" ref="J7:J73" si="1">H7*I7</f>
        <v>3520</v>
      </c>
      <c r="K7" s="101"/>
      <c r="L7" s="102"/>
      <c r="R7" s="98"/>
    </row>
    <row r="8" spans="1:18" ht="23.25" customHeight="1">
      <c r="A8" s="5">
        <f t="shared" si="0"/>
        <v>3</v>
      </c>
      <c r="B8" s="125" t="s">
        <v>132</v>
      </c>
      <c r="C8" s="126"/>
      <c r="D8" s="139"/>
      <c r="E8" s="140"/>
      <c r="F8" s="141"/>
      <c r="G8" s="112" t="s">
        <v>120</v>
      </c>
      <c r="H8" s="124">
        <v>4</v>
      </c>
      <c r="I8" s="113">
        <v>22</v>
      </c>
      <c r="J8" s="100">
        <f t="shared" si="1"/>
        <v>88</v>
      </c>
      <c r="K8" s="101"/>
      <c r="L8" s="102"/>
      <c r="R8" s="98"/>
    </row>
    <row r="9" spans="1:18" ht="23.25" customHeight="1">
      <c r="A9" s="5">
        <f t="shared" si="0"/>
        <v>4</v>
      </c>
      <c r="B9" s="125" t="s">
        <v>133</v>
      </c>
      <c r="C9" s="126"/>
      <c r="D9" s="139"/>
      <c r="E9" s="140"/>
      <c r="F9" s="141"/>
      <c r="G9" s="112" t="s">
        <v>198</v>
      </c>
      <c r="H9" s="124">
        <v>20</v>
      </c>
      <c r="I9" s="113">
        <v>19</v>
      </c>
      <c r="J9" s="100">
        <f t="shared" si="1"/>
        <v>380</v>
      </c>
      <c r="K9" s="101"/>
      <c r="L9" s="102"/>
      <c r="R9" s="98"/>
    </row>
    <row r="10" spans="1:18" ht="23.25" customHeight="1">
      <c r="A10" s="5">
        <f t="shared" si="0"/>
        <v>5</v>
      </c>
      <c r="B10" s="125" t="s">
        <v>134</v>
      </c>
      <c r="C10" s="126"/>
      <c r="D10" s="139"/>
      <c r="E10" s="140"/>
      <c r="F10" s="141"/>
      <c r="G10" s="112" t="s">
        <v>198</v>
      </c>
      <c r="H10" s="124">
        <v>20</v>
      </c>
      <c r="I10" s="113">
        <v>9</v>
      </c>
      <c r="J10" s="100">
        <f t="shared" si="1"/>
        <v>180</v>
      </c>
      <c r="K10" s="101"/>
      <c r="L10" s="102"/>
      <c r="R10" s="98"/>
    </row>
    <row r="11" spans="1:18" ht="23.25" customHeight="1">
      <c r="A11" s="5">
        <f t="shared" si="0"/>
        <v>6</v>
      </c>
      <c r="B11" s="125" t="s">
        <v>135</v>
      </c>
      <c r="C11" s="126"/>
      <c r="D11" s="139"/>
      <c r="E11" s="140"/>
      <c r="F11" s="141"/>
      <c r="G11" s="112" t="s">
        <v>198</v>
      </c>
      <c r="H11" s="124">
        <v>20</v>
      </c>
      <c r="I11" s="113">
        <v>12</v>
      </c>
      <c r="J11" s="100">
        <f t="shared" si="1"/>
        <v>240</v>
      </c>
      <c r="K11" s="101"/>
      <c r="L11" s="102"/>
      <c r="R11" s="98"/>
    </row>
    <row r="12" spans="1:18" ht="23.25" customHeight="1">
      <c r="A12" s="5">
        <f t="shared" si="0"/>
        <v>7</v>
      </c>
      <c r="B12" s="125" t="s">
        <v>136</v>
      </c>
      <c r="C12" s="126"/>
      <c r="D12" s="139"/>
      <c r="E12" s="140"/>
      <c r="F12" s="141"/>
      <c r="G12" s="112" t="s">
        <v>198</v>
      </c>
      <c r="H12" s="124">
        <v>20</v>
      </c>
      <c r="I12" s="113">
        <v>14</v>
      </c>
      <c r="J12" s="100">
        <f t="shared" si="1"/>
        <v>280</v>
      </c>
      <c r="K12" s="101"/>
      <c r="L12" s="102"/>
      <c r="R12" s="98"/>
    </row>
    <row r="13" spans="1:18" ht="23.25" customHeight="1">
      <c r="A13" s="5">
        <f t="shared" si="0"/>
        <v>8</v>
      </c>
      <c r="B13" s="125" t="s">
        <v>137</v>
      </c>
      <c r="C13" s="126"/>
      <c r="D13" s="139"/>
      <c r="E13" s="140"/>
      <c r="F13" s="141"/>
      <c r="G13" s="112" t="s">
        <v>120</v>
      </c>
      <c r="H13" s="124">
        <v>50</v>
      </c>
      <c r="I13" s="113">
        <v>12</v>
      </c>
      <c r="J13" s="100">
        <f t="shared" si="1"/>
        <v>600</v>
      </c>
      <c r="K13" s="101"/>
      <c r="L13" s="102"/>
      <c r="R13" s="98"/>
    </row>
    <row r="14" spans="1:18" ht="23.25" customHeight="1">
      <c r="A14" s="5">
        <f t="shared" si="0"/>
        <v>9</v>
      </c>
      <c r="B14" s="125" t="s">
        <v>138</v>
      </c>
      <c r="C14" s="126"/>
      <c r="D14" s="139"/>
      <c r="E14" s="140"/>
      <c r="F14" s="141"/>
      <c r="G14" s="112" t="s">
        <v>120</v>
      </c>
      <c r="H14" s="124">
        <v>100</v>
      </c>
      <c r="I14" s="113">
        <v>3</v>
      </c>
      <c r="J14" s="100">
        <f t="shared" si="1"/>
        <v>300</v>
      </c>
      <c r="K14" s="101"/>
      <c r="L14" s="102"/>
      <c r="R14" s="98"/>
    </row>
    <row r="15" spans="1:18" ht="23.25" customHeight="1">
      <c r="A15" s="5">
        <f t="shared" si="0"/>
        <v>10</v>
      </c>
      <c r="B15" s="125" t="s">
        <v>139</v>
      </c>
      <c r="C15" s="126"/>
      <c r="D15" s="121"/>
      <c r="E15" s="122"/>
      <c r="F15" s="123"/>
      <c r="G15" s="112" t="s">
        <v>120</v>
      </c>
      <c r="H15" s="124">
        <v>100</v>
      </c>
      <c r="I15" s="113">
        <v>3</v>
      </c>
      <c r="J15" s="100">
        <f t="shared" si="1"/>
        <v>300</v>
      </c>
      <c r="K15" s="101"/>
      <c r="L15" s="102"/>
      <c r="R15" s="98"/>
    </row>
    <row r="16" spans="1:18" ht="23.25" customHeight="1">
      <c r="A16" s="5">
        <f t="shared" si="0"/>
        <v>11</v>
      </c>
      <c r="B16" s="125" t="s">
        <v>140</v>
      </c>
      <c r="C16" s="126"/>
      <c r="D16" s="121"/>
      <c r="E16" s="122"/>
      <c r="F16" s="123"/>
      <c r="G16" s="112" t="s">
        <v>120</v>
      </c>
      <c r="H16" s="124">
        <v>1</v>
      </c>
      <c r="I16" s="113">
        <v>18</v>
      </c>
      <c r="J16" s="100">
        <f t="shared" si="1"/>
        <v>18</v>
      </c>
      <c r="K16" s="101"/>
      <c r="L16" s="102"/>
      <c r="R16" s="98"/>
    </row>
    <row r="17" spans="1:18" ht="23.25" customHeight="1">
      <c r="A17" s="5">
        <f t="shared" si="0"/>
        <v>12</v>
      </c>
      <c r="B17" s="125" t="s">
        <v>141</v>
      </c>
      <c r="C17" s="126"/>
      <c r="D17" s="121"/>
      <c r="E17" s="122"/>
      <c r="F17" s="123"/>
      <c r="G17" s="112" t="s">
        <v>120</v>
      </c>
      <c r="H17" s="124">
        <v>1</v>
      </c>
      <c r="I17" s="113">
        <v>18</v>
      </c>
      <c r="J17" s="100">
        <f t="shared" si="1"/>
        <v>18</v>
      </c>
      <c r="K17" s="101"/>
      <c r="L17" s="102"/>
      <c r="R17" s="98"/>
    </row>
    <row r="18" spans="1:18" ht="23.25" customHeight="1">
      <c r="A18" s="5">
        <f t="shared" si="0"/>
        <v>13</v>
      </c>
      <c r="B18" s="125" t="s">
        <v>142</v>
      </c>
      <c r="C18" s="126"/>
      <c r="D18" s="121"/>
      <c r="E18" s="122"/>
      <c r="F18" s="123"/>
      <c r="G18" s="112" t="s">
        <v>120</v>
      </c>
      <c r="H18" s="124">
        <v>1</v>
      </c>
      <c r="I18" s="113">
        <v>15</v>
      </c>
      <c r="J18" s="100">
        <f t="shared" si="1"/>
        <v>15</v>
      </c>
      <c r="K18" s="101"/>
      <c r="L18" s="102"/>
      <c r="R18" s="98"/>
    </row>
    <row r="19" spans="1:18" ht="23.25" customHeight="1">
      <c r="A19" s="5">
        <f t="shared" si="0"/>
        <v>14</v>
      </c>
      <c r="B19" s="125" t="s">
        <v>143</v>
      </c>
      <c r="C19" s="126"/>
      <c r="D19" s="121"/>
      <c r="E19" s="122"/>
      <c r="F19" s="123"/>
      <c r="G19" s="112" t="s">
        <v>120</v>
      </c>
      <c r="H19" s="124">
        <v>1</v>
      </c>
      <c r="I19" s="113">
        <v>55</v>
      </c>
      <c r="J19" s="100">
        <f t="shared" si="1"/>
        <v>55</v>
      </c>
      <c r="K19" s="101"/>
      <c r="L19" s="102"/>
      <c r="R19" s="98"/>
    </row>
    <row r="20" spans="1:18" ht="23.25" customHeight="1">
      <c r="A20" s="5">
        <f t="shared" si="0"/>
        <v>15</v>
      </c>
      <c r="B20" s="125" t="s">
        <v>144</v>
      </c>
      <c r="C20" s="126"/>
      <c r="D20" s="121"/>
      <c r="E20" s="122"/>
      <c r="F20" s="123"/>
      <c r="G20" s="112" t="s">
        <v>120</v>
      </c>
      <c r="H20" s="124">
        <v>12</v>
      </c>
      <c r="I20" s="113">
        <v>200</v>
      </c>
      <c r="J20" s="100">
        <f t="shared" si="1"/>
        <v>2400</v>
      </c>
      <c r="K20" s="101"/>
      <c r="L20" s="102"/>
      <c r="R20" s="98"/>
    </row>
    <row r="21" spans="1:18" ht="23.25" customHeight="1">
      <c r="A21" s="5">
        <f t="shared" si="0"/>
        <v>16</v>
      </c>
      <c r="B21" s="125" t="s">
        <v>145</v>
      </c>
      <c r="C21" s="126"/>
      <c r="D21" s="121"/>
      <c r="E21" s="122"/>
      <c r="F21" s="123"/>
      <c r="G21" s="112" t="s">
        <v>120</v>
      </c>
      <c r="H21" s="124">
        <v>10</v>
      </c>
      <c r="I21" s="113">
        <v>60</v>
      </c>
      <c r="J21" s="100">
        <f t="shared" si="1"/>
        <v>600</v>
      </c>
      <c r="K21" s="101"/>
      <c r="L21" s="102"/>
      <c r="R21" s="98"/>
    </row>
    <row r="22" spans="1:18" ht="23.25" customHeight="1">
      <c r="A22" s="5">
        <f t="shared" si="0"/>
        <v>17</v>
      </c>
      <c r="B22" s="125" t="s">
        <v>146</v>
      </c>
      <c r="C22" s="126"/>
      <c r="D22" s="121"/>
      <c r="E22" s="122"/>
      <c r="F22" s="123"/>
      <c r="G22" s="112" t="s">
        <v>120</v>
      </c>
      <c r="H22" s="124">
        <v>10</v>
      </c>
      <c r="I22" s="113">
        <v>3.5</v>
      </c>
      <c r="J22" s="100">
        <f t="shared" si="1"/>
        <v>35</v>
      </c>
      <c r="K22" s="101"/>
      <c r="L22" s="102"/>
      <c r="R22" s="98"/>
    </row>
    <row r="23" spans="1:18" ht="23.25" customHeight="1">
      <c r="A23" s="5">
        <f t="shared" si="0"/>
        <v>18</v>
      </c>
      <c r="B23" s="125" t="s">
        <v>147</v>
      </c>
      <c r="C23" s="126"/>
      <c r="D23" s="121"/>
      <c r="E23" s="122"/>
      <c r="F23" s="123"/>
      <c r="G23" s="112" t="s">
        <v>120</v>
      </c>
      <c r="H23" s="124">
        <v>20</v>
      </c>
      <c r="I23" s="113">
        <v>20</v>
      </c>
      <c r="J23" s="100">
        <f t="shared" si="1"/>
        <v>400</v>
      </c>
      <c r="K23" s="101"/>
      <c r="L23" s="102"/>
      <c r="R23" s="98"/>
    </row>
    <row r="24" spans="1:18" ht="23.25" customHeight="1">
      <c r="A24" s="5">
        <f t="shared" si="0"/>
        <v>19</v>
      </c>
      <c r="B24" s="125" t="s">
        <v>148</v>
      </c>
      <c r="C24" s="126"/>
      <c r="D24" s="121"/>
      <c r="E24" s="122"/>
      <c r="F24" s="123"/>
      <c r="G24" s="112" t="s">
        <v>121</v>
      </c>
      <c r="H24" s="124">
        <v>20</v>
      </c>
      <c r="I24" s="113">
        <v>4.5</v>
      </c>
      <c r="J24" s="100">
        <f t="shared" si="1"/>
        <v>90</v>
      </c>
      <c r="K24" s="101"/>
      <c r="L24" s="102"/>
      <c r="R24" s="98"/>
    </row>
    <row r="25" spans="1:18" ht="23.25" customHeight="1">
      <c r="A25" s="5">
        <f t="shared" si="0"/>
        <v>20</v>
      </c>
      <c r="B25" s="125" t="s">
        <v>149</v>
      </c>
      <c r="C25" s="126"/>
      <c r="D25" s="121"/>
      <c r="E25" s="122"/>
      <c r="F25" s="123"/>
      <c r="G25" s="112" t="s">
        <v>120</v>
      </c>
      <c r="H25" s="124">
        <v>20</v>
      </c>
      <c r="I25" s="113">
        <v>48</v>
      </c>
      <c r="J25" s="100">
        <f t="shared" si="1"/>
        <v>960</v>
      </c>
      <c r="K25" s="101"/>
      <c r="L25" s="102"/>
      <c r="R25" s="98"/>
    </row>
    <row r="26" spans="1:18" ht="23.25" customHeight="1">
      <c r="A26" s="5">
        <f t="shared" si="0"/>
        <v>21</v>
      </c>
      <c r="B26" s="125" t="s">
        <v>150</v>
      </c>
      <c r="C26" s="126"/>
      <c r="D26" s="121"/>
      <c r="E26" s="122"/>
      <c r="F26" s="123"/>
      <c r="G26" s="112" t="s">
        <v>120</v>
      </c>
      <c r="H26" s="124">
        <v>300</v>
      </c>
      <c r="I26" s="113">
        <v>3.5</v>
      </c>
      <c r="J26" s="100">
        <f t="shared" si="1"/>
        <v>1050</v>
      </c>
      <c r="K26" s="101"/>
      <c r="L26" s="102"/>
      <c r="R26" s="98"/>
    </row>
    <row r="27" spans="1:18" ht="23.25" customHeight="1">
      <c r="A27" s="5">
        <f t="shared" si="0"/>
        <v>22</v>
      </c>
      <c r="B27" s="125" t="s">
        <v>151</v>
      </c>
      <c r="C27" s="126"/>
      <c r="D27" s="121"/>
      <c r="E27" s="122"/>
      <c r="F27" s="123"/>
      <c r="G27" s="112" t="s">
        <v>120</v>
      </c>
      <c r="H27" s="124">
        <v>100</v>
      </c>
      <c r="I27" s="113">
        <v>1.75</v>
      </c>
      <c r="J27" s="100">
        <f t="shared" si="1"/>
        <v>175</v>
      </c>
      <c r="K27" s="101"/>
      <c r="L27" s="102"/>
      <c r="R27" s="98"/>
    </row>
    <row r="28" spans="1:18" ht="23.25" customHeight="1">
      <c r="A28" s="5">
        <f t="shared" si="0"/>
        <v>23</v>
      </c>
      <c r="B28" s="125" t="s">
        <v>152</v>
      </c>
      <c r="C28" s="126"/>
      <c r="D28" s="121"/>
      <c r="E28" s="122"/>
      <c r="F28" s="123"/>
      <c r="G28" s="112" t="s">
        <v>120</v>
      </c>
      <c r="H28" s="124">
        <v>100</v>
      </c>
      <c r="I28" s="113">
        <v>2.25</v>
      </c>
      <c r="J28" s="100">
        <f t="shared" si="1"/>
        <v>225</v>
      </c>
      <c r="K28" s="101"/>
      <c r="L28" s="102"/>
      <c r="R28" s="98"/>
    </row>
    <row r="29" spans="1:18" ht="23.25" customHeight="1">
      <c r="A29" s="5">
        <f t="shared" si="0"/>
        <v>24</v>
      </c>
      <c r="B29" s="125" t="s">
        <v>153</v>
      </c>
      <c r="C29" s="126"/>
      <c r="D29" s="121"/>
      <c r="E29" s="122"/>
      <c r="F29" s="123"/>
      <c r="G29" s="112" t="s">
        <v>120</v>
      </c>
      <c r="H29" s="124">
        <v>20</v>
      </c>
      <c r="I29" s="113">
        <v>14</v>
      </c>
      <c r="J29" s="100">
        <f t="shared" si="1"/>
        <v>280</v>
      </c>
      <c r="K29" s="101"/>
      <c r="L29" s="102"/>
      <c r="R29" s="98"/>
    </row>
    <row r="30" spans="1:18" ht="23.25" customHeight="1">
      <c r="A30" s="5">
        <f t="shared" si="0"/>
        <v>25</v>
      </c>
      <c r="B30" s="125" t="s">
        <v>154</v>
      </c>
      <c r="C30" s="126"/>
      <c r="D30" s="121"/>
      <c r="E30" s="122"/>
      <c r="F30" s="123"/>
      <c r="G30" s="112" t="s">
        <v>120</v>
      </c>
      <c r="H30" s="124">
        <v>20</v>
      </c>
      <c r="I30" s="113">
        <v>28</v>
      </c>
      <c r="J30" s="100">
        <f t="shared" si="1"/>
        <v>560</v>
      </c>
      <c r="K30" s="101"/>
      <c r="L30" s="102"/>
      <c r="R30" s="98"/>
    </row>
    <row r="31" spans="1:18" ht="23.25" customHeight="1">
      <c r="A31" s="5">
        <f t="shared" si="0"/>
        <v>26</v>
      </c>
      <c r="B31" s="125" t="s">
        <v>155</v>
      </c>
      <c r="C31" s="126"/>
      <c r="D31" s="121"/>
      <c r="E31" s="122"/>
      <c r="F31" s="123"/>
      <c r="G31" s="112" t="s">
        <v>121</v>
      </c>
      <c r="H31" s="124">
        <v>240</v>
      </c>
      <c r="I31" s="113">
        <v>4.5</v>
      </c>
      <c r="J31" s="100">
        <f t="shared" si="1"/>
        <v>1080</v>
      </c>
      <c r="K31" s="101"/>
      <c r="L31" s="102"/>
      <c r="R31" s="98"/>
    </row>
    <row r="32" spans="1:18" ht="23.25" customHeight="1">
      <c r="A32" s="5">
        <f t="shared" si="0"/>
        <v>27</v>
      </c>
      <c r="B32" s="125" t="s">
        <v>156</v>
      </c>
      <c r="C32" s="126"/>
      <c r="D32" s="121"/>
      <c r="E32" s="122"/>
      <c r="F32" s="123"/>
      <c r="G32" s="112" t="s">
        <v>120</v>
      </c>
      <c r="H32" s="124">
        <v>5000</v>
      </c>
      <c r="I32" s="113">
        <v>0.06</v>
      </c>
      <c r="J32" s="100">
        <f t="shared" si="1"/>
        <v>300</v>
      </c>
      <c r="K32" s="101"/>
      <c r="L32" s="102"/>
      <c r="R32" s="98"/>
    </row>
    <row r="33" spans="1:18" ht="23.25" customHeight="1">
      <c r="A33" s="5">
        <f t="shared" si="0"/>
        <v>28</v>
      </c>
      <c r="B33" s="125" t="s">
        <v>157</v>
      </c>
      <c r="C33" s="126"/>
      <c r="D33" s="121"/>
      <c r="E33" s="122"/>
      <c r="F33" s="123"/>
      <c r="G33" s="112" t="s">
        <v>120</v>
      </c>
      <c r="H33" s="124">
        <v>2000</v>
      </c>
      <c r="I33" s="113">
        <v>0.17</v>
      </c>
      <c r="J33" s="100">
        <f t="shared" si="1"/>
        <v>340</v>
      </c>
      <c r="K33" s="101"/>
      <c r="L33" s="102"/>
      <c r="R33" s="98"/>
    </row>
    <row r="34" spans="1:18" ht="23.25" customHeight="1">
      <c r="A34" s="5">
        <f t="shared" si="0"/>
        <v>29</v>
      </c>
      <c r="B34" s="125" t="s">
        <v>158</v>
      </c>
      <c r="C34" s="126"/>
      <c r="D34" s="121"/>
      <c r="E34" s="122"/>
      <c r="F34" s="123"/>
      <c r="G34" s="112" t="s">
        <v>122</v>
      </c>
      <c r="H34" s="124">
        <v>30</v>
      </c>
      <c r="I34" s="113">
        <v>485</v>
      </c>
      <c r="J34" s="100">
        <f t="shared" si="1"/>
        <v>14550</v>
      </c>
      <c r="K34" s="101"/>
      <c r="L34" s="102"/>
      <c r="R34" s="98"/>
    </row>
    <row r="35" spans="1:18" ht="23.25" customHeight="1">
      <c r="A35" s="5">
        <f t="shared" si="0"/>
        <v>30</v>
      </c>
      <c r="B35" s="125" t="s">
        <v>159</v>
      </c>
      <c r="C35" s="126"/>
      <c r="D35" s="121"/>
      <c r="E35" s="122"/>
      <c r="F35" s="123"/>
      <c r="G35" s="112" t="s">
        <v>120</v>
      </c>
      <c r="H35" s="124">
        <v>2</v>
      </c>
      <c r="I35" s="113">
        <v>55</v>
      </c>
      <c r="J35" s="100">
        <f t="shared" si="1"/>
        <v>110</v>
      </c>
      <c r="K35" s="101"/>
      <c r="L35" s="102"/>
      <c r="R35" s="98"/>
    </row>
    <row r="36" spans="1:18" ht="23.25" customHeight="1">
      <c r="A36" s="5">
        <f t="shared" si="0"/>
        <v>31</v>
      </c>
      <c r="B36" s="125" t="s">
        <v>160</v>
      </c>
      <c r="C36" s="126"/>
      <c r="D36" s="121"/>
      <c r="E36" s="122"/>
      <c r="F36" s="123"/>
      <c r="G36" s="112" t="s">
        <v>120</v>
      </c>
      <c r="H36" s="124">
        <v>4</v>
      </c>
      <c r="I36" s="113">
        <v>7</v>
      </c>
      <c r="J36" s="100">
        <f t="shared" si="1"/>
        <v>28</v>
      </c>
      <c r="K36" s="101"/>
      <c r="L36" s="102"/>
      <c r="R36" s="98"/>
    </row>
    <row r="37" spans="1:18" ht="23.25" customHeight="1">
      <c r="A37" s="5">
        <f t="shared" si="0"/>
        <v>32</v>
      </c>
      <c r="B37" s="125" t="s">
        <v>161</v>
      </c>
      <c r="C37" s="126"/>
      <c r="D37" s="121"/>
      <c r="E37" s="122"/>
      <c r="F37" s="123"/>
      <c r="G37" s="112" t="s">
        <v>120</v>
      </c>
      <c r="H37" s="124">
        <v>4</v>
      </c>
      <c r="I37" s="113">
        <v>7</v>
      </c>
      <c r="J37" s="100">
        <f t="shared" si="1"/>
        <v>28</v>
      </c>
      <c r="K37" s="101"/>
      <c r="L37" s="102"/>
      <c r="R37" s="98"/>
    </row>
    <row r="38" spans="1:18" ht="23.25" customHeight="1">
      <c r="A38" s="5">
        <f t="shared" si="0"/>
        <v>33</v>
      </c>
      <c r="B38" s="125" t="s">
        <v>162</v>
      </c>
      <c r="C38" s="126"/>
      <c r="D38" s="121"/>
      <c r="E38" s="122"/>
      <c r="F38" s="123"/>
      <c r="G38" s="112" t="s">
        <v>120</v>
      </c>
      <c r="H38" s="124">
        <v>4</v>
      </c>
      <c r="I38" s="113">
        <v>10</v>
      </c>
      <c r="J38" s="100">
        <f t="shared" si="1"/>
        <v>40</v>
      </c>
      <c r="K38" s="101"/>
      <c r="L38" s="102"/>
      <c r="R38" s="98"/>
    </row>
    <row r="39" spans="1:18" ht="23.25" customHeight="1">
      <c r="A39" s="5">
        <f t="shared" si="0"/>
        <v>34</v>
      </c>
      <c r="B39" s="125" t="s">
        <v>163</v>
      </c>
      <c r="C39" s="126"/>
      <c r="D39" s="121"/>
      <c r="E39" s="122"/>
      <c r="F39" s="123"/>
      <c r="G39" s="112" t="s">
        <v>120</v>
      </c>
      <c r="H39" s="124">
        <v>2</v>
      </c>
      <c r="I39" s="113">
        <v>25</v>
      </c>
      <c r="J39" s="100">
        <f t="shared" si="1"/>
        <v>50</v>
      </c>
      <c r="K39" s="101"/>
      <c r="L39" s="102"/>
      <c r="R39" s="98"/>
    </row>
    <row r="40" spans="1:18" ht="23.25" customHeight="1">
      <c r="A40" s="5">
        <f t="shared" si="0"/>
        <v>35</v>
      </c>
      <c r="B40" s="125" t="s">
        <v>164</v>
      </c>
      <c r="C40" s="126"/>
      <c r="D40" s="121"/>
      <c r="E40" s="122"/>
      <c r="F40" s="123"/>
      <c r="G40" s="112" t="s">
        <v>120</v>
      </c>
      <c r="H40" s="124">
        <v>2</v>
      </c>
      <c r="I40" s="113">
        <v>52</v>
      </c>
      <c r="J40" s="100">
        <f t="shared" si="1"/>
        <v>104</v>
      </c>
      <c r="K40" s="101"/>
      <c r="L40" s="102"/>
      <c r="R40" s="98"/>
    </row>
    <row r="41" spans="1:18" ht="23.25" customHeight="1">
      <c r="A41" s="5">
        <f t="shared" si="0"/>
        <v>36</v>
      </c>
      <c r="B41" s="125" t="s">
        <v>165</v>
      </c>
      <c r="C41" s="126"/>
      <c r="D41" s="121"/>
      <c r="E41" s="122"/>
      <c r="F41" s="123"/>
      <c r="G41" s="112" t="s">
        <v>120</v>
      </c>
      <c r="H41" s="124">
        <v>5</v>
      </c>
      <c r="I41" s="113">
        <v>2950</v>
      </c>
      <c r="J41" s="100">
        <f t="shared" si="1"/>
        <v>14750</v>
      </c>
      <c r="K41" s="101"/>
      <c r="L41" s="102"/>
      <c r="R41" s="98"/>
    </row>
    <row r="42" spans="1:18" ht="23.25" customHeight="1">
      <c r="A42" s="5">
        <f t="shared" si="0"/>
        <v>37</v>
      </c>
      <c r="B42" s="125" t="s">
        <v>166</v>
      </c>
      <c r="C42" s="126"/>
      <c r="D42" s="121"/>
      <c r="E42" s="122"/>
      <c r="F42" s="123"/>
      <c r="G42" s="112" t="s">
        <v>124</v>
      </c>
      <c r="H42" s="124">
        <v>50</v>
      </c>
      <c r="I42" s="113">
        <v>6</v>
      </c>
      <c r="J42" s="100">
        <f t="shared" si="1"/>
        <v>300</v>
      </c>
      <c r="K42" s="101"/>
      <c r="L42" s="102"/>
      <c r="R42" s="98"/>
    </row>
    <row r="43" spans="1:18" ht="23.25" customHeight="1">
      <c r="A43" s="5">
        <f t="shared" si="0"/>
        <v>38</v>
      </c>
      <c r="B43" s="125" t="s">
        <v>167</v>
      </c>
      <c r="C43" s="126"/>
      <c r="D43" s="121"/>
      <c r="E43" s="122"/>
      <c r="F43" s="123"/>
      <c r="G43" s="112" t="s">
        <v>124</v>
      </c>
      <c r="H43" s="124">
        <v>20</v>
      </c>
      <c r="I43" s="113">
        <v>17</v>
      </c>
      <c r="J43" s="100">
        <f t="shared" si="1"/>
        <v>340</v>
      </c>
      <c r="K43" s="101"/>
      <c r="L43" s="102"/>
      <c r="R43" s="98"/>
    </row>
    <row r="44" spans="1:18" ht="23.25" customHeight="1">
      <c r="A44" s="5">
        <f t="shared" si="0"/>
        <v>39</v>
      </c>
      <c r="B44" s="125" t="s">
        <v>168</v>
      </c>
      <c r="C44" s="126"/>
      <c r="D44" s="121"/>
      <c r="E44" s="122"/>
      <c r="F44" s="123"/>
      <c r="G44" s="112" t="s">
        <v>120</v>
      </c>
      <c r="H44" s="124">
        <v>2</v>
      </c>
      <c r="I44" s="113">
        <v>195</v>
      </c>
      <c r="J44" s="100">
        <f t="shared" si="1"/>
        <v>390</v>
      </c>
      <c r="K44" s="101"/>
      <c r="L44" s="102"/>
      <c r="R44" s="98"/>
    </row>
    <row r="45" spans="1:18" ht="23.25" customHeight="1">
      <c r="A45" s="5">
        <f t="shared" si="0"/>
        <v>40</v>
      </c>
      <c r="B45" s="125" t="s">
        <v>169</v>
      </c>
      <c r="C45" s="126"/>
      <c r="D45" s="121"/>
      <c r="E45" s="122"/>
      <c r="F45" s="123"/>
      <c r="G45" s="112" t="s">
        <v>120</v>
      </c>
      <c r="H45" s="124">
        <v>1</v>
      </c>
      <c r="I45" s="113">
        <v>305</v>
      </c>
      <c r="J45" s="100">
        <f t="shared" si="1"/>
        <v>305</v>
      </c>
      <c r="K45" s="101"/>
      <c r="L45" s="102"/>
      <c r="R45" s="98"/>
    </row>
    <row r="46" spans="1:18" ht="23.25" customHeight="1">
      <c r="A46" s="5">
        <f t="shared" si="0"/>
        <v>41</v>
      </c>
      <c r="B46" s="125" t="s">
        <v>170</v>
      </c>
      <c r="C46" s="126"/>
      <c r="D46" s="121"/>
      <c r="E46" s="122"/>
      <c r="F46" s="123"/>
      <c r="G46" s="112" t="s">
        <v>120</v>
      </c>
      <c r="H46" s="124">
        <v>2</v>
      </c>
      <c r="I46" s="113">
        <v>490</v>
      </c>
      <c r="J46" s="100">
        <f t="shared" si="1"/>
        <v>980</v>
      </c>
      <c r="K46" s="101"/>
      <c r="L46" s="102"/>
      <c r="R46" s="98"/>
    </row>
    <row r="47" spans="1:18" ht="23.25" customHeight="1">
      <c r="A47" s="5">
        <f t="shared" si="0"/>
        <v>42</v>
      </c>
      <c r="B47" s="125" t="s">
        <v>171</v>
      </c>
      <c r="C47" s="126"/>
      <c r="D47" s="121"/>
      <c r="E47" s="122"/>
      <c r="F47" s="123"/>
      <c r="G47" s="112" t="s">
        <v>198</v>
      </c>
      <c r="H47" s="124">
        <v>300</v>
      </c>
      <c r="I47" s="113">
        <v>17</v>
      </c>
      <c r="J47" s="100">
        <f t="shared" si="1"/>
        <v>5100</v>
      </c>
      <c r="K47" s="101"/>
      <c r="L47" s="102"/>
      <c r="R47" s="98"/>
    </row>
    <row r="48" spans="1:18" ht="23.25" customHeight="1">
      <c r="A48" s="5">
        <f t="shared" si="0"/>
        <v>43</v>
      </c>
      <c r="B48" s="125" t="s">
        <v>172</v>
      </c>
      <c r="C48" s="126"/>
      <c r="D48" s="121"/>
      <c r="E48" s="122"/>
      <c r="F48" s="123"/>
      <c r="G48" s="112" t="s">
        <v>120</v>
      </c>
      <c r="H48" s="124">
        <v>12</v>
      </c>
      <c r="I48" s="113">
        <v>390</v>
      </c>
      <c r="J48" s="100">
        <f t="shared" si="1"/>
        <v>4680</v>
      </c>
      <c r="K48" s="101"/>
      <c r="L48" s="102"/>
      <c r="R48" s="98"/>
    </row>
    <row r="49" spans="1:18" ht="23.25" customHeight="1">
      <c r="A49" s="5">
        <f t="shared" si="0"/>
        <v>44</v>
      </c>
      <c r="B49" s="125" t="s">
        <v>173</v>
      </c>
      <c r="C49" s="126"/>
      <c r="D49" s="121"/>
      <c r="E49" s="122"/>
      <c r="F49" s="123"/>
      <c r="G49" s="112" t="s">
        <v>120</v>
      </c>
      <c r="H49" s="124">
        <v>20</v>
      </c>
      <c r="I49" s="113">
        <v>4.5</v>
      </c>
      <c r="J49" s="100">
        <f t="shared" si="1"/>
        <v>90</v>
      </c>
      <c r="K49" s="101"/>
      <c r="L49" s="102"/>
      <c r="R49" s="98"/>
    </row>
    <row r="50" spans="1:18" ht="23.25" customHeight="1">
      <c r="A50" s="5">
        <f t="shared" si="0"/>
        <v>45</v>
      </c>
      <c r="B50" s="125" t="s">
        <v>174</v>
      </c>
      <c r="C50" s="126"/>
      <c r="D50" s="121"/>
      <c r="E50" s="122"/>
      <c r="F50" s="123"/>
      <c r="G50" s="112" t="s">
        <v>120</v>
      </c>
      <c r="H50" s="124">
        <v>20</v>
      </c>
      <c r="I50" s="113">
        <v>4.5</v>
      </c>
      <c r="J50" s="100">
        <f t="shared" si="1"/>
        <v>90</v>
      </c>
      <c r="K50" s="101"/>
      <c r="L50" s="102"/>
      <c r="R50" s="98"/>
    </row>
    <row r="51" spans="1:18" ht="23.25" customHeight="1">
      <c r="A51" s="5">
        <f t="shared" si="0"/>
        <v>46</v>
      </c>
      <c r="B51" s="125" t="s">
        <v>175</v>
      </c>
      <c r="C51" s="126"/>
      <c r="D51" s="121"/>
      <c r="E51" s="122"/>
      <c r="F51" s="123"/>
      <c r="G51" s="112" t="s">
        <v>120</v>
      </c>
      <c r="H51" s="124">
        <v>20</v>
      </c>
      <c r="I51" s="113">
        <v>28</v>
      </c>
      <c r="J51" s="100">
        <f t="shared" si="1"/>
        <v>560</v>
      </c>
      <c r="K51" s="101"/>
      <c r="L51" s="102"/>
      <c r="R51" s="98"/>
    </row>
    <row r="52" spans="1:18" ht="23.25" customHeight="1">
      <c r="A52" s="5">
        <f t="shared" si="0"/>
        <v>47</v>
      </c>
      <c r="B52" s="125" t="s">
        <v>176</v>
      </c>
      <c r="C52" s="126"/>
      <c r="D52" s="121"/>
      <c r="E52" s="122"/>
      <c r="F52" s="123"/>
      <c r="G52" s="112" t="s">
        <v>120</v>
      </c>
      <c r="H52" s="124">
        <v>5</v>
      </c>
      <c r="I52" s="113">
        <v>85</v>
      </c>
      <c r="J52" s="100">
        <f t="shared" si="1"/>
        <v>425</v>
      </c>
      <c r="K52" s="101"/>
      <c r="L52" s="102"/>
      <c r="R52" s="98"/>
    </row>
    <row r="53" spans="1:18" ht="23.25" customHeight="1">
      <c r="A53" s="5">
        <f t="shared" si="0"/>
        <v>48</v>
      </c>
      <c r="B53" s="125" t="s">
        <v>177</v>
      </c>
      <c r="C53" s="126"/>
      <c r="D53" s="121"/>
      <c r="E53" s="122"/>
      <c r="F53" s="123"/>
      <c r="G53" s="112" t="s">
        <v>120</v>
      </c>
      <c r="H53" s="124">
        <v>10</v>
      </c>
      <c r="I53" s="113">
        <v>13</v>
      </c>
      <c r="J53" s="100">
        <f t="shared" si="1"/>
        <v>130</v>
      </c>
      <c r="K53" s="101"/>
      <c r="L53" s="102"/>
      <c r="R53" s="98"/>
    </row>
    <row r="54" spans="1:18" ht="23.25" customHeight="1">
      <c r="A54" s="5">
        <f t="shared" si="0"/>
        <v>49</v>
      </c>
      <c r="B54" s="125" t="s">
        <v>178</v>
      </c>
      <c r="C54" s="126"/>
      <c r="D54" s="121"/>
      <c r="E54" s="122"/>
      <c r="F54" s="123"/>
      <c r="G54" s="112" t="s">
        <v>120</v>
      </c>
      <c r="H54" s="124">
        <v>1</v>
      </c>
      <c r="I54" s="113">
        <v>2495</v>
      </c>
      <c r="J54" s="100">
        <f t="shared" si="1"/>
        <v>2495</v>
      </c>
      <c r="K54" s="101"/>
      <c r="L54" s="102"/>
      <c r="R54" s="98"/>
    </row>
    <row r="55" spans="1:18" ht="23.25" customHeight="1">
      <c r="A55" s="5">
        <f t="shared" si="0"/>
        <v>50</v>
      </c>
      <c r="B55" s="125" t="s">
        <v>179</v>
      </c>
      <c r="C55" s="126"/>
      <c r="D55" s="121"/>
      <c r="E55" s="122"/>
      <c r="F55" s="123"/>
      <c r="G55" s="112" t="s">
        <v>120</v>
      </c>
      <c r="H55" s="124">
        <v>4</v>
      </c>
      <c r="I55" s="113">
        <v>1820</v>
      </c>
      <c r="J55" s="100">
        <f t="shared" si="1"/>
        <v>7280</v>
      </c>
      <c r="K55" s="101"/>
      <c r="L55" s="102"/>
      <c r="R55" s="98"/>
    </row>
    <row r="56" spans="1:18" ht="23.25" customHeight="1">
      <c r="A56" s="5">
        <f t="shared" si="0"/>
        <v>51</v>
      </c>
      <c r="B56" s="125" t="s">
        <v>180</v>
      </c>
      <c r="C56" s="126"/>
      <c r="D56" s="121"/>
      <c r="E56" s="122"/>
      <c r="F56" s="123"/>
      <c r="G56" s="112" t="s">
        <v>120</v>
      </c>
      <c r="H56" s="124">
        <v>100</v>
      </c>
      <c r="I56" s="113">
        <v>20</v>
      </c>
      <c r="J56" s="100">
        <f t="shared" si="1"/>
        <v>2000</v>
      </c>
      <c r="K56" s="101"/>
      <c r="L56" s="102"/>
      <c r="R56" s="98"/>
    </row>
    <row r="57" spans="1:18" ht="23.25" customHeight="1">
      <c r="A57" s="5">
        <f t="shared" si="0"/>
        <v>52</v>
      </c>
      <c r="B57" s="125" t="s">
        <v>181</v>
      </c>
      <c r="C57" s="126"/>
      <c r="D57" s="121"/>
      <c r="E57" s="122"/>
      <c r="F57" s="123"/>
      <c r="G57" s="112" t="s">
        <v>120</v>
      </c>
      <c r="H57" s="124">
        <v>2</v>
      </c>
      <c r="I57" s="113">
        <v>3525</v>
      </c>
      <c r="J57" s="100">
        <f t="shared" si="1"/>
        <v>7050</v>
      </c>
      <c r="K57" s="101"/>
      <c r="L57" s="102"/>
      <c r="R57" s="98"/>
    </row>
    <row r="58" spans="1:18" ht="23.25" customHeight="1">
      <c r="A58" s="5">
        <f t="shared" si="0"/>
        <v>53</v>
      </c>
      <c r="B58" s="125" t="s">
        <v>182</v>
      </c>
      <c r="C58" s="126"/>
      <c r="D58" s="121"/>
      <c r="E58" s="122"/>
      <c r="F58" s="123"/>
      <c r="G58" s="112" t="s">
        <v>120</v>
      </c>
      <c r="H58" s="124">
        <v>5</v>
      </c>
      <c r="I58" s="113">
        <v>200</v>
      </c>
      <c r="J58" s="100">
        <f t="shared" si="1"/>
        <v>1000</v>
      </c>
      <c r="K58" s="101"/>
      <c r="L58" s="102"/>
      <c r="R58" s="98"/>
    </row>
    <row r="59" spans="1:18" ht="23.25" customHeight="1">
      <c r="A59" s="5">
        <f t="shared" si="0"/>
        <v>54</v>
      </c>
      <c r="B59" s="125" t="s">
        <v>183</v>
      </c>
      <c r="C59" s="126"/>
      <c r="D59" s="121"/>
      <c r="E59" s="122"/>
      <c r="F59" s="123"/>
      <c r="G59" s="112" t="s">
        <v>120</v>
      </c>
      <c r="H59" s="124">
        <v>4</v>
      </c>
      <c r="I59" s="113">
        <v>1860</v>
      </c>
      <c r="J59" s="100">
        <f t="shared" si="1"/>
        <v>7440</v>
      </c>
      <c r="K59" s="101"/>
      <c r="L59" s="102"/>
      <c r="R59" s="98"/>
    </row>
    <row r="60" spans="1:18" ht="23.25" customHeight="1">
      <c r="A60" s="5">
        <f t="shared" si="0"/>
        <v>55</v>
      </c>
      <c r="B60" s="125" t="s">
        <v>184</v>
      </c>
      <c r="C60" s="126"/>
      <c r="D60" s="121"/>
      <c r="E60" s="122"/>
      <c r="F60" s="123"/>
      <c r="G60" s="112" t="s">
        <v>120</v>
      </c>
      <c r="H60" s="124">
        <v>20</v>
      </c>
      <c r="I60" s="113">
        <v>35</v>
      </c>
      <c r="J60" s="100">
        <f t="shared" si="1"/>
        <v>700</v>
      </c>
      <c r="K60" s="101"/>
      <c r="L60" s="102"/>
      <c r="R60" s="98"/>
    </row>
    <row r="61" spans="1:18" ht="23.25" customHeight="1">
      <c r="A61" s="5">
        <f t="shared" si="0"/>
        <v>56</v>
      </c>
      <c r="B61" s="125" t="s">
        <v>185</v>
      </c>
      <c r="C61" s="126"/>
      <c r="D61" s="121"/>
      <c r="E61" s="122"/>
      <c r="F61" s="123"/>
      <c r="G61" s="112" t="s">
        <v>120</v>
      </c>
      <c r="H61" s="124">
        <v>4</v>
      </c>
      <c r="I61" s="113">
        <v>14</v>
      </c>
      <c r="J61" s="100">
        <f t="shared" si="1"/>
        <v>56</v>
      </c>
      <c r="K61" s="101"/>
      <c r="L61" s="102"/>
      <c r="R61" s="98"/>
    </row>
    <row r="62" spans="1:18" ht="23.25" customHeight="1">
      <c r="A62" s="5">
        <f t="shared" si="0"/>
        <v>57</v>
      </c>
      <c r="B62" s="125" t="s">
        <v>186</v>
      </c>
      <c r="C62" s="126"/>
      <c r="D62" s="121"/>
      <c r="E62" s="122"/>
      <c r="F62" s="123"/>
      <c r="G62" s="112" t="s">
        <v>123</v>
      </c>
      <c r="H62" s="124">
        <v>4</v>
      </c>
      <c r="I62" s="113">
        <v>135</v>
      </c>
      <c r="J62" s="100">
        <f t="shared" si="1"/>
        <v>540</v>
      </c>
      <c r="K62" s="101"/>
      <c r="L62" s="102"/>
      <c r="R62" s="98"/>
    </row>
    <row r="63" spans="1:18" ht="23.25" customHeight="1">
      <c r="A63" s="5">
        <f t="shared" si="0"/>
        <v>58</v>
      </c>
      <c r="B63" s="125" t="s">
        <v>187</v>
      </c>
      <c r="C63" s="126"/>
      <c r="D63" s="121"/>
      <c r="E63" s="122"/>
      <c r="F63" s="123"/>
      <c r="G63" s="112" t="s">
        <v>198</v>
      </c>
      <c r="H63" s="124">
        <v>2</v>
      </c>
      <c r="I63" s="113">
        <v>14</v>
      </c>
      <c r="J63" s="100">
        <f t="shared" si="1"/>
        <v>28</v>
      </c>
      <c r="K63" s="101"/>
      <c r="L63" s="102"/>
      <c r="R63" s="98"/>
    </row>
    <row r="64" spans="1:18" ht="23.25" customHeight="1">
      <c r="A64" s="5">
        <f t="shared" si="0"/>
        <v>59</v>
      </c>
      <c r="B64" s="125" t="s">
        <v>188</v>
      </c>
      <c r="C64" s="126"/>
      <c r="D64" s="121"/>
      <c r="E64" s="122"/>
      <c r="F64" s="123"/>
      <c r="G64" s="112" t="s">
        <v>198</v>
      </c>
      <c r="H64" s="124">
        <v>1</v>
      </c>
      <c r="I64" s="113">
        <v>275</v>
      </c>
      <c r="J64" s="100">
        <f t="shared" si="1"/>
        <v>275</v>
      </c>
      <c r="K64" s="101"/>
      <c r="L64" s="102"/>
      <c r="R64" s="98"/>
    </row>
    <row r="65" spans="1:19" ht="23.25" customHeight="1">
      <c r="A65" s="5">
        <f t="shared" si="0"/>
        <v>60</v>
      </c>
      <c r="B65" s="125" t="s">
        <v>189</v>
      </c>
      <c r="C65" s="126"/>
      <c r="D65" s="121"/>
      <c r="E65" s="122"/>
      <c r="F65" s="123"/>
      <c r="G65" s="112" t="s">
        <v>198</v>
      </c>
      <c r="H65" s="124">
        <v>1</v>
      </c>
      <c r="I65" s="113">
        <v>320</v>
      </c>
      <c r="J65" s="100">
        <f t="shared" si="1"/>
        <v>320</v>
      </c>
      <c r="K65" s="101"/>
      <c r="L65" s="102"/>
      <c r="R65" s="98"/>
    </row>
    <row r="66" spans="1:19" ht="23.25" customHeight="1">
      <c r="A66" s="5">
        <f t="shared" si="0"/>
        <v>61</v>
      </c>
      <c r="B66" s="125" t="s">
        <v>190</v>
      </c>
      <c r="C66" s="126"/>
      <c r="D66" s="121"/>
      <c r="E66" s="122"/>
      <c r="F66" s="123"/>
      <c r="G66" s="112" t="s">
        <v>120</v>
      </c>
      <c r="H66" s="124">
        <v>10</v>
      </c>
      <c r="I66" s="113">
        <v>180</v>
      </c>
      <c r="J66" s="100">
        <f t="shared" si="1"/>
        <v>1800</v>
      </c>
      <c r="K66" s="101"/>
      <c r="L66" s="102"/>
      <c r="R66" s="98"/>
    </row>
    <row r="67" spans="1:19" ht="23.25" customHeight="1">
      <c r="A67" s="5">
        <f t="shared" si="0"/>
        <v>62</v>
      </c>
      <c r="B67" s="125" t="s">
        <v>191</v>
      </c>
      <c r="C67" s="126"/>
      <c r="D67" s="121"/>
      <c r="E67" s="122"/>
      <c r="F67" s="123"/>
      <c r="G67" s="112" t="s">
        <v>120</v>
      </c>
      <c r="H67" s="124">
        <v>5</v>
      </c>
      <c r="I67" s="113">
        <v>850</v>
      </c>
      <c r="J67" s="100">
        <f t="shared" si="1"/>
        <v>4250</v>
      </c>
      <c r="K67" s="101"/>
      <c r="L67" s="102"/>
      <c r="R67" s="98"/>
    </row>
    <row r="68" spans="1:19" ht="23.25" customHeight="1">
      <c r="A68" s="5">
        <f t="shared" si="0"/>
        <v>63</v>
      </c>
      <c r="B68" s="125" t="s">
        <v>192</v>
      </c>
      <c r="C68" s="126"/>
      <c r="D68" s="121"/>
      <c r="E68" s="122"/>
      <c r="F68" s="123"/>
      <c r="G68" s="112" t="s">
        <v>120</v>
      </c>
      <c r="H68" s="124">
        <v>5</v>
      </c>
      <c r="I68" s="113">
        <v>14</v>
      </c>
      <c r="J68" s="100">
        <f t="shared" si="1"/>
        <v>70</v>
      </c>
      <c r="K68" s="101"/>
      <c r="L68" s="102"/>
      <c r="R68" s="98"/>
    </row>
    <row r="69" spans="1:19" ht="23.25" customHeight="1">
      <c r="A69" s="5">
        <f t="shared" si="0"/>
        <v>64</v>
      </c>
      <c r="B69" s="125" t="s">
        <v>193</v>
      </c>
      <c r="C69" s="126"/>
      <c r="D69" s="121"/>
      <c r="E69" s="122"/>
      <c r="F69" s="123"/>
      <c r="G69" s="112" t="s">
        <v>120</v>
      </c>
      <c r="H69" s="124">
        <v>2</v>
      </c>
      <c r="I69" s="113">
        <v>12</v>
      </c>
      <c r="J69" s="100">
        <f t="shared" si="1"/>
        <v>24</v>
      </c>
      <c r="K69" s="101"/>
      <c r="L69" s="102"/>
      <c r="R69" s="98"/>
    </row>
    <row r="70" spans="1:19" ht="23.25" customHeight="1">
      <c r="A70" s="5">
        <f t="shared" ref="A70:A73" si="2">ROW(A65)</f>
        <v>65</v>
      </c>
      <c r="B70" s="125" t="s">
        <v>194</v>
      </c>
      <c r="C70" s="126"/>
      <c r="D70" s="121"/>
      <c r="E70" s="122"/>
      <c r="F70" s="123"/>
      <c r="G70" s="112" t="s">
        <v>120</v>
      </c>
      <c r="H70" s="124">
        <v>2</v>
      </c>
      <c r="I70" s="113">
        <v>7</v>
      </c>
      <c r="J70" s="100">
        <f t="shared" si="1"/>
        <v>14</v>
      </c>
      <c r="K70" s="101"/>
      <c r="L70" s="102"/>
      <c r="R70" s="98"/>
    </row>
    <row r="71" spans="1:19" ht="23.25" customHeight="1">
      <c r="A71" s="5">
        <f t="shared" si="2"/>
        <v>66</v>
      </c>
      <c r="B71" s="125" t="s">
        <v>195</v>
      </c>
      <c r="C71" s="126"/>
      <c r="D71" s="121"/>
      <c r="E71" s="122"/>
      <c r="F71" s="123"/>
      <c r="G71" s="112" t="s">
        <v>120</v>
      </c>
      <c r="H71" s="124">
        <v>10</v>
      </c>
      <c r="I71" s="113">
        <v>10</v>
      </c>
      <c r="J71" s="100">
        <f t="shared" si="1"/>
        <v>100</v>
      </c>
      <c r="K71" s="101"/>
      <c r="L71" s="102"/>
      <c r="R71" s="98"/>
    </row>
    <row r="72" spans="1:19" ht="23.25" customHeight="1">
      <c r="A72" s="5">
        <f t="shared" si="2"/>
        <v>67</v>
      </c>
      <c r="B72" s="125" t="s">
        <v>196</v>
      </c>
      <c r="C72" s="126"/>
      <c r="D72" s="121"/>
      <c r="E72" s="122"/>
      <c r="F72" s="123"/>
      <c r="G72" s="112" t="s">
        <v>120</v>
      </c>
      <c r="H72" s="124">
        <v>7</v>
      </c>
      <c r="I72" s="113">
        <v>96</v>
      </c>
      <c r="J72" s="100">
        <f t="shared" si="1"/>
        <v>672</v>
      </c>
      <c r="K72" s="101"/>
      <c r="L72" s="102"/>
      <c r="R72" s="98"/>
    </row>
    <row r="73" spans="1:19" ht="23.25" customHeight="1">
      <c r="A73" s="5">
        <f t="shared" si="2"/>
        <v>68</v>
      </c>
      <c r="B73" s="125" t="s">
        <v>197</v>
      </c>
      <c r="C73" s="126"/>
      <c r="D73" s="139"/>
      <c r="E73" s="140"/>
      <c r="F73" s="141"/>
      <c r="G73" s="112" t="s">
        <v>120</v>
      </c>
      <c r="H73" s="124">
        <v>20</v>
      </c>
      <c r="I73" s="113">
        <v>5</v>
      </c>
      <c r="J73" s="100">
        <f t="shared" si="1"/>
        <v>100</v>
      </c>
      <c r="K73" s="101"/>
      <c r="L73" s="102"/>
      <c r="R73" s="98"/>
    </row>
    <row r="74" spans="1:19" ht="23.25" customHeight="1">
      <c r="A74" s="153" t="s">
        <v>8</v>
      </c>
      <c r="B74" s="154"/>
      <c r="C74" s="103"/>
      <c r="D74" s="109"/>
      <c r="E74" s="109"/>
      <c r="F74" s="109"/>
      <c r="G74" s="110"/>
      <c r="H74" s="110"/>
      <c r="I74" s="111" t="s">
        <v>9</v>
      </c>
      <c r="J74" s="100">
        <f>SUM(J6:J73)</f>
        <v>94483</v>
      </c>
      <c r="K74" s="100"/>
      <c r="L74" s="104"/>
    </row>
    <row r="75" spans="1:19" ht="20.100000000000001" customHeight="1">
      <c r="A75" s="6" t="s">
        <v>10</v>
      </c>
      <c r="B75" s="7"/>
      <c r="C75" s="7"/>
      <c r="D75" s="7"/>
      <c r="E75" s="7"/>
      <c r="F75" s="7"/>
      <c r="G75" s="7"/>
      <c r="H75" s="7"/>
      <c r="I75" s="7"/>
      <c r="J75" s="7"/>
      <c r="K75" s="8"/>
      <c r="L75" s="9"/>
    </row>
    <row r="76" spans="1:19" ht="18" customHeight="1">
      <c r="A76" s="10"/>
      <c r="J76" s="1"/>
      <c r="K76" s="1"/>
      <c r="O76" s="11"/>
      <c r="P76" s="11"/>
      <c r="R76" s="155" t="s">
        <v>11</v>
      </c>
      <c r="S76" s="13" t="s">
        <v>12</v>
      </c>
    </row>
    <row r="77" spans="1:19" ht="50.1" customHeight="1">
      <c r="R77" s="156"/>
      <c r="S77" s="15"/>
    </row>
    <row r="78" spans="1:19" ht="17.100000000000001" customHeight="1">
      <c r="O78" s="11"/>
      <c r="P78" s="11"/>
      <c r="R78" s="150"/>
      <c r="S78" s="15" t="s">
        <v>13</v>
      </c>
    </row>
    <row r="79" spans="1:19" ht="15" customHeight="1">
      <c r="O79" s="17" t="s">
        <v>14</v>
      </c>
      <c r="P79" s="149" t="s">
        <v>15</v>
      </c>
    </row>
    <row r="80" spans="1:19" ht="18" customHeight="1">
      <c r="O80" s="18" t="s">
        <v>16</v>
      </c>
      <c r="P80" s="151"/>
      <c r="R80" s="155" t="s">
        <v>17</v>
      </c>
      <c r="S80" s="12" t="s">
        <v>12</v>
      </c>
    </row>
    <row r="81" spans="15:19" ht="50.1" customHeight="1">
      <c r="O81" s="14"/>
      <c r="P81" s="14"/>
      <c r="R81" s="156"/>
      <c r="S81" s="19"/>
    </row>
    <row r="82" spans="15:19" ht="17.100000000000001" customHeight="1">
      <c r="O82" s="16" t="s">
        <v>13</v>
      </c>
      <c r="P82" s="16" t="s">
        <v>13</v>
      </c>
      <c r="R82" s="150"/>
      <c r="S82" s="15" t="s">
        <v>13</v>
      </c>
    </row>
    <row r="83" spans="15:19" ht="9.9499999999999993" customHeight="1"/>
    <row r="84" spans="15:19" ht="19.899999999999999" customHeight="1"/>
    <row r="85" spans="15:19" ht="17.45" customHeight="1">
      <c r="O85" s="152"/>
      <c r="P85" s="152"/>
    </row>
    <row r="86" spans="15:19" ht="19.899999999999999" customHeight="1">
      <c r="O86" s="152"/>
      <c r="P86" s="152"/>
    </row>
    <row r="87" spans="15:19" ht="14.25">
      <c r="O87" s="11"/>
      <c r="P87" s="11"/>
    </row>
    <row r="88" spans="15:19" ht="65.099999999999994" customHeight="1"/>
    <row r="89" spans="15:19" ht="14.25">
      <c r="O89" s="11"/>
      <c r="P89" s="11"/>
    </row>
    <row r="90" spans="15:19" ht="19.899999999999999" customHeight="1"/>
    <row r="91" spans="15:19" ht="14.25"/>
    <row r="92" spans="15:19" ht="19.899999999999999" customHeight="1"/>
    <row r="93" spans="15:19" ht="14.25"/>
    <row r="94" spans="15:19" ht="19.899999999999999" customHeight="1"/>
    <row r="95" spans="15:19" ht="19.899999999999999" customHeight="1"/>
    <row r="96" spans="15:19" ht="64.900000000000006" customHeight="1"/>
    <row r="98" spans="15:19" ht="19.899999999999999" customHeight="1"/>
    <row r="99" spans="15:19" ht="19.899999999999999" customHeight="1"/>
    <row r="100" spans="15:19" ht="64.900000000000006" customHeight="1"/>
    <row r="104" spans="15:19" ht="21" customHeight="1">
      <c r="O104" s="149" t="s">
        <v>18</v>
      </c>
      <c r="P104" s="149" t="s">
        <v>18</v>
      </c>
      <c r="S104" s="149" t="s">
        <v>12</v>
      </c>
    </row>
    <row r="105" spans="15:19" ht="21" customHeight="1">
      <c r="O105" s="151"/>
      <c r="P105" s="151"/>
      <c r="S105" s="150"/>
    </row>
    <row r="106" spans="15:19" ht="64.900000000000006" customHeight="1">
      <c r="O106" s="14"/>
      <c r="P106" s="14"/>
      <c r="S106" s="15"/>
    </row>
    <row r="107" spans="15:19" ht="7.15" customHeight="1"/>
    <row r="108" spans="15:19" ht="21" customHeight="1">
      <c r="O108" s="149" t="s">
        <v>18</v>
      </c>
      <c r="P108" s="149" t="s">
        <v>18</v>
      </c>
      <c r="S108" s="149" t="s">
        <v>19</v>
      </c>
    </row>
    <row r="109" spans="15:19" ht="21" customHeight="1">
      <c r="O109" s="151"/>
      <c r="P109" s="151"/>
      <c r="S109" s="150"/>
    </row>
    <row r="110" spans="15:19" ht="64.900000000000006" customHeight="1">
      <c r="O110" s="14"/>
      <c r="P110" s="14"/>
      <c r="S110" s="14"/>
    </row>
  </sheetData>
  <mergeCells count="102">
    <mergeCell ref="S104:S105"/>
    <mergeCell ref="O108:O109"/>
    <mergeCell ref="P108:P109"/>
    <mergeCell ref="S108:S109"/>
    <mergeCell ref="O85:O86"/>
    <mergeCell ref="P85:P86"/>
    <mergeCell ref="O104:O105"/>
    <mergeCell ref="P104:P105"/>
    <mergeCell ref="A74:B74"/>
    <mergeCell ref="R76:R78"/>
    <mergeCell ref="P79:P80"/>
    <mergeCell ref="R80:R82"/>
    <mergeCell ref="B13:C13"/>
    <mergeCell ref="D13:F13"/>
    <mergeCell ref="B14:C14"/>
    <mergeCell ref="D14:F14"/>
    <mergeCell ref="B73:C73"/>
    <mergeCell ref="D73:F73"/>
    <mergeCell ref="B10:C10"/>
    <mergeCell ref="D10:F10"/>
    <mergeCell ref="B11:C11"/>
    <mergeCell ref="D11:F11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72:C72"/>
    <mergeCell ref="B64:C64"/>
    <mergeCell ref="B65:C65"/>
    <mergeCell ref="B66:C66"/>
    <mergeCell ref="B67:C67"/>
    <mergeCell ref="B68:C68"/>
    <mergeCell ref="B69:C69"/>
    <mergeCell ref="B70:C70"/>
    <mergeCell ref="B71:C7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SAC2-DS-MRS-0286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46128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88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57" t="str">
        <f>MRS!B6</f>
        <v xml:space="preserve">DEWALT GRINDER MACHINE 4" DWE4002 </v>
      </c>
      <c r="C6" s="158"/>
      <c r="D6" s="159">
        <f>MRS!D6</f>
        <v>0</v>
      </c>
      <c r="E6" s="160"/>
      <c r="F6" s="161"/>
      <c r="G6" s="95" t="str">
        <f>MRS!G6</f>
        <v>EA</v>
      </c>
      <c r="H6" s="95">
        <f>MRS!H6</f>
        <v>2</v>
      </c>
      <c r="I6" s="96">
        <f>MRS!I6</f>
        <v>365</v>
      </c>
      <c r="J6" s="96">
        <f>MRS!J6</f>
        <v>730</v>
      </c>
      <c r="K6" s="97"/>
      <c r="O6" s="98"/>
      <c r="P6" s="98"/>
      <c r="R6" s="98"/>
    </row>
    <row r="7" spans="1:18" ht="105" customHeight="1">
      <c r="A7" s="21">
        <f>+MRS!A7</f>
        <v>2</v>
      </c>
      <c r="B7" s="157" t="str">
        <f>MRS!B7</f>
        <v xml:space="preserve">HIGH SPEED AIR BLOWER ( BRAND BOSCH ) </v>
      </c>
      <c r="C7" s="158"/>
      <c r="D7" s="159">
        <f>MRS!D7</f>
        <v>0</v>
      </c>
      <c r="E7" s="160"/>
      <c r="F7" s="161"/>
      <c r="G7" s="95" t="str">
        <f>MRS!G7</f>
        <v>EA</v>
      </c>
      <c r="H7" s="95">
        <f>MRS!H7</f>
        <v>4</v>
      </c>
      <c r="I7" s="96">
        <f>MRS!I7</f>
        <v>880</v>
      </c>
      <c r="J7" s="96">
        <f>MRS!J7</f>
        <v>3520</v>
      </c>
      <c r="K7" s="97"/>
      <c r="O7" s="98"/>
      <c r="P7" s="98"/>
      <c r="R7" s="98"/>
    </row>
    <row r="8" spans="1:18" ht="105" customHeight="1">
      <c r="A8" s="21">
        <f>+MRS!A8</f>
        <v>3</v>
      </c>
      <c r="B8" s="157" t="str">
        <f>MRS!B8</f>
        <v xml:space="preserve">CONCRETE DRILL MIXING PADDLE </v>
      </c>
      <c r="C8" s="158"/>
      <c r="D8" s="159">
        <f>MRS!D8</f>
        <v>0</v>
      </c>
      <c r="E8" s="160"/>
      <c r="F8" s="161"/>
      <c r="G8" s="95" t="str">
        <f>MRS!G8</f>
        <v>EA</v>
      </c>
      <c r="H8" s="95">
        <f>MRS!H8</f>
        <v>4</v>
      </c>
      <c r="I8" s="96">
        <f>MRS!I8</f>
        <v>22</v>
      </c>
      <c r="J8" s="96">
        <f>MRS!J8</f>
        <v>88</v>
      </c>
      <c r="K8" s="97"/>
      <c r="O8" s="98"/>
      <c r="P8" s="98"/>
      <c r="R8" s="98"/>
    </row>
    <row r="9" spans="1:18" ht="105" customHeight="1">
      <c r="A9" s="21">
        <f>+MRS!A9</f>
        <v>4</v>
      </c>
      <c r="B9" s="157" t="str">
        <f>MRS!B9</f>
        <v xml:space="preserve">DEWESSER ADJUSTABLE SPANNER SIZE : 8" </v>
      </c>
      <c r="C9" s="158"/>
      <c r="D9" s="159">
        <f>MRS!D9</f>
        <v>0</v>
      </c>
      <c r="E9" s="160"/>
      <c r="F9" s="161"/>
      <c r="G9" s="95" t="str">
        <f>MRS!G9</f>
        <v>PCS</v>
      </c>
      <c r="H9" s="95">
        <f>MRS!H9</f>
        <v>20</v>
      </c>
      <c r="I9" s="96">
        <f>MRS!I9</f>
        <v>19</v>
      </c>
      <c r="J9" s="96">
        <f>MRS!J9</f>
        <v>380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7" t="str">
        <f>MRS!B10</f>
        <v xml:space="preserve">ROTO COMBINATION SPANNER # 14 </v>
      </c>
      <c r="C10" s="158"/>
      <c r="D10" s="159">
        <f>MRS!D10</f>
        <v>0</v>
      </c>
      <c r="E10" s="160"/>
      <c r="F10" s="161"/>
      <c r="G10" s="95" t="str">
        <f>MRS!G10</f>
        <v>PCS</v>
      </c>
      <c r="H10" s="95">
        <f>MRS!H10</f>
        <v>20</v>
      </c>
      <c r="I10" s="96">
        <f>MRS!I10</f>
        <v>9</v>
      </c>
      <c r="J10" s="96">
        <f>MRS!J10</f>
        <v>180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7" t="str">
        <f>MRS!B11</f>
        <v xml:space="preserve">ROTO COMBINATION SPANNER # 15 </v>
      </c>
      <c r="C11" s="158"/>
      <c r="D11" s="159">
        <f>MRS!D11</f>
        <v>0</v>
      </c>
      <c r="E11" s="160"/>
      <c r="F11" s="161"/>
      <c r="G11" s="95" t="str">
        <f>MRS!G11</f>
        <v>PCS</v>
      </c>
      <c r="H11" s="95">
        <f>MRS!H11</f>
        <v>20</v>
      </c>
      <c r="I11" s="96">
        <f>MRS!I11</f>
        <v>12</v>
      </c>
      <c r="J11" s="96">
        <f>MRS!J11</f>
        <v>240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7" t="str">
        <f>MRS!B12</f>
        <v xml:space="preserve">ROTO COMBINATION SPANNER # 17 </v>
      </c>
      <c r="C12" s="158"/>
      <c r="D12" s="159">
        <f>MRS!D12</f>
        <v>0</v>
      </c>
      <c r="E12" s="160"/>
      <c r="F12" s="161"/>
      <c r="G12" s="95" t="str">
        <f>MRS!G12</f>
        <v>PCS</v>
      </c>
      <c r="H12" s="95">
        <f>MRS!H12</f>
        <v>20</v>
      </c>
      <c r="I12" s="96">
        <f>MRS!I12</f>
        <v>14</v>
      </c>
      <c r="J12" s="96">
        <f>MRS!J12</f>
        <v>280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7" t="str">
        <f>MRS!B13</f>
        <v>SCAFFOLDING TAG HOLDER RED</v>
      </c>
      <c r="C13" s="158"/>
      <c r="D13" s="159">
        <f>MRS!D13</f>
        <v>0</v>
      </c>
      <c r="E13" s="160"/>
      <c r="F13" s="161"/>
      <c r="G13" s="95" t="str">
        <f>MRS!G13</f>
        <v>EA</v>
      </c>
      <c r="H13" s="95">
        <f>MRS!H13</f>
        <v>50</v>
      </c>
      <c r="I13" s="96">
        <f>MRS!I13</f>
        <v>12</v>
      </c>
      <c r="J13" s="96">
        <f>MRS!J13</f>
        <v>600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7" t="str">
        <f>MRS!B14</f>
        <v>SCAFFOLDING TAG YELLOW</v>
      </c>
      <c r="C14" s="158"/>
      <c r="D14" s="159">
        <f>MRS!D14</f>
        <v>0</v>
      </c>
      <c r="E14" s="160"/>
      <c r="F14" s="161"/>
      <c r="G14" s="95" t="str">
        <f>MRS!G14</f>
        <v>EA</v>
      </c>
      <c r="H14" s="95">
        <f>MRS!H14</f>
        <v>100</v>
      </c>
      <c r="I14" s="96">
        <f>MRS!I14</f>
        <v>3</v>
      </c>
      <c r="J14" s="96">
        <f>MRS!J14</f>
        <v>300</v>
      </c>
      <c r="K14" s="97"/>
      <c r="O14" s="98"/>
      <c r="P14" s="98"/>
      <c r="R14" s="98"/>
    </row>
    <row r="15" spans="1:18" ht="105" customHeight="1">
      <c r="A15" s="21">
        <f>+MRS!A73</f>
        <v>68</v>
      </c>
      <c r="B15" s="157" t="str">
        <f>MRS!B73</f>
        <v xml:space="preserve">MEGAPHONE BATTERY 1.5V LR14 </v>
      </c>
      <c r="C15" s="158"/>
      <c r="D15" s="159">
        <f>MRS!D73</f>
        <v>0</v>
      </c>
      <c r="E15" s="160"/>
      <c r="F15" s="161"/>
      <c r="G15" s="95" t="str">
        <f>MRS!G73</f>
        <v>EA</v>
      </c>
      <c r="H15" s="95">
        <f>MRS!H73</f>
        <v>20</v>
      </c>
      <c r="I15" s="96">
        <f>MRS!I73</f>
        <v>5</v>
      </c>
      <c r="J15" s="96">
        <f>MRS!J73</f>
        <v>100</v>
      </c>
      <c r="K15" s="97"/>
      <c r="O15" s="98"/>
      <c r="P15" s="98"/>
      <c r="R15" s="98"/>
    </row>
    <row r="16" spans="1:18" ht="105" customHeight="1">
      <c r="A16" s="21"/>
      <c r="B16" s="157"/>
      <c r="C16" s="158"/>
      <c r="D16" s="159"/>
      <c r="E16" s="160"/>
      <c r="F16" s="161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7"/>
      <c r="C17" s="158"/>
      <c r="D17" s="159"/>
      <c r="E17" s="160"/>
      <c r="F17" s="161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7"/>
      <c r="C18" s="158"/>
      <c r="D18" s="159"/>
      <c r="E18" s="160"/>
      <c r="F18" s="161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7"/>
      <c r="C19" s="158"/>
      <c r="D19" s="159"/>
      <c r="E19" s="160"/>
      <c r="F19" s="161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7"/>
      <c r="C20" s="158"/>
      <c r="D20" s="159"/>
      <c r="E20" s="160"/>
      <c r="F20" s="161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7"/>
      <c r="C21" s="158"/>
      <c r="D21" s="159"/>
      <c r="E21" s="160"/>
      <c r="F21" s="161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126</v>
      </c>
      <c r="D9" s="38"/>
      <c r="E9" s="38"/>
    </row>
    <row r="10" spans="2:13" s="38" customFormat="1">
      <c r="B10" s="69"/>
      <c r="C10" s="38" t="s">
        <v>29</v>
      </c>
      <c r="D10" s="73" t="s">
        <v>112</v>
      </c>
      <c r="J10" s="38" t="s">
        <v>30</v>
      </c>
      <c r="K10" s="165">
        <f>MRS!L3</f>
        <v>46128</v>
      </c>
      <c r="L10" s="166"/>
      <c r="M10" s="166"/>
    </row>
    <row r="11" spans="2:13" s="38" customFormat="1">
      <c r="B11" s="69"/>
      <c r="C11" s="72" t="s">
        <v>31</v>
      </c>
      <c r="D11" s="73" t="s">
        <v>113</v>
      </c>
      <c r="J11" s="38" t="s">
        <v>32</v>
      </c>
      <c r="K11" s="167" t="str">
        <f>SUBSTITUTE(SUBSTITUTE(+MRS!A3,"  MRS No : ",""),"-MRS","-PO")</f>
        <v>SAC2-DS-PO-0286</v>
      </c>
      <c r="L11" s="167"/>
      <c r="M11" s="167"/>
    </row>
    <row r="12" spans="2:13" s="38" customFormat="1">
      <c r="B12" s="69"/>
      <c r="C12" s="72" t="s">
        <v>33</v>
      </c>
      <c r="D12" s="38" t="s">
        <v>127</v>
      </c>
      <c r="J12" s="38" t="s">
        <v>34</v>
      </c>
    </row>
    <row r="13" spans="2:13" s="38" customFormat="1">
      <c r="B13" s="69"/>
      <c r="C13" s="74"/>
      <c r="D13" s="73" t="s">
        <v>129</v>
      </c>
      <c r="J13" s="38" t="s">
        <v>35</v>
      </c>
    </row>
    <row r="14" spans="2:13" s="38" customFormat="1">
      <c r="B14" s="69"/>
      <c r="C14" s="115" t="s">
        <v>115</v>
      </c>
      <c r="J14" s="38" t="s">
        <v>36</v>
      </c>
      <c r="K14" s="38" t="s">
        <v>199</v>
      </c>
    </row>
    <row r="15" spans="2:13" s="38" customFormat="1">
      <c r="B15" s="69"/>
      <c r="C15" s="72" t="s">
        <v>128</v>
      </c>
      <c r="J15" s="38" t="s">
        <v>37</v>
      </c>
      <c r="K15" s="75">
        <v>46127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8" t="s">
        <v>38</v>
      </c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</row>
    <row r="19" spans="2:13" ht="12" customHeight="1"/>
    <row r="20" spans="2:13" s="31" customFormat="1" ht="12" customHeight="1">
      <c r="B20" s="169" t="s">
        <v>39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</row>
    <row r="21" spans="2:13" s="31" customFormat="1" ht="12" customHeight="1">
      <c r="B21" s="169" t="s">
        <v>40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</row>
    <row r="22" spans="2:13" s="31" customFormat="1" ht="12" customHeight="1">
      <c r="B22" s="169" t="s">
        <v>41</v>
      </c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</row>
    <row r="23" spans="2:13" ht="3.75" customHeight="1"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2:13" ht="6.95" customHeight="1"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125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page'!G74</f>
        <v>94483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page'!G75</f>
        <v>14172.449999999999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page'!G76</f>
        <v>108655.45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7" t="s">
        <v>104</v>
      </c>
      <c r="F54" s="26" t="s">
        <v>114</v>
      </c>
      <c r="P54" s="26" t="str">
        <f>UPPER(F54)</f>
        <v>YAQOOT ARABIA TRADING COMPANY</v>
      </c>
    </row>
    <row r="55" spans="2:16" ht="12" customHeight="1">
      <c r="B55" s="81" t="s">
        <v>62</v>
      </c>
      <c r="C55" s="117" t="s">
        <v>105</v>
      </c>
      <c r="F55" s="118" t="s">
        <v>116</v>
      </c>
    </row>
    <row r="56" spans="2:16" ht="12" customHeight="1">
      <c r="B56" s="81" t="s">
        <v>62</v>
      </c>
      <c r="C56" s="117" t="s">
        <v>106</v>
      </c>
      <c r="F56" s="26" t="s">
        <v>117</v>
      </c>
    </row>
    <row r="57" spans="2:16" ht="12" customHeight="1">
      <c r="B57" s="81" t="s">
        <v>62</v>
      </c>
      <c r="C57" s="117" t="s">
        <v>107</v>
      </c>
      <c r="F57" s="26" t="s">
        <v>118</v>
      </c>
    </row>
    <row r="58" spans="2:16" ht="12" customHeight="1">
      <c r="B58" s="81" t="s">
        <v>62</v>
      </c>
      <c r="C58" s="117" t="s">
        <v>108</v>
      </c>
      <c r="F58" s="26" t="s">
        <v>119</v>
      </c>
    </row>
    <row r="59" spans="2:16" ht="12" customHeight="1">
      <c r="B59" s="81" t="s">
        <v>62</v>
      </c>
      <c r="C59" s="117" t="s">
        <v>109</v>
      </c>
      <c r="F59" s="26" t="s">
        <v>103</v>
      </c>
    </row>
    <row r="60" spans="2:16" ht="12" customHeight="1">
      <c r="B60" s="81"/>
      <c r="C60" s="117" t="s">
        <v>110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 Musthafa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72" t="str">
        <f>C9</f>
        <v>YATCO (Yaqoot Arabia Trading Company)</v>
      </c>
      <c r="K70" s="172"/>
      <c r="L70" s="172"/>
      <c r="M70" s="172"/>
    </row>
    <row r="71" spans="1:13" ht="27.95" customHeight="1">
      <c r="A71" s="164" t="s">
        <v>72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84"/>
  <sheetViews>
    <sheetView showGridLines="0" view="pageBreakPreview" zoomScaleSheetLayoutView="100" zoomScalePageLayoutView="55" workbookViewId="0">
      <selection activeCell="B4" sqref="B4:C5"/>
    </sheetView>
  </sheetViews>
  <sheetFormatPr defaultColWidth="9" defaultRowHeight="12.75"/>
  <cols>
    <col min="1" max="1" width="8.5703125" style="42" customWidth="1"/>
    <col min="2" max="3" width="26.710937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SAC2-DS-PO-0286</v>
      </c>
      <c r="C2" s="175" t="s">
        <v>74</v>
      </c>
      <c r="D2" s="175"/>
      <c r="E2" s="175"/>
      <c r="F2" s="175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46128</v>
      </c>
      <c r="C3" s="48"/>
      <c r="D3" s="49"/>
      <c r="E3" s="176" t="s">
        <v>76</v>
      </c>
      <c r="F3" s="176"/>
      <c r="G3" s="176"/>
      <c r="H3" s="176"/>
      <c r="I3" s="50"/>
    </row>
    <row r="4" spans="1:13" s="52" customFormat="1" ht="28.5" customHeight="1" thickTop="1">
      <c r="A4" s="177" t="s">
        <v>77</v>
      </c>
      <c r="B4" s="179" t="s">
        <v>78</v>
      </c>
      <c r="C4" s="180"/>
      <c r="D4" s="183" t="s">
        <v>79</v>
      </c>
      <c r="E4" s="183" t="s">
        <v>80</v>
      </c>
      <c r="F4" s="185" t="str">
        <f>'PO 1st page'!C9</f>
        <v>YATCO (Yaqoot Arabia Trading Company)</v>
      </c>
      <c r="G4" s="186"/>
      <c r="H4" s="187" t="s">
        <v>81</v>
      </c>
      <c r="K4" s="53"/>
      <c r="L4" s="53"/>
      <c r="M4" s="53"/>
    </row>
    <row r="5" spans="1:13" s="52" customFormat="1" ht="21.95" customHeight="1">
      <c r="A5" s="178"/>
      <c r="B5" s="181"/>
      <c r="C5" s="182"/>
      <c r="D5" s="184"/>
      <c r="E5" s="184"/>
      <c r="F5" s="54" t="s">
        <v>82</v>
      </c>
      <c r="G5" s="54" t="s">
        <v>48</v>
      </c>
      <c r="H5" s="188"/>
      <c r="K5" s="53"/>
      <c r="L5" s="53"/>
      <c r="M5" s="53"/>
    </row>
    <row r="6" spans="1:13" s="52" customFormat="1" ht="27.75" customHeight="1">
      <c r="A6" s="82">
        <f t="shared" ref="A6:A69" si="0">ROW(A1)</f>
        <v>1</v>
      </c>
      <c r="B6" s="173" t="str">
        <f>MRS!B6&amp;" "&amp;MRS!D6</f>
        <v xml:space="preserve">DEWALT GRINDER MACHINE 4" DWE4002  </v>
      </c>
      <c r="C6" s="174"/>
      <c r="D6" s="83" t="str">
        <f>MRS!G6</f>
        <v>EA</v>
      </c>
      <c r="E6" s="84">
        <f>MRS!H6</f>
        <v>2</v>
      </c>
      <c r="F6" s="85">
        <f>MRS!I6</f>
        <v>365</v>
      </c>
      <c r="G6" s="86">
        <f>MRS!J6</f>
        <v>730</v>
      </c>
      <c r="H6" s="87" t="s">
        <v>99</v>
      </c>
      <c r="K6" s="88"/>
      <c r="L6" s="89"/>
      <c r="M6" s="53"/>
    </row>
    <row r="7" spans="1:13" s="52" customFormat="1" ht="27.75" customHeight="1">
      <c r="A7" s="82">
        <f t="shared" si="0"/>
        <v>2</v>
      </c>
      <c r="B7" s="173" t="str">
        <f>MRS!B7&amp;" "&amp;MRS!D7</f>
        <v xml:space="preserve">HIGH SPEED AIR BLOWER ( BRAND BOSCH )  </v>
      </c>
      <c r="C7" s="174"/>
      <c r="D7" s="83" t="str">
        <f>MRS!G7</f>
        <v>EA</v>
      </c>
      <c r="E7" s="84">
        <f>MRS!H7</f>
        <v>4</v>
      </c>
      <c r="F7" s="85">
        <f>MRS!I7</f>
        <v>880</v>
      </c>
      <c r="G7" s="86">
        <f>MRS!J7</f>
        <v>3520</v>
      </c>
      <c r="H7" s="87"/>
      <c r="K7" s="88"/>
      <c r="L7" s="89"/>
      <c r="M7" s="53"/>
    </row>
    <row r="8" spans="1:13" s="52" customFormat="1" ht="27.75" customHeight="1">
      <c r="A8" s="90">
        <f t="shared" si="0"/>
        <v>3</v>
      </c>
      <c r="B8" s="173" t="str">
        <f>MRS!B8&amp;" "&amp;MRS!D8</f>
        <v xml:space="preserve">CONCRETE DRILL MIXING PADDLE  </v>
      </c>
      <c r="C8" s="174"/>
      <c r="D8" s="83" t="str">
        <f>MRS!G8</f>
        <v>EA</v>
      </c>
      <c r="E8" s="84">
        <f>MRS!H8</f>
        <v>4</v>
      </c>
      <c r="F8" s="85">
        <f>MRS!I8</f>
        <v>22</v>
      </c>
      <c r="G8" s="86">
        <f>MRS!J8</f>
        <v>88</v>
      </c>
      <c r="H8" s="87"/>
      <c r="K8" s="53"/>
      <c r="L8" s="53"/>
      <c r="M8" s="53"/>
    </row>
    <row r="9" spans="1:13" s="52" customFormat="1" ht="27.75" customHeight="1">
      <c r="A9" s="90">
        <f t="shared" si="0"/>
        <v>4</v>
      </c>
      <c r="B9" s="173" t="str">
        <f>MRS!B9&amp;" "&amp;MRS!D9</f>
        <v xml:space="preserve">DEWESSER ADJUSTABLE SPANNER SIZE : 8"  </v>
      </c>
      <c r="C9" s="174"/>
      <c r="D9" s="83" t="str">
        <f>MRS!G9</f>
        <v>PCS</v>
      </c>
      <c r="E9" s="84">
        <f>MRS!H9</f>
        <v>20</v>
      </c>
      <c r="F9" s="85">
        <f>MRS!I9</f>
        <v>19</v>
      </c>
      <c r="G9" s="86">
        <f>MRS!J9</f>
        <v>380</v>
      </c>
      <c r="H9" s="91"/>
    </row>
    <row r="10" spans="1:13" s="52" customFormat="1" ht="27.75" customHeight="1">
      <c r="A10" s="90">
        <f t="shared" si="0"/>
        <v>5</v>
      </c>
      <c r="B10" s="173" t="str">
        <f>MRS!B10&amp;" "&amp;MRS!D10</f>
        <v xml:space="preserve">ROTO COMBINATION SPANNER # 14  </v>
      </c>
      <c r="C10" s="174"/>
      <c r="D10" s="83" t="str">
        <f>MRS!G10</f>
        <v>PCS</v>
      </c>
      <c r="E10" s="84">
        <f>MRS!H10</f>
        <v>20</v>
      </c>
      <c r="F10" s="85">
        <f>MRS!I10</f>
        <v>9</v>
      </c>
      <c r="G10" s="86">
        <f>MRS!J10</f>
        <v>180</v>
      </c>
      <c r="H10" s="91"/>
    </row>
    <row r="11" spans="1:13" s="52" customFormat="1" ht="27.75" customHeight="1">
      <c r="A11" s="90">
        <f t="shared" si="0"/>
        <v>6</v>
      </c>
      <c r="B11" s="173" t="str">
        <f>MRS!B11&amp;" "&amp;MRS!D11</f>
        <v xml:space="preserve">ROTO COMBINATION SPANNER # 15  </v>
      </c>
      <c r="C11" s="174"/>
      <c r="D11" s="83" t="str">
        <f>MRS!G11</f>
        <v>PCS</v>
      </c>
      <c r="E11" s="84">
        <f>MRS!H11</f>
        <v>20</v>
      </c>
      <c r="F11" s="85">
        <f>MRS!I11</f>
        <v>12</v>
      </c>
      <c r="G11" s="86">
        <f>MRS!J11</f>
        <v>240</v>
      </c>
      <c r="H11" s="91"/>
    </row>
    <row r="12" spans="1:13" s="52" customFormat="1" ht="27.75" customHeight="1">
      <c r="A12" s="90">
        <f t="shared" si="0"/>
        <v>7</v>
      </c>
      <c r="B12" s="173" t="str">
        <f>MRS!B12&amp;" "&amp;MRS!D12</f>
        <v xml:space="preserve">ROTO COMBINATION SPANNER # 17  </v>
      </c>
      <c r="C12" s="174"/>
      <c r="D12" s="83" t="str">
        <f>MRS!G12</f>
        <v>PCS</v>
      </c>
      <c r="E12" s="84">
        <f>MRS!H12</f>
        <v>20</v>
      </c>
      <c r="F12" s="85">
        <f>MRS!I12</f>
        <v>14</v>
      </c>
      <c r="G12" s="86">
        <f>MRS!J12</f>
        <v>280</v>
      </c>
      <c r="H12" s="91"/>
    </row>
    <row r="13" spans="1:13" s="52" customFormat="1" ht="27.75" customHeight="1">
      <c r="A13" s="90">
        <f t="shared" si="0"/>
        <v>8</v>
      </c>
      <c r="B13" s="173" t="str">
        <f>MRS!B13&amp;" "&amp;MRS!D13</f>
        <v xml:space="preserve">SCAFFOLDING TAG HOLDER RED </v>
      </c>
      <c r="C13" s="174"/>
      <c r="D13" s="83" t="str">
        <f>MRS!G13</f>
        <v>EA</v>
      </c>
      <c r="E13" s="84">
        <f>MRS!H13</f>
        <v>50</v>
      </c>
      <c r="F13" s="85">
        <f>MRS!I13</f>
        <v>12</v>
      </c>
      <c r="G13" s="86">
        <f>MRS!J13</f>
        <v>600</v>
      </c>
      <c r="H13" s="91"/>
    </row>
    <row r="14" spans="1:13" s="52" customFormat="1" ht="27.75" customHeight="1">
      <c r="A14" s="90">
        <f t="shared" si="0"/>
        <v>9</v>
      </c>
      <c r="B14" s="173" t="str">
        <f>MRS!B14&amp;" "&amp;MRS!D14</f>
        <v xml:space="preserve">SCAFFOLDING TAG YELLOW </v>
      </c>
      <c r="C14" s="174"/>
      <c r="D14" s="83" t="str">
        <f>MRS!G14</f>
        <v>EA</v>
      </c>
      <c r="E14" s="84">
        <f>MRS!H14</f>
        <v>100</v>
      </c>
      <c r="F14" s="85">
        <f>MRS!I14</f>
        <v>3</v>
      </c>
      <c r="G14" s="86">
        <f>MRS!J14</f>
        <v>300</v>
      </c>
      <c r="H14" s="91"/>
    </row>
    <row r="15" spans="1:13" s="52" customFormat="1" ht="27.75" customHeight="1">
      <c r="A15" s="90">
        <f t="shared" si="0"/>
        <v>10</v>
      </c>
      <c r="B15" s="173" t="str">
        <f>MRS!B15&amp;" "&amp;MRS!D15</f>
        <v xml:space="preserve">SCAFFOLDING GREEN TAG </v>
      </c>
      <c r="C15" s="174"/>
      <c r="D15" s="83" t="str">
        <f>MRS!G15</f>
        <v>EA</v>
      </c>
      <c r="E15" s="84">
        <f>MRS!H15</f>
        <v>100</v>
      </c>
      <c r="F15" s="85">
        <f>MRS!I15</f>
        <v>3</v>
      </c>
      <c r="G15" s="86">
        <f>MRS!J15</f>
        <v>300</v>
      </c>
      <c r="H15" s="91"/>
    </row>
    <row r="16" spans="1:13" s="52" customFormat="1" ht="27.75" customHeight="1">
      <c r="A16" s="90">
        <f t="shared" si="0"/>
        <v>11</v>
      </c>
      <c r="B16" s="173" t="str">
        <f>MRS!B16&amp;" "&amp;MRS!D16</f>
        <v xml:space="preserve">COMBINATION PLIER 8" CR-V </v>
      </c>
      <c r="C16" s="174"/>
      <c r="D16" s="83" t="str">
        <f>MRS!G16</f>
        <v>EA</v>
      </c>
      <c r="E16" s="84">
        <f>MRS!H16</f>
        <v>1</v>
      </c>
      <c r="F16" s="85">
        <f>MRS!I16</f>
        <v>18</v>
      </c>
      <c r="G16" s="86">
        <f>MRS!J16</f>
        <v>18</v>
      </c>
      <c r="H16" s="91"/>
    </row>
    <row r="17" spans="1:8" s="52" customFormat="1" ht="27.75" customHeight="1">
      <c r="A17" s="90">
        <f t="shared" si="0"/>
        <v>12</v>
      </c>
      <c r="B17" s="173" t="str">
        <f>MRS!B17&amp;" "&amp;MRS!D17</f>
        <v xml:space="preserve">DIAGONAL CUTTING PLIER 8" CR-V </v>
      </c>
      <c r="C17" s="174"/>
      <c r="D17" s="83" t="str">
        <f>MRS!G17</f>
        <v>EA</v>
      </c>
      <c r="E17" s="84">
        <f>MRS!H17</f>
        <v>1</v>
      </c>
      <c r="F17" s="85">
        <f>MRS!I17</f>
        <v>18</v>
      </c>
      <c r="G17" s="86">
        <f>MRS!J17</f>
        <v>18</v>
      </c>
      <c r="H17" s="91"/>
    </row>
    <row r="18" spans="1:8" s="52" customFormat="1" ht="27.75" customHeight="1">
      <c r="A18" s="90">
        <f t="shared" si="0"/>
        <v>13</v>
      </c>
      <c r="B18" s="173" t="str">
        <f>MRS!B18&amp;" "&amp;MRS!D18</f>
        <v xml:space="preserve">LONG NOSE PLIER 6" CR-V </v>
      </c>
      <c r="C18" s="174"/>
      <c r="D18" s="83" t="str">
        <f>MRS!G18</f>
        <v>EA</v>
      </c>
      <c r="E18" s="84">
        <f>MRS!H18</f>
        <v>1</v>
      </c>
      <c r="F18" s="85">
        <f>MRS!I18</f>
        <v>15</v>
      </c>
      <c r="G18" s="86">
        <f>MRS!J18</f>
        <v>15</v>
      </c>
      <c r="H18" s="91"/>
    </row>
    <row r="19" spans="1:8" s="52" customFormat="1" ht="27.75" customHeight="1">
      <c r="A19" s="90">
        <f t="shared" si="0"/>
        <v>14</v>
      </c>
      <c r="B19" s="173" t="str">
        <f>MRS!B19&amp;" "&amp;MRS!D19</f>
        <v xml:space="preserve">CRIMPING TOOL LS-35WF </v>
      </c>
      <c r="C19" s="174"/>
      <c r="D19" s="83" t="str">
        <f>MRS!G19</f>
        <v>EA</v>
      </c>
      <c r="E19" s="84">
        <f>MRS!H19</f>
        <v>1</v>
      </c>
      <c r="F19" s="85">
        <f>MRS!I19</f>
        <v>55</v>
      </c>
      <c r="G19" s="86">
        <f>MRS!J19</f>
        <v>55</v>
      </c>
      <c r="H19" s="91"/>
    </row>
    <row r="20" spans="1:8" s="52" customFormat="1" ht="27.75" customHeight="1">
      <c r="A20" s="90">
        <f t="shared" si="0"/>
        <v>15</v>
      </c>
      <c r="B20" s="173" t="str">
        <f>MRS!B20&amp;" "&amp;MRS!D20</f>
        <v xml:space="preserve">SCAFFOLDING CASTER WHEEL ROTATION TYPES 8"  </v>
      </c>
      <c r="C20" s="174"/>
      <c r="D20" s="83" t="str">
        <f>MRS!G20</f>
        <v>EA</v>
      </c>
      <c r="E20" s="84">
        <f>MRS!H20</f>
        <v>12</v>
      </c>
      <c r="F20" s="85">
        <f>MRS!I20</f>
        <v>200</v>
      </c>
      <c r="G20" s="86">
        <f>MRS!J20</f>
        <v>2400</v>
      </c>
      <c r="H20" s="91"/>
    </row>
    <row r="21" spans="1:8" s="52" customFormat="1" ht="27.75" customHeight="1">
      <c r="A21" s="90">
        <f t="shared" si="0"/>
        <v>16</v>
      </c>
      <c r="B21" s="173" t="str">
        <f>MRS!B21&amp;" "&amp;MRS!D21</f>
        <v xml:space="preserve">SHOVEL  </v>
      </c>
      <c r="C21" s="174"/>
      <c r="D21" s="83" t="str">
        <f>MRS!G21</f>
        <v>EA</v>
      </c>
      <c r="E21" s="84">
        <f>MRS!H21</f>
        <v>10</v>
      </c>
      <c r="F21" s="85">
        <f>MRS!I21</f>
        <v>60</v>
      </c>
      <c r="G21" s="86">
        <f>MRS!J21</f>
        <v>600</v>
      </c>
      <c r="H21" s="91"/>
    </row>
    <row r="22" spans="1:8" s="52" customFormat="1" ht="27.75" customHeight="1">
      <c r="A22" s="90">
        <f t="shared" si="0"/>
        <v>17</v>
      </c>
      <c r="B22" s="173" t="str">
        <f>MRS!B22&amp;" "&amp;MRS!D22</f>
        <v xml:space="preserve">DIPOSABLE COVERALL SIZE : XL  </v>
      </c>
      <c r="C22" s="174"/>
      <c r="D22" s="83" t="str">
        <f>MRS!G22</f>
        <v>EA</v>
      </c>
      <c r="E22" s="84">
        <f>MRS!H22</f>
        <v>10</v>
      </c>
      <c r="F22" s="85">
        <f>MRS!I22</f>
        <v>3.5</v>
      </c>
      <c r="G22" s="86">
        <f>MRS!J22</f>
        <v>35</v>
      </c>
      <c r="H22" s="91"/>
    </row>
    <row r="23" spans="1:8" s="52" customFormat="1" ht="27.75" customHeight="1">
      <c r="A23" s="90">
        <f t="shared" si="0"/>
        <v>18</v>
      </c>
      <c r="B23" s="173" t="str">
        <f>MRS!B23&amp;" "&amp;MRS!D23</f>
        <v xml:space="preserve">SAFETY GOOGLE CLEAR ( BRAND : 3M MODEL 334 )  </v>
      </c>
      <c r="C23" s="174"/>
      <c r="D23" s="83" t="str">
        <f>MRS!G23</f>
        <v>EA</v>
      </c>
      <c r="E23" s="84">
        <f>MRS!H23</f>
        <v>20</v>
      </c>
      <c r="F23" s="85">
        <f>MRS!I23</f>
        <v>20</v>
      </c>
      <c r="G23" s="86">
        <f>MRS!J23</f>
        <v>400</v>
      </c>
      <c r="H23" s="91"/>
    </row>
    <row r="24" spans="1:8" s="52" customFormat="1" ht="27.75" customHeight="1">
      <c r="A24" s="90">
        <f t="shared" si="0"/>
        <v>19</v>
      </c>
      <c r="B24" s="173" t="str">
        <f>MRS!B24&amp;" "&amp;MRS!D24</f>
        <v xml:space="preserve">CHEMICAL RESISTANCE GLOVES  </v>
      </c>
      <c r="C24" s="174"/>
      <c r="D24" s="83" t="str">
        <f>MRS!G24</f>
        <v>PAIR</v>
      </c>
      <c r="E24" s="84">
        <f>MRS!H24</f>
        <v>20</v>
      </c>
      <c r="F24" s="85">
        <f>MRS!I24</f>
        <v>4.5</v>
      </c>
      <c r="G24" s="86">
        <f>MRS!J24</f>
        <v>90</v>
      </c>
      <c r="H24" s="91"/>
    </row>
    <row r="25" spans="1:8" s="52" customFormat="1" ht="27.75" customHeight="1">
      <c r="A25" s="90">
        <f t="shared" si="0"/>
        <v>20</v>
      </c>
      <c r="B25" s="173" t="str">
        <f>MRS!B25&amp;" "&amp;MRS!D25</f>
        <v xml:space="preserve">RESPIRATORY MASK ( BRAND : 3M MODEL 6200 )  </v>
      </c>
      <c r="C25" s="174"/>
      <c r="D25" s="83" t="str">
        <f>MRS!G25</f>
        <v>EA</v>
      </c>
      <c r="E25" s="84">
        <f>MRS!H25</f>
        <v>20</v>
      </c>
      <c r="F25" s="85">
        <f>MRS!I25</f>
        <v>48</v>
      </c>
      <c r="G25" s="86">
        <f>MRS!J25</f>
        <v>960</v>
      </c>
      <c r="H25" s="91"/>
    </row>
    <row r="26" spans="1:8" s="52" customFormat="1" ht="27.75" customHeight="1">
      <c r="A26" s="90">
        <f t="shared" si="0"/>
        <v>21</v>
      </c>
      <c r="B26" s="173" t="str">
        <f>MRS!B26&amp;" "&amp;MRS!D26</f>
        <v xml:space="preserve">DISPOSABLE COVERALL WHITE COLOUR – XL  </v>
      </c>
      <c r="C26" s="174"/>
      <c r="D26" s="83" t="str">
        <f>MRS!G26</f>
        <v>EA</v>
      </c>
      <c r="E26" s="84">
        <f>MRS!H26</f>
        <v>300</v>
      </c>
      <c r="F26" s="85">
        <f>MRS!I26</f>
        <v>3.5</v>
      </c>
      <c r="G26" s="86">
        <f>MRS!J26</f>
        <v>1050</v>
      </c>
      <c r="H26" s="91"/>
    </row>
    <row r="27" spans="1:8" s="52" customFormat="1" ht="27.75" customHeight="1">
      <c r="A27" s="90">
        <f t="shared" si="0"/>
        <v>22</v>
      </c>
      <c r="B27" s="173" t="str">
        <f>MRS!B27&amp;" "&amp;MRS!D27</f>
        <v xml:space="preserve">SCRAPPER - 2" ( BRAND : VERMOLENS )  </v>
      </c>
      <c r="C27" s="174"/>
      <c r="D27" s="83" t="str">
        <f>MRS!G27</f>
        <v>EA</v>
      </c>
      <c r="E27" s="84">
        <f>MRS!H27</f>
        <v>100</v>
      </c>
      <c r="F27" s="85">
        <f>MRS!I27</f>
        <v>1.75</v>
      </c>
      <c r="G27" s="86">
        <f>MRS!J27</f>
        <v>175</v>
      </c>
      <c r="H27" s="91"/>
    </row>
    <row r="28" spans="1:8" s="52" customFormat="1" ht="27.75" customHeight="1">
      <c r="A28" s="90">
        <f t="shared" si="0"/>
        <v>23</v>
      </c>
      <c r="B28" s="173" t="str">
        <f>MRS!B28&amp;" "&amp;MRS!D28</f>
        <v xml:space="preserve">SCRAPPER - 4" ( BRAND : VERMOLENS )  </v>
      </c>
      <c r="C28" s="174"/>
      <c r="D28" s="83" t="str">
        <f>MRS!G28</f>
        <v>EA</v>
      </c>
      <c r="E28" s="84">
        <f>MRS!H28</f>
        <v>100</v>
      </c>
      <c r="F28" s="85">
        <f>MRS!I28</f>
        <v>2.25</v>
      </c>
      <c r="G28" s="86">
        <f>MRS!J28</f>
        <v>225</v>
      </c>
      <c r="H28" s="91"/>
    </row>
    <row r="29" spans="1:8" s="52" customFormat="1" ht="27.75" customHeight="1">
      <c r="A29" s="90">
        <f t="shared" si="0"/>
        <v>24</v>
      </c>
      <c r="B29" s="173" t="str">
        <f>MRS!B29&amp;" "&amp;MRS!D29</f>
        <v xml:space="preserve">TIM SNIPS - 8"  </v>
      </c>
      <c r="C29" s="174"/>
      <c r="D29" s="83" t="str">
        <f>MRS!G29</f>
        <v>EA</v>
      </c>
      <c r="E29" s="84">
        <f>MRS!H29</f>
        <v>20</v>
      </c>
      <c r="F29" s="85">
        <f>MRS!I29</f>
        <v>14</v>
      </c>
      <c r="G29" s="86">
        <f>MRS!J29</f>
        <v>280</v>
      </c>
      <c r="H29" s="91"/>
    </row>
    <row r="30" spans="1:8" s="52" customFormat="1" ht="27.75" customHeight="1">
      <c r="A30" s="90">
        <f t="shared" si="0"/>
        <v>25</v>
      </c>
      <c r="B30" s="173" t="str">
        <f>MRS!B30&amp;" "&amp;MRS!D30</f>
        <v xml:space="preserve">LOCKING GRIP PLIER - 8" WORKPRO  </v>
      </c>
      <c r="C30" s="174"/>
      <c r="D30" s="83" t="str">
        <f>MRS!G30</f>
        <v>EA</v>
      </c>
      <c r="E30" s="84">
        <f>MRS!H30</f>
        <v>20</v>
      </c>
      <c r="F30" s="85">
        <f>MRS!I30</f>
        <v>28</v>
      </c>
      <c r="G30" s="86">
        <f>MRS!J30</f>
        <v>560</v>
      </c>
      <c r="H30" s="91"/>
    </row>
    <row r="31" spans="1:8" s="52" customFormat="1" ht="27.75" customHeight="1">
      <c r="A31" s="90">
        <f t="shared" si="0"/>
        <v>26</v>
      </c>
      <c r="B31" s="173" t="str">
        <f>MRS!B31&amp;" "&amp;MRS!D31</f>
        <v xml:space="preserve">SCAFFOLDING HAND GLOVES RED  </v>
      </c>
      <c r="C31" s="174"/>
      <c r="D31" s="83" t="str">
        <f>MRS!G31</f>
        <v>PAIR</v>
      </c>
      <c r="E31" s="84">
        <f>MRS!H31</f>
        <v>240</v>
      </c>
      <c r="F31" s="85">
        <f>MRS!I31</f>
        <v>4.5</v>
      </c>
      <c r="G31" s="86">
        <f>MRS!J31</f>
        <v>1080</v>
      </c>
      <c r="H31" s="91"/>
    </row>
    <row r="32" spans="1:8" s="52" customFormat="1" ht="27.75" customHeight="1">
      <c r="A32" s="90">
        <f t="shared" si="0"/>
        <v>27</v>
      </c>
      <c r="B32" s="173" t="str">
        <f>MRS!B32&amp;" "&amp;MRS!D32</f>
        <v xml:space="preserve">CABLE TIE - 3.2 X 140MM, ( 100EA/PKT _ MADE IN TAIWAN )  </v>
      </c>
      <c r="C32" s="174"/>
      <c r="D32" s="83" t="str">
        <f>MRS!G32</f>
        <v>EA</v>
      </c>
      <c r="E32" s="84">
        <f>MRS!H32</f>
        <v>5000</v>
      </c>
      <c r="F32" s="85">
        <f>MRS!I32</f>
        <v>0.06</v>
      </c>
      <c r="G32" s="86">
        <f>MRS!J32</f>
        <v>300</v>
      </c>
      <c r="H32" s="91"/>
    </row>
    <row r="33" spans="1:8" s="52" customFormat="1" ht="27.75" customHeight="1">
      <c r="A33" s="90">
        <f t="shared" si="0"/>
        <v>28</v>
      </c>
      <c r="B33" s="173" t="str">
        <f>MRS!B33&amp;" "&amp;MRS!D33</f>
        <v xml:space="preserve">CABLE TIE - 4.8 X 300MM ( 100EA/PKT _ MADE IN TAIWAN )  </v>
      </c>
      <c r="C33" s="174"/>
      <c r="D33" s="83" t="str">
        <f>MRS!G33</f>
        <v>EA</v>
      </c>
      <c r="E33" s="84">
        <f>MRS!H33</f>
        <v>2000</v>
      </c>
      <c r="F33" s="85">
        <f>MRS!I33</f>
        <v>0.17</v>
      </c>
      <c r="G33" s="86">
        <f>MRS!J33</f>
        <v>340</v>
      </c>
      <c r="H33" s="91"/>
    </row>
    <row r="34" spans="1:8" s="52" customFormat="1" ht="27.75" customHeight="1">
      <c r="A34" s="90">
        <f t="shared" si="0"/>
        <v>29</v>
      </c>
      <c r="B34" s="173" t="str">
        <f>MRS!B34&amp;" "&amp;MRS!D34</f>
        <v xml:space="preserve">FIRE BLANKET ORANGE 1 X 50M X 0.45T ( BRAND : KASWELD )  </v>
      </c>
      <c r="C34" s="174"/>
      <c r="D34" s="83" t="str">
        <f>MRS!G34</f>
        <v>ROLL</v>
      </c>
      <c r="E34" s="84">
        <f>MRS!H34</f>
        <v>30</v>
      </c>
      <c r="F34" s="85">
        <f>MRS!I34</f>
        <v>485</v>
      </c>
      <c r="G34" s="86">
        <f>MRS!J34</f>
        <v>14550</v>
      </c>
      <c r="H34" s="91"/>
    </row>
    <row r="35" spans="1:8" s="52" customFormat="1" ht="27.75" customHeight="1">
      <c r="A35" s="90">
        <f t="shared" si="0"/>
        <v>30</v>
      </c>
      <c r="B35" s="173" t="str">
        <f>MRS!B35&amp;" "&amp;MRS!D35</f>
        <v xml:space="preserve">NORAMAL MANGNEFLYING GLASS  </v>
      </c>
      <c r="C35" s="174"/>
      <c r="D35" s="83" t="str">
        <f>MRS!G35</f>
        <v>EA</v>
      </c>
      <c r="E35" s="84">
        <f>MRS!H35</f>
        <v>2</v>
      </c>
      <c r="F35" s="85">
        <f>MRS!I35</f>
        <v>55</v>
      </c>
      <c r="G35" s="86">
        <f>MRS!J35</f>
        <v>110</v>
      </c>
      <c r="H35" s="91"/>
    </row>
    <row r="36" spans="1:8" s="52" customFormat="1" ht="27.75" customHeight="1">
      <c r="A36" s="90">
        <f t="shared" si="0"/>
        <v>31</v>
      </c>
      <c r="B36" s="173" t="str">
        <f>MRS!B36&amp;" "&amp;MRS!D36</f>
        <v xml:space="preserve">SOCKET WRENCH 22MM DRIVE 1/2"  </v>
      </c>
      <c r="C36" s="174"/>
      <c r="D36" s="83" t="str">
        <f>MRS!G36</f>
        <v>EA</v>
      </c>
      <c r="E36" s="84">
        <f>MRS!H36</f>
        <v>4</v>
      </c>
      <c r="F36" s="85">
        <f>MRS!I36</f>
        <v>7</v>
      </c>
      <c r="G36" s="86">
        <f>MRS!J36</f>
        <v>28</v>
      </c>
      <c r="H36" s="91"/>
    </row>
    <row r="37" spans="1:8" s="52" customFormat="1" ht="27.75" customHeight="1">
      <c r="A37" s="90">
        <f t="shared" si="0"/>
        <v>32</v>
      </c>
      <c r="B37" s="173" t="str">
        <f>MRS!B37&amp;" "&amp;MRS!D37</f>
        <v xml:space="preserve">SOCKET WRENCH 24MM DRIVE 1/2"  </v>
      </c>
      <c r="C37" s="174"/>
      <c r="D37" s="83" t="str">
        <f>MRS!G37</f>
        <v>EA</v>
      </c>
      <c r="E37" s="84">
        <f>MRS!H37</f>
        <v>4</v>
      </c>
      <c r="F37" s="85">
        <f>MRS!I37</f>
        <v>7</v>
      </c>
      <c r="G37" s="86">
        <f>MRS!J37</f>
        <v>28</v>
      </c>
      <c r="H37" s="91"/>
    </row>
    <row r="38" spans="1:8" s="52" customFormat="1" ht="27.75" customHeight="1">
      <c r="A38" s="90">
        <f t="shared" si="0"/>
        <v>33</v>
      </c>
      <c r="B38" s="173" t="str">
        <f>MRS!B38&amp;" "&amp;MRS!D38</f>
        <v xml:space="preserve">SOCKET WRENCH 27MM DRIVE 1/2"  </v>
      </c>
      <c r="C38" s="174"/>
      <c r="D38" s="83" t="str">
        <f>MRS!G38</f>
        <v>EA</v>
      </c>
      <c r="E38" s="84">
        <f>MRS!H38</f>
        <v>4</v>
      </c>
      <c r="F38" s="85">
        <f>MRS!I38</f>
        <v>10</v>
      </c>
      <c r="G38" s="86">
        <f>MRS!J38</f>
        <v>40</v>
      </c>
      <c r="H38" s="91"/>
    </row>
    <row r="39" spans="1:8" s="52" customFormat="1" ht="27.75" customHeight="1">
      <c r="A39" s="90">
        <f t="shared" si="0"/>
        <v>34</v>
      </c>
      <c r="B39" s="173" t="str">
        <f>MRS!B39&amp;" "&amp;MRS!D39</f>
        <v xml:space="preserve">PIPE WRENCH 10"  </v>
      </c>
      <c r="C39" s="174"/>
      <c r="D39" s="83" t="str">
        <f>MRS!G39</f>
        <v>EA</v>
      </c>
      <c r="E39" s="84">
        <f>MRS!H39</f>
        <v>2</v>
      </c>
      <c r="F39" s="85">
        <f>MRS!I39</f>
        <v>25</v>
      </c>
      <c r="G39" s="86">
        <f>MRS!J39</f>
        <v>50</v>
      </c>
      <c r="H39" s="91"/>
    </row>
    <row r="40" spans="1:8" s="52" customFormat="1" ht="27.75" customHeight="1">
      <c r="A40" s="90">
        <f t="shared" si="0"/>
        <v>35</v>
      </c>
      <c r="B40" s="173" t="str">
        <f>MRS!B40&amp;" "&amp;MRS!D40</f>
        <v xml:space="preserve">PIPE WRENCH 18"  </v>
      </c>
      <c r="C40" s="174"/>
      <c r="D40" s="83" t="str">
        <f>MRS!G40</f>
        <v>EA</v>
      </c>
      <c r="E40" s="84">
        <f>MRS!H40</f>
        <v>2</v>
      </c>
      <c r="F40" s="85">
        <f>MRS!I40</f>
        <v>52</v>
      </c>
      <c r="G40" s="86">
        <f>MRS!J40</f>
        <v>104</v>
      </c>
      <c r="H40" s="91"/>
    </row>
    <row r="41" spans="1:8" s="52" customFormat="1" ht="27.75" customHeight="1">
      <c r="A41" s="90">
        <f t="shared" si="0"/>
        <v>36</v>
      </c>
      <c r="B41" s="173" t="str">
        <f>MRS!B41&amp;" "&amp;MRS!D41</f>
        <v xml:space="preserve">MAKITA DJR187Z CORDLESS RECIPRO SAW WITH 2 BATTERY &amp; CHARGER SET  </v>
      </c>
      <c r="C41" s="174"/>
      <c r="D41" s="83" t="str">
        <f>MRS!G41</f>
        <v>EA</v>
      </c>
      <c r="E41" s="84">
        <f>MRS!H41</f>
        <v>5</v>
      </c>
      <c r="F41" s="85">
        <f>MRS!I41</f>
        <v>2950</v>
      </c>
      <c r="G41" s="86">
        <f>MRS!J41</f>
        <v>14750</v>
      </c>
      <c r="H41" s="91"/>
    </row>
    <row r="42" spans="1:8" s="52" customFormat="1" ht="27.75" customHeight="1">
      <c r="A42" s="90">
        <f t="shared" si="0"/>
        <v>37</v>
      </c>
      <c r="B42" s="173" t="str">
        <f>MRS!B42&amp;" "&amp;MRS!D42</f>
        <v xml:space="preserve">CABLE TIE - 3.2 X 140MM,100EA/PKT  </v>
      </c>
      <c r="C42" s="174"/>
      <c r="D42" s="83" t="str">
        <f>MRS!G42</f>
        <v>PKT</v>
      </c>
      <c r="E42" s="84">
        <f>MRS!H42</f>
        <v>50</v>
      </c>
      <c r="F42" s="85">
        <f>MRS!I42</f>
        <v>6</v>
      </c>
      <c r="G42" s="86">
        <f>MRS!J42</f>
        <v>300</v>
      </c>
      <c r="H42" s="91"/>
    </row>
    <row r="43" spans="1:8" s="52" customFormat="1" ht="27.75" customHeight="1">
      <c r="A43" s="90">
        <f t="shared" si="0"/>
        <v>38</v>
      </c>
      <c r="B43" s="173" t="str">
        <f>MRS!B43&amp;" "&amp;MRS!D43</f>
        <v xml:space="preserve">CABLE TIE - 4.8 X 300MM,100EA/PKT  </v>
      </c>
      <c r="C43" s="174"/>
      <c r="D43" s="83" t="str">
        <f>MRS!G43</f>
        <v>PKT</v>
      </c>
      <c r="E43" s="84">
        <f>MRS!H43</f>
        <v>20</v>
      </c>
      <c r="F43" s="85">
        <f>MRS!I43</f>
        <v>17</v>
      </c>
      <c r="G43" s="86">
        <f>MRS!J43</f>
        <v>340</v>
      </c>
      <c r="H43" s="91"/>
    </row>
    <row r="44" spans="1:8" s="52" customFormat="1" ht="27.75" customHeight="1">
      <c r="A44" s="90">
        <f t="shared" si="0"/>
        <v>39</v>
      </c>
      <c r="B44" s="173" t="str">
        <f>MRS!B44&amp;" "&amp;MRS!D44</f>
        <v xml:space="preserve">TORQUE WRENCH 5-60NM DRIVE - 3/8" ( BRAND : ROTO )  </v>
      </c>
      <c r="C44" s="174"/>
      <c r="D44" s="83" t="str">
        <f>MRS!G44</f>
        <v>EA</v>
      </c>
      <c r="E44" s="84">
        <f>MRS!H44</f>
        <v>2</v>
      </c>
      <c r="F44" s="85">
        <f>MRS!I44</f>
        <v>195</v>
      </c>
      <c r="G44" s="86">
        <f>MRS!J44</f>
        <v>390</v>
      </c>
      <c r="H44" s="91"/>
    </row>
    <row r="45" spans="1:8" s="52" customFormat="1" ht="27.75" customHeight="1">
      <c r="A45" s="90">
        <f t="shared" si="0"/>
        <v>40</v>
      </c>
      <c r="B45" s="173" t="str">
        <f>MRS!B45&amp;" "&amp;MRS!D45</f>
        <v xml:space="preserve">TORQUE WRENCH 60-330NM DRIVE - 1/2" ( BRAND : ROTO )  </v>
      </c>
      <c r="C45" s="174"/>
      <c r="D45" s="83" t="str">
        <f>MRS!G45</f>
        <v>EA</v>
      </c>
      <c r="E45" s="84">
        <f>MRS!H45</f>
        <v>1</v>
      </c>
      <c r="F45" s="85">
        <f>MRS!I45</f>
        <v>305</v>
      </c>
      <c r="G45" s="86">
        <f>MRS!J45</f>
        <v>305</v>
      </c>
      <c r="H45" s="91"/>
    </row>
    <row r="46" spans="1:8" s="52" customFormat="1" ht="27.75" customHeight="1">
      <c r="A46" s="90">
        <f t="shared" si="0"/>
        <v>41</v>
      </c>
      <c r="B46" s="173" t="str">
        <f>MRS!B46&amp;" "&amp;MRS!D46</f>
        <v xml:space="preserve">TORQUE WRENCH 100-500NM DRIVE - 3/4" ( BRAND : ROTO )  </v>
      </c>
      <c r="C46" s="174"/>
      <c r="D46" s="83" t="str">
        <f>MRS!G46</f>
        <v>EA</v>
      </c>
      <c r="E46" s="84">
        <f>MRS!H46</f>
        <v>2</v>
      </c>
      <c r="F46" s="85">
        <f>MRS!I46</f>
        <v>490</v>
      </c>
      <c r="G46" s="86">
        <f>MRS!J46</f>
        <v>980</v>
      </c>
      <c r="H46" s="91"/>
    </row>
    <row r="47" spans="1:8" s="52" customFormat="1" ht="27.75" customHeight="1">
      <c r="A47" s="90">
        <f t="shared" si="0"/>
        <v>42</v>
      </c>
      <c r="B47" s="173" t="str">
        <f>MRS!B47&amp;" "&amp;MRS!D47</f>
        <v xml:space="preserve">WD 40 - 330ML </v>
      </c>
      <c r="C47" s="174"/>
      <c r="D47" s="83" t="str">
        <f>MRS!G47</f>
        <v>PCS</v>
      </c>
      <c r="E47" s="84">
        <f>MRS!H47</f>
        <v>300</v>
      </c>
      <c r="F47" s="85">
        <f>MRS!I47</f>
        <v>17</v>
      </c>
      <c r="G47" s="86">
        <f>MRS!J47</f>
        <v>5100</v>
      </c>
      <c r="H47" s="91"/>
    </row>
    <row r="48" spans="1:8" s="52" customFormat="1" ht="27.75" customHeight="1">
      <c r="A48" s="90">
        <f t="shared" si="0"/>
        <v>43</v>
      </c>
      <c r="B48" s="173" t="str">
        <f>MRS!B48&amp;" "&amp;MRS!D48</f>
        <v xml:space="preserve">WALKIE TALKIE THUV8000D YT  </v>
      </c>
      <c r="C48" s="174"/>
      <c r="D48" s="83" t="str">
        <f>MRS!G48</f>
        <v>EA</v>
      </c>
      <c r="E48" s="84">
        <f>MRS!H48</f>
        <v>12</v>
      </c>
      <c r="F48" s="85">
        <f>MRS!I48</f>
        <v>390</v>
      </c>
      <c r="G48" s="86">
        <f>MRS!J48</f>
        <v>4680</v>
      </c>
      <c r="H48" s="91"/>
    </row>
    <row r="49" spans="1:8" s="52" customFormat="1" ht="27.75" customHeight="1">
      <c r="A49" s="90">
        <f t="shared" si="0"/>
        <v>44</v>
      </c>
      <c r="B49" s="173" t="str">
        <f>MRS!B49&amp;" "&amp;MRS!D49</f>
        <v xml:space="preserve">CAUTION TAPE - YELLOW/BLACK  </v>
      </c>
      <c r="C49" s="174"/>
      <c r="D49" s="83" t="str">
        <f>MRS!G49</f>
        <v>EA</v>
      </c>
      <c r="E49" s="84">
        <f>MRS!H49</f>
        <v>20</v>
      </c>
      <c r="F49" s="85">
        <f>MRS!I49</f>
        <v>4.5</v>
      </c>
      <c r="G49" s="86">
        <f>MRS!J49</f>
        <v>90</v>
      </c>
      <c r="H49" s="91"/>
    </row>
    <row r="50" spans="1:8" s="52" customFormat="1" ht="27.75" customHeight="1">
      <c r="A50" s="90">
        <f t="shared" si="0"/>
        <v>45</v>
      </c>
      <c r="B50" s="173" t="str">
        <f>MRS!B50&amp;" "&amp;MRS!D50</f>
        <v xml:space="preserve">CAUTION TAPE - BLUE/WHITE  </v>
      </c>
      <c r="C50" s="174"/>
      <c r="D50" s="83" t="str">
        <f>MRS!G50</f>
        <v>EA</v>
      </c>
      <c r="E50" s="84">
        <f>MRS!H50</f>
        <v>20</v>
      </c>
      <c r="F50" s="85">
        <f>MRS!I50</f>
        <v>4.5</v>
      </c>
      <c r="G50" s="86">
        <f>MRS!J50</f>
        <v>90</v>
      </c>
      <c r="H50" s="91"/>
    </row>
    <row r="51" spans="1:8" s="52" customFormat="1" ht="27.75" customHeight="1">
      <c r="A51" s="90">
        <f t="shared" si="0"/>
        <v>46</v>
      </c>
      <c r="B51" s="173" t="str">
        <f>MRS!B51&amp;" "&amp;MRS!D51</f>
        <v xml:space="preserve">ANTI VIBRATION HAND GLOVES SIZE : XXL  </v>
      </c>
      <c r="C51" s="174"/>
      <c r="D51" s="83" t="str">
        <f>MRS!G51</f>
        <v>EA</v>
      </c>
      <c r="E51" s="84">
        <f>MRS!H51</f>
        <v>20</v>
      </c>
      <c r="F51" s="85">
        <f>MRS!I51</f>
        <v>28</v>
      </c>
      <c r="G51" s="86">
        <f>MRS!J51</f>
        <v>560</v>
      </c>
      <c r="H51" s="91"/>
    </row>
    <row r="52" spans="1:8" s="52" customFormat="1" ht="27.75" customHeight="1">
      <c r="A52" s="90">
        <f t="shared" si="0"/>
        <v>47</v>
      </c>
      <c r="B52" s="173" t="str">
        <f>MRS!B52&amp;" "&amp;MRS!D52</f>
        <v xml:space="preserve">SCAFFOLDING CANVAS BUCKET - 30KG  </v>
      </c>
      <c r="C52" s="174"/>
      <c r="D52" s="83" t="str">
        <f>MRS!G52</f>
        <v>EA</v>
      </c>
      <c r="E52" s="84">
        <f>MRS!H52</f>
        <v>5</v>
      </c>
      <c r="F52" s="85">
        <f>MRS!I52</f>
        <v>85</v>
      </c>
      <c r="G52" s="86">
        <f>MRS!J52</f>
        <v>425</v>
      </c>
      <c r="H52" s="91"/>
    </row>
    <row r="53" spans="1:8" s="52" customFormat="1" ht="27.75" customHeight="1">
      <c r="A53" s="90">
        <f t="shared" si="0"/>
        <v>48</v>
      </c>
      <c r="B53" s="173" t="str">
        <f>MRS!B53&amp;" "&amp;MRS!D53</f>
        <v xml:space="preserve">POINTED CHISEL SIZE : 18X300MM  </v>
      </c>
      <c r="C53" s="174"/>
      <c r="D53" s="83" t="str">
        <f>MRS!G53</f>
        <v>EA</v>
      </c>
      <c r="E53" s="84">
        <f>MRS!H53</f>
        <v>10</v>
      </c>
      <c r="F53" s="85">
        <f>MRS!I53</f>
        <v>13</v>
      </c>
      <c r="G53" s="86">
        <f>MRS!J53</f>
        <v>130</v>
      </c>
      <c r="H53" s="91"/>
    </row>
    <row r="54" spans="1:8" s="52" customFormat="1" ht="27.75" customHeight="1">
      <c r="A54" s="90">
        <f t="shared" si="0"/>
        <v>49</v>
      </c>
      <c r="B54" s="173" t="str">
        <f>MRS!B54&amp;" "&amp;MRS!D54</f>
        <v xml:space="preserve">JIGSAW MACHINE DEWALT DCS334NT 18V  </v>
      </c>
      <c r="C54" s="174"/>
      <c r="D54" s="83" t="str">
        <f>MRS!G54</f>
        <v>EA</v>
      </c>
      <c r="E54" s="84">
        <f>MRS!H54</f>
        <v>1</v>
      </c>
      <c r="F54" s="85">
        <f>MRS!I54</f>
        <v>2495</v>
      </c>
      <c r="G54" s="86">
        <f>MRS!J54</f>
        <v>2495</v>
      </c>
      <c r="H54" s="91"/>
    </row>
    <row r="55" spans="1:8" s="52" customFormat="1" ht="27.75" customHeight="1">
      <c r="A55" s="90">
        <f t="shared" si="0"/>
        <v>50</v>
      </c>
      <c r="B55" s="173" t="str">
        <f>MRS!B55&amp;" "&amp;MRS!D55</f>
        <v xml:space="preserve">CORDLESS IMPACT DRILL DR1/2" DEWALT  </v>
      </c>
      <c r="C55" s="174"/>
      <c r="D55" s="83" t="str">
        <f>MRS!G55</f>
        <v>EA</v>
      </c>
      <c r="E55" s="84">
        <f>MRS!H55</f>
        <v>4</v>
      </c>
      <c r="F55" s="85">
        <f>MRS!I55</f>
        <v>1820</v>
      </c>
      <c r="G55" s="86">
        <f>MRS!J55</f>
        <v>7280</v>
      </c>
      <c r="H55" s="91"/>
    </row>
    <row r="56" spans="1:8" s="52" customFormat="1" ht="27.75" customHeight="1">
      <c r="A56" s="90">
        <f t="shared" si="0"/>
        <v>51</v>
      </c>
      <c r="B56" s="173" t="str">
        <f>MRS!B56&amp;" "&amp;MRS!D56</f>
        <v xml:space="preserve">ADJUSTABLE BASE JACK </v>
      </c>
      <c r="C56" s="174"/>
      <c r="D56" s="83" t="str">
        <f>MRS!G56</f>
        <v>EA</v>
      </c>
      <c r="E56" s="84">
        <f>MRS!H56</f>
        <v>100</v>
      </c>
      <c r="F56" s="85">
        <f>MRS!I56</f>
        <v>20</v>
      </c>
      <c r="G56" s="86">
        <f>MRS!J56</f>
        <v>2000</v>
      </c>
      <c r="H56" s="91"/>
    </row>
    <row r="57" spans="1:8" s="52" customFormat="1" ht="27.75" customHeight="1">
      <c r="A57" s="90">
        <f t="shared" si="0"/>
        <v>52</v>
      </c>
      <c r="B57" s="173" t="str">
        <f>MRS!B57&amp;" "&amp;MRS!D57</f>
        <v xml:space="preserve">DEMOLITION HAMMER SDS MAX 1500W GSH 7VC BOSCH  </v>
      </c>
      <c r="C57" s="174"/>
      <c r="D57" s="83" t="str">
        <f>MRS!G57</f>
        <v>EA</v>
      </c>
      <c r="E57" s="84">
        <f>MRS!H57</f>
        <v>2</v>
      </c>
      <c r="F57" s="85">
        <f>MRS!I57</f>
        <v>3525</v>
      </c>
      <c r="G57" s="86">
        <f>MRS!J57</f>
        <v>7050</v>
      </c>
      <c r="H57" s="91"/>
    </row>
    <row r="58" spans="1:8" s="52" customFormat="1" ht="27.75" customHeight="1">
      <c r="A58" s="90">
        <f t="shared" si="0"/>
        <v>53</v>
      </c>
      <c r="B58" s="173" t="str">
        <f>MRS!B58&amp;" "&amp;MRS!D58</f>
        <v xml:space="preserve">HEAVY DUTY CABLE CUTTER CC-250L ( BRAND : GIFFEX )  </v>
      </c>
      <c r="C58" s="174"/>
      <c r="D58" s="83" t="str">
        <f>MRS!G58</f>
        <v>EA</v>
      </c>
      <c r="E58" s="84">
        <f>MRS!H58</f>
        <v>5</v>
      </c>
      <c r="F58" s="85">
        <f>MRS!I58</f>
        <v>200</v>
      </c>
      <c r="G58" s="86">
        <f>MRS!J58</f>
        <v>1000</v>
      </c>
      <c r="H58" s="91"/>
    </row>
    <row r="59" spans="1:8" s="52" customFormat="1" ht="27.75" customHeight="1">
      <c r="A59" s="90">
        <f t="shared" si="0"/>
        <v>54</v>
      </c>
      <c r="B59" s="173" t="str">
        <f>MRS!B59&amp;" "&amp;MRS!D59</f>
        <v xml:space="preserve">CORDLESS IMPACT DRILL DR1/4" DEWALT  </v>
      </c>
      <c r="C59" s="174"/>
      <c r="D59" s="83" t="str">
        <f>MRS!G59</f>
        <v>EA</v>
      </c>
      <c r="E59" s="84">
        <f>MRS!H59</f>
        <v>4</v>
      </c>
      <c r="F59" s="85">
        <f>MRS!I59</f>
        <v>1860</v>
      </c>
      <c r="G59" s="86">
        <f>MRS!J59</f>
        <v>7440</v>
      </c>
      <c r="H59" s="91"/>
    </row>
    <row r="60" spans="1:8" s="52" customFormat="1" ht="27.75" customHeight="1">
      <c r="A60" s="90">
        <f t="shared" si="0"/>
        <v>55</v>
      </c>
      <c r="B60" s="173" t="str">
        <f>MRS!B60&amp;" "&amp;MRS!D60</f>
        <v xml:space="preserve">RATCHET SPANNER 19/21MM  </v>
      </c>
      <c r="C60" s="174"/>
      <c r="D60" s="83" t="str">
        <f>MRS!G60</f>
        <v>EA</v>
      </c>
      <c r="E60" s="84">
        <f>MRS!H60</f>
        <v>20</v>
      </c>
      <c r="F60" s="85">
        <f>MRS!I60</f>
        <v>35</v>
      </c>
      <c r="G60" s="86">
        <f>MRS!J60</f>
        <v>700</v>
      </c>
      <c r="H60" s="91"/>
    </row>
    <row r="61" spans="1:8" s="52" customFormat="1" ht="27.75" customHeight="1">
      <c r="A61" s="90">
        <f t="shared" si="0"/>
        <v>56</v>
      </c>
      <c r="B61" s="173" t="str">
        <f>MRS!B61&amp;" "&amp;MRS!D61</f>
        <v xml:space="preserve">AVIATION SNIPS - STRAIGHT </v>
      </c>
      <c r="C61" s="174"/>
      <c r="D61" s="83" t="str">
        <f>MRS!G61</f>
        <v>EA</v>
      </c>
      <c r="E61" s="84">
        <f>MRS!H61</f>
        <v>4</v>
      </c>
      <c r="F61" s="85">
        <f>MRS!I61</f>
        <v>14</v>
      </c>
      <c r="G61" s="86">
        <f>MRS!J61</f>
        <v>56</v>
      </c>
      <c r="H61" s="91"/>
    </row>
    <row r="62" spans="1:8" s="52" customFormat="1" ht="27.75" customHeight="1">
      <c r="A62" s="90">
        <f t="shared" si="0"/>
        <v>57</v>
      </c>
      <c r="B62" s="173" t="str">
        <f>MRS!B62&amp;" "&amp;MRS!D62</f>
        <v xml:space="preserve">CONDUID BENDER PIPE 28MM  </v>
      </c>
      <c r="C62" s="174"/>
      <c r="D62" s="83" t="str">
        <f>MRS!G62</f>
        <v>SET</v>
      </c>
      <c r="E62" s="84">
        <f>MRS!H62</f>
        <v>4</v>
      </c>
      <c r="F62" s="85">
        <f>MRS!I62</f>
        <v>135</v>
      </c>
      <c r="G62" s="86">
        <f>MRS!J62</f>
        <v>540</v>
      </c>
      <c r="H62" s="91"/>
    </row>
    <row r="63" spans="1:8" s="52" customFormat="1" ht="27.75" customHeight="1">
      <c r="A63" s="90">
        <f t="shared" si="0"/>
        <v>58</v>
      </c>
      <c r="B63" s="173" t="str">
        <f>MRS!B63&amp;" "&amp;MRS!D63</f>
        <v xml:space="preserve">SHIM CUTTER  </v>
      </c>
      <c r="C63" s="174"/>
      <c r="D63" s="83" t="str">
        <f>MRS!G63</f>
        <v>PCS</v>
      </c>
      <c r="E63" s="84">
        <f>MRS!H63</f>
        <v>2</v>
      </c>
      <c r="F63" s="85">
        <f>MRS!I63</f>
        <v>14</v>
      </c>
      <c r="G63" s="86">
        <f>MRS!J63</f>
        <v>28</v>
      </c>
      <c r="H63" s="91"/>
    </row>
    <row r="64" spans="1:8" s="52" customFormat="1" ht="27.75" customHeight="1">
      <c r="A64" s="90">
        <f t="shared" si="0"/>
        <v>59</v>
      </c>
      <c r="B64" s="173" t="str">
        <f>MRS!B64&amp;" "&amp;MRS!D64</f>
        <v xml:space="preserve">TORQUE WRENCH DR 1/2'' / 30-150 NM  </v>
      </c>
      <c r="C64" s="174"/>
      <c r="D64" s="83" t="str">
        <f>MRS!G64</f>
        <v>PCS</v>
      </c>
      <c r="E64" s="84">
        <f>MRS!H64</f>
        <v>1</v>
      </c>
      <c r="F64" s="85">
        <f>MRS!I64</f>
        <v>275</v>
      </c>
      <c r="G64" s="86">
        <f>MRS!J64</f>
        <v>275</v>
      </c>
      <c r="H64" s="91"/>
    </row>
    <row r="65" spans="1:13" s="52" customFormat="1" ht="27.75" customHeight="1">
      <c r="A65" s="90">
        <f t="shared" si="0"/>
        <v>60</v>
      </c>
      <c r="B65" s="173" t="str">
        <f>MRS!B65&amp;" "&amp;MRS!D65</f>
        <v xml:space="preserve">TORQUE WRENCH DR 1/2'' / 25-205 NM  </v>
      </c>
      <c r="C65" s="174"/>
      <c r="D65" s="83" t="str">
        <f>MRS!G65</f>
        <v>PCS</v>
      </c>
      <c r="E65" s="84">
        <f>MRS!H65</f>
        <v>1</v>
      </c>
      <c r="F65" s="85">
        <f>MRS!I65</f>
        <v>320</v>
      </c>
      <c r="G65" s="86">
        <f>MRS!J65</f>
        <v>320</v>
      </c>
      <c r="H65" s="91"/>
    </row>
    <row r="66" spans="1:13" s="52" customFormat="1" ht="27.75" customHeight="1">
      <c r="A66" s="90">
        <f t="shared" si="0"/>
        <v>61</v>
      </c>
      <c r="B66" s="173" t="str">
        <f>MRS!B66&amp;" "&amp;MRS!D66</f>
        <v xml:space="preserve">SCAFFOLDING CANVAS BUCKET CAPACITY 40KG SIZE : 12" X 14" KASPRO  </v>
      </c>
      <c r="C66" s="174"/>
      <c r="D66" s="83" t="str">
        <f>MRS!G66</f>
        <v>EA</v>
      </c>
      <c r="E66" s="84">
        <f>MRS!H66</f>
        <v>10</v>
      </c>
      <c r="F66" s="85">
        <f>MRS!I66</f>
        <v>180</v>
      </c>
      <c r="G66" s="86">
        <f>MRS!J66</f>
        <v>1800</v>
      </c>
      <c r="H66" s="91"/>
    </row>
    <row r="67" spans="1:13" s="52" customFormat="1" ht="27.75" customHeight="1">
      <c r="A67" s="90">
        <f t="shared" si="0"/>
        <v>62</v>
      </c>
      <c r="B67" s="173" t="str">
        <f>MRS!B67&amp;" "&amp;MRS!D67</f>
        <v xml:space="preserve">INDUSTRIAL MIST FAN 26" 220V ( BRAND : GIFFEX )  </v>
      </c>
      <c r="C67" s="174"/>
      <c r="D67" s="83" t="str">
        <f>MRS!G67</f>
        <v>EA</v>
      </c>
      <c r="E67" s="84">
        <f>MRS!H67</f>
        <v>5</v>
      </c>
      <c r="F67" s="85">
        <f>MRS!I67</f>
        <v>850</v>
      </c>
      <c r="G67" s="86">
        <f>MRS!J67</f>
        <v>4250</v>
      </c>
      <c r="H67" s="91"/>
    </row>
    <row r="68" spans="1:13" s="52" customFormat="1" ht="27.75" customHeight="1">
      <c r="A68" s="90">
        <f t="shared" si="0"/>
        <v>63</v>
      </c>
      <c r="B68" s="173" t="str">
        <f>MRS!B68&amp;" "&amp;MRS!D68</f>
        <v xml:space="preserve">ALLEN KEY SET HEX TYPES SIZE : 1MM - 10MM ( BRAND : ROTO )  </v>
      </c>
      <c r="C68" s="174"/>
      <c r="D68" s="83" t="str">
        <f>MRS!G68</f>
        <v>EA</v>
      </c>
      <c r="E68" s="84">
        <f>MRS!H68</f>
        <v>5</v>
      </c>
      <c r="F68" s="85">
        <f>MRS!I68</f>
        <v>14</v>
      </c>
      <c r="G68" s="86">
        <f>MRS!J68</f>
        <v>70</v>
      </c>
      <c r="H68" s="91"/>
    </row>
    <row r="69" spans="1:13" s="52" customFormat="1" ht="27.75" customHeight="1">
      <c r="A69" s="90">
        <f t="shared" si="0"/>
        <v>64</v>
      </c>
      <c r="B69" s="173" t="str">
        <f>MRS!B69&amp;" "&amp;MRS!D69</f>
        <v xml:space="preserve">SHOLDING IRON LEAD WIRE SIZE : 1.2MM X 100G  </v>
      </c>
      <c r="C69" s="174"/>
      <c r="D69" s="83" t="str">
        <f>MRS!G69</f>
        <v>EA</v>
      </c>
      <c r="E69" s="84">
        <f>MRS!H69</f>
        <v>2</v>
      </c>
      <c r="F69" s="85">
        <f>MRS!I69</f>
        <v>12</v>
      </c>
      <c r="G69" s="86">
        <f>MRS!J69</f>
        <v>24</v>
      </c>
      <c r="H69" s="91"/>
    </row>
    <row r="70" spans="1:13" s="52" customFormat="1" ht="27.75" customHeight="1">
      <c r="A70" s="90">
        <f t="shared" ref="A70:A73" si="1">ROW(A65)</f>
        <v>65</v>
      </c>
      <c r="B70" s="173" t="str">
        <f>MRS!B70&amp;" "&amp;MRS!D70</f>
        <v xml:space="preserve">SHOLDING IRON PASTE - 100GM  </v>
      </c>
      <c r="C70" s="174"/>
      <c r="D70" s="83" t="str">
        <f>MRS!G70</f>
        <v>EA</v>
      </c>
      <c r="E70" s="84">
        <f>MRS!H70</f>
        <v>2</v>
      </c>
      <c r="F70" s="85">
        <f>MRS!I70</f>
        <v>7</v>
      </c>
      <c r="G70" s="86">
        <f>MRS!J70</f>
        <v>14</v>
      </c>
      <c r="H70" s="91"/>
    </row>
    <row r="71" spans="1:13" s="52" customFormat="1" ht="27.75" customHeight="1">
      <c r="A71" s="90">
        <f t="shared" si="1"/>
        <v>66</v>
      </c>
      <c r="B71" s="173" t="str">
        <f>MRS!B71&amp;" "&amp;MRS!D71</f>
        <v xml:space="preserve">SCREW DRIVER PLUS TYPES SIZE : 6 X 300MM ( BRAND : ROTO )  </v>
      </c>
      <c r="C71" s="174"/>
      <c r="D71" s="83" t="str">
        <f>MRS!G71</f>
        <v>EA</v>
      </c>
      <c r="E71" s="84">
        <f>MRS!H71</f>
        <v>10</v>
      </c>
      <c r="F71" s="85">
        <f>MRS!I71</f>
        <v>10</v>
      </c>
      <c r="G71" s="86">
        <f>MRS!J71</f>
        <v>100</v>
      </c>
      <c r="H71" s="91"/>
    </row>
    <row r="72" spans="1:13" s="52" customFormat="1" ht="27.75" customHeight="1">
      <c r="A72" s="90">
        <f t="shared" si="1"/>
        <v>67</v>
      </c>
      <c r="B72" s="173" t="str">
        <f>MRS!B72&amp;" "&amp;MRS!D72</f>
        <v xml:space="preserve">MEGAPHONE SPEAKER  </v>
      </c>
      <c r="C72" s="174"/>
      <c r="D72" s="83" t="str">
        <f>MRS!G72</f>
        <v>EA</v>
      </c>
      <c r="E72" s="84">
        <f>MRS!H72</f>
        <v>7</v>
      </c>
      <c r="F72" s="85">
        <f>MRS!I72</f>
        <v>96</v>
      </c>
      <c r="G72" s="86">
        <f>MRS!J72</f>
        <v>672</v>
      </c>
      <c r="H72" s="91"/>
    </row>
    <row r="73" spans="1:13" s="52" customFormat="1" ht="27.75" customHeight="1">
      <c r="A73" s="90">
        <f t="shared" si="1"/>
        <v>68</v>
      </c>
      <c r="B73" s="173" t="str">
        <f>MRS!B73&amp;" "&amp;MRS!D73</f>
        <v xml:space="preserve">MEGAPHONE BATTERY 1.5V LR14  </v>
      </c>
      <c r="C73" s="174"/>
      <c r="D73" s="83" t="str">
        <f>MRS!G73</f>
        <v>EA</v>
      </c>
      <c r="E73" s="84">
        <f>MRS!H73</f>
        <v>20</v>
      </c>
      <c r="F73" s="85">
        <f>MRS!I73</f>
        <v>5</v>
      </c>
      <c r="G73" s="86">
        <f>MRS!J73</f>
        <v>100</v>
      </c>
      <c r="H73" s="91"/>
    </row>
    <row r="74" spans="1:13" s="52" customFormat="1" ht="23.1" customHeight="1">
      <c r="A74" s="189" t="s">
        <v>83</v>
      </c>
      <c r="B74" s="190"/>
      <c r="C74" s="190"/>
      <c r="D74" s="190"/>
      <c r="E74" s="190"/>
      <c r="F74" s="190"/>
      <c r="G74" s="55">
        <f>SUM(G6:G73)</f>
        <v>94483</v>
      </c>
      <c r="H74" s="56"/>
    </row>
    <row r="75" spans="1:13" s="52" customFormat="1" ht="23.1" customHeight="1">
      <c r="A75" s="189" t="s">
        <v>47</v>
      </c>
      <c r="B75" s="190"/>
      <c r="C75" s="190"/>
      <c r="D75" s="190"/>
      <c r="E75" s="190"/>
      <c r="F75" s="190"/>
      <c r="G75" s="55">
        <f>+G74*0.15</f>
        <v>14172.449999999999</v>
      </c>
      <c r="H75" s="56"/>
    </row>
    <row r="76" spans="1:13" s="52" customFormat="1" ht="24.95" customHeight="1" thickBot="1">
      <c r="A76" s="191" t="s">
        <v>84</v>
      </c>
      <c r="B76" s="192"/>
      <c r="C76" s="192"/>
      <c r="D76" s="192"/>
      <c r="E76" s="192"/>
      <c r="F76" s="192"/>
      <c r="G76" s="57">
        <f>G75+G74</f>
        <v>108655.45</v>
      </c>
      <c r="H76" s="58"/>
    </row>
    <row r="77" spans="1:13" ht="15.75" thickTop="1">
      <c r="A77" s="59" t="str">
        <f>" 1) Above Price are as per your quotation with ref "&amp;'PO 1st page'!K14</f>
        <v xml:space="preserve"> 1) Above Price are as per your quotation with ref QT-C26-150091</v>
      </c>
      <c r="B77" s="60"/>
      <c r="C77" s="60"/>
      <c r="D77" s="61"/>
      <c r="E77" s="61"/>
      <c r="F77" s="61"/>
      <c r="G77" s="61"/>
      <c r="H77" s="61"/>
    </row>
    <row r="78" spans="1:13" ht="15">
      <c r="A78" s="62" t="s">
        <v>85</v>
      </c>
      <c r="B78" s="63"/>
      <c r="C78" s="63"/>
      <c r="D78" s="64"/>
      <c r="E78" s="64"/>
      <c r="F78" s="64"/>
      <c r="G78" s="64"/>
      <c r="H78" s="64"/>
      <c r="I78" s="65"/>
    </row>
    <row r="79" spans="1:13" ht="15.75">
      <c r="A79" s="66"/>
    </row>
    <row r="80" spans="1:13">
      <c r="A80" s="164" t="s">
        <v>86</v>
      </c>
      <c r="B80" s="164"/>
      <c r="C80" s="164"/>
      <c r="D80" s="164"/>
      <c r="E80" s="164"/>
      <c r="F80" s="164"/>
      <c r="G80" s="164"/>
      <c r="H80" s="164"/>
      <c r="I80" s="67"/>
      <c r="J80" s="67"/>
      <c r="K80" s="67"/>
      <c r="L80" s="67"/>
      <c r="M80" s="67"/>
    </row>
    <row r="81" spans="1:3" ht="15.75">
      <c r="A81" s="66"/>
      <c r="C81" s="68"/>
    </row>
    <row r="82" spans="1:3" ht="15.75">
      <c r="A82" s="66"/>
      <c r="C82" s="68"/>
    </row>
    <row r="84" spans="1:3" ht="12" customHeight="1"/>
  </sheetData>
  <mergeCells count="80">
    <mergeCell ref="B71:C71"/>
    <mergeCell ref="B72:C72"/>
    <mergeCell ref="B73:C73"/>
    <mergeCell ref="B66:C66"/>
    <mergeCell ref="B67:C67"/>
    <mergeCell ref="B68:C68"/>
    <mergeCell ref="B69:C69"/>
    <mergeCell ref="B70:C70"/>
    <mergeCell ref="A74:F74"/>
    <mergeCell ref="A75:F75"/>
    <mergeCell ref="A76:F76"/>
    <mergeCell ref="A80:H80"/>
    <mergeCell ref="B12:C12"/>
    <mergeCell ref="B14:C14"/>
    <mergeCell ref="B15:C15"/>
    <mergeCell ref="B20:C20"/>
    <mergeCell ref="B65:C65"/>
    <mergeCell ref="B16:C16"/>
    <mergeCell ref="B17:C17"/>
    <mergeCell ref="B19:C19"/>
    <mergeCell ref="B18:C18"/>
    <mergeCell ref="B13:C13"/>
    <mergeCell ref="B21:C21"/>
    <mergeCell ref="B22:C22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3:C63"/>
    <mergeCell ref="B64:C64"/>
    <mergeCell ref="B58:C58"/>
    <mergeCell ref="B59:C59"/>
    <mergeCell ref="B60:C60"/>
    <mergeCell ref="B61:C61"/>
    <mergeCell ref="B62:C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2026-04-17T04:21:59Z</cp:lastPrinted>
  <dcterms:created xsi:type="dcterms:W3CDTF">2024-10-20T11:50:19Z</dcterms:created>
  <dcterms:modified xsi:type="dcterms:W3CDTF">2026-04-17T04:22:07Z</dcterms:modified>
</cp:coreProperties>
</file>