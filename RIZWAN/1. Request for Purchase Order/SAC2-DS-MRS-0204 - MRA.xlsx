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5D5DE0B-02A0-4E2D-B418-9ECA563CCE1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MRS!$A$1:$L$29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page'!$A$1:$H$26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G8" i="4" s="1"/>
  <c r="F9" i="4"/>
  <c r="F10" i="4"/>
  <c r="F11" i="4"/>
  <c r="F6" i="4"/>
  <c r="E7" i="4"/>
  <c r="G7" i="4" s="1"/>
  <c r="E8" i="4"/>
  <c r="E9" i="4"/>
  <c r="E10" i="4"/>
  <c r="E11" i="4"/>
  <c r="E6" i="4"/>
  <c r="G6" i="4" s="1"/>
  <c r="D7" i="4"/>
  <c r="D8" i="4"/>
  <c r="D9" i="4"/>
  <c r="D10" i="4"/>
  <c r="D11" i="4"/>
  <c r="D6" i="4"/>
  <c r="A18" i="4"/>
  <c r="A19" i="4"/>
  <c r="A17" i="4"/>
  <c r="A16" i="4"/>
  <c r="J18" i="1"/>
  <c r="J17" i="1"/>
  <c r="J16" i="1"/>
  <c r="A14" i="4"/>
  <c r="A15" i="4"/>
  <c r="B11" i="4"/>
  <c r="B10" i="4"/>
  <c r="B9" i="4"/>
  <c r="B8" i="4"/>
  <c r="B7" i="4"/>
  <c r="B6" i="4"/>
  <c r="A11" i="4"/>
  <c r="A12" i="4"/>
  <c r="A13" i="4"/>
  <c r="I14" i="2"/>
  <c r="I15" i="2"/>
  <c r="I16" i="2"/>
  <c r="H14" i="2"/>
  <c r="H15" i="2"/>
  <c r="H16" i="2"/>
  <c r="G14" i="2"/>
  <c r="G15" i="2"/>
  <c r="G16" i="2"/>
  <c r="D14" i="2"/>
  <c r="D15" i="2"/>
  <c r="D16" i="2"/>
  <c r="B14" i="2"/>
  <c r="B15" i="2"/>
  <c r="B16" i="2"/>
  <c r="J14" i="1"/>
  <c r="J14" i="2" s="1"/>
  <c r="I13" i="2"/>
  <c r="H13" i="2"/>
  <c r="G13" i="2"/>
  <c r="D13" i="2"/>
  <c r="B13" i="2"/>
  <c r="I12" i="2"/>
  <c r="H12" i="2"/>
  <c r="G12" i="2"/>
  <c r="D12" i="2"/>
  <c r="B12" i="2"/>
  <c r="J19" i="1"/>
  <c r="J16" i="2" s="1"/>
  <c r="J15" i="1"/>
  <c r="J15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G11" i="4" l="1"/>
  <c r="G10" i="4"/>
  <c r="G9" i="4"/>
  <c r="J6" i="1"/>
  <c r="J20" i="1" s="1"/>
  <c r="K10" i="3"/>
  <c r="A23" i="4" l="1"/>
  <c r="J7" i="2"/>
  <c r="I7" i="2"/>
  <c r="I6" i="2"/>
  <c r="H6" i="2"/>
  <c r="G6" i="2"/>
  <c r="D6" i="2"/>
  <c r="B6" i="2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1"/>
  <c r="A10" i="2" s="1"/>
  <c r="A9" i="1"/>
  <c r="A9" i="2" s="1"/>
  <c r="A8" i="1"/>
  <c r="A8" i="2" s="1"/>
  <c r="A7" i="1"/>
  <c r="A7" i="2" s="1"/>
  <c r="A6" i="1"/>
  <c r="A6" i="2" s="1"/>
  <c r="J6" i="2" l="1"/>
  <c r="G20" i="4" s="1"/>
  <c r="F29" i="3" s="1"/>
  <c r="G21" i="4" l="1"/>
  <c r="G22" i="4" l="1"/>
  <c r="F31" i="3" s="1"/>
  <c r="F30" i="3"/>
</calcChain>
</file>

<file path=xl/sharedStrings.xml><?xml version="1.0" encoding="utf-8"?>
<sst xmlns="http://schemas.openxmlformats.org/spreadsheetml/2006/main" count="185" uniqueCount="140">
  <si>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</si>
  <si>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</si>
  <si>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</si>
  <si>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</si>
  <si>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</si>
  <si>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</si>
  <si>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</si>
  <si>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</si>
  <si>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</si>
  <si>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</si>
  <si>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</si>
  <si>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</si>
  <si>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</si>
  <si>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</si>
  <si>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</si>
  <si>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</si>
  <si>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</si>
  <si>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</si>
  <si>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</si>
  <si>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</si>
  <si>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</si>
  <si>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</si>
  <si>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</si>
  <si>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</si>
  <si>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</si>
  <si>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</si>
  <si>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</si>
  <si>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</si>
  <si>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</si>
  <si>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</si>
  <si>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</si>
  <si>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</si>
  <si>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</si>
  <si>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</si>
  <si>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</si>
  <si>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</si>
  <si>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</si>
  <si>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</si>
  <si>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</si>
  <si>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</si>
  <si>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</si>
  <si>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</si>
  <si>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</si>
  <si>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</si>
  <si>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</si>
  <si>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</si>
  <si>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</si>
  <si>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</si>
  <si>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</si>
  <si>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</si>
  <si>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</si>
  <si>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</si>
  <si>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</si>
  <si>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</si>
  <si>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</si>
  <si>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</si>
  <si>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</si>
  <si>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</si>
  <si>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</si>
  <si>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</si>
  <si>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</si>
  <si>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</si>
  <si>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</si>
  <si>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</si>
  <si>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</si>
  <si>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</si>
  <si>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</si>
  <si>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</si>
  <si>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</si>
  <si>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</si>
  <si>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</si>
  <si>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</si>
  <si>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</si>
  <si>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</si>
  <si>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</si>
  <si>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</si>
  <si>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</si>
  <si>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</si>
  <si>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</si>
  <si>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</si>
  <si>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</si>
  <si>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</si>
  <si>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</si>
  <si>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</si>
  <si>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</si>
  <si>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</si>
  <si>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</si>
  <si>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</si>
  <si>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</si>
  <si>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</si>
  <si>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</si>
  <si>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</si>
  <si>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</si>
  <si>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</si>
  <si>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</si>
  <si>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</si>
  <si>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 xml:space="preserve">  Delivery &amp; Payment : Dong Chang Kim / Daeshin Admin. [ Mobile No. : +966 53 748 5762 / Email : kdchjs@daeshinplant.com ]</t>
  </si>
  <si>
    <t>Division (In charge Name) : ADMIN MANAGER (Dong Chang Kim)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</si>
  <si>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</si>
  <si>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</si>
  <si>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Computer Set &amp; Office Materials</t>
  </si>
  <si>
    <t>MRA(MRA General Contracting Est.)</t>
  </si>
  <si>
    <t xml:space="preserve"> CR No. :</t>
    <phoneticPr fontId="7" type="noConversion"/>
  </si>
  <si>
    <t>2055137272</t>
  </si>
  <si>
    <t xml:space="preserve"> VAT No. : </t>
    <phoneticPr fontId="7" type="noConversion"/>
  </si>
  <si>
    <t>'300701477700003</t>
  </si>
  <si>
    <t xml:space="preserve"> In Charge :</t>
    <phoneticPr fontId="7" type="noConversion"/>
  </si>
  <si>
    <t>Mohammed Nabeel</t>
  </si>
  <si>
    <t>+966 59 832 0214 /  Emailnabeelmra2030@gmail.com</t>
  </si>
  <si>
    <t>8298 Hofuf Street , Al-Safat District, 4334 Al Jubail</t>
  </si>
  <si>
    <t>Mobile : +966 59 832 0214</t>
  </si>
  <si>
    <t>Sales Manager</t>
  </si>
  <si>
    <t>MRA</t>
  </si>
  <si>
    <t>One time</t>
  </si>
  <si>
    <t>Branch of Hyundai Engineering and Const. Co., Ltd. (HDEC)</t>
  </si>
  <si>
    <t>Dell Desktop</t>
  </si>
  <si>
    <t>16 GB RAM / 512 SSD</t>
  </si>
  <si>
    <t>Dell Monitor</t>
  </si>
  <si>
    <t>24"</t>
  </si>
  <si>
    <t>Blanket, Bedsheet, Pillow</t>
  </si>
  <si>
    <t>Bank Account Details:</t>
  </si>
  <si>
    <t>SAUDI NATIONAL BANK</t>
  </si>
  <si>
    <t>NCBKSAJE</t>
  </si>
  <si>
    <t>SAR</t>
  </si>
  <si>
    <t>MRA GENERAL CONTRACTING EST.</t>
  </si>
  <si>
    <t>01400020580706</t>
  </si>
  <si>
    <t>SA7410000001400020580706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</si>
  <si>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</si>
  <si>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</si>
  <si>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</si>
  <si>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</si>
  <si>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</si>
  <si>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</si>
  <si>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</si>
  <si>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Water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</si>
  <si>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-MRS-0204</t>
    </r>
  </si>
  <si>
    <t>Safety Glass</t>
  </si>
  <si>
    <t>Clear</t>
  </si>
  <si>
    <t>Dark</t>
  </si>
  <si>
    <t>MRA/SQ000132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</si>
</sst>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7" fillId="3" borderId="0" xfId="5" applyNumberFormat="1" applyFont="1" applyFill="1"/>
    <xf numFmtId="0" fontId="1" fillId="0" borderId="8" xfId="0" quotePrefix="1" applyFont="1" applyBorder="1" applyAlignment="1">
      <alignment horizontal="center" vertical="center" wrapText="1"/>
    </xf>
    <xf numFmtId="0" fontId="54" fillId="3" borderId="0" xfId="5" applyFont="1" applyFill="1"/>
    <xf numFmtId="0" fontId="17" fillId="3" borderId="0" xfId="5" quotePrefix="1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661737</xdr:colOff>
          <xdr:row>21</xdr:row>
          <xdr:rowOff>0</xdr:rowOff>
        </xdr:from>
        <xdr:to>
          <xdr:col>12</xdr:col>
          <xdr:colOff>502</xdr:colOff>
          <xdr:row>28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2:$V$28" spid="_x0000_s124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35579" y="5273842"/>
              <a:ext cx="4171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6"/>
  <sheetViews>
    <sheetView showGridLines="0" tabSelected="1" view="pageBreakPreview" zoomScale="95" zoomScaleNormal="95" zoomScaleSheetLayoutView="95" workbookViewId="0">
      <selection activeCell="B12" sqref="B12:C1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9" t="s">
        <v>99</v>
      </c>
      <c r="B1" s="105"/>
      <c r="C1" s="105"/>
      <c r="D1" s="105"/>
      <c r="E1" s="105"/>
      <c r="F1" s="105"/>
      <c r="G1" s="1"/>
      <c r="J1" s="139" t="s">
        <v>88</v>
      </c>
      <c r="K1" s="140"/>
      <c r="L1" s="141"/>
    </row>
    <row r="2" spans="1:19" ht="20.100000000000001" customHeight="1">
      <c r="A2" s="3" t="s">
        <v>1</v>
      </c>
      <c r="B2" s="96"/>
      <c r="C2" s="96"/>
      <c r="D2" s="3" t="s">
        <v>97</v>
      </c>
      <c r="E2" s="96"/>
      <c r="F2" s="96"/>
      <c r="G2" s="96"/>
      <c r="H2" s="96"/>
      <c r="I2" s="4"/>
      <c r="J2" s="142" t="s">
        <v>98</v>
      </c>
      <c r="K2" s="143"/>
      <c r="L2" s="144"/>
    </row>
    <row r="3" spans="1:19" ht="20.100000000000001" customHeight="1">
      <c r="A3" s="3" t="s">
        <v>135</v>
      </c>
      <c r="B3" s="96"/>
      <c r="C3" s="96"/>
      <c r="D3" s="96"/>
      <c r="E3" s="145">
        <f>+L3</f>
        <v>46036</v>
      </c>
      <c r="F3" s="145"/>
      <c r="G3" s="145"/>
      <c r="H3" s="145"/>
      <c r="I3" s="145"/>
      <c r="J3" s="96"/>
      <c r="K3" s="96"/>
      <c r="L3" s="117">
        <v>46036</v>
      </c>
      <c r="M3" s="4"/>
    </row>
    <row r="4" spans="1:19" ht="15.95" customHeight="1">
      <c r="A4" s="146" t="s">
        <v>2</v>
      </c>
      <c r="B4" s="147" t="s">
        <v>3</v>
      </c>
      <c r="C4" s="147"/>
      <c r="D4" s="148" t="s">
        <v>4</v>
      </c>
      <c r="E4" s="149"/>
      <c r="F4" s="150"/>
      <c r="G4" s="154" t="s">
        <v>5</v>
      </c>
      <c r="H4" s="156" t="s">
        <v>6</v>
      </c>
      <c r="I4" s="156" t="s">
        <v>92</v>
      </c>
      <c r="J4" s="146" t="s">
        <v>93</v>
      </c>
      <c r="K4" s="156" t="s">
        <v>0</v>
      </c>
      <c r="L4" s="147" t="s">
        <v>7</v>
      </c>
    </row>
    <row r="5" spans="1:19" ht="15.95" customHeight="1">
      <c r="A5" s="146"/>
      <c r="B5" s="147"/>
      <c r="C5" s="147"/>
      <c r="D5" s="151"/>
      <c r="E5" s="152"/>
      <c r="F5" s="153"/>
      <c r="G5" s="155"/>
      <c r="H5" s="157"/>
      <c r="I5" s="157"/>
      <c r="J5" s="146"/>
      <c r="K5" s="157"/>
      <c r="L5" s="147"/>
    </row>
    <row r="6" spans="1:19" ht="18" customHeight="1">
      <c r="A6" s="5">
        <f t="shared" ref="A6:A10" si="0">ROW(A1)</f>
        <v>1</v>
      </c>
      <c r="B6" s="137" t="s">
        <v>115</v>
      </c>
      <c r="C6" s="138"/>
      <c r="D6" s="129" t="s">
        <v>116</v>
      </c>
      <c r="E6" s="130"/>
      <c r="F6" s="131"/>
      <c r="G6" s="106" t="s">
        <v>95</v>
      </c>
      <c r="H6" s="107">
        <v>6</v>
      </c>
      <c r="I6" s="108">
        <v>2580</v>
      </c>
      <c r="J6" s="108">
        <f>H6*I6</f>
        <v>15480</v>
      </c>
      <c r="K6" s="109" t="s">
        <v>112</v>
      </c>
      <c r="L6" s="121" t="s">
        <v>113</v>
      </c>
      <c r="S6" s="101"/>
    </row>
    <row r="7" spans="1:19" ht="18" customHeight="1">
      <c r="A7" s="5">
        <f t="shared" si="0"/>
        <v>2</v>
      </c>
      <c r="B7" s="137" t="s">
        <v>117</v>
      </c>
      <c r="C7" s="138"/>
      <c r="D7" s="129" t="s">
        <v>118</v>
      </c>
      <c r="E7" s="130"/>
      <c r="F7" s="131"/>
      <c r="G7" s="106" t="s">
        <v>95</v>
      </c>
      <c r="H7" s="107">
        <v>9</v>
      </c>
      <c r="I7" s="108">
        <v>392</v>
      </c>
      <c r="J7" s="108">
        <f t="shared" ref="J7:J19" si="1">H7*I7</f>
        <v>3528</v>
      </c>
      <c r="K7" s="109"/>
      <c r="L7" s="110"/>
      <c r="S7" s="101"/>
    </row>
    <row r="8" spans="1:19" ht="18" customHeight="1">
      <c r="A8" s="5">
        <f t="shared" si="0"/>
        <v>3</v>
      </c>
      <c r="B8" s="137" t="s">
        <v>136</v>
      </c>
      <c r="C8" s="138"/>
      <c r="D8" s="136" t="s">
        <v>137</v>
      </c>
      <c r="E8" s="136"/>
      <c r="F8" s="136"/>
      <c r="G8" s="106" t="s">
        <v>95</v>
      </c>
      <c r="H8" s="107">
        <v>500</v>
      </c>
      <c r="I8" s="108">
        <v>3</v>
      </c>
      <c r="J8" s="108">
        <f t="shared" si="1"/>
        <v>1500</v>
      </c>
      <c r="K8" s="109"/>
      <c r="L8" s="110"/>
      <c r="S8" s="101"/>
    </row>
    <row r="9" spans="1:19" ht="18" customHeight="1">
      <c r="A9" s="5">
        <f t="shared" si="0"/>
        <v>4</v>
      </c>
      <c r="B9" s="137" t="s">
        <v>136</v>
      </c>
      <c r="C9" s="138"/>
      <c r="D9" s="129" t="s">
        <v>138</v>
      </c>
      <c r="E9" s="130"/>
      <c r="F9" s="131"/>
      <c r="G9" s="106" t="s">
        <v>95</v>
      </c>
      <c r="H9" s="107">
        <v>1000</v>
      </c>
      <c r="I9" s="108">
        <v>3</v>
      </c>
      <c r="J9" s="108">
        <f t="shared" si="1"/>
        <v>3000</v>
      </c>
      <c r="K9" s="109"/>
      <c r="L9" s="110"/>
      <c r="S9" s="101"/>
    </row>
    <row r="10" spans="1:19" ht="18" customHeight="1">
      <c r="A10" s="5">
        <f t="shared" si="0"/>
        <v>5</v>
      </c>
      <c r="B10" s="137" t="s">
        <v>134</v>
      </c>
      <c r="C10" s="138"/>
      <c r="D10" s="129"/>
      <c r="E10" s="130"/>
      <c r="F10" s="131"/>
      <c r="G10" s="106" t="s">
        <v>95</v>
      </c>
      <c r="H10" s="107">
        <v>200</v>
      </c>
      <c r="I10" s="111">
        <v>7.14</v>
      </c>
      <c r="J10" s="108">
        <f t="shared" si="1"/>
        <v>1428</v>
      </c>
      <c r="K10" s="109"/>
      <c r="L10" s="106"/>
      <c r="S10" s="101"/>
    </row>
    <row r="11" spans="1:19" ht="18" customHeight="1">
      <c r="A11" s="5">
        <v>6</v>
      </c>
      <c r="B11" s="137" t="s">
        <v>119</v>
      </c>
      <c r="C11" s="138"/>
      <c r="D11" s="129"/>
      <c r="E11" s="130"/>
      <c r="F11" s="131"/>
      <c r="G11" s="106" t="s">
        <v>95</v>
      </c>
      <c r="H11" s="107">
        <v>150</v>
      </c>
      <c r="I11" s="108">
        <v>68</v>
      </c>
      <c r="J11" s="108">
        <f t="shared" si="1"/>
        <v>10200</v>
      </c>
      <c r="K11" s="109"/>
      <c r="L11" s="110"/>
      <c r="S11" s="101"/>
    </row>
    <row r="12" spans="1:19" ht="18" customHeight="1">
      <c r="A12" s="5">
        <v>7</v>
      </c>
      <c r="B12" s="128"/>
      <c r="C12" s="128"/>
      <c r="D12" s="136"/>
      <c r="E12" s="136"/>
      <c r="F12" s="136"/>
      <c r="G12" s="106"/>
      <c r="H12" s="107"/>
      <c r="I12" s="111"/>
      <c r="J12" s="108">
        <f t="shared" si="1"/>
        <v>0</v>
      </c>
      <c r="K12" s="109"/>
      <c r="L12" s="106"/>
      <c r="S12" s="101"/>
    </row>
    <row r="13" spans="1:19" ht="18" customHeight="1">
      <c r="A13" s="5">
        <v>8</v>
      </c>
      <c r="B13" s="137"/>
      <c r="C13" s="138"/>
      <c r="D13" s="129"/>
      <c r="E13" s="130"/>
      <c r="F13" s="131"/>
      <c r="G13" s="106"/>
      <c r="H13" s="107"/>
      <c r="I13" s="108"/>
      <c r="J13" s="108">
        <f t="shared" si="1"/>
        <v>0</v>
      </c>
      <c r="K13" s="109"/>
      <c r="L13" s="110"/>
      <c r="S13" s="101"/>
    </row>
    <row r="14" spans="1:19" ht="18" customHeight="1">
      <c r="A14" s="5">
        <v>9</v>
      </c>
      <c r="B14" s="137"/>
      <c r="C14" s="138"/>
      <c r="D14" s="129"/>
      <c r="E14" s="130"/>
      <c r="F14" s="131"/>
      <c r="G14" s="106"/>
      <c r="H14" s="107"/>
      <c r="I14" s="108"/>
      <c r="J14" s="108">
        <f t="shared" si="1"/>
        <v>0</v>
      </c>
      <c r="K14" s="109"/>
      <c r="L14" s="110"/>
      <c r="S14" s="101"/>
    </row>
    <row r="15" spans="1:19" ht="18" customHeight="1">
      <c r="A15" s="5">
        <v>10</v>
      </c>
      <c r="B15" s="137"/>
      <c r="C15" s="138"/>
      <c r="D15" s="129"/>
      <c r="E15" s="130"/>
      <c r="F15" s="131"/>
      <c r="G15" s="106"/>
      <c r="H15" s="107"/>
      <c r="I15" s="108"/>
      <c r="J15" s="108">
        <f t="shared" si="1"/>
        <v>0</v>
      </c>
      <c r="K15" s="109"/>
      <c r="L15" s="110"/>
      <c r="S15" s="101"/>
    </row>
    <row r="16" spans="1:19" ht="18" customHeight="1">
      <c r="A16" s="5">
        <v>11</v>
      </c>
      <c r="B16" s="137"/>
      <c r="C16" s="138"/>
      <c r="D16" s="129"/>
      <c r="E16" s="130"/>
      <c r="F16" s="131"/>
      <c r="G16" s="106"/>
      <c r="H16" s="107"/>
      <c r="I16" s="108"/>
      <c r="J16" s="108">
        <f t="shared" si="1"/>
        <v>0</v>
      </c>
      <c r="K16" s="109"/>
      <c r="L16" s="110"/>
      <c r="S16" s="101"/>
    </row>
    <row r="17" spans="1:22" ht="18" customHeight="1">
      <c r="A17" s="5">
        <v>12</v>
      </c>
      <c r="B17" s="137"/>
      <c r="C17" s="138"/>
      <c r="D17" s="129"/>
      <c r="E17" s="130"/>
      <c r="F17" s="131"/>
      <c r="G17" s="106"/>
      <c r="H17" s="107"/>
      <c r="I17" s="108"/>
      <c r="J17" s="108">
        <f t="shared" si="1"/>
        <v>0</v>
      </c>
      <c r="K17" s="109"/>
      <c r="L17" s="110"/>
      <c r="S17" s="101"/>
    </row>
    <row r="18" spans="1:22" ht="18" customHeight="1">
      <c r="A18" s="5">
        <v>13</v>
      </c>
      <c r="B18" s="137"/>
      <c r="C18" s="138"/>
      <c r="D18" s="129"/>
      <c r="E18" s="130"/>
      <c r="F18" s="131"/>
      <c r="G18" s="106"/>
      <c r="H18" s="107"/>
      <c r="I18" s="108"/>
      <c r="J18" s="108">
        <f t="shared" si="1"/>
        <v>0</v>
      </c>
      <c r="K18" s="109"/>
      <c r="L18" s="110"/>
      <c r="S18" s="101"/>
    </row>
    <row r="19" spans="1:22" ht="18" customHeight="1">
      <c r="A19" s="5">
        <v>14</v>
      </c>
      <c r="B19" s="128"/>
      <c r="C19" s="128"/>
      <c r="D19" s="129"/>
      <c r="E19" s="130"/>
      <c r="F19" s="131"/>
      <c r="G19" s="106"/>
      <c r="H19" s="107"/>
      <c r="I19" s="108"/>
      <c r="J19" s="108">
        <f t="shared" si="1"/>
        <v>0</v>
      </c>
      <c r="K19" s="109"/>
      <c r="L19" s="110"/>
      <c r="S19" s="101"/>
    </row>
    <row r="20" spans="1:22" ht="22.5" customHeight="1">
      <c r="A20" s="132" t="s">
        <v>8</v>
      </c>
      <c r="B20" s="133"/>
      <c r="C20" s="112"/>
      <c r="D20" s="113"/>
      <c r="E20" s="113"/>
      <c r="F20" s="113"/>
      <c r="G20" s="114"/>
      <c r="H20" s="114"/>
      <c r="I20" s="115" t="s">
        <v>9</v>
      </c>
      <c r="J20" s="108">
        <f>SUM(J6:J19)</f>
        <v>35136</v>
      </c>
      <c r="K20" s="108"/>
      <c r="L20" s="116"/>
    </row>
    <row r="21" spans="1:22" ht="20.100000000000001" customHeight="1">
      <c r="A21" s="6" t="s">
        <v>10</v>
      </c>
      <c r="B21" s="7"/>
      <c r="C21" s="7"/>
      <c r="D21" s="7"/>
      <c r="E21" s="7"/>
      <c r="F21" s="7"/>
      <c r="G21" s="7"/>
      <c r="H21" s="7"/>
      <c r="I21" s="7"/>
      <c r="J21" s="7"/>
      <c r="K21" s="8"/>
      <c r="L21" s="9"/>
    </row>
    <row r="22" spans="1:22" ht="18" customHeight="1">
      <c r="A22" s="10"/>
      <c r="J22" s="1"/>
      <c r="K22" s="1"/>
      <c r="O22" s="11"/>
      <c r="P22" s="11"/>
      <c r="Q22" s="11"/>
      <c r="S22" s="134" t="s">
        <v>11</v>
      </c>
      <c r="T22" s="12" t="s">
        <v>12</v>
      </c>
      <c r="U22" s="13" t="s">
        <v>13</v>
      </c>
      <c r="V22" s="12" t="s">
        <v>14</v>
      </c>
    </row>
    <row r="23" spans="1:22" ht="50.1" customHeight="1">
      <c r="S23" s="135"/>
      <c r="T23" s="14"/>
      <c r="U23" s="15"/>
      <c r="V23" s="14"/>
    </row>
    <row r="24" spans="1:22" ht="17.100000000000001" customHeight="1">
      <c r="O24" s="11"/>
      <c r="P24" s="11"/>
      <c r="Q24" s="11"/>
      <c r="S24" s="125"/>
      <c r="T24" s="15" t="s">
        <v>15</v>
      </c>
      <c r="U24" s="15" t="s">
        <v>15</v>
      </c>
      <c r="V24" s="16" t="s">
        <v>15</v>
      </c>
    </row>
    <row r="25" spans="1:22" ht="15" customHeight="1">
      <c r="O25" s="17" t="s">
        <v>16</v>
      </c>
      <c r="P25" s="124" t="s">
        <v>17</v>
      </c>
      <c r="Q25" s="124" t="s">
        <v>18</v>
      </c>
    </row>
    <row r="26" spans="1:22" ht="18" customHeight="1">
      <c r="O26" s="18" t="s">
        <v>19</v>
      </c>
      <c r="P26" s="126"/>
      <c r="Q26" s="126"/>
      <c r="S26" s="134" t="s">
        <v>20</v>
      </c>
      <c r="T26" s="12" t="s">
        <v>12</v>
      </c>
      <c r="U26" s="12" t="s">
        <v>13</v>
      </c>
      <c r="V26" s="12" t="s">
        <v>14</v>
      </c>
    </row>
    <row r="27" spans="1:22" ht="49.5" customHeight="1">
      <c r="O27" s="14"/>
      <c r="P27" s="14"/>
      <c r="Q27" s="14"/>
      <c r="S27" s="135"/>
      <c r="T27" s="19"/>
      <c r="U27" s="19"/>
      <c r="V27" s="14"/>
    </row>
    <row r="28" spans="1:22" ht="17.100000000000001" customHeight="1">
      <c r="O28" s="16" t="s">
        <v>15</v>
      </c>
      <c r="P28" s="16" t="s">
        <v>15</v>
      </c>
      <c r="Q28" s="16" t="s">
        <v>15</v>
      </c>
      <c r="S28" s="125"/>
      <c r="T28" s="15" t="s">
        <v>15</v>
      </c>
      <c r="U28" s="15" t="s">
        <v>15</v>
      </c>
      <c r="V28" s="16" t="s">
        <v>15</v>
      </c>
    </row>
    <row r="29" spans="1:22" ht="9.9499999999999993" customHeight="1"/>
    <row r="30" spans="1:22" ht="19.899999999999999" customHeight="1"/>
    <row r="31" spans="1:22" ht="17.45" customHeight="1">
      <c r="O31" s="127"/>
      <c r="P31" s="127"/>
      <c r="Q31" s="127"/>
    </row>
    <row r="32" spans="1:22" ht="19.899999999999999" customHeight="1">
      <c r="O32" s="127"/>
      <c r="P32" s="127"/>
      <c r="Q32" s="127"/>
    </row>
    <row r="33" spans="15:20" ht="14.25">
      <c r="O33" s="11"/>
      <c r="P33" s="11"/>
      <c r="Q33" s="11"/>
    </row>
    <row r="34" spans="15:20" ht="65.099999999999994" customHeight="1"/>
    <row r="35" spans="15:20" ht="14.25">
      <c r="O35" s="11"/>
      <c r="P35" s="11"/>
      <c r="Q35" s="11"/>
    </row>
    <row r="36" spans="15:20" ht="19.899999999999999" customHeight="1"/>
    <row r="37" spans="15:20" ht="14.25"/>
    <row r="38" spans="15:20" ht="19.899999999999999" customHeight="1"/>
    <row r="39" spans="15:20" ht="14.25"/>
    <row r="40" spans="15:20" ht="19.899999999999999" customHeight="1"/>
    <row r="41" spans="15:20" ht="19.899999999999999" customHeight="1"/>
    <row r="42" spans="15:20" ht="64.900000000000006" customHeight="1"/>
    <row r="44" spans="15:20" ht="19.899999999999999" customHeight="1">
      <c r="T44" s="124" t="s">
        <v>21</v>
      </c>
    </row>
    <row r="45" spans="15:20" ht="19.899999999999999" customHeight="1">
      <c r="T45" s="126"/>
    </row>
    <row r="46" spans="15:20" ht="64.900000000000006" customHeight="1">
      <c r="T46" s="14"/>
    </row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22</v>
      </c>
      <c r="U50" s="124" t="s">
        <v>13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4"/>
      <c r="U52" s="15"/>
      <c r="V52" s="14"/>
    </row>
    <row r="53" spans="15:22" ht="7.15" customHeight="1"/>
    <row r="54" spans="15:22" ht="21" customHeight="1">
      <c r="O54" s="124" t="s">
        <v>21</v>
      </c>
      <c r="P54" s="124" t="s">
        <v>21</v>
      </c>
      <c r="Q54" s="124" t="s">
        <v>21</v>
      </c>
      <c r="T54" s="124" t="s">
        <v>13</v>
      </c>
      <c r="U54" s="124" t="s">
        <v>22</v>
      </c>
      <c r="V54" s="124" t="s">
        <v>21</v>
      </c>
    </row>
    <row r="55" spans="15:22" ht="21" customHeight="1">
      <c r="O55" s="126"/>
      <c r="P55" s="126"/>
      <c r="Q55" s="126"/>
      <c r="T55" s="125"/>
      <c r="U55" s="125"/>
      <c r="V55" s="126"/>
    </row>
    <row r="56" spans="15:22" ht="64.900000000000006" customHeight="1">
      <c r="O56" s="14"/>
      <c r="P56" s="14"/>
      <c r="Q56" s="14"/>
      <c r="T56" s="15"/>
      <c r="U56" s="14"/>
      <c r="V56" s="14"/>
    </row>
  </sheetData>
  <mergeCells count="61">
    <mergeCell ref="B16:C16"/>
    <mergeCell ref="D16:F16"/>
    <mergeCell ref="B17:C17"/>
    <mergeCell ref="D17:F17"/>
    <mergeCell ref="B18:C18"/>
    <mergeCell ref="D18:F1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B14:C14"/>
    <mergeCell ref="D14:F14"/>
    <mergeCell ref="B19:C19"/>
    <mergeCell ref="D19:F19"/>
    <mergeCell ref="A20:B20"/>
    <mergeCell ref="S22:S24"/>
    <mergeCell ref="P25:P26"/>
    <mergeCell ref="Q25:Q26"/>
    <mergeCell ref="S26:S28"/>
    <mergeCell ref="O31:O32"/>
    <mergeCell ref="P31:P32"/>
    <mergeCell ref="Q31:Q32"/>
    <mergeCell ref="T44:T45"/>
    <mergeCell ref="O50:O51"/>
    <mergeCell ref="P50:P51"/>
    <mergeCell ref="Q50:Q51"/>
    <mergeCell ref="T50:T51"/>
    <mergeCell ref="U50:U51"/>
    <mergeCell ref="V50:V51"/>
    <mergeCell ref="O54:O55"/>
    <mergeCell ref="P54:P55"/>
    <mergeCell ref="Q54:Q55"/>
    <mergeCell ref="T54:T55"/>
    <mergeCell ref="U54:U55"/>
    <mergeCell ref="V54:V5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G13" sqref="G1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94</v>
      </c>
      <c r="B1" s="95"/>
      <c r="C1" s="95"/>
      <c r="D1" s="95"/>
      <c r="E1" s="95"/>
      <c r="F1" s="95"/>
      <c r="G1" s="1"/>
      <c r="J1" s="139" t="str">
        <f>+MRS!J1</f>
        <v>DAESHIN PLANT</v>
      </c>
      <c r="K1" s="141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SAC2-DS-MRS-0204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46036</v>
      </c>
    </row>
    <row r="4" spans="1:18" ht="15.95" customHeight="1">
      <c r="A4" s="168" t="s">
        <v>2</v>
      </c>
      <c r="B4" s="169" t="s">
        <v>23</v>
      </c>
      <c r="C4" s="169"/>
      <c r="D4" s="168" t="s">
        <v>4</v>
      </c>
      <c r="E4" s="168"/>
      <c r="F4" s="168"/>
      <c r="G4" s="169" t="s">
        <v>5</v>
      </c>
      <c r="H4" s="168" t="s">
        <v>89</v>
      </c>
      <c r="I4" s="168" t="s">
        <v>24</v>
      </c>
      <c r="J4" s="168" t="s">
        <v>25</v>
      </c>
      <c r="K4" s="169" t="s">
        <v>7</v>
      </c>
    </row>
    <row r="5" spans="1:18" ht="15.95" customHeight="1">
      <c r="A5" s="168"/>
      <c r="B5" s="169"/>
      <c r="C5" s="169"/>
      <c r="D5" s="168"/>
      <c r="E5" s="168"/>
      <c r="F5" s="168"/>
      <c r="G5" s="169"/>
      <c r="H5" s="168"/>
      <c r="I5" s="168"/>
      <c r="J5" s="168"/>
      <c r="K5" s="169"/>
    </row>
    <row r="6" spans="1:18" ht="105" customHeight="1">
      <c r="A6" s="21">
        <f>+MRS!A6</f>
        <v>1</v>
      </c>
      <c r="B6" s="158" t="str">
        <f>MRS!B6</f>
        <v>Dell Desktop</v>
      </c>
      <c r="C6" s="159"/>
      <c r="D6" s="160" t="str">
        <f>MRS!D6</f>
        <v>16 GB RAM / 512 SSD</v>
      </c>
      <c r="E6" s="161"/>
      <c r="F6" s="162"/>
      <c r="G6" s="98" t="str">
        <f>MRS!G6</f>
        <v>EA</v>
      </c>
      <c r="H6" s="98">
        <f>MRS!H6</f>
        <v>6</v>
      </c>
      <c r="I6" s="99">
        <f>MRS!I6</f>
        <v>2580</v>
      </c>
      <c r="J6" s="99">
        <f>MRS!J6</f>
        <v>15480</v>
      </c>
      <c r="K6" s="100"/>
      <c r="O6" s="101"/>
      <c r="P6" s="101"/>
      <c r="R6" s="101"/>
    </row>
    <row r="7" spans="1:18" ht="105" customHeight="1">
      <c r="A7" s="21">
        <f>+MRS!A7</f>
        <v>2</v>
      </c>
      <c r="B7" s="158" t="str">
        <f>MRS!B7</f>
        <v>Dell Monitor</v>
      </c>
      <c r="C7" s="159"/>
      <c r="D7" s="160" t="str">
        <f>MRS!D7</f>
        <v>24"</v>
      </c>
      <c r="E7" s="161"/>
      <c r="F7" s="162"/>
      <c r="G7" s="98" t="str">
        <f>MRS!G7</f>
        <v>EA</v>
      </c>
      <c r="H7" s="98">
        <f>MRS!H7</f>
        <v>9</v>
      </c>
      <c r="I7" s="99">
        <f>MRS!I7</f>
        <v>392</v>
      </c>
      <c r="J7" s="99">
        <f>MRS!J7</f>
        <v>3528</v>
      </c>
      <c r="K7" s="100"/>
      <c r="O7" s="101"/>
      <c r="P7" s="101"/>
      <c r="R7" s="101"/>
    </row>
    <row r="8" spans="1:18" ht="105" customHeight="1">
      <c r="A8" s="21">
        <f>+MRS!A8</f>
        <v>3</v>
      </c>
      <c r="B8" s="158" t="str">
        <f>MRS!B8</f>
        <v>Safety Glass</v>
      </c>
      <c r="C8" s="159"/>
      <c r="D8" s="160" t="str">
        <f>MRS!D8</f>
        <v>Clear</v>
      </c>
      <c r="E8" s="161"/>
      <c r="F8" s="162"/>
      <c r="G8" s="98" t="str">
        <f>MRS!G8</f>
        <v>EA</v>
      </c>
      <c r="H8" s="98">
        <f>MRS!H8</f>
        <v>500</v>
      </c>
      <c r="I8" s="99">
        <f>MRS!I8</f>
        <v>3</v>
      </c>
      <c r="J8" s="99">
        <f>MRS!J8</f>
        <v>1500</v>
      </c>
      <c r="K8" s="100"/>
      <c r="O8" s="101"/>
      <c r="P8" s="101"/>
      <c r="R8" s="101"/>
    </row>
    <row r="9" spans="1:18" ht="105" customHeight="1">
      <c r="A9" s="21">
        <f>+MRS!A9</f>
        <v>4</v>
      </c>
      <c r="B9" s="158" t="str">
        <f>MRS!B9</f>
        <v>Safety Glass</v>
      </c>
      <c r="C9" s="159"/>
      <c r="D9" s="160" t="str">
        <f>MRS!D9</f>
        <v>Dark</v>
      </c>
      <c r="E9" s="161"/>
      <c r="F9" s="162"/>
      <c r="G9" s="98" t="str">
        <f>MRS!G9</f>
        <v>EA</v>
      </c>
      <c r="H9" s="98">
        <f>MRS!H9</f>
        <v>1000</v>
      </c>
      <c r="I9" s="99">
        <f>MRS!I9</f>
        <v>3</v>
      </c>
      <c r="J9" s="99">
        <f>MRS!J9</f>
        <v>3000</v>
      </c>
      <c r="K9" s="100"/>
      <c r="O9" s="101"/>
      <c r="P9" s="101"/>
      <c r="R9" s="101"/>
    </row>
    <row r="10" spans="1:18" ht="105" customHeight="1">
      <c r="A10" s="21">
        <f>+MRS!A10</f>
        <v>5</v>
      </c>
      <c r="B10" s="158" t="str">
        <f>MRS!B10</f>
        <v>Water</v>
      </c>
      <c r="C10" s="159"/>
      <c r="D10" s="160">
        <f>MRS!D10</f>
        <v>0</v>
      </c>
      <c r="E10" s="161"/>
      <c r="F10" s="162"/>
      <c r="G10" s="98" t="str">
        <f>MRS!G10</f>
        <v>EA</v>
      </c>
      <c r="H10" s="98">
        <f>MRS!H10</f>
        <v>200</v>
      </c>
      <c r="I10" s="99">
        <f>MRS!I10</f>
        <v>7.14</v>
      </c>
      <c r="J10" s="99">
        <f>MRS!J10</f>
        <v>1428</v>
      </c>
      <c r="K10" s="100"/>
      <c r="O10" s="101"/>
      <c r="P10" s="101"/>
      <c r="R10" s="101"/>
    </row>
    <row r="11" spans="1:18" ht="105" customHeight="1">
      <c r="A11" s="21">
        <f>+MRS!A11</f>
        <v>6</v>
      </c>
      <c r="B11" s="158" t="str">
        <f>MRS!B11</f>
        <v>Blanket, Bedsheet, Pillow</v>
      </c>
      <c r="C11" s="159"/>
      <c r="D11" s="160">
        <f>MRS!D11</f>
        <v>0</v>
      </c>
      <c r="E11" s="161"/>
      <c r="F11" s="162"/>
      <c r="G11" s="98" t="str">
        <f>MRS!G11</f>
        <v>EA</v>
      </c>
      <c r="H11" s="98">
        <f>MRS!H11</f>
        <v>150</v>
      </c>
      <c r="I11" s="99">
        <f>MRS!I11</f>
        <v>68</v>
      </c>
      <c r="J11" s="99">
        <f>MRS!J11</f>
        <v>10200</v>
      </c>
      <c r="K11" s="100"/>
      <c r="O11" s="101"/>
      <c r="P11" s="101"/>
      <c r="R11" s="101"/>
    </row>
    <row r="12" spans="1:18" ht="105" customHeight="1">
      <c r="A12" s="21">
        <f>+MRS!A12</f>
        <v>7</v>
      </c>
      <c r="B12" s="158">
        <f>MRS!B12</f>
        <v>0</v>
      </c>
      <c r="C12" s="159"/>
      <c r="D12" s="160">
        <f>MRS!D12</f>
        <v>0</v>
      </c>
      <c r="E12" s="161"/>
      <c r="F12" s="162"/>
      <c r="G12" s="98">
        <f>MRS!G12</f>
        <v>0</v>
      </c>
      <c r="H12" s="98">
        <f>MRS!H12</f>
        <v>0</v>
      </c>
      <c r="I12" s="99">
        <f>MRS!I12</f>
        <v>0</v>
      </c>
      <c r="J12" s="99">
        <f>MRS!J12</f>
        <v>0</v>
      </c>
      <c r="K12" s="100"/>
      <c r="O12" s="101"/>
      <c r="P12" s="101"/>
      <c r="R12" s="101"/>
    </row>
    <row r="13" spans="1:18" ht="105" customHeight="1">
      <c r="A13" s="21">
        <f>+MRS!A13</f>
        <v>8</v>
      </c>
      <c r="B13" s="158">
        <f>MRS!B13</f>
        <v>0</v>
      </c>
      <c r="C13" s="159"/>
      <c r="D13" s="160">
        <f>MRS!D13</f>
        <v>0</v>
      </c>
      <c r="E13" s="161"/>
      <c r="F13" s="162"/>
      <c r="G13" s="98">
        <f>MRS!G13</f>
        <v>0</v>
      </c>
      <c r="H13" s="98">
        <f>MRS!H13</f>
        <v>0</v>
      </c>
      <c r="I13" s="99">
        <f>MRS!I13</f>
        <v>0</v>
      </c>
      <c r="J13" s="99">
        <f>MRS!J13</f>
        <v>0</v>
      </c>
      <c r="K13" s="100"/>
      <c r="O13" s="101"/>
      <c r="P13" s="101"/>
      <c r="R13" s="101"/>
    </row>
    <row r="14" spans="1:18" ht="105" customHeight="1">
      <c r="A14" s="21">
        <f>+MRS!A15</f>
        <v>10</v>
      </c>
      <c r="B14" s="158">
        <f>MRS!B14</f>
        <v>0</v>
      </c>
      <c r="C14" s="159"/>
      <c r="D14" s="160">
        <f>MRS!D14</f>
        <v>0</v>
      </c>
      <c r="E14" s="161"/>
      <c r="F14" s="162"/>
      <c r="G14" s="98">
        <f>MRS!G14</f>
        <v>0</v>
      </c>
      <c r="H14" s="98">
        <f>MRS!H14</f>
        <v>0</v>
      </c>
      <c r="I14" s="99">
        <f>MRS!I14</f>
        <v>0</v>
      </c>
      <c r="J14" s="99">
        <f>MRS!J14</f>
        <v>0</v>
      </c>
      <c r="K14" s="100"/>
      <c r="O14" s="101"/>
      <c r="P14" s="101"/>
      <c r="R14" s="101"/>
    </row>
    <row r="15" spans="1:18" ht="105" customHeight="1">
      <c r="A15" s="21">
        <f>+MRS!A19</f>
        <v>14</v>
      </c>
      <c r="B15" s="158">
        <f>MRS!B15</f>
        <v>0</v>
      </c>
      <c r="C15" s="159"/>
      <c r="D15" s="160">
        <f>MRS!D15</f>
        <v>0</v>
      </c>
      <c r="E15" s="161"/>
      <c r="F15" s="162"/>
      <c r="G15" s="98">
        <f>MRS!G15</f>
        <v>0</v>
      </c>
      <c r="H15" s="98">
        <f>MRS!H15</f>
        <v>0</v>
      </c>
      <c r="I15" s="99">
        <f>MRS!I15</f>
        <v>0</v>
      </c>
      <c r="J15" s="99">
        <f>MRS!J15</f>
        <v>0</v>
      </c>
      <c r="K15" s="100"/>
      <c r="O15" s="101"/>
      <c r="P15" s="101"/>
      <c r="R15" s="101"/>
    </row>
    <row r="16" spans="1:18" ht="105" customHeight="1">
      <c r="A16" s="21" t="e">
        <f>+MRS!#REF!</f>
        <v>#REF!</v>
      </c>
      <c r="B16" s="158">
        <f>MRS!B19</f>
        <v>0</v>
      </c>
      <c r="C16" s="159"/>
      <c r="D16" s="160">
        <f>MRS!D19</f>
        <v>0</v>
      </c>
      <c r="E16" s="161"/>
      <c r="F16" s="162"/>
      <c r="G16" s="98">
        <f>MRS!G19</f>
        <v>0</v>
      </c>
      <c r="H16" s="98">
        <f>MRS!H19</f>
        <v>0</v>
      </c>
      <c r="I16" s="99">
        <f>MRS!I19</f>
        <v>0</v>
      </c>
      <c r="J16" s="99">
        <f>MRS!J19</f>
        <v>0</v>
      </c>
      <c r="K16" s="100"/>
      <c r="O16" s="101"/>
      <c r="P16" s="101"/>
      <c r="R16" s="101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B12" sqref="B12:C1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.85546875" style="26" customWidth="1"/>
    <col min="7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101</v>
      </c>
      <c r="D9" s="39"/>
      <c r="E9" s="39"/>
    </row>
    <row r="10" spans="2:13" s="39" customFormat="1">
      <c r="B10" s="72"/>
      <c r="C10" s="39" t="s">
        <v>102</v>
      </c>
      <c r="D10" s="76" t="s">
        <v>103</v>
      </c>
      <c r="J10" s="39" t="s">
        <v>33</v>
      </c>
      <c r="K10" s="171">
        <f>MRS!L3</f>
        <v>46036</v>
      </c>
      <c r="L10" s="172"/>
      <c r="M10" s="172"/>
    </row>
    <row r="11" spans="2:13" s="39" customFormat="1">
      <c r="B11" s="72"/>
      <c r="C11" s="75" t="s">
        <v>104</v>
      </c>
      <c r="D11" s="76" t="s">
        <v>105</v>
      </c>
      <c r="J11" s="39" t="s">
        <v>34</v>
      </c>
      <c r="K11" s="173" t="str">
        <f>SUBSTITUTE(SUBSTITUTE(+MRS!A3,"  MRS No : ",""),"-MRS","-PO")</f>
        <v>SAC2-DS-PO-0204</v>
      </c>
      <c r="L11" s="173"/>
      <c r="M11" s="173"/>
    </row>
    <row r="12" spans="2:13" s="39" customFormat="1">
      <c r="B12" s="72"/>
      <c r="C12" s="75" t="s">
        <v>106</v>
      </c>
      <c r="D12" s="39" t="s">
        <v>107</v>
      </c>
      <c r="J12" s="39" t="s">
        <v>35</v>
      </c>
    </row>
    <row r="13" spans="2:13" s="39" customFormat="1">
      <c r="B13" s="72"/>
      <c r="C13" s="77"/>
      <c r="D13" s="76" t="s">
        <v>108</v>
      </c>
      <c r="J13" s="39" t="s">
        <v>36</v>
      </c>
    </row>
    <row r="14" spans="2:13" s="39" customFormat="1">
      <c r="B14" s="72"/>
      <c r="C14" s="77" t="s">
        <v>109</v>
      </c>
      <c r="J14" s="39" t="s">
        <v>37</v>
      </c>
      <c r="K14" s="39" t="s">
        <v>139</v>
      </c>
    </row>
    <row r="15" spans="2:13" s="39" customFormat="1">
      <c r="B15" s="72"/>
      <c r="C15" s="77" t="s">
        <v>110</v>
      </c>
      <c r="J15" s="39" t="s">
        <v>38</v>
      </c>
      <c r="K15" s="78">
        <v>46027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4" t="s">
        <v>39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</row>
    <row r="19" spans="2:13" ht="12" customHeight="1"/>
    <row r="20" spans="2:13" s="31" customFormat="1" ht="12" customHeight="1">
      <c r="B20" s="175" t="s">
        <v>40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</row>
    <row r="21" spans="2:13" s="31" customFormat="1" ht="12" customHeight="1">
      <c r="B21" s="175" t="s">
        <v>41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</row>
    <row r="22" spans="2:13" s="31" customFormat="1" ht="12" customHeight="1">
      <c r="B22" s="175" t="s">
        <v>42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</row>
    <row r="23" spans="2:13" ht="6.95" customHeight="1"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2:13" ht="6.95" customHeight="1"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</row>
    <row r="25" spans="2:13" s="32" customFormat="1" ht="15" customHeight="1">
      <c r="B25" s="32">
        <v>1</v>
      </c>
      <c r="C25" s="32" t="s">
        <v>43</v>
      </c>
    </row>
    <row r="26" spans="2:13" s="39" customFormat="1" ht="15" customHeight="1">
      <c r="B26" s="73"/>
      <c r="C26" s="76" t="s">
        <v>100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5" customHeight="1">
      <c r="B29" s="32"/>
      <c r="C29" s="26" t="s">
        <v>46</v>
      </c>
      <c r="E29" s="26" t="s">
        <v>47</v>
      </c>
      <c r="F29" s="120">
        <f>'PO 2nd page'!G20</f>
        <v>35136</v>
      </c>
      <c r="G29" s="120"/>
      <c r="H29" s="33"/>
      <c r="M29" s="34"/>
    </row>
    <row r="30" spans="2:13" ht="15" customHeight="1">
      <c r="B30" s="32"/>
      <c r="C30" s="26" t="s">
        <v>48</v>
      </c>
      <c r="E30" s="26" t="s">
        <v>47</v>
      </c>
      <c r="F30" s="120">
        <f>'PO 2nd page'!G21</f>
        <v>5270.4</v>
      </c>
      <c r="G30" s="120"/>
    </row>
    <row r="31" spans="2:13" ht="15" customHeight="1">
      <c r="B31" s="32"/>
      <c r="C31" s="26" t="s">
        <v>49</v>
      </c>
      <c r="D31" s="35"/>
      <c r="E31" s="26" t="s">
        <v>47</v>
      </c>
      <c r="F31" s="120">
        <f>'PO 2nd page'!G22</f>
        <v>40406.400000000001</v>
      </c>
      <c r="G31" s="120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96</v>
      </c>
      <c r="P49" s="82"/>
    </row>
    <row r="50" spans="2:16" s="83" customFormat="1" ht="12" customHeight="1">
      <c r="B50" s="84" t="s">
        <v>63</v>
      </c>
      <c r="C50" s="81" t="s">
        <v>91</v>
      </c>
    </row>
    <row r="51" spans="2:16" s="83" customFormat="1" ht="12" customHeight="1">
      <c r="B51" s="84" t="s">
        <v>63</v>
      </c>
      <c r="C51" s="81" t="s">
        <v>90</v>
      </c>
    </row>
    <row r="52" spans="2:16" ht="6" customHeight="1">
      <c r="B52" s="42"/>
    </row>
    <row r="53" spans="2:16" ht="15" customHeight="1">
      <c r="B53" s="42">
        <v>7</v>
      </c>
      <c r="C53" s="32" t="s">
        <v>120</v>
      </c>
    </row>
    <row r="54" spans="2:16" ht="12" customHeight="1">
      <c r="B54" s="84" t="s">
        <v>63</v>
      </c>
      <c r="C54" s="122" t="s">
        <v>127</v>
      </c>
      <c r="F54" s="26" t="s">
        <v>124</v>
      </c>
    </row>
    <row r="55" spans="2:16" ht="12" customHeight="1">
      <c r="B55" s="84" t="s">
        <v>63</v>
      </c>
      <c r="C55" s="122" t="s">
        <v>128</v>
      </c>
      <c r="F55" s="123" t="s">
        <v>125</v>
      </c>
    </row>
    <row r="56" spans="2:16" ht="12" customHeight="1">
      <c r="B56" s="84" t="s">
        <v>63</v>
      </c>
      <c r="C56" s="122" t="s">
        <v>129</v>
      </c>
      <c r="F56" s="26" t="s">
        <v>126</v>
      </c>
    </row>
    <row r="57" spans="2:16" ht="12" customHeight="1">
      <c r="B57" s="84" t="s">
        <v>63</v>
      </c>
      <c r="C57" s="122" t="s">
        <v>130</v>
      </c>
      <c r="F57" s="26" t="s">
        <v>121</v>
      </c>
    </row>
    <row r="58" spans="2:16" ht="12" customHeight="1">
      <c r="B58" s="84" t="s">
        <v>63</v>
      </c>
      <c r="C58" s="122" t="s">
        <v>131</v>
      </c>
      <c r="F58" s="26" t="s">
        <v>122</v>
      </c>
    </row>
    <row r="59" spans="2:16" ht="12" customHeight="1">
      <c r="B59" s="84" t="s">
        <v>63</v>
      </c>
      <c r="C59" s="122" t="s">
        <v>132</v>
      </c>
      <c r="F59" s="26" t="s">
        <v>123</v>
      </c>
    </row>
    <row r="60" spans="2:16" ht="12" customHeight="1">
      <c r="B60" s="84"/>
      <c r="C60" s="122" t="s">
        <v>133</v>
      </c>
    </row>
    <row r="61" spans="2:16" ht="8.25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6.75" customHeight="1">
      <c r="B63" s="42"/>
    </row>
    <row r="64" spans="2:16">
      <c r="B64" s="32" t="s">
        <v>64</v>
      </c>
      <c r="J64" s="32" t="s">
        <v>65</v>
      </c>
    </row>
    <row r="65" spans="1:13" ht="47.25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Mohammed Nabeel</v>
      </c>
    </row>
    <row r="68" spans="1:13" ht="18" customHeight="1">
      <c r="B68" s="26" t="s">
        <v>69</v>
      </c>
      <c r="J68" s="26" t="s">
        <v>70</v>
      </c>
      <c r="K68" s="22" t="s">
        <v>111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114</v>
      </c>
      <c r="J70" s="178" t="str">
        <f>C9</f>
        <v>MRA(MRA General Contracting Est.)</v>
      </c>
      <c r="K70" s="178"/>
      <c r="L70" s="178"/>
      <c r="M70" s="178"/>
    </row>
    <row r="71" spans="1:13" ht="27.95" customHeight="1">
      <c r="A71" s="170" t="s">
        <v>73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86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0"/>
  <sheetViews>
    <sheetView showGridLines="0" view="pageBreakPreview" zoomScaleSheetLayoutView="100" zoomScalePageLayoutView="55" workbookViewId="0">
      <selection activeCell="B12" sqref="B12:C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74</v>
      </c>
      <c r="B2" s="47" t="str">
        <f>+'PO 1st page'!K11</f>
        <v>SAC2-DS-PO-0204</v>
      </c>
      <c r="C2" s="185" t="s">
        <v>75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76</v>
      </c>
      <c r="B3" s="50">
        <f>+'PO 1st page'!K10</f>
        <v>46036</v>
      </c>
      <c r="C3" s="51"/>
      <c r="D3" s="52"/>
      <c r="E3" s="186" t="s">
        <v>77</v>
      </c>
      <c r="F3" s="186"/>
      <c r="G3" s="186"/>
      <c r="H3" s="186"/>
      <c r="I3" s="53"/>
    </row>
    <row r="4" spans="1:13" s="55" customFormat="1" ht="28.5" customHeight="1" thickTop="1">
      <c r="A4" s="187" t="s">
        <v>78</v>
      </c>
      <c r="B4" s="189" t="s">
        <v>79</v>
      </c>
      <c r="C4" s="190"/>
      <c r="D4" s="193" t="s">
        <v>80</v>
      </c>
      <c r="E4" s="193" t="s">
        <v>81</v>
      </c>
      <c r="F4" s="195" t="str">
        <f>'PO 1st page'!C9</f>
        <v>MRA(MRA General Contracting Est.)</v>
      </c>
      <c r="G4" s="196"/>
      <c r="H4" s="197" t="s">
        <v>82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83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5">
        <f t="shared" ref="A6:A19" si="0">ROW(A1)</f>
        <v>1</v>
      </c>
      <c r="B6" s="183" t="str">
        <f>CONCATENATE(MRS!B6," ",MRS!D6)</f>
        <v>Dell Desktop 16 GB RAM / 512 SSD</v>
      </c>
      <c r="C6" s="184"/>
      <c r="D6" s="86" t="str">
        <f>MRS!G6</f>
        <v>EA</v>
      </c>
      <c r="E6" s="87">
        <f>MRS!H6</f>
        <v>6</v>
      </c>
      <c r="F6" s="88">
        <f>MRS!I6</f>
        <v>2580</v>
      </c>
      <c r="G6" s="89">
        <f>F6*E6</f>
        <v>15480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3" t="str">
        <f>CONCATENATE(MRS!B7," ",MRS!D7)</f>
        <v>Dell Monitor 24"</v>
      </c>
      <c r="C7" s="184"/>
      <c r="D7" s="86" t="str">
        <f>MRS!G7</f>
        <v>EA</v>
      </c>
      <c r="E7" s="87">
        <f>MRS!H7</f>
        <v>9</v>
      </c>
      <c r="F7" s="88">
        <f>MRS!I7</f>
        <v>392</v>
      </c>
      <c r="G7" s="89">
        <f t="shared" ref="G7:G11" si="1">F7*E7</f>
        <v>3528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3" t="str">
        <f>CONCATENATE(MRS!B8," ",MRS!D8)</f>
        <v>Safety Glass Clear</v>
      </c>
      <c r="C8" s="184"/>
      <c r="D8" s="86" t="str">
        <f>MRS!G8</f>
        <v>EA</v>
      </c>
      <c r="E8" s="87">
        <f>MRS!H8</f>
        <v>500</v>
      </c>
      <c r="F8" s="88">
        <f>MRS!I8</f>
        <v>3</v>
      </c>
      <c r="G8" s="89">
        <f t="shared" si="1"/>
        <v>1500</v>
      </c>
      <c r="H8" s="94"/>
      <c r="K8" s="56"/>
      <c r="L8" s="56"/>
      <c r="M8" s="56"/>
    </row>
    <row r="9" spans="1:13" s="55" customFormat="1" ht="32.1" customHeight="1">
      <c r="A9" s="93">
        <f t="shared" si="0"/>
        <v>4</v>
      </c>
      <c r="B9" s="183" t="str">
        <f>CONCATENATE(MRS!B9," ",MRS!D9)</f>
        <v>Safety Glass Dark</v>
      </c>
      <c r="C9" s="184"/>
      <c r="D9" s="86" t="str">
        <f>MRS!G9</f>
        <v>EA</v>
      </c>
      <c r="E9" s="87">
        <f>MRS!H9</f>
        <v>1000</v>
      </c>
      <c r="F9" s="88">
        <f>MRS!I9</f>
        <v>3</v>
      </c>
      <c r="G9" s="89">
        <f t="shared" si="1"/>
        <v>3000</v>
      </c>
      <c r="H9" s="94"/>
    </row>
    <row r="10" spans="1:13" s="55" customFormat="1" ht="32.1" customHeight="1">
      <c r="A10" s="93">
        <f t="shared" si="0"/>
        <v>5</v>
      </c>
      <c r="B10" s="183" t="str">
        <f>CONCATENATE(MRS!B10," ",MRS!D10)</f>
        <v xml:space="preserve">Water </v>
      </c>
      <c r="C10" s="184"/>
      <c r="D10" s="86" t="str">
        <f>MRS!G10</f>
        <v>EA</v>
      </c>
      <c r="E10" s="87">
        <f>MRS!H10</f>
        <v>200</v>
      </c>
      <c r="F10" s="88">
        <f>MRS!I10</f>
        <v>7.14</v>
      </c>
      <c r="G10" s="89">
        <f t="shared" si="1"/>
        <v>1428</v>
      </c>
      <c r="H10" s="94"/>
    </row>
    <row r="11" spans="1:13" s="55" customFormat="1" ht="32.1" customHeight="1">
      <c r="A11" s="93">
        <f t="shared" si="0"/>
        <v>6</v>
      </c>
      <c r="B11" s="183" t="str">
        <f>CONCATENATE(MRS!B11," ",MRS!D11)</f>
        <v xml:space="preserve">Blanket, Bedsheet, Pillow </v>
      </c>
      <c r="C11" s="184"/>
      <c r="D11" s="86" t="str">
        <f>MRS!G11</f>
        <v>EA</v>
      </c>
      <c r="E11" s="87">
        <f>MRS!H11</f>
        <v>150</v>
      </c>
      <c r="F11" s="88">
        <f>MRS!I11</f>
        <v>68</v>
      </c>
      <c r="G11" s="89">
        <f t="shared" si="1"/>
        <v>10200</v>
      </c>
      <c r="H11" s="94"/>
    </row>
    <row r="12" spans="1:13" s="55" customFormat="1" ht="32.1" customHeight="1">
      <c r="A12" s="93">
        <f t="shared" si="0"/>
        <v>7</v>
      </c>
      <c r="B12" s="183"/>
      <c r="C12" s="184"/>
      <c r="D12" s="86"/>
      <c r="E12" s="87"/>
      <c r="F12" s="88"/>
      <c r="G12" s="89"/>
      <c r="H12" s="94"/>
    </row>
    <row r="13" spans="1:13" s="55" customFormat="1" ht="32.1" customHeight="1">
      <c r="A13" s="93">
        <f t="shared" si="0"/>
        <v>8</v>
      </c>
      <c r="B13" s="183"/>
      <c r="C13" s="184"/>
      <c r="D13" s="86"/>
      <c r="E13" s="87"/>
      <c r="F13" s="88"/>
      <c r="G13" s="89"/>
      <c r="H13" s="94"/>
    </row>
    <row r="14" spans="1:13" s="55" customFormat="1" ht="32.1" customHeight="1">
      <c r="A14" s="93">
        <f t="shared" si="0"/>
        <v>9</v>
      </c>
      <c r="B14" s="183"/>
      <c r="C14" s="184"/>
      <c r="D14" s="86"/>
      <c r="E14" s="87"/>
      <c r="F14" s="88"/>
      <c r="G14" s="89"/>
      <c r="H14" s="94"/>
    </row>
    <row r="15" spans="1:13" s="55" customFormat="1" ht="32.1" customHeight="1">
      <c r="A15" s="93">
        <f t="shared" si="0"/>
        <v>10</v>
      </c>
      <c r="B15" s="183"/>
      <c r="C15" s="184"/>
      <c r="D15" s="86"/>
      <c r="E15" s="87"/>
      <c r="F15" s="88"/>
      <c r="G15" s="89"/>
      <c r="H15" s="94"/>
    </row>
    <row r="16" spans="1:13" s="55" customFormat="1" ht="32.1" customHeight="1">
      <c r="A16" s="93">
        <f t="shared" si="0"/>
        <v>11</v>
      </c>
      <c r="B16" s="183"/>
      <c r="C16" s="184"/>
      <c r="D16" s="86"/>
      <c r="E16" s="87"/>
      <c r="F16" s="88"/>
      <c r="G16" s="89"/>
      <c r="H16" s="94"/>
    </row>
    <row r="17" spans="1:13" s="55" customFormat="1" ht="32.1" customHeight="1">
      <c r="A17" s="93">
        <f t="shared" si="0"/>
        <v>12</v>
      </c>
      <c r="B17" s="183"/>
      <c r="C17" s="184"/>
      <c r="D17" s="86"/>
      <c r="E17" s="87"/>
      <c r="F17" s="88"/>
      <c r="G17" s="89"/>
      <c r="H17" s="94"/>
    </row>
    <row r="18" spans="1:13" s="55" customFormat="1" ht="32.1" customHeight="1">
      <c r="A18" s="93">
        <f t="shared" si="0"/>
        <v>13</v>
      </c>
      <c r="B18" s="183"/>
      <c r="C18" s="184"/>
      <c r="D18" s="86"/>
      <c r="E18" s="87"/>
      <c r="F18" s="88"/>
      <c r="G18" s="89"/>
      <c r="H18" s="94"/>
    </row>
    <row r="19" spans="1:13" s="55" customFormat="1" ht="32.1" customHeight="1">
      <c r="A19" s="93">
        <f t="shared" si="0"/>
        <v>14</v>
      </c>
      <c r="B19" s="183"/>
      <c r="C19" s="184"/>
      <c r="D19" s="86"/>
      <c r="E19" s="87"/>
      <c r="F19" s="88"/>
      <c r="G19" s="89"/>
      <c r="H19" s="94"/>
    </row>
    <row r="20" spans="1:13" s="55" customFormat="1" ht="23.1" customHeight="1">
      <c r="A20" s="179" t="s">
        <v>84</v>
      </c>
      <c r="B20" s="180"/>
      <c r="C20" s="180"/>
      <c r="D20" s="180"/>
      <c r="E20" s="180"/>
      <c r="F20" s="180"/>
      <c r="G20" s="58">
        <f>SUM(G6:G19)</f>
        <v>35136</v>
      </c>
      <c r="H20" s="59"/>
    </row>
    <row r="21" spans="1:13" s="55" customFormat="1" ht="23.1" customHeight="1">
      <c r="A21" s="179" t="s">
        <v>48</v>
      </c>
      <c r="B21" s="180"/>
      <c r="C21" s="180"/>
      <c r="D21" s="180"/>
      <c r="E21" s="180"/>
      <c r="F21" s="180"/>
      <c r="G21" s="58">
        <f>+G20*0.15</f>
        <v>5270.4</v>
      </c>
      <c r="H21" s="59"/>
    </row>
    <row r="22" spans="1:13" s="55" customFormat="1" ht="24.95" customHeight="1" thickBot="1">
      <c r="A22" s="181" t="s">
        <v>85</v>
      </c>
      <c r="B22" s="182"/>
      <c r="C22" s="182"/>
      <c r="D22" s="182"/>
      <c r="E22" s="182"/>
      <c r="F22" s="182"/>
      <c r="G22" s="60">
        <f>G21+G20</f>
        <v>40406.400000000001</v>
      </c>
      <c r="H22" s="61"/>
    </row>
    <row r="23" spans="1:13" ht="15.75" thickTop="1">
      <c r="A23" s="62" t="str">
        <f>" 1) Above Price are as per your quotation with ref "&amp;'PO 1st page'!K14</f>
        <v xml:space="preserve"> 1) Above Price are as per your quotation with ref MRA/SQ000132</v>
      </c>
      <c r="B23" s="63"/>
      <c r="C23" s="63"/>
      <c r="D23" s="64"/>
      <c r="E23" s="64"/>
      <c r="F23" s="64"/>
      <c r="G23" s="64"/>
      <c r="H23" s="64"/>
    </row>
    <row r="24" spans="1:13" ht="15">
      <c r="A24" s="65" t="s">
        <v>86</v>
      </c>
      <c r="B24" s="66"/>
      <c r="C24" s="66"/>
      <c r="D24" s="67"/>
      <c r="E24" s="67"/>
      <c r="F24" s="67"/>
      <c r="G24" s="67"/>
      <c r="H24" s="67"/>
      <c r="I24" s="68"/>
    </row>
    <row r="25" spans="1:13" ht="15.75">
      <c r="A25" s="69"/>
    </row>
    <row r="26" spans="1:13">
      <c r="A26" s="170" t="s">
        <v>87</v>
      </c>
      <c r="B26" s="170"/>
      <c r="C26" s="170"/>
      <c r="D26" s="170"/>
      <c r="E26" s="170"/>
      <c r="F26" s="170"/>
      <c r="G26" s="170"/>
      <c r="H26" s="170"/>
      <c r="I26" s="70"/>
      <c r="J26" s="70"/>
      <c r="K26" s="70"/>
      <c r="L26" s="70"/>
      <c r="M26" s="70"/>
    </row>
    <row r="27" spans="1:13" ht="15.75">
      <c r="A27" s="69"/>
      <c r="C27" s="71"/>
    </row>
    <row r="28" spans="1:13" ht="15.75">
      <c r="A28" s="69"/>
      <c r="C28" s="71"/>
    </row>
    <row r="30" spans="1:13" ht="12" customHeight="1"/>
  </sheetData>
  <mergeCells count="26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0:F20"/>
    <mergeCell ref="A21:F21"/>
    <mergeCell ref="A22:F22"/>
    <mergeCell ref="A26:H26"/>
    <mergeCell ref="B12:C12"/>
    <mergeCell ref="B13:C13"/>
    <mergeCell ref="B14:C14"/>
    <mergeCell ref="B15:C15"/>
    <mergeCell ref="B18:C18"/>
    <mergeCell ref="B19:C19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2026-01-20T02:41:36Z</cp:lastPrinted>
  <dcterms:created xsi:type="dcterms:W3CDTF">2024-10-20T11:50:19Z</dcterms:created>
  <dcterms:modified xsi:type="dcterms:W3CDTF">2026-01-20T02:41:40Z</dcterms:modified>
</cp:coreProperties>
</file>