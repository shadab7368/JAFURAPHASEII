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1ED70415-A73B-4B06-9534-8C2644D62918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MRS!$A$1:$L$26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1" l="1"/>
  <c r="D9" i="4"/>
  <c r="J16" i="1"/>
  <c r="J15" i="1"/>
  <c r="J13" i="1"/>
  <c r="J12" i="1"/>
  <c r="J11" i="1"/>
  <c r="J10" i="1"/>
  <c r="J9" i="1"/>
  <c r="J9" i="2" s="1"/>
  <c r="G9" i="4" s="1"/>
  <c r="J8" i="1"/>
  <c r="J8" i="2" s="1"/>
  <c r="G8" i="4" s="1"/>
  <c r="J7" i="1"/>
  <c r="I9" i="2"/>
  <c r="F9" i="4" s="1"/>
  <c r="H9" i="2"/>
  <c r="E9" i="4" s="1"/>
  <c r="G9" i="2"/>
  <c r="D9" i="2"/>
  <c r="B9" i="2"/>
  <c r="B9" i="4" s="1"/>
  <c r="I8" i="2"/>
  <c r="F8" i="4" s="1"/>
  <c r="H8" i="2"/>
  <c r="E8" i="4" s="1"/>
  <c r="G8" i="2"/>
  <c r="D8" i="4" s="1"/>
  <c r="D8" i="2"/>
  <c r="B8" i="2"/>
  <c r="B8" i="4" s="1"/>
  <c r="K59" i="3"/>
  <c r="E3" i="1"/>
  <c r="H7" i="2"/>
  <c r="E7" i="4" s="1"/>
  <c r="G7" i="2"/>
  <c r="D7" i="4" s="1"/>
  <c r="D7" i="2"/>
  <c r="B7" i="2"/>
  <c r="B7" i="4" s="1"/>
  <c r="J6" i="1" l="1"/>
  <c r="J17" i="1" s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2"/>
  <c r="A14" i="2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<sst xmlns="http://schemas.openxmlformats.org/spreadsheetml/2006/main" count="160" uniqueCount="124">
  <si>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</si>
  <si>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</si>
  <si>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</si>
  <si>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</si>
  <si>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</si>
  <si>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</si>
  <si>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</si>
  <si>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</si>
  <si>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</si>
  <si>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</si>
  <si>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</si>
  <si>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</si>
  <si>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</si>
  <si>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</si>
  <si>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</si>
  <si>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</si>
  <si>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</si>
  <si>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</si>
  <si>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</si>
  <si>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</si>
  <si>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</si>
  <si>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</si>
  <si>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</si>
  <si>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</si>
  <si>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</si>
  <si>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</si>
  <si>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</si>
  <si>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</si>
  <si>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</si>
  <si>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</si>
  <si>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</si>
  <si>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</si>
  <si>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</si>
  <si>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</si>
  <si>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</si>
  <si>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</si>
  <si>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</si>
  <si>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</si>
  <si>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</si>
  <si>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</si>
  <si>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</si>
  <si>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</si>
  <si>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</si>
  <si>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</si>
  <si>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</si>
  <si>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</si>
  <si>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</si>
  <si>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</si>
  <si>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</si>
  <si>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</si>
  <si>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</si>
  <si>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</si>
  <si>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</si>
  <si>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</si>
  <si>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</si>
  <si>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</si>
  <si>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</si>
  <si>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</si>
  <si>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</si>
  <si>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</si>
  <si>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</si>
  <si>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</si>
  <si>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</si>
  <si>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</si>
  <si>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</si>
  <si>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</si>
  <si>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</si>
  <si>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</si>
  <si>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</si>
  <si>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</si>
  <si>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</si>
  <si>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</si>
  <si>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</si>
  <si>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</si>
  <si>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</si>
  <si>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</si>
  <si>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</si>
  <si>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</si>
  <si>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</si>
  <si>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</si>
  <si>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</si>
  <si>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</si>
  <si>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</si>
  <si>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</si>
  <si>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</si>
  <si>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</si>
  <si>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</si>
  <si>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</si>
  <si>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</si>
  <si>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</si>
  <si>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</si>
  <si>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</si>
  <si>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</si>
  <si>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</si>
  <si>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</si>
  <si>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</si>
  <si>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</si>
  <si>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</si>
  <si>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</si>
  <si>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</si>
  <si>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</si>
  <si>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Desktop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</si>
  <si>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</si>
  <si>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</si>
  <si>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</si>
  <si>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</si>
  <si>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</si>
  <si>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</si>
  <si>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</si>
  <si>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</si>
  <si>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</si>
  <si>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</si>
  <si>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</si>
  <si>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</si>
  <si>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</si>
  <si>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</si>
  <si>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-MRS-0079</t>
    </r>
  </si>
  <si>
    <t>Monitor</t>
  </si>
  <si>
    <t>Dell Monitor 24"</t>
  </si>
  <si>
    <t>Dell Desktop 16GB/512 SSD</t>
  </si>
  <si>
    <t>Water Dispenser</t>
  </si>
  <si>
    <t>RAM</t>
  </si>
  <si>
    <t>16 GB RAM</t>
  </si>
  <si>
    <t>MRA/SQ000100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</si>
</sst>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</xdr:row>
          <xdr:rowOff>0</xdr:rowOff>
        </xdr:from>
        <xdr:to>
          <xdr:col>12</xdr:col>
          <xdr:colOff>502</xdr:colOff>
          <xdr:row>25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9:$V$25" spid="_x0000_s121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273842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3"/>
  <sheetViews>
    <sheetView showGridLines="0" view="pageBreakPreview" zoomScale="95" zoomScaleNormal="95" zoomScaleSheetLayoutView="95" workbookViewId="0">
      <selection activeCell="B10" sqref="B10:C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6" t="s">
        <v>88</v>
      </c>
      <c r="K1" s="127"/>
      <c r="L1" s="128"/>
    </row>
    <row r="2" spans="1:19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29" t="s">
        <v>98</v>
      </c>
      <c r="K2" s="130"/>
      <c r="L2" s="131"/>
    </row>
    <row r="3" spans="1:19" ht="20.100000000000001" customHeight="1">
      <c r="A3" s="3" t="s">
        <v>116</v>
      </c>
      <c r="B3" s="100"/>
      <c r="C3" s="100"/>
      <c r="D3" s="100"/>
      <c r="E3" s="132">
        <f>+L3</f>
        <v>45859</v>
      </c>
      <c r="F3" s="132"/>
      <c r="G3" s="132"/>
      <c r="H3" s="132"/>
      <c r="I3" s="132"/>
      <c r="J3" s="100"/>
      <c r="K3" s="100"/>
      <c r="L3" s="121">
        <v>45859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92</v>
      </c>
      <c r="J4" s="133" t="s">
        <v>93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22.5" customHeight="1">
      <c r="A6" s="5">
        <f t="shared" ref="A6:A13" si="0">ROW(A1)</f>
        <v>1</v>
      </c>
      <c r="B6" s="145" t="s">
        <v>117</v>
      </c>
      <c r="C6" s="146"/>
      <c r="D6" s="147" t="s">
        <v>118</v>
      </c>
      <c r="E6" s="148"/>
      <c r="F6" s="149"/>
      <c r="G6" s="110" t="s">
        <v>95</v>
      </c>
      <c r="H6" s="111">
        <v>8</v>
      </c>
      <c r="I6" s="112">
        <v>392</v>
      </c>
      <c r="J6" s="112">
        <f>H6*I6</f>
        <v>3136</v>
      </c>
      <c r="K6" s="113" t="s">
        <v>113</v>
      </c>
      <c r="L6" s="125" t="s">
        <v>114</v>
      </c>
      <c r="S6" s="105"/>
    </row>
    <row r="7" spans="1:19" ht="22.5" customHeight="1">
      <c r="A7" s="5">
        <f t="shared" si="0"/>
        <v>2</v>
      </c>
      <c r="B7" s="145" t="s">
        <v>101</v>
      </c>
      <c r="C7" s="146"/>
      <c r="D7" s="150" t="s">
        <v>119</v>
      </c>
      <c r="E7" s="148"/>
      <c r="F7" s="149"/>
      <c r="G7" s="110" t="s">
        <v>95</v>
      </c>
      <c r="H7" s="111">
        <v>5</v>
      </c>
      <c r="I7" s="112">
        <v>1950</v>
      </c>
      <c r="J7" s="112">
        <f t="shared" ref="J7:J16" si="1">H7*I7</f>
        <v>9750</v>
      </c>
      <c r="K7" s="113"/>
      <c r="L7" s="114"/>
      <c r="S7" s="105"/>
    </row>
    <row r="8" spans="1:19" ht="22.5" customHeight="1">
      <c r="A8" s="5">
        <f t="shared" si="0"/>
        <v>3</v>
      </c>
      <c r="B8" s="145" t="s">
        <v>120</v>
      </c>
      <c r="C8" s="146"/>
      <c r="D8" s="150"/>
      <c r="E8" s="148"/>
      <c r="F8" s="149"/>
      <c r="G8" s="110" t="s">
        <v>95</v>
      </c>
      <c r="H8" s="111">
        <v>2</v>
      </c>
      <c r="I8" s="112">
        <v>598</v>
      </c>
      <c r="J8" s="112">
        <f t="shared" si="1"/>
        <v>1196</v>
      </c>
      <c r="K8" s="113"/>
      <c r="L8" s="114"/>
      <c r="S8" s="105"/>
    </row>
    <row r="9" spans="1:19" ht="22.5" customHeight="1">
      <c r="A9" s="5">
        <f t="shared" si="0"/>
        <v>4</v>
      </c>
      <c r="B9" s="145" t="s">
        <v>121</v>
      </c>
      <c r="C9" s="146"/>
      <c r="D9" s="147" t="s">
        <v>122</v>
      </c>
      <c r="E9" s="148"/>
      <c r="F9" s="149"/>
      <c r="G9" s="110" t="s">
        <v>95</v>
      </c>
      <c r="H9" s="111">
        <v>2</v>
      </c>
      <c r="I9" s="112">
        <v>228</v>
      </c>
      <c r="J9" s="112">
        <f t="shared" si="1"/>
        <v>456</v>
      </c>
      <c r="K9" s="113"/>
      <c r="L9" s="114"/>
      <c r="S9" s="105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0"/>
      <c r="H10" s="111"/>
      <c r="I10" s="115"/>
      <c r="J10" s="112">
        <f t="shared" si="1"/>
        <v>0</v>
      </c>
      <c r="K10" s="113"/>
      <c r="L10" s="110"/>
      <c r="S10" s="105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0"/>
      <c r="H11" s="111"/>
      <c r="I11" s="112"/>
      <c r="J11" s="112">
        <f t="shared" si="1"/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0"/>
      <c r="H12" s="111"/>
      <c r="I12" s="115"/>
      <c r="J12" s="112">
        <f t="shared" si="1"/>
        <v>0</v>
      </c>
      <c r="K12" s="113"/>
      <c r="L12" s="110"/>
      <c r="S12" s="105"/>
    </row>
    <row r="13" spans="1:19" ht="22.5" customHeight="1">
      <c r="A13" s="5">
        <f t="shared" si="0"/>
        <v>8</v>
      </c>
      <c r="B13" s="151"/>
      <c r="C13" s="151"/>
      <c r="D13" s="147"/>
      <c r="E13" s="148"/>
      <c r="F13" s="149"/>
      <c r="G13" s="110"/>
      <c r="H13" s="111"/>
      <c r="I13" s="112"/>
      <c r="J13" s="112">
        <f t="shared" si="1"/>
        <v>0</v>
      </c>
      <c r="K13" s="113"/>
      <c r="L13" s="114"/>
      <c r="S13" s="105"/>
    </row>
    <row r="14" spans="1:19" ht="22.5" customHeight="1">
      <c r="A14" s="5">
        <v>9</v>
      </c>
      <c r="B14" s="151"/>
      <c r="C14" s="151"/>
      <c r="D14" s="147"/>
      <c r="E14" s="148"/>
      <c r="F14" s="149"/>
      <c r="G14" s="110"/>
      <c r="H14" s="111"/>
      <c r="I14" s="112"/>
      <c r="J14" s="112">
        <f t="shared" si="1"/>
        <v>0</v>
      </c>
      <c r="K14" s="113"/>
      <c r="L14" s="114"/>
      <c r="S14" s="105"/>
    </row>
    <row r="15" spans="1:19" ht="22.5" customHeight="1">
      <c r="A15" s="5">
        <v>10</v>
      </c>
      <c r="B15" s="151"/>
      <c r="C15" s="151"/>
      <c r="D15" s="147"/>
      <c r="E15" s="148"/>
      <c r="F15" s="149"/>
      <c r="G15" s="110"/>
      <c r="H15" s="111"/>
      <c r="I15" s="112"/>
      <c r="J15" s="112">
        <f t="shared" si="1"/>
        <v>0</v>
      </c>
      <c r="K15" s="113"/>
      <c r="L15" s="114"/>
      <c r="S15" s="105"/>
    </row>
    <row r="16" spans="1:19" ht="22.5" customHeight="1">
      <c r="A16" s="5">
        <v>11</v>
      </c>
      <c r="B16" s="151"/>
      <c r="C16" s="151"/>
      <c r="D16" s="147"/>
      <c r="E16" s="148"/>
      <c r="F16" s="149"/>
      <c r="G16" s="110"/>
      <c r="H16" s="111"/>
      <c r="I16" s="112"/>
      <c r="J16" s="112">
        <f t="shared" si="1"/>
        <v>0</v>
      </c>
      <c r="K16" s="113"/>
      <c r="L16" s="114"/>
      <c r="S16" s="105"/>
    </row>
    <row r="17" spans="1:22" ht="22.5" customHeight="1">
      <c r="A17" s="153" t="s">
        <v>8</v>
      </c>
      <c r="B17" s="154"/>
      <c r="C17" s="116"/>
      <c r="D17" s="117"/>
      <c r="E17" s="117"/>
      <c r="F17" s="117"/>
      <c r="G17" s="118"/>
      <c r="H17" s="118"/>
      <c r="I17" s="119" t="s">
        <v>9</v>
      </c>
      <c r="J17" s="112">
        <f>SUM(J6:J16)</f>
        <v>14538</v>
      </c>
      <c r="K17" s="112"/>
      <c r="L17" s="120"/>
    </row>
    <row r="18" spans="1:22" ht="20.100000000000001" customHeight="1">
      <c r="A18" s="6" t="s">
        <v>10</v>
      </c>
      <c r="B18" s="7"/>
      <c r="C18" s="7"/>
      <c r="D18" s="7"/>
      <c r="E18" s="7"/>
      <c r="F18" s="7"/>
      <c r="G18" s="7"/>
      <c r="H18" s="7"/>
      <c r="I18" s="7"/>
      <c r="J18" s="7"/>
      <c r="K18" s="8"/>
      <c r="L18" s="9"/>
    </row>
    <row r="19" spans="1:22" ht="18" customHeight="1">
      <c r="A19" s="10"/>
      <c r="J19" s="1"/>
      <c r="K19" s="1"/>
      <c r="O19" s="11"/>
      <c r="P19" s="11"/>
      <c r="Q19" s="11"/>
      <c r="S19" s="155" t="s">
        <v>11</v>
      </c>
      <c r="T19" s="12" t="s">
        <v>12</v>
      </c>
      <c r="U19" s="13" t="s">
        <v>13</v>
      </c>
      <c r="V19" s="12" t="s">
        <v>14</v>
      </c>
    </row>
    <row r="20" spans="1:22" ht="50.1" customHeight="1">
      <c r="S20" s="156"/>
      <c r="T20" s="14"/>
      <c r="U20" s="15"/>
      <c r="V20" s="14"/>
    </row>
    <row r="21" spans="1:22" ht="17.100000000000001" customHeight="1">
      <c r="O21" s="11"/>
      <c r="P21" s="11"/>
      <c r="Q21" s="11"/>
      <c r="S21" s="157"/>
      <c r="T21" s="15" t="s">
        <v>15</v>
      </c>
      <c r="U21" s="15" t="s">
        <v>15</v>
      </c>
      <c r="V21" s="16" t="s">
        <v>15</v>
      </c>
    </row>
    <row r="22" spans="1:22" ht="15" customHeight="1">
      <c r="O22" s="17" t="s">
        <v>16</v>
      </c>
      <c r="P22" s="158" t="s">
        <v>17</v>
      </c>
      <c r="Q22" s="158" t="s">
        <v>18</v>
      </c>
    </row>
    <row r="23" spans="1:22" ht="18" customHeight="1">
      <c r="O23" s="18" t="s">
        <v>19</v>
      </c>
      <c r="P23" s="159"/>
      <c r="Q23" s="159"/>
      <c r="S23" s="155" t="s">
        <v>20</v>
      </c>
      <c r="T23" s="12" t="s">
        <v>12</v>
      </c>
      <c r="U23" s="12" t="s">
        <v>13</v>
      </c>
      <c r="V23" s="12" t="s">
        <v>14</v>
      </c>
    </row>
    <row r="24" spans="1:22" ht="50.1" customHeight="1">
      <c r="O24" s="14"/>
      <c r="P24" s="14"/>
      <c r="Q24" s="14"/>
      <c r="S24" s="156"/>
      <c r="T24" s="19"/>
      <c r="U24" s="19"/>
      <c r="V24" s="14"/>
    </row>
    <row r="25" spans="1:22" ht="17.100000000000001" customHeight="1">
      <c r="O25" s="16" t="s">
        <v>15</v>
      </c>
      <c r="P25" s="16" t="s">
        <v>15</v>
      </c>
      <c r="Q25" s="16" t="s">
        <v>15</v>
      </c>
      <c r="S25" s="157"/>
      <c r="T25" s="15" t="s">
        <v>15</v>
      </c>
      <c r="U25" s="15" t="s">
        <v>15</v>
      </c>
      <c r="V25" s="16" t="s">
        <v>15</v>
      </c>
    </row>
    <row r="26" spans="1:22" ht="9.9499999999999993" customHeight="1"/>
    <row r="27" spans="1:22" ht="19.899999999999999" customHeight="1"/>
    <row r="28" spans="1:22" ht="17.45" customHeight="1">
      <c r="O28" s="160"/>
      <c r="P28" s="160"/>
      <c r="Q28" s="160"/>
    </row>
    <row r="29" spans="1:22" ht="19.899999999999999" customHeight="1">
      <c r="O29" s="160"/>
      <c r="P29" s="160"/>
      <c r="Q29" s="160"/>
    </row>
    <row r="30" spans="1:22" ht="14.25">
      <c r="O30" s="11"/>
      <c r="P30" s="11"/>
      <c r="Q30" s="11"/>
    </row>
    <row r="31" spans="1:22" ht="65.099999999999994" customHeight="1"/>
    <row r="32" spans="1:22" ht="14.25">
      <c r="O32" s="11"/>
      <c r="P32" s="11"/>
      <c r="Q32" s="11"/>
    </row>
    <row r="33" spans="15:22" ht="19.899999999999999" customHeight="1"/>
    <row r="34" spans="15:22" ht="14.25"/>
    <row r="35" spans="15:22" ht="19.899999999999999" customHeight="1"/>
    <row r="36" spans="15:22" ht="14.25"/>
    <row r="37" spans="15:22" ht="19.899999999999999" customHeight="1"/>
    <row r="38" spans="15:22" ht="19.899999999999999" customHeight="1"/>
    <row r="39" spans="15:22" ht="64.900000000000006" customHeight="1"/>
    <row r="41" spans="15:22" ht="19.899999999999999" customHeight="1">
      <c r="T41" s="158" t="s">
        <v>21</v>
      </c>
    </row>
    <row r="42" spans="15:22" ht="19.899999999999999" customHeight="1">
      <c r="T42" s="159"/>
    </row>
    <row r="43" spans="15:22" ht="64.900000000000006" customHeight="1">
      <c r="T43" s="14"/>
    </row>
    <row r="47" spans="15:22" ht="21" customHeight="1">
      <c r="O47" s="158" t="s">
        <v>21</v>
      </c>
      <c r="P47" s="158" t="s">
        <v>21</v>
      </c>
      <c r="Q47" s="158" t="s">
        <v>21</v>
      </c>
      <c r="T47" s="158" t="s">
        <v>22</v>
      </c>
      <c r="U47" s="158" t="s">
        <v>13</v>
      </c>
      <c r="V47" s="158" t="s">
        <v>21</v>
      </c>
    </row>
    <row r="48" spans="15:22" ht="21" customHeight="1">
      <c r="O48" s="159"/>
      <c r="P48" s="159"/>
      <c r="Q48" s="159"/>
      <c r="T48" s="157"/>
      <c r="U48" s="157"/>
      <c r="V48" s="159"/>
    </row>
    <row r="49" spans="15:22" ht="64.900000000000006" customHeight="1">
      <c r="O49" s="14"/>
      <c r="P49" s="14"/>
      <c r="Q49" s="14"/>
      <c r="T49" s="14"/>
      <c r="U49" s="15"/>
      <c r="V49" s="14"/>
    </row>
    <row r="50" spans="15:22" ht="7.15" customHeight="1"/>
    <row r="51" spans="15:22" ht="21" customHeight="1">
      <c r="O51" s="158" t="s">
        <v>21</v>
      </c>
      <c r="P51" s="158" t="s">
        <v>21</v>
      </c>
      <c r="Q51" s="158" t="s">
        <v>21</v>
      </c>
      <c r="T51" s="158" t="s">
        <v>13</v>
      </c>
      <c r="U51" s="158" t="s">
        <v>22</v>
      </c>
      <c r="V51" s="158" t="s">
        <v>21</v>
      </c>
    </row>
    <row r="52" spans="15:22" ht="21" customHeight="1">
      <c r="O52" s="159"/>
      <c r="P52" s="159"/>
      <c r="Q52" s="159"/>
      <c r="T52" s="157"/>
      <c r="U52" s="157"/>
      <c r="V52" s="159"/>
    </row>
    <row r="53" spans="15:22" ht="64.900000000000006" customHeight="1">
      <c r="O53" s="14"/>
      <c r="P53" s="14"/>
      <c r="Q53" s="14"/>
      <c r="T53" s="15"/>
      <c r="U53" s="14"/>
      <c r="V53" s="14"/>
    </row>
  </sheetData>
  <mergeCells count="55">
    <mergeCell ref="U47:U48"/>
    <mergeCell ref="V47:V48"/>
    <mergeCell ref="O51:O52"/>
    <mergeCell ref="P51:P52"/>
    <mergeCell ref="Q51:Q52"/>
    <mergeCell ref="T51:T52"/>
    <mergeCell ref="U51:U52"/>
    <mergeCell ref="V51:V52"/>
    <mergeCell ref="O28:O29"/>
    <mergeCell ref="P28:P29"/>
    <mergeCell ref="Q28:Q29"/>
    <mergeCell ref="T41:T42"/>
    <mergeCell ref="O47:O48"/>
    <mergeCell ref="P47:P48"/>
    <mergeCell ref="Q47:Q48"/>
    <mergeCell ref="T47:T48"/>
    <mergeCell ref="B16:C16"/>
    <mergeCell ref="D16:F16"/>
    <mergeCell ref="A17:B17"/>
    <mergeCell ref="S19:S21"/>
    <mergeCell ref="P22:P23"/>
    <mergeCell ref="Q22:Q23"/>
    <mergeCell ref="S23:S25"/>
    <mergeCell ref="B12:C12"/>
    <mergeCell ref="D12:F12"/>
    <mergeCell ref="B13:C13"/>
    <mergeCell ref="D13:F13"/>
    <mergeCell ref="B15:C15"/>
    <mergeCell ref="D15:F15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13" activePane="bottomLeft" state="frozen"/>
      <selection activeCell="D30" sqref="D30"/>
      <selection pane="bottomLeft" activeCell="I10" sqref="I10:J1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94</v>
      </c>
      <c r="B1" s="99"/>
      <c r="C1" s="99"/>
      <c r="D1" s="99"/>
      <c r="E1" s="99"/>
      <c r="F1" s="99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SAC2-DS-MRS-0079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45859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89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Monitor</v>
      </c>
      <c r="C6" s="164"/>
      <c r="D6" s="165" t="str">
        <f>MRS!D6</f>
        <v>Dell Monitor 24"</v>
      </c>
      <c r="E6" s="166"/>
      <c r="F6" s="167"/>
      <c r="G6" s="102" t="str">
        <f>MRS!G6</f>
        <v>EA</v>
      </c>
      <c r="H6" s="102">
        <f>MRS!H6</f>
        <v>8</v>
      </c>
      <c r="I6" s="103">
        <f>MRS!I6</f>
        <v>392</v>
      </c>
      <c r="J6" s="103">
        <f>MRS!J6</f>
        <v>3136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3" t="str">
        <f>MRS!B7</f>
        <v>Desktop</v>
      </c>
      <c r="C7" s="164"/>
      <c r="D7" s="165" t="str">
        <f>MRS!D7</f>
        <v>Dell Desktop 16GB/512 SSD</v>
      </c>
      <c r="E7" s="166"/>
      <c r="F7" s="167"/>
      <c r="G7" s="102" t="str">
        <f>MRS!G7</f>
        <v>EA</v>
      </c>
      <c r="H7" s="102">
        <f>MRS!H7</f>
        <v>5</v>
      </c>
      <c r="I7" s="103">
        <f>MRS!I7</f>
        <v>1950</v>
      </c>
      <c r="J7" s="103">
        <f>MRS!J7</f>
        <v>9750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3" t="str">
        <f>MRS!B8</f>
        <v>Water Dispenser</v>
      </c>
      <c r="C8" s="164"/>
      <c r="D8" s="165">
        <f>MRS!D8</f>
        <v>0</v>
      </c>
      <c r="E8" s="166"/>
      <c r="F8" s="167"/>
      <c r="G8" s="102" t="str">
        <f>MRS!G8</f>
        <v>EA</v>
      </c>
      <c r="H8" s="102">
        <f>MRS!H8</f>
        <v>2</v>
      </c>
      <c r="I8" s="103">
        <f>MRS!I8</f>
        <v>598</v>
      </c>
      <c r="J8" s="103">
        <f>MRS!J8</f>
        <v>1196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3" t="str">
        <f>MRS!B9</f>
        <v>RAM</v>
      </c>
      <c r="C9" s="164"/>
      <c r="D9" s="165" t="str">
        <f>MRS!D9</f>
        <v>16 GB RAM</v>
      </c>
      <c r="E9" s="166"/>
      <c r="F9" s="167"/>
      <c r="G9" s="102" t="str">
        <f>MRS!G9</f>
        <v>EA</v>
      </c>
      <c r="H9" s="102">
        <f>MRS!H9</f>
        <v>2</v>
      </c>
      <c r="I9" s="103">
        <f>MRS!I9</f>
        <v>228</v>
      </c>
      <c r="J9" s="103">
        <f>MRS!J9</f>
        <v>456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3"/>
      <c r="C10" s="164"/>
      <c r="D10" s="165"/>
      <c r="E10" s="166"/>
      <c r="F10" s="167"/>
      <c r="G10" s="102"/>
      <c r="H10" s="102"/>
      <c r="I10" s="103"/>
      <c r="J10" s="103"/>
      <c r="K10" s="104"/>
      <c r="O10" s="105"/>
      <c r="P10" s="105"/>
      <c r="R10" s="105"/>
    </row>
    <row r="11" spans="1:18" ht="105" customHeight="1">
      <c r="A11" s="21">
        <f>+MRS!A11</f>
        <v>6</v>
      </c>
      <c r="B11" s="163"/>
      <c r="C11" s="164"/>
      <c r="D11" s="165"/>
      <c r="E11" s="166"/>
      <c r="F11" s="167"/>
      <c r="G11" s="102"/>
      <c r="H11" s="102"/>
      <c r="I11" s="103"/>
      <c r="J11" s="103"/>
      <c r="K11" s="104"/>
      <c r="O11" s="105"/>
      <c r="P11" s="105"/>
      <c r="R11" s="105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2"/>
      <c r="H12" s="102"/>
      <c r="I12" s="103"/>
      <c r="J12" s="103"/>
      <c r="K12" s="104"/>
      <c r="O12" s="105"/>
      <c r="P12" s="105"/>
      <c r="R12" s="105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2"/>
      <c r="H13" s="102"/>
      <c r="I13" s="103"/>
      <c r="J13" s="103"/>
      <c r="K13" s="104"/>
      <c r="O13" s="105"/>
      <c r="P13" s="105"/>
      <c r="R13" s="105"/>
    </row>
    <row r="14" spans="1:18" ht="105" customHeight="1">
      <c r="A14" s="21">
        <f>+MRS!A15</f>
        <v>10</v>
      </c>
      <c r="B14" s="163"/>
      <c r="C14" s="164"/>
      <c r="D14" s="165"/>
      <c r="E14" s="166"/>
      <c r="F14" s="167"/>
      <c r="G14" s="102"/>
      <c r="H14" s="102"/>
      <c r="I14" s="103"/>
      <c r="J14" s="103"/>
      <c r="K14" s="104"/>
      <c r="O14" s="105"/>
      <c r="P14" s="105"/>
      <c r="R14" s="105"/>
    </row>
    <row r="15" spans="1:18" ht="105" customHeight="1">
      <c r="A15" s="21">
        <f>+MRS!A16</f>
        <v>11</v>
      </c>
      <c r="B15" s="163"/>
      <c r="C15" s="164"/>
      <c r="D15" s="165"/>
      <c r="E15" s="166"/>
      <c r="F15" s="167"/>
      <c r="G15" s="102"/>
      <c r="H15" s="102"/>
      <c r="I15" s="103"/>
      <c r="J15" s="103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2"/>
      <c r="H16" s="102"/>
      <c r="I16" s="103"/>
      <c r="J16" s="103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42578125" style="26" bestFit="1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102</v>
      </c>
      <c r="D9" s="39"/>
      <c r="E9" s="39"/>
    </row>
    <row r="10" spans="2:13" s="39" customFormat="1">
      <c r="B10" s="72"/>
      <c r="C10" s="39" t="s">
        <v>103</v>
      </c>
      <c r="D10" s="76" t="s">
        <v>104</v>
      </c>
      <c r="J10" s="39" t="s">
        <v>33</v>
      </c>
      <c r="K10" s="174">
        <f>MRS!L3</f>
        <v>45859</v>
      </c>
      <c r="L10" s="175"/>
      <c r="M10" s="175"/>
    </row>
    <row r="11" spans="2:13" s="39" customFormat="1">
      <c r="B11" s="72"/>
      <c r="C11" s="75" t="s">
        <v>105</v>
      </c>
      <c r="D11" s="76" t="s">
        <v>106</v>
      </c>
      <c r="J11" s="39" t="s">
        <v>34</v>
      </c>
      <c r="K11" s="176" t="str">
        <f>SUBSTITUTE(SUBSTITUTE(+MRS!A3,"  MRS No : ",""),"-MRS","-PO")</f>
        <v>SAC2-DS-PO-0079</v>
      </c>
      <c r="L11" s="176"/>
      <c r="M11" s="176"/>
    </row>
    <row r="12" spans="2:13" s="39" customFormat="1">
      <c r="B12" s="72"/>
      <c r="C12" s="75" t="s">
        <v>107</v>
      </c>
      <c r="D12" s="39" t="s">
        <v>108</v>
      </c>
      <c r="J12" s="39" t="s">
        <v>35</v>
      </c>
    </row>
    <row r="13" spans="2:13" s="39" customFormat="1">
      <c r="B13" s="72"/>
      <c r="C13" s="77"/>
      <c r="D13" s="76" t="s">
        <v>109</v>
      </c>
      <c r="J13" s="39" t="s">
        <v>36</v>
      </c>
    </row>
    <row r="14" spans="2:13" s="39" customFormat="1">
      <c r="B14" s="72"/>
      <c r="C14" s="77" t="s">
        <v>110</v>
      </c>
      <c r="J14" s="39" t="s">
        <v>37</v>
      </c>
      <c r="K14" s="39" t="s">
        <v>123</v>
      </c>
    </row>
    <row r="15" spans="2:13" s="39" customFormat="1">
      <c r="B15" s="72"/>
      <c r="C15" s="77" t="s">
        <v>111</v>
      </c>
      <c r="J15" s="39" t="s">
        <v>38</v>
      </c>
      <c r="K15" s="78">
        <v>45859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39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40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41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42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4">
        <f>'PO 2nd page'!G18</f>
        <v>14538</v>
      </c>
      <c r="G29" s="124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4">
        <f>'PO 2nd page'!G19</f>
        <v>2180.6999999999998</v>
      </c>
      <c r="G30" s="124"/>
    </row>
    <row r="31" spans="2:13" ht="15" customHeight="1">
      <c r="B31" s="32"/>
      <c r="C31" s="26" t="s">
        <v>49</v>
      </c>
      <c r="D31" s="35"/>
      <c r="E31" s="26" t="s">
        <v>47</v>
      </c>
      <c r="F31" s="124">
        <f>'PO 2nd page'!G20</f>
        <v>16718.7</v>
      </c>
      <c r="G31" s="12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50</v>
      </c>
    </row>
    <row r="34" spans="2:13" ht="15" customHeight="1">
      <c r="B34" s="32"/>
      <c r="C34" s="22" t="s">
        <v>51</v>
      </c>
    </row>
    <row r="35" spans="2:13" ht="15" customHeight="1">
      <c r="B35" s="32"/>
      <c r="C35" s="22" t="s">
        <v>52</v>
      </c>
    </row>
    <row r="36" spans="2:13" ht="15" customHeight="1">
      <c r="B36" s="32"/>
      <c r="C36" s="22" t="s">
        <v>53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54</v>
      </c>
    </row>
    <row r="39" spans="2:13" ht="15" customHeight="1">
      <c r="B39" s="32"/>
      <c r="C39" s="26" t="s">
        <v>55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56</v>
      </c>
    </row>
    <row r="42" spans="2:13" ht="15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62</v>
      </c>
    </row>
    <row r="49" spans="1:16" s="39" customFormat="1" ht="15" customHeight="1">
      <c r="B49" s="80" t="s">
        <v>63</v>
      </c>
      <c r="C49" s="81" t="s">
        <v>96</v>
      </c>
      <c r="P49" s="82"/>
    </row>
    <row r="50" spans="1:16" s="83" customFormat="1" ht="15" customHeight="1">
      <c r="B50" s="84" t="s">
        <v>63</v>
      </c>
      <c r="C50" s="81" t="s">
        <v>91</v>
      </c>
    </row>
    <row r="51" spans="1:16" s="83" customFormat="1" ht="15" customHeight="1">
      <c r="B51" s="84" t="s">
        <v>63</v>
      </c>
      <c r="C51" s="81" t="s">
        <v>90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64</v>
      </c>
      <c r="J56" s="32" t="s">
        <v>65</v>
      </c>
    </row>
    <row r="57" spans="1:16" ht="50.1" customHeight="1"/>
    <row r="58" spans="1:16" ht="18" customHeight="1">
      <c r="B58" s="26" t="s">
        <v>66</v>
      </c>
      <c r="J58" s="26" t="s">
        <v>66</v>
      </c>
    </row>
    <row r="59" spans="1:16" ht="18" customHeight="1">
      <c r="B59" s="26" t="s">
        <v>67</v>
      </c>
      <c r="J59" s="26" t="s">
        <v>68</v>
      </c>
      <c r="K59" s="22" t="str">
        <f>D12</f>
        <v>Mohammed Nabeel</v>
      </c>
    </row>
    <row r="60" spans="1:16" ht="18" customHeight="1">
      <c r="B60" s="26" t="s">
        <v>69</v>
      </c>
      <c r="J60" s="26" t="s">
        <v>70</v>
      </c>
      <c r="K60" s="22" t="s">
        <v>112</v>
      </c>
    </row>
    <row r="61" spans="1:16" ht="15" customHeight="1">
      <c r="B61" s="26" t="s">
        <v>71</v>
      </c>
      <c r="J61" s="26" t="s">
        <v>72</v>
      </c>
    </row>
    <row r="62" spans="1:16" s="28" customFormat="1" ht="24.75" customHeight="1">
      <c r="B62" s="25" t="s">
        <v>115</v>
      </c>
      <c r="J62" s="181" t="str">
        <f>C9</f>
        <v>MRA(MRA General Contracting Est.)</v>
      </c>
      <c r="K62" s="181"/>
      <c r="L62" s="181"/>
      <c r="M62" s="181"/>
    </row>
    <row r="63" spans="1:16" ht="27.95" customHeight="1">
      <c r="A63" s="173" t="s">
        <v>73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0" sqref="B10:C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SAC2-DS-PO-0079</v>
      </c>
      <c r="C2" s="184" t="s">
        <v>75</v>
      </c>
      <c r="D2" s="184"/>
      <c r="E2" s="184"/>
      <c r="F2" s="184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45859</v>
      </c>
      <c r="C3" s="51"/>
      <c r="D3" s="52"/>
      <c r="E3" s="185" t="s">
        <v>77</v>
      </c>
      <c r="F3" s="185"/>
      <c r="G3" s="185"/>
      <c r="H3" s="185"/>
      <c r="I3" s="53"/>
    </row>
    <row r="4" spans="1:13" s="55" customFormat="1" ht="28.5" customHeight="1" thickTop="1">
      <c r="A4" s="186" t="s">
        <v>78</v>
      </c>
      <c r="B4" s="188" t="s">
        <v>79</v>
      </c>
      <c r="C4" s="189"/>
      <c r="D4" s="192" t="s">
        <v>80</v>
      </c>
      <c r="E4" s="192" t="s">
        <v>81</v>
      </c>
      <c r="F4" s="194" t="str">
        <f>'PO 1st page'!C9</f>
        <v>MRA(MRA General Contracting Est.)</v>
      </c>
      <c r="G4" s="195"/>
      <c r="H4" s="196" t="s">
        <v>82</v>
      </c>
      <c r="K4" s="56"/>
      <c r="L4" s="56"/>
      <c r="M4" s="56"/>
    </row>
    <row r="5" spans="1:13" s="55" customFormat="1" ht="21.95" customHeight="1">
      <c r="A5" s="187"/>
      <c r="B5" s="190"/>
      <c r="C5" s="191"/>
      <c r="D5" s="193"/>
      <c r="E5" s="193"/>
      <c r="F5" s="57" t="s">
        <v>83</v>
      </c>
      <c r="G5" s="57" t="s">
        <v>49</v>
      </c>
      <c r="H5" s="19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2" t="str">
        <f>+'MRS LIST'!B6</f>
        <v>Monitor</v>
      </c>
      <c r="C6" s="183"/>
      <c r="D6" s="86" t="str">
        <f>+'MRS LIST'!G6</f>
        <v>EA</v>
      </c>
      <c r="E6" s="87">
        <f>+'MRS LIST'!H6</f>
        <v>8</v>
      </c>
      <c r="F6" s="88">
        <f>+'MRS LIST'!I6</f>
        <v>392</v>
      </c>
      <c r="G6" s="89">
        <f>+'MRS LIST'!J6</f>
        <v>3136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2" t="str">
        <f>+'MRS LIST'!B7</f>
        <v>Desktop</v>
      </c>
      <c r="C7" s="183"/>
      <c r="D7" s="86" t="str">
        <f>+'MRS LIST'!G7</f>
        <v>EA</v>
      </c>
      <c r="E7" s="87">
        <f>+'MRS LIST'!H7</f>
        <v>5</v>
      </c>
      <c r="F7" s="88">
        <f>+'MRS LIST'!I7</f>
        <v>1950</v>
      </c>
      <c r="G7" s="89">
        <f>+'MRS LIST'!J7</f>
        <v>9750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2" t="str">
        <f>+'MRS LIST'!B8</f>
        <v>Water Dispenser</v>
      </c>
      <c r="C8" s="183"/>
      <c r="D8" s="86" t="str">
        <f>+'MRS LIST'!G8</f>
        <v>EA</v>
      </c>
      <c r="E8" s="87">
        <f>+'MRS LIST'!H8</f>
        <v>2</v>
      </c>
      <c r="F8" s="88">
        <f>+'MRS LIST'!I8</f>
        <v>598</v>
      </c>
      <c r="G8" s="89">
        <f>+'MRS LIST'!J8</f>
        <v>1196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2" t="str">
        <f>+'MRS LIST'!B9</f>
        <v>RAM</v>
      </c>
      <c r="C9" s="183"/>
      <c r="D9" s="86" t="str">
        <f>+'MRS LIST'!G9</f>
        <v>EA</v>
      </c>
      <c r="E9" s="87">
        <f>+'MRS LIST'!H9</f>
        <v>2</v>
      </c>
      <c r="F9" s="88">
        <f>+'MRS LIST'!I9</f>
        <v>228</v>
      </c>
      <c r="G9" s="89">
        <f>+'MRS LIST'!J9</f>
        <v>456</v>
      </c>
      <c r="H9" s="98"/>
    </row>
    <row r="10" spans="1:13" s="55" customFormat="1" ht="32.1" customHeight="1">
      <c r="A10" s="93"/>
      <c r="B10" s="182"/>
      <c r="C10" s="183"/>
      <c r="D10" s="86"/>
      <c r="E10" s="87"/>
      <c r="F10" s="88"/>
      <c r="G10" s="89"/>
      <c r="H10" s="98"/>
    </row>
    <row r="11" spans="1:13" s="55" customFormat="1" ht="32.1" customHeight="1">
      <c r="A11" s="93"/>
      <c r="B11" s="182"/>
      <c r="C11" s="183"/>
      <c r="D11" s="86"/>
      <c r="E11" s="87"/>
      <c r="F11" s="88"/>
      <c r="G11" s="89"/>
      <c r="H11" s="98"/>
    </row>
    <row r="12" spans="1:13" s="55" customFormat="1" ht="32.1" customHeight="1">
      <c r="A12" s="93"/>
      <c r="B12" s="182"/>
      <c r="C12" s="183"/>
      <c r="D12" s="86"/>
      <c r="E12" s="87"/>
      <c r="F12" s="88"/>
      <c r="G12" s="89"/>
      <c r="H12" s="98"/>
    </row>
    <row r="13" spans="1:13" s="55" customFormat="1" ht="32.1" customHeight="1">
      <c r="A13" s="93"/>
      <c r="B13" s="182"/>
      <c r="C13" s="183"/>
      <c r="D13" s="86"/>
      <c r="E13" s="87"/>
      <c r="F13" s="88"/>
      <c r="G13" s="89"/>
      <c r="H13" s="98"/>
    </row>
    <row r="14" spans="1:13" s="55" customFormat="1" ht="32.1" customHeight="1">
      <c r="A14" s="93"/>
      <c r="B14" s="182"/>
      <c r="C14" s="183"/>
      <c r="D14" s="86"/>
      <c r="E14" s="87"/>
      <c r="F14" s="88"/>
      <c r="G14" s="89"/>
      <c r="H14" s="98"/>
    </row>
    <row r="15" spans="1:13" s="55" customFormat="1" ht="32.1" customHeight="1">
      <c r="A15" s="93"/>
      <c r="B15" s="182"/>
      <c r="C15" s="183"/>
      <c r="D15" s="86"/>
      <c r="E15" s="87"/>
      <c r="F15" s="88"/>
      <c r="G15" s="89"/>
      <c r="H15" s="98"/>
    </row>
    <row r="16" spans="1:13" s="55" customFormat="1" ht="32.1" customHeight="1">
      <c r="A16" s="93"/>
      <c r="B16" s="182"/>
      <c r="C16" s="183"/>
      <c r="D16" s="86"/>
      <c r="E16" s="87"/>
      <c r="F16" s="88"/>
      <c r="G16" s="89"/>
      <c r="H16" s="98"/>
    </row>
    <row r="17" spans="1:13" s="55" customFormat="1" ht="32.1" customHeight="1">
      <c r="A17" s="93"/>
      <c r="B17" s="202"/>
      <c r="C17" s="203"/>
      <c r="D17" s="94"/>
      <c r="E17" s="95"/>
      <c r="F17" s="96"/>
      <c r="G17" s="97"/>
      <c r="H17" s="98"/>
    </row>
    <row r="18" spans="1:13" s="55" customFormat="1" ht="23.1" customHeight="1">
      <c r="A18" s="198" t="s">
        <v>84</v>
      </c>
      <c r="B18" s="199"/>
      <c r="C18" s="199"/>
      <c r="D18" s="199"/>
      <c r="E18" s="199"/>
      <c r="F18" s="199"/>
      <c r="G18" s="58">
        <f>SUM(G6:G17)</f>
        <v>14538</v>
      </c>
      <c r="H18" s="59"/>
    </row>
    <row r="19" spans="1:13" s="55" customFormat="1" ht="23.1" customHeight="1">
      <c r="A19" s="198" t="s">
        <v>48</v>
      </c>
      <c r="B19" s="199"/>
      <c r="C19" s="199"/>
      <c r="D19" s="199"/>
      <c r="E19" s="199"/>
      <c r="F19" s="199"/>
      <c r="G19" s="58">
        <f>+G18*0.15</f>
        <v>2180.6999999999998</v>
      </c>
      <c r="H19" s="59"/>
    </row>
    <row r="20" spans="1:13" s="55" customFormat="1" ht="24.95" customHeight="1" thickBot="1">
      <c r="A20" s="200" t="s">
        <v>85</v>
      </c>
      <c r="B20" s="201"/>
      <c r="C20" s="201"/>
      <c r="D20" s="201"/>
      <c r="E20" s="201"/>
      <c r="F20" s="201"/>
      <c r="G20" s="60">
        <f>G19+G18</f>
        <v>16718.7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MRA/SQ000100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86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87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2025-07-22T13:26:32Z</cp:lastPrinted>
  <dcterms:created xsi:type="dcterms:W3CDTF">2024-10-20T11:50:19Z</dcterms:created>
  <dcterms:modified xsi:type="dcterms:W3CDTF">2025-07-22T13:29:20Z</dcterms:modified>
</cp:coreProperties>
</file>