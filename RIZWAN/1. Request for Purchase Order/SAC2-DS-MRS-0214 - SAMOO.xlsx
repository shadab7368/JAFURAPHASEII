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46543FEE-F7FE-4A83-9837-70DC69C737B7}" xr6:coauthVersionLast="47" xr6:coauthVersionMax="47" xr10:uidLastSave="{00000000-0000-0000-0000-000000000000}"/>
  <bookViews>
    <workbookView xWindow="-120" yWindow="-120" windowWidth="29040" windowHeight="1572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page'!$A$1:$N$71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4" l="1"/>
  <c r="F7" i="4"/>
  <c r="E7" i="4"/>
  <c r="D7" i="4"/>
  <c r="B7" i="4"/>
  <c r="J7" i="1"/>
  <c r="F30" i="3"/>
  <c r="F31" i="3" s="1"/>
  <c r="B6" i="4"/>
  <c r="J9" i="1"/>
  <c r="J9" i="2" s="1"/>
  <c r="J8" i="2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K68" i="3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A6" i="4"/>
  <c r="F4" i="4"/>
  <c r="B3" i="4"/>
  <c r="J71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<sst xmlns="http://schemas.openxmlformats.org/spreadsheetml/2006/main" count="157" uniqueCount="131">
  <si>
    <t>Vendor Name</t>
    <phoneticPr fontId="7" type="noConversion"/>
  </si>
  <si>
    <t xml:space="preserve">  PJT :  SACE2           </t>
    <phoneticPr fontId="7" type="noConversion"/>
  </si>
  <si>
    <t>No</t>
    <phoneticPr fontId="11" type="noConversion"/>
  </si>
  <si>
    <t>Item</t>
    <phoneticPr fontId="11" type="noConversion"/>
  </si>
  <si>
    <t>Specification
(Model / Manufacturer / Size)</t>
    <phoneticPr fontId="11" type="noConversion"/>
  </si>
  <si>
    <t>Unit</t>
    <phoneticPr fontId="11" type="noConversion"/>
  </si>
  <si>
    <t xml:space="preserve">Qty </t>
    <phoneticPr fontId="7" type="noConversion"/>
  </si>
  <si>
    <t>Remarks</t>
    <phoneticPr fontId="11" type="noConversion"/>
  </si>
  <si>
    <t>Purpose</t>
    <phoneticPr fontId="11" type="noConversion"/>
  </si>
  <si>
    <t>Sum</t>
    <phoneticPr fontId="7" type="noConversion"/>
  </si>
  <si>
    <t xml:space="preserve">  * There will be an additional administration expense and financial expense (Depend on contract) deduction of total provision cost price.</t>
    <phoneticPr fontId="11" type="noConversion"/>
  </si>
  <si>
    <t>HEC</t>
    <phoneticPr fontId="11" type="noConversion"/>
  </si>
  <si>
    <t>ADM</t>
    <phoneticPr fontId="4" type="noConversion"/>
  </si>
  <si>
    <t>/</t>
    <phoneticPr fontId="7" type="noConversion"/>
  </si>
  <si>
    <t>Requesting</t>
    <phoneticPr fontId="7" type="noConversion"/>
  </si>
  <si>
    <t>JV Area PIC</t>
    <phoneticPr fontId="7" type="noConversion"/>
  </si>
  <si>
    <t>Company</t>
    <phoneticPr fontId="7" type="noConversion"/>
  </si>
  <si>
    <t>HDEC</t>
    <phoneticPr fontId="11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</si>
  <si>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</si>
  <si>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</si>
  <si>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</si>
  <si>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</si>
  <si>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</si>
  <si>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</si>
  <si>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</si>
  <si>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</si>
  <si>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</si>
  <si>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</si>
  <si>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</si>
  <si>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</si>
  <si>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7" type="noConversion"/>
  </si>
  <si>
    <t>P/O Date:</t>
  </si>
  <si>
    <t xml:space="preserve"> VAT No. : </t>
    <phoneticPr fontId="7" type="noConversion"/>
  </si>
  <si>
    <t>P/O No.:</t>
  </si>
  <si>
    <t xml:space="preserve"> In Charge :</t>
    <phoneticPr fontId="7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</si>
  <si>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</si>
  <si>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</si>
  <si>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</si>
  <si>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</si>
  <si>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</si>
  <si>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</si>
  <si>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</si>
  <si>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</si>
  <si>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</si>
  <si>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7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</si>
  <si>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</si>
  <si>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</si>
  <si>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</si>
  <si>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</si>
  <si>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</si>
  <si>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</si>
  <si>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7" type="noConversion"/>
  </si>
  <si>
    <t>a)  Tax E-Invoice (From Zakat, Tax and Customs Authority)</t>
  </si>
  <si>
    <t>b)  Delivery/Dispatch Note [Counter signed by Site Representative]</t>
    <phoneticPr fontId="7" type="noConversion"/>
  </si>
  <si>
    <t>DELIVERY TERMS</t>
  </si>
  <si>
    <t>Delivery by Seller to Jafurah HYUNDAI Laydown within a Week after receipt of PO.</t>
    <phoneticPr fontId="7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</si>
  <si>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</si>
  <si>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7" type="noConversion"/>
  </si>
  <si>
    <t xml:space="preserve">    by Seller to Buyer at no extra costs</t>
    <phoneticPr fontId="7" type="noConversion"/>
  </si>
  <si>
    <t xml:space="preserve">b) Material Certificate, Data Sheet, Safety Data Sheet and other documents which may required by ARAMCO in material receiving </t>
    <phoneticPr fontId="7" type="noConversion"/>
  </si>
  <si>
    <t xml:space="preserve">    inspection should be submitted to Buyer</t>
    <phoneticPr fontId="7" type="noConversion"/>
  </si>
  <si>
    <t>c) MTC / MSDS, Others, If required by Client</t>
    <phoneticPr fontId="7" type="noConversion"/>
  </si>
  <si>
    <t>CONTACT POINT:</t>
  </si>
  <si>
    <t>-</t>
  </si>
  <si>
    <t>Client</t>
  </si>
  <si>
    <t>Contractor</t>
  </si>
  <si>
    <t>Signature:</t>
  </si>
  <si>
    <t>Name      : DONG HWAN HAN</t>
    <phoneticPr fontId="23" type="noConversion"/>
  </si>
  <si>
    <t>Name      :</t>
  </si>
  <si>
    <t>Title        :  Administrative Manager</t>
    <phoneticPr fontId="23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</si>
  <si>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</si>
  <si>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</si>
  <si>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</si>
  <si>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7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</si>
  <si>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</si>
  <si>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</si>
  <si>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</si>
  <si>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</si>
  <si>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7" type="noConversion"/>
  </si>
  <si>
    <t xml:space="preserve"> S. NO</t>
  </si>
  <si>
    <t>DESCRIPTION</t>
    <phoneticPr fontId="5" type="noConversion"/>
  </si>
  <si>
    <t>QTY</t>
    <phoneticPr fontId="5" type="noConversion"/>
  </si>
  <si>
    <t>UNIT</t>
    <phoneticPr fontId="5" type="noConversion"/>
  </si>
  <si>
    <r>
      <t xml:space="preserve">Remarks
</t>
    </r>
    <r>
      <rPr>
        <b/>
        <sz val="8"/>
        <rFont val="Arial"/>
        <family val="2"/>
      </rPr>
      <t>(Details)</t>
    </r>
    <phoneticPr fontId="7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</si>
  <si>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</si>
  <si>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</si>
  <si>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</si>
  <si>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7" type="noConversion"/>
  </si>
  <si>
    <t>Page 2/2</t>
    <phoneticPr fontId="7" type="noConversion"/>
  </si>
  <si>
    <t>DAESHIN PLANT</t>
    <phoneticPr fontId="7" type="noConversion"/>
  </si>
  <si>
    <t>Q'ty</t>
    <phoneticPr fontId="7" type="noConversion"/>
  </si>
  <si>
    <t xml:space="preserve">  Invoicing : Nehal Kauser / HDEC Purchase PIC [ Mobile No. : +966 50 610 2363 / Email : nehal_kauser@hdec.co.kr ]</t>
    <phoneticPr fontId="7" type="noConversion"/>
  </si>
  <si>
    <t xml:space="preserve">  Commercial (Purchaser) : Youngkyu Choi / Daeshin Planning [ Mobile No. : +966 53 952 0931 / Email : ykchoi@daeshinplant.com ]</t>
    <phoneticPr fontId="7" type="noConversion"/>
  </si>
  <si>
    <t>Unit Price (SAR)
(Exclude VAT)</t>
    <phoneticPr fontId="7" type="noConversion"/>
  </si>
  <si>
    <t>Total Price (SAR)
(Exclude VAT)</t>
    <phoneticPr fontId="7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</si>
  <si>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</si>
  <si>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Mohammad Safwan</t>
  </si>
  <si>
    <t>Operation Manager</t>
  </si>
  <si>
    <t>Mobile : +966 59 1252163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</si>
  <si>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</si>
  <si>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>Division (In charge Name) : ADMIN MANAGER (Dong Chang Kim)</t>
  </si>
  <si>
    <t>Subcontract name (SAC2-SC-IK-SMP-01)</t>
  </si>
  <si>
    <t xml:space="preserve">  Delivery &amp; Payment : Dong Chang Kim / Daeshin Admin. [ Mobile No. : +966 53 748 5762 / Email : kdchjs@daeshinplant.com ]</t>
  </si>
  <si>
    <t>SAMOO</t>
  </si>
  <si>
    <t>SAMOO(Samoo Al Bahr Contracting Est.)</t>
  </si>
  <si>
    <t>4700115756</t>
  </si>
  <si>
    <t>311196464200003</t>
  </si>
  <si>
    <t>+966 59 1252163 / Email:samooalbahr@gmail.com</t>
  </si>
  <si>
    <t>P.O. Box 7063, Yanbu 46429, KSA</t>
  </si>
  <si>
    <t>EA</t>
  </si>
  <si>
    <t>One time</t>
  </si>
  <si>
    <t>Bank Account Details: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</si>
  <si>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</si>
  <si>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</si>
  <si>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</si>
  <si>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</si>
  <si>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</si>
  <si>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</si>
  <si>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>SAR</t>
  </si>
  <si>
    <t xml:space="preserve">  Bank account changes are strictly prohibited. Payments will only be made to the account registered and approved in this Purchase Order.</t>
  </si>
  <si>
    <t>SAMOO ALBHAR CONTRACTING EST.</t>
  </si>
  <si>
    <t>01400010547706</t>
  </si>
  <si>
    <t>SA4710000001400010547706</t>
  </si>
  <si>
    <t>SAUDI NATIONAL BANK</t>
  </si>
  <si>
    <t>NCBKSAJE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</si>
  <si>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-MRS-0214</t>
    </r>
  </si>
  <si>
    <t>Third Party Training and Certification for Scaffolder</t>
  </si>
  <si>
    <t>Third Party Training and Certification for Rigger Level-III</t>
  </si>
  <si>
    <t>SAMOO-DAESHIN-MT-28-2026</t>
  </si>
  <si>
    <t>Third Party Inspection and Certification for Rigger Level-III</t>
  </si>
  <si>
    <t>Third Party Inspection and Certification for Scaffolder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</si>
</sst>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9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8.5"/>
      <name val="Arial"/>
      <family val="2"/>
    </font>
    <font>
      <sz val="8.5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3">
    <xf numFmtId="0" fontId="0" fillId="0" borderId="0">
      <alignment vertical="center"/>
    </xf>
    <xf numFmtId="0" fontId="3" fillId="0" borderId="0"/>
    <xf numFmtId="0" fontId="5" fillId="0" borderId="0"/>
    <xf numFmtId="0" fontId="12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0" borderId="0"/>
    <xf numFmtId="0" fontId="30" fillId="0" borderId="0" applyBorder="0"/>
    <xf numFmtId="0" fontId="39" fillId="0" borderId="0">
      <alignment vertical="center"/>
    </xf>
    <xf numFmtId="0" fontId="3" fillId="0" borderId="0"/>
    <xf numFmtId="43" fontId="5" fillId="0" borderId="0" applyFont="0" applyFill="0" applyBorder="0" applyAlignment="0" applyProtection="0"/>
    <xf numFmtId="164" fontId="41" fillId="0" borderId="0" applyFont="0" applyFill="0" applyBorder="0" applyAlignment="0" applyProtection="0">
      <alignment vertical="center"/>
    </xf>
    <xf numFmtId="0" fontId="2" fillId="0" borderId="0"/>
    <xf numFmtId="41" fontId="2" fillId="0" borderId="0" applyFont="0" applyFill="0" applyBorder="0" applyAlignment="0" applyProtection="0">
      <alignment vertical="center"/>
    </xf>
    <xf numFmtId="0" fontId="2" fillId="0" borderId="0"/>
    <xf numFmtId="43" fontId="2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8">
    <xf numFmtId="0" fontId="0" fillId="0" borderId="0" xfId="0">
      <alignment vertical="center"/>
    </xf>
    <xf numFmtId="0" fontId="6" fillId="2" borderId="0" xfId="1" applyFont="1" applyFill="1" applyAlignment="1">
      <alignment vertical="center"/>
    </xf>
    <xf numFmtId="0" fontId="6" fillId="2" borderId="0" xfId="1" applyFont="1" applyFill="1" applyAlignment="1">
      <alignment horizontal="center" vertical="center"/>
    </xf>
    <xf numFmtId="0" fontId="8" fillId="2" borderId="0" xfId="1" applyFont="1" applyFill="1" applyAlignment="1">
      <alignment horizontal="left" vertical="center"/>
    </xf>
    <xf numFmtId="0" fontId="10" fillId="2" borderId="0" xfId="1" applyFont="1" applyFill="1" applyAlignment="1">
      <alignment vertical="center"/>
    </xf>
    <xf numFmtId="0" fontId="3" fillId="2" borderId="8" xfId="4" applyNumberFormat="1" applyFont="1" applyFill="1" applyBorder="1" applyAlignment="1">
      <alignment horizontal="center" vertical="center" wrapText="1"/>
    </xf>
    <xf numFmtId="0" fontId="3" fillId="2" borderId="10" xfId="1" applyFill="1" applyBorder="1" applyAlignment="1">
      <alignment vertical="center"/>
    </xf>
    <xf numFmtId="0" fontId="3" fillId="2" borderId="10" xfId="1" applyFill="1" applyBorder="1" applyAlignment="1">
      <alignment vertical="center" wrapText="1"/>
    </xf>
    <xf numFmtId="0" fontId="3" fillId="2" borderId="0" xfId="1" applyFill="1" applyAlignment="1">
      <alignment vertical="center" wrapText="1"/>
    </xf>
    <xf numFmtId="0" fontId="9" fillId="2" borderId="0" xfId="1" quotePrefix="1" applyFont="1" applyFill="1" applyAlignment="1">
      <alignment horizontal="left" vertical="center" wrapText="1"/>
    </xf>
    <xf numFmtId="0" fontId="3" fillId="2" borderId="0" xfId="1" applyFill="1" applyAlignment="1">
      <alignment horizontal="left" vertical="center"/>
    </xf>
    <xf numFmtId="0" fontId="6" fillId="2" borderId="0" xfId="1" applyFont="1" applyFill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/>
    </xf>
    <xf numFmtId="0" fontId="6" fillId="2" borderId="15" xfId="1" applyFont="1" applyFill="1" applyBorder="1" applyAlignment="1">
      <alignment horizontal="center" vertical="top" wrapText="1"/>
    </xf>
    <xf numFmtId="0" fontId="15" fillId="2" borderId="8" xfId="1" applyFont="1" applyFill="1" applyBorder="1" applyAlignment="1">
      <alignment horizontal="left"/>
    </xf>
    <xf numFmtId="0" fontId="16" fillId="2" borderId="0" xfId="1" applyFont="1" applyFill="1" applyAlignment="1">
      <alignment vertical="center"/>
    </xf>
    <xf numFmtId="0" fontId="6" fillId="2" borderId="22" xfId="1" applyFont="1" applyFill="1" applyBorder="1" applyAlignment="1">
      <alignment horizontal="center" vertical="center" wrapText="1"/>
    </xf>
    <xf numFmtId="0" fontId="14" fillId="3" borderId="0" xfId="5" applyFont="1" applyFill="1"/>
    <xf numFmtId="0" fontId="17" fillId="3" borderId="0" xfId="5" applyFont="1" applyFill="1" applyAlignment="1">
      <alignment horizontal="right"/>
    </xf>
    <xf numFmtId="0" fontId="14" fillId="3" borderId="0" xfId="5" applyFont="1" applyFill="1" applyAlignment="1">
      <alignment horizontal="right"/>
    </xf>
    <xf numFmtId="0" fontId="18" fillId="3" borderId="0" xfId="5" applyFont="1" applyFill="1"/>
    <xf numFmtId="0" fontId="19" fillId="3" borderId="0" xfId="5" applyFont="1" applyFill="1"/>
    <xf numFmtId="0" fontId="19" fillId="3" borderId="0" xfId="5" applyFont="1" applyFill="1" applyAlignment="1">
      <alignment horizontal="right"/>
    </xf>
    <xf numFmtId="0" fontId="20" fillId="3" borderId="0" xfId="5" applyFont="1" applyFill="1"/>
    <xf numFmtId="0" fontId="9" fillId="3" borderId="0" xfId="5" applyFont="1" applyFill="1" applyAlignment="1">
      <alignment horizontal="left" vertical="center"/>
    </xf>
    <xf numFmtId="171" fontId="21" fillId="3" borderId="0" xfId="5" applyNumberFormat="1" applyFont="1" applyFill="1"/>
    <xf numFmtId="0" fontId="25" fillId="3" borderId="0" xfId="5" applyFont="1" applyFill="1"/>
    <xf numFmtId="0" fontId="22" fillId="3" borderId="0" xfId="5" applyFont="1" applyFill="1"/>
    <xf numFmtId="0" fontId="26" fillId="3" borderId="0" xfId="5" applyFont="1" applyFill="1"/>
    <xf numFmtId="0" fontId="19" fillId="3" borderId="0" xfId="5" applyFont="1" applyFill="1" applyAlignment="1">
      <alignment horizontal="right" vertical="center"/>
    </xf>
    <xf numFmtId="0" fontId="27" fillId="3" borderId="0" xfId="5" applyFont="1" applyFill="1"/>
    <xf numFmtId="0" fontId="28" fillId="3" borderId="0" xfId="5" applyFont="1" applyFill="1" applyAlignment="1">
      <alignment horizontal="left"/>
    </xf>
    <xf numFmtId="0" fontId="28" fillId="3" borderId="0" xfId="5" applyFont="1" applyFill="1" applyAlignment="1">
      <alignment wrapText="1"/>
    </xf>
    <xf numFmtId="0" fontId="21" fillId="3" borderId="0" xfId="5" applyFont="1" applyFill="1" applyAlignment="1">
      <alignment wrapText="1"/>
    </xf>
    <xf numFmtId="0" fontId="28" fillId="3" borderId="0" xfId="5" applyFont="1" applyFill="1"/>
    <xf numFmtId="0" fontId="28" fillId="3" borderId="0" xfId="5" applyFont="1" applyFill="1" applyAlignment="1">
      <alignment horizontal="left" wrapText="1"/>
    </xf>
    <xf numFmtId="0" fontId="21" fillId="3" borderId="0" xfId="5" applyFont="1" applyFill="1" applyAlignment="1">
      <alignment horizontal="left" wrapText="1"/>
    </xf>
    <xf numFmtId="0" fontId="22" fillId="3" borderId="0" xfId="5" quotePrefix="1" applyFont="1" applyFill="1" applyAlignment="1">
      <alignment horizontal="right" vertical="center"/>
    </xf>
    <xf numFmtId="0" fontId="22" fillId="3" borderId="26" xfId="5" applyFont="1" applyFill="1" applyBorder="1"/>
    <xf numFmtId="0" fontId="19" fillId="3" borderId="26" xfId="5" applyFont="1" applyFill="1" applyBorder="1"/>
    <xf numFmtId="0" fontId="31" fillId="0" borderId="0" xfId="6" applyFont="1"/>
    <xf numFmtId="0" fontId="31" fillId="0" borderId="0" xfId="6" applyFont="1" applyAlignment="1">
      <alignment vertical="center"/>
    </xf>
    <xf numFmtId="0" fontId="8" fillId="0" borderId="0" xfId="6" applyFont="1" applyAlignment="1">
      <alignment vertical="center"/>
    </xf>
    <xf numFmtId="0" fontId="33" fillId="0" borderId="0" xfId="6" applyFont="1" applyAlignment="1">
      <alignment vertical="center"/>
    </xf>
    <xf numFmtId="0" fontId="8" fillId="0" borderId="0" xfId="6" applyFont="1" applyAlignment="1">
      <alignment vertical="top"/>
    </xf>
    <xf numFmtId="170" fontId="8" fillId="0" borderId="0" xfId="6" quotePrefix="1" applyNumberFormat="1" applyFont="1" applyAlignment="1">
      <alignment horizontal="left" vertical="top"/>
    </xf>
    <xf numFmtId="173" fontId="34" fillId="0" borderId="0" xfId="6" quotePrefix="1" applyNumberFormat="1" applyFont="1" applyAlignment="1">
      <alignment vertical="center"/>
    </xf>
    <xf numFmtId="0" fontId="28" fillId="0" borderId="0" xfId="6" applyFont="1" applyAlignment="1">
      <alignment vertical="top"/>
    </xf>
    <xf numFmtId="0" fontId="35" fillId="0" borderId="0" xfId="6" applyFont="1" applyBorder="1" applyAlignment="1">
      <alignment vertical="center"/>
    </xf>
    <xf numFmtId="0" fontId="36" fillId="0" borderId="0" xfId="6" applyFont="1" applyAlignment="1">
      <alignment vertical="top"/>
    </xf>
    <xf numFmtId="0" fontId="38" fillId="0" borderId="0" xfId="6" applyFont="1"/>
    <xf numFmtId="0" fontId="38" fillId="0" borderId="0" xfId="6" applyFont="1" applyBorder="1"/>
    <xf numFmtId="0" fontId="8" fillId="4" borderId="22" xfId="6" applyFont="1" applyFill="1" applyBorder="1" applyAlignment="1">
      <alignment horizontal="center" vertical="center" wrapText="1"/>
    </xf>
    <xf numFmtId="43" fontId="13" fillId="0" borderId="22" xfId="6" quotePrefix="1" applyNumberFormat="1" applyFont="1" applyBorder="1" applyAlignment="1">
      <alignment vertical="center" wrapText="1"/>
    </xf>
    <xf numFmtId="0" fontId="8" fillId="0" borderId="36" xfId="6" applyFont="1" applyBorder="1"/>
    <xf numFmtId="172" fontId="10" fillId="0" borderId="43" xfId="6" applyNumberFormat="1" applyFont="1" applyBorder="1" applyAlignment="1">
      <alignment horizontal="center" vertical="center" wrapText="1"/>
    </xf>
    <xf numFmtId="0" fontId="8" fillId="0" borderId="44" xfId="6" applyFont="1" applyBorder="1"/>
    <xf numFmtId="0" fontId="10" fillId="0" borderId="0" xfId="6" applyFont="1" applyAlignment="1">
      <alignment vertical="center"/>
    </xf>
    <xf numFmtId="0" fontId="28" fillId="0" borderId="45" xfId="6" applyFont="1" applyBorder="1" applyAlignment="1">
      <alignment vertical="center"/>
    </xf>
    <xf numFmtId="0" fontId="28" fillId="0" borderId="45" xfId="6" applyFont="1" applyBorder="1"/>
    <xf numFmtId="0" fontId="10" fillId="0" borderId="0" xfId="6" applyFont="1" applyBorder="1" applyAlignment="1">
      <alignment vertical="center"/>
    </xf>
    <xf numFmtId="0" fontId="28" fillId="0" borderId="0" xfId="6" applyFont="1" applyBorder="1" applyAlignment="1">
      <alignment vertical="center"/>
    </xf>
    <xf numFmtId="0" fontId="28" fillId="0" borderId="0" xfId="6" applyFont="1" applyBorder="1"/>
    <xf numFmtId="0" fontId="31" fillId="0" borderId="0" xfId="6" applyFont="1" applyBorder="1"/>
    <xf numFmtId="0" fontId="40" fillId="0" borderId="0" xfId="6" applyFont="1"/>
    <xf numFmtId="0" fontId="29" fillId="3" borderId="0" xfId="5" applyFont="1" applyFill="1"/>
    <xf numFmtId="0" fontId="40" fillId="0" borderId="0" xfId="6" applyFont="1" applyAlignment="1">
      <alignment vertical="center"/>
    </xf>
    <xf numFmtId="0" fontId="3" fillId="3" borderId="0" xfId="5" applyFont="1" applyFill="1"/>
    <xf numFmtId="0" fontId="34" fillId="3" borderId="0" xfId="5" applyFont="1" applyFill="1"/>
    <xf numFmtId="0" fontId="42" fillId="3" borderId="0" xfId="5" applyFont="1" applyFill="1"/>
    <xf numFmtId="0" fontId="3" fillId="3" borderId="0" xfId="5" applyFont="1" applyFill="1" applyAlignment="1">
      <alignment horizontal="left" vertical="center"/>
    </xf>
    <xf numFmtId="0" fontId="28" fillId="3" borderId="0" xfId="5" quotePrefix="1" applyFont="1" applyFill="1"/>
    <xf numFmtId="0" fontId="8" fillId="3" borderId="0" xfId="5" applyFont="1" applyFill="1" applyAlignment="1">
      <alignment horizontal="left" vertical="center"/>
    </xf>
    <xf numFmtId="171" fontId="28" fillId="3" borderId="0" xfId="5" applyNumberFormat="1" applyFont="1" applyFill="1"/>
    <xf numFmtId="0" fontId="8" fillId="3" borderId="0" xfId="5" quotePrefix="1" applyFont="1" applyFill="1" applyAlignment="1">
      <alignment horizontal="right" vertical="center"/>
    </xf>
    <xf numFmtId="0" fontId="43" fillId="3" borderId="0" xfId="0" applyFont="1" applyFill="1" applyAlignment="1"/>
    <xf numFmtId="0" fontId="43" fillId="3" borderId="0" xfId="5" applyFont="1" applyFill="1"/>
    <xf numFmtId="0" fontId="28" fillId="3" borderId="0" xfId="0" applyFont="1" applyFill="1" applyAlignment="1"/>
    <xf numFmtId="0" fontId="8" fillId="3" borderId="0" xfId="0" quotePrefix="1" applyFont="1" applyFill="1" applyAlignment="1">
      <alignment horizontal="right" vertical="center"/>
    </xf>
    <xf numFmtId="0" fontId="6" fillId="0" borderId="37" xfId="6" quotePrefix="1" applyFont="1" applyBorder="1" applyAlignment="1">
      <alignment horizontal="center" vertical="center"/>
    </xf>
    <xf numFmtId="0" fontId="6" fillId="2" borderId="40" xfId="7" applyFont="1" applyFill="1" applyBorder="1" applyAlignment="1">
      <alignment horizontal="center" vertical="center" wrapText="1"/>
    </xf>
    <xf numFmtId="0" fontId="6" fillId="2" borderId="40" xfId="8" applyFont="1" applyFill="1" applyBorder="1" applyAlignment="1">
      <alignment horizontal="center" vertical="center"/>
    </xf>
    <xf numFmtId="43" fontId="6" fillId="0" borderId="40" xfId="9" quotePrefix="1" applyFont="1" applyFill="1" applyBorder="1" applyAlignment="1">
      <alignment vertical="center"/>
    </xf>
    <xf numFmtId="43" fontId="6" fillId="0" borderId="40" xfId="6" applyNumberFormat="1" applyFont="1" applyBorder="1" applyAlignment="1">
      <alignment vertical="center"/>
    </xf>
    <xf numFmtId="0" fontId="3" fillId="0" borderId="41" xfId="6" quotePrefix="1" applyFont="1" applyBorder="1" applyAlignment="1">
      <alignment horizontal="center" vertical="center" wrapText="1"/>
    </xf>
    <xf numFmtId="0" fontId="44" fillId="3" borderId="0" xfId="5" applyFont="1" applyFill="1" applyAlignment="1">
      <alignment horizontal="left" vertical="center" wrapText="1"/>
    </xf>
    <xf numFmtId="0" fontId="44" fillId="3" borderId="0" xfId="5" applyFont="1" applyFill="1" applyAlignment="1">
      <alignment horizontal="center" vertical="center" wrapText="1"/>
    </xf>
    <xf numFmtId="0" fontId="6" fillId="0" borderId="35" xfId="6" quotePrefix="1" applyFont="1" applyBorder="1" applyAlignment="1">
      <alignment horizontal="center" vertical="center"/>
    </xf>
    <xf numFmtId="0" fontId="6" fillId="2" borderId="22" xfId="7" applyFont="1" applyFill="1" applyBorder="1" applyAlignment="1">
      <alignment horizontal="center" vertical="center" wrapText="1"/>
    </xf>
    <xf numFmtId="0" fontId="6" fillId="2" borderId="22" xfId="8" applyFont="1" applyFill="1" applyBorder="1" applyAlignment="1">
      <alignment horizontal="center" vertical="center"/>
    </xf>
    <xf numFmtId="43" fontId="6" fillId="0" borderId="22" xfId="9" quotePrefix="1" applyFont="1" applyFill="1" applyBorder="1" applyAlignment="1">
      <alignment vertical="center"/>
    </xf>
    <xf numFmtId="43" fontId="6" fillId="0" borderId="22" xfId="6" applyNumberFormat="1" applyFont="1" applyBorder="1" applyAlignment="1">
      <alignment vertical="center"/>
    </xf>
    <xf numFmtId="0" fontId="3" fillId="0" borderId="36" xfId="6" quotePrefix="1" applyFont="1" applyBorder="1" applyAlignment="1">
      <alignment horizontal="center" vertical="center" wrapText="1"/>
    </xf>
    <xf numFmtId="43" fontId="6" fillId="0" borderId="22" xfId="9" quotePrefix="1" applyFont="1" applyFill="1" applyBorder="1" applyAlignment="1">
      <alignment horizontal="center" vertical="center"/>
    </xf>
    <xf numFmtId="0" fontId="10" fillId="0" borderId="0" xfId="5" applyFont="1" applyAlignment="1">
      <alignment vertical="center"/>
    </xf>
    <xf numFmtId="0" fontId="3" fillId="2" borderId="0" xfId="1" applyFill="1" applyAlignment="1">
      <alignment horizontal="center" vertical="center"/>
    </xf>
    <xf numFmtId="166" fontId="10" fillId="0" borderId="7" xfId="3" applyNumberFormat="1" applyFont="1" applyBorder="1" applyAlignment="1">
      <alignment horizontal="right"/>
    </xf>
    <xf numFmtId="0" fontId="44" fillId="0" borderId="22" xfId="0" applyFont="1" applyBorder="1" applyAlignment="1">
      <alignment horizontal="center" vertical="center"/>
    </xf>
    <xf numFmtId="174" fontId="44" fillId="0" borderId="22" xfId="10" applyNumberFormat="1" applyFont="1" applyBorder="1" applyAlignment="1">
      <alignment horizontal="center" vertical="center"/>
    </xf>
    <xf numFmtId="0" fontId="6" fillId="2" borderId="22" xfId="1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22" xfId="0" applyFont="1" applyBorder="1" applyAlignment="1">
      <alignment horizontal="center" vertical="center"/>
    </xf>
    <xf numFmtId="169" fontId="6" fillId="0" borderId="22" xfId="0" applyNumberFormat="1" applyFont="1" applyBorder="1" applyAlignment="1">
      <alignment horizontal="center" vertical="center"/>
    </xf>
    <xf numFmtId="168" fontId="6" fillId="0" borderId="22" xfId="0" applyNumberFormat="1" applyFont="1" applyBorder="1" applyAlignment="1">
      <alignment horizontal="right" vertical="center"/>
    </xf>
    <xf numFmtId="0" fontId="10" fillId="0" borderId="0" xfId="2" applyFont="1" applyAlignment="1">
      <alignment vertical="center"/>
    </xf>
    <xf numFmtId="0" fontId="3" fillId="0" borderId="8" xfId="0" applyFont="1" applyBorder="1" applyAlignment="1">
      <alignment horizontal="center" vertical="center"/>
    </xf>
    <xf numFmtId="167" fontId="3" fillId="0" borderId="8" xfId="0" applyNumberFormat="1" applyFont="1" applyBorder="1" applyAlignment="1">
      <alignment horizontal="center" vertical="center"/>
    </xf>
    <xf numFmtId="168" fontId="3" fillId="0" borderId="16" xfId="0" applyNumberFormat="1" applyFont="1" applyBorder="1" applyAlignment="1">
      <alignment horizontal="right" vertical="center" wrapText="1"/>
    </xf>
    <xf numFmtId="168" fontId="3" fillId="0" borderId="16" xfId="0" applyNumberFormat="1" applyFont="1" applyBorder="1" applyAlignment="1">
      <alignment horizontal="center" vertical="center" wrapText="1"/>
    </xf>
    <xf numFmtId="0" fontId="3" fillId="0" borderId="8" xfId="0" quotePrefix="1" applyFont="1" applyBorder="1" applyAlignment="1">
      <alignment vertical="center" wrapText="1"/>
    </xf>
    <xf numFmtId="168" fontId="3" fillId="0" borderId="8" xfId="0" applyNumberFormat="1" applyFont="1" applyBorder="1" applyAlignment="1">
      <alignment horizontal="right" vertical="center" wrapText="1"/>
    </xf>
    <xf numFmtId="0" fontId="8" fillId="2" borderId="20" xfId="1" quotePrefix="1" applyFont="1" applyFill="1" applyBorder="1" applyAlignment="1">
      <alignment vertical="center"/>
    </xf>
    <xf numFmtId="0" fontId="3" fillId="2" borderId="18" xfId="1" applyFill="1" applyBorder="1" applyAlignment="1">
      <alignment vertical="center"/>
    </xf>
    <xf numFmtId="0" fontId="3" fillId="2" borderId="18" xfId="1" applyFill="1" applyBorder="1" applyAlignment="1">
      <alignment vertical="center" wrapText="1"/>
    </xf>
    <xf numFmtId="0" fontId="3" fillId="2" borderId="8" xfId="1" applyFill="1" applyBorder="1" applyAlignment="1">
      <alignment horizontal="center" vertical="center"/>
    </xf>
    <xf numFmtId="0" fontId="3" fillId="2" borderId="8" xfId="1" applyFill="1" applyBorder="1" applyAlignment="1">
      <alignment horizontal="center" vertical="center" wrapText="1"/>
    </xf>
    <xf numFmtId="170" fontId="10" fillId="0" borderId="7" xfId="3" applyNumberFormat="1" applyFont="1" applyBorder="1" applyAlignment="1">
      <alignment horizontal="right"/>
    </xf>
    <xf numFmtId="0" fontId="45" fillId="2" borderId="0" xfId="1" applyFont="1" applyFill="1" applyAlignment="1">
      <alignment vertical="center"/>
    </xf>
    <xf numFmtId="0" fontId="51" fillId="2" borderId="0" xfId="1" applyFont="1" applyFill="1" applyAlignment="1">
      <alignment vertical="center"/>
    </xf>
    <xf numFmtId="0" fontId="55" fillId="3" borderId="0" xfId="5" applyFont="1" applyFill="1"/>
    <xf numFmtId="0" fontId="19" fillId="3" borderId="0" xfId="5" quotePrefix="1" applyFont="1" applyFill="1"/>
    <xf numFmtId="0" fontId="43" fillId="3" borderId="0" xfId="5" quotePrefix="1" applyFont="1" applyFill="1"/>
    <xf numFmtId="0" fontId="57" fillId="3" borderId="0" xfId="5" applyFont="1" applyFill="1" applyAlignment="1">
      <alignment horizontal="right" vertical="center" indent="1"/>
    </xf>
    <xf numFmtId="0" fontId="58" fillId="3" borderId="0" xfId="5" applyFont="1" applyFill="1"/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/>
    </xf>
    <xf numFmtId="0" fontId="6" fillId="2" borderId="0" xfId="1" applyFont="1" applyFill="1" applyAlignment="1">
      <alignment horizontal="center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2" borderId="16" xfId="1" applyFill="1" applyBorder="1" applyAlignment="1">
      <alignment horizontal="center" vertical="center" wrapText="1"/>
    </xf>
    <xf numFmtId="0" fontId="3" fillId="2" borderId="19" xfId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21" xfId="1" applyFont="1" applyFill="1" applyBorder="1" applyAlignment="1">
      <alignment horizontal="center" vertical="center"/>
    </xf>
    <xf numFmtId="0" fontId="3" fillId="0" borderId="8" xfId="0" applyFont="1" applyBorder="1" applyAlignment="1">
      <alignment horizontal="left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16" xfId="0" quotePrefix="1" applyFont="1" applyFill="1" applyBorder="1" applyAlignment="1">
      <alignment horizontal="center" vertical="center" wrapText="1"/>
    </xf>
    <xf numFmtId="0" fontId="48" fillId="2" borderId="1" xfId="1" applyFont="1" applyFill="1" applyBorder="1" applyAlignment="1">
      <alignment horizontal="center" vertical="center"/>
    </xf>
    <xf numFmtId="0" fontId="48" fillId="2" borderId="2" xfId="1" applyFont="1" applyFill="1" applyBorder="1" applyAlignment="1">
      <alignment horizontal="center" vertical="center"/>
    </xf>
    <xf numFmtId="0" fontId="48" fillId="2" borderId="3" xfId="1" applyFont="1" applyFill="1" applyBorder="1" applyAlignment="1">
      <alignment horizontal="center" vertical="center"/>
    </xf>
    <xf numFmtId="165" fontId="8" fillId="2" borderId="7" xfId="1" applyNumberFormat="1" applyFont="1" applyFill="1" applyBorder="1" applyAlignment="1">
      <alignment horizontal="left" vertical="center"/>
    </xf>
    <xf numFmtId="0" fontId="8" fillId="2" borderId="8" xfId="1" applyFont="1" applyFill="1" applyBorder="1" applyAlignment="1">
      <alignment horizontal="center" vertical="center" wrapText="1"/>
    </xf>
    <xf numFmtId="0" fontId="8" fillId="2" borderId="8" xfId="1" applyFont="1" applyFill="1" applyBorder="1" applyAlignment="1">
      <alignment horizontal="center" vertical="center"/>
    </xf>
    <xf numFmtId="0" fontId="8" fillId="2" borderId="9" xfId="1" applyFont="1" applyFill="1" applyBorder="1" applyAlignment="1">
      <alignment horizontal="center" vertical="center" wrapText="1"/>
    </xf>
    <xf numFmtId="0" fontId="8" fillId="2" borderId="10" xfId="1" applyFont="1" applyFill="1" applyBorder="1" applyAlignment="1">
      <alignment horizontal="center" vertical="center" wrapText="1"/>
    </xf>
    <xf numFmtId="0" fontId="8" fillId="2" borderId="11" xfId="1" applyFont="1" applyFill="1" applyBorder="1" applyAlignment="1">
      <alignment horizontal="center" vertical="center" wrapText="1"/>
    </xf>
    <xf numFmtId="0" fontId="8" fillId="2" borderId="13" xfId="1" applyFont="1" applyFill="1" applyBorder="1" applyAlignment="1">
      <alignment horizontal="center" vertical="center" wrapText="1"/>
    </xf>
    <xf numFmtId="0" fontId="8" fillId="2" borderId="7" xfId="1" applyFont="1" applyFill="1" applyBorder="1" applyAlignment="1">
      <alignment horizontal="center" vertical="center" wrapText="1"/>
    </xf>
    <xf numFmtId="0" fontId="8" fillId="2" borderId="14" xfId="1" applyFont="1" applyFill="1" applyBorder="1" applyAlignment="1">
      <alignment horizontal="center" vertical="center" wrapText="1"/>
    </xf>
    <xf numFmtId="0" fontId="8" fillId="2" borderId="12" xfId="1" applyFont="1" applyFill="1" applyBorder="1" applyAlignment="1">
      <alignment horizontal="center" vertical="center"/>
    </xf>
    <xf numFmtId="0" fontId="8" fillId="2" borderId="15" xfId="1" applyFont="1" applyFill="1" applyBorder="1" applyAlignment="1">
      <alignment horizontal="center" vertical="center"/>
    </xf>
    <xf numFmtId="0" fontId="8" fillId="2" borderId="12" xfId="1" applyFont="1" applyFill="1" applyBorder="1" applyAlignment="1">
      <alignment horizontal="center" vertical="center" wrapText="1"/>
    </xf>
    <xf numFmtId="0" fontId="8" fillId="2" borderId="15" xfId="1" applyFont="1" applyFill="1" applyBorder="1" applyAlignment="1">
      <alignment horizontal="center" vertical="center" wrapText="1"/>
    </xf>
    <xf numFmtId="0" fontId="49" fillId="2" borderId="4" xfId="1" applyFont="1" applyFill="1" applyBorder="1" applyAlignment="1">
      <alignment horizontal="center" vertical="center"/>
    </xf>
    <xf numFmtId="0" fontId="49" fillId="2" borderId="5" xfId="1" applyFont="1" applyFill="1" applyBorder="1" applyAlignment="1">
      <alignment horizontal="center" vertical="center"/>
    </xf>
    <xf numFmtId="0" fontId="49" fillId="2" borderId="6" xfId="1" applyFont="1" applyFill="1" applyBorder="1" applyAlignment="1">
      <alignment horizontal="center" vertical="center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6" fillId="3" borderId="25" xfId="0" applyFont="1" applyFill="1" applyBorder="1" applyAlignment="1">
      <alignment horizontal="center" vertical="center" wrapText="1"/>
    </xf>
    <xf numFmtId="0" fontId="6" fillId="3" borderId="24" xfId="0" applyFont="1" applyFill="1" applyBorder="1" applyAlignment="1">
      <alignment horizontal="center" vertical="center" wrapText="1"/>
    </xf>
    <xf numFmtId="0" fontId="44" fillId="0" borderId="23" xfId="0" applyFont="1" applyBorder="1" applyAlignment="1">
      <alignment horizontal="left" vertical="center" wrapText="1"/>
    </xf>
    <xf numFmtId="0" fontId="44" fillId="0" borderId="24" xfId="0" applyFont="1" applyBorder="1" applyAlignment="1">
      <alignment horizontal="left" vertical="center" wrapText="1"/>
    </xf>
    <xf numFmtId="0" fontId="44" fillId="3" borderId="23" xfId="0" applyFont="1" applyFill="1" applyBorder="1" applyAlignment="1">
      <alignment horizontal="center" vertical="center" wrapText="1"/>
    </xf>
    <xf numFmtId="0" fontId="44" fillId="3" borderId="25" xfId="0" applyFont="1" applyFill="1" applyBorder="1" applyAlignment="1">
      <alignment horizontal="center" vertical="center" wrapText="1"/>
    </xf>
    <xf numFmtId="0" fontId="44" fillId="3" borderId="24" xfId="0" applyFont="1" applyFill="1" applyBorder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 wrapText="1"/>
    </xf>
    <xf numFmtId="0" fontId="16" fillId="2" borderId="22" xfId="1" applyFont="1" applyFill="1" applyBorder="1" applyAlignment="1">
      <alignment horizontal="center" vertical="center"/>
    </xf>
    <xf numFmtId="0" fontId="29" fillId="3" borderId="0" xfId="5" applyFont="1" applyFill="1" applyAlignment="1">
      <alignment horizontal="center"/>
    </xf>
    <xf numFmtId="170" fontId="34" fillId="3" borderId="0" xfId="5" quotePrefix="1" applyNumberFormat="1" applyFont="1" applyFill="1" applyAlignment="1">
      <alignment horizontal="left" vertical="center"/>
    </xf>
    <xf numFmtId="170" fontId="34" fillId="3" borderId="0" xfId="5" applyNumberFormat="1" applyFont="1" applyFill="1" applyAlignment="1">
      <alignment horizontal="left" vertical="center"/>
    </xf>
    <xf numFmtId="0" fontId="34" fillId="3" borderId="0" xfId="5" applyFont="1" applyFill="1" applyAlignment="1">
      <alignment horizontal="left"/>
    </xf>
    <xf numFmtId="0" fontId="24" fillId="3" borderId="0" xfId="5" applyFont="1" applyFill="1" applyAlignment="1">
      <alignment horizontal="center"/>
    </xf>
    <xf numFmtId="0" fontId="25" fillId="3" borderId="0" xfId="5" applyFont="1" applyFill="1" applyAlignment="1">
      <alignment horizontal="left" vertical="center"/>
    </xf>
    <xf numFmtId="0" fontId="19" fillId="3" borderId="26" xfId="5" quotePrefix="1" applyFont="1" applyFill="1" applyBorder="1" applyAlignment="1">
      <alignment horizontal="center"/>
    </xf>
    <xf numFmtId="0" fontId="19" fillId="3" borderId="0" xfId="5" quotePrefix="1" applyFont="1" applyFill="1" applyAlignment="1">
      <alignment horizontal="center"/>
    </xf>
    <xf numFmtId="172" fontId="19" fillId="3" borderId="0" xfId="5" applyNumberFormat="1" applyFont="1" applyFill="1" applyAlignment="1">
      <alignment horizontal="center"/>
    </xf>
    <xf numFmtId="0" fontId="56" fillId="3" borderId="0" xfId="5" applyFont="1" applyFill="1" applyAlignment="1">
      <alignment horizontal="left" wrapText="1"/>
    </xf>
    <xf numFmtId="0" fontId="13" fillId="0" borderId="35" xfId="6" quotePrefix="1" applyFont="1" applyBorder="1" applyAlignment="1">
      <alignment horizontal="right" vertical="center"/>
    </xf>
    <xf numFmtId="0" fontId="13" fillId="0" borderId="22" xfId="6" quotePrefix="1" applyFont="1" applyBorder="1" applyAlignment="1">
      <alignment horizontal="right" vertical="center"/>
    </xf>
    <xf numFmtId="0" fontId="10" fillId="0" borderId="42" xfId="6" quotePrefix="1" applyFont="1" applyBorder="1" applyAlignment="1">
      <alignment horizontal="right" vertical="center"/>
    </xf>
    <xf numFmtId="0" fontId="10" fillId="0" borderId="43" xfId="6" quotePrefix="1" applyFont="1" applyBorder="1" applyAlignment="1">
      <alignment horizontal="right" vertical="center"/>
    </xf>
    <xf numFmtId="0" fontId="44" fillId="3" borderId="23" xfId="5" applyFont="1" applyFill="1" applyBorder="1" applyAlignment="1">
      <alignment horizontal="left" vertical="center" wrapText="1"/>
    </xf>
    <xf numFmtId="0" fontId="44" fillId="3" borderId="24" xfId="5" applyFont="1" applyFill="1" applyBorder="1" applyAlignment="1">
      <alignment horizontal="left" vertical="center" wrapText="1"/>
    </xf>
    <xf numFmtId="0" fontId="44" fillId="3" borderId="38" xfId="5" applyFont="1" applyFill="1" applyBorder="1" applyAlignment="1">
      <alignment horizontal="left" vertical="center" wrapText="1"/>
    </xf>
    <xf numFmtId="0" fontId="44" fillId="3" borderId="39" xfId="5" applyFont="1" applyFill="1" applyBorder="1" applyAlignment="1">
      <alignment horizontal="left" vertical="center" wrapText="1"/>
    </xf>
    <xf numFmtId="0" fontId="32" fillId="0" borderId="0" xfId="6" applyFont="1" applyAlignment="1">
      <alignment horizontal="center" vertical="center"/>
    </xf>
    <xf numFmtId="0" fontId="35" fillId="0" borderId="27" xfId="6" applyFont="1" applyBorder="1" applyAlignment="1">
      <alignment horizontal="right" vertical="center"/>
    </xf>
    <xf numFmtId="0" fontId="8" fillId="4" borderId="28" xfId="6" applyFont="1" applyFill="1" applyBorder="1" applyAlignment="1">
      <alignment horizontal="center" vertical="center" wrapText="1"/>
    </xf>
    <xf numFmtId="0" fontId="8" fillId="4" borderId="35" xfId="6" applyFont="1" applyFill="1" applyBorder="1" applyAlignment="1">
      <alignment horizontal="center" vertical="center" wrapText="1"/>
    </xf>
    <xf numFmtId="0" fontId="8" fillId="4" borderId="29" xfId="6" applyFont="1" applyFill="1" applyBorder="1" applyAlignment="1">
      <alignment horizontal="center" vertical="center" wrapText="1"/>
    </xf>
    <xf numFmtId="0" fontId="8" fillId="4" borderId="30" xfId="6" applyFont="1" applyFill="1" applyBorder="1" applyAlignment="1">
      <alignment horizontal="center" vertical="center" wrapText="1"/>
    </xf>
    <xf numFmtId="0" fontId="8" fillId="4" borderId="4" xfId="6" applyFont="1" applyFill="1" applyBorder="1" applyAlignment="1">
      <alignment horizontal="center" vertical="center" wrapText="1"/>
    </xf>
    <xf numFmtId="0" fontId="8" fillId="4" borderId="6" xfId="6" applyFont="1" applyFill="1" applyBorder="1" applyAlignment="1">
      <alignment horizontal="center" vertical="center" wrapText="1"/>
    </xf>
    <xf numFmtId="0" fontId="8" fillId="4" borderId="31" xfId="6" applyFont="1" applyFill="1" applyBorder="1" applyAlignment="1">
      <alignment horizontal="center" vertical="center" wrapText="1"/>
    </xf>
    <xf numFmtId="0" fontId="8" fillId="4" borderId="22" xfId="6" applyFont="1" applyFill="1" applyBorder="1" applyAlignment="1">
      <alignment horizontal="center" vertical="center" wrapText="1"/>
    </xf>
    <xf numFmtId="0" fontId="8" fillId="4" borderId="32" xfId="6" applyFont="1" applyFill="1" applyBorder="1" applyAlignment="1">
      <alignment horizontal="center" vertical="center" wrapText="1"/>
    </xf>
    <xf numFmtId="0" fontId="8" fillId="4" borderId="33" xfId="6" applyFont="1" applyFill="1" applyBorder="1" applyAlignment="1">
      <alignment horizontal="center" vertical="center" wrapText="1"/>
    </xf>
    <xf numFmtId="0" fontId="8" fillId="4" borderId="34" xfId="6" applyFont="1" applyFill="1" applyBorder="1" applyAlignment="1">
      <alignment horizontal="center" vertical="center" wrapText="1"/>
    </xf>
    <xf numFmtId="0" fontId="8" fillId="4" borderId="36" xfId="6" applyFont="1" applyFill="1" applyBorder="1" applyAlignment="1">
      <alignment horizontal="center" vertical="center" wrapText="1"/>
    </xf>
  </cellXfs>
  <cellStyles count="23">
    <cellStyle name="Comma [0]" xfId="10" builtinId="6"/>
    <cellStyle name="Normal" xfId="0" builtinId="0"/>
    <cellStyle name="쉼표 [0] 2 2" xfId="4" xr:uid="{95D71F5C-65D6-4E85-84FE-774413508E1E}"/>
    <cellStyle name="쉼표 [0] 2 2 2" xfId="12" xr:uid="{C1BC8794-9761-452E-9B38-1FCFBE45E724}"/>
    <cellStyle name="쉼표 [0] 2 2 2 2" xfId="20" xr:uid="{D4C28376-5AFF-4631-886A-6E4DDE35B415}"/>
    <cellStyle name="쉼표 [0] 2 2 3" xfId="16" xr:uid="{FBE1F273-C3E2-4A03-892F-9C50868F4F24}"/>
    <cellStyle name="쉼표 2" xfId="9" xr:uid="{F2A3A689-A30F-4FCA-9C51-F28F11796A46}"/>
    <cellStyle name="쉼표 2 2" xfId="14" xr:uid="{6B2280AF-C50F-47FC-98AC-E1383F78873F}"/>
    <cellStyle name="쉼표 2 2 2" xfId="22" xr:uid="{5E20C4B9-10EA-4488-B11F-4C9CC000B736}"/>
    <cellStyle name="쉼표 2 3" xfId="18" xr:uid="{9325817A-B686-479F-8D46-5045674182E2}"/>
    <cellStyle name="표준 2 2" xfId="2" xr:uid="{12B761D3-4229-4E14-8168-D5975293A996}"/>
    <cellStyle name="표준 2 2 2" xfId="11" xr:uid="{5AAE3045-0003-4EF5-82EE-3F61803573C1}"/>
    <cellStyle name="표준 2 2 2 2" xfId="19" xr:uid="{34284892-815D-4ADC-A262-F0D0E87DDC9B}"/>
    <cellStyle name="표준 2 2 3" xfId="15" xr:uid="{11700922-3F87-45EC-87A1-2836ABF427DA}"/>
    <cellStyle name="표준 2 3 2 2" xfId="5" xr:uid="{BD51BFCC-3D36-446B-BE80-7856DF8371E9}"/>
    <cellStyle name="표준 2 3 2 2 2" xfId="13" xr:uid="{96447A54-999F-4976-A3CD-C67E976CCDC4}"/>
    <cellStyle name="표준 2 3 2 2 2 2" xfId="21" xr:uid="{ED8B1D17-BA03-4319-9E73-0BBFEC4DD2AD}"/>
    <cellStyle name="표준 2 3 2 2 3" xfId="17" xr:uid="{348CFD6E-43FF-417E-852B-C3B5F4369AD2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942474</xdr:colOff>
          <xdr:row>17</xdr:row>
          <xdr:rowOff>0</xdr:rowOff>
        </xdr:from>
        <xdr:to>
          <xdr:col>12</xdr:col>
          <xdr:colOff>502</xdr:colOff>
          <xdr:row>24</xdr:row>
          <xdr:rowOff>2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S$24" spid="_x0000_s122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216316" y="4983079"/>
              <a:ext cx="3890712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2"/>
  <sheetViews>
    <sheetView showGridLines="0" view="pageBreakPreview" zoomScale="95" zoomScaleNormal="95" zoomScaleSheetLayoutView="95" workbookViewId="0">
      <selection activeCell="I7" sqref="I7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23" t="s">
        <v>99</v>
      </c>
      <c r="B1" s="109"/>
      <c r="C1" s="109"/>
      <c r="D1" s="109"/>
      <c r="E1" s="109"/>
      <c r="F1" s="109"/>
      <c r="G1" s="1"/>
      <c r="J1" s="145" t="s">
        <v>89</v>
      </c>
      <c r="K1" s="146"/>
      <c r="L1" s="147"/>
    </row>
    <row r="2" spans="1:18" ht="20.100000000000001" customHeight="1">
      <c r="A2" s="3" t="s">
        <v>1</v>
      </c>
      <c r="B2" s="100"/>
      <c r="C2" s="100"/>
      <c r="D2" s="3" t="s">
        <v>100</v>
      </c>
      <c r="E2" s="100"/>
      <c r="F2" s="100"/>
      <c r="G2" s="100"/>
      <c r="H2" s="100"/>
      <c r="I2" s="4"/>
      <c r="J2" s="161" t="s">
        <v>101</v>
      </c>
      <c r="K2" s="162"/>
      <c r="L2" s="163"/>
    </row>
    <row r="3" spans="1:18" ht="20.100000000000001" customHeight="1">
      <c r="A3" s="3" t="s">
        <v>125</v>
      </c>
      <c r="B3" s="100"/>
      <c r="C3" s="100"/>
      <c r="D3" s="100"/>
      <c r="E3" s="148">
        <f>+L3</f>
        <v>46060</v>
      </c>
      <c r="F3" s="148"/>
      <c r="G3" s="148"/>
      <c r="H3" s="148"/>
      <c r="I3" s="148"/>
      <c r="J3" s="100"/>
      <c r="K3" s="100"/>
      <c r="L3" s="121">
        <v>46060</v>
      </c>
      <c r="M3" s="4"/>
    </row>
    <row r="4" spans="1:18" ht="15.95" customHeight="1">
      <c r="A4" s="149" t="s">
        <v>2</v>
      </c>
      <c r="B4" s="150" t="s">
        <v>3</v>
      </c>
      <c r="C4" s="150"/>
      <c r="D4" s="151" t="s">
        <v>4</v>
      </c>
      <c r="E4" s="152"/>
      <c r="F4" s="153"/>
      <c r="G4" s="157" t="s">
        <v>5</v>
      </c>
      <c r="H4" s="159" t="s">
        <v>6</v>
      </c>
      <c r="I4" s="159" t="s">
        <v>93</v>
      </c>
      <c r="J4" s="149" t="s">
        <v>94</v>
      </c>
      <c r="K4" s="159" t="s">
        <v>0</v>
      </c>
      <c r="L4" s="150" t="s">
        <v>7</v>
      </c>
    </row>
    <row r="5" spans="1:18" ht="15.95" customHeight="1">
      <c r="A5" s="149"/>
      <c r="B5" s="150"/>
      <c r="C5" s="150"/>
      <c r="D5" s="154"/>
      <c r="E5" s="155"/>
      <c r="F5" s="156"/>
      <c r="G5" s="158"/>
      <c r="H5" s="160"/>
      <c r="I5" s="160"/>
      <c r="J5" s="149"/>
      <c r="K5" s="160"/>
      <c r="L5" s="150"/>
    </row>
    <row r="6" spans="1:18" ht="24" customHeight="1">
      <c r="A6" s="5">
        <f t="shared" ref="A6:A15" si="0">ROW(A1)</f>
        <v>1</v>
      </c>
      <c r="B6" s="133" t="s">
        <v>126</v>
      </c>
      <c r="C6" s="134"/>
      <c r="D6" s="135"/>
      <c r="E6" s="136"/>
      <c r="F6" s="137"/>
      <c r="G6" s="110" t="s">
        <v>109</v>
      </c>
      <c r="H6" s="111">
        <v>13</v>
      </c>
      <c r="I6" s="112">
        <v>700</v>
      </c>
      <c r="J6" s="112">
        <f>H6*I6</f>
        <v>9100</v>
      </c>
      <c r="K6" s="113" t="s">
        <v>103</v>
      </c>
      <c r="L6" s="114" t="s">
        <v>110</v>
      </c>
      <c r="R6" s="105"/>
    </row>
    <row r="7" spans="1:18" ht="24" customHeight="1">
      <c r="A7" s="5">
        <f t="shared" si="0"/>
        <v>2</v>
      </c>
      <c r="B7" s="133" t="s">
        <v>127</v>
      </c>
      <c r="C7" s="134"/>
      <c r="D7" s="144"/>
      <c r="E7" s="136"/>
      <c r="F7" s="137"/>
      <c r="G7" s="110" t="s">
        <v>109</v>
      </c>
      <c r="H7" s="111">
        <v>8</v>
      </c>
      <c r="I7" s="112">
        <v>700</v>
      </c>
      <c r="J7" s="112">
        <f>H7*I7</f>
        <v>5600</v>
      </c>
      <c r="K7" s="113"/>
      <c r="L7" s="114"/>
      <c r="R7" s="105"/>
    </row>
    <row r="8" spans="1:18" ht="22.5" customHeight="1">
      <c r="A8" s="5">
        <f t="shared" si="0"/>
        <v>3</v>
      </c>
      <c r="B8" s="133"/>
      <c r="C8" s="134"/>
      <c r="D8" s="135"/>
      <c r="E8" s="136"/>
      <c r="F8" s="137"/>
      <c r="G8" s="110"/>
      <c r="H8" s="111"/>
      <c r="I8" s="112"/>
      <c r="J8" s="112"/>
      <c r="K8" s="113"/>
      <c r="L8" s="114"/>
      <c r="R8" s="105"/>
    </row>
    <row r="9" spans="1:18" ht="22.5" customHeight="1">
      <c r="A9" s="5">
        <f t="shared" si="0"/>
        <v>4</v>
      </c>
      <c r="B9" s="133"/>
      <c r="C9" s="134"/>
      <c r="D9" s="135"/>
      <c r="E9" s="136"/>
      <c r="F9" s="137"/>
      <c r="G9" s="110"/>
      <c r="H9" s="111"/>
      <c r="I9" s="112"/>
      <c r="J9" s="112">
        <f t="shared" ref="J9" si="1">H9*I9</f>
        <v>0</v>
      </c>
      <c r="K9" s="113"/>
      <c r="L9" s="114"/>
      <c r="R9" s="105"/>
    </row>
    <row r="10" spans="1:18" ht="22.5" customHeight="1">
      <c r="A10" s="5">
        <f t="shared" si="0"/>
        <v>5</v>
      </c>
      <c r="B10" s="142"/>
      <c r="C10" s="142"/>
      <c r="D10" s="143"/>
      <c r="E10" s="143"/>
      <c r="F10" s="143"/>
      <c r="G10" s="110"/>
      <c r="H10" s="111"/>
      <c r="I10" s="115"/>
      <c r="J10" s="112"/>
      <c r="K10" s="113"/>
      <c r="L10" s="110"/>
      <c r="R10" s="105"/>
    </row>
    <row r="11" spans="1:18" ht="22.5" customHeight="1">
      <c r="A11" s="5">
        <f t="shared" si="0"/>
        <v>6</v>
      </c>
      <c r="B11" s="133"/>
      <c r="C11" s="134"/>
      <c r="D11" s="135"/>
      <c r="E11" s="136"/>
      <c r="F11" s="137"/>
      <c r="G11" s="110"/>
      <c r="H11" s="111"/>
      <c r="I11" s="112"/>
      <c r="J11" s="112"/>
      <c r="K11" s="113"/>
      <c r="L11" s="114"/>
      <c r="R11" s="105"/>
    </row>
    <row r="12" spans="1:18" ht="22.5" customHeight="1">
      <c r="A12" s="5">
        <f t="shared" si="0"/>
        <v>7</v>
      </c>
      <c r="B12" s="142"/>
      <c r="C12" s="142"/>
      <c r="D12" s="143"/>
      <c r="E12" s="143"/>
      <c r="F12" s="143"/>
      <c r="G12" s="110"/>
      <c r="H12" s="111"/>
      <c r="I12" s="115"/>
      <c r="J12" s="112"/>
      <c r="K12" s="113"/>
      <c r="L12" s="110"/>
      <c r="R12" s="105"/>
    </row>
    <row r="13" spans="1:18" ht="22.5" customHeight="1">
      <c r="A13" s="5">
        <f t="shared" si="0"/>
        <v>8</v>
      </c>
      <c r="B13" s="133"/>
      <c r="C13" s="134"/>
      <c r="D13" s="135"/>
      <c r="E13" s="136"/>
      <c r="F13" s="137"/>
      <c r="G13" s="110"/>
      <c r="H13" s="111"/>
      <c r="I13" s="112"/>
      <c r="J13" s="112"/>
      <c r="K13" s="113"/>
      <c r="L13" s="114"/>
      <c r="R13" s="105"/>
    </row>
    <row r="14" spans="1:18" ht="22.5" customHeight="1">
      <c r="A14" s="5">
        <f t="shared" si="0"/>
        <v>9</v>
      </c>
      <c r="B14" s="133"/>
      <c r="C14" s="134"/>
      <c r="D14" s="135"/>
      <c r="E14" s="136"/>
      <c r="F14" s="137"/>
      <c r="G14" s="110"/>
      <c r="H14" s="111"/>
      <c r="I14" s="112"/>
      <c r="J14" s="112"/>
      <c r="K14" s="113"/>
      <c r="L14" s="114"/>
      <c r="R14" s="105"/>
    </row>
    <row r="15" spans="1:18" ht="22.5" customHeight="1">
      <c r="A15" s="5">
        <f t="shared" si="0"/>
        <v>10</v>
      </c>
      <c r="B15" s="133"/>
      <c r="C15" s="134"/>
      <c r="D15" s="135"/>
      <c r="E15" s="136"/>
      <c r="F15" s="137"/>
      <c r="G15" s="110"/>
      <c r="H15" s="111"/>
      <c r="I15" s="112"/>
      <c r="J15" s="112"/>
      <c r="K15" s="113"/>
      <c r="L15" s="114"/>
      <c r="R15" s="105"/>
    </row>
    <row r="16" spans="1:18" ht="22.5" customHeight="1">
      <c r="A16" s="138" t="s">
        <v>8</v>
      </c>
      <c r="B16" s="139"/>
      <c r="C16" s="116"/>
      <c r="D16" s="117"/>
      <c r="E16" s="117"/>
      <c r="F16" s="117"/>
      <c r="G16" s="118"/>
      <c r="H16" s="118"/>
      <c r="I16" s="119" t="s">
        <v>9</v>
      </c>
      <c r="J16" s="112">
        <f>SUM(J6:J15)</f>
        <v>14700</v>
      </c>
      <c r="K16" s="112"/>
      <c r="L16" s="120"/>
    </row>
    <row r="17" spans="1:19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19" ht="18" customHeight="1">
      <c r="A18" s="10"/>
      <c r="J18" s="1"/>
      <c r="K18" s="1"/>
      <c r="O18" s="11"/>
      <c r="P18" s="11"/>
      <c r="R18" s="140" t="s">
        <v>11</v>
      </c>
      <c r="S18" s="13" t="s">
        <v>12</v>
      </c>
    </row>
    <row r="19" spans="1:19" ht="50.1" customHeight="1">
      <c r="R19" s="141"/>
      <c r="S19" s="15"/>
    </row>
    <row r="20" spans="1:19" ht="17.100000000000001" customHeight="1">
      <c r="O20" s="11"/>
      <c r="P20" s="11"/>
      <c r="R20" s="131"/>
      <c r="S20" s="15" t="s">
        <v>13</v>
      </c>
    </row>
    <row r="21" spans="1:19" ht="15" customHeight="1">
      <c r="O21" s="17" t="s">
        <v>14</v>
      </c>
      <c r="P21" s="129" t="s">
        <v>15</v>
      </c>
    </row>
    <row r="22" spans="1:19" ht="18" customHeight="1">
      <c r="O22" s="18" t="s">
        <v>16</v>
      </c>
      <c r="P22" s="130"/>
      <c r="R22" s="140" t="s">
        <v>17</v>
      </c>
      <c r="S22" s="12" t="s">
        <v>12</v>
      </c>
    </row>
    <row r="23" spans="1:19" ht="50.1" customHeight="1">
      <c r="O23" s="14"/>
      <c r="P23" s="14"/>
      <c r="R23" s="141"/>
      <c r="S23" s="19"/>
    </row>
    <row r="24" spans="1:19" ht="17.100000000000001" customHeight="1">
      <c r="O24" s="16" t="s">
        <v>13</v>
      </c>
      <c r="P24" s="16" t="s">
        <v>13</v>
      </c>
      <c r="R24" s="131"/>
      <c r="S24" s="15" t="s">
        <v>13</v>
      </c>
    </row>
    <row r="25" spans="1:19" ht="9.9499999999999993" customHeight="1"/>
    <row r="26" spans="1:19" ht="19.899999999999999" customHeight="1"/>
    <row r="27" spans="1:19" ht="17.45" customHeight="1">
      <c r="O27" s="132"/>
      <c r="P27" s="132"/>
    </row>
    <row r="28" spans="1:19" ht="19.899999999999999" customHeight="1">
      <c r="O28" s="132"/>
      <c r="P28" s="132"/>
    </row>
    <row r="29" spans="1:19" ht="14.25">
      <c r="O29" s="11"/>
      <c r="P29" s="11"/>
    </row>
    <row r="30" spans="1:19" ht="65.099999999999994" customHeight="1"/>
    <row r="31" spans="1:19" ht="14.25">
      <c r="O31" s="11"/>
      <c r="P31" s="11"/>
    </row>
    <row r="32" spans="1:19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29" t="s">
        <v>18</v>
      </c>
      <c r="P46" s="129" t="s">
        <v>18</v>
      </c>
      <c r="S46" s="129" t="s">
        <v>12</v>
      </c>
    </row>
    <row r="47" spans="15:19" ht="21" customHeight="1">
      <c r="O47" s="130"/>
      <c r="P47" s="130"/>
      <c r="S47" s="131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29" t="s">
        <v>18</v>
      </c>
      <c r="P50" s="129" t="s">
        <v>18</v>
      </c>
      <c r="S50" s="129" t="s">
        <v>19</v>
      </c>
    </row>
    <row r="51" spans="15:19" ht="21" customHeight="1">
      <c r="O51" s="130"/>
      <c r="P51" s="130"/>
      <c r="S51" s="131"/>
    </row>
    <row r="52" spans="15:19" ht="64.900000000000006" customHeight="1">
      <c r="O52" s="14"/>
      <c r="P52" s="14"/>
      <c r="S52" s="14"/>
    </row>
  </sheetData>
  <mergeCells count="44">
    <mergeCell ref="J1:L1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J2:L2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R18:R20"/>
    <mergeCell ref="P21:P22"/>
    <mergeCell ref="R22:R24"/>
    <mergeCell ref="O50:O51"/>
    <mergeCell ref="P50:P51"/>
    <mergeCell ref="S50:S51"/>
    <mergeCell ref="O27:O28"/>
    <mergeCell ref="P27:P28"/>
    <mergeCell ref="O46:O47"/>
    <mergeCell ref="P46:P47"/>
    <mergeCell ref="S46:S47"/>
  </mergeCells>
  <phoneticPr fontId="4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N9" sqref="N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95</v>
      </c>
      <c r="B1" s="99"/>
      <c r="C1" s="99"/>
      <c r="D1" s="99"/>
      <c r="E1" s="99"/>
      <c r="F1" s="99"/>
      <c r="G1" s="1"/>
      <c r="J1" s="145" t="str">
        <f>+MRS!J1</f>
        <v>DAESHIN PLANT</v>
      </c>
      <c r="K1" s="147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61" t="str">
        <f>+MRS!J2</f>
        <v>Subcontract name (SAC2-SC-IK-SMP-01)</v>
      </c>
      <c r="K2" s="163"/>
    </row>
    <row r="3" spans="1:18" ht="24.95" customHeight="1">
      <c r="A3" s="3" t="str">
        <f>+MRS!A3</f>
        <v xml:space="preserve">  MRS No : SAC2-DS-MRS-0214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46060</v>
      </c>
    </row>
    <row r="4" spans="1:18" ht="15.95" customHeight="1">
      <c r="A4" s="174" t="s">
        <v>2</v>
      </c>
      <c r="B4" s="175" t="s">
        <v>20</v>
      </c>
      <c r="C4" s="175"/>
      <c r="D4" s="174" t="s">
        <v>4</v>
      </c>
      <c r="E4" s="174"/>
      <c r="F4" s="174"/>
      <c r="G4" s="175" t="s">
        <v>5</v>
      </c>
      <c r="H4" s="174" t="s">
        <v>90</v>
      </c>
      <c r="I4" s="174" t="s">
        <v>21</v>
      </c>
      <c r="J4" s="174" t="s">
        <v>22</v>
      </c>
      <c r="K4" s="175" t="s">
        <v>7</v>
      </c>
    </row>
    <row r="5" spans="1:18" ht="15.95" customHeight="1">
      <c r="A5" s="174"/>
      <c r="B5" s="175"/>
      <c r="C5" s="175"/>
      <c r="D5" s="174"/>
      <c r="E5" s="174"/>
      <c r="F5" s="174"/>
      <c r="G5" s="175"/>
      <c r="H5" s="174"/>
      <c r="I5" s="174"/>
      <c r="J5" s="174"/>
      <c r="K5" s="175"/>
    </row>
    <row r="6" spans="1:18" ht="105" customHeight="1">
      <c r="A6" s="21">
        <f>+MRS!A6</f>
        <v>1</v>
      </c>
      <c r="B6" s="169" t="str">
        <f>MRS!B6</f>
        <v>Third Party Training and Certification for Scaffolder</v>
      </c>
      <c r="C6" s="170"/>
      <c r="D6" s="171">
        <f>MRS!D6</f>
        <v>0</v>
      </c>
      <c r="E6" s="172"/>
      <c r="F6" s="173"/>
      <c r="G6" s="102" t="str">
        <f>MRS!G6</f>
        <v>EA</v>
      </c>
      <c r="H6" s="102">
        <f>MRS!H6</f>
        <v>13</v>
      </c>
      <c r="I6" s="103">
        <f>MRS!I6</f>
        <v>700</v>
      </c>
      <c r="J6" s="103">
        <f>MRS!J6</f>
        <v>9100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69" t="str">
        <f>MRS!B7</f>
        <v>Third Party Training and Certification for Rigger Level-III</v>
      </c>
      <c r="C7" s="170"/>
      <c r="D7" s="171">
        <f>MRS!D7</f>
        <v>0</v>
      </c>
      <c r="E7" s="172"/>
      <c r="F7" s="173"/>
      <c r="G7" s="102" t="str">
        <f>MRS!G7</f>
        <v>EA</v>
      </c>
      <c r="H7" s="102">
        <f>MRS!H7</f>
        <v>8</v>
      </c>
      <c r="I7" s="103">
        <f>MRS!I7</f>
        <v>700</v>
      </c>
      <c r="J7" s="103">
        <f>MRS!J7</f>
        <v>5600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69">
        <f>MRS!B8</f>
        <v>0</v>
      </c>
      <c r="C8" s="170"/>
      <c r="D8" s="171">
        <f>MRS!D8</f>
        <v>0</v>
      </c>
      <c r="E8" s="172"/>
      <c r="F8" s="173"/>
      <c r="G8" s="102">
        <f>MRS!G8</f>
        <v>0</v>
      </c>
      <c r="H8" s="102">
        <f>MRS!H8</f>
        <v>0</v>
      </c>
      <c r="I8" s="103">
        <f>MRS!I8</f>
        <v>0</v>
      </c>
      <c r="J8" s="103">
        <f>MRS!J8</f>
        <v>0</v>
      </c>
      <c r="K8" s="104"/>
      <c r="O8" s="105"/>
      <c r="P8" s="105"/>
      <c r="R8" s="105"/>
    </row>
    <row r="9" spans="1:18" ht="105" customHeight="1">
      <c r="A9" s="21">
        <f>+MRS!A9</f>
        <v>4</v>
      </c>
      <c r="B9" s="169">
        <f>MRS!B9</f>
        <v>0</v>
      </c>
      <c r="C9" s="170"/>
      <c r="D9" s="171">
        <f>MRS!D9</f>
        <v>0</v>
      </c>
      <c r="E9" s="172"/>
      <c r="F9" s="173"/>
      <c r="G9" s="102">
        <f>MRS!G9</f>
        <v>0</v>
      </c>
      <c r="H9" s="102">
        <f>MRS!H9</f>
        <v>0</v>
      </c>
      <c r="I9" s="103">
        <f>MRS!I9</f>
        <v>0</v>
      </c>
      <c r="J9" s="103">
        <f>MRS!J9</f>
        <v>0</v>
      </c>
      <c r="K9" s="104"/>
      <c r="O9" s="105"/>
      <c r="P9" s="105"/>
      <c r="R9" s="105"/>
    </row>
    <row r="10" spans="1:18" ht="105" customHeight="1">
      <c r="A10" s="21">
        <f>+MRS!A10</f>
        <v>5</v>
      </c>
      <c r="B10" s="169">
        <f>MRS!B10</f>
        <v>0</v>
      </c>
      <c r="C10" s="170"/>
      <c r="D10" s="171">
        <f>MRS!D10</f>
        <v>0</v>
      </c>
      <c r="E10" s="172"/>
      <c r="F10" s="173"/>
      <c r="G10" s="102">
        <f>MRS!G10</f>
        <v>0</v>
      </c>
      <c r="H10" s="102">
        <f>MRS!H10</f>
        <v>0</v>
      </c>
      <c r="I10" s="103">
        <f>MRS!I10</f>
        <v>0</v>
      </c>
      <c r="J10" s="103">
        <f>MRS!J10</f>
        <v>0</v>
      </c>
      <c r="K10" s="104"/>
      <c r="O10" s="105"/>
      <c r="P10" s="105"/>
      <c r="R10" s="105"/>
    </row>
    <row r="11" spans="1:18" ht="105" customHeight="1">
      <c r="A11" s="21">
        <f>+MRS!A11</f>
        <v>6</v>
      </c>
      <c r="B11" s="169">
        <f>MRS!B11</f>
        <v>0</v>
      </c>
      <c r="C11" s="170"/>
      <c r="D11" s="171">
        <f>MRS!D11</f>
        <v>0</v>
      </c>
      <c r="E11" s="172"/>
      <c r="F11" s="173"/>
      <c r="G11" s="102">
        <f>MRS!G11</f>
        <v>0</v>
      </c>
      <c r="H11" s="102">
        <f>MRS!H11</f>
        <v>0</v>
      </c>
      <c r="I11" s="103">
        <f>MRS!I11</f>
        <v>0</v>
      </c>
      <c r="J11" s="103">
        <f>MRS!J11</f>
        <v>0</v>
      </c>
      <c r="K11" s="104"/>
      <c r="O11" s="105"/>
      <c r="P11" s="105"/>
      <c r="R11" s="105"/>
    </row>
    <row r="12" spans="1:18" ht="105" customHeight="1">
      <c r="A12" s="21">
        <f>+MRS!A12</f>
        <v>7</v>
      </c>
      <c r="B12" s="164"/>
      <c r="C12" s="165"/>
      <c r="D12" s="166"/>
      <c r="E12" s="167"/>
      <c r="F12" s="168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+MRS!A13</f>
        <v>8</v>
      </c>
      <c r="B13" s="164"/>
      <c r="C13" s="165"/>
      <c r="D13" s="166"/>
      <c r="E13" s="167"/>
      <c r="F13" s="168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+MRS!A14</f>
        <v>9</v>
      </c>
      <c r="B14" s="164"/>
      <c r="C14" s="165"/>
      <c r="D14" s="166"/>
      <c r="E14" s="167"/>
      <c r="F14" s="168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10</v>
      </c>
      <c r="B15" s="164"/>
      <c r="C15" s="165"/>
      <c r="D15" s="166"/>
      <c r="E15" s="167"/>
      <c r="F15" s="168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64"/>
      <c r="C16" s="165"/>
      <c r="D16" s="166"/>
      <c r="E16" s="167"/>
      <c r="F16" s="168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64"/>
      <c r="C17" s="165"/>
      <c r="D17" s="166"/>
      <c r="E17" s="167"/>
      <c r="F17" s="168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5"/>
  <sheetViews>
    <sheetView tabSelected="1" view="pageBreakPreview" topLeftCell="A6" zoomScale="130" zoomScaleNormal="100" zoomScaleSheetLayoutView="130" workbookViewId="0">
      <selection activeCell="G26" sqref="G2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23</v>
      </c>
    </row>
    <row r="3" spans="2:13" s="22" customFormat="1">
      <c r="M3" s="24" t="s">
        <v>24</v>
      </c>
    </row>
    <row r="4" spans="2:13" s="22" customFormat="1">
      <c r="M4" s="24" t="s">
        <v>25</v>
      </c>
    </row>
    <row r="5" spans="2:13" s="22" customFormat="1">
      <c r="B5" s="25" t="s">
        <v>26</v>
      </c>
      <c r="M5" s="24" t="s">
        <v>27</v>
      </c>
    </row>
    <row r="6" spans="2:13" s="22" customFormat="1">
      <c r="M6" s="24" t="s">
        <v>28</v>
      </c>
    </row>
    <row r="7" spans="2:13">
      <c r="M7" s="27"/>
    </row>
    <row r="8" spans="2:13">
      <c r="M8" s="27"/>
    </row>
    <row r="9" spans="2:13" s="74" customFormat="1" ht="13.5">
      <c r="B9" s="72" t="s">
        <v>29</v>
      </c>
      <c r="C9" s="73" t="s">
        <v>104</v>
      </c>
      <c r="D9" s="39"/>
      <c r="E9" s="39"/>
    </row>
    <row r="10" spans="2:13" s="39" customFormat="1">
      <c r="B10" s="72"/>
      <c r="C10" s="39" t="s">
        <v>30</v>
      </c>
      <c r="D10" s="76" t="s">
        <v>105</v>
      </c>
      <c r="J10" s="39" t="s">
        <v>31</v>
      </c>
      <c r="K10" s="177">
        <f>MRS!L3</f>
        <v>46060</v>
      </c>
      <c r="L10" s="178"/>
      <c r="M10" s="178"/>
    </row>
    <row r="11" spans="2:13" s="39" customFormat="1">
      <c r="B11" s="72"/>
      <c r="C11" s="75" t="s">
        <v>32</v>
      </c>
      <c r="D11" s="76" t="s">
        <v>106</v>
      </c>
      <c r="J11" s="39" t="s">
        <v>33</v>
      </c>
      <c r="K11" s="179" t="str">
        <f>SUBSTITUTE(SUBSTITUTE(+MRS!A3,"  MRS No : ",""),"-MRS","-PO")</f>
        <v>SAC2-DS-PO-0214</v>
      </c>
      <c r="L11" s="179"/>
      <c r="M11" s="179"/>
    </row>
    <row r="12" spans="2:13" s="39" customFormat="1">
      <c r="B12" s="72"/>
      <c r="C12" s="75" t="s">
        <v>34</v>
      </c>
      <c r="D12" s="39" t="s">
        <v>96</v>
      </c>
      <c r="J12" s="39" t="s">
        <v>35</v>
      </c>
    </row>
    <row r="13" spans="2:13" s="39" customFormat="1">
      <c r="B13" s="72"/>
      <c r="C13" s="77"/>
      <c r="D13" s="76" t="s">
        <v>107</v>
      </c>
      <c r="J13" s="39" t="s">
        <v>36</v>
      </c>
    </row>
    <row r="14" spans="2:13" s="39" customFormat="1">
      <c r="B14" s="72"/>
      <c r="C14" s="77" t="s">
        <v>108</v>
      </c>
      <c r="J14" s="39" t="s">
        <v>37</v>
      </c>
      <c r="K14" s="39" t="s">
        <v>128</v>
      </c>
    </row>
    <row r="15" spans="2:13" s="39" customFormat="1">
      <c r="B15" s="72"/>
      <c r="C15" s="77" t="s">
        <v>98</v>
      </c>
      <c r="J15" s="39" t="s">
        <v>38</v>
      </c>
      <c r="K15" s="78">
        <v>46058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80" t="s">
        <v>39</v>
      </c>
      <c r="C18" s="180"/>
      <c r="D18" s="180"/>
      <c r="E18" s="180"/>
      <c r="F18" s="180"/>
      <c r="G18" s="180"/>
      <c r="H18" s="180"/>
      <c r="I18" s="180"/>
      <c r="J18" s="180"/>
      <c r="K18" s="180"/>
      <c r="L18" s="180"/>
      <c r="M18" s="180"/>
    </row>
    <row r="19" spans="2:13" ht="12" customHeight="1"/>
    <row r="20" spans="2:13" s="31" customFormat="1" ht="12" customHeight="1">
      <c r="B20" s="181" t="s">
        <v>40</v>
      </c>
      <c r="C20" s="181"/>
      <c r="D20" s="181"/>
      <c r="E20" s="181"/>
      <c r="F20" s="181"/>
      <c r="G20" s="181"/>
      <c r="H20" s="181"/>
      <c r="I20" s="181"/>
      <c r="J20" s="181"/>
      <c r="K20" s="181"/>
      <c r="L20" s="181"/>
      <c r="M20" s="181"/>
    </row>
    <row r="21" spans="2:13" s="31" customFormat="1" ht="12" customHeight="1">
      <c r="B21" s="181" t="s">
        <v>41</v>
      </c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</row>
    <row r="22" spans="2:13" s="31" customFormat="1" ht="12" customHeight="1">
      <c r="B22" s="181" t="s">
        <v>42</v>
      </c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</row>
    <row r="23" spans="2:13" ht="6.95" customHeight="1">
      <c r="B23" s="182"/>
      <c r="C23" s="182"/>
      <c r="D23" s="182"/>
      <c r="E23" s="182"/>
      <c r="F23" s="182"/>
      <c r="G23" s="182"/>
      <c r="H23" s="182"/>
      <c r="I23" s="182"/>
      <c r="J23" s="182"/>
      <c r="K23" s="182"/>
      <c r="L23" s="182"/>
      <c r="M23" s="182"/>
    </row>
    <row r="24" spans="2:13" ht="6.95" customHeight="1">
      <c r="B24" s="183"/>
      <c r="C24" s="183"/>
      <c r="D24" s="183"/>
      <c r="E24" s="183"/>
      <c r="F24" s="183"/>
      <c r="G24" s="183"/>
      <c r="H24" s="183"/>
      <c r="I24" s="183"/>
      <c r="J24" s="183"/>
      <c r="K24" s="183"/>
      <c r="L24" s="183"/>
      <c r="M24" s="183"/>
    </row>
    <row r="25" spans="2:13" s="32" customFormat="1" ht="15" customHeight="1">
      <c r="B25" s="32">
        <v>1</v>
      </c>
      <c r="C25" s="32" t="s">
        <v>43</v>
      </c>
    </row>
    <row r="26" spans="2:13" s="39" customFormat="1" ht="12" customHeight="1">
      <c r="B26" s="73"/>
      <c r="C26" s="126" t="s">
        <v>130</v>
      </c>
      <c r="M26" s="127" t="s">
        <v>44</v>
      </c>
    </row>
    <row r="27" spans="2:13" ht="11.1" customHeight="1">
      <c r="B27" s="32"/>
      <c r="C27" s="26" t="s">
        <v>129</v>
      </c>
    </row>
    <row r="28" spans="2:13" ht="15" customHeight="1">
      <c r="B28" s="32">
        <v>2</v>
      </c>
      <c r="C28" s="32" t="s">
        <v>45</v>
      </c>
    </row>
    <row r="29" spans="2:13" ht="12" customHeight="1">
      <c r="B29" s="32"/>
      <c r="C29" s="26" t="s">
        <v>46</v>
      </c>
      <c r="E29" s="26" t="s">
        <v>47</v>
      </c>
      <c r="F29" s="184">
        <v>14700</v>
      </c>
      <c r="G29" s="184"/>
      <c r="H29" s="33"/>
      <c r="M29" s="34"/>
    </row>
    <row r="30" spans="2:13" ht="12" customHeight="1">
      <c r="B30" s="32"/>
      <c r="C30" s="26" t="s">
        <v>48</v>
      </c>
      <c r="E30" s="26" t="s">
        <v>47</v>
      </c>
      <c r="F30" s="184">
        <f>F29*15%</f>
        <v>2205</v>
      </c>
      <c r="G30" s="184"/>
    </row>
    <row r="31" spans="2:13" ht="12" customHeight="1">
      <c r="B31" s="32"/>
      <c r="C31" s="26" t="s">
        <v>49</v>
      </c>
      <c r="D31" s="35"/>
      <c r="E31" s="26" t="s">
        <v>47</v>
      </c>
      <c r="F31" s="184">
        <f>SUM(F29:G30)</f>
        <v>16905</v>
      </c>
      <c r="G31" s="184"/>
      <c r="H31" s="33"/>
    </row>
    <row r="32" spans="2:13" ht="11.1" customHeight="1">
      <c r="B32" s="32"/>
    </row>
    <row r="33" spans="2:13" ht="15" customHeight="1">
      <c r="B33" s="32">
        <v>3</v>
      </c>
      <c r="C33" s="32" t="s">
        <v>50</v>
      </c>
    </row>
    <row r="34" spans="2:13" ht="12" customHeight="1">
      <c r="B34" s="32"/>
      <c r="C34" s="22" t="s">
        <v>51</v>
      </c>
    </row>
    <row r="35" spans="2:13" ht="12" customHeight="1">
      <c r="B35" s="32"/>
      <c r="C35" s="22" t="s">
        <v>52</v>
      </c>
    </row>
    <row r="36" spans="2:13" ht="12" customHeight="1">
      <c r="B36" s="32"/>
      <c r="C36" s="22" t="s">
        <v>53</v>
      </c>
    </row>
    <row r="37" spans="2:13" ht="6" customHeight="1">
      <c r="B37" s="32"/>
    </row>
    <row r="38" spans="2:13" ht="15" customHeight="1">
      <c r="B38" s="32">
        <v>4</v>
      </c>
      <c r="C38" s="32" t="s">
        <v>54</v>
      </c>
    </row>
    <row r="39" spans="2:13" ht="12" customHeight="1">
      <c r="B39" s="32"/>
      <c r="C39" s="26" t="s">
        <v>55</v>
      </c>
    </row>
    <row r="40" spans="2:13" ht="6" customHeight="1">
      <c r="B40" s="32"/>
    </row>
    <row r="41" spans="2:13" ht="15" customHeight="1">
      <c r="B41" s="32">
        <v>5</v>
      </c>
      <c r="C41" s="32" t="s">
        <v>56</v>
      </c>
    </row>
    <row r="42" spans="2:13" ht="12" customHeight="1">
      <c r="B42" s="32"/>
      <c r="C42" s="36" t="s">
        <v>57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2" customHeight="1">
      <c r="B43" s="32"/>
      <c r="C43" s="36" t="s">
        <v>58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2" customHeight="1">
      <c r="B44" s="32"/>
      <c r="C44" s="36" t="s">
        <v>59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2" customHeight="1">
      <c r="B45" s="32"/>
      <c r="C45" s="36" t="s">
        <v>60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2" customHeight="1">
      <c r="B46" s="32"/>
      <c r="C46" s="39" t="s">
        <v>61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15" customHeight="1">
      <c r="B48" s="32">
        <v>6</v>
      </c>
      <c r="C48" s="32" t="s">
        <v>62</v>
      </c>
    </row>
    <row r="49" spans="2:16" s="39" customFormat="1" ht="12" customHeight="1">
      <c r="B49" s="79" t="s">
        <v>63</v>
      </c>
      <c r="C49" s="80" t="s">
        <v>102</v>
      </c>
      <c r="P49" s="81"/>
    </row>
    <row r="50" spans="2:16" s="82" customFormat="1" ht="12" customHeight="1">
      <c r="B50" s="83" t="s">
        <v>63</v>
      </c>
      <c r="C50" s="80" t="s">
        <v>92</v>
      </c>
    </row>
    <row r="51" spans="2:16" s="82" customFormat="1" ht="12" customHeight="1">
      <c r="B51" s="83" t="s">
        <v>63</v>
      </c>
      <c r="C51" s="80" t="s">
        <v>91</v>
      </c>
    </row>
    <row r="52" spans="2:16" s="82" customFormat="1" ht="4.5" customHeight="1">
      <c r="B52" s="83"/>
      <c r="C52" s="80"/>
    </row>
    <row r="53" spans="2:16" ht="15" customHeight="1">
      <c r="B53" s="42">
        <v>7</v>
      </c>
      <c r="C53" s="32" t="s">
        <v>111</v>
      </c>
    </row>
    <row r="54" spans="2:16" ht="12" customHeight="1">
      <c r="B54" s="83" t="s">
        <v>63</v>
      </c>
      <c r="C54" s="124" t="s">
        <v>112</v>
      </c>
      <c r="F54" s="26" t="s">
        <v>120</v>
      </c>
    </row>
    <row r="55" spans="2:16" ht="12" customHeight="1">
      <c r="B55" s="83" t="s">
        <v>63</v>
      </c>
      <c r="C55" s="124" t="s">
        <v>113</v>
      </c>
      <c r="F55" s="125" t="s">
        <v>121</v>
      </c>
    </row>
    <row r="56" spans="2:16" ht="12" customHeight="1">
      <c r="B56" s="83" t="s">
        <v>63</v>
      </c>
      <c r="C56" s="124" t="s">
        <v>114</v>
      </c>
      <c r="F56" s="26" t="s">
        <v>122</v>
      </c>
    </row>
    <row r="57" spans="2:16" ht="12" customHeight="1">
      <c r="B57" s="83" t="s">
        <v>63</v>
      </c>
      <c r="C57" s="124" t="s">
        <v>115</v>
      </c>
      <c r="F57" s="26" t="s">
        <v>123</v>
      </c>
    </row>
    <row r="58" spans="2:16" ht="12" customHeight="1">
      <c r="B58" s="83" t="s">
        <v>63</v>
      </c>
      <c r="C58" s="124" t="s">
        <v>116</v>
      </c>
      <c r="F58" s="26" t="s">
        <v>124</v>
      </c>
    </row>
    <row r="59" spans="2:16" ht="12" customHeight="1">
      <c r="B59" s="83" t="s">
        <v>63</v>
      </c>
      <c r="C59" s="124" t="s">
        <v>117</v>
      </c>
      <c r="F59" s="26" t="s">
        <v>118</v>
      </c>
    </row>
    <row r="60" spans="2:16" ht="12" customHeight="1">
      <c r="B60" s="83"/>
      <c r="C60" s="128" t="s">
        <v>119</v>
      </c>
    </row>
    <row r="61" spans="2:16" ht="7.5" customHeight="1">
      <c r="B61" s="42"/>
    </row>
    <row r="62" spans="2:16" ht="3" customHeight="1">
      <c r="B62" s="43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</row>
    <row r="63" spans="2:16" ht="3" customHeight="1">
      <c r="B63" s="32"/>
    </row>
    <row r="64" spans="2:16" ht="7.5" customHeight="1">
      <c r="B64" s="42"/>
    </row>
    <row r="65" spans="1:13">
      <c r="B65" s="32" t="s">
        <v>64</v>
      </c>
      <c r="J65" s="32" t="s">
        <v>65</v>
      </c>
    </row>
    <row r="66" spans="1:13" ht="47.25" customHeight="1"/>
    <row r="67" spans="1:13" ht="18" customHeight="1">
      <c r="B67" s="26" t="s">
        <v>66</v>
      </c>
      <c r="J67" s="26" t="s">
        <v>66</v>
      </c>
    </row>
    <row r="68" spans="1:13" ht="18" customHeight="1">
      <c r="B68" s="26" t="s">
        <v>67</v>
      </c>
      <c r="J68" s="26" t="s">
        <v>68</v>
      </c>
      <c r="K68" s="22" t="str">
        <f>D12</f>
        <v>Mohammad Safwan</v>
      </c>
    </row>
    <row r="69" spans="1:13" ht="18" customHeight="1">
      <c r="B69" s="26" t="s">
        <v>69</v>
      </c>
      <c r="J69" s="26" t="s">
        <v>70</v>
      </c>
      <c r="K69" s="22" t="s">
        <v>97</v>
      </c>
    </row>
    <row r="70" spans="1:13" ht="15" customHeight="1">
      <c r="B70" s="26" t="s">
        <v>71</v>
      </c>
      <c r="J70" s="26" t="s">
        <v>72</v>
      </c>
    </row>
    <row r="71" spans="1:13" s="28" customFormat="1" ht="24.75" customHeight="1">
      <c r="B71" s="25" t="s">
        <v>73</v>
      </c>
      <c r="J71" s="185" t="str">
        <f>C9</f>
        <v>SAMOO(Samoo Al Bahr Contracting Est.)</v>
      </c>
      <c r="K71" s="185"/>
      <c r="L71" s="185"/>
      <c r="M71" s="185"/>
    </row>
    <row r="72" spans="1:13" ht="27.95" customHeight="1">
      <c r="A72" s="176" t="s">
        <v>74</v>
      </c>
      <c r="B72" s="176"/>
      <c r="C72" s="176"/>
      <c r="D72" s="176"/>
      <c r="E72" s="176"/>
      <c r="F72" s="176"/>
      <c r="G72" s="176"/>
      <c r="H72" s="176"/>
      <c r="I72" s="176"/>
      <c r="J72" s="176"/>
      <c r="K72" s="176"/>
      <c r="L72" s="176"/>
      <c r="M72" s="176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  <row r="95" spans="2:2">
      <c r="B95" s="32"/>
    </row>
  </sheetData>
  <mergeCells count="13">
    <mergeCell ref="A72:M72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71:M71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94" max="12" man="1"/>
  </rowBreaks>
  <colBreaks count="1" manualBreakCount="1">
    <brk id="5" max="61" man="1"/>
  </colBreaks>
  <ignoredErrors>
    <ignoredError sqref="F55" numberStoredAsText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8" sqref="B8:C8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75</v>
      </c>
      <c r="B2" s="47" t="str">
        <f>+'PO 1st page'!K11</f>
        <v>SAC2-DS-PO-0214</v>
      </c>
      <c r="C2" s="194" t="s">
        <v>76</v>
      </c>
      <c r="D2" s="194"/>
      <c r="E2" s="194"/>
      <c r="F2" s="194"/>
      <c r="G2" s="48"/>
      <c r="H2" s="48"/>
    </row>
    <row r="3" spans="1:13" s="54" customFormat="1" ht="28.5" customHeight="1" thickBot="1">
      <c r="A3" s="49" t="s">
        <v>77</v>
      </c>
      <c r="B3" s="50">
        <f>+'PO 1st page'!K10</f>
        <v>46060</v>
      </c>
      <c r="C3" s="51"/>
      <c r="D3" s="52"/>
      <c r="E3" s="195" t="s">
        <v>78</v>
      </c>
      <c r="F3" s="195"/>
      <c r="G3" s="195"/>
      <c r="H3" s="195"/>
      <c r="I3" s="53"/>
    </row>
    <row r="4" spans="1:13" s="55" customFormat="1" ht="28.5" customHeight="1" thickTop="1">
      <c r="A4" s="196" t="s">
        <v>79</v>
      </c>
      <c r="B4" s="198" t="s">
        <v>80</v>
      </c>
      <c r="C4" s="199"/>
      <c r="D4" s="202" t="s">
        <v>81</v>
      </c>
      <c r="E4" s="202" t="s">
        <v>82</v>
      </c>
      <c r="F4" s="204" t="str">
        <f>'PO 1st page'!C9</f>
        <v>SAMOO(Samoo Al Bahr Contracting Est.)</v>
      </c>
      <c r="G4" s="205"/>
      <c r="H4" s="206" t="s">
        <v>83</v>
      </c>
      <c r="K4" s="56"/>
      <c r="L4" s="56"/>
      <c r="M4" s="56"/>
    </row>
    <row r="5" spans="1:13" s="55" customFormat="1" ht="21.95" customHeight="1">
      <c r="A5" s="197"/>
      <c r="B5" s="200"/>
      <c r="C5" s="201"/>
      <c r="D5" s="203"/>
      <c r="E5" s="203"/>
      <c r="F5" s="57" t="s">
        <v>84</v>
      </c>
      <c r="G5" s="57" t="s">
        <v>49</v>
      </c>
      <c r="H5" s="207"/>
      <c r="K5" s="56"/>
      <c r="L5" s="56"/>
      <c r="M5" s="56"/>
    </row>
    <row r="6" spans="1:13" s="55" customFormat="1" ht="32.1" customHeight="1">
      <c r="A6" s="84">
        <f t="shared" ref="A6:A17" si="0">ROW(A1)</f>
        <v>1</v>
      </c>
      <c r="B6" s="192" t="str">
        <f>CONCATENATE(MRS!B6," ",MRS!D6)</f>
        <v xml:space="preserve">Third Party Training and Certification for Scaffolder </v>
      </c>
      <c r="C6" s="193"/>
      <c r="D6" s="85" t="str">
        <f>+'MRS LIST'!G6</f>
        <v>EA</v>
      </c>
      <c r="E6" s="86">
        <f>+'MRS LIST'!H6</f>
        <v>13</v>
      </c>
      <c r="F6" s="87">
        <f>+'MRS LIST'!I6</f>
        <v>700</v>
      </c>
      <c r="G6" s="88">
        <f>+'MRS LIST'!J6</f>
        <v>9100</v>
      </c>
      <c r="H6" s="89"/>
      <c r="K6" s="90"/>
      <c r="L6" s="91"/>
      <c r="M6" s="56"/>
    </row>
    <row r="7" spans="1:13" s="55" customFormat="1" ht="32.1" customHeight="1">
      <c r="A7" s="84">
        <f t="shared" si="0"/>
        <v>2</v>
      </c>
      <c r="B7" s="192" t="str">
        <f>CONCATENATE(MRS!B7," ",MRS!D7)</f>
        <v xml:space="preserve">Third Party Training and Certification for Rigger Level-III </v>
      </c>
      <c r="C7" s="193"/>
      <c r="D7" s="85" t="str">
        <f>+'MRS LIST'!G7</f>
        <v>EA</v>
      </c>
      <c r="E7" s="86">
        <f>+'MRS LIST'!H7</f>
        <v>8</v>
      </c>
      <c r="F7" s="87">
        <f>+'MRS LIST'!I7</f>
        <v>700</v>
      </c>
      <c r="G7" s="88">
        <f>+'MRS LIST'!J7</f>
        <v>5600</v>
      </c>
      <c r="H7" s="89"/>
      <c r="K7" s="90"/>
      <c r="L7" s="91"/>
      <c r="M7" s="56"/>
    </row>
    <row r="8" spans="1:13" s="55" customFormat="1" ht="32.1" customHeight="1">
      <c r="A8" s="92">
        <f t="shared" si="0"/>
        <v>3</v>
      </c>
      <c r="B8" s="192"/>
      <c r="C8" s="193"/>
      <c r="D8" s="85"/>
      <c r="E8" s="86"/>
      <c r="F8" s="87"/>
      <c r="G8" s="88"/>
      <c r="H8" s="89"/>
      <c r="K8" s="56"/>
      <c r="L8" s="56"/>
      <c r="M8" s="56"/>
    </row>
    <row r="9" spans="1:13" s="55" customFormat="1" ht="32.1" customHeight="1">
      <c r="A9" s="92">
        <f t="shared" si="0"/>
        <v>4</v>
      </c>
      <c r="B9" s="192"/>
      <c r="C9" s="193"/>
      <c r="D9" s="85"/>
      <c r="E9" s="86"/>
      <c r="F9" s="87"/>
      <c r="G9" s="88"/>
      <c r="H9" s="89"/>
    </row>
    <row r="10" spans="1:13" s="55" customFormat="1" ht="32.1" customHeight="1">
      <c r="A10" s="92">
        <f t="shared" si="0"/>
        <v>5</v>
      </c>
      <c r="B10" s="192"/>
      <c r="C10" s="193"/>
      <c r="D10" s="85"/>
      <c r="E10" s="86"/>
      <c r="F10" s="87"/>
      <c r="G10" s="88"/>
      <c r="H10" s="97"/>
    </row>
    <row r="11" spans="1:13" s="55" customFormat="1" ht="32.1" customHeight="1">
      <c r="A11" s="92">
        <f t="shared" si="0"/>
        <v>6</v>
      </c>
      <c r="B11" s="192"/>
      <c r="C11" s="193"/>
      <c r="D11" s="85"/>
      <c r="E11" s="86"/>
      <c r="F11" s="87"/>
      <c r="G11" s="88"/>
      <c r="H11" s="97"/>
    </row>
    <row r="12" spans="1:13" s="55" customFormat="1" ht="32.1" customHeight="1">
      <c r="A12" s="92">
        <f t="shared" si="0"/>
        <v>7</v>
      </c>
      <c r="B12" s="190"/>
      <c r="C12" s="191"/>
      <c r="D12" s="93"/>
      <c r="E12" s="94"/>
      <c r="F12" s="95"/>
      <c r="G12" s="96"/>
      <c r="H12" s="97"/>
    </row>
    <row r="13" spans="1:13" s="55" customFormat="1" ht="32.1" customHeight="1">
      <c r="A13" s="92">
        <f t="shared" si="0"/>
        <v>8</v>
      </c>
      <c r="B13" s="190"/>
      <c r="C13" s="191"/>
      <c r="D13" s="93"/>
      <c r="E13" s="94"/>
      <c r="F13" s="95"/>
      <c r="G13" s="96"/>
      <c r="H13" s="97"/>
    </row>
    <row r="14" spans="1:13" s="55" customFormat="1" ht="32.1" customHeight="1">
      <c r="A14" s="92">
        <f t="shared" si="0"/>
        <v>9</v>
      </c>
      <c r="B14" s="190"/>
      <c r="C14" s="191"/>
      <c r="D14" s="93"/>
      <c r="E14" s="94"/>
      <c r="F14" s="98"/>
      <c r="G14" s="96"/>
      <c r="H14" s="97"/>
    </row>
    <row r="15" spans="1:13" s="55" customFormat="1" ht="32.1" customHeight="1">
      <c r="A15" s="92">
        <f t="shared" si="0"/>
        <v>10</v>
      </c>
      <c r="B15" s="190"/>
      <c r="C15" s="191"/>
      <c r="D15" s="93"/>
      <c r="E15" s="94"/>
      <c r="F15" s="98"/>
      <c r="G15" s="96"/>
      <c r="H15" s="97"/>
    </row>
    <row r="16" spans="1:13" s="55" customFormat="1" ht="32.1" customHeight="1">
      <c r="A16" s="92">
        <f t="shared" si="0"/>
        <v>11</v>
      </c>
      <c r="B16" s="190"/>
      <c r="C16" s="191"/>
      <c r="D16" s="93"/>
      <c r="E16" s="94"/>
      <c r="F16" s="95"/>
      <c r="G16" s="96"/>
      <c r="H16" s="97"/>
    </row>
    <row r="17" spans="1:13" s="55" customFormat="1" ht="32.1" customHeight="1">
      <c r="A17" s="92">
        <f t="shared" si="0"/>
        <v>12</v>
      </c>
      <c r="B17" s="190"/>
      <c r="C17" s="191"/>
      <c r="D17" s="93"/>
      <c r="E17" s="94"/>
      <c r="F17" s="95"/>
      <c r="G17" s="96"/>
      <c r="H17" s="97"/>
    </row>
    <row r="18" spans="1:13" s="55" customFormat="1" ht="23.1" customHeight="1">
      <c r="A18" s="186" t="s">
        <v>85</v>
      </c>
      <c r="B18" s="187"/>
      <c r="C18" s="187"/>
      <c r="D18" s="187"/>
      <c r="E18" s="187"/>
      <c r="F18" s="187"/>
      <c r="G18" s="58">
        <f>SUM(G6:G17)</f>
        <v>14700</v>
      </c>
      <c r="H18" s="59"/>
    </row>
    <row r="19" spans="1:13" s="55" customFormat="1" ht="23.1" customHeight="1">
      <c r="A19" s="186" t="s">
        <v>48</v>
      </c>
      <c r="B19" s="187"/>
      <c r="C19" s="187"/>
      <c r="D19" s="187"/>
      <c r="E19" s="187"/>
      <c r="F19" s="187"/>
      <c r="G19" s="58">
        <f>+G18*0.15</f>
        <v>2205</v>
      </c>
      <c r="H19" s="59"/>
    </row>
    <row r="20" spans="1:13" s="55" customFormat="1" ht="24.95" customHeight="1" thickBot="1">
      <c r="A20" s="188" t="s">
        <v>86</v>
      </c>
      <c r="B20" s="189"/>
      <c r="C20" s="189"/>
      <c r="D20" s="189"/>
      <c r="E20" s="189"/>
      <c r="F20" s="189"/>
      <c r="G20" s="60">
        <f>G19+G18</f>
        <v>16905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SAMOO-DAESHIN-MT-28-2026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87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6" t="s">
        <v>88</v>
      </c>
      <c r="B24" s="176"/>
      <c r="C24" s="176"/>
      <c r="D24" s="176"/>
      <c r="E24" s="176"/>
      <c r="F24" s="176"/>
      <c r="G24" s="176"/>
      <c r="H24" s="176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7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2026-02-12T12:35:54Z</cp:lastPrinted>
  <dcterms:created xsi:type="dcterms:W3CDTF">2024-10-20T11:50:19Z</dcterms:created>
  <dcterms:modified xsi:type="dcterms:W3CDTF">2026-02-12T13:51:06Z</dcterms:modified>
</cp:coreProperties>
</file>