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1AC08AB-1A94-4812-8446-D210962E88A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H7" i="4" l="1"/>
  <c r="H6" i="4"/>
  <c r="D7" i="4"/>
  <c r="E7" i="4"/>
  <c r="F7" i="4"/>
  <c r="E6" i="4"/>
  <c r="F6" i="4"/>
  <c r="D6" i="4"/>
  <c r="B8" i="4"/>
  <c r="B7" i="4"/>
  <c r="B6" i="4"/>
  <c r="T54" i="3"/>
  <c r="J7" i="1" l="1"/>
  <c r="G7" i="4" s="1"/>
  <c r="K67" i="3" l="1"/>
  <c r="E3" i="1"/>
  <c r="H7" i="2"/>
  <c r="G7" i="2"/>
  <c r="D7" i="2"/>
  <c r="B7" i="2"/>
  <c r="J6" i="1" l="1"/>
  <c r="G6" i="4" s="1"/>
  <c r="K10" i="3"/>
  <c r="A21" i="4" l="1"/>
  <c r="J7" i="2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<sst xmlns="http://schemas.openxmlformats.org/spreadsheetml/2006/main" count="159" uniqueCount="134">
  <si>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</si>
  <si>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</si>
  <si>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</si>
  <si>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</si>
  <si>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</si>
  <si>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</si>
  <si>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</si>
  <si>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</si>
  <si>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</si>
  <si>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</si>
  <si>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</si>
  <si>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</si>
  <si>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</si>
  <si>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</si>
  <si>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</si>
  <si>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</si>
  <si>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</si>
  <si>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</si>
  <si>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</si>
  <si>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</si>
  <si>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</si>
  <si>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</si>
  <si>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</si>
  <si>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</si>
  <si>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</si>
  <si>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</si>
  <si>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</si>
  <si>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</si>
  <si>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</si>
  <si>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</si>
  <si>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</si>
  <si>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</si>
  <si>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</si>
  <si>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</si>
  <si>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</si>
  <si>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</si>
  <si>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</si>
  <si>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</si>
  <si>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</si>
  <si>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</si>
  <si>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</si>
  <si>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</si>
  <si>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</si>
  <si>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</si>
  <si>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</si>
  <si>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</si>
  <si>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</si>
  <si>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</si>
  <si>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</si>
  <si>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</si>
  <si>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</si>
  <si>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</si>
  <si>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</si>
  <si>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</si>
  <si>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</si>
  <si>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</si>
  <si>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</si>
  <si>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</si>
  <si>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</si>
  <si>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</si>
  <si>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</si>
  <si>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</si>
  <si>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</si>
  <si>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</si>
  <si>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</si>
  <si>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</si>
  <si>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</si>
  <si>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</si>
  <si>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</si>
  <si>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</si>
  <si>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</si>
  <si>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</si>
  <si>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</si>
  <si>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</si>
  <si>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</si>
  <si>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</si>
  <si>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</si>
  <si>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</si>
  <si>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</si>
  <si>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</si>
  <si>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</si>
  <si>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</si>
  <si>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</si>
  <si>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</si>
  <si>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</si>
  <si>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</si>
  <si>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</si>
  <si>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</si>
  <si>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</si>
  <si>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</si>
  <si>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</si>
  <si>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</si>
  <si>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</si>
  <si>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</si>
  <si>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</si>
  <si>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</si>
  <si>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</si>
  <si>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</si>
  <si>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</si>
  <si>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</si>
  <si>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</si>
  <si>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</si>
  <si>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</si>
  <si>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</si>
  <si>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</si>
  <si>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</si>
  <si>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</si>
  <si>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</si>
  <si>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</si>
  <si>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</si>
  <si>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</si>
  <si>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"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</si>
  <si>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</si>
  <si>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</si>
  <si>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</si>
  <si>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</si>
  <si>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</si>
  <si>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</si>
  <si>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</si>
  <si>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</si>
  <si>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>POWER CARE CO. LTD.</t>
  </si>
  <si>
    <t>06000000389408</t>
  </si>
  <si>
    <t>SAUDI NATIONAL BANK</t>
  </si>
  <si>
    <t>NCBKSAJE</t>
  </si>
  <si>
    <t xml:space="preserve">  Bank account changes are strictly prohibited. Payments will only be made to the account registered and approved in this Purchase Order.</t>
  </si>
  <si>
    <t>SA92 1000 0006 0000 0038 9408</t>
  </si>
  <si>
    <t>Trip</t>
  </si>
  <si>
    <t>PCCL (Power Care Co. Ltd.)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</si>
  <si>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-MRS-0292</t>
    </r>
  </si>
  <si>
    <t>Air Compressor Mob &amp; De-Mob. Charge</t>
  </si>
  <si>
    <t>Mob. &amp; De-Mob. / per unit - lump sum</t>
    <phoneticPr fontId="3" type="noConversion"/>
  </si>
  <si>
    <t>375 CFM with 100 meter</t>
  </si>
  <si>
    <t>PC-EQTN2026-2203</t>
  </si>
  <si>
    <t>Air Compressor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</si>
</sst>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27" fillId="3" borderId="0" xfId="5" quotePrefix="1" applyFont="1" applyFill="1" applyAlignment="1">
      <alignment horizontal="left"/>
    </xf>
    <xf numFmtId="0" fontId="54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360947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77526" y="4983079"/>
              <a:ext cx="342950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109</v>
      </c>
      <c r="B1" s="109"/>
      <c r="C1" s="109"/>
      <c r="D1" s="109"/>
      <c r="E1" s="109"/>
      <c r="F1" s="109"/>
      <c r="G1" s="1"/>
      <c r="J1" s="143" t="s">
        <v>89</v>
      </c>
      <c r="K1" s="144"/>
      <c r="L1" s="145"/>
    </row>
    <row r="2" spans="1:18" ht="20.100000000000001" customHeight="1">
      <c r="A2" s="3" t="s">
        <v>1</v>
      </c>
      <c r="B2" s="100"/>
      <c r="C2" s="100"/>
      <c r="D2" s="3" t="s">
        <v>107</v>
      </c>
      <c r="E2" s="100"/>
      <c r="F2" s="100"/>
      <c r="G2" s="100"/>
      <c r="H2" s="100"/>
      <c r="I2" s="4"/>
      <c r="J2" s="146" t="s">
        <v>110</v>
      </c>
      <c r="K2" s="147"/>
      <c r="L2" s="148"/>
    </row>
    <row r="3" spans="1:18" ht="20.100000000000001" customHeight="1">
      <c r="A3" s="3" t="s">
        <v>128</v>
      </c>
      <c r="B3" s="100"/>
      <c r="C3" s="100"/>
      <c r="D3" s="100"/>
      <c r="E3" s="149">
        <f>+L3</f>
        <v>46134</v>
      </c>
      <c r="F3" s="149"/>
      <c r="G3" s="149"/>
      <c r="H3" s="149"/>
      <c r="I3" s="149"/>
      <c r="J3" s="100"/>
      <c r="K3" s="100"/>
      <c r="L3" s="121">
        <v>46134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94</v>
      </c>
      <c r="J4" s="150" t="s">
        <v>95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31" t="s">
        <v>133</v>
      </c>
      <c r="C6" s="132"/>
      <c r="D6" s="133" t="s">
        <v>131</v>
      </c>
      <c r="E6" s="134"/>
      <c r="F6" s="135"/>
      <c r="G6" s="110" t="s">
        <v>90</v>
      </c>
      <c r="H6" s="111">
        <v>1</v>
      </c>
      <c r="I6" s="112">
        <v>7250</v>
      </c>
      <c r="J6" s="112">
        <f>H6*I6</f>
        <v>7250</v>
      </c>
      <c r="K6" s="113" t="s">
        <v>99</v>
      </c>
      <c r="L6" s="114" t="s">
        <v>98</v>
      </c>
      <c r="R6" s="105"/>
    </row>
    <row r="7" spans="1:18" ht="22.5" customHeight="1">
      <c r="A7" s="5">
        <f t="shared" si="0"/>
        <v>2</v>
      </c>
      <c r="B7" s="131" t="s">
        <v>129</v>
      </c>
      <c r="C7" s="132"/>
      <c r="D7" s="142" t="s">
        <v>130</v>
      </c>
      <c r="E7" s="134"/>
      <c r="F7" s="135"/>
      <c r="G7" s="110" t="s">
        <v>126</v>
      </c>
      <c r="H7" s="111">
        <v>2</v>
      </c>
      <c r="I7" s="112">
        <v>1200</v>
      </c>
      <c r="J7" s="112">
        <f>H7*I7</f>
        <v>2400</v>
      </c>
      <c r="K7" s="113" t="s">
        <v>111</v>
      </c>
      <c r="L7" s="114" t="s">
        <v>106</v>
      </c>
      <c r="R7" s="105"/>
    </row>
    <row r="8" spans="1:18" ht="22.5" customHeight="1">
      <c r="A8" s="5">
        <f t="shared" si="0"/>
        <v>3</v>
      </c>
      <c r="B8" s="131"/>
      <c r="C8" s="132"/>
      <c r="D8" s="142"/>
      <c r="E8" s="134"/>
      <c r="F8" s="135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9650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8" t="s">
        <v>11</v>
      </c>
      <c r="S18" s="13" t="s">
        <v>12</v>
      </c>
    </row>
    <row r="19" spans="1:19" ht="50.1" customHeight="1">
      <c r="R19" s="139"/>
      <c r="S19" s="15"/>
    </row>
    <row r="20" spans="1:19" ht="17.100000000000001" customHeight="1">
      <c r="O20" s="11"/>
      <c r="P20" s="11"/>
      <c r="R20" s="129"/>
      <c r="S20" s="15" t="s">
        <v>13</v>
      </c>
    </row>
    <row r="21" spans="1:19" ht="15" customHeight="1">
      <c r="O21" s="17" t="s">
        <v>14</v>
      </c>
      <c r="P21" s="127" t="s">
        <v>15</v>
      </c>
    </row>
    <row r="22" spans="1:19" ht="18" customHeight="1">
      <c r="O22" s="18" t="s">
        <v>16</v>
      </c>
      <c r="P22" s="128"/>
      <c r="R22" s="138" t="s">
        <v>17</v>
      </c>
      <c r="S22" s="12" t="s">
        <v>12</v>
      </c>
    </row>
    <row r="23" spans="1:19" ht="50.1" customHeight="1">
      <c r="O23" s="14"/>
      <c r="P23" s="14"/>
      <c r="R23" s="139"/>
      <c r="S23" s="19"/>
    </row>
    <row r="24" spans="1:19" ht="17.100000000000001" customHeight="1">
      <c r="O24" s="16" t="s">
        <v>13</v>
      </c>
      <c r="P24" s="16" t="s">
        <v>13</v>
      </c>
      <c r="R24" s="12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0"/>
      <c r="P27" s="130"/>
    </row>
    <row r="28" spans="1:19" ht="19.899999999999999" customHeight="1">
      <c r="O28" s="130"/>
      <c r="P28" s="13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7" t="s">
        <v>18</v>
      </c>
      <c r="P46" s="127" t="s">
        <v>18</v>
      </c>
      <c r="S46" s="127" t="s">
        <v>12</v>
      </c>
    </row>
    <row r="47" spans="15:19" ht="21" customHeight="1">
      <c r="O47" s="128"/>
      <c r="P47" s="128"/>
      <c r="S47" s="12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7" t="s">
        <v>18</v>
      </c>
      <c r="P50" s="127" t="s">
        <v>18</v>
      </c>
      <c r="S50" s="127" t="s">
        <v>19</v>
      </c>
    </row>
    <row r="51" spans="15:19" ht="21" customHeight="1">
      <c r="O51" s="128"/>
      <c r="P51" s="128"/>
      <c r="S51" s="129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SAC2-DS-MRS-0292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46134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91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Air Compressor</v>
      </c>
      <c r="C6" s="168"/>
      <c r="D6" s="169" t="str">
        <f>MRS!D6</f>
        <v>375 CFM with 100 meter</v>
      </c>
      <c r="E6" s="170"/>
      <c r="F6" s="171"/>
      <c r="G6" s="102" t="str">
        <f>MRS!G6</f>
        <v>Month</v>
      </c>
      <c r="H6" s="102">
        <f>MRS!H6</f>
        <v>1</v>
      </c>
      <c r="I6" s="103">
        <f>MRS!I6</f>
        <v>7250</v>
      </c>
      <c r="J6" s="103">
        <f>MRS!J6</f>
        <v>7250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7" t="str">
        <f>MRS!B7</f>
        <v>Air Compressor Mob &amp; De-Mob. Charge</v>
      </c>
      <c r="C7" s="168"/>
      <c r="D7" s="169" t="str">
        <f>MRS!D7</f>
        <v>Mob. &amp; De-Mob. / per unit - lump sum</v>
      </c>
      <c r="E7" s="170"/>
      <c r="F7" s="171"/>
      <c r="G7" s="102" t="str">
        <f>MRS!G7</f>
        <v>Trip</v>
      </c>
      <c r="H7" s="102">
        <f>MRS!H7</f>
        <v>2</v>
      </c>
      <c r="I7" s="103">
        <f>MRS!I7</f>
        <v>1200</v>
      </c>
      <c r="J7" s="103">
        <f>MRS!J7</f>
        <v>2400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/>
      <c r="C8" s="163"/>
      <c r="D8" s="164"/>
      <c r="E8" s="165"/>
      <c r="F8" s="166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62"/>
      <c r="C9" s="163"/>
      <c r="D9" s="164"/>
      <c r="E9" s="165"/>
      <c r="F9" s="166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2"/>
      <c r="C10" s="163"/>
      <c r="D10" s="164"/>
      <c r="E10" s="165"/>
      <c r="F10" s="166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2"/>
      <c r="C11" s="163"/>
      <c r="D11" s="164"/>
      <c r="E11" s="165"/>
      <c r="F11" s="166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T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127</v>
      </c>
      <c r="D9" s="39"/>
      <c r="E9" s="39"/>
    </row>
    <row r="10" spans="2:13" s="39" customFormat="1">
      <c r="B10" s="72"/>
      <c r="C10" s="39" t="s">
        <v>30</v>
      </c>
      <c r="D10" s="124">
        <v>2055132011</v>
      </c>
      <c r="J10" s="39" t="s">
        <v>31</v>
      </c>
      <c r="K10" s="175">
        <f>MRS!L3</f>
        <v>46134</v>
      </c>
      <c r="L10" s="176"/>
      <c r="M10" s="176"/>
    </row>
    <row r="11" spans="2:13" s="39" customFormat="1">
      <c r="B11" s="72"/>
      <c r="C11" s="75" t="s">
        <v>32</v>
      </c>
      <c r="D11" s="76" t="s">
        <v>105</v>
      </c>
      <c r="J11" s="39" t="s">
        <v>33</v>
      </c>
      <c r="K11" s="177" t="str">
        <f>SUBSTITUTE(SUBSTITUTE(+MRS!A3,"  MRS No : ",""),"-MRS","-PO")</f>
        <v>SAC2-DS-PO-0292</v>
      </c>
      <c r="L11" s="177"/>
      <c r="M11" s="177"/>
    </row>
    <row r="12" spans="2:13" s="39" customFormat="1">
      <c r="B12" s="72"/>
      <c r="C12" s="75" t="s">
        <v>34</v>
      </c>
      <c r="D12" s="39" t="s">
        <v>100</v>
      </c>
      <c r="J12" s="39" t="s">
        <v>35</v>
      </c>
    </row>
    <row r="13" spans="2:13" s="39" customFormat="1">
      <c r="B13" s="72"/>
      <c r="C13" s="77"/>
      <c r="D13" s="76" t="s">
        <v>101</v>
      </c>
      <c r="J13" s="39" t="s">
        <v>36</v>
      </c>
    </row>
    <row r="14" spans="2:13" s="39" customFormat="1">
      <c r="B14" s="72"/>
      <c r="C14" s="77" t="s">
        <v>104</v>
      </c>
      <c r="J14" s="39" t="s">
        <v>37</v>
      </c>
      <c r="K14" s="39" t="s">
        <v>132</v>
      </c>
    </row>
    <row r="15" spans="2:13" s="39" customFormat="1">
      <c r="B15" s="72"/>
      <c r="C15" s="77" t="s">
        <v>102</v>
      </c>
      <c r="J15" s="39" t="s">
        <v>38</v>
      </c>
      <c r="K15" s="78">
        <v>46130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tr">
        <f>_xlfn.CONCAT(MRS!B6," ",MRS!D6)</f>
        <v>Air Compressor 375 CFM with 100 meter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 t="s">
        <v>97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/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20" s="39" customFormat="1" ht="12" customHeight="1">
      <c r="B49" s="80" t="s">
        <v>63</v>
      </c>
      <c r="C49" s="81" t="s">
        <v>108</v>
      </c>
      <c r="P49" s="82"/>
    </row>
    <row r="50" spans="2:20" s="83" customFormat="1" ht="12" customHeight="1">
      <c r="B50" s="84" t="s">
        <v>63</v>
      </c>
      <c r="C50" s="81" t="s">
        <v>93</v>
      </c>
    </row>
    <row r="51" spans="2:20" s="83" customFormat="1" ht="12" customHeight="1">
      <c r="B51" s="84" t="s">
        <v>63</v>
      </c>
      <c r="C51" s="81" t="s">
        <v>92</v>
      </c>
    </row>
    <row r="52" spans="2:20" s="83" customFormat="1" ht="5.25" customHeight="1">
      <c r="B52" s="84"/>
      <c r="C52" s="81"/>
    </row>
    <row r="53" spans="2:20" ht="15" customHeight="1">
      <c r="B53" s="42">
        <v>7</v>
      </c>
      <c r="C53" s="32" t="s">
        <v>112</v>
      </c>
    </row>
    <row r="54" spans="2:20" ht="12" customHeight="1">
      <c r="B54" s="84" t="s">
        <v>63</v>
      </c>
      <c r="C54" s="125" t="s">
        <v>113</v>
      </c>
      <c r="F54" s="26" t="s">
        <v>120</v>
      </c>
      <c r="T54" s="26" t="str">
        <f>UPPER(F54)</f>
        <v>POWER CARE CO. LTD.</v>
      </c>
    </row>
    <row r="55" spans="2:20" ht="12" customHeight="1">
      <c r="B55" s="84" t="s">
        <v>63</v>
      </c>
      <c r="C55" s="125" t="s">
        <v>114</v>
      </c>
      <c r="F55" s="126" t="s">
        <v>121</v>
      </c>
    </row>
    <row r="56" spans="2:20" ht="12" customHeight="1">
      <c r="B56" s="84" t="s">
        <v>63</v>
      </c>
      <c r="C56" s="125" t="s">
        <v>115</v>
      </c>
      <c r="F56" s="26" t="s">
        <v>125</v>
      </c>
    </row>
    <row r="57" spans="2:20" ht="12" customHeight="1">
      <c r="B57" s="84" t="s">
        <v>63</v>
      </c>
      <c r="C57" s="125" t="s">
        <v>116</v>
      </c>
      <c r="F57" s="26" t="s">
        <v>122</v>
      </c>
    </row>
    <row r="58" spans="2:20" ht="12" customHeight="1">
      <c r="B58" s="84" t="s">
        <v>63</v>
      </c>
      <c r="C58" s="125" t="s">
        <v>117</v>
      </c>
      <c r="F58" s="26" t="s">
        <v>123</v>
      </c>
    </row>
    <row r="59" spans="2:20" ht="12" customHeight="1">
      <c r="B59" s="84" t="s">
        <v>63</v>
      </c>
      <c r="C59" s="125" t="s">
        <v>118</v>
      </c>
      <c r="F59" s="26" t="s">
        <v>119</v>
      </c>
    </row>
    <row r="60" spans="2:20" ht="12" customHeight="1">
      <c r="B60" s="84"/>
      <c r="C60" s="125" t="s">
        <v>124</v>
      </c>
    </row>
    <row r="61" spans="2:20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20" ht="3" customHeight="1">
      <c r="B62" s="32"/>
    </row>
    <row r="63" spans="2:20" ht="11.1" customHeight="1">
      <c r="B63" s="42"/>
    </row>
    <row r="64" spans="2:20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Aarzoo</v>
      </c>
    </row>
    <row r="68" spans="1:13" ht="18" customHeight="1">
      <c r="B68" s="26" t="s">
        <v>69</v>
      </c>
      <c r="J68" s="26" t="s">
        <v>70</v>
      </c>
      <c r="K68" s="22" t="s">
        <v>103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PCCL (Power Care Co. Ltd.)</v>
      </c>
      <c r="K70" s="183"/>
      <c r="L70" s="183"/>
      <c r="M70" s="183"/>
    </row>
    <row r="71" spans="1:13" ht="27.95" customHeight="1">
      <c r="A71" s="174" t="s">
        <v>74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8" sqref="D8:H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SAC2-DS-PO-0292</v>
      </c>
      <c r="C2" s="190" t="s">
        <v>76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46134</v>
      </c>
      <c r="C3" s="51"/>
      <c r="D3" s="52"/>
      <c r="E3" s="191" t="s">
        <v>78</v>
      </c>
      <c r="F3" s="191"/>
      <c r="G3" s="191"/>
      <c r="H3" s="191"/>
      <c r="I3" s="53"/>
    </row>
    <row r="4" spans="1:13" s="55" customFormat="1" ht="28.5" customHeight="1" thickTop="1">
      <c r="A4" s="192" t="s">
        <v>79</v>
      </c>
      <c r="B4" s="194" t="s">
        <v>80</v>
      </c>
      <c r="C4" s="195"/>
      <c r="D4" s="198" t="s">
        <v>81</v>
      </c>
      <c r="E4" s="198" t="s">
        <v>82</v>
      </c>
      <c r="F4" s="200" t="str">
        <f>'PO 1st page'!C9</f>
        <v>PCCL (Power Care Co. Ltd.)</v>
      </c>
      <c r="G4" s="201"/>
      <c r="H4" s="202" t="s">
        <v>83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84</v>
      </c>
      <c r="G5" s="57" t="s">
        <v>49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_xlfn.CONCAT(MRS!B6," ",MRS!D6)</f>
        <v>Air Compressor 375 CFM with 100 meter</v>
      </c>
      <c r="C6" s="205"/>
      <c r="D6" s="86" t="str">
        <f>MRS!G6</f>
        <v>Month</v>
      </c>
      <c r="E6" s="86">
        <f>MRS!H6</f>
        <v>1</v>
      </c>
      <c r="F6" s="87">
        <f>MRS!I6</f>
        <v>7250</v>
      </c>
      <c r="G6" s="88">
        <f>MRS!J6</f>
        <v>7250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4" t="str">
        <f>_xlfn.CONCAT(MRS!B7," ",MRS!D7)</f>
        <v>Air Compressor Mob &amp; De-Mob. Charge Mob. &amp; De-Mob. / per unit - lump sum</v>
      </c>
      <c r="C7" s="205"/>
      <c r="D7" s="86" t="str">
        <f>MRS!G7</f>
        <v>Trip</v>
      </c>
      <c r="E7" s="86">
        <f>MRS!H7</f>
        <v>2</v>
      </c>
      <c r="F7" s="87">
        <f>MRS!I7</f>
        <v>1200</v>
      </c>
      <c r="G7" s="88">
        <f>MRS!J7</f>
        <v>2400</v>
      </c>
      <c r="H7" s="89" t="str">
        <f>MRS!L7</f>
        <v>One Time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204" t="str">
        <f>_xlfn.CONCAT(MRS!B8," ",MRS!D8)</f>
        <v xml:space="preserve"> </v>
      </c>
      <c r="C8" s="205"/>
      <c r="D8" s="86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8"/>
      <c r="C9" s="189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8"/>
      <c r="C10" s="189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8"/>
      <c r="C11" s="189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8"/>
      <c r="C12" s="189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8"/>
      <c r="C13" s="189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8"/>
      <c r="C14" s="189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8"/>
      <c r="C15" s="189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8"/>
      <c r="C16" s="189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8"/>
      <c r="C17" s="189"/>
      <c r="D17" s="93"/>
      <c r="E17" s="94"/>
      <c r="F17" s="95"/>
      <c r="G17" s="96"/>
      <c r="H17" s="97"/>
    </row>
    <row r="18" spans="1:13" s="55" customFormat="1" ht="23.1" customHeight="1">
      <c r="A18" s="184" t="s">
        <v>85</v>
      </c>
      <c r="B18" s="185"/>
      <c r="C18" s="185"/>
      <c r="D18" s="185"/>
      <c r="E18" s="185"/>
      <c r="F18" s="185"/>
      <c r="G18" s="58">
        <f>SUM(G6:G17)</f>
        <v>9650</v>
      </c>
      <c r="H18" s="59"/>
    </row>
    <row r="19" spans="1:13" s="55" customFormat="1" ht="23.1" customHeight="1">
      <c r="A19" s="184" t="s">
        <v>48</v>
      </c>
      <c r="B19" s="185"/>
      <c r="C19" s="185"/>
      <c r="D19" s="185"/>
      <c r="E19" s="185"/>
      <c r="F19" s="185"/>
      <c r="G19" s="58">
        <f>+G18*0.15</f>
        <v>1447.5</v>
      </c>
      <c r="H19" s="59"/>
    </row>
    <row r="20" spans="1:13" s="55" customFormat="1" ht="24.95" customHeight="1" thickBot="1">
      <c r="A20" s="186" t="s">
        <v>86</v>
      </c>
      <c r="B20" s="187"/>
      <c r="C20" s="187"/>
      <c r="D20" s="187"/>
      <c r="E20" s="187"/>
      <c r="F20" s="187"/>
      <c r="G20" s="60">
        <f>G19+G18</f>
        <v>11097.5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PC-EQTN2026-2203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2026-04-23T03:23:15Z</cp:lastPrinted>
  <dcterms:created xsi:type="dcterms:W3CDTF">2024-10-20T11:50:19Z</dcterms:created>
  <dcterms:modified xsi:type="dcterms:W3CDTF">2026-04-23T03:23:20Z</dcterms:modified>
</cp:coreProperties>
</file>