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58B3C064-FC45-448D-954E-D157A143FDEF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J7" i="1"/>
  <c r="D7" i="4"/>
  <c r="K59" i="3" l="1"/>
  <c r="H6" i="4"/>
  <c r="E3" i="1"/>
  <c r="H7" i="2"/>
  <c r="E7" i="4" s="1"/>
  <c r="G7" i="2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<sst xmlns="http://schemas.openxmlformats.org/spreadsheetml/2006/main" count="157" uniqueCount="123">
  <si>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</si>
  <si>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</si>
  <si>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</si>
  <si>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</si>
  <si>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</si>
  <si>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</si>
  <si>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</si>
  <si>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</si>
  <si>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</si>
  <si>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</si>
  <si>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</si>
  <si>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</si>
  <si>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</si>
  <si>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</si>
  <si>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</si>
  <si>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</si>
  <si>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</si>
  <si>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</si>
  <si>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</si>
  <si>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</si>
  <si>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</si>
  <si>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</si>
  <si>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</si>
  <si>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</si>
  <si>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</si>
  <si>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</si>
  <si>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</si>
  <si>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</si>
  <si>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</si>
  <si>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</si>
  <si>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</si>
  <si>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</si>
  <si>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</si>
  <si>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</si>
  <si>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</si>
  <si>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</si>
  <si>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</si>
  <si>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</si>
  <si>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</si>
  <si>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</si>
  <si>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</si>
  <si>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</si>
  <si>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</si>
  <si>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</si>
  <si>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</si>
  <si>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</si>
  <si>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</si>
  <si>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</si>
  <si>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</si>
  <si>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</si>
  <si>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</si>
  <si>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</si>
  <si>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</si>
  <si>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</si>
  <si>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</si>
  <si>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</si>
  <si>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</si>
  <si>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</si>
  <si>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</si>
  <si>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</si>
  <si>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</si>
  <si>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</si>
  <si>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</si>
  <si>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</si>
  <si>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</si>
  <si>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</si>
  <si>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</si>
  <si>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</si>
  <si>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</si>
  <si>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</si>
  <si>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</si>
  <si>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</si>
  <si>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</si>
  <si>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</si>
  <si>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</si>
  <si>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</si>
  <si>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</si>
  <si>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</si>
  <si>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</si>
  <si>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</si>
  <si>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</si>
  <si>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</si>
  <si>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</si>
  <si>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</si>
  <si>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</si>
  <si>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</si>
  <si>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</si>
  <si>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</si>
  <si>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</si>
  <si>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</si>
  <si>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</si>
  <si>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</si>
  <si>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</si>
  <si>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</si>
  <si>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</si>
  <si>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</si>
  <si>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</si>
  <si>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</si>
  <si>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</si>
  <si>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</si>
  <si>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</si>
  <si>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</si>
  <si>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PCCL</t>
  </si>
  <si>
    <t>PCCL(Power Care Co. Ltd.)</t>
  </si>
  <si>
    <t>Mohammed Aarzoo</t>
  </si>
  <si>
    <t>+966 55 5014763 / Email:aarzoo@powercareksa.com</t>
  </si>
  <si>
    <t>Landline: +966 133627417 / Mobile : +966 555014763</t>
  </si>
  <si>
    <t>Director</t>
  </si>
  <si>
    <t>Bldg No . 8590 Al Jabal Street, Al Dana, Al Jubail</t>
  </si>
  <si>
    <t>Mob. &amp; De-Mob. / per unit - lump sum</t>
    <phoneticPr fontId="3" type="noConversion"/>
  </si>
  <si>
    <t>L/S</t>
  </si>
  <si>
    <t>310793666100003</t>
  </si>
  <si>
    <t>One Time</t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</si>
  <si>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</si>
  <si>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</si>
  <si>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t>Air Compressor</t>
  </si>
  <si>
    <t>Air Compressor Mob &amp; De-Mob. Charge</t>
  </si>
  <si>
    <t>PC-EQTN2025-1559</t>
  </si>
  <si>
    <t>375 CFM Air Compressor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</si>
  <si>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-MRS-0048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</si>
  <si>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</si>
  <si>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Subcontract name (SAC2-SC-IK-SMP-01)</t>
  </si>
  <si>
    <t>375 CFM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</si>
</sst>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50" fillId="2" borderId="0" xfId="1" applyFont="1" applyFill="1" applyAlignment="1">
      <alignment vertical="center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20" xr:uid="{843BFAE7-7FA3-4B59-B94E-3AADC027A301}"/>
    <cellStyle name="쉼표 [0] 2 2 3" xfId="16" xr:uid="{5DB1ECBA-768E-457B-8347-5602F27078D7}"/>
    <cellStyle name="쉼표 [0] 2 2 4" xfId="12" xr:uid="{6B1AD85A-25EC-4CE8-8E46-8D6670B2B375}"/>
    <cellStyle name="쉼표 2" xfId="9" xr:uid="{F2A3A689-A30F-4FCA-9C51-F28F11796A46}"/>
    <cellStyle name="쉼표 2 2" xfId="22" xr:uid="{D69AF00D-8DAE-4D2B-B5E0-E5DB2E7D9021}"/>
    <cellStyle name="쉼표 2 3" xfId="18" xr:uid="{AB7B30F1-B2B6-4CF3-A711-1A93C2551658}"/>
    <cellStyle name="쉼표 2 4" xfId="14" xr:uid="{7C6C239E-9E34-4BA7-A987-D55178EFEDFD}"/>
    <cellStyle name="표준 2 2" xfId="2" xr:uid="{12B761D3-4229-4E14-8168-D5975293A996}"/>
    <cellStyle name="표준 2 2 2" xfId="19" xr:uid="{48F0C246-0A9A-45D2-83D9-AF05892F0DF7}"/>
    <cellStyle name="표준 2 2 3" xfId="15" xr:uid="{BBA1A03B-0057-4B17-8096-BFB3A5A64A18}"/>
    <cellStyle name="표준 2 2 4" xfId="11" xr:uid="{320059B6-BE36-4040-A47E-6DEB231F448A}"/>
    <cellStyle name="표준 2 3 2 2" xfId="5" xr:uid="{BD51BFCC-3D36-446B-BE80-7856DF8371E9}"/>
    <cellStyle name="표준 2 3 2 2 2" xfId="21" xr:uid="{89E61A53-6F19-44FA-A97A-73D08137A834}"/>
    <cellStyle name="표준 2 3 2 2 3" xfId="17" xr:uid="{56A54916-9EC5-4241-BFCE-E28B549DFC7A}"/>
    <cellStyle name="표준 2 3 2 2 4" xfId="13" xr:uid="{270D41D4-5BD0-4940-8CE0-5206F3AF6C78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P14" sqref="P13:P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203" t="s">
        <v>120</v>
      </c>
      <c r="B1" s="110"/>
      <c r="C1" s="110"/>
      <c r="D1" s="110"/>
      <c r="E1" s="110"/>
      <c r="F1" s="110"/>
      <c r="G1" s="1"/>
      <c r="J1" s="124" t="s">
        <v>92</v>
      </c>
      <c r="K1" s="125"/>
      <c r="L1" s="126"/>
    </row>
    <row r="2" spans="1:19" ht="20.100000000000001" customHeight="1">
      <c r="A2" s="3" t="s">
        <v>1</v>
      </c>
      <c r="B2" s="101"/>
      <c r="C2" s="101"/>
      <c r="D2" s="3" t="s">
        <v>113</v>
      </c>
      <c r="E2" s="101"/>
      <c r="F2" s="101"/>
      <c r="G2" s="101"/>
      <c r="H2" s="101"/>
      <c r="I2" s="4"/>
      <c r="J2" s="127" t="s">
        <v>121</v>
      </c>
      <c r="K2" s="128"/>
      <c r="L2" s="129"/>
    </row>
    <row r="3" spans="1:19" ht="20.100000000000001" customHeight="1">
      <c r="A3" s="3" t="s">
        <v>119</v>
      </c>
      <c r="B3" s="101"/>
      <c r="C3" s="101"/>
      <c r="D3" s="101"/>
      <c r="E3" s="130">
        <f>+L3</f>
        <v>45761</v>
      </c>
      <c r="F3" s="130"/>
      <c r="G3" s="130"/>
      <c r="H3" s="130"/>
      <c r="I3" s="130"/>
      <c r="J3" s="101"/>
      <c r="K3" s="101"/>
      <c r="L3" s="122">
        <v>45761</v>
      </c>
      <c r="M3" s="4"/>
    </row>
    <row r="4" spans="1:19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97</v>
      </c>
      <c r="J4" s="131" t="s">
        <v>98</v>
      </c>
      <c r="K4" s="141" t="s">
        <v>0</v>
      </c>
      <c r="L4" s="132" t="s">
        <v>7</v>
      </c>
    </row>
    <row r="5" spans="1:19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9" ht="22.5" customHeight="1">
      <c r="A6" s="5">
        <f t="shared" ref="A6:A15" si="0">ROW(A1)</f>
        <v>1</v>
      </c>
      <c r="B6" s="143" t="s">
        <v>115</v>
      </c>
      <c r="C6" s="144"/>
      <c r="D6" s="145" t="s">
        <v>122</v>
      </c>
      <c r="E6" s="146"/>
      <c r="F6" s="147"/>
      <c r="G6" s="111" t="s">
        <v>93</v>
      </c>
      <c r="H6" s="112">
        <v>1</v>
      </c>
      <c r="I6" s="113">
        <v>6750</v>
      </c>
      <c r="J6" s="113">
        <f>H6*I6</f>
        <v>6750</v>
      </c>
      <c r="K6" s="114" t="s">
        <v>102</v>
      </c>
      <c r="L6" s="115" t="s">
        <v>101</v>
      </c>
      <c r="S6" s="106"/>
    </row>
    <row r="7" spans="1:19" ht="22.5" customHeight="1">
      <c r="A7" s="5">
        <f t="shared" si="0"/>
        <v>2</v>
      </c>
      <c r="B7" s="143" t="s">
        <v>116</v>
      </c>
      <c r="C7" s="144"/>
      <c r="D7" s="148" t="s">
        <v>109</v>
      </c>
      <c r="E7" s="146"/>
      <c r="F7" s="147"/>
      <c r="G7" s="111" t="s">
        <v>110</v>
      </c>
      <c r="H7" s="112">
        <v>2</v>
      </c>
      <c r="I7" s="113">
        <v>1000</v>
      </c>
      <c r="J7" s="113">
        <f>H7*I7</f>
        <v>2000</v>
      </c>
      <c r="K7" s="114" t="s">
        <v>102</v>
      </c>
      <c r="L7" s="115" t="s">
        <v>112</v>
      </c>
      <c r="S7" s="106"/>
    </row>
    <row r="8" spans="1:19" ht="22.5" customHeight="1">
      <c r="A8" s="5">
        <f t="shared" si="0"/>
        <v>3</v>
      </c>
      <c r="B8" s="143"/>
      <c r="C8" s="144"/>
      <c r="D8" s="145"/>
      <c r="E8" s="146"/>
      <c r="F8" s="147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3"/>
      <c r="C9" s="144"/>
      <c r="D9" s="145"/>
      <c r="E9" s="146"/>
      <c r="F9" s="147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49"/>
      <c r="C10" s="149"/>
      <c r="D10" s="150"/>
      <c r="E10" s="150"/>
      <c r="F10" s="15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3"/>
      <c r="C11" s="144"/>
      <c r="D11" s="145"/>
      <c r="E11" s="146"/>
      <c r="F11" s="147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49"/>
      <c r="C12" s="149"/>
      <c r="D12" s="150"/>
      <c r="E12" s="150"/>
      <c r="F12" s="15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3"/>
      <c r="C13" s="144"/>
      <c r="D13" s="145"/>
      <c r="E13" s="146"/>
      <c r="F13" s="147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3"/>
      <c r="C14" s="144"/>
      <c r="D14" s="145"/>
      <c r="E14" s="146"/>
      <c r="F14" s="147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3"/>
      <c r="C15" s="144"/>
      <c r="D15" s="145"/>
      <c r="E15" s="146"/>
      <c r="F15" s="147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1" t="s">
        <v>8</v>
      </c>
      <c r="B16" s="152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8750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4"/>
      <c r="T19" s="14"/>
      <c r="U19" s="15"/>
      <c r="V19" s="14"/>
    </row>
    <row r="20" spans="1:22" ht="17.100000000000001" customHeight="1">
      <c r="O20" s="11"/>
      <c r="P20" s="11"/>
      <c r="Q20" s="11"/>
      <c r="S20" s="15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6" t="s">
        <v>17</v>
      </c>
      <c r="Q21" s="156" t="s">
        <v>18</v>
      </c>
    </row>
    <row r="22" spans="1:22" ht="18" customHeight="1">
      <c r="O22" s="18" t="s">
        <v>19</v>
      </c>
      <c r="P22" s="157"/>
      <c r="Q22" s="157"/>
      <c r="S22" s="15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8"/>
      <c r="P27" s="158"/>
      <c r="Q27" s="158"/>
    </row>
    <row r="28" spans="1:22" ht="19.899999999999999" customHeight="1">
      <c r="O28" s="158"/>
      <c r="P28" s="158"/>
      <c r="Q28" s="15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6" t="s">
        <v>21</v>
      </c>
    </row>
    <row r="41" spans="15:22" ht="19.899999999999999" customHeight="1">
      <c r="T41" s="157"/>
    </row>
    <row r="42" spans="15:22" ht="64.900000000000006" customHeight="1">
      <c r="T42" s="14"/>
    </row>
    <row r="46" spans="15:22" ht="21" customHeight="1">
      <c r="O46" s="156" t="s">
        <v>21</v>
      </c>
      <c r="P46" s="156" t="s">
        <v>21</v>
      </c>
      <c r="Q46" s="156" t="s">
        <v>21</v>
      </c>
      <c r="T46" s="156" t="s">
        <v>22</v>
      </c>
      <c r="U46" s="156" t="s">
        <v>13</v>
      </c>
      <c r="V46" s="156" t="s">
        <v>21</v>
      </c>
    </row>
    <row r="47" spans="15:22" ht="21" customHeight="1">
      <c r="O47" s="157"/>
      <c r="P47" s="157"/>
      <c r="Q47" s="157"/>
      <c r="T47" s="155"/>
      <c r="U47" s="155"/>
      <c r="V47" s="15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6" t="s">
        <v>21</v>
      </c>
      <c r="P50" s="156" t="s">
        <v>21</v>
      </c>
      <c r="Q50" s="156" t="s">
        <v>21</v>
      </c>
      <c r="T50" s="156" t="s">
        <v>13</v>
      </c>
      <c r="U50" s="156" t="s">
        <v>22</v>
      </c>
      <c r="V50" s="156" t="s">
        <v>21</v>
      </c>
    </row>
    <row r="51" spans="15:22" ht="21" customHeight="1">
      <c r="O51" s="157"/>
      <c r="P51" s="157"/>
      <c r="Q51" s="157"/>
      <c r="T51" s="155"/>
      <c r="U51" s="155"/>
      <c r="V51" s="15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7" activePane="bottomLeft" state="frozen"/>
      <selection activeCell="D30" sqref="D30"/>
      <selection pane="bottomLeft" activeCell="R8" sqref="R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99</v>
      </c>
      <c r="B1" s="100"/>
      <c r="C1" s="100"/>
      <c r="D1" s="100"/>
      <c r="E1" s="100"/>
      <c r="F1" s="100"/>
      <c r="G1" s="1"/>
      <c r="J1" s="124" t="str">
        <f>+MRS!J1</f>
        <v>DAESHIN PLANT</v>
      </c>
      <c r="K1" s="126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27" t="str">
        <f>+MRS!J2</f>
        <v>Subcontract name (SAC2-SC-IK-SMP-01)</v>
      </c>
      <c r="K2" s="129"/>
    </row>
    <row r="3" spans="1:18" ht="24.95" customHeight="1">
      <c r="A3" s="3" t="str">
        <f>+MRS!A3</f>
        <v xml:space="preserve">  MRS No : SAC2-DS-MRS-0048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45761</v>
      </c>
    </row>
    <row r="4" spans="1:18" ht="15.95" customHeight="1">
      <c r="A4" s="159" t="s">
        <v>2</v>
      </c>
      <c r="B4" s="160" t="s">
        <v>23</v>
      </c>
      <c r="C4" s="160"/>
      <c r="D4" s="159" t="s">
        <v>4</v>
      </c>
      <c r="E4" s="159"/>
      <c r="F4" s="159"/>
      <c r="G4" s="160" t="s">
        <v>5</v>
      </c>
      <c r="H4" s="159" t="s">
        <v>94</v>
      </c>
      <c r="I4" s="159" t="s">
        <v>24</v>
      </c>
      <c r="J4" s="159" t="s">
        <v>25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61" t="str">
        <f>MRS!B6</f>
        <v>Air Compressor</v>
      </c>
      <c r="C6" s="162"/>
      <c r="D6" s="163" t="str">
        <f>MRS!D6</f>
        <v>375 CFM</v>
      </c>
      <c r="E6" s="164"/>
      <c r="F6" s="165"/>
      <c r="G6" s="103" t="str">
        <f>MRS!G6</f>
        <v>Month</v>
      </c>
      <c r="H6" s="103">
        <f>MRS!H6</f>
        <v>1</v>
      </c>
      <c r="I6" s="104">
        <f>MRS!I6</f>
        <v>6750</v>
      </c>
      <c r="J6" s="104">
        <f>MRS!J6</f>
        <v>6750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1" t="str">
        <f>MRS!B7</f>
        <v>Air Compressor Mob &amp; De-Mob. Charge</v>
      </c>
      <c r="C7" s="162"/>
      <c r="D7" s="163" t="str">
        <f>MRS!D7</f>
        <v>Mob. &amp; De-Mob. / per unit - lump sum</v>
      </c>
      <c r="E7" s="164"/>
      <c r="F7" s="165"/>
      <c r="G7" s="103" t="str">
        <f>MRS!G7</f>
        <v>L/S</v>
      </c>
      <c r="H7" s="103">
        <f>MRS!H7</f>
        <v>2</v>
      </c>
      <c r="I7" s="104">
        <f>MRS!I7</f>
        <v>1000</v>
      </c>
      <c r="J7" s="104">
        <f>MRS!J7</f>
        <v>2000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6"/>
      <c r="C8" s="167"/>
      <c r="D8" s="168"/>
      <c r="E8" s="169"/>
      <c r="F8" s="170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6"/>
      <c r="C9" s="167"/>
      <c r="D9" s="168"/>
      <c r="E9" s="169"/>
      <c r="F9" s="170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6"/>
      <c r="C10" s="167"/>
      <c r="D10" s="168"/>
      <c r="E10" s="169"/>
      <c r="F10" s="170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6"/>
      <c r="C11" s="167"/>
      <c r="D11" s="168"/>
      <c r="E11" s="169"/>
      <c r="F11" s="170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6"/>
      <c r="C12" s="167"/>
      <c r="D12" s="168"/>
      <c r="E12" s="169"/>
      <c r="F12" s="170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6"/>
      <c r="C13" s="167"/>
      <c r="D13" s="168"/>
      <c r="E13" s="169"/>
      <c r="F13" s="170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6"/>
      <c r="C14" s="167"/>
      <c r="D14" s="168"/>
      <c r="E14" s="169"/>
      <c r="F14" s="170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6"/>
      <c r="C15" s="167"/>
      <c r="D15" s="168"/>
      <c r="E15" s="169"/>
      <c r="F15" s="170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6"/>
      <c r="C16" s="167"/>
      <c r="D16" s="168"/>
      <c r="E16" s="169"/>
      <c r="F16" s="170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6"/>
      <c r="C17" s="167"/>
      <c r="D17" s="168"/>
      <c r="E17" s="169"/>
      <c r="F17" s="170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34" zoomScale="160" zoomScaleNormal="100" zoomScaleSheetLayoutView="160" workbookViewId="0">
      <selection activeCell="M29" sqref="M2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103</v>
      </c>
      <c r="D9" s="39"/>
      <c r="E9" s="39"/>
    </row>
    <row r="10" spans="2:13" s="39" customFormat="1">
      <c r="B10" s="72"/>
      <c r="C10" s="39" t="s">
        <v>33</v>
      </c>
      <c r="D10" s="76">
        <v>2055132011</v>
      </c>
      <c r="J10" s="39" t="s">
        <v>34</v>
      </c>
      <c r="K10" s="172">
        <f>MRS!L3</f>
        <v>45761</v>
      </c>
      <c r="L10" s="173"/>
      <c r="M10" s="173"/>
    </row>
    <row r="11" spans="2:13" s="39" customFormat="1">
      <c r="B11" s="72"/>
      <c r="C11" s="75" t="s">
        <v>35</v>
      </c>
      <c r="D11" s="76" t="s">
        <v>111</v>
      </c>
      <c r="J11" s="39" t="s">
        <v>36</v>
      </c>
      <c r="K11" s="174" t="str">
        <f>SUBSTITUTE(SUBSTITUTE(+MRS!A3,"  MRS No : ",""),"-MRS","-PO")</f>
        <v>SAC2-DS-PO-0048</v>
      </c>
      <c r="L11" s="174"/>
      <c r="M11" s="174"/>
    </row>
    <row r="12" spans="2:13" s="39" customFormat="1">
      <c r="B12" s="72"/>
      <c r="C12" s="75" t="s">
        <v>37</v>
      </c>
      <c r="D12" s="39" t="s">
        <v>104</v>
      </c>
      <c r="J12" s="39" t="s">
        <v>38</v>
      </c>
    </row>
    <row r="13" spans="2:13" s="39" customFormat="1">
      <c r="B13" s="72"/>
      <c r="C13" s="77"/>
      <c r="D13" s="76" t="s">
        <v>105</v>
      </c>
      <c r="J13" s="39" t="s">
        <v>39</v>
      </c>
    </row>
    <row r="14" spans="2:13" s="39" customFormat="1">
      <c r="B14" s="72"/>
      <c r="C14" s="77" t="s">
        <v>108</v>
      </c>
      <c r="J14" s="39" t="s">
        <v>40</v>
      </c>
      <c r="K14" s="39" t="s">
        <v>117</v>
      </c>
    </row>
    <row r="15" spans="2:13" s="39" customFormat="1">
      <c r="B15" s="72"/>
      <c r="C15" s="77" t="s">
        <v>106</v>
      </c>
      <c r="J15" s="39" t="s">
        <v>41</v>
      </c>
      <c r="K15" s="78">
        <v>45757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118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79" t="s">
        <v>100</v>
      </c>
      <c r="G29" s="179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9"/>
      <c r="G30" s="179"/>
    </row>
    <row r="31" spans="2:13" ht="15" customHeight="1">
      <c r="B31" s="32"/>
      <c r="C31" s="26" t="s">
        <v>52</v>
      </c>
      <c r="D31" s="35"/>
      <c r="E31" s="26" t="s">
        <v>50</v>
      </c>
      <c r="F31" s="179"/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114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Mohammed Aarzoo</v>
      </c>
    </row>
    <row r="60" spans="1:16" ht="18" customHeight="1">
      <c r="B60" s="26" t="s">
        <v>72</v>
      </c>
      <c r="J60" s="26" t="s">
        <v>73</v>
      </c>
      <c r="K60" s="22" t="s">
        <v>107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PCCL(Power Care Co. Ltd.)</v>
      </c>
      <c r="K62" s="180"/>
      <c r="L62" s="180"/>
      <c r="M62" s="180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O14" sqref="O1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SAC2-DS-PO-0048</v>
      </c>
      <c r="C2" s="183" t="s">
        <v>79</v>
      </c>
      <c r="D2" s="183"/>
      <c r="E2" s="183"/>
      <c r="F2" s="183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45761</v>
      </c>
      <c r="C3" s="51"/>
      <c r="D3" s="52"/>
      <c r="E3" s="184" t="s">
        <v>81</v>
      </c>
      <c r="F3" s="184"/>
      <c r="G3" s="184"/>
      <c r="H3" s="184"/>
      <c r="I3" s="53"/>
    </row>
    <row r="4" spans="1:13" s="55" customFormat="1" ht="28.5" customHeight="1" thickTop="1">
      <c r="A4" s="185" t="s">
        <v>82</v>
      </c>
      <c r="B4" s="187" t="s">
        <v>83</v>
      </c>
      <c r="C4" s="188"/>
      <c r="D4" s="191" t="s">
        <v>84</v>
      </c>
      <c r="E4" s="191" t="s">
        <v>85</v>
      </c>
      <c r="F4" s="193" t="str">
        <f>'PO 1st page'!C9</f>
        <v>PCCL(Power Care Co. Ltd.)</v>
      </c>
      <c r="G4" s="194"/>
      <c r="H4" s="195" t="s">
        <v>86</v>
      </c>
      <c r="K4" s="56"/>
      <c r="L4" s="56"/>
      <c r="M4" s="56"/>
    </row>
    <row r="5" spans="1:13" s="55" customFormat="1" ht="21.95" customHeight="1">
      <c r="A5" s="186"/>
      <c r="B5" s="189"/>
      <c r="C5" s="190"/>
      <c r="D5" s="192"/>
      <c r="E5" s="192"/>
      <c r="F5" s="57" t="s">
        <v>87</v>
      </c>
      <c r="G5" s="57" t="s">
        <v>52</v>
      </c>
      <c r="H5" s="19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97" t="str">
        <f>+'MRS LIST'!B6</f>
        <v>Air Compressor</v>
      </c>
      <c r="C6" s="198"/>
      <c r="D6" s="86" t="str">
        <f>+'MRS LIST'!G6</f>
        <v>Month</v>
      </c>
      <c r="E6" s="87">
        <f>+'MRS LIST'!H6</f>
        <v>1</v>
      </c>
      <c r="F6" s="88">
        <f>+'MRS LIST'!I6</f>
        <v>6750</v>
      </c>
      <c r="G6" s="89">
        <f>+'MRS LIST'!J6</f>
        <v>6750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97" t="str">
        <f>+'MRS LIST'!B7</f>
        <v>Air Compressor Mob &amp; De-Mob. Charge</v>
      </c>
      <c r="C7" s="198"/>
      <c r="D7" s="86" t="str">
        <f>+'MRS LIST'!G7</f>
        <v>L/S</v>
      </c>
      <c r="E7" s="87">
        <f>+'MRS LIST'!H7</f>
        <v>2</v>
      </c>
      <c r="F7" s="88">
        <f>+'MRS LIST'!I7</f>
        <v>1000</v>
      </c>
      <c r="G7" s="89">
        <f>+'MRS LIST'!J7</f>
        <v>2000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1"/>
      <c r="C8" s="182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1"/>
      <c r="C9" s="182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1"/>
      <c r="C10" s="182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1"/>
      <c r="C11" s="182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1"/>
      <c r="C12" s="18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1"/>
      <c r="C13" s="18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1"/>
      <c r="C14" s="18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1"/>
      <c r="C15" s="18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1"/>
      <c r="C16" s="18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1"/>
      <c r="C17" s="182"/>
      <c r="D17" s="94"/>
      <c r="E17" s="95"/>
      <c r="F17" s="96"/>
      <c r="G17" s="97"/>
      <c r="H17" s="98"/>
    </row>
    <row r="18" spans="1:13" s="55" customFormat="1" ht="23.1" customHeight="1">
      <c r="A18" s="199" t="s">
        <v>88</v>
      </c>
      <c r="B18" s="200"/>
      <c r="C18" s="200"/>
      <c r="D18" s="200"/>
      <c r="E18" s="200"/>
      <c r="F18" s="200"/>
      <c r="G18" s="58">
        <f>SUM(G6:G17)</f>
        <v>8750</v>
      </c>
      <c r="H18" s="59"/>
    </row>
    <row r="19" spans="1:13" s="55" customFormat="1" ht="23.1" customHeight="1">
      <c r="A19" s="199" t="s">
        <v>51</v>
      </c>
      <c r="B19" s="200"/>
      <c r="C19" s="200"/>
      <c r="D19" s="200"/>
      <c r="E19" s="200"/>
      <c r="F19" s="200"/>
      <c r="G19" s="58">
        <f>+G18*0.15</f>
        <v>1312.5</v>
      </c>
      <c r="H19" s="59"/>
    </row>
    <row r="20" spans="1:13" s="55" customFormat="1" ht="24.95" customHeight="1" thickBot="1">
      <c r="A20" s="201" t="s">
        <v>89</v>
      </c>
      <c r="B20" s="202"/>
      <c r="C20" s="202"/>
      <c r="D20" s="202"/>
      <c r="E20" s="202"/>
      <c r="F20" s="202"/>
      <c r="G20" s="60">
        <f>G19+G18</f>
        <v>10062.5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PC-EQTN2025-1559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2025-04-14T04:13:44Z</cp:lastPrinted>
  <dcterms:created xsi:type="dcterms:W3CDTF">2024-10-20T11:50:19Z</dcterms:created>
  <dcterms:modified xsi:type="dcterms:W3CDTF">2025-04-14T04:17:18Z</dcterms:modified>
</cp:coreProperties>
</file>