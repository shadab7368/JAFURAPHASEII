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4A9CB83-A1E8-46F5-85A7-43EFFE1C73B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K59" i="3" l="1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<sst xmlns="http://schemas.openxmlformats.org/spreadsheetml/2006/main" count="136" uniqueCount="115">
  <si>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</si>
  <si>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</si>
  <si>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</si>
  <si>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</si>
  <si>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</si>
  <si>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</si>
  <si>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</si>
  <si>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</si>
  <si>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</si>
  <si>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</si>
  <si>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</si>
  <si>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</si>
  <si>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ADM</t>
    <phoneticPr fontId="2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</si>
  <si>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</si>
  <si>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</si>
  <si>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</si>
  <si>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</si>
  <si>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</si>
  <si>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</si>
  <si>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</si>
  <si>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</si>
  <si>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</si>
  <si>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</si>
  <si>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</si>
  <si>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</si>
  <si>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</si>
  <si>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</si>
  <si>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</si>
  <si>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</si>
  <si>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</si>
  <si>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</si>
  <si>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</si>
  <si>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</si>
  <si>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</si>
  <si>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</si>
  <si>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</si>
  <si>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</si>
  <si>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</si>
  <si>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</si>
  <si>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</si>
  <si>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</si>
  <si>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</si>
  <si>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</si>
  <si>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</si>
  <si>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</si>
  <si>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</si>
  <si>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</si>
  <si>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</si>
  <si>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</si>
  <si>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</si>
  <si>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</si>
  <si>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</si>
  <si>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</si>
  <si>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</si>
  <si>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</si>
  <si>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</si>
  <si>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</si>
  <si>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</si>
  <si>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</si>
  <si>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</si>
  <si>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</si>
  <si>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</si>
  <si>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</si>
  <si>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</si>
  <si>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</si>
  <si>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</si>
  <si>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</si>
  <si>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</si>
  <si>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</si>
  <si>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</si>
  <si>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</si>
  <si>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</si>
  <si>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</si>
  <si>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</si>
  <si>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</si>
  <si>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</si>
  <si>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</si>
  <si>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</si>
  <si>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</si>
  <si>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</si>
  <si>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</si>
  <si>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</si>
  <si>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</si>
  <si>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</si>
  <si>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</si>
  <si>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</si>
  <si>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</si>
  <si>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</si>
  <si>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</si>
  <si>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</si>
  <si>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</si>
  <si>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</si>
  <si>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</si>
  <si>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</si>
  <si>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</si>
  <si>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</si>
  <si>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</si>
  <si>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</si>
  <si>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</si>
  <si>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</si>
  <si>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</si>
  <si>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</si>
  <si>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</si>
  <si>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</si>
  <si>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</si>
  <si>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</si>
  <si>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Division (In charge Name) : ADMIN MANAGER (Dong Chang Kim)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</si>
  <si>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-MRS-0155</t>
    </r>
  </si>
  <si>
    <t>Dyna Truck</t>
  </si>
  <si>
    <t>With Driver</t>
  </si>
  <si>
    <t>Month</t>
  </si>
  <si>
    <t>Monthly</t>
  </si>
  <si>
    <t>Monthly Based</t>
  </si>
  <si>
    <t>HANNI(Hanni Ahmad Said Al-Othman Menhali Est.)</t>
  </si>
  <si>
    <t>Dyna Truck with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</si>
</sst>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751971</xdr:colOff>
          <xdr:row>17</xdr:row>
          <xdr:rowOff>10022</xdr:rowOff>
        </xdr:from>
        <xdr:to>
          <xdr:col>12</xdr:col>
          <xdr:colOff>502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25813" y="4993101"/>
              <a:ext cx="40812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H19" sqref="H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96</v>
      </c>
      <c r="B1" s="109"/>
      <c r="C1" s="109"/>
      <c r="D1" s="109"/>
      <c r="E1" s="109"/>
      <c r="F1" s="109"/>
      <c r="G1" s="1"/>
      <c r="J1" s="147" t="s">
        <v>89</v>
      </c>
      <c r="K1" s="148"/>
      <c r="L1" s="149"/>
    </row>
    <row r="2" spans="1:18" ht="20.100000000000001" customHeight="1">
      <c r="A2" s="3" t="s">
        <v>1</v>
      </c>
      <c r="B2" s="100"/>
      <c r="C2" s="100"/>
      <c r="D2" s="3" t="s">
        <v>106</v>
      </c>
      <c r="E2" s="100"/>
      <c r="F2" s="100"/>
      <c r="G2" s="100"/>
      <c r="H2" s="100"/>
      <c r="I2" s="4"/>
      <c r="J2" s="150" t="s">
        <v>97</v>
      </c>
      <c r="K2" s="151"/>
      <c r="L2" s="152"/>
    </row>
    <row r="3" spans="1:18" ht="20.100000000000001" customHeight="1">
      <c r="A3" s="3" t="s">
        <v>107</v>
      </c>
      <c r="B3" s="100"/>
      <c r="C3" s="100"/>
      <c r="D3" s="100"/>
      <c r="E3" s="153">
        <f>+L3</f>
        <v>45966</v>
      </c>
      <c r="F3" s="153"/>
      <c r="G3" s="153"/>
      <c r="H3" s="153"/>
      <c r="I3" s="153"/>
      <c r="J3" s="100"/>
      <c r="K3" s="100"/>
      <c r="L3" s="121">
        <v>45966</v>
      </c>
      <c r="M3" s="4"/>
    </row>
    <row r="4" spans="1:18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94</v>
      </c>
      <c r="J4" s="154" t="s">
        <v>95</v>
      </c>
      <c r="K4" s="164" t="s">
        <v>0</v>
      </c>
      <c r="L4" s="155" t="s">
        <v>7</v>
      </c>
    </row>
    <row r="5" spans="1:18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8" ht="22.5" customHeight="1">
      <c r="A6" s="5">
        <f t="shared" ref="A6:A15" si="0">ROW(A1)</f>
        <v>1</v>
      </c>
      <c r="B6" s="166" t="s">
        <v>108</v>
      </c>
      <c r="C6" s="167"/>
      <c r="D6" s="168" t="s">
        <v>109</v>
      </c>
      <c r="E6" s="169"/>
      <c r="F6" s="170"/>
      <c r="G6" s="110" t="s">
        <v>110</v>
      </c>
      <c r="H6" s="111">
        <v>1</v>
      </c>
      <c r="I6" s="112">
        <v>8500</v>
      </c>
      <c r="J6" s="112">
        <f>H6*I6</f>
        <v>8500</v>
      </c>
      <c r="K6" s="113" t="s">
        <v>99</v>
      </c>
      <c r="L6" s="114" t="s">
        <v>111</v>
      </c>
      <c r="R6" s="105"/>
    </row>
    <row r="7" spans="1:18" ht="22.5" customHeight="1">
      <c r="A7" s="5">
        <f t="shared" si="0"/>
        <v>2</v>
      </c>
      <c r="B7" s="166"/>
      <c r="C7" s="167"/>
      <c r="D7" s="171"/>
      <c r="E7" s="169"/>
      <c r="F7" s="170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66"/>
      <c r="C8" s="167"/>
      <c r="D8" s="168"/>
      <c r="E8" s="169"/>
      <c r="F8" s="170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66"/>
      <c r="C9" s="167"/>
      <c r="D9" s="168"/>
      <c r="E9" s="169"/>
      <c r="F9" s="17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72"/>
      <c r="C10" s="172"/>
      <c r="D10" s="173"/>
      <c r="E10" s="173"/>
      <c r="F10" s="17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66"/>
      <c r="C11" s="167"/>
      <c r="D11" s="168"/>
      <c r="E11" s="169"/>
      <c r="F11" s="170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72"/>
      <c r="C12" s="172"/>
      <c r="D12" s="173"/>
      <c r="E12" s="173"/>
      <c r="F12" s="17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66"/>
      <c r="C13" s="167"/>
      <c r="D13" s="168"/>
      <c r="E13" s="169"/>
      <c r="F13" s="17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66"/>
      <c r="C14" s="167"/>
      <c r="D14" s="168"/>
      <c r="E14" s="169"/>
      <c r="F14" s="17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66"/>
      <c r="C15" s="167"/>
      <c r="D15" s="168"/>
      <c r="E15" s="169"/>
      <c r="F15" s="17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74" t="s">
        <v>8</v>
      </c>
      <c r="B16" s="17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8500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76" t="s">
        <v>11</v>
      </c>
      <c r="S18" s="13" t="s">
        <v>12</v>
      </c>
    </row>
    <row r="19" spans="1:19" ht="50.1" customHeight="1">
      <c r="R19" s="177"/>
      <c r="S19" s="15"/>
    </row>
    <row r="20" spans="1:19" ht="17.100000000000001" customHeight="1">
      <c r="O20" s="11"/>
      <c r="P20" s="11"/>
      <c r="R20" s="178"/>
      <c r="S20" s="15" t="s">
        <v>13</v>
      </c>
    </row>
    <row r="21" spans="1:19" ht="15" customHeight="1">
      <c r="O21" s="17" t="s">
        <v>14</v>
      </c>
      <c r="P21" s="179" t="s">
        <v>15</v>
      </c>
    </row>
    <row r="22" spans="1:19" ht="18" customHeight="1">
      <c r="O22" s="18" t="s">
        <v>16</v>
      </c>
      <c r="P22" s="180"/>
      <c r="R22" s="176" t="s">
        <v>17</v>
      </c>
      <c r="S22" s="12" t="s">
        <v>12</v>
      </c>
    </row>
    <row r="23" spans="1:19" ht="50.1" customHeight="1">
      <c r="O23" s="14"/>
      <c r="P23" s="14"/>
      <c r="R23" s="177"/>
      <c r="S23" s="19"/>
    </row>
    <row r="24" spans="1:19" ht="17.100000000000001" customHeight="1">
      <c r="O24" s="16" t="s">
        <v>13</v>
      </c>
      <c r="P24" s="16" t="s">
        <v>13</v>
      </c>
      <c r="R24" s="17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81"/>
      <c r="P27" s="181"/>
    </row>
    <row r="28" spans="1:19" ht="19.899999999999999" customHeight="1">
      <c r="O28" s="181"/>
      <c r="P28" s="18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79" t="s">
        <v>18</v>
      </c>
      <c r="P46" s="179" t="s">
        <v>18</v>
      </c>
      <c r="S46" s="179" t="s">
        <v>12</v>
      </c>
    </row>
    <row r="47" spans="15:19" ht="21" customHeight="1">
      <c r="O47" s="180"/>
      <c r="P47" s="180"/>
      <c r="S47" s="17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79" t="s">
        <v>18</v>
      </c>
      <c r="P50" s="179" t="s">
        <v>18</v>
      </c>
      <c r="S50" s="179" t="s">
        <v>19</v>
      </c>
    </row>
    <row r="51" spans="15:19" ht="21" customHeight="1">
      <c r="O51" s="180"/>
      <c r="P51" s="180"/>
      <c r="S51" s="17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0" t="str">
        <f>+MRS!J2</f>
        <v>Subcontract name ()</v>
      </c>
      <c r="K2" s="152"/>
    </row>
    <row r="3" spans="1:18" ht="24.95" customHeight="1">
      <c r="A3" s="3" t="str">
        <f>+MRS!A3</f>
        <v xml:space="preserve">  MRS No : SAC2-DS-MRS-0155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45966</v>
      </c>
    </row>
    <row r="4" spans="1:18" ht="15.95" customHeight="1">
      <c r="A4" s="182" t="s">
        <v>2</v>
      </c>
      <c r="B4" s="183" t="s">
        <v>20</v>
      </c>
      <c r="C4" s="183"/>
      <c r="D4" s="182" t="s">
        <v>4</v>
      </c>
      <c r="E4" s="182"/>
      <c r="F4" s="182"/>
      <c r="G4" s="183" t="s">
        <v>5</v>
      </c>
      <c r="H4" s="182" t="s">
        <v>90</v>
      </c>
      <c r="I4" s="182" t="s">
        <v>21</v>
      </c>
      <c r="J4" s="182" t="s">
        <v>22</v>
      </c>
      <c r="K4" s="183" t="s">
        <v>7</v>
      </c>
    </row>
    <row r="5" spans="1:18" ht="15.95" customHeight="1">
      <c r="A5" s="182"/>
      <c r="B5" s="183"/>
      <c r="C5" s="183"/>
      <c r="D5" s="182"/>
      <c r="E5" s="182"/>
      <c r="F5" s="182"/>
      <c r="G5" s="183"/>
      <c r="H5" s="182"/>
      <c r="I5" s="182"/>
      <c r="J5" s="182"/>
      <c r="K5" s="183"/>
    </row>
    <row r="6" spans="1:18" ht="105" customHeight="1">
      <c r="A6" s="21">
        <f>+MRS!A6</f>
        <v>1</v>
      </c>
      <c r="B6" s="184" t="str">
        <f>MRS!B6</f>
        <v>Dyna Truck</v>
      </c>
      <c r="C6" s="185"/>
      <c r="D6" s="186" t="str">
        <f>MRS!D6</f>
        <v>With Driver</v>
      </c>
      <c r="E6" s="187"/>
      <c r="F6" s="188"/>
      <c r="G6" s="102" t="str">
        <f>MRS!G6</f>
        <v>Month</v>
      </c>
      <c r="H6" s="102">
        <f>MRS!H6</f>
        <v>1</v>
      </c>
      <c r="I6" s="103">
        <f>MRS!I6</f>
        <v>8500</v>
      </c>
      <c r="J6" s="103">
        <f>MRS!J6</f>
        <v>8500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84">
        <f>MRS!B7</f>
        <v>0</v>
      </c>
      <c r="C7" s="185"/>
      <c r="D7" s="186">
        <f>MRS!D7</f>
        <v>0</v>
      </c>
      <c r="E7" s="187"/>
      <c r="F7" s="18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89"/>
      <c r="C8" s="190"/>
      <c r="D8" s="191"/>
      <c r="E8" s="192"/>
      <c r="F8" s="193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89"/>
      <c r="C9" s="190"/>
      <c r="D9" s="191"/>
      <c r="E9" s="192"/>
      <c r="F9" s="19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89"/>
      <c r="C10" s="190"/>
      <c r="D10" s="191"/>
      <c r="E10" s="192"/>
      <c r="F10" s="19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89"/>
      <c r="C11" s="190"/>
      <c r="D11" s="191"/>
      <c r="E11" s="192"/>
      <c r="F11" s="19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89"/>
      <c r="C12" s="190"/>
      <c r="D12" s="191"/>
      <c r="E12" s="192"/>
      <c r="F12" s="19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9"/>
      <c r="C13" s="190"/>
      <c r="D13" s="191"/>
      <c r="E13" s="192"/>
      <c r="F13" s="19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9"/>
      <c r="C14" s="190"/>
      <c r="D14" s="191"/>
      <c r="E14" s="192"/>
      <c r="F14" s="19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9"/>
      <c r="C15" s="190"/>
      <c r="D15" s="191"/>
      <c r="E15" s="192"/>
      <c r="F15" s="19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9"/>
      <c r="C16" s="190"/>
      <c r="D16" s="191"/>
      <c r="E16" s="192"/>
      <c r="F16" s="19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9"/>
      <c r="C17" s="190"/>
      <c r="D17" s="191"/>
      <c r="E17" s="192"/>
      <c r="F17" s="19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113</v>
      </c>
      <c r="D9" s="39"/>
      <c r="E9" s="39"/>
    </row>
    <row r="10" spans="2:13" s="39" customFormat="1">
      <c r="B10" s="72"/>
      <c r="C10" s="39" t="s">
        <v>30</v>
      </c>
      <c r="D10" s="76" t="s">
        <v>100</v>
      </c>
      <c r="J10" s="39" t="s">
        <v>31</v>
      </c>
      <c r="K10" s="194">
        <f>MRS!L3</f>
        <v>45966</v>
      </c>
      <c r="L10" s="195"/>
      <c r="M10" s="195"/>
    </row>
    <row r="11" spans="2:13" s="39" customFormat="1">
      <c r="B11" s="72"/>
      <c r="C11" s="75" t="s">
        <v>32</v>
      </c>
      <c r="D11" s="76" t="s">
        <v>101</v>
      </c>
      <c r="J11" s="39" t="s">
        <v>33</v>
      </c>
      <c r="K11" s="196" t="str">
        <f>SUBSTITUTE(SUBSTITUTE(+MRS!A3,"  MRS No : ",""),"-MRS","-PO")</f>
        <v>SAC2-DS-PO-0155</v>
      </c>
      <c r="L11" s="196"/>
      <c r="M11" s="196"/>
    </row>
    <row r="12" spans="2:13" s="39" customFormat="1">
      <c r="B12" s="72"/>
      <c r="C12" s="75" t="s">
        <v>34</v>
      </c>
      <c r="D12" s="39" t="s">
        <v>102</v>
      </c>
      <c r="J12" s="39" t="s">
        <v>35</v>
      </c>
    </row>
    <row r="13" spans="2:13" s="39" customFormat="1">
      <c r="B13" s="72"/>
      <c r="C13" s="77"/>
      <c r="D13" s="76" t="s">
        <v>103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</row>
    <row r="15" spans="2:13" s="39" customFormat="1">
      <c r="B15" s="72"/>
      <c r="C15" s="77" t="s">
        <v>104</v>
      </c>
      <c r="J15" s="39" t="s">
        <v>38</v>
      </c>
      <c r="K15" s="78">
        <v>45965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97" t="s">
        <v>39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</row>
    <row r="19" spans="2:13" ht="12" customHeight="1"/>
    <row r="20" spans="2:13" s="31" customFormat="1" ht="12" customHeight="1">
      <c r="B20" s="198" t="s">
        <v>40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</row>
    <row r="21" spans="2:13" s="31" customFormat="1" ht="12" customHeight="1">
      <c r="B21" s="198" t="s">
        <v>41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</row>
    <row r="22" spans="2:13" s="31" customFormat="1" ht="12" customHeight="1">
      <c r="B22" s="198" t="s">
        <v>42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</row>
    <row r="23" spans="2:13" ht="6.95" customHeight="1"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</row>
    <row r="24" spans="2:13" ht="6.95" customHeight="1"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114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3" t="s">
        <v>112</v>
      </c>
      <c r="G29" s="123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201"/>
      <c r="G30" s="201"/>
    </row>
    <row r="31" spans="2:13" ht="15" customHeight="1">
      <c r="B31" s="32"/>
      <c r="C31" s="26" t="s">
        <v>49</v>
      </c>
      <c r="D31" s="35"/>
      <c r="E31" s="26" t="s">
        <v>47</v>
      </c>
      <c r="F31" s="201"/>
      <c r="G31" s="20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92</v>
      </c>
      <c r="P49" s="82"/>
    </row>
    <row r="50" spans="1:16" s="83" customFormat="1" ht="15" customHeight="1">
      <c r="B50" s="84" t="s">
        <v>63</v>
      </c>
      <c r="C50" s="81" t="s">
        <v>93</v>
      </c>
    </row>
    <row r="51" spans="1:16" s="83" customFormat="1" ht="15" customHeight="1">
      <c r="B51" s="84" t="s">
        <v>63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Arvind Kumar</v>
      </c>
    </row>
    <row r="60" spans="1:16" ht="18" customHeight="1">
      <c r="B60" s="26" t="s">
        <v>69</v>
      </c>
      <c r="J60" s="26" t="s">
        <v>70</v>
      </c>
      <c r="K60" s="22" t="s">
        <v>98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73</v>
      </c>
      <c r="J62" s="202" t="str">
        <f>C9</f>
        <v>HANNI(Hanni Ahmad Said Al-Othman Menhali Est.)</v>
      </c>
      <c r="K62" s="202"/>
      <c r="L62" s="202"/>
      <c r="M62" s="202"/>
    </row>
    <row r="63" spans="1:16" ht="27.95" customHeight="1">
      <c r="A63" s="146" t="s">
        <v>74</v>
      </c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SAC2-DS-PO-0155</v>
      </c>
      <c r="C2" s="126" t="s">
        <v>76</v>
      </c>
      <c r="D2" s="126"/>
      <c r="E2" s="126"/>
      <c r="F2" s="12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45966</v>
      </c>
      <c r="C3" s="51"/>
      <c r="D3" s="52"/>
      <c r="E3" s="127" t="s">
        <v>78</v>
      </c>
      <c r="F3" s="127"/>
      <c r="G3" s="127"/>
      <c r="H3" s="127"/>
      <c r="I3" s="53"/>
    </row>
    <row r="4" spans="1:13" s="55" customFormat="1" ht="28.5" customHeight="1" thickTop="1">
      <c r="A4" s="128" t="s">
        <v>79</v>
      </c>
      <c r="B4" s="130" t="s">
        <v>80</v>
      </c>
      <c r="C4" s="131"/>
      <c r="D4" s="134" t="s">
        <v>81</v>
      </c>
      <c r="E4" s="134" t="s">
        <v>82</v>
      </c>
      <c r="F4" s="136" t="str">
        <f>'PO 1st page'!C9</f>
        <v>HANNI(Hanni Ahmad Said Al-Othman Menhali Est.)</v>
      </c>
      <c r="G4" s="137"/>
      <c r="H4" s="138" t="s">
        <v>83</v>
      </c>
      <c r="K4" s="56"/>
      <c r="L4" s="56"/>
      <c r="M4" s="56"/>
    </row>
    <row r="5" spans="1:13" s="55" customFormat="1" ht="21.95" customHeight="1">
      <c r="A5" s="129"/>
      <c r="B5" s="132"/>
      <c r="C5" s="133"/>
      <c r="D5" s="135"/>
      <c r="E5" s="135"/>
      <c r="F5" s="57" t="s">
        <v>84</v>
      </c>
      <c r="G5" s="57" t="s">
        <v>49</v>
      </c>
      <c r="H5" s="13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40" t="str">
        <f>+'MRS LIST'!B6</f>
        <v>Dyna Truck</v>
      </c>
      <c r="C6" s="141"/>
      <c r="D6" s="86" t="str">
        <f>+'MRS LIST'!G6</f>
        <v>Month</v>
      </c>
      <c r="E6" s="87">
        <f>+'MRS LIST'!H6</f>
        <v>1</v>
      </c>
      <c r="F6" s="88">
        <f>+'MRS LIST'!I6</f>
        <v>8500</v>
      </c>
      <c r="G6" s="89">
        <f>+'MRS LIST'!J6</f>
        <v>8500</v>
      </c>
      <c r="H6" s="114" t="s">
        <v>112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140"/>
      <c r="C7" s="141"/>
      <c r="D7" s="86"/>
      <c r="E7" s="87"/>
      <c r="F7" s="88"/>
      <c r="G7" s="89"/>
      <c r="H7" s="114"/>
      <c r="K7" s="90"/>
      <c r="L7" s="91"/>
      <c r="M7" s="56"/>
    </row>
    <row r="8" spans="1:13" s="55" customFormat="1" ht="32.1" customHeight="1">
      <c r="A8" s="92">
        <f t="shared" si="0"/>
        <v>3</v>
      </c>
      <c r="B8" s="124"/>
      <c r="C8" s="125"/>
      <c r="D8" s="93"/>
      <c r="E8" s="94"/>
      <c r="F8" s="95"/>
      <c r="G8" s="96"/>
      <c r="H8" s="114"/>
      <c r="K8" s="56"/>
      <c r="L8" s="56"/>
      <c r="M8" s="56"/>
    </row>
    <row r="9" spans="1:13" s="55" customFormat="1" ht="32.1" customHeight="1">
      <c r="A9" s="92">
        <f t="shared" si="0"/>
        <v>4</v>
      </c>
      <c r="B9" s="124"/>
      <c r="C9" s="125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24"/>
      <c r="C10" s="125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24"/>
      <c r="C11" s="125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24"/>
      <c r="C12" s="12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24"/>
      <c r="C13" s="12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24"/>
      <c r="C14" s="12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24"/>
      <c r="C15" s="12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24"/>
      <c r="C16" s="12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24"/>
      <c r="C17" s="125"/>
      <c r="D17" s="93"/>
      <c r="E17" s="94"/>
      <c r="F17" s="95"/>
      <c r="G17" s="96"/>
      <c r="H17" s="97"/>
    </row>
    <row r="18" spans="1:13" s="55" customFormat="1" ht="23.1" customHeight="1">
      <c r="A18" s="142" t="s">
        <v>85</v>
      </c>
      <c r="B18" s="143"/>
      <c r="C18" s="143"/>
      <c r="D18" s="143"/>
      <c r="E18" s="143"/>
      <c r="F18" s="143"/>
      <c r="G18" s="58">
        <f>SUM(G6:G17)</f>
        <v>8500</v>
      </c>
      <c r="H18" s="59"/>
    </row>
    <row r="19" spans="1:13" s="55" customFormat="1" ht="23.1" customHeight="1">
      <c r="A19" s="142" t="s">
        <v>48</v>
      </c>
      <c r="B19" s="143"/>
      <c r="C19" s="143"/>
      <c r="D19" s="143"/>
      <c r="E19" s="143"/>
      <c r="F19" s="143"/>
      <c r="G19" s="58">
        <f>+G18*0.15</f>
        <v>1275</v>
      </c>
      <c r="H19" s="59"/>
    </row>
    <row r="20" spans="1:13" s="55" customFormat="1" ht="24.95" customHeight="1" thickBot="1">
      <c r="A20" s="144" t="s">
        <v>86</v>
      </c>
      <c r="B20" s="145"/>
      <c r="C20" s="145"/>
      <c r="D20" s="145"/>
      <c r="E20" s="145"/>
      <c r="F20" s="145"/>
      <c r="G20" s="60">
        <f>G19+G18</f>
        <v>9775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46" t="s">
        <v>88</v>
      </c>
      <c r="B24" s="146"/>
      <c r="C24" s="146"/>
      <c r="D24" s="146"/>
      <c r="E24" s="146"/>
      <c r="F24" s="146"/>
      <c r="G24" s="146"/>
      <c r="H24" s="14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2025-11-05T06:17:35Z</cp:lastPrinted>
  <dcterms:created xsi:type="dcterms:W3CDTF">2024-10-20T11:50:19Z</dcterms:created>
  <dcterms:modified xsi:type="dcterms:W3CDTF">2025-11-05T06:18:42Z</dcterms:modified>
</cp:coreProperties>
</file>