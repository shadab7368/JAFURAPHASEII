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D6E8819-CE73-4B74-BB60-CD4D740E584A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MRS!$A$1:$L$102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page'!$A$1:$H$100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4" l="1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F93" i="4"/>
  <c r="E93" i="4"/>
  <c r="F92" i="4"/>
  <c r="E92" i="4"/>
  <c r="F91" i="4"/>
  <c r="E91" i="4"/>
  <c r="F90" i="4"/>
  <c r="E90" i="4"/>
  <c r="G90" i="4" s="1"/>
  <c r="F89" i="4"/>
  <c r="E89" i="4"/>
  <c r="F88" i="4"/>
  <c r="E88" i="4"/>
  <c r="G88" i="4" s="1"/>
  <c r="F87" i="4"/>
  <c r="E87" i="4"/>
  <c r="G87" i="4" s="1"/>
  <c r="F86" i="4"/>
  <c r="E86" i="4"/>
  <c r="F85" i="4"/>
  <c r="E85" i="4"/>
  <c r="F84" i="4"/>
  <c r="E84" i="4"/>
  <c r="G84" i="4" s="1"/>
  <c r="F83" i="4"/>
  <c r="E83" i="4"/>
  <c r="F82" i="4"/>
  <c r="E82" i="4"/>
  <c r="G82" i="4" s="1"/>
  <c r="F81" i="4"/>
  <c r="E81" i="4"/>
  <c r="F80" i="4"/>
  <c r="E80" i="4"/>
  <c r="F79" i="4"/>
  <c r="E79" i="4"/>
  <c r="F78" i="4"/>
  <c r="E78" i="4"/>
  <c r="G78" i="4" s="1"/>
  <c r="F77" i="4"/>
  <c r="E77" i="4"/>
  <c r="F76" i="4"/>
  <c r="E76" i="4"/>
  <c r="G76" i="4" s="1"/>
  <c r="F75" i="4"/>
  <c r="E75" i="4"/>
  <c r="G75" i="4" s="1"/>
  <c r="F74" i="4"/>
  <c r="E74" i="4"/>
  <c r="F73" i="4"/>
  <c r="E73" i="4"/>
  <c r="F72" i="4"/>
  <c r="E72" i="4"/>
  <c r="G72" i="4" s="1"/>
  <c r="F71" i="4"/>
  <c r="E71" i="4"/>
  <c r="F70" i="4"/>
  <c r="E70" i="4"/>
  <c r="G70" i="4" s="1"/>
  <c r="F69" i="4"/>
  <c r="E69" i="4"/>
  <c r="F68" i="4"/>
  <c r="E68" i="4"/>
  <c r="F67" i="4"/>
  <c r="E67" i="4"/>
  <c r="F66" i="4"/>
  <c r="E66" i="4"/>
  <c r="G66" i="4" s="1"/>
  <c r="F65" i="4"/>
  <c r="E65" i="4"/>
  <c r="F64" i="4"/>
  <c r="E64" i="4"/>
  <c r="G64" i="4" s="1"/>
  <c r="F63" i="4"/>
  <c r="E63" i="4"/>
  <c r="G63" i="4" s="1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D6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G93" i="4"/>
  <c r="G92" i="4"/>
  <c r="G91" i="4"/>
  <c r="G89" i="4"/>
  <c r="G86" i="4"/>
  <c r="G85" i="4"/>
  <c r="G83" i="4"/>
  <c r="G81" i="4"/>
  <c r="G80" i="4"/>
  <c r="G79" i="4"/>
  <c r="G77" i="4"/>
  <c r="G74" i="4"/>
  <c r="G73" i="4"/>
  <c r="G71" i="4"/>
  <c r="G69" i="4"/>
  <c r="G68" i="4"/>
  <c r="G67" i="4"/>
  <c r="G65" i="4"/>
  <c r="G62" i="4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A57" i="4" l="1"/>
  <c r="A56" i="4"/>
  <c r="A55" i="4"/>
  <c r="A54" i="4"/>
  <c r="A53" i="4"/>
  <c r="G52" i="4"/>
  <c r="A52" i="4"/>
  <c r="A51" i="4"/>
  <c r="A50" i="4"/>
  <c r="A49" i="4"/>
  <c r="A48" i="4"/>
  <c r="I30" i="2"/>
  <c r="H30" i="2"/>
  <c r="G30" i="2"/>
  <c r="F30" i="2"/>
  <c r="C30" i="2"/>
  <c r="I29" i="2"/>
  <c r="H29" i="2"/>
  <c r="G29" i="2"/>
  <c r="F29" i="2"/>
  <c r="C29" i="2"/>
  <c r="I28" i="2"/>
  <c r="H28" i="2"/>
  <c r="G28" i="2"/>
  <c r="F28" i="2"/>
  <c r="C28" i="2"/>
  <c r="I27" i="2"/>
  <c r="H27" i="2"/>
  <c r="G27" i="2"/>
  <c r="F27" i="2"/>
  <c r="C27" i="2"/>
  <c r="I26" i="2"/>
  <c r="H26" i="2"/>
  <c r="G26" i="2"/>
  <c r="F26" i="2"/>
  <c r="C26" i="2"/>
  <c r="I25" i="2"/>
  <c r="H25" i="2"/>
  <c r="G25" i="2"/>
  <c r="F25" i="2"/>
  <c r="C25" i="2"/>
  <c r="I24" i="2"/>
  <c r="H24" i="2"/>
  <c r="G24" i="2"/>
  <c r="F24" i="2"/>
  <c r="C24" i="2"/>
  <c r="I23" i="2"/>
  <c r="H23" i="2"/>
  <c r="G23" i="2"/>
  <c r="F23" i="2"/>
  <c r="C23" i="2"/>
  <c r="I22" i="2"/>
  <c r="H22" i="2"/>
  <c r="G22" i="2"/>
  <c r="F22" i="2"/>
  <c r="C22" i="2"/>
  <c r="J55" i="1"/>
  <c r="J54" i="1"/>
  <c r="J53" i="1"/>
  <c r="J52" i="1"/>
  <c r="J51" i="1"/>
  <c r="J50" i="1"/>
  <c r="J49" i="1"/>
  <c r="J48" i="1"/>
  <c r="G55" i="4" l="1"/>
  <c r="G60" i="4"/>
  <c r="G53" i="4"/>
  <c r="G58" i="4"/>
  <c r="G51" i="4"/>
  <c r="G56" i="4"/>
  <c r="G50" i="4"/>
  <c r="G57" i="4"/>
  <c r="G59" i="4"/>
  <c r="G48" i="4"/>
  <c r="G49" i="4"/>
  <c r="G54" i="4"/>
  <c r="G61" i="4"/>
  <c r="A22" i="2"/>
  <c r="A23" i="2"/>
  <c r="A24" i="2"/>
  <c r="A25" i="2"/>
  <c r="A26" i="2"/>
  <c r="A27" i="2"/>
  <c r="A28" i="2"/>
  <c r="A29" i="2"/>
  <c r="A30" i="2"/>
  <c r="A37" i="4"/>
  <c r="A38" i="4"/>
  <c r="A39" i="4"/>
  <c r="A40" i="4"/>
  <c r="A41" i="4"/>
  <c r="A42" i="4"/>
  <c r="A43" i="4"/>
  <c r="A44" i="4"/>
  <c r="A45" i="4"/>
  <c r="A46" i="4"/>
  <c r="A47" i="4"/>
  <c r="J38" i="1"/>
  <c r="J39" i="1"/>
  <c r="J40" i="1"/>
  <c r="J41" i="1"/>
  <c r="J42" i="1"/>
  <c r="J43" i="1"/>
  <c r="J44" i="1"/>
  <c r="J45" i="1"/>
  <c r="J46" i="1"/>
  <c r="J47" i="1"/>
  <c r="A31" i="4"/>
  <c r="A32" i="4"/>
  <c r="A33" i="4"/>
  <c r="A34" i="4"/>
  <c r="A35" i="4"/>
  <c r="A36" i="4"/>
  <c r="A23" i="4"/>
  <c r="A24" i="4"/>
  <c r="A25" i="4"/>
  <c r="A26" i="4"/>
  <c r="A27" i="4"/>
  <c r="A28" i="4"/>
  <c r="A29" i="4"/>
  <c r="A30" i="4"/>
  <c r="J23" i="1"/>
  <c r="J23" i="2" s="1"/>
  <c r="J24" i="1"/>
  <c r="J24" i="2" s="1"/>
  <c r="J25" i="1"/>
  <c r="J25" i="2" s="1"/>
  <c r="J26" i="1"/>
  <c r="J26" i="2" s="1"/>
  <c r="J27" i="1"/>
  <c r="J27" i="2" s="1"/>
  <c r="J28" i="1"/>
  <c r="J28" i="2" s="1"/>
  <c r="J29" i="1"/>
  <c r="J29" i="2" s="1"/>
  <c r="J30" i="1"/>
  <c r="J30" i="2" s="1"/>
  <c r="J31" i="1"/>
  <c r="J32" i="1"/>
  <c r="J33" i="1"/>
  <c r="J34" i="1"/>
  <c r="J35" i="1"/>
  <c r="J36" i="1"/>
  <c r="J37" i="1"/>
  <c r="G28" i="4" l="1"/>
  <c r="G38" i="4"/>
  <c r="G10" i="4"/>
  <c r="G39" i="4"/>
  <c r="G35" i="4"/>
  <c r="G46" i="4"/>
  <c r="G41" i="4"/>
  <c r="G37" i="4"/>
  <c r="G29" i="4"/>
  <c r="G36" i="4"/>
  <c r="G24" i="4"/>
  <c r="G20" i="4"/>
  <c r="G16" i="4"/>
  <c r="G12" i="4"/>
  <c r="G43" i="4"/>
  <c r="G7" i="4"/>
  <c r="G34" i="4"/>
  <c r="G30" i="4"/>
  <c r="G26" i="4"/>
  <c r="G22" i="4"/>
  <c r="G18" i="4"/>
  <c r="G14" i="4"/>
  <c r="G33" i="4"/>
  <c r="G9" i="4"/>
  <c r="G44" i="4"/>
  <c r="G32" i="4"/>
  <c r="G45" i="4"/>
  <c r="G25" i="4"/>
  <c r="G21" i="4"/>
  <c r="G17" i="4"/>
  <c r="G13" i="4"/>
  <c r="G31" i="4"/>
  <c r="G8" i="4"/>
  <c r="G47" i="4"/>
  <c r="G40" i="4"/>
  <c r="G23" i="4"/>
  <c r="G19" i="4"/>
  <c r="G15" i="4"/>
  <c r="G11" i="4"/>
  <c r="G42" i="4"/>
  <c r="G27" i="4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H13" i="2"/>
  <c r="H14" i="2"/>
  <c r="H15" i="2"/>
  <c r="H16" i="2"/>
  <c r="H17" i="2"/>
  <c r="H18" i="2"/>
  <c r="H19" i="2"/>
  <c r="H20" i="2"/>
  <c r="H21" i="2"/>
  <c r="G14" i="2"/>
  <c r="G15" i="2"/>
  <c r="G16" i="2"/>
  <c r="G17" i="2"/>
  <c r="G18" i="2"/>
  <c r="G19" i="2"/>
  <c r="G20" i="2"/>
  <c r="G21" i="2"/>
  <c r="D21" i="2"/>
  <c r="D19" i="2"/>
  <c r="D20" i="2"/>
  <c r="D18" i="2"/>
  <c r="D17" i="2"/>
  <c r="D16" i="2"/>
  <c r="B16" i="2"/>
  <c r="B17" i="2"/>
  <c r="B18" i="2"/>
  <c r="B19" i="2"/>
  <c r="B20" i="2"/>
  <c r="B21" i="2"/>
  <c r="A17" i="4"/>
  <c r="A18" i="4"/>
  <c r="A19" i="4"/>
  <c r="A20" i="4"/>
  <c r="A21" i="4"/>
  <c r="A22" i="4"/>
  <c r="P54" i="3"/>
  <c r="G6" i="4" l="1"/>
  <c r="G94" i="4" s="1"/>
  <c r="J22" i="1"/>
  <c r="J22" i="2" s="1"/>
  <c r="J21" i="1"/>
  <c r="J21" i="2" s="1"/>
  <c r="J20" i="1"/>
  <c r="J20" i="2" s="1"/>
  <c r="J19" i="1"/>
  <c r="J19" i="2" s="1"/>
  <c r="J18" i="1"/>
  <c r="J18" i="2" s="1"/>
  <c r="J17" i="1"/>
  <c r="J17" i="2" s="1"/>
  <c r="J16" i="1"/>
  <c r="J16" i="2" s="1"/>
  <c r="A16" i="2"/>
  <c r="A17" i="2"/>
  <c r="A18" i="2"/>
  <c r="A19" i="2"/>
  <c r="A20" i="2"/>
  <c r="A21" i="2"/>
  <c r="A13" i="4"/>
  <c r="A14" i="4"/>
  <c r="A15" i="4"/>
  <c r="A16" i="4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9" i="2"/>
  <c r="A10" i="2"/>
  <c r="A11" i="2"/>
  <c r="A12" i="2"/>
  <c r="A13" i="2"/>
  <c r="A14" i="2"/>
  <c r="A15" i="2"/>
  <c r="A12" i="4"/>
  <c r="J12" i="1"/>
  <c r="J12" i="2" s="1"/>
  <c r="J13" i="1"/>
  <c r="J13" i="2" s="1"/>
  <c r="J14" i="1"/>
  <c r="J14" i="2" s="1"/>
  <c r="J15" i="1"/>
  <c r="J15" i="2" s="1"/>
  <c r="J10" i="1" l="1"/>
  <c r="J10" i="2" s="1"/>
  <c r="J9" i="1"/>
  <c r="J9" i="2" s="1"/>
  <c r="J8" i="1"/>
  <c r="J8" i="2" s="1"/>
  <c r="J7" i="1"/>
  <c r="J7" i="2" s="1"/>
  <c r="J11" i="1" l="1"/>
  <c r="J11" i="2" s="1"/>
  <c r="K67" i="3"/>
  <c r="E3" i="1"/>
  <c r="J6" i="1" l="1"/>
  <c r="K10" i="3"/>
  <c r="A97" i="4" l="1"/>
  <c r="I6" i="2"/>
  <c r="H6" i="2"/>
  <c r="G6" i="2"/>
  <c r="D6" i="2"/>
  <c r="B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J6" i="2" l="1"/>
  <c r="G95" i="4" l="1"/>
  <c r="F30" i="3" s="1"/>
  <c r="F29" i="3"/>
  <c r="G96" i="4" l="1"/>
  <c r="F31" i="3" s="1"/>
</calcChain>
</file>

<file path=xl/sharedStrings.xml><?xml version="1.0" encoding="utf-8"?>
<sst xmlns="http://schemas.openxmlformats.org/spreadsheetml/2006/main" count="432" uniqueCount="272">
  <si>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</si>
  <si>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</si>
  <si>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</si>
  <si>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</si>
  <si>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</si>
  <si>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</si>
  <si>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</si>
  <si>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</si>
  <si>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</si>
  <si>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</si>
  <si>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</si>
  <si>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</si>
  <si>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</si>
  <si>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</si>
  <si>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</si>
  <si>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</si>
  <si>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</si>
  <si>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</si>
  <si>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</si>
  <si>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</si>
  <si>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</si>
  <si>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</si>
  <si>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</si>
  <si>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</si>
  <si>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</si>
  <si>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</si>
  <si>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</si>
  <si>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</si>
  <si>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</si>
  <si>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</si>
  <si>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</si>
  <si>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</si>
  <si>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</si>
  <si>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</si>
  <si>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</si>
  <si>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</si>
  <si>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</si>
  <si>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</si>
  <si>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</si>
  <si>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</si>
  <si>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</si>
  <si>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</si>
  <si>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</si>
  <si>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</si>
  <si>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</si>
  <si>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</si>
  <si>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</si>
  <si>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</si>
  <si>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</si>
  <si>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</si>
  <si>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</si>
  <si>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</si>
  <si>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</si>
  <si>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</si>
  <si>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</si>
  <si>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</si>
  <si>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</si>
  <si>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</si>
  <si>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</si>
  <si>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</si>
  <si>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</si>
  <si>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</si>
  <si>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</si>
  <si>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</si>
  <si>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</si>
  <si>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</si>
  <si>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</si>
  <si>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</si>
  <si>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</si>
  <si>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</si>
  <si>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</si>
  <si>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</si>
  <si>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</si>
  <si>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</si>
  <si>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</si>
  <si>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</si>
  <si>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</si>
  <si>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</si>
  <si>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</si>
  <si>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</si>
  <si>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</si>
  <si>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</si>
  <si>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</si>
  <si>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</si>
  <si>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</si>
  <si>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</si>
  <si>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</si>
  <si>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</si>
  <si>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</si>
  <si>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</si>
  <si>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</si>
  <si>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</si>
  <si>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</si>
  <si>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</si>
  <si>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</si>
  <si>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</si>
  <si>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</si>
  <si>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</si>
  <si>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</si>
  <si>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</si>
  <si>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</si>
  <si>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</si>
  <si>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</si>
  <si>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</si>
  <si>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</si>
  <si>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</si>
  <si>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</si>
  <si>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</si>
  <si>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</si>
  <si>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</si>
  <si>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</si>
  <si>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</si>
  <si>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</si>
  <si>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</si>
  <si>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</si>
  <si>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</si>
  <si>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</si>
  <si>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</si>
  <si>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</si>
  <si>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</si>
  <si>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</si>
  <si>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</si>
  <si>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</si>
  <si>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</si>
  <si>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</si>
  <si>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THE NATIONAL COMMERCIAL BANK</t>
  </si>
  <si>
    <t>04161114000110</t>
  </si>
  <si>
    <t>SA61 1000 0004 1611 1400 0110</t>
  </si>
  <si>
    <t>BDL</t>
  </si>
  <si>
    <t>Safety Shoes</t>
  </si>
  <si>
    <t>Safety Helmet</t>
  </si>
  <si>
    <t>Garbage Bag</t>
  </si>
  <si>
    <t>Black</t>
  </si>
  <si>
    <t>Without Neck</t>
  </si>
  <si>
    <t>Al Rai Juice Cocktail</t>
  </si>
  <si>
    <t>Cake</t>
  </si>
  <si>
    <t>Paper Cup</t>
  </si>
  <si>
    <t>Chair Wheel</t>
  </si>
  <si>
    <t>Record Book</t>
  </si>
  <si>
    <t>Igloo</t>
  </si>
  <si>
    <t>A3 Lamination Pouch</t>
  </si>
  <si>
    <t>A4 Lamination Pouch</t>
  </si>
  <si>
    <t>A4 Paper</t>
  </si>
  <si>
    <t>A3 Paper</t>
  </si>
  <si>
    <t>Sugar</t>
  </si>
  <si>
    <t>Highlighter</t>
  </si>
  <si>
    <t>Hana Water</t>
  </si>
  <si>
    <t>Facial Tissue</t>
  </si>
  <si>
    <t>Cooler Tap</t>
  </si>
  <si>
    <t>White Board Marker</t>
  </si>
  <si>
    <t>Hp Toner 106A</t>
  </si>
  <si>
    <t>27*250Ml</t>
  </si>
  <si>
    <t/>
  </si>
  <si>
    <t>10Gln</t>
  </si>
  <si>
    <t>100Gln</t>
  </si>
  <si>
    <t>1Kg*20</t>
  </si>
  <si>
    <t>1.50Ltr*6</t>
  </si>
  <si>
    <t>100Pcs/Pkt</t>
  </si>
  <si>
    <t>3Ltr</t>
  </si>
  <si>
    <t>Big</t>
  </si>
  <si>
    <t>PAIR</t>
  </si>
  <si>
    <t>PKT</t>
  </si>
  <si>
    <t>BOX</t>
  </si>
  <si>
    <t>Toilet Tissue</t>
  </si>
  <si>
    <t>Time Card Holder</t>
  </si>
  <si>
    <t>Extension Cord Legrand</t>
  </si>
  <si>
    <t>Board Marker</t>
  </si>
  <si>
    <t>Soft Drinks</t>
  </si>
  <si>
    <t>Helmet Sticker</t>
  </si>
  <si>
    <t>Drum Unit</t>
  </si>
  <si>
    <t>Wired Mouse</t>
  </si>
  <si>
    <t>Green Helmet</t>
  </si>
  <si>
    <t>Safety Shoes K7</t>
  </si>
  <si>
    <t>Red Vest With Pocket</t>
  </si>
  <si>
    <t>Motor Fullset</t>
  </si>
  <si>
    <t>Safety Googles Vaultex</t>
  </si>
  <si>
    <t>Ricoh Toner Mpc6003</t>
  </si>
  <si>
    <t>Whitner 12/Pkt</t>
  </si>
  <si>
    <t>Wiper</t>
  </si>
  <si>
    <t>Stapler Big</t>
  </si>
  <si>
    <t>Pocket Diary</t>
  </si>
  <si>
    <t>Folding Chair</t>
  </si>
  <si>
    <t>Safety Vest Pocket With
Logo</t>
  </si>
  <si>
    <t>Office Chair</t>
  </si>
  <si>
    <t>Nescafe Classic</t>
  </si>
  <si>
    <t>Rabea Tea</t>
  </si>
  <si>
    <t>Water Filter</t>
  </si>
  <si>
    <t>Safety Helmet Yellow</t>
  </si>
  <si>
    <t>A4 Label Sticker</t>
  </si>
  <si>
    <t>Xerox Drum Unit</t>
  </si>
  <si>
    <t>White Board</t>
  </si>
  <si>
    <t>Shampoo</t>
  </si>
  <si>
    <t>Tooth Paste</t>
  </si>
  <si>
    <t>Tooth Brush</t>
  </si>
  <si>
    <t>Paper Clip</t>
  </si>
  <si>
    <t>Sticker</t>
  </si>
  <si>
    <t>Water Dispenser</t>
  </si>
  <si>
    <t>Gooday Biscuit</t>
  </si>
  <si>
    <t>Time Card</t>
  </si>
  <si>
    <t>2 Hole Punch</t>
  </si>
  <si>
    <t>Flag Man Vest</t>
  </si>
  <si>
    <t>Side Shield For Glass</t>
  </si>
  <si>
    <t>Toshiba Toner Tfc 425</t>
  </si>
  <si>
    <t>Dac Cleaner</t>
  </si>
  <si>
    <t>Spray Paint</t>
  </si>
  <si>
    <t>Broom Brush</t>
  </si>
  <si>
    <t>Dove Soap</t>
  </si>
  <si>
    <t>Wet Tissue</t>
  </si>
  <si>
    <t>Chin Strap</t>
  </si>
  <si>
    <t>Cone Cup</t>
  </si>
  <si>
    <t>Lifboy  Soap</t>
  </si>
  <si>
    <t>Xeroxtoner</t>
  </si>
  <si>
    <t>Xerox C7130 Drum Unit</t>
  </si>
  <si>
    <t>Time Crd Punching
Machine</t>
  </si>
  <si>
    <t>Laptop Charger</t>
  </si>
  <si>
    <t>Thermal Paste</t>
  </si>
  <si>
    <t>Kitchen Tissue</t>
  </si>
  <si>
    <t>A3 Box File</t>
  </si>
  <si>
    <t>Binder Clip</t>
  </si>
  <si>
    <t>Envelops</t>
  </si>
  <si>
    <t>Trio Ball Pen</t>
  </si>
  <si>
    <t>Mouchoir</t>
  </si>
  <si>
    <t>Super Deal</t>
  </si>
  <si>
    <t>9Oz Modern</t>
  </si>
  <si>
    <t>5Way 3Mtr</t>
  </si>
  <si>
    <t>Deli,Yellow</t>
  </si>
  <si>
    <t>Deli</t>
  </si>
  <si>
    <t>A7</t>
  </si>
  <si>
    <t>Cola,7Up,Merinda</t>
  </si>
  <si>
    <t>3M,Green</t>
  </si>
  <si>
    <t>Voultex,46</t>
  </si>
  <si>
    <t>Smp</t>
  </si>
  <si>
    <t>Atlas</t>
  </si>
  <si>
    <t>C7100</t>
  </si>
  <si>
    <t>3M,Round Type</t>
  </si>
  <si>
    <t>L-100/M-100</t>
  </si>
  <si>
    <t>0.5Hp</t>
  </si>
  <si>
    <t>Clear-1000/Dark-1000</t>
  </si>
  <si>
    <t>Yellow-3/Cyan-1</t>
  </si>
  <si>
    <t>30Sheet Kangaro</t>
  </si>
  <si>
    <t>A5</t>
  </si>
  <si>
    <t>A6</t>
  </si>
  <si>
    <t>M-100/L-100/Xl-50/Xxl-
100/Xxxl-30</t>
  </si>
  <si>
    <t>190Gm</t>
  </si>
  <si>
    <t>1*100Pcs</t>
  </si>
  <si>
    <t>Gariox</t>
  </si>
  <si>
    <t>Red-20/Blue-20,Deli</t>
  </si>
  <si>
    <t>90*60,Super Deal</t>
  </si>
  <si>
    <t>Head&amp;Sholder 190Ml</t>
  </si>
  <si>
    <t>Sensodyne</t>
  </si>
  <si>
    <t>33Mm</t>
  </si>
  <si>
    <t>28Mm</t>
  </si>
  <si>
    <t>Geepas</t>
  </si>
  <si>
    <t>Yellow-2/Magenta-2</t>
  </si>
  <si>
    <t>4Pcs/Set</t>
  </si>
  <si>
    <t>Black 12*1</t>
  </si>
  <si>
    <t>Head&amp;Sholder,400Ml</t>
  </si>
  <si>
    <t>Blue &amp; White</t>
  </si>
  <si>
    <t>5000Pcs</t>
  </si>
  <si>
    <t>C 7100/7120 /C7125/C7130
Black</t>
  </si>
  <si>
    <t>C 7100/7120 /C7125/C7130
Yellow</t>
  </si>
  <si>
    <t>C 7100/7120 /C7125/C7130
Majenta</t>
  </si>
  <si>
    <t>C 7100/7120 /C7125/C7130 Cyan</t>
  </si>
  <si>
    <t>Dimah,.350Mtr*6</t>
  </si>
  <si>
    <t>Small</t>
  </si>
  <si>
    <t>10Pcs/Ctn</t>
  </si>
  <si>
    <t>25Mm,1"</t>
  </si>
  <si>
    <t>32Mm 1-1/4"</t>
  </si>
  <si>
    <t>Atlas,115*225,White,25/Pkt</t>
  </si>
  <si>
    <t>50Pcs/Pkt,Blue-20/Red-6</t>
  </si>
  <si>
    <t>QUO-MAT-26070405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</si>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</sst>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1" fontId="18" fillId="3" borderId="0" xfId="5" applyNumberFormat="1" applyFont="1" applyFill="1"/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3" fillId="3" borderId="0" xfId="5" applyFont="1" applyFill="1"/>
    <xf numFmtId="0" fontId="18" fillId="3" borderId="0" xfId="5" quotePrefix="1" applyFont="1" applyFill="1"/>
    <xf numFmtId="0" fontId="26" fillId="3" borderId="0" xfId="5" quotePrefix="1" applyFont="1" applyFill="1" applyAlignment="1">
      <alignment horizontal="left"/>
    </xf>
    <xf numFmtId="171" fontId="55" fillId="3" borderId="0" xfId="5" applyNumberFormat="1" applyFont="1" applyFill="1"/>
    <xf numFmtId="0" fontId="56" fillId="0" borderId="14" xfId="0" applyFont="1" applyBorder="1" applyAlignment="1">
      <alignment vertical="center" wrapText="1"/>
    </xf>
    <xf numFmtId="0" fontId="56" fillId="0" borderId="13" xfId="0" applyFont="1" applyBorder="1">
      <alignment vertical="center"/>
    </xf>
    <xf numFmtId="0" fontId="56" fillId="0" borderId="14" xfId="0" applyFont="1" applyBorder="1">
      <alignment vertical="center"/>
    </xf>
    <xf numFmtId="0" fontId="56" fillId="0" borderId="13" xfId="0" applyFont="1" applyBorder="1" applyAlignment="1">
      <alignment horizontal="left" vertical="center"/>
    </xf>
    <xf numFmtId="0" fontId="56" fillId="0" borderId="14" xfId="0" applyFont="1" applyBorder="1" applyAlignment="1">
      <alignment horizontal="left" vertical="center"/>
    </xf>
    <xf numFmtId="0" fontId="2" fillId="2" borderId="12" xfId="1" applyFill="1" applyBorder="1" applyAlignment="1">
      <alignment horizontal="center" vertical="center" wrapText="1"/>
    </xf>
    <xf numFmtId="0" fontId="56" fillId="0" borderId="1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4" fillId="3" borderId="0" xfId="5" applyFont="1" applyFill="1" applyAlignment="1">
      <alignment horizontal="left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2" fillId="3" borderId="28" xfId="5" applyFont="1" applyFill="1" applyBorder="1" applyAlignment="1">
      <alignment horizontal="left" vertical="center"/>
    </xf>
    <xf numFmtId="0" fontId="42" fillId="3" borderId="29" xfId="5" applyFont="1" applyFill="1" applyBorder="1" applyAlignment="1">
      <alignment horizontal="left" vertical="center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95</xdr:row>
          <xdr:rowOff>0</xdr:rowOff>
        </xdr:from>
        <xdr:to>
          <xdr:col>12</xdr:col>
          <xdr:colOff>502</xdr:colOff>
          <xdr:row>102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96:$V$102" spid="_x0000_s13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130"/>
  <sheetViews>
    <sheetView showGridLines="0" view="pageBreakPreview" topLeftCell="A15" zoomScale="95" zoomScaleNormal="95" zoomScaleSheetLayoutView="95" workbookViewId="0">
      <selection activeCell="D42" sqref="D42:F4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36" t="s">
        <v>90</v>
      </c>
      <c r="K1" s="137"/>
      <c r="L1" s="138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39" t="s">
        <v>101</v>
      </c>
      <c r="K2" s="140"/>
      <c r="L2" s="141"/>
    </row>
    <row r="3" spans="1:19" ht="20.100000000000001" customHeight="1">
      <c r="A3" s="3" t="s">
        <v>271</v>
      </c>
      <c r="B3" s="92"/>
      <c r="C3" s="92"/>
      <c r="D3" s="92"/>
      <c r="E3" s="142">
        <f>+L3</f>
        <v>46210</v>
      </c>
      <c r="F3" s="142"/>
      <c r="G3" s="142"/>
      <c r="H3" s="142"/>
      <c r="I3" s="142"/>
      <c r="J3" s="92"/>
      <c r="K3" s="92"/>
      <c r="L3" s="102">
        <v>46210</v>
      </c>
      <c r="M3" s="4"/>
    </row>
    <row r="4" spans="1:19" ht="21.75" customHeight="1">
      <c r="A4" s="143" t="s">
        <v>2</v>
      </c>
      <c r="B4" s="135" t="s">
        <v>3</v>
      </c>
      <c r="C4" s="135"/>
      <c r="D4" s="143" t="s">
        <v>4</v>
      </c>
      <c r="E4" s="143"/>
      <c r="F4" s="143"/>
      <c r="G4" s="135" t="s">
        <v>5</v>
      </c>
      <c r="H4" s="143" t="s">
        <v>6</v>
      </c>
      <c r="I4" s="143" t="s">
        <v>94</v>
      </c>
      <c r="J4" s="143" t="s">
        <v>95</v>
      </c>
      <c r="K4" s="143" t="s">
        <v>0</v>
      </c>
      <c r="L4" s="135" t="s">
        <v>7</v>
      </c>
    </row>
    <row r="5" spans="1:19" ht="21.75" customHeight="1">
      <c r="A5" s="143"/>
      <c r="B5" s="135"/>
      <c r="C5" s="135"/>
      <c r="D5" s="143"/>
      <c r="E5" s="143"/>
      <c r="F5" s="143"/>
      <c r="G5" s="135"/>
      <c r="H5" s="143"/>
      <c r="I5" s="143"/>
      <c r="J5" s="143"/>
      <c r="K5" s="143"/>
      <c r="L5" s="135"/>
    </row>
    <row r="6" spans="1:19" ht="19.5" customHeight="1">
      <c r="A6" s="104">
        <f t="shared" ref="A6:A93" si="0">ROW(A1)</f>
        <v>1</v>
      </c>
      <c r="B6" s="121" t="s">
        <v>163</v>
      </c>
      <c r="C6" s="120"/>
      <c r="D6" s="126" t="s">
        <v>221</v>
      </c>
      <c r="E6" s="127"/>
      <c r="F6" s="128"/>
      <c r="G6" s="105" t="s">
        <v>128</v>
      </c>
      <c r="H6" s="106">
        <v>20</v>
      </c>
      <c r="I6" s="107">
        <v>15.25</v>
      </c>
      <c r="J6" s="107">
        <f>H6*I6</f>
        <v>305</v>
      </c>
      <c r="K6" s="108" t="s">
        <v>98</v>
      </c>
      <c r="L6" s="109" t="s">
        <v>105</v>
      </c>
      <c r="S6" s="97"/>
    </row>
    <row r="7" spans="1:19" ht="19.5" customHeight="1">
      <c r="A7" s="104">
        <f t="shared" si="0"/>
        <v>2</v>
      </c>
      <c r="B7" s="121" t="s">
        <v>164</v>
      </c>
      <c r="C7" s="122"/>
      <c r="D7" s="126" t="s">
        <v>222</v>
      </c>
      <c r="E7" s="127"/>
      <c r="F7" s="128"/>
      <c r="G7" s="105" t="s">
        <v>97</v>
      </c>
      <c r="H7" s="106">
        <v>40</v>
      </c>
      <c r="I7" s="107">
        <v>75</v>
      </c>
      <c r="J7" s="107">
        <f t="shared" ref="J7:J10" si="1">H7*I7</f>
        <v>3000</v>
      </c>
      <c r="K7" s="108"/>
      <c r="L7" s="109"/>
      <c r="S7" s="97"/>
    </row>
    <row r="8" spans="1:19" ht="19.5" customHeight="1">
      <c r="A8" s="104">
        <f t="shared" si="0"/>
        <v>3</v>
      </c>
      <c r="B8" s="121" t="s">
        <v>136</v>
      </c>
      <c r="C8" s="122"/>
      <c r="D8" s="126" t="s">
        <v>223</v>
      </c>
      <c r="E8" s="127"/>
      <c r="F8" s="128"/>
      <c r="G8" s="105" t="s">
        <v>162</v>
      </c>
      <c r="H8" s="106">
        <v>3</v>
      </c>
      <c r="I8" s="107">
        <v>64</v>
      </c>
      <c r="J8" s="107">
        <f t="shared" si="1"/>
        <v>192</v>
      </c>
      <c r="K8" s="108"/>
      <c r="L8" s="109"/>
      <c r="S8" s="97"/>
    </row>
    <row r="9" spans="1:19" ht="19.5" customHeight="1">
      <c r="A9" s="104">
        <f t="shared" si="0"/>
        <v>4</v>
      </c>
      <c r="B9" s="121" t="s">
        <v>134</v>
      </c>
      <c r="C9" s="122"/>
      <c r="D9" s="126" t="s">
        <v>151</v>
      </c>
      <c r="E9" s="127"/>
      <c r="F9" s="128"/>
      <c r="G9" s="105" t="s">
        <v>97</v>
      </c>
      <c r="H9" s="106">
        <v>1500</v>
      </c>
      <c r="I9" s="107">
        <v>1.25</v>
      </c>
      <c r="J9" s="107">
        <f t="shared" si="1"/>
        <v>1875</v>
      </c>
      <c r="K9" s="108"/>
      <c r="L9" s="109"/>
      <c r="S9" s="97"/>
    </row>
    <row r="10" spans="1:19" ht="19.5" customHeight="1">
      <c r="A10" s="104">
        <f t="shared" si="0"/>
        <v>5</v>
      </c>
      <c r="B10" s="121" t="s">
        <v>135</v>
      </c>
      <c r="C10" s="122"/>
      <c r="D10" s="126" t="s">
        <v>152</v>
      </c>
      <c r="E10" s="127"/>
      <c r="F10" s="128"/>
      <c r="G10" s="105" t="s">
        <v>97</v>
      </c>
      <c r="H10" s="106">
        <v>1400</v>
      </c>
      <c r="I10" s="107">
        <v>1.25</v>
      </c>
      <c r="J10" s="107">
        <f t="shared" si="1"/>
        <v>1750</v>
      </c>
      <c r="K10" s="108"/>
      <c r="L10" s="105"/>
      <c r="S10" s="97"/>
    </row>
    <row r="11" spans="1:19" ht="19.5" customHeight="1">
      <c r="A11" s="104">
        <f t="shared" si="0"/>
        <v>6</v>
      </c>
      <c r="B11" s="121" t="s">
        <v>144</v>
      </c>
      <c r="C11" s="122"/>
      <c r="D11" s="126" t="s">
        <v>155</v>
      </c>
      <c r="E11" s="127"/>
      <c r="F11" s="128"/>
      <c r="G11" s="105" t="s">
        <v>162</v>
      </c>
      <c r="H11" s="106">
        <v>2</v>
      </c>
      <c r="I11" s="107">
        <v>70</v>
      </c>
      <c r="J11" s="107">
        <f t="shared" ref="J11:J93" si="2">H11*I11</f>
        <v>140</v>
      </c>
      <c r="K11" s="108"/>
      <c r="L11" s="109"/>
      <c r="S11" s="97"/>
    </row>
    <row r="12" spans="1:19" ht="19.5" customHeight="1">
      <c r="A12" s="104">
        <f t="shared" si="0"/>
        <v>7</v>
      </c>
      <c r="B12" s="121" t="s">
        <v>165</v>
      </c>
      <c r="C12" s="122"/>
      <c r="D12" s="126" t="s">
        <v>224</v>
      </c>
      <c r="E12" s="127"/>
      <c r="F12" s="128"/>
      <c r="G12" s="105" t="s">
        <v>97</v>
      </c>
      <c r="H12" s="106">
        <v>5</v>
      </c>
      <c r="I12" s="107">
        <v>80</v>
      </c>
      <c r="J12" s="107">
        <f t="shared" si="2"/>
        <v>400</v>
      </c>
      <c r="K12" s="108"/>
      <c r="L12" s="109"/>
      <c r="S12" s="97"/>
    </row>
    <row r="13" spans="1:19" ht="19.5" customHeight="1">
      <c r="A13" s="104">
        <f t="shared" si="0"/>
        <v>8</v>
      </c>
      <c r="B13" s="121" t="s">
        <v>145</v>
      </c>
      <c r="C13" s="122"/>
      <c r="D13" s="126" t="s">
        <v>225</v>
      </c>
      <c r="E13" s="127"/>
      <c r="F13" s="128"/>
      <c r="G13" s="105" t="s">
        <v>161</v>
      </c>
      <c r="H13" s="106">
        <v>20</v>
      </c>
      <c r="I13" s="107">
        <v>11</v>
      </c>
      <c r="J13" s="107">
        <f t="shared" si="2"/>
        <v>220</v>
      </c>
      <c r="K13" s="108"/>
      <c r="L13" s="109"/>
      <c r="S13" s="97"/>
    </row>
    <row r="14" spans="1:19" ht="19.5" customHeight="1">
      <c r="A14" s="104">
        <f t="shared" si="0"/>
        <v>9</v>
      </c>
      <c r="B14" s="121" t="s">
        <v>166</v>
      </c>
      <c r="C14" s="122"/>
      <c r="D14" s="126" t="s">
        <v>226</v>
      </c>
      <c r="E14" s="127"/>
      <c r="F14" s="128"/>
      <c r="G14" s="105" t="s">
        <v>161</v>
      </c>
      <c r="H14" s="106">
        <v>2</v>
      </c>
      <c r="I14" s="107">
        <v>12</v>
      </c>
      <c r="J14" s="107">
        <f t="shared" si="2"/>
        <v>24</v>
      </c>
      <c r="K14" s="108"/>
      <c r="L14" s="109"/>
      <c r="S14" s="97"/>
    </row>
    <row r="15" spans="1:19" ht="19.5" customHeight="1">
      <c r="A15" s="104">
        <f t="shared" si="0"/>
        <v>10</v>
      </c>
      <c r="B15" s="121" t="s">
        <v>138</v>
      </c>
      <c r="C15" s="122"/>
      <c r="D15" s="126" t="s">
        <v>227</v>
      </c>
      <c r="E15" s="127"/>
      <c r="F15" s="128"/>
      <c r="G15" s="105" t="s">
        <v>97</v>
      </c>
      <c r="H15" s="106">
        <v>10</v>
      </c>
      <c r="I15" s="107">
        <v>3</v>
      </c>
      <c r="J15" s="107">
        <f t="shared" si="2"/>
        <v>30</v>
      </c>
      <c r="K15" s="108"/>
      <c r="L15" s="105"/>
      <c r="S15" s="97"/>
    </row>
    <row r="16" spans="1:19" ht="19.5" customHeight="1">
      <c r="A16" s="104">
        <f t="shared" si="0"/>
        <v>11</v>
      </c>
      <c r="B16" s="121" t="s">
        <v>167</v>
      </c>
      <c r="C16" s="122"/>
      <c r="D16" s="126" t="s">
        <v>228</v>
      </c>
      <c r="E16" s="127"/>
      <c r="F16" s="128"/>
      <c r="G16" s="105" t="s">
        <v>162</v>
      </c>
      <c r="H16" s="106">
        <v>10</v>
      </c>
      <c r="I16" s="107">
        <v>57</v>
      </c>
      <c r="J16" s="107">
        <f t="shared" si="2"/>
        <v>570</v>
      </c>
      <c r="K16" s="108"/>
      <c r="L16" s="105"/>
      <c r="S16" s="97"/>
    </row>
    <row r="17" spans="1:19" ht="19.5" customHeight="1">
      <c r="A17" s="104">
        <f t="shared" si="0"/>
        <v>12</v>
      </c>
      <c r="B17" s="121" t="s">
        <v>130</v>
      </c>
      <c r="C17" s="122"/>
      <c r="D17" s="126" t="s">
        <v>229</v>
      </c>
      <c r="E17" s="127"/>
      <c r="F17" s="128"/>
      <c r="G17" s="105" t="s">
        <v>97</v>
      </c>
      <c r="H17" s="106">
        <v>5</v>
      </c>
      <c r="I17" s="107">
        <v>46</v>
      </c>
      <c r="J17" s="107">
        <f t="shared" si="2"/>
        <v>230</v>
      </c>
      <c r="K17" s="108"/>
      <c r="L17" s="105"/>
      <c r="S17" s="97"/>
    </row>
    <row r="18" spans="1:19" ht="19.5" customHeight="1">
      <c r="A18" s="104">
        <f t="shared" si="0"/>
        <v>13</v>
      </c>
      <c r="B18" s="121" t="s">
        <v>129</v>
      </c>
      <c r="C18" s="122"/>
      <c r="D18" s="126" t="s">
        <v>230</v>
      </c>
      <c r="E18" s="127"/>
      <c r="F18" s="128"/>
      <c r="G18" s="105" t="s">
        <v>160</v>
      </c>
      <c r="H18" s="106">
        <v>2</v>
      </c>
      <c r="I18" s="107">
        <v>95</v>
      </c>
      <c r="J18" s="107">
        <f t="shared" si="2"/>
        <v>190</v>
      </c>
      <c r="K18" s="108"/>
      <c r="L18" s="105"/>
      <c r="S18" s="97"/>
    </row>
    <row r="19" spans="1:19" ht="19.5" customHeight="1">
      <c r="A19" s="104">
        <f t="shared" si="0"/>
        <v>14</v>
      </c>
      <c r="B19" s="121" t="s">
        <v>168</v>
      </c>
      <c r="C19" s="122"/>
      <c r="D19" s="126" t="s">
        <v>231</v>
      </c>
      <c r="E19" s="127"/>
      <c r="F19" s="128"/>
      <c r="G19" s="105" t="s">
        <v>97</v>
      </c>
      <c r="H19" s="106">
        <v>2000</v>
      </c>
      <c r="I19" s="107">
        <v>1</v>
      </c>
      <c r="J19" s="107">
        <f t="shared" si="2"/>
        <v>2000</v>
      </c>
      <c r="K19" s="108"/>
      <c r="L19" s="105"/>
      <c r="S19" s="97"/>
    </row>
    <row r="20" spans="1:19" ht="19.5" customHeight="1">
      <c r="A20" s="104">
        <f t="shared" si="0"/>
        <v>15</v>
      </c>
      <c r="B20" s="121" t="s">
        <v>143</v>
      </c>
      <c r="C20" s="122"/>
      <c r="D20" s="126" t="s">
        <v>232</v>
      </c>
      <c r="E20" s="127"/>
      <c r="F20" s="128"/>
      <c r="G20" s="105" t="s">
        <v>162</v>
      </c>
      <c r="H20" s="106">
        <v>35</v>
      </c>
      <c r="I20" s="107">
        <v>153</v>
      </c>
      <c r="J20" s="107">
        <f t="shared" si="2"/>
        <v>5355</v>
      </c>
      <c r="K20" s="108"/>
      <c r="L20" s="105"/>
      <c r="S20" s="97"/>
    </row>
    <row r="21" spans="1:19" ht="19.5" customHeight="1">
      <c r="A21" s="104">
        <f t="shared" si="0"/>
        <v>16</v>
      </c>
      <c r="B21" s="121" t="s">
        <v>140</v>
      </c>
      <c r="C21" s="122"/>
      <c r="D21" s="126" t="s">
        <v>222</v>
      </c>
      <c r="E21" s="127"/>
      <c r="F21" s="128"/>
      <c r="G21" s="105" t="s">
        <v>161</v>
      </c>
      <c r="H21" s="106">
        <v>15</v>
      </c>
      <c r="I21" s="107">
        <v>55</v>
      </c>
      <c r="J21" s="107">
        <f t="shared" si="2"/>
        <v>825</v>
      </c>
      <c r="K21" s="108"/>
      <c r="L21" s="105"/>
      <c r="S21" s="97"/>
    </row>
    <row r="22" spans="1:19" ht="19.5" customHeight="1">
      <c r="A22" s="104">
        <f t="shared" si="0"/>
        <v>17</v>
      </c>
      <c r="B22" s="121" t="s">
        <v>169</v>
      </c>
      <c r="C22" s="122"/>
      <c r="D22" s="126" t="s">
        <v>233</v>
      </c>
      <c r="E22" s="127"/>
      <c r="F22" s="128"/>
      <c r="G22" s="105" t="s">
        <v>97</v>
      </c>
      <c r="H22" s="106">
        <v>1</v>
      </c>
      <c r="I22" s="107">
        <v>1050</v>
      </c>
      <c r="J22" s="107">
        <f t="shared" si="2"/>
        <v>1050</v>
      </c>
      <c r="K22" s="108"/>
      <c r="L22" s="105"/>
      <c r="S22" s="97"/>
    </row>
    <row r="23" spans="1:19" ht="19.5" customHeight="1">
      <c r="A23" s="104">
        <f t="shared" si="0"/>
        <v>18</v>
      </c>
      <c r="B23" s="121" t="s">
        <v>170</v>
      </c>
      <c r="C23" s="122"/>
      <c r="D23" s="126" t="s">
        <v>152</v>
      </c>
      <c r="E23" s="127"/>
      <c r="F23" s="128"/>
      <c r="G23" s="105" t="s">
        <v>97</v>
      </c>
      <c r="H23" s="106">
        <v>5</v>
      </c>
      <c r="I23" s="107">
        <v>21</v>
      </c>
      <c r="J23" s="107">
        <f t="shared" si="2"/>
        <v>105</v>
      </c>
      <c r="K23" s="108"/>
      <c r="L23" s="105"/>
      <c r="S23" s="97"/>
    </row>
    <row r="24" spans="1:19" ht="19.5" customHeight="1">
      <c r="A24" s="104">
        <f t="shared" si="0"/>
        <v>19</v>
      </c>
      <c r="B24" s="121" t="s">
        <v>171</v>
      </c>
      <c r="C24" s="122"/>
      <c r="D24" s="126" t="s">
        <v>234</v>
      </c>
      <c r="E24" s="127"/>
      <c r="F24" s="128"/>
      <c r="G24" s="105" t="s">
        <v>97</v>
      </c>
      <c r="H24" s="106">
        <v>5</v>
      </c>
      <c r="I24" s="107">
        <v>80</v>
      </c>
      <c r="J24" s="107">
        <f t="shared" si="2"/>
        <v>400</v>
      </c>
      <c r="K24" s="108"/>
      <c r="L24" s="105"/>
      <c r="S24" s="97"/>
    </row>
    <row r="25" spans="1:19" ht="19.5" customHeight="1">
      <c r="A25" s="104">
        <f t="shared" si="0"/>
        <v>20</v>
      </c>
      <c r="B25" s="121" t="s">
        <v>131</v>
      </c>
      <c r="C25" s="122"/>
      <c r="D25" s="126" t="s">
        <v>154</v>
      </c>
      <c r="E25" s="127"/>
      <c r="F25" s="128"/>
      <c r="G25" s="105" t="s">
        <v>128</v>
      </c>
      <c r="H25" s="106">
        <v>65</v>
      </c>
      <c r="I25" s="107">
        <v>41.5</v>
      </c>
      <c r="J25" s="107">
        <f t="shared" si="2"/>
        <v>2697.5</v>
      </c>
      <c r="K25" s="108"/>
      <c r="L25" s="105"/>
      <c r="S25" s="97"/>
    </row>
    <row r="26" spans="1:19" ht="19.5" customHeight="1">
      <c r="A26" s="104">
        <f t="shared" si="0"/>
        <v>21</v>
      </c>
      <c r="B26" s="121" t="s">
        <v>172</v>
      </c>
      <c r="C26" s="122"/>
      <c r="D26" s="126" t="s">
        <v>152</v>
      </c>
      <c r="E26" s="127"/>
      <c r="F26" s="128"/>
      <c r="G26" s="105" t="s">
        <v>160</v>
      </c>
      <c r="H26" s="106">
        <v>200</v>
      </c>
      <c r="I26" s="107">
        <v>63.5</v>
      </c>
      <c r="J26" s="107">
        <f t="shared" si="2"/>
        <v>12700</v>
      </c>
      <c r="K26" s="108"/>
      <c r="L26" s="105"/>
      <c r="S26" s="97"/>
    </row>
    <row r="27" spans="1:19" ht="19.5" customHeight="1">
      <c r="A27" s="104">
        <f t="shared" si="0"/>
        <v>22</v>
      </c>
      <c r="B27" s="121" t="s">
        <v>173</v>
      </c>
      <c r="C27" s="122"/>
      <c r="D27" s="126" t="s">
        <v>235</v>
      </c>
      <c r="E27" s="127"/>
      <c r="F27" s="128"/>
      <c r="G27" s="105" t="s">
        <v>97</v>
      </c>
      <c r="H27" s="106">
        <v>150</v>
      </c>
      <c r="I27" s="107">
        <v>11</v>
      </c>
      <c r="J27" s="107">
        <f t="shared" si="2"/>
        <v>1650</v>
      </c>
      <c r="K27" s="108"/>
      <c r="L27" s="105"/>
      <c r="S27" s="97"/>
    </row>
    <row r="28" spans="1:19" ht="19.5" customHeight="1">
      <c r="A28" s="104">
        <f t="shared" si="0"/>
        <v>23</v>
      </c>
      <c r="B28" s="121" t="s">
        <v>139</v>
      </c>
      <c r="C28" s="122"/>
      <c r="D28" s="126" t="s">
        <v>153</v>
      </c>
      <c r="E28" s="127"/>
      <c r="F28" s="128"/>
      <c r="G28" s="105" t="s">
        <v>97</v>
      </c>
      <c r="H28" s="106">
        <v>41</v>
      </c>
      <c r="I28" s="107">
        <v>97</v>
      </c>
      <c r="J28" s="107">
        <f t="shared" si="2"/>
        <v>3977</v>
      </c>
      <c r="K28" s="108"/>
      <c r="L28" s="105"/>
      <c r="S28" s="97"/>
    </row>
    <row r="29" spans="1:19" ht="19.5" customHeight="1">
      <c r="A29" s="104">
        <f t="shared" si="0"/>
        <v>24</v>
      </c>
      <c r="B29" s="121" t="s">
        <v>174</v>
      </c>
      <c r="C29" s="122"/>
      <c r="D29" s="126" t="s">
        <v>236</v>
      </c>
      <c r="E29" s="127"/>
      <c r="F29" s="128"/>
      <c r="G29" s="105" t="s">
        <v>97</v>
      </c>
      <c r="H29" s="106">
        <v>2</v>
      </c>
      <c r="I29" s="107">
        <v>240</v>
      </c>
      <c r="J29" s="107">
        <f t="shared" si="2"/>
        <v>480</v>
      </c>
      <c r="K29" s="108"/>
      <c r="L29" s="105"/>
      <c r="S29" s="97"/>
    </row>
    <row r="30" spans="1:19" ht="19.5" customHeight="1">
      <c r="A30" s="104">
        <f t="shared" si="0"/>
        <v>25</v>
      </c>
      <c r="B30" s="121" t="s">
        <v>175</v>
      </c>
      <c r="C30" s="122"/>
      <c r="D30" s="126" t="s">
        <v>237</v>
      </c>
      <c r="E30" s="127"/>
      <c r="F30" s="128"/>
      <c r="G30" s="105" t="s">
        <v>97</v>
      </c>
      <c r="H30" s="106">
        <v>1000</v>
      </c>
      <c r="I30" s="107">
        <v>3</v>
      </c>
      <c r="J30" s="107">
        <f t="shared" si="2"/>
        <v>3000</v>
      </c>
      <c r="K30" s="108"/>
      <c r="L30" s="105"/>
      <c r="S30" s="97"/>
    </row>
    <row r="31" spans="1:19" ht="19.5" customHeight="1">
      <c r="A31" s="104">
        <f t="shared" si="0"/>
        <v>26</v>
      </c>
      <c r="B31" s="121" t="s">
        <v>176</v>
      </c>
      <c r="C31" s="122"/>
      <c r="D31" s="126" t="s">
        <v>238</v>
      </c>
      <c r="E31" s="127"/>
      <c r="F31" s="128"/>
      <c r="G31" s="105" t="s">
        <v>97</v>
      </c>
      <c r="H31" s="106">
        <v>2</v>
      </c>
      <c r="I31" s="107">
        <v>506</v>
      </c>
      <c r="J31" s="107">
        <f t="shared" si="2"/>
        <v>1012</v>
      </c>
      <c r="K31" s="108"/>
      <c r="L31" s="105"/>
      <c r="S31" s="97"/>
    </row>
    <row r="32" spans="1:19" ht="19.5" customHeight="1">
      <c r="A32" s="104">
        <f t="shared" si="0"/>
        <v>27</v>
      </c>
      <c r="B32" s="121" t="s">
        <v>176</v>
      </c>
      <c r="C32" s="122"/>
      <c r="D32" s="126" t="s">
        <v>132</v>
      </c>
      <c r="E32" s="127"/>
      <c r="F32" s="128"/>
      <c r="G32" s="105" t="s">
        <v>97</v>
      </c>
      <c r="H32" s="106">
        <v>1</v>
      </c>
      <c r="I32" s="107">
        <v>342</v>
      </c>
      <c r="J32" s="107">
        <f t="shared" si="2"/>
        <v>342</v>
      </c>
      <c r="K32" s="108"/>
      <c r="L32" s="105"/>
      <c r="S32" s="97"/>
    </row>
    <row r="33" spans="1:19" ht="19.5" customHeight="1">
      <c r="A33" s="104">
        <f t="shared" si="0"/>
        <v>28</v>
      </c>
      <c r="B33" s="121" t="s">
        <v>177</v>
      </c>
      <c r="C33" s="122"/>
      <c r="D33" s="126" t="s">
        <v>152</v>
      </c>
      <c r="E33" s="127"/>
      <c r="F33" s="128"/>
      <c r="G33" s="105" t="s">
        <v>161</v>
      </c>
      <c r="H33" s="106">
        <v>2</v>
      </c>
      <c r="I33" s="107">
        <v>15</v>
      </c>
      <c r="J33" s="107">
        <f t="shared" si="2"/>
        <v>30</v>
      </c>
      <c r="K33" s="108"/>
      <c r="L33" s="105"/>
      <c r="S33" s="97"/>
    </row>
    <row r="34" spans="1:19" ht="19.5" customHeight="1">
      <c r="A34" s="104">
        <f t="shared" si="0"/>
        <v>29</v>
      </c>
      <c r="B34" s="121" t="s">
        <v>178</v>
      </c>
      <c r="C34" s="122"/>
      <c r="D34" s="126" t="s">
        <v>152</v>
      </c>
      <c r="E34" s="127"/>
      <c r="F34" s="128"/>
      <c r="G34" s="105" t="s">
        <v>97</v>
      </c>
      <c r="H34" s="106">
        <v>5</v>
      </c>
      <c r="I34" s="107">
        <v>14</v>
      </c>
      <c r="J34" s="107">
        <f t="shared" si="2"/>
        <v>70</v>
      </c>
      <c r="K34" s="108"/>
      <c r="L34" s="105"/>
      <c r="S34" s="97"/>
    </row>
    <row r="35" spans="1:19" ht="19.5" customHeight="1">
      <c r="A35" s="104">
        <f t="shared" si="0"/>
        <v>30</v>
      </c>
      <c r="B35" s="121" t="s">
        <v>179</v>
      </c>
      <c r="C35" s="122"/>
      <c r="D35" s="126" t="s">
        <v>239</v>
      </c>
      <c r="E35" s="127"/>
      <c r="F35" s="128"/>
      <c r="G35" s="105" t="s">
        <v>97</v>
      </c>
      <c r="H35" s="106">
        <v>1</v>
      </c>
      <c r="I35" s="107">
        <v>37</v>
      </c>
      <c r="J35" s="107">
        <f t="shared" si="2"/>
        <v>37</v>
      </c>
      <c r="K35" s="108"/>
      <c r="L35" s="105"/>
      <c r="S35" s="97"/>
    </row>
    <row r="36" spans="1:19" ht="19.5" customHeight="1">
      <c r="A36" s="104">
        <f t="shared" si="0"/>
        <v>31</v>
      </c>
      <c r="B36" s="121" t="s">
        <v>180</v>
      </c>
      <c r="C36" s="122"/>
      <c r="D36" s="126" t="s">
        <v>240</v>
      </c>
      <c r="E36" s="127"/>
      <c r="F36" s="128"/>
      <c r="G36" s="105" t="s">
        <v>97</v>
      </c>
      <c r="H36" s="106">
        <v>5</v>
      </c>
      <c r="I36" s="107">
        <v>5.25</v>
      </c>
      <c r="J36" s="107">
        <f t="shared" si="2"/>
        <v>26.25</v>
      </c>
      <c r="K36" s="108"/>
      <c r="L36" s="105"/>
      <c r="S36" s="97"/>
    </row>
    <row r="37" spans="1:19" ht="19.5" customHeight="1">
      <c r="A37" s="104">
        <f t="shared" si="0"/>
        <v>32</v>
      </c>
      <c r="B37" s="121" t="s">
        <v>180</v>
      </c>
      <c r="C37" s="122"/>
      <c r="D37" s="126" t="s">
        <v>241</v>
      </c>
      <c r="E37" s="127"/>
      <c r="F37" s="128"/>
      <c r="G37" s="105" t="s">
        <v>97</v>
      </c>
      <c r="H37" s="106">
        <v>5</v>
      </c>
      <c r="I37" s="107">
        <v>4.25</v>
      </c>
      <c r="J37" s="107">
        <f t="shared" si="2"/>
        <v>21.25</v>
      </c>
      <c r="K37" s="108"/>
      <c r="L37" s="105"/>
      <c r="S37" s="97"/>
    </row>
    <row r="38" spans="1:19" ht="19.5" customHeight="1">
      <c r="A38" s="104">
        <f t="shared" si="0"/>
        <v>33</v>
      </c>
      <c r="B38" s="121" t="s">
        <v>146</v>
      </c>
      <c r="C38" s="122"/>
      <c r="D38" s="126" t="s">
        <v>156</v>
      </c>
      <c r="E38" s="127"/>
      <c r="F38" s="128"/>
      <c r="G38" s="105" t="s">
        <v>162</v>
      </c>
      <c r="H38" s="106">
        <v>200</v>
      </c>
      <c r="I38" s="107">
        <v>6.5</v>
      </c>
      <c r="J38" s="107">
        <f t="shared" si="2"/>
        <v>1300</v>
      </c>
      <c r="K38" s="108"/>
      <c r="L38" s="105"/>
      <c r="S38" s="97"/>
    </row>
    <row r="39" spans="1:19" ht="19.5" customHeight="1">
      <c r="A39" s="104">
        <f t="shared" si="0"/>
        <v>34</v>
      </c>
      <c r="B39" s="121" t="s">
        <v>181</v>
      </c>
      <c r="C39" s="122"/>
      <c r="D39" s="126" t="s">
        <v>152</v>
      </c>
      <c r="E39" s="127"/>
      <c r="F39" s="128"/>
      <c r="G39" s="105" t="s">
        <v>97</v>
      </c>
      <c r="H39" s="106">
        <v>6</v>
      </c>
      <c r="I39" s="107">
        <v>80</v>
      </c>
      <c r="J39" s="107">
        <f t="shared" si="2"/>
        <v>480</v>
      </c>
      <c r="K39" s="108"/>
      <c r="L39" s="105"/>
      <c r="S39" s="97"/>
    </row>
    <row r="40" spans="1:19" ht="19.5" customHeight="1">
      <c r="A40" s="104">
        <f t="shared" si="0"/>
        <v>35</v>
      </c>
      <c r="B40" s="121" t="s">
        <v>182</v>
      </c>
      <c r="C40" s="122"/>
      <c r="D40" s="126" t="s">
        <v>242</v>
      </c>
      <c r="E40" s="127"/>
      <c r="F40" s="128"/>
      <c r="G40" s="105" t="s">
        <v>97</v>
      </c>
      <c r="H40" s="106">
        <v>230</v>
      </c>
      <c r="I40" s="107">
        <v>17</v>
      </c>
      <c r="J40" s="107">
        <f t="shared" si="2"/>
        <v>3910</v>
      </c>
      <c r="K40" s="108"/>
      <c r="L40" s="105"/>
      <c r="S40" s="97"/>
    </row>
    <row r="41" spans="1:19" ht="19.5" customHeight="1">
      <c r="A41" s="104">
        <f t="shared" si="0"/>
        <v>36</v>
      </c>
      <c r="B41" s="121" t="s">
        <v>183</v>
      </c>
      <c r="C41" s="122"/>
      <c r="D41" s="126" t="s">
        <v>133</v>
      </c>
      <c r="E41" s="127"/>
      <c r="F41" s="128"/>
      <c r="G41" s="105" t="s">
        <v>97</v>
      </c>
      <c r="H41" s="106">
        <v>4</v>
      </c>
      <c r="I41" s="107">
        <v>156</v>
      </c>
      <c r="J41" s="107">
        <f t="shared" si="2"/>
        <v>624</v>
      </c>
      <c r="K41" s="108"/>
      <c r="L41" s="105"/>
      <c r="S41" s="97"/>
    </row>
    <row r="42" spans="1:19" ht="19.5" customHeight="1">
      <c r="A42" s="104">
        <f t="shared" si="0"/>
        <v>37</v>
      </c>
      <c r="B42" s="121" t="s">
        <v>142</v>
      </c>
      <c r="C42" s="122"/>
      <c r="D42" s="126" t="s">
        <v>232</v>
      </c>
      <c r="E42" s="127"/>
      <c r="F42" s="128"/>
      <c r="G42" s="105" t="s">
        <v>162</v>
      </c>
      <c r="H42" s="106">
        <v>77</v>
      </c>
      <c r="I42" s="107">
        <v>76</v>
      </c>
      <c r="J42" s="107">
        <f t="shared" si="2"/>
        <v>5852</v>
      </c>
      <c r="K42" s="108"/>
      <c r="L42" s="105"/>
      <c r="S42" s="97"/>
    </row>
    <row r="43" spans="1:19" ht="19.5" customHeight="1">
      <c r="A43" s="104">
        <f t="shared" si="0"/>
        <v>38</v>
      </c>
      <c r="B43" s="121" t="s">
        <v>184</v>
      </c>
      <c r="C43" s="122"/>
      <c r="D43" s="126" t="s">
        <v>243</v>
      </c>
      <c r="E43" s="127"/>
      <c r="F43" s="128"/>
      <c r="G43" s="105" t="s">
        <v>97</v>
      </c>
      <c r="H43" s="106">
        <v>12</v>
      </c>
      <c r="I43" s="107">
        <v>24</v>
      </c>
      <c r="J43" s="107">
        <f t="shared" si="2"/>
        <v>288</v>
      </c>
      <c r="K43" s="108"/>
      <c r="L43" s="105"/>
      <c r="S43" s="97"/>
    </row>
    <row r="44" spans="1:19" ht="19.5" customHeight="1">
      <c r="A44" s="104">
        <f t="shared" si="0"/>
        <v>39</v>
      </c>
      <c r="B44" s="121" t="s">
        <v>185</v>
      </c>
      <c r="C44" s="122"/>
      <c r="D44" s="126" t="s">
        <v>152</v>
      </c>
      <c r="E44" s="127"/>
      <c r="F44" s="128"/>
      <c r="G44" s="105" t="s">
        <v>161</v>
      </c>
      <c r="H44" s="106">
        <v>12</v>
      </c>
      <c r="I44" s="107">
        <v>10.41</v>
      </c>
      <c r="J44" s="107">
        <f t="shared" si="2"/>
        <v>124.92</v>
      </c>
      <c r="K44" s="108"/>
      <c r="L44" s="105"/>
      <c r="S44" s="97"/>
    </row>
    <row r="45" spans="1:19" ht="19.5" customHeight="1">
      <c r="A45" s="104">
        <f t="shared" si="0"/>
        <v>40</v>
      </c>
      <c r="B45" s="121" t="s">
        <v>186</v>
      </c>
      <c r="C45" s="122"/>
      <c r="D45" s="126" t="s">
        <v>244</v>
      </c>
      <c r="E45" s="127"/>
      <c r="F45" s="128"/>
      <c r="G45" s="105" t="s">
        <v>97</v>
      </c>
      <c r="H45" s="106">
        <v>100</v>
      </c>
      <c r="I45" s="107">
        <v>11</v>
      </c>
      <c r="J45" s="107">
        <f t="shared" si="2"/>
        <v>1100</v>
      </c>
      <c r="K45" s="108"/>
      <c r="L45" s="105"/>
      <c r="S45" s="97"/>
    </row>
    <row r="46" spans="1:19" ht="19.5" customHeight="1">
      <c r="A46" s="104">
        <f t="shared" si="0"/>
        <v>41</v>
      </c>
      <c r="B46" s="121" t="s">
        <v>187</v>
      </c>
      <c r="C46" s="122"/>
      <c r="D46" s="126" t="s">
        <v>245</v>
      </c>
      <c r="E46" s="127"/>
      <c r="F46" s="128"/>
      <c r="G46" s="105" t="s">
        <v>97</v>
      </c>
      <c r="H46" s="106">
        <v>50</v>
      </c>
      <c r="I46" s="107">
        <v>12</v>
      </c>
      <c r="J46" s="107">
        <f t="shared" si="2"/>
        <v>600</v>
      </c>
      <c r="K46" s="108"/>
      <c r="L46" s="105"/>
      <c r="S46" s="97"/>
    </row>
    <row r="47" spans="1:19" ht="19.5" customHeight="1">
      <c r="A47" s="104">
        <f t="shared" si="0"/>
        <v>42</v>
      </c>
      <c r="B47" s="121" t="s">
        <v>188</v>
      </c>
      <c r="C47" s="122"/>
      <c r="D47" s="126" t="s">
        <v>152</v>
      </c>
      <c r="E47" s="127"/>
      <c r="F47" s="128"/>
      <c r="G47" s="105" t="s">
        <v>161</v>
      </c>
      <c r="H47" s="106">
        <v>4</v>
      </c>
      <c r="I47" s="107">
        <v>35</v>
      </c>
      <c r="J47" s="107">
        <f t="shared" si="2"/>
        <v>140</v>
      </c>
      <c r="K47" s="108"/>
      <c r="L47" s="105"/>
      <c r="S47" s="97"/>
    </row>
    <row r="48" spans="1:19" ht="19.5" customHeight="1">
      <c r="A48" s="104">
        <f t="shared" si="0"/>
        <v>43</v>
      </c>
      <c r="B48" s="123" t="s">
        <v>149</v>
      </c>
      <c r="C48" s="124"/>
      <c r="D48" s="126" t="s">
        <v>246</v>
      </c>
      <c r="E48" s="127"/>
      <c r="F48" s="128"/>
      <c r="G48" s="105" t="s">
        <v>161</v>
      </c>
      <c r="H48" s="106">
        <v>10</v>
      </c>
      <c r="I48" s="107">
        <v>12</v>
      </c>
      <c r="J48" s="107">
        <f t="shared" si="2"/>
        <v>120</v>
      </c>
      <c r="K48" s="108"/>
      <c r="L48" s="105"/>
      <c r="S48" s="97"/>
    </row>
    <row r="49" spans="1:19" ht="19.5" customHeight="1">
      <c r="A49" s="104">
        <f t="shared" si="0"/>
        <v>44</v>
      </c>
      <c r="B49" s="123" t="s">
        <v>189</v>
      </c>
      <c r="C49" s="124"/>
      <c r="D49" s="126" t="s">
        <v>152</v>
      </c>
      <c r="E49" s="127"/>
      <c r="F49" s="128"/>
      <c r="G49" s="105" t="s">
        <v>97</v>
      </c>
      <c r="H49" s="106">
        <v>2</v>
      </c>
      <c r="I49" s="107">
        <v>1050</v>
      </c>
      <c r="J49" s="107">
        <f t="shared" si="2"/>
        <v>2100</v>
      </c>
      <c r="K49" s="108"/>
      <c r="L49" s="105"/>
      <c r="S49" s="97"/>
    </row>
    <row r="50" spans="1:19" ht="19.5" customHeight="1">
      <c r="A50" s="104">
        <f t="shared" si="0"/>
        <v>45</v>
      </c>
      <c r="B50" s="123" t="s">
        <v>190</v>
      </c>
      <c r="C50" s="124"/>
      <c r="D50" s="126" t="s">
        <v>247</v>
      </c>
      <c r="E50" s="127"/>
      <c r="F50" s="128"/>
      <c r="G50" s="105" t="s">
        <v>97</v>
      </c>
      <c r="H50" s="106">
        <v>4</v>
      </c>
      <c r="I50" s="107">
        <v>44</v>
      </c>
      <c r="J50" s="107">
        <f t="shared" si="2"/>
        <v>176</v>
      </c>
      <c r="K50" s="108"/>
      <c r="L50" s="105"/>
      <c r="S50" s="97"/>
    </row>
    <row r="51" spans="1:19" ht="19.5" customHeight="1">
      <c r="A51" s="104">
        <f t="shared" si="0"/>
        <v>46</v>
      </c>
      <c r="B51" s="123" t="s">
        <v>191</v>
      </c>
      <c r="C51" s="124"/>
      <c r="D51" s="126" t="s">
        <v>248</v>
      </c>
      <c r="E51" s="127"/>
      <c r="F51" s="128"/>
      <c r="G51" s="105" t="s">
        <v>97</v>
      </c>
      <c r="H51" s="106">
        <v>2</v>
      </c>
      <c r="I51" s="107">
        <v>13</v>
      </c>
      <c r="J51" s="107">
        <f t="shared" si="2"/>
        <v>26</v>
      </c>
      <c r="K51" s="108"/>
      <c r="L51" s="105"/>
      <c r="S51" s="97"/>
    </row>
    <row r="52" spans="1:19" ht="19.5" customHeight="1">
      <c r="A52" s="104">
        <f t="shared" si="0"/>
        <v>47</v>
      </c>
      <c r="B52" s="123" t="s">
        <v>192</v>
      </c>
      <c r="C52" s="124"/>
      <c r="D52" s="126" t="s">
        <v>249</v>
      </c>
      <c r="E52" s="127"/>
      <c r="F52" s="128"/>
      <c r="G52" s="105" t="s">
        <v>97</v>
      </c>
      <c r="H52" s="106">
        <v>10</v>
      </c>
      <c r="I52" s="107">
        <v>30</v>
      </c>
      <c r="J52" s="107">
        <f t="shared" si="2"/>
        <v>300</v>
      </c>
      <c r="K52" s="108"/>
      <c r="L52" s="105"/>
      <c r="S52" s="97"/>
    </row>
    <row r="53" spans="1:19" ht="19.5" customHeight="1">
      <c r="A53" s="104">
        <f t="shared" si="0"/>
        <v>48</v>
      </c>
      <c r="B53" s="123" t="s">
        <v>193</v>
      </c>
      <c r="C53" s="124"/>
      <c r="D53" s="126" t="s">
        <v>249</v>
      </c>
      <c r="E53" s="127"/>
      <c r="F53" s="128"/>
      <c r="G53" s="105" t="s">
        <v>97</v>
      </c>
      <c r="H53" s="106">
        <v>10</v>
      </c>
      <c r="I53" s="107">
        <v>7</v>
      </c>
      <c r="J53" s="107">
        <f t="shared" si="2"/>
        <v>70</v>
      </c>
      <c r="K53" s="108"/>
      <c r="L53" s="105"/>
      <c r="S53" s="97"/>
    </row>
    <row r="54" spans="1:19" ht="19.5" customHeight="1">
      <c r="A54" s="104">
        <f t="shared" si="0"/>
        <v>49</v>
      </c>
      <c r="B54" s="123" t="s">
        <v>194</v>
      </c>
      <c r="C54" s="124"/>
      <c r="D54" s="126" t="s">
        <v>250</v>
      </c>
      <c r="E54" s="127"/>
      <c r="F54" s="128"/>
      <c r="G54" s="105" t="s">
        <v>161</v>
      </c>
      <c r="H54" s="106">
        <v>50</v>
      </c>
      <c r="I54" s="107">
        <v>2</v>
      </c>
      <c r="J54" s="107">
        <f t="shared" si="2"/>
        <v>100</v>
      </c>
      <c r="K54" s="108"/>
      <c r="L54" s="105"/>
      <c r="S54" s="97"/>
    </row>
    <row r="55" spans="1:19" ht="19.5" customHeight="1">
      <c r="A55" s="104">
        <f t="shared" si="0"/>
        <v>50</v>
      </c>
      <c r="B55" s="123" t="s">
        <v>194</v>
      </c>
      <c r="C55" s="124"/>
      <c r="D55" s="126" t="s">
        <v>251</v>
      </c>
      <c r="E55" s="127"/>
      <c r="F55" s="128"/>
      <c r="G55" s="105" t="s">
        <v>161</v>
      </c>
      <c r="H55" s="106">
        <v>50</v>
      </c>
      <c r="I55" s="107">
        <v>1.9</v>
      </c>
      <c r="J55" s="107">
        <f t="shared" si="2"/>
        <v>95</v>
      </c>
      <c r="K55" s="108"/>
      <c r="L55" s="105"/>
      <c r="S55" s="97"/>
    </row>
    <row r="56" spans="1:19" ht="19.5" customHeight="1">
      <c r="A56" s="104">
        <f t="shared" si="0"/>
        <v>51</v>
      </c>
      <c r="B56" s="123" t="s">
        <v>195</v>
      </c>
      <c r="C56" s="124"/>
      <c r="D56" s="126" t="s">
        <v>152</v>
      </c>
      <c r="E56" s="127"/>
      <c r="F56" s="128"/>
      <c r="G56" s="105" t="s">
        <v>97</v>
      </c>
      <c r="H56" s="106">
        <v>1000</v>
      </c>
      <c r="I56" s="107">
        <v>1</v>
      </c>
      <c r="J56" s="107">
        <f t="shared" si="2"/>
        <v>1000</v>
      </c>
      <c r="K56" s="108"/>
      <c r="L56" s="105"/>
      <c r="S56" s="97"/>
    </row>
    <row r="57" spans="1:19" ht="19.5" customHeight="1">
      <c r="A57" s="104">
        <f t="shared" si="0"/>
        <v>52</v>
      </c>
      <c r="B57" s="123" t="s">
        <v>196</v>
      </c>
      <c r="C57" s="124"/>
      <c r="D57" s="126" t="s">
        <v>252</v>
      </c>
      <c r="E57" s="127"/>
      <c r="F57" s="128"/>
      <c r="G57" s="105" t="s">
        <v>97</v>
      </c>
      <c r="H57" s="106">
        <v>1</v>
      </c>
      <c r="I57" s="107">
        <v>380</v>
      </c>
      <c r="J57" s="107">
        <f t="shared" si="2"/>
        <v>380</v>
      </c>
      <c r="K57" s="108"/>
      <c r="L57" s="105"/>
      <c r="S57" s="97"/>
    </row>
    <row r="58" spans="1:19" ht="19.5" customHeight="1">
      <c r="A58" s="104">
        <f t="shared" si="0"/>
        <v>53</v>
      </c>
      <c r="B58" s="123" t="s">
        <v>197</v>
      </c>
      <c r="C58" s="124"/>
      <c r="D58" s="126" t="s">
        <v>152</v>
      </c>
      <c r="E58" s="127"/>
      <c r="F58" s="128"/>
      <c r="G58" s="105" t="s">
        <v>162</v>
      </c>
      <c r="H58" s="106">
        <v>2</v>
      </c>
      <c r="I58" s="107">
        <v>22</v>
      </c>
      <c r="J58" s="107">
        <f t="shared" si="2"/>
        <v>44</v>
      </c>
      <c r="K58" s="108"/>
      <c r="L58" s="105"/>
      <c r="S58" s="97"/>
    </row>
    <row r="59" spans="1:19" ht="19.5" customHeight="1">
      <c r="A59" s="104">
        <f t="shared" si="0"/>
        <v>54</v>
      </c>
      <c r="B59" s="123" t="s">
        <v>198</v>
      </c>
      <c r="C59" s="124"/>
      <c r="D59" s="126" t="s">
        <v>157</v>
      </c>
      <c r="E59" s="127"/>
      <c r="F59" s="128"/>
      <c r="G59" s="105" t="s">
        <v>161</v>
      </c>
      <c r="H59" s="106">
        <v>60</v>
      </c>
      <c r="I59" s="107">
        <v>9</v>
      </c>
      <c r="J59" s="107">
        <f t="shared" si="2"/>
        <v>540</v>
      </c>
      <c r="K59" s="108"/>
      <c r="L59" s="105"/>
      <c r="S59" s="97"/>
    </row>
    <row r="60" spans="1:19" ht="19.5" customHeight="1">
      <c r="A60" s="104">
        <f t="shared" si="0"/>
        <v>55</v>
      </c>
      <c r="B60" s="123" t="s">
        <v>199</v>
      </c>
      <c r="C60" s="124"/>
      <c r="D60" s="126" t="s">
        <v>152</v>
      </c>
      <c r="E60" s="127"/>
      <c r="F60" s="128"/>
      <c r="G60" s="105" t="s">
        <v>97</v>
      </c>
      <c r="H60" s="106">
        <v>2</v>
      </c>
      <c r="I60" s="107">
        <v>29</v>
      </c>
      <c r="J60" s="107">
        <f t="shared" si="2"/>
        <v>58</v>
      </c>
      <c r="K60" s="108"/>
      <c r="L60" s="105"/>
      <c r="S60" s="97"/>
    </row>
    <row r="61" spans="1:19" ht="19.5" customHeight="1">
      <c r="A61" s="104">
        <f t="shared" si="0"/>
        <v>56</v>
      </c>
      <c r="B61" s="123" t="s">
        <v>200</v>
      </c>
      <c r="C61" s="124"/>
      <c r="D61" s="126" t="s">
        <v>152</v>
      </c>
      <c r="E61" s="127"/>
      <c r="F61" s="128"/>
      <c r="G61" s="105" t="s">
        <v>97</v>
      </c>
      <c r="H61" s="106">
        <v>10</v>
      </c>
      <c r="I61" s="107">
        <v>11</v>
      </c>
      <c r="J61" s="107">
        <f t="shared" si="2"/>
        <v>110</v>
      </c>
      <c r="K61" s="108"/>
      <c r="L61" s="105"/>
      <c r="S61" s="97"/>
    </row>
    <row r="62" spans="1:19" ht="19.5" customHeight="1">
      <c r="A62" s="104">
        <f t="shared" si="0"/>
        <v>57</v>
      </c>
      <c r="B62" s="123" t="s">
        <v>201</v>
      </c>
      <c r="C62" s="124"/>
      <c r="D62" s="126" t="s">
        <v>152</v>
      </c>
      <c r="E62" s="127"/>
      <c r="F62" s="128"/>
      <c r="G62" s="105" t="s">
        <v>97</v>
      </c>
      <c r="H62" s="106">
        <v>3</v>
      </c>
      <c r="I62" s="107">
        <v>5</v>
      </c>
      <c r="J62" s="107">
        <f t="shared" si="2"/>
        <v>15</v>
      </c>
      <c r="K62" s="108"/>
      <c r="L62" s="105"/>
      <c r="S62" s="97"/>
    </row>
    <row r="63" spans="1:19" ht="19.5" customHeight="1">
      <c r="A63" s="104">
        <f t="shared" si="0"/>
        <v>58</v>
      </c>
      <c r="B63" s="123" t="s">
        <v>202</v>
      </c>
      <c r="C63" s="124"/>
      <c r="D63" s="126" t="s">
        <v>132</v>
      </c>
      <c r="E63" s="127"/>
      <c r="F63" s="128"/>
      <c r="G63" s="105" t="s">
        <v>97</v>
      </c>
      <c r="H63" s="106">
        <v>2</v>
      </c>
      <c r="I63" s="107">
        <v>385</v>
      </c>
      <c r="J63" s="107">
        <f t="shared" si="2"/>
        <v>770</v>
      </c>
      <c r="K63" s="108"/>
      <c r="L63" s="105"/>
      <c r="S63" s="97"/>
    </row>
    <row r="64" spans="1:19" ht="19.5" customHeight="1">
      <c r="A64" s="104">
        <f t="shared" si="0"/>
        <v>59</v>
      </c>
      <c r="B64" s="123" t="s">
        <v>202</v>
      </c>
      <c r="C64" s="124"/>
      <c r="D64" s="126" t="s">
        <v>253</v>
      </c>
      <c r="E64" s="127"/>
      <c r="F64" s="128"/>
      <c r="G64" s="105" t="s">
        <v>97</v>
      </c>
      <c r="H64" s="106">
        <v>2</v>
      </c>
      <c r="I64" s="107">
        <v>500</v>
      </c>
      <c r="J64" s="107">
        <f t="shared" si="2"/>
        <v>1000</v>
      </c>
      <c r="K64" s="108"/>
      <c r="L64" s="105"/>
      <c r="S64" s="97"/>
    </row>
    <row r="65" spans="1:19" ht="19.5" customHeight="1">
      <c r="A65" s="104">
        <f t="shared" si="0"/>
        <v>60</v>
      </c>
      <c r="B65" s="123" t="s">
        <v>137</v>
      </c>
      <c r="C65" s="124"/>
      <c r="D65" s="126" t="s">
        <v>254</v>
      </c>
      <c r="E65" s="127"/>
      <c r="F65" s="128"/>
      <c r="G65" s="105" t="s">
        <v>161</v>
      </c>
      <c r="H65" s="106">
        <v>10</v>
      </c>
      <c r="I65" s="107">
        <v>14.5</v>
      </c>
      <c r="J65" s="107">
        <f t="shared" si="2"/>
        <v>145</v>
      </c>
      <c r="K65" s="108"/>
      <c r="L65" s="105"/>
      <c r="S65" s="97"/>
    </row>
    <row r="66" spans="1:19" ht="19.5" customHeight="1">
      <c r="A66" s="104">
        <f t="shared" si="0"/>
        <v>61</v>
      </c>
      <c r="B66" s="123" t="s">
        <v>147</v>
      </c>
      <c r="C66" s="124"/>
      <c r="D66" s="126" t="s">
        <v>152</v>
      </c>
      <c r="E66" s="127"/>
      <c r="F66" s="128"/>
      <c r="G66" s="105" t="s">
        <v>161</v>
      </c>
      <c r="H66" s="106">
        <v>5</v>
      </c>
      <c r="I66" s="107">
        <v>19.5</v>
      </c>
      <c r="J66" s="107">
        <f t="shared" si="2"/>
        <v>97.5</v>
      </c>
      <c r="K66" s="108"/>
      <c r="L66" s="105"/>
      <c r="S66" s="97"/>
    </row>
    <row r="67" spans="1:19" ht="19.5" customHeight="1">
      <c r="A67" s="104">
        <f t="shared" si="0"/>
        <v>62</v>
      </c>
      <c r="B67" s="123" t="s">
        <v>203</v>
      </c>
      <c r="C67" s="124"/>
      <c r="D67" s="126" t="s">
        <v>158</v>
      </c>
      <c r="E67" s="127"/>
      <c r="F67" s="128"/>
      <c r="G67" s="105" t="s">
        <v>97</v>
      </c>
      <c r="H67" s="106">
        <v>12</v>
      </c>
      <c r="I67" s="107">
        <v>26</v>
      </c>
      <c r="J67" s="107">
        <f t="shared" si="2"/>
        <v>312</v>
      </c>
      <c r="K67" s="108"/>
      <c r="L67" s="105"/>
      <c r="S67" s="97"/>
    </row>
    <row r="68" spans="1:19" ht="19.5" customHeight="1">
      <c r="A68" s="104">
        <f t="shared" si="0"/>
        <v>63</v>
      </c>
      <c r="B68" s="123" t="s">
        <v>204</v>
      </c>
      <c r="C68" s="124"/>
      <c r="D68" s="126" t="s">
        <v>255</v>
      </c>
      <c r="E68" s="127"/>
      <c r="F68" s="128"/>
      <c r="G68" s="105" t="s">
        <v>162</v>
      </c>
      <c r="H68" s="106">
        <v>1</v>
      </c>
      <c r="I68" s="107">
        <v>65</v>
      </c>
      <c r="J68" s="107">
        <f t="shared" si="2"/>
        <v>65</v>
      </c>
      <c r="K68" s="108"/>
      <c r="L68" s="105"/>
      <c r="S68" s="97"/>
    </row>
    <row r="69" spans="1:19" ht="19.5" customHeight="1">
      <c r="A69" s="104">
        <f t="shared" si="0"/>
        <v>64</v>
      </c>
      <c r="B69" s="123" t="s">
        <v>150</v>
      </c>
      <c r="C69" s="124"/>
      <c r="D69" s="126" t="s">
        <v>132</v>
      </c>
      <c r="E69" s="127"/>
      <c r="F69" s="128"/>
      <c r="G69" s="105" t="s">
        <v>97</v>
      </c>
      <c r="H69" s="106">
        <v>3</v>
      </c>
      <c r="I69" s="107">
        <v>237</v>
      </c>
      <c r="J69" s="107">
        <f t="shared" si="2"/>
        <v>711</v>
      </c>
      <c r="K69" s="108"/>
      <c r="L69" s="105"/>
      <c r="S69" s="97"/>
    </row>
    <row r="70" spans="1:19" ht="19.5" customHeight="1">
      <c r="A70" s="104">
        <f t="shared" si="0"/>
        <v>65</v>
      </c>
      <c r="B70" s="123" t="s">
        <v>205</v>
      </c>
      <c r="C70" s="124"/>
      <c r="D70" s="126" t="s">
        <v>132</v>
      </c>
      <c r="E70" s="127"/>
      <c r="F70" s="128"/>
      <c r="G70" s="105" t="s">
        <v>97</v>
      </c>
      <c r="H70" s="106">
        <v>25</v>
      </c>
      <c r="I70" s="107">
        <v>12</v>
      </c>
      <c r="J70" s="107">
        <f t="shared" si="2"/>
        <v>300</v>
      </c>
      <c r="K70" s="108"/>
      <c r="L70" s="105"/>
      <c r="S70" s="97"/>
    </row>
    <row r="71" spans="1:19" ht="19.5" customHeight="1">
      <c r="A71" s="104">
        <f t="shared" si="0"/>
        <v>66</v>
      </c>
      <c r="B71" s="123" t="s">
        <v>206</v>
      </c>
      <c r="C71" s="124"/>
      <c r="D71" s="126" t="s">
        <v>152</v>
      </c>
      <c r="E71" s="127"/>
      <c r="F71" s="128"/>
      <c r="G71" s="105" t="s">
        <v>97</v>
      </c>
      <c r="H71" s="106">
        <v>6</v>
      </c>
      <c r="I71" s="107">
        <v>6</v>
      </c>
      <c r="J71" s="107">
        <f t="shared" si="2"/>
        <v>36</v>
      </c>
      <c r="K71" s="108"/>
      <c r="L71" s="105"/>
      <c r="S71" s="97"/>
    </row>
    <row r="72" spans="1:19" ht="19.5" customHeight="1">
      <c r="A72" s="104">
        <f t="shared" si="0"/>
        <v>67</v>
      </c>
      <c r="B72" s="123" t="s">
        <v>191</v>
      </c>
      <c r="C72" s="124"/>
      <c r="D72" s="126" t="s">
        <v>256</v>
      </c>
      <c r="E72" s="127"/>
      <c r="F72" s="128"/>
      <c r="G72" s="105" t="s">
        <v>97</v>
      </c>
      <c r="H72" s="106">
        <v>2</v>
      </c>
      <c r="I72" s="107">
        <v>18</v>
      </c>
      <c r="J72" s="107">
        <f t="shared" si="2"/>
        <v>36</v>
      </c>
      <c r="K72" s="108"/>
      <c r="L72" s="105"/>
      <c r="S72" s="97"/>
    </row>
    <row r="73" spans="1:19" ht="19.5" customHeight="1">
      <c r="A73" s="104">
        <f t="shared" si="0"/>
        <v>68</v>
      </c>
      <c r="B73" s="123" t="s">
        <v>207</v>
      </c>
      <c r="C73" s="124"/>
      <c r="D73" s="126" t="s">
        <v>152</v>
      </c>
      <c r="E73" s="127"/>
      <c r="F73" s="128"/>
      <c r="G73" s="105" t="s">
        <v>97</v>
      </c>
      <c r="H73" s="106">
        <v>24</v>
      </c>
      <c r="I73" s="107">
        <v>8</v>
      </c>
      <c r="J73" s="107">
        <f t="shared" si="2"/>
        <v>192</v>
      </c>
      <c r="K73" s="108"/>
      <c r="L73" s="105"/>
      <c r="S73" s="97"/>
    </row>
    <row r="74" spans="1:19" ht="19.5" customHeight="1">
      <c r="A74" s="104">
        <f t="shared" si="0"/>
        <v>69</v>
      </c>
      <c r="B74" s="123" t="s">
        <v>208</v>
      </c>
      <c r="C74" s="124"/>
      <c r="D74" s="126" t="s">
        <v>257</v>
      </c>
      <c r="E74" s="127"/>
      <c r="F74" s="128"/>
      <c r="G74" s="105" t="s">
        <v>97</v>
      </c>
      <c r="H74" s="106">
        <v>150</v>
      </c>
      <c r="I74" s="107">
        <v>1.5</v>
      </c>
      <c r="J74" s="107">
        <f t="shared" si="2"/>
        <v>225</v>
      </c>
      <c r="K74" s="108"/>
      <c r="L74" s="105"/>
      <c r="S74" s="97"/>
    </row>
    <row r="75" spans="1:19" ht="19.5" customHeight="1">
      <c r="A75" s="104">
        <f t="shared" si="0"/>
        <v>70</v>
      </c>
      <c r="B75" s="123" t="s">
        <v>209</v>
      </c>
      <c r="C75" s="124"/>
      <c r="D75" s="126" t="s">
        <v>258</v>
      </c>
      <c r="E75" s="127"/>
      <c r="F75" s="128"/>
      <c r="G75" s="105" t="s">
        <v>162</v>
      </c>
      <c r="H75" s="106">
        <v>1</v>
      </c>
      <c r="I75" s="107">
        <v>181</v>
      </c>
      <c r="J75" s="107">
        <f t="shared" si="2"/>
        <v>181</v>
      </c>
      <c r="K75" s="108"/>
      <c r="L75" s="105"/>
      <c r="S75" s="97"/>
    </row>
    <row r="76" spans="1:19" ht="19.5" customHeight="1">
      <c r="A76" s="104">
        <f t="shared" si="0"/>
        <v>71</v>
      </c>
      <c r="B76" s="123" t="s">
        <v>210</v>
      </c>
      <c r="C76" s="124"/>
      <c r="D76" s="126" t="s">
        <v>152</v>
      </c>
      <c r="E76" s="127"/>
      <c r="F76" s="128"/>
      <c r="G76" s="105" t="s">
        <v>97</v>
      </c>
      <c r="H76" s="106">
        <v>10</v>
      </c>
      <c r="I76" s="107">
        <v>7.3</v>
      </c>
      <c r="J76" s="107">
        <f t="shared" si="2"/>
        <v>73</v>
      </c>
      <c r="K76" s="108"/>
      <c r="L76" s="105"/>
      <c r="S76" s="97"/>
    </row>
    <row r="77" spans="1:19" ht="19.5" customHeight="1">
      <c r="A77" s="104">
        <f t="shared" si="0"/>
        <v>72</v>
      </c>
      <c r="B77" s="123" t="s">
        <v>211</v>
      </c>
      <c r="C77" s="124"/>
      <c r="D77" s="126" t="s">
        <v>259</v>
      </c>
      <c r="E77" s="127"/>
      <c r="F77" s="128"/>
      <c r="G77" s="105" t="s">
        <v>97</v>
      </c>
      <c r="H77" s="106">
        <v>3</v>
      </c>
      <c r="I77" s="107">
        <v>350</v>
      </c>
      <c r="J77" s="107">
        <f t="shared" si="2"/>
        <v>1050</v>
      </c>
      <c r="K77" s="108"/>
      <c r="L77" s="105"/>
      <c r="S77" s="97"/>
    </row>
    <row r="78" spans="1:19" ht="19.5" customHeight="1">
      <c r="A78" s="104">
        <f t="shared" si="0"/>
        <v>73</v>
      </c>
      <c r="B78" s="123" t="s">
        <v>211</v>
      </c>
      <c r="C78" s="124"/>
      <c r="D78" s="126" t="s">
        <v>260</v>
      </c>
      <c r="E78" s="127"/>
      <c r="F78" s="128"/>
      <c r="G78" s="105" t="s">
        <v>97</v>
      </c>
      <c r="H78" s="106">
        <v>2</v>
      </c>
      <c r="I78" s="107">
        <v>450</v>
      </c>
      <c r="J78" s="107">
        <f t="shared" si="2"/>
        <v>900</v>
      </c>
      <c r="K78" s="108"/>
      <c r="L78" s="105"/>
      <c r="S78" s="97"/>
    </row>
    <row r="79" spans="1:19" ht="19.5" customHeight="1">
      <c r="A79" s="104">
        <f t="shared" si="0"/>
        <v>74</v>
      </c>
      <c r="B79" s="123" t="s">
        <v>211</v>
      </c>
      <c r="C79" s="124"/>
      <c r="D79" s="126" t="s">
        <v>261</v>
      </c>
      <c r="E79" s="127"/>
      <c r="F79" s="128"/>
      <c r="G79" s="105" t="s">
        <v>97</v>
      </c>
      <c r="H79" s="106">
        <v>2</v>
      </c>
      <c r="I79" s="107">
        <v>450</v>
      </c>
      <c r="J79" s="107">
        <f t="shared" si="2"/>
        <v>900</v>
      </c>
      <c r="K79" s="108"/>
      <c r="L79" s="105"/>
      <c r="S79" s="97"/>
    </row>
    <row r="80" spans="1:19" ht="19.5" customHeight="1">
      <c r="A80" s="104">
        <f t="shared" si="0"/>
        <v>75</v>
      </c>
      <c r="B80" s="123" t="s">
        <v>211</v>
      </c>
      <c r="C80" s="124"/>
      <c r="D80" s="126" t="s">
        <v>262</v>
      </c>
      <c r="E80" s="127"/>
      <c r="F80" s="128"/>
      <c r="G80" s="105" t="s">
        <v>97</v>
      </c>
      <c r="H80" s="106">
        <v>1</v>
      </c>
      <c r="I80" s="107">
        <v>450</v>
      </c>
      <c r="J80" s="107">
        <f t="shared" si="2"/>
        <v>450</v>
      </c>
      <c r="K80" s="108"/>
      <c r="L80" s="105"/>
      <c r="S80" s="97"/>
    </row>
    <row r="81" spans="1:22" ht="19.5" customHeight="1">
      <c r="A81" s="104">
        <f t="shared" si="0"/>
        <v>76</v>
      </c>
      <c r="B81" s="123" t="s">
        <v>212</v>
      </c>
      <c r="C81" s="124"/>
      <c r="D81" s="126" t="s">
        <v>152</v>
      </c>
      <c r="E81" s="127"/>
      <c r="F81" s="128"/>
      <c r="G81" s="105" t="s">
        <v>97</v>
      </c>
      <c r="H81" s="106">
        <v>1</v>
      </c>
      <c r="I81" s="107">
        <v>1080</v>
      </c>
      <c r="J81" s="107">
        <f t="shared" si="2"/>
        <v>1080</v>
      </c>
      <c r="K81" s="108"/>
      <c r="L81" s="105"/>
      <c r="S81" s="97"/>
    </row>
    <row r="82" spans="1:22" ht="19.5" customHeight="1">
      <c r="A82" s="104">
        <f t="shared" si="0"/>
        <v>77</v>
      </c>
      <c r="B82" s="123" t="s">
        <v>213</v>
      </c>
      <c r="C82" s="124"/>
      <c r="D82" s="126" t="s">
        <v>152</v>
      </c>
      <c r="E82" s="127"/>
      <c r="F82" s="128"/>
      <c r="G82" s="105" t="s">
        <v>97</v>
      </c>
      <c r="H82" s="106">
        <v>5</v>
      </c>
      <c r="I82" s="107">
        <v>610</v>
      </c>
      <c r="J82" s="107">
        <f t="shared" si="2"/>
        <v>3050</v>
      </c>
      <c r="K82" s="108"/>
      <c r="L82" s="105"/>
      <c r="S82" s="97"/>
    </row>
    <row r="83" spans="1:22" ht="19.5" customHeight="1">
      <c r="A83" s="104">
        <f t="shared" si="0"/>
        <v>78</v>
      </c>
      <c r="B83" s="123" t="s">
        <v>141</v>
      </c>
      <c r="C83" s="124"/>
      <c r="D83" s="126" t="s">
        <v>222</v>
      </c>
      <c r="E83" s="127"/>
      <c r="F83" s="128"/>
      <c r="G83" s="105" t="s">
        <v>161</v>
      </c>
      <c r="H83" s="106">
        <v>10</v>
      </c>
      <c r="I83" s="107">
        <v>28.8</v>
      </c>
      <c r="J83" s="107">
        <f t="shared" si="2"/>
        <v>288</v>
      </c>
      <c r="K83" s="108"/>
      <c r="L83" s="105"/>
      <c r="S83" s="97"/>
    </row>
    <row r="84" spans="1:22" ht="19.5" customHeight="1">
      <c r="A84" s="104">
        <f t="shared" si="0"/>
        <v>79</v>
      </c>
      <c r="B84" s="123" t="s">
        <v>214</v>
      </c>
      <c r="C84" s="124"/>
      <c r="D84" s="126" t="s">
        <v>152</v>
      </c>
      <c r="E84" s="127"/>
      <c r="F84" s="128"/>
      <c r="G84" s="105" t="s">
        <v>97</v>
      </c>
      <c r="H84" s="106">
        <v>1</v>
      </c>
      <c r="I84" s="107">
        <v>160</v>
      </c>
      <c r="J84" s="107">
        <f t="shared" si="2"/>
        <v>160</v>
      </c>
      <c r="K84" s="108"/>
      <c r="L84" s="105"/>
      <c r="S84" s="97"/>
    </row>
    <row r="85" spans="1:22" ht="19.5" customHeight="1">
      <c r="A85" s="104">
        <f t="shared" si="0"/>
        <v>80</v>
      </c>
      <c r="B85" s="123" t="s">
        <v>215</v>
      </c>
      <c r="C85" s="124"/>
      <c r="D85" s="126" t="s">
        <v>152</v>
      </c>
      <c r="E85" s="127"/>
      <c r="F85" s="128"/>
      <c r="G85" s="105" t="s">
        <v>97</v>
      </c>
      <c r="H85" s="106">
        <v>1</v>
      </c>
      <c r="I85" s="107">
        <v>36</v>
      </c>
      <c r="J85" s="107">
        <f t="shared" si="2"/>
        <v>36</v>
      </c>
      <c r="K85" s="108"/>
      <c r="L85" s="105"/>
      <c r="S85" s="97"/>
    </row>
    <row r="86" spans="1:22" ht="19.5" customHeight="1">
      <c r="A86" s="104">
        <f t="shared" si="0"/>
        <v>81</v>
      </c>
      <c r="B86" s="123" t="s">
        <v>216</v>
      </c>
      <c r="C86" s="124"/>
      <c r="D86" s="126" t="s">
        <v>263</v>
      </c>
      <c r="E86" s="127"/>
      <c r="F86" s="128"/>
      <c r="G86" s="105" t="s">
        <v>128</v>
      </c>
      <c r="H86" s="106">
        <v>5</v>
      </c>
      <c r="I86" s="107">
        <v>73</v>
      </c>
      <c r="J86" s="107">
        <f t="shared" si="2"/>
        <v>365</v>
      </c>
      <c r="K86" s="108"/>
      <c r="L86" s="105"/>
      <c r="S86" s="97"/>
    </row>
    <row r="87" spans="1:22" ht="19.5" customHeight="1">
      <c r="A87" s="104">
        <f t="shared" si="0"/>
        <v>82</v>
      </c>
      <c r="B87" s="123" t="s">
        <v>148</v>
      </c>
      <c r="C87" s="124"/>
      <c r="D87" s="126" t="s">
        <v>264</v>
      </c>
      <c r="E87" s="127"/>
      <c r="F87" s="128"/>
      <c r="G87" s="105" t="s">
        <v>97</v>
      </c>
      <c r="H87" s="106">
        <v>50</v>
      </c>
      <c r="I87" s="107">
        <v>3.15</v>
      </c>
      <c r="J87" s="107">
        <f t="shared" si="2"/>
        <v>157.5</v>
      </c>
      <c r="K87" s="108"/>
      <c r="L87" s="105"/>
      <c r="S87" s="97"/>
    </row>
    <row r="88" spans="1:22" ht="19.5" customHeight="1">
      <c r="A88" s="104">
        <f t="shared" si="0"/>
        <v>83</v>
      </c>
      <c r="B88" s="123" t="s">
        <v>148</v>
      </c>
      <c r="C88" s="124"/>
      <c r="D88" s="126" t="s">
        <v>159</v>
      </c>
      <c r="E88" s="127"/>
      <c r="F88" s="128"/>
      <c r="G88" s="105" t="s">
        <v>97</v>
      </c>
      <c r="H88" s="106">
        <v>100</v>
      </c>
      <c r="I88" s="107">
        <v>3.6</v>
      </c>
      <c r="J88" s="107">
        <f t="shared" si="2"/>
        <v>360</v>
      </c>
      <c r="K88" s="108"/>
      <c r="L88" s="105"/>
      <c r="S88" s="97"/>
    </row>
    <row r="89" spans="1:22" ht="19.5" customHeight="1">
      <c r="A89" s="104">
        <f t="shared" si="0"/>
        <v>84</v>
      </c>
      <c r="B89" s="123" t="s">
        <v>217</v>
      </c>
      <c r="C89" s="124"/>
      <c r="D89" s="126" t="s">
        <v>265</v>
      </c>
      <c r="E89" s="127"/>
      <c r="F89" s="128"/>
      <c r="G89" s="105" t="s">
        <v>162</v>
      </c>
      <c r="H89" s="106">
        <v>3</v>
      </c>
      <c r="I89" s="107">
        <v>144</v>
      </c>
      <c r="J89" s="107">
        <f t="shared" si="2"/>
        <v>432</v>
      </c>
      <c r="K89" s="108"/>
      <c r="L89" s="105"/>
      <c r="S89" s="97"/>
    </row>
    <row r="90" spans="1:22" ht="19.5" customHeight="1">
      <c r="A90" s="104">
        <f t="shared" si="0"/>
        <v>85</v>
      </c>
      <c r="B90" s="123" t="s">
        <v>218</v>
      </c>
      <c r="C90" s="124"/>
      <c r="D90" s="126" t="s">
        <v>266</v>
      </c>
      <c r="E90" s="127"/>
      <c r="F90" s="128"/>
      <c r="G90" s="105" t="s">
        <v>162</v>
      </c>
      <c r="H90" s="106">
        <v>5</v>
      </c>
      <c r="I90" s="107">
        <v>24</v>
      </c>
      <c r="J90" s="107">
        <f t="shared" si="2"/>
        <v>120</v>
      </c>
      <c r="K90" s="108"/>
      <c r="L90" s="105"/>
      <c r="S90" s="97"/>
    </row>
    <row r="91" spans="1:22" ht="19.5" customHeight="1">
      <c r="A91" s="104">
        <f t="shared" si="0"/>
        <v>86</v>
      </c>
      <c r="B91" s="123" t="s">
        <v>218</v>
      </c>
      <c r="C91" s="124"/>
      <c r="D91" s="126" t="s">
        <v>267</v>
      </c>
      <c r="E91" s="127"/>
      <c r="F91" s="128"/>
      <c r="G91" s="105" t="s">
        <v>162</v>
      </c>
      <c r="H91" s="106">
        <v>5</v>
      </c>
      <c r="I91" s="107">
        <v>30</v>
      </c>
      <c r="J91" s="107">
        <f t="shared" si="2"/>
        <v>150</v>
      </c>
      <c r="K91" s="108"/>
      <c r="L91" s="105"/>
      <c r="S91" s="97"/>
    </row>
    <row r="92" spans="1:22" ht="19.5" customHeight="1">
      <c r="A92" s="104">
        <f t="shared" si="0"/>
        <v>87</v>
      </c>
      <c r="B92" s="123" t="s">
        <v>219</v>
      </c>
      <c r="C92" s="124"/>
      <c r="D92" s="126" t="s">
        <v>268</v>
      </c>
      <c r="E92" s="127"/>
      <c r="F92" s="128"/>
      <c r="G92" s="105" t="s">
        <v>161</v>
      </c>
      <c r="H92" s="106">
        <v>25</v>
      </c>
      <c r="I92" s="107">
        <v>3.5</v>
      </c>
      <c r="J92" s="107">
        <f t="shared" si="2"/>
        <v>87.5</v>
      </c>
      <c r="K92" s="108"/>
      <c r="L92" s="105"/>
      <c r="S92" s="97"/>
    </row>
    <row r="93" spans="1:22" ht="19.5" customHeight="1">
      <c r="A93" s="104">
        <f t="shared" si="0"/>
        <v>88</v>
      </c>
      <c r="B93" s="123" t="s">
        <v>220</v>
      </c>
      <c r="C93" s="124"/>
      <c r="D93" s="126" t="s">
        <v>269</v>
      </c>
      <c r="E93" s="127"/>
      <c r="F93" s="128"/>
      <c r="G93" s="105" t="s">
        <v>161</v>
      </c>
      <c r="H93" s="106">
        <v>10</v>
      </c>
      <c r="I93" s="107">
        <v>20</v>
      </c>
      <c r="J93" s="107">
        <f t="shared" si="2"/>
        <v>200</v>
      </c>
      <c r="K93" s="108"/>
      <c r="L93" s="105"/>
      <c r="S93" s="97"/>
    </row>
    <row r="94" spans="1:22" ht="19.5" customHeight="1">
      <c r="A94" s="125" t="s">
        <v>8</v>
      </c>
      <c r="B94" s="125"/>
      <c r="C94" s="112"/>
      <c r="D94" s="113"/>
      <c r="E94" s="113"/>
      <c r="F94" s="113"/>
      <c r="G94" s="114"/>
      <c r="H94" s="115"/>
      <c r="I94" s="111" t="s">
        <v>9</v>
      </c>
      <c r="J94" s="107">
        <f>SUM(J6:J93)</f>
        <v>78186.42</v>
      </c>
      <c r="K94" s="107"/>
      <c r="L94" s="110"/>
    </row>
    <row r="95" spans="1:22" ht="25.5" customHeight="1">
      <c r="A95" s="103" t="s">
        <v>10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</row>
    <row r="96" spans="1:22" ht="18" customHeight="1">
      <c r="A96" s="7"/>
      <c r="J96" s="1"/>
      <c r="K96" s="1"/>
      <c r="O96" s="8"/>
      <c r="P96" s="8"/>
      <c r="Q96" s="8"/>
      <c r="S96" s="133" t="s">
        <v>11</v>
      </c>
      <c r="T96" s="9" t="s">
        <v>12</v>
      </c>
      <c r="U96" s="10" t="s">
        <v>13</v>
      </c>
      <c r="V96" s="9" t="s">
        <v>14</v>
      </c>
    </row>
    <row r="97" spans="15:22" ht="50.1" customHeight="1">
      <c r="S97" s="134"/>
      <c r="T97" s="11"/>
      <c r="U97" s="12"/>
      <c r="V97" s="11"/>
    </row>
    <row r="98" spans="15:22" ht="17.100000000000001" customHeight="1">
      <c r="O98" s="8"/>
      <c r="P98" s="8"/>
      <c r="Q98" s="8"/>
      <c r="S98" s="131"/>
      <c r="T98" s="12" t="s">
        <v>15</v>
      </c>
      <c r="U98" s="12" t="s">
        <v>15</v>
      </c>
      <c r="V98" s="13" t="s">
        <v>15</v>
      </c>
    </row>
    <row r="99" spans="15:22" ht="15" customHeight="1">
      <c r="O99" s="14" t="s">
        <v>16</v>
      </c>
      <c r="P99" s="130" t="s">
        <v>17</v>
      </c>
      <c r="Q99" s="130" t="s">
        <v>18</v>
      </c>
    </row>
    <row r="100" spans="15:22" ht="18" customHeight="1">
      <c r="O100" s="15" t="s">
        <v>19</v>
      </c>
      <c r="P100" s="132"/>
      <c r="Q100" s="132"/>
      <c r="S100" s="133" t="s">
        <v>20</v>
      </c>
      <c r="T100" s="9" t="s">
        <v>12</v>
      </c>
      <c r="U100" s="9" t="s">
        <v>13</v>
      </c>
      <c r="V100" s="9" t="s">
        <v>14</v>
      </c>
    </row>
    <row r="101" spans="15:22" ht="50.1" customHeight="1">
      <c r="O101" s="11"/>
      <c r="P101" s="11"/>
      <c r="Q101" s="11"/>
      <c r="S101" s="134"/>
      <c r="T101" s="16"/>
      <c r="U101" s="16"/>
      <c r="V101" s="11"/>
    </row>
    <row r="102" spans="15:22" ht="17.100000000000001" customHeight="1">
      <c r="O102" s="13" t="s">
        <v>15</v>
      </c>
      <c r="P102" s="13" t="s">
        <v>15</v>
      </c>
      <c r="Q102" s="13" t="s">
        <v>15</v>
      </c>
      <c r="S102" s="131"/>
      <c r="T102" s="12" t="s">
        <v>15</v>
      </c>
      <c r="U102" s="12" t="s">
        <v>15</v>
      </c>
      <c r="V102" s="13" t="s">
        <v>15</v>
      </c>
    </row>
    <row r="103" spans="15:22" ht="9.9499999999999993" customHeight="1"/>
    <row r="104" spans="15:22" ht="19.899999999999999" customHeight="1"/>
    <row r="105" spans="15:22" ht="17.45" customHeight="1">
      <c r="O105" s="129"/>
      <c r="P105" s="129"/>
      <c r="Q105" s="129"/>
    </row>
    <row r="106" spans="15:22" ht="19.899999999999999" customHeight="1">
      <c r="O106" s="129"/>
      <c r="P106" s="129"/>
      <c r="Q106" s="129"/>
    </row>
    <row r="107" spans="15:22" ht="14.25">
      <c r="O107" s="8"/>
      <c r="P107" s="8"/>
      <c r="Q107" s="8"/>
    </row>
    <row r="108" spans="15:22" ht="65.099999999999994" customHeight="1"/>
    <row r="109" spans="15:22" ht="14.25">
      <c r="O109" s="8"/>
      <c r="P109" s="8"/>
      <c r="Q109" s="8"/>
    </row>
    <row r="110" spans="15:22" ht="19.899999999999999" customHeight="1"/>
    <row r="111" spans="15:22" ht="14.25"/>
    <row r="112" spans="15:22" ht="19.899999999999999" customHeight="1"/>
    <row r="113" spans="15:22" ht="14.25"/>
    <row r="114" spans="15:22" ht="19.899999999999999" customHeight="1"/>
    <row r="115" spans="15:22" ht="19.899999999999999" customHeight="1"/>
    <row r="116" spans="15:22" ht="64.900000000000006" customHeight="1"/>
    <row r="118" spans="15:22" ht="19.899999999999999" customHeight="1">
      <c r="T118" s="130" t="s">
        <v>21</v>
      </c>
    </row>
    <row r="119" spans="15:22" ht="19.899999999999999" customHeight="1">
      <c r="T119" s="132"/>
    </row>
    <row r="120" spans="15:22" ht="64.900000000000006" customHeight="1">
      <c r="T120" s="11"/>
    </row>
    <row r="124" spans="15:22" ht="21" customHeight="1">
      <c r="O124" s="130" t="s">
        <v>21</v>
      </c>
      <c r="P124" s="130" t="s">
        <v>21</v>
      </c>
      <c r="Q124" s="130" t="s">
        <v>21</v>
      </c>
      <c r="T124" s="130" t="s">
        <v>22</v>
      </c>
      <c r="U124" s="130" t="s">
        <v>13</v>
      </c>
      <c r="V124" s="130" t="s">
        <v>21</v>
      </c>
    </row>
    <row r="125" spans="15:22" ht="21" customHeight="1">
      <c r="O125" s="132"/>
      <c r="P125" s="132"/>
      <c r="Q125" s="132"/>
      <c r="T125" s="131"/>
      <c r="U125" s="131"/>
      <c r="V125" s="132"/>
    </row>
    <row r="126" spans="15:22" ht="64.900000000000006" customHeight="1">
      <c r="O126" s="11"/>
      <c r="P126" s="11"/>
      <c r="Q126" s="11"/>
      <c r="T126" s="11"/>
      <c r="U126" s="12"/>
      <c r="V126" s="11"/>
    </row>
    <row r="127" spans="15:22" ht="7.15" customHeight="1"/>
    <row r="128" spans="15:22" ht="21" customHeight="1">
      <c r="O128" s="130" t="s">
        <v>21</v>
      </c>
      <c r="P128" s="130" t="s">
        <v>21</v>
      </c>
      <c r="Q128" s="130" t="s">
        <v>21</v>
      </c>
      <c r="T128" s="130" t="s">
        <v>13</v>
      </c>
      <c r="U128" s="130" t="s">
        <v>22</v>
      </c>
      <c r="V128" s="130" t="s">
        <v>21</v>
      </c>
    </row>
    <row r="129" spans="15:22" ht="21" customHeight="1">
      <c r="O129" s="132"/>
      <c r="P129" s="132"/>
      <c r="Q129" s="132"/>
      <c r="T129" s="131"/>
      <c r="U129" s="131"/>
      <c r="V129" s="132"/>
    </row>
    <row r="130" spans="15:22" ht="64.900000000000006" customHeight="1">
      <c r="O130" s="11"/>
      <c r="P130" s="11"/>
      <c r="Q130" s="11"/>
      <c r="T130" s="12"/>
      <c r="U130" s="11"/>
      <c r="V130" s="11"/>
    </row>
  </sheetData>
  <mergeCells count="121">
    <mergeCell ref="D65:F65"/>
    <mergeCell ref="D66:F66"/>
    <mergeCell ref="D82:F82"/>
    <mergeCell ref="D83:F83"/>
    <mergeCell ref="D84:F84"/>
    <mergeCell ref="D77:F77"/>
    <mergeCell ref="D78:F78"/>
    <mergeCell ref="D79:F79"/>
    <mergeCell ref="D80:F80"/>
    <mergeCell ref="D81:F81"/>
    <mergeCell ref="D72:F72"/>
    <mergeCell ref="D73:F73"/>
    <mergeCell ref="D74:F74"/>
    <mergeCell ref="D75:F75"/>
    <mergeCell ref="D76:F76"/>
    <mergeCell ref="D15:F15"/>
    <mergeCell ref="D32:F32"/>
    <mergeCell ref="D36:F36"/>
    <mergeCell ref="D37:F37"/>
    <mergeCell ref="A4:A5"/>
    <mergeCell ref="B4:C5"/>
    <mergeCell ref="D4:F5"/>
    <mergeCell ref="D7:F7"/>
    <mergeCell ref="D8:F8"/>
    <mergeCell ref="D9:F9"/>
    <mergeCell ref="D10:F10"/>
    <mergeCell ref="D11:F11"/>
    <mergeCell ref="D12:F12"/>
    <mergeCell ref="D13:F13"/>
    <mergeCell ref="D14:F14"/>
    <mergeCell ref="D16:F16"/>
    <mergeCell ref="D17:F17"/>
    <mergeCell ref="D18:F18"/>
    <mergeCell ref="D19:F19"/>
    <mergeCell ref="D20:F20"/>
    <mergeCell ref="D21:F21"/>
    <mergeCell ref="D23:F23"/>
    <mergeCell ref="D22:F22"/>
    <mergeCell ref="D27:F27"/>
    <mergeCell ref="L4:L5"/>
    <mergeCell ref="J1:L1"/>
    <mergeCell ref="J2:L2"/>
    <mergeCell ref="E3:I3"/>
    <mergeCell ref="D6:F6"/>
    <mergeCell ref="G4:G5"/>
    <mergeCell ref="H4:H5"/>
    <mergeCell ref="I4:I5"/>
    <mergeCell ref="J4:J5"/>
    <mergeCell ref="K4:K5"/>
    <mergeCell ref="D24:F24"/>
    <mergeCell ref="D25:F25"/>
    <mergeCell ref="D26:F26"/>
    <mergeCell ref="U124:U125"/>
    <mergeCell ref="V124:V125"/>
    <mergeCell ref="O128:O129"/>
    <mergeCell ref="P128:P129"/>
    <mergeCell ref="Q128:Q129"/>
    <mergeCell ref="T128:T129"/>
    <mergeCell ref="U128:U129"/>
    <mergeCell ref="V128:V129"/>
    <mergeCell ref="T118:T119"/>
    <mergeCell ref="O124:O125"/>
    <mergeCell ref="P124:P125"/>
    <mergeCell ref="Q124:Q125"/>
    <mergeCell ref="T124:T125"/>
    <mergeCell ref="S96:S98"/>
    <mergeCell ref="P99:P100"/>
    <mergeCell ref="Q99:Q100"/>
    <mergeCell ref="S100:S102"/>
    <mergeCell ref="D47:F47"/>
    <mergeCell ref="D85:F85"/>
    <mergeCell ref="D86:F86"/>
    <mergeCell ref="D87:F87"/>
    <mergeCell ref="P105:P106"/>
    <mergeCell ref="Q105:Q106"/>
    <mergeCell ref="D35:F35"/>
    <mergeCell ref="D30:F30"/>
    <mergeCell ref="D31:F31"/>
    <mergeCell ref="D41:F41"/>
    <mergeCell ref="D42:F42"/>
    <mergeCell ref="D43:F43"/>
    <mergeCell ref="D44:F44"/>
    <mergeCell ref="D45:F45"/>
    <mergeCell ref="D46:F46"/>
    <mergeCell ref="D55:F55"/>
    <mergeCell ref="D89:F89"/>
    <mergeCell ref="D90:F90"/>
    <mergeCell ref="D91:F91"/>
    <mergeCell ref="D88:F88"/>
    <mergeCell ref="D48:F48"/>
    <mergeCell ref="D49:F49"/>
    <mergeCell ref="D50:F50"/>
    <mergeCell ref="D51:F51"/>
    <mergeCell ref="D52:F52"/>
    <mergeCell ref="D53:F53"/>
    <mergeCell ref="D54:F54"/>
    <mergeCell ref="O105:O106"/>
    <mergeCell ref="A94:B94"/>
    <mergeCell ref="D28:F28"/>
    <mergeCell ref="D29:F29"/>
    <mergeCell ref="D33:F33"/>
    <mergeCell ref="D34:F34"/>
    <mergeCell ref="D38:F38"/>
    <mergeCell ref="D39:F39"/>
    <mergeCell ref="D40:F40"/>
    <mergeCell ref="D92:F92"/>
    <mergeCell ref="D93:F93"/>
    <mergeCell ref="D56:F56"/>
    <mergeCell ref="D57:F57"/>
    <mergeCell ref="D58:F58"/>
    <mergeCell ref="D59:F59"/>
    <mergeCell ref="D60:F60"/>
    <mergeCell ref="D61:F61"/>
    <mergeCell ref="D67:F67"/>
    <mergeCell ref="D68:F68"/>
    <mergeCell ref="D69:F69"/>
    <mergeCell ref="D70:F70"/>
    <mergeCell ref="D71:F71"/>
    <mergeCell ref="D62:F62"/>
    <mergeCell ref="D63:F63"/>
    <mergeCell ref="D64:F64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22" activePane="bottomLeft" state="frozen"/>
      <selection activeCell="D30" sqref="D30"/>
      <selection pane="bottomLeft" activeCell="I34" sqref="I3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36" t="str">
        <f>+MRS!J1</f>
        <v>DAESHIN PLANT</v>
      </c>
      <c r="K1" s="138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39" t="str">
        <f>+MRS!J2</f>
        <v>Subcontract name (SAC2-SC-IK-SMP-01)</v>
      </c>
      <c r="K2" s="141"/>
    </row>
    <row r="3" spans="1:18" ht="24.95" customHeight="1">
      <c r="A3" s="3" t="str">
        <f>+MRS!A3</f>
        <v xml:space="preserve">  MRS No : SAC2-DS-MRS-0348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46210</v>
      </c>
    </row>
    <row r="4" spans="1:18" ht="15.95" customHeight="1">
      <c r="A4" s="149" t="s">
        <v>2</v>
      </c>
      <c r="B4" s="150" t="s">
        <v>23</v>
      </c>
      <c r="C4" s="150"/>
      <c r="D4" s="149" t="s">
        <v>4</v>
      </c>
      <c r="E4" s="149"/>
      <c r="F4" s="149"/>
      <c r="G4" s="150" t="s">
        <v>5</v>
      </c>
      <c r="H4" s="149" t="s">
        <v>91</v>
      </c>
      <c r="I4" s="149" t="s">
        <v>24</v>
      </c>
      <c r="J4" s="149" t="s">
        <v>25</v>
      </c>
      <c r="K4" s="150" t="s">
        <v>7</v>
      </c>
    </row>
    <row r="5" spans="1:18" ht="15.95" customHeight="1">
      <c r="A5" s="149"/>
      <c r="B5" s="150"/>
      <c r="C5" s="150"/>
      <c r="D5" s="149"/>
      <c r="E5" s="149"/>
      <c r="F5" s="149"/>
      <c r="G5" s="150"/>
      <c r="H5" s="149"/>
      <c r="I5" s="149"/>
      <c r="J5" s="149"/>
      <c r="K5" s="150"/>
    </row>
    <row r="6" spans="1:18" ht="74.25" customHeight="1">
      <c r="A6" s="18">
        <f>+MRS!A6</f>
        <v>1</v>
      </c>
      <c r="B6" s="144" t="str">
        <f>MRS!B6</f>
        <v>Toilet Tissue</v>
      </c>
      <c r="C6" s="145"/>
      <c r="D6" s="146" t="str">
        <f>MRS!D6</f>
        <v>Mouchoir</v>
      </c>
      <c r="E6" s="147"/>
      <c r="F6" s="148"/>
      <c r="G6" s="94" t="str">
        <f>MRS!G6</f>
        <v>BDL</v>
      </c>
      <c r="H6" s="94">
        <f>MRS!H6</f>
        <v>20</v>
      </c>
      <c r="I6" s="95">
        <f>MRS!I6</f>
        <v>15.25</v>
      </c>
      <c r="J6" s="95">
        <f>MRS!J6</f>
        <v>305</v>
      </c>
      <c r="K6" s="96"/>
      <c r="O6" s="97"/>
      <c r="P6" s="97"/>
      <c r="R6" s="97"/>
    </row>
    <row r="7" spans="1:18" ht="74.25" customHeight="1">
      <c r="A7" s="18">
        <f>+MRS!A7</f>
        <v>2</v>
      </c>
      <c r="B7" s="144" t="str">
        <f>MRS!B7</f>
        <v>Time Card Holder</v>
      </c>
      <c r="C7" s="145"/>
      <c r="D7" s="146" t="str">
        <f>MRS!D7</f>
        <v>Super Deal</v>
      </c>
      <c r="E7" s="147"/>
      <c r="F7" s="148"/>
      <c r="G7" s="94" t="str">
        <f>MRS!G7</f>
        <v>EA</v>
      </c>
      <c r="H7" s="94">
        <f>MRS!H7</f>
        <v>40</v>
      </c>
      <c r="I7" s="95">
        <f>MRS!I7</f>
        <v>75</v>
      </c>
      <c r="J7" s="95">
        <f>MRS!J7</f>
        <v>3000</v>
      </c>
      <c r="K7" s="96"/>
      <c r="O7" s="97"/>
      <c r="P7" s="97"/>
      <c r="R7" s="97"/>
    </row>
    <row r="8" spans="1:18" ht="74.25" customHeight="1">
      <c r="A8" s="18">
        <f>+MRS!A8</f>
        <v>3</v>
      </c>
      <c r="B8" s="144" t="str">
        <f>MRS!B8</f>
        <v>Paper Cup</v>
      </c>
      <c r="C8" s="145"/>
      <c r="D8" s="146" t="str">
        <f>MRS!D8</f>
        <v>9Oz Modern</v>
      </c>
      <c r="E8" s="147"/>
      <c r="F8" s="148"/>
      <c r="G8" s="94" t="str">
        <f>MRS!G8</f>
        <v>BOX</v>
      </c>
      <c r="H8" s="94">
        <f>MRS!H8</f>
        <v>3</v>
      </c>
      <c r="I8" s="95">
        <f>MRS!I8</f>
        <v>64</v>
      </c>
      <c r="J8" s="95">
        <f>MRS!J8</f>
        <v>192</v>
      </c>
      <c r="K8" s="96"/>
      <c r="O8" s="97"/>
      <c r="P8" s="97"/>
      <c r="R8" s="97"/>
    </row>
    <row r="9" spans="1:18" ht="74.25" customHeight="1">
      <c r="A9" s="18">
        <f>+MRS!A9</f>
        <v>4</v>
      </c>
      <c r="B9" s="144" t="str">
        <f>MRS!B9</f>
        <v>Al Rai Juice Cocktail</v>
      </c>
      <c r="C9" s="145"/>
      <c r="D9" s="146" t="str">
        <f>MRS!D9</f>
        <v>27*250Ml</v>
      </c>
      <c r="E9" s="147"/>
      <c r="F9" s="148"/>
      <c r="G9" s="94" t="str">
        <f>MRS!G9</f>
        <v>EA</v>
      </c>
      <c r="H9" s="94">
        <f>MRS!H9</f>
        <v>1500</v>
      </c>
      <c r="I9" s="95">
        <f>MRS!I9</f>
        <v>1.25</v>
      </c>
      <c r="J9" s="95">
        <f>MRS!J9</f>
        <v>1875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44" t="str">
        <f>MRS!B10</f>
        <v>Cake</v>
      </c>
      <c r="C10" s="145"/>
      <c r="D10" s="146" t="str">
        <f>MRS!D10</f>
        <v/>
      </c>
      <c r="E10" s="147"/>
      <c r="F10" s="148"/>
      <c r="G10" s="94" t="str">
        <f>MRS!G10</f>
        <v>EA</v>
      </c>
      <c r="H10" s="94">
        <f>MRS!H10</f>
        <v>1400</v>
      </c>
      <c r="I10" s="95">
        <f>MRS!I10</f>
        <v>1.25</v>
      </c>
      <c r="J10" s="95">
        <f>MRS!J10</f>
        <v>1750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44" t="str">
        <f>MRS!B11</f>
        <v>Sugar</v>
      </c>
      <c r="C11" s="145"/>
      <c r="D11" s="146" t="str">
        <f>MRS!D11</f>
        <v>1Kg*20</v>
      </c>
      <c r="E11" s="147"/>
      <c r="F11" s="148"/>
      <c r="G11" s="94" t="str">
        <f>MRS!G11</f>
        <v>BOX</v>
      </c>
      <c r="H11" s="94">
        <f>MRS!H11</f>
        <v>2</v>
      </c>
      <c r="I11" s="95">
        <f>MRS!I11</f>
        <v>70</v>
      </c>
      <c r="J11" s="95">
        <f>MRS!J11</f>
        <v>140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44" t="str">
        <f>MRS!B12</f>
        <v>Extension Cord Legrand</v>
      </c>
      <c r="C12" s="145"/>
      <c r="D12" s="146" t="str">
        <f>MRS!D12</f>
        <v>5Way 3Mtr</v>
      </c>
      <c r="E12" s="147"/>
      <c r="F12" s="148"/>
      <c r="G12" s="94" t="str">
        <f>MRS!G12</f>
        <v>EA</v>
      </c>
      <c r="H12" s="94">
        <f>MRS!H12</f>
        <v>5</v>
      </c>
      <c r="I12" s="95">
        <f>MRS!I12</f>
        <v>80</v>
      </c>
      <c r="J12" s="95">
        <f>MRS!J12</f>
        <v>400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44" t="str">
        <f>MRS!B13</f>
        <v>Highlighter</v>
      </c>
      <c r="C13" s="145"/>
      <c r="D13" s="146" t="str">
        <f>MRS!D13</f>
        <v>Deli,Yellow</v>
      </c>
      <c r="E13" s="147"/>
      <c r="F13" s="148"/>
      <c r="G13" s="94" t="str">
        <f>MRS!G13</f>
        <v>PKT</v>
      </c>
      <c r="H13" s="94">
        <f>MRS!H13</f>
        <v>20</v>
      </c>
      <c r="I13" s="95">
        <f>MRS!I13</f>
        <v>11</v>
      </c>
      <c r="J13" s="95">
        <f>MRS!J13</f>
        <v>220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44" t="str">
        <f>MRS!B14</f>
        <v>Board Marker</v>
      </c>
      <c r="C14" s="145"/>
      <c r="D14" s="146" t="str">
        <f>MRS!D14</f>
        <v>Deli</v>
      </c>
      <c r="E14" s="147"/>
      <c r="F14" s="148"/>
      <c r="G14" s="94" t="str">
        <f>MRS!G14</f>
        <v>PKT</v>
      </c>
      <c r="H14" s="94">
        <f>MRS!H14</f>
        <v>2</v>
      </c>
      <c r="I14" s="95">
        <f>MRS!I14</f>
        <v>12</v>
      </c>
      <c r="J14" s="95">
        <f>MRS!J14</f>
        <v>24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44" t="str">
        <f>MRS!B15</f>
        <v>Record Book</v>
      </c>
      <c r="C15" s="145"/>
      <c r="D15" s="146" t="str">
        <f>MRS!D15</f>
        <v>A7</v>
      </c>
      <c r="E15" s="147"/>
      <c r="F15" s="148"/>
      <c r="G15" s="94" t="str">
        <f>MRS!G15</f>
        <v>EA</v>
      </c>
      <c r="H15" s="94">
        <f>MRS!H15</f>
        <v>10</v>
      </c>
      <c r="I15" s="95">
        <f>MRS!I15</f>
        <v>3</v>
      </c>
      <c r="J15" s="95">
        <f>MRS!J15</f>
        <v>30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44" t="str">
        <f>MRS!B16</f>
        <v>Soft Drinks</v>
      </c>
      <c r="C16" s="145"/>
      <c r="D16" s="146" t="str">
        <f>MRS!D16</f>
        <v>Cola,7Up,Merinda</v>
      </c>
      <c r="E16" s="147"/>
      <c r="F16" s="148"/>
      <c r="G16" s="94" t="str">
        <f>MRS!G16</f>
        <v>BOX</v>
      </c>
      <c r="H16" s="94">
        <f>MRS!H16</f>
        <v>10</v>
      </c>
      <c r="I16" s="95">
        <f>MRS!I16</f>
        <v>57</v>
      </c>
      <c r="J16" s="95">
        <f>MRS!J16</f>
        <v>570</v>
      </c>
      <c r="K16" s="96"/>
      <c r="O16" s="97"/>
      <c r="P16" s="97"/>
      <c r="R16" s="97"/>
    </row>
    <row r="17" spans="1:18" ht="74.25" customHeight="1">
      <c r="A17" s="18">
        <f>+MRS!A17</f>
        <v>12</v>
      </c>
      <c r="B17" s="144" t="str">
        <f>MRS!B17</f>
        <v>Safety Helmet</v>
      </c>
      <c r="C17" s="145"/>
      <c r="D17" s="146" t="str">
        <f>MRS!D17</f>
        <v>3M,Green</v>
      </c>
      <c r="E17" s="147"/>
      <c r="F17" s="148"/>
      <c r="G17" s="94" t="str">
        <f>MRS!G17</f>
        <v>EA</v>
      </c>
      <c r="H17" s="94">
        <f>MRS!H17</f>
        <v>5</v>
      </c>
      <c r="I17" s="95">
        <f>MRS!I17</f>
        <v>46</v>
      </c>
      <c r="J17" s="95">
        <f>MRS!J17</f>
        <v>230</v>
      </c>
      <c r="K17" s="96"/>
      <c r="O17" s="97"/>
      <c r="P17" s="97"/>
      <c r="R17" s="97"/>
    </row>
    <row r="18" spans="1:18" ht="74.25" customHeight="1">
      <c r="A18" s="18">
        <f>+MRS!A18</f>
        <v>13</v>
      </c>
      <c r="B18" s="144" t="str">
        <f>MRS!B18</f>
        <v>Safety Shoes</v>
      </c>
      <c r="C18" s="145"/>
      <c r="D18" s="146" t="str">
        <f>MRS!D18</f>
        <v>Voultex,46</v>
      </c>
      <c r="E18" s="147"/>
      <c r="F18" s="148"/>
      <c r="G18" s="94" t="str">
        <f>MRS!G18</f>
        <v>PAIR</v>
      </c>
      <c r="H18" s="94">
        <f>MRS!H18</f>
        <v>2</v>
      </c>
      <c r="I18" s="95">
        <f>MRS!I18</f>
        <v>95</v>
      </c>
      <c r="J18" s="95">
        <f>MRS!J18</f>
        <v>190</v>
      </c>
      <c r="K18" s="96"/>
      <c r="O18" s="97"/>
      <c r="P18" s="97"/>
      <c r="R18" s="97"/>
    </row>
    <row r="19" spans="1:18" ht="74.25" customHeight="1">
      <c r="A19" s="18">
        <f>+MRS!A19</f>
        <v>14</v>
      </c>
      <c r="B19" s="144" t="str">
        <f>MRS!B19</f>
        <v>Helmet Sticker</v>
      </c>
      <c r="C19" s="145"/>
      <c r="D19" s="146" t="str">
        <f>MRS!D19</f>
        <v>Smp</v>
      </c>
      <c r="E19" s="147"/>
      <c r="F19" s="148"/>
      <c r="G19" s="94" t="str">
        <f>MRS!G19</f>
        <v>EA</v>
      </c>
      <c r="H19" s="94">
        <f>MRS!H19</f>
        <v>2000</v>
      </c>
      <c r="I19" s="95">
        <f>MRS!I19</f>
        <v>1</v>
      </c>
      <c r="J19" s="95">
        <f>MRS!J19</f>
        <v>2000</v>
      </c>
      <c r="K19" s="96"/>
      <c r="O19" s="97"/>
      <c r="P19" s="97"/>
      <c r="R19" s="97"/>
    </row>
    <row r="20" spans="1:18" ht="74.25" customHeight="1">
      <c r="A20" s="18">
        <f>+MRS!A20</f>
        <v>15</v>
      </c>
      <c r="B20" s="144" t="str">
        <f>MRS!B20</f>
        <v>A3 Paper</v>
      </c>
      <c r="C20" s="145"/>
      <c r="D20" s="146" t="str">
        <f>MRS!D20</f>
        <v>Atlas</v>
      </c>
      <c r="E20" s="147"/>
      <c r="F20" s="148"/>
      <c r="G20" s="94" t="str">
        <f>MRS!G20</f>
        <v>BOX</v>
      </c>
      <c r="H20" s="94">
        <f>MRS!H20</f>
        <v>35</v>
      </c>
      <c r="I20" s="95">
        <f>MRS!I20</f>
        <v>153</v>
      </c>
      <c r="J20" s="95">
        <f>MRS!J20</f>
        <v>5355</v>
      </c>
      <c r="K20" s="96"/>
      <c r="O20" s="97"/>
      <c r="P20" s="97"/>
      <c r="R20" s="97"/>
    </row>
    <row r="21" spans="1:18" ht="74.25" customHeight="1">
      <c r="A21" s="18">
        <f>+MRS!A21</f>
        <v>16</v>
      </c>
      <c r="B21" s="144" t="str">
        <f>MRS!B21</f>
        <v>A3 Lamination Pouch</v>
      </c>
      <c r="C21" s="145"/>
      <c r="D21" s="146" t="str">
        <f>MRS!D21</f>
        <v>Super Deal</v>
      </c>
      <c r="E21" s="147"/>
      <c r="F21" s="148"/>
      <c r="G21" s="94" t="str">
        <f>MRS!G21</f>
        <v>PKT</v>
      </c>
      <c r="H21" s="94">
        <f>MRS!H21</f>
        <v>15</v>
      </c>
      <c r="I21" s="95">
        <f>MRS!I21</f>
        <v>55</v>
      </c>
      <c r="J21" s="95">
        <f>MRS!J21</f>
        <v>825</v>
      </c>
      <c r="K21" s="96"/>
      <c r="O21" s="97"/>
      <c r="P21" s="97"/>
      <c r="R21" s="97"/>
    </row>
    <row r="22" spans="1:18" ht="74.25" customHeight="1">
      <c r="A22" s="144">
        <f>MRS!A22</f>
        <v>17</v>
      </c>
      <c r="B22" s="145"/>
      <c r="C22" s="146">
        <f>MRS!C22</f>
        <v>0</v>
      </c>
      <c r="D22" s="147"/>
      <c r="E22" s="148"/>
      <c r="F22" s="94">
        <f>MRS!F22</f>
        <v>0</v>
      </c>
      <c r="G22" s="94" t="str">
        <f>MRS!G22</f>
        <v>EA</v>
      </c>
      <c r="H22" s="95">
        <f>MRS!H22</f>
        <v>1</v>
      </c>
      <c r="I22" s="95">
        <f>MRS!I22</f>
        <v>1050</v>
      </c>
      <c r="J22" s="95">
        <f>MRS!J22</f>
        <v>1050</v>
      </c>
      <c r="K22" s="96"/>
      <c r="O22" s="97"/>
      <c r="P22" s="97"/>
      <c r="R22" s="97"/>
    </row>
    <row r="23" spans="1:18" ht="74.25" customHeight="1">
      <c r="A23" s="144">
        <f>MRS!A23</f>
        <v>18</v>
      </c>
      <c r="B23" s="145"/>
      <c r="C23" s="146">
        <f>MRS!C23</f>
        <v>0</v>
      </c>
      <c r="D23" s="147"/>
      <c r="E23" s="148"/>
      <c r="F23" s="94">
        <f>MRS!F23</f>
        <v>0</v>
      </c>
      <c r="G23" s="94" t="str">
        <f>MRS!G23</f>
        <v>EA</v>
      </c>
      <c r="H23" s="95">
        <f>MRS!H23</f>
        <v>5</v>
      </c>
      <c r="I23" s="95">
        <f>MRS!I23</f>
        <v>21</v>
      </c>
      <c r="J23" s="95">
        <f>MRS!J23</f>
        <v>105</v>
      </c>
      <c r="K23" s="96"/>
      <c r="O23" s="97"/>
      <c r="P23" s="97"/>
      <c r="R23" s="97"/>
    </row>
    <row r="24" spans="1:18" ht="74.25" customHeight="1">
      <c r="A24" s="144">
        <f>MRS!A24</f>
        <v>19</v>
      </c>
      <c r="B24" s="145"/>
      <c r="C24" s="146">
        <f>MRS!C24</f>
        <v>0</v>
      </c>
      <c r="D24" s="147"/>
      <c r="E24" s="148"/>
      <c r="F24" s="94">
        <f>MRS!F24</f>
        <v>0</v>
      </c>
      <c r="G24" s="94" t="str">
        <f>MRS!G24</f>
        <v>EA</v>
      </c>
      <c r="H24" s="95">
        <f>MRS!H24</f>
        <v>5</v>
      </c>
      <c r="I24" s="95">
        <f>MRS!I24</f>
        <v>80</v>
      </c>
      <c r="J24" s="95">
        <f>MRS!J24</f>
        <v>400</v>
      </c>
      <c r="K24" s="96"/>
      <c r="O24" s="97"/>
      <c r="P24" s="97"/>
      <c r="R24" s="97"/>
    </row>
    <row r="25" spans="1:18" ht="74.25" customHeight="1">
      <c r="A25" s="144">
        <f>MRS!A25</f>
        <v>20</v>
      </c>
      <c r="B25" s="145"/>
      <c r="C25" s="146">
        <f>MRS!C25</f>
        <v>0</v>
      </c>
      <c r="D25" s="147"/>
      <c r="E25" s="148"/>
      <c r="F25" s="94">
        <f>MRS!F25</f>
        <v>0</v>
      </c>
      <c r="G25" s="94" t="str">
        <f>MRS!G25</f>
        <v>BDL</v>
      </c>
      <c r="H25" s="95">
        <f>MRS!H25</f>
        <v>65</v>
      </c>
      <c r="I25" s="95">
        <f>MRS!I25</f>
        <v>41.5</v>
      </c>
      <c r="J25" s="95">
        <f>MRS!J25</f>
        <v>2697.5</v>
      </c>
      <c r="K25" s="96"/>
      <c r="O25" s="97"/>
      <c r="P25" s="97"/>
      <c r="R25" s="97"/>
    </row>
    <row r="26" spans="1:18" ht="74.25" customHeight="1">
      <c r="A26" s="144">
        <f>MRS!A26</f>
        <v>21</v>
      </c>
      <c r="B26" s="145"/>
      <c r="C26" s="146">
        <f>MRS!C26</f>
        <v>0</v>
      </c>
      <c r="D26" s="147"/>
      <c r="E26" s="148"/>
      <c r="F26" s="94">
        <f>MRS!F26</f>
        <v>0</v>
      </c>
      <c r="G26" s="94" t="str">
        <f>MRS!G26</f>
        <v>PAIR</v>
      </c>
      <c r="H26" s="95">
        <f>MRS!H26</f>
        <v>200</v>
      </c>
      <c r="I26" s="95">
        <f>MRS!I26</f>
        <v>63.5</v>
      </c>
      <c r="J26" s="95">
        <f>MRS!J26</f>
        <v>12700</v>
      </c>
      <c r="K26" s="96"/>
      <c r="O26" s="97"/>
      <c r="P26" s="97"/>
      <c r="R26" s="97"/>
    </row>
    <row r="27" spans="1:18" ht="74.25" customHeight="1">
      <c r="A27" s="144">
        <f>MRS!A27</f>
        <v>22</v>
      </c>
      <c r="B27" s="145"/>
      <c r="C27" s="146">
        <f>MRS!C27</f>
        <v>0</v>
      </c>
      <c r="D27" s="147"/>
      <c r="E27" s="148"/>
      <c r="F27" s="94">
        <f>MRS!F27</f>
        <v>0</v>
      </c>
      <c r="G27" s="94" t="str">
        <f>MRS!G27</f>
        <v>EA</v>
      </c>
      <c r="H27" s="95">
        <f>MRS!H27</f>
        <v>150</v>
      </c>
      <c r="I27" s="95">
        <f>MRS!I27</f>
        <v>11</v>
      </c>
      <c r="J27" s="95">
        <f>MRS!J27</f>
        <v>1650</v>
      </c>
      <c r="K27" s="96"/>
      <c r="O27" s="97"/>
      <c r="P27" s="97"/>
      <c r="R27" s="97"/>
    </row>
    <row r="28" spans="1:18" ht="74.25" customHeight="1">
      <c r="A28" s="144">
        <f>MRS!A28</f>
        <v>23</v>
      </c>
      <c r="B28" s="145"/>
      <c r="C28" s="146">
        <f>MRS!C28</f>
        <v>0</v>
      </c>
      <c r="D28" s="147"/>
      <c r="E28" s="148"/>
      <c r="F28" s="94">
        <f>MRS!F28</f>
        <v>0</v>
      </c>
      <c r="G28" s="94" t="str">
        <f>MRS!G28</f>
        <v>EA</v>
      </c>
      <c r="H28" s="95">
        <f>MRS!H28</f>
        <v>41</v>
      </c>
      <c r="I28" s="95">
        <f>MRS!I28</f>
        <v>97</v>
      </c>
      <c r="J28" s="95">
        <f>MRS!J28</f>
        <v>3977</v>
      </c>
      <c r="K28" s="96"/>
      <c r="O28" s="97"/>
      <c r="P28" s="97"/>
      <c r="R28" s="97"/>
    </row>
    <row r="29" spans="1:18" ht="74.25" customHeight="1">
      <c r="A29" s="144">
        <f>MRS!A29</f>
        <v>24</v>
      </c>
      <c r="B29" s="145"/>
      <c r="C29" s="146">
        <f>MRS!C29</f>
        <v>0</v>
      </c>
      <c r="D29" s="147"/>
      <c r="E29" s="148"/>
      <c r="F29" s="94">
        <f>MRS!F29</f>
        <v>0</v>
      </c>
      <c r="G29" s="94" t="str">
        <f>MRS!G29</f>
        <v>EA</v>
      </c>
      <c r="H29" s="95">
        <f>MRS!H29</f>
        <v>2</v>
      </c>
      <c r="I29" s="95">
        <f>MRS!I29</f>
        <v>240</v>
      </c>
      <c r="J29" s="95">
        <f>MRS!J29</f>
        <v>480</v>
      </c>
      <c r="K29" s="96"/>
      <c r="O29" s="97"/>
      <c r="P29" s="97"/>
      <c r="R29" s="97"/>
    </row>
    <row r="30" spans="1:18" ht="74.25" customHeight="1">
      <c r="A30" s="144">
        <f>MRS!A30</f>
        <v>25</v>
      </c>
      <c r="B30" s="145"/>
      <c r="C30" s="146">
        <f>MRS!C30</f>
        <v>0</v>
      </c>
      <c r="D30" s="147"/>
      <c r="E30" s="148"/>
      <c r="F30" s="94">
        <f>MRS!F30</f>
        <v>0</v>
      </c>
      <c r="G30" s="94" t="str">
        <f>MRS!G30</f>
        <v>EA</v>
      </c>
      <c r="H30" s="95">
        <f>MRS!H30</f>
        <v>1000</v>
      </c>
      <c r="I30" s="95">
        <f>MRS!I30</f>
        <v>3</v>
      </c>
      <c r="J30" s="95">
        <f>MRS!J30</f>
        <v>3000</v>
      </c>
      <c r="K30" s="96"/>
      <c r="O30" s="97"/>
      <c r="P30" s="97"/>
      <c r="R30" s="97"/>
    </row>
  </sheetData>
  <mergeCells count="60">
    <mergeCell ref="A30:B30"/>
    <mergeCell ref="C30:E30"/>
    <mergeCell ref="A27:B27"/>
    <mergeCell ref="C27:E27"/>
    <mergeCell ref="A28:B28"/>
    <mergeCell ref="C28:E28"/>
    <mergeCell ref="A29:B29"/>
    <mergeCell ref="C29:E29"/>
    <mergeCell ref="A25:B25"/>
    <mergeCell ref="C25:E25"/>
    <mergeCell ref="A26:B26"/>
    <mergeCell ref="C26:E26"/>
    <mergeCell ref="A22:B22"/>
    <mergeCell ref="C22:E22"/>
    <mergeCell ref="A23:B23"/>
    <mergeCell ref="C23:E23"/>
    <mergeCell ref="A24:B24"/>
    <mergeCell ref="C24:E24"/>
    <mergeCell ref="B19:C19"/>
    <mergeCell ref="D19:F19"/>
    <mergeCell ref="B20:C20"/>
    <mergeCell ref="D20:F20"/>
    <mergeCell ref="B21:C21"/>
    <mergeCell ref="D21:F21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8:C18"/>
    <mergeCell ref="D18:F18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9" zoomScale="130" zoomScaleNormal="100" zoomScaleSheetLayoutView="130" workbookViewId="0">
      <selection activeCell="U20" sqref="U20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113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112</v>
      </c>
      <c r="D9" s="35"/>
      <c r="E9" s="35"/>
    </row>
    <row r="10" spans="2:13" s="35" customFormat="1">
      <c r="B10" s="68"/>
      <c r="C10" s="35" t="s">
        <v>32</v>
      </c>
      <c r="D10" s="118">
        <v>2053026325</v>
      </c>
      <c r="J10" s="35" t="s">
        <v>33</v>
      </c>
      <c r="K10" s="152">
        <f>MRS!L3</f>
        <v>46210</v>
      </c>
      <c r="L10" s="153"/>
      <c r="M10" s="153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54" t="str">
        <f>SUBSTITUTE(SUBSTITUTE(+MRS!A3,"  MRS No : ",""),"-MRS","-PO")</f>
        <v>SAC2-DS-PO-0348</v>
      </c>
      <c r="L11" s="154"/>
      <c r="M11" s="154"/>
    </row>
    <row r="12" spans="2:13" s="35" customFormat="1">
      <c r="B12" s="68"/>
      <c r="C12" s="71" t="s">
        <v>36</v>
      </c>
      <c r="D12" s="35" t="s">
        <v>106</v>
      </c>
      <c r="J12" s="35" t="s">
        <v>37</v>
      </c>
    </row>
    <row r="13" spans="2:13" s="35" customFormat="1">
      <c r="B13" s="68"/>
      <c r="C13" s="73"/>
      <c r="D13" s="72" t="s">
        <v>107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270</v>
      </c>
    </row>
    <row r="15" spans="2:13" s="35" customFormat="1">
      <c r="B15" s="68"/>
      <c r="C15" s="73" t="s">
        <v>108</v>
      </c>
      <c r="J15" s="35" t="s">
        <v>40</v>
      </c>
      <c r="K15" s="74">
        <v>46207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55" t="s">
        <v>41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</row>
    <row r="19" spans="2:13" ht="12" customHeight="1"/>
    <row r="20" spans="2:13" s="28" customFormat="1" ht="12" customHeight="1">
      <c r="B20" s="156" t="s">
        <v>42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</row>
    <row r="21" spans="2:13" s="28" customFormat="1" ht="12" customHeight="1">
      <c r="B21" s="156" t="s">
        <v>43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</row>
    <row r="22" spans="2:13" s="28" customFormat="1" ht="12" customHeight="1">
      <c r="B22" s="156" t="s">
        <v>44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</row>
    <row r="23" spans="2:13" ht="6.95" customHeight="1"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</row>
    <row r="24" spans="2:13" ht="6.95" customHeight="1"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</row>
    <row r="25" spans="2:13" s="29" customFormat="1" ht="15" customHeight="1">
      <c r="B25" s="29">
        <v>1</v>
      </c>
      <c r="C25" s="29" t="s">
        <v>45</v>
      </c>
    </row>
    <row r="26" spans="2:13" s="35" customFormat="1" ht="12" customHeight="1">
      <c r="B26" s="69"/>
      <c r="C26" s="72" t="s">
        <v>109</v>
      </c>
      <c r="M26" s="75" t="s">
        <v>46</v>
      </c>
    </row>
    <row r="27" spans="2:13" ht="11.1" customHeight="1">
      <c r="B27" s="29"/>
    </row>
    <row r="28" spans="2:13" ht="15" customHeight="1">
      <c r="B28" s="29">
        <v>2</v>
      </c>
      <c r="C28" s="29" t="s">
        <v>47</v>
      </c>
    </row>
    <row r="29" spans="2:13" ht="12" customHeight="1">
      <c r="B29" s="29"/>
      <c r="C29" s="23" t="s">
        <v>48</v>
      </c>
      <c r="E29" s="23" t="s">
        <v>49</v>
      </c>
      <c r="F29" s="119">
        <f>'PO 2nd page'!G94</f>
        <v>78186.42</v>
      </c>
      <c r="G29" s="101"/>
      <c r="H29" s="101"/>
      <c r="M29" s="30"/>
    </row>
    <row r="30" spans="2:13" ht="12" customHeight="1">
      <c r="B30" s="29"/>
      <c r="C30" s="23" t="s">
        <v>50</v>
      </c>
      <c r="E30" s="23" t="s">
        <v>49</v>
      </c>
      <c r="F30" s="119">
        <f>'PO 2nd page'!G95</f>
        <v>11727.963</v>
      </c>
      <c r="G30" s="101"/>
      <c r="H30" s="101"/>
    </row>
    <row r="31" spans="2:13" ht="12" customHeight="1">
      <c r="B31" s="29"/>
      <c r="C31" s="23" t="s">
        <v>51</v>
      </c>
      <c r="D31" s="31"/>
      <c r="E31" s="23" t="s">
        <v>49</v>
      </c>
      <c r="F31" s="119">
        <f>'PO 2nd page'!G96</f>
        <v>89914.383000000002</v>
      </c>
      <c r="G31" s="101"/>
      <c r="H31" s="101"/>
    </row>
    <row r="32" spans="2:13" ht="11.1" customHeight="1">
      <c r="B32" s="29"/>
    </row>
    <row r="33" spans="2:13" ht="15" customHeight="1">
      <c r="B33" s="29">
        <v>3</v>
      </c>
      <c r="C33" s="29" t="s">
        <v>52</v>
      </c>
    </row>
    <row r="34" spans="2:13" ht="12" customHeight="1">
      <c r="B34" s="29"/>
      <c r="C34" s="19" t="s">
        <v>53</v>
      </c>
    </row>
    <row r="35" spans="2:13" ht="12" customHeight="1">
      <c r="B35" s="29"/>
      <c r="C35" s="19" t="s">
        <v>54</v>
      </c>
    </row>
    <row r="36" spans="2:13" ht="12" customHeight="1">
      <c r="B36" s="29"/>
      <c r="C36" s="19" t="s">
        <v>55</v>
      </c>
    </row>
    <row r="37" spans="2:13" ht="6" customHeight="1">
      <c r="B37" s="29"/>
    </row>
    <row r="38" spans="2:13" ht="15" customHeight="1">
      <c r="B38" s="29">
        <v>4</v>
      </c>
      <c r="C38" s="29" t="s">
        <v>56</v>
      </c>
    </row>
    <row r="39" spans="2:13" ht="12" customHeight="1">
      <c r="B39" s="29"/>
      <c r="C39" s="23" t="s">
        <v>57</v>
      </c>
    </row>
    <row r="40" spans="2:13" ht="6" customHeight="1">
      <c r="B40" s="29"/>
    </row>
    <row r="41" spans="2:13" ht="15" customHeight="1">
      <c r="B41" s="29">
        <v>5</v>
      </c>
      <c r="C41" s="29" t="s">
        <v>58</v>
      </c>
    </row>
    <row r="42" spans="2:13" ht="12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15" customHeight="1">
      <c r="B48" s="29">
        <v>6</v>
      </c>
      <c r="C48" s="29" t="s">
        <v>64</v>
      </c>
    </row>
    <row r="49" spans="2:16" s="35" customFormat="1" ht="12" customHeight="1">
      <c r="B49" s="76" t="s">
        <v>65</v>
      </c>
      <c r="C49" s="77" t="s">
        <v>104</v>
      </c>
      <c r="P49" s="78"/>
    </row>
    <row r="50" spans="2:16" s="79" customFormat="1" ht="12" customHeight="1">
      <c r="B50" s="80" t="s">
        <v>65</v>
      </c>
      <c r="C50" s="77" t="s">
        <v>93</v>
      </c>
    </row>
    <row r="51" spans="2:16" s="79" customFormat="1" ht="12" customHeight="1">
      <c r="B51" s="80" t="s">
        <v>65</v>
      </c>
      <c r="C51" s="77" t="s">
        <v>92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9" t="s">
        <v>114</v>
      </c>
    </row>
    <row r="54" spans="2:16" ht="12" customHeight="1">
      <c r="B54" s="80" t="s">
        <v>65</v>
      </c>
      <c r="C54" s="116" t="s">
        <v>115</v>
      </c>
      <c r="F54" s="23" t="s">
        <v>124</v>
      </c>
      <c r="P54" s="23" t="str">
        <f>UPPER(F54)</f>
        <v>ALRMOOZ TECHNICAL FOR GENERAL CONTRACTING EST.</v>
      </c>
    </row>
    <row r="55" spans="2:16" ht="12" customHeight="1">
      <c r="B55" s="80" t="s">
        <v>65</v>
      </c>
      <c r="C55" s="116" t="s">
        <v>116</v>
      </c>
      <c r="F55" s="117" t="s">
        <v>126</v>
      </c>
    </row>
    <row r="56" spans="2:16" ht="12" customHeight="1">
      <c r="B56" s="80" t="s">
        <v>65</v>
      </c>
      <c r="C56" s="116" t="s">
        <v>117</v>
      </c>
      <c r="F56" s="117" t="s">
        <v>127</v>
      </c>
    </row>
    <row r="57" spans="2:16" ht="12" customHeight="1">
      <c r="B57" s="80" t="s">
        <v>65</v>
      </c>
      <c r="C57" s="116" t="s">
        <v>118</v>
      </c>
      <c r="F57" s="23" t="s">
        <v>125</v>
      </c>
    </row>
    <row r="58" spans="2:16" ht="12" customHeight="1">
      <c r="B58" s="80" t="s">
        <v>65</v>
      </c>
      <c r="C58" s="116" t="s">
        <v>119</v>
      </c>
      <c r="F58" s="23" t="s">
        <v>120</v>
      </c>
    </row>
    <row r="59" spans="2:16" ht="12" customHeight="1">
      <c r="B59" s="80" t="s">
        <v>65</v>
      </c>
      <c r="C59" s="116" t="s">
        <v>121</v>
      </c>
      <c r="F59" s="23" t="s">
        <v>122</v>
      </c>
    </row>
    <row r="60" spans="2:16" ht="12" customHeight="1">
      <c r="B60" s="80"/>
      <c r="C60" s="116" t="s">
        <v>123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9"/>
    </row>
    <row r="63" spans="2:16" ht="11.1" customHeight="1">
      <c r="B63" s="38"/>
    </row>
    <row r="64" spans="2:16" ht="12" customHeight="1">
      <c r="B64" s="29" t="s">
        <v>66</v>
      </c>
      <c r="J64" s="29" t="s">
        <v>67</v>
      </c>
    </row>
    <row r="65" spans="1:13" ht="46.5" customHeight="1"/>
    <row r="66" spans="1:13" ht="16.5" customHeight="1">
      <c r="B66" s="23" t="s">
        <v>68</v>
      </c>
      <c r="J66" s="23" t="s">
        <v>68</v>
      </c>
    </row>
    <row r="67" spans="1:13" ht="16.5" customHeight="1">
      <c r="B67" s="23" t="s">
        <v>69</v>
      </c>
      <c r="J67" s="23" t="s">
        <v>70</v>
      </c>
      <c r="K67" s="19" t="str">
        <f>D12</f>
        <v>Muhammed Rafi</v>
      </c>
    </row>
    <row r="68" spans="1:13" ht="18" customHeight="1">
      <c r="B68" s="23" t="s">
        <v>71</v>
      </c>
      <c r="J68" s="23" t="s">
        <v>72</v>
      </c>
      <c r="K68" s="19" t="s">
        <v>110</v>
      </c>
    </row>
    <row r="69" spans="1:13" ht="15" customHeight="1">
      <c r="B69" s="23" t="s">
        <v>73</v>
      </c>
      <c r="J69" s="23" t="s">
        <v>74</v>
      </c>
    </row>
    <row r="70" spans="1:13" s="25" customFormat="1" ht="24.75" customHeight="1">
      <c r="B70" s="22" t="s">
        <v>111</v>
      </c>
      <c r="J70" s="159" t="str">
        <f>C9</f>
        <v>ATGC(Alrmooz Technical for General Contracting Est.)</v>
      </c>
      <c r="K70" s="159"/>
      <c r="L70" s="159"/>
      <c r="M70" s="159"/>
    </row>
    <row r="71" spans="1:13" ht="27.95" customHeight="1">
      <c r="A71" s="151" t="s">
        <v>75</v>
      </c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</row>
    <row r="78" spans="1:13">
      <c r="B78" s="29"/>
    </row>
    <row r="79" spans="1:13">
      <c r="B79" s="29"/>
    </row>
    <row r="80" spans="1:13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  <row r="93" spans="2:2">
      <c r="B93" s="29"/>
    </row>
    <row r="94" spans="2:2">
      <c r="B94" s="29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04"/>
  <sheetViews>
    <sheetView showGridLines="0" view="pageBreakPreview" zoomScaleSheetLayoutView="100" zoomScalePageLayoutView="55" workbookViewId="0">
      <selection activeCell="L21" sqref="L21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30.42578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SAC2-DS-PO-0348</v>
      </c>
      <c r="C2" s="166" t="s">
        <v>77</v>
      </c>
      <c r="D2" s="166"/>
      <c r="E2" s="166"/>
      <c r="F2" s="166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46210</v>
      </c>
      <c r="C3" s="47"/>
      <c r="D3" s="48"/>
      <c r="E3" s="167" t="s">
        <v>79</v>
      </c>
      <c r="F3" s="167"/>
      <c r="G3" s="167"/>
      <c r="H3" s="167"/>
      <c r="I3" s="49"/>
    </row>
    <row r="4" spans="1:13" s="51" customFormat="1" ht="28.5" customHeight="1" thickTop="1">
      <c r="A4" s="168" t="s">
        <v>80</v>
      </c>
      <c r="B4" s="170" t="s">
        <v>81</v>
      </c>
      <c r="C4" s="171"/>
      <c r="D4" s="174" t="s">
        <v>82</v>
      </c>
      <c r="E4" s="174" t="s">
        <v>83</v>
      </c>
      <c r="F4" s="176" t="str">
        <f>'PO 1st page'!C9</f>
        <v>ATGC(Alrmooz Technical for General Contracting Est.)</v>
      </c>
      <c r="G4" s="177"/>
      <c r="H4" s="178" t="s">
        <v>84</v>
      </c>
      <c r="K4" s="52"/>
      <c r="L4" s="52"/>
      <c r="M4" s="52"/>
    </row>
    <row r="5" spans="1:13" s="51" customFormat="1" ht="21.95" customHeight="1">
      <c r="A5" s="169"/>
      <c r="B5" s="172"/>
      <c r="C5" s="173"/>
      <c r="D5" s="175"/>
      <c r="E5" s="175"/>
      <c r="F5" s="53" t="s">
        <v>85</v>
      </c>
      <c r="G5" s="53" t="s">
        <v>51</v>
      </c>
      <c r="H5" s="179"/>
      <c r="K5" s="52"/>
      <c r="L5" s="52"/>
      <c r="M5" s="52"/>
    </row>
    <row r="6" spans="1:13" s="51" customFormat="1" ht="18.75" customHeight="1">
      <c r="A6" s="81">
        <f t="shared" ref="A6:A69" si="0">ROW(A1)</f>
        <v>1</v>
      </c>
      <c r="B6" s="164" t="str">
        <f>MRS!B6&amp;" "&amp;MRS!D6</f>
        <v>Toilet Tissue Mouchoir</v>
      </c>
      <c r="C6" s="165"/>
      <c r="D6" s="82" t="str">
        <f>MRS!G6</f>
        <v>BDL</v>
      </c>
      <c r="E6" s="83">
        <f>MRS!H6</f>
        <v>20</v>
      </c>
      <c r="F6" s="84">
        <f>MRS!I6</f>
        <v>15.25</v>
      </c>
      <c r="G6" s="85">
        <f>F6*E6</f>
        <v>305</v>
      </c>
      <c r="H6" s="86"/>
      <c r="K6" s="87"/>
      <c r="L6" s="88"/>
      <c r="M6" s="52"/>
    </row>
    <row r="7" spans="1:13" s="51" customFormat="1" ht="18.75" customHeight="1">
      <c r="A7" s="81">
        <f t="shared" si="0"/>
        <v>2</v>
      </c>
      <c r="B7" s="164" t="str">
        <f>MRS!B7&amp;" "&amp;MRS!D7</f>
        <v>Time Card Holder Super Deal</v>
      </c>
      <c r="C7" s="165"/>
      <c r="D7" s="82" t="str">
        <f>MRS!G7</f>
        <v>EA</v>
      </c>
      <c r="E7" s="83">
        <f>MRS!H7</f>
        <v>40</v>
      </c>
      <c r="F7" s="84">
        <f>MRS!I7</f>
        <v>75</v>
      </c>
      <c r="G7" s="85">
        <f t="shared" ref="G7:G47" si="1">F7*E7</f>
        <v>3000</v>
      </c>
      <c r="H7" s="86"/>
      <c r="K7" s="87"/>
      <c r="L7" s="88"/>
      <c r="M7" s="52"/>
    </row>
    <row r="8" spans="1:13" s="51" customFormat="1" ht="18.75" customHeight="1">
      <c r="A8" s="89">
        <f t="shared" si="0"/>
        <v>3</v>
      </c>
      <c r="B8" s="164" t="str">
        <f>MRS!B8&amp;" "&amp;MRS!D8</f>
        <v>Paper Cup 9Oz Modern</v>
      </c>
      <c r="C8" s="165"/>
      <c r="D8" s="82" t="str">
        <f>MRS!G8</f>
        <v>BOX</v>
      </c>
      <c r="E8" s="83">
        <f>MRS!H8</f>
        <v>3</v>
      </c>
      <c r="F8" s="84">
        <f>MRS!I8</f>
        <v>64</v>
      </c>
      <c r="G8" s="85">
        <f t="shared" si="1"/>
        <v>192</v>
      </c>
      <c r="H8" s="90"/>
      <c r="K8" s="52"/>
      <c r="L8" s="52"/>
      <c r="M8" s="52"/>
    </row>
    <row r="9" spans="1:13" s="51" customFormat="1" ht="18.75" customHeight="1">
      <c r="A9" s="89">
        <f t="shared" si="0"/>
        <v>4</v>
      </c>
      <c r="B9" s="164" t="str">
        <f>MRS!B9&amp;" "&amp;MRS!D9</f>
        <v>Al Rai Juice Cocktail 27*250Ml</v>
      </c>
      <c r="C9" s="165"/>
      <c r="D9" s="82" t="str">
        <f>MRS!G9</f>
        <v>EA</v>
      </c>
      <c r="E9" s="83">
        <f>MRS!H9</f>
        <v>1500</v>
      </c>
      <c r="F9" s="84">
        <f>MRS!I9</f>
        <v>1.25</v>
      </c>
      <c r="G9" s="85">
        <f t="shared" si="1"/>
        <v>1875</v>
      </c>
      <c r="H9" s="90"/>
    </row>
    <row r="10" spans="1:13" s="51" customFormat="1" ht="18.75" customHeight="1">
      <c r="A10" s="89">
        <f t="shared" si="0"/>
        <v>5</v>
      </c>
      <c r="B10" s="164" t="str">
        <f>MRS!B10&amp;" "&amp;MRS!D10</f>
        <v xml:space="preserve">Cake </v>
      </c>
      <c r="C10" s="165"/>
      <c r="D10" s="82" t="str">
        <f>MRS!G10</f>
        <v>EA</v>
      </c>
      <c r="E10" s="83">
        <f>MRS!H10</f>
        <v>1400</v>
      </c>
      <c r="F10" s="84">
        <f>MRS!I10</f>
        <v>1.25</v>
      </c>
      <c r="G10" s="85">
        <f t="shared" si="1"/>
        <v>1750</v>
      </c>
      <c r="H10" s="90"/>
    </row>
    <row r="11" spans="1:13" s="51" customFormat="1" ht="18.75" customHeight="1">
      <c r="A11" s="89">
        <f t="shared" si="0"/>
        <v>6</v>
      </c>
      <c r="B11" s="164" t="str">
        <f>MRS!B11&amp;" "&amp;MRS!D11</f>
        <v>Sugar 1Kg*20</v>
      </c>
      <c r="C11" s="165"/>
      <c r="D11" s="82" t="str">
        <f>MRS!G11</f>
        <v>BOX</v>
      </c>
      <c r="E11" s="83">
        <f>MRS!H11</f>
        <v>2</v>
      </c>
      <c r="F11" s="84">
        <f>MRS!I11</f>
        <v>70</v>
      </c>
      <c r="G11" s="85">
        <f t="shared" si="1"/>
        <v>140</v>
      </c>
      <c r="H11" s="90"/>
    </row>
    <row r="12" spans="1:13" s="51" customFormat="1" ht="18.75" customHeight="1">
      <c r="A12" s="89">
        <f t="shared" si="0"/>
        <v>7</v>
      </c>
      <c r="B12" s="164" t="str">
        <f>MRS!B12&amp;" "&amp;MRS!D12</f>
        <v>Extension Cord Legrand 5Way 3Mtr</v>
      </c>
      <c r="C12" s="165"/>
      <c r="D12" s="82" t="str">
        <f>MRS!G12</f>
        <v>EA</v>
      </c>
      <c r="E12" s="83">
        <f>MRS!H12</f>
        <v>5</v>
      </c>
      <c r="F12" s="84">
        <f>MRS!I12</f>
        <v>80</v>
      </c>
      <c r="G12" s="85">
        <f t="shared" si="1"/>
        <v>400</v>
      </c>
      <c r="H12" s="90"/>
    </row>
    <row r="13" spans="1:13" s="51" customFormat="1" ht="18.75" customHeight="1">
      <c r="A13" s="89">
        <f t="shared" si="0"/>
        <v>8</v>
      </c>
      <c r="B13" s="164" t="str">
        <f>MRS!B13&amp;" "&amp;MRS!D13</f>
        <v>Highlighter Deli,Yellow</v>
      </c>
      <c r="C13" s="165"/>
      <c r="D13" s="82" t="str">
        <f>MRS!G13</f>
        <v>PKT</v>
      </c>
      <c r="E13" s="83">
        <f>MRS!H13</f>
        <v>20</v>
      </c>
      <c r="F13" s="84">
        <f>MRS!I13</f>
        <v>11</v>
      </c>
      <c r="G13" s="85">
        <f t="shared" si="1"/>
        <v>220</v>
      </c>
      <c r="H13" s="90"/>
    </row>
    <row r="14" spans="1:13" s="51" customFormat="1" ht="18.75" customHeight="1">
      <c r="A14" s="89">
        <f t="shared" si="0"/>
        <v>9</v>
      </c>
      <c r="B14" s="164" t="str">
        <f>MRS!B14&amp;" "&amp;MRS!D14</f>
        <v>Board Marker Deli</v>
      </c>
      <c r="C14" s="165"/>
      <c r="D14" s="82" t="str">
        <f>MRS!G14</f>
        <v>PKT</v>
      </c>
      <c r="E14" s="83">
        <f>MRS!H14</f>
        <v>2</v>
      </c>
      <c r="F14" s="84">
        <f>MRS!I14</f>
        <v>12</v>
      </c>
      <c r="G14" s="85">
        <f t="shared" si="1"/>
        <v>24</v>
      </c>
      <c r="H14" s="90"/>
    </row>
    <row r="15" spans="1:13" s="51" customFormat="1" ht="18.75" customHeight="1">
      <c r="A15" s="89">
        <f t="shared" si="0"/>
        <v>10</v>
      </c>
      <c r="B15" s="164" t="str">
        <f>MRS!B15&amp;" "&amp;MRS!D15</f>
        <v>Record Book A7</v>
      </c>
      <c r="C15" s="165"/>
      <c r="D15" s="82" t="str">
        <f>MRS!G15</f>
        <v>EA</v>
      </c>
      <c r="E15" s="83">
        <f>MRS!H15</f>
        <v>10</v>
      </c>
      <c r="F15" s="84">
        <f>MRS!I15</f>
        <v>3</v>
      </c>
      <c r="G15" s="85">
        <f t="shared" si="1"/>
        <v>30</v>
      </c>
      <c r="H15" s="90"/>
    </row>
    <row r="16" spans="1:13" s="51" customFormat="1" ht="18.75" customHeight="1">
      <c r="A16" s="89">
        <f t="shared" si="0"/>
        <v>11</v>
      </c>
      <c r="B16" s="164" t="str">
        <f>MRS!B16&amp;" "&amp;MRS!D16</f>
        <v>Soft Drinks Cola,7Up,Merinda</v>
      </c>
      <c r="C16" s="165"/>
      <c r="D16" s="82" t="str">
        <f>MRS!G16</f>
        <v>BOX</v>
      </c>
      <c r="E16" s="83">
        <f>MRS!H16</f>
        <v>10</v>
      </c>
      <c r="F16" s="84">
        <f>MRS!I16</f>
        <v>57</v>
      </c>
      <c r="G16" s="85">
        <f t="shared" si="1"/>
        <v>570</v>
      </c>
      <c r="H16" s="90"/>
    </row>
    <row r="17" spans="1:8" s="51" customFormat="1" ht="18.75" customHeight="1">
      <c r="A17" s="89">
        <f t="shared" si="0"/>
        <v>12</v>
      </c>
      <c r="B17" s="164" t="str">
        <f>MRS!B17&amp;" "&amp;MRS!D17</f>
        <v>Safety Helmet 3M,Green</v>
      </c>
      <c r="C17" s="165"/>
      <c r="D17" s="82" t="str">
        <f>MRS!G17</f>
        <v>EA</v>
      </c>
      <c r="E17" s="83">
        <f>MRS!H17</f>
        <v>5</v>
      </c>
      <c r="F17" s="84">
        <f>MRS!I17</f>
        <v>46</v>
      </c>
      <c r="G17" s="85">
        <f t="shared" si="1"/>
        <v>230</v>
      </c>
      <c r="H17" s="90"/>
    </row>
    <row r="18" spans="1:8" s="51" customFormat="1" ht="18.75" customHeight="1">
      <c r="A18" s="89">
        <f t="shared" si="0"/>
        <v>13</v>
      </c>
      <c r="B18" s="164" t="str">
        <f>MRS!B18&amp;" "&amp;MRS!D18</f>
        <v>Safety Shoes Voultex,46</v>
      </c>
      <c r="C18" s="165"/>
      <c r="D18" s="82" t="str">
        <f>MRS!G18</f>
        <v>PAIR</v>
      </c>
      <c r="E18" s="83">
        <f>MRS!H18</f>
        <v>2</v>
      </c>
      <c r="F18" s="84">
        <f>MRS!I18</f>
        <v>95</v>
      </c>
      <c r="G18" s="85">
        <f t="shared" si="1"/>
        <v>190</v>
      </c>
      <c r="H18" s="90"/>
    </row>
    <row r="19" spans="1:8" s="51" customFormat="1" ht="18.75" customHeight="1">
      <c r="A19" s="89">
        <f t="shared" si="0"/>
        <v>14</v>
      </c>
      <c r="B19" s="164" t="str">
        <f>MRS!B19&amp;" "&amp;MRS!D19</f>
        <v>Helmet Sticker Smp</v>
      </c>
      <c r="C19" s="165"/>
      <c r="D19" s="82" t="str">
        <f>MRS!G19</f>
        <v>EA</v>
      </c>
      <c r="E19" s="83">
        <f>MRS!H19</f>
        <v>2000</v>
      </c>
      <c r="F19" s="84">
        <f>MRS!I19</f>
        <v>1</v>
      </c>
      <c r="G19" s="85">
        <f t="shared" si="1"/>
        <v>2000</v>
      </c>
      <c r="H19" s="90"/>
    </row>
    <row r="20" spans="1:8" s="51" customFormat="1" ht="18.75" customHeight="1">
      <c r="A20" s="89">
        <f t="shared" si="0"/>
        <v>15</v>
      </c>
      <c r="B20" s="164" t="str">
        <f>MRS!B20&amp;" "&amp;MRS!D20</f>
        <v>A3 Paper Atlas</v>
      </c>
      <c r="C20" s="165"/>
      <c r="D20" s="82" t="str">
        <f>MRS!G20</f>
        <v>BOX</v>
      </c>
      <c r="E20" s="83">
        <f>MRS!H20</f>
        <v>35</v>
      </c>
      <c r="F20" s="84">
        <f>MRS!I20</f>
        <v>153</v>
      </c>
      <c r="G20" s="85">
        <f t="shared" si="1"/>
        <v>5355</v>
      </c>
      <c r="H20" s="90"/>
    </row>
    <row r="21" spans="1:8" s="51" customFormat="1" ht="18.75" customHeight="1">
      <c r="A21" s="89">
        <f t="shared" si="0"/>
        <v>16</v>
      </c>
      <c r="B21" s="164" t="str">
        <f>MRS!B21&amp;" "&amp;MRS!D21</f>
        <v>A3 Lamination Pouch Super Deal</v>
      </c>
      <c r="C21" s="165"/>
      <c r="D21" s="82" t="str">
        <f>MRS!G21</f>
        <v>PKT</v>
      </c>
      <c r="E21" s="83">
        <f>MRS!H21</f>
        <v>15</v>
      </c>
      <c r="F21" s="84">
        <f>MRS!I21</f>
        <v>55</v>
      </c>
      <c r="G21" s="85">
        <f t="shared" si="1"/>
        <v>825</v>
      </c>
      <c r="H21" s="90"/>
    </row>
    <row r="22" spans="1:8" s="51" customFormat="1" ht="18.75" customHeight="1">
      <c r="A22" s="89">
        <f t="shared" si="0"/>
        <v>17</v>
      </c>
      <c r="B22" s="164" t="str">
        <f>MRS!B22&amp;" "&amp;MRS!D22</f>
        <v>Drum Unit C7100</v>
      </c>
      <c r="C22" s="165"/>
      <c r="D22" s="82" t="str">
        <f>MRS!G22</f>
        <v>EA</v>
      </c>
      <c r="E22" s="83">
        <f>MRS!H22</f>
        <v>1</v>
      </c>
      <c r="F22" s="84">
        <f>MRS!I22</f>
        <v>1050</v>
      </c>
      <c r="G22" s="85">
        <f t="shared" si="1"/>
        <v>1050</v>
      </c>
      <c r="H22" s="90"/>
    </row>
    <row r="23" spans="1:8" s="51" customFormat="1" ht="18.75" customHeight="1">
      <c r="A23" s="89">
        <f t="shared" si="0"/>
        <v>18</v>
      </c>
      <c r="B23" s="164" t="str">
        <f>MRS!B23&amp;" "&amp;MRS!D23</f>
        <v xml:space="preserve">Wired Mouse </v>
      </c>
      <c r="C23" s="165"/>
      <c r="D23" s="82" t="str">
        <f>MRS!G23</f>
        <v>EA</v>
      </c>
      <c r="E23" s="83">
        <f>MRS!H23</f>
        <v>5</v>
      </c>
      <c r="F23" s="84">
        <f>MRS!I23</f>
        <v>21</v>
      </c>
      <c r="G23" s="85">
        <f t="shared" si="1"/>
        <v>105</v>
      </c>
      <c r="H23" s="90"/>
    </row>
    <row r="24" spans="1:8" s="51" customFormat="1" ht="18.75" customHeight="1">
      <c r="A24" s="89">
        <f t="shared" si="0"/>
        <v>19</v>
      </c>
      <c r="B24" s="164" t="str">
        <f>MRS!B24&amp;" "&amp;MRS!D24</f>
        <v>Green Helmet 3M,Round Type</v>
      </c>
      <c r="C24" s="165"/>
      <c r="D24" s="82" t="str">
        <f>MRS!G24</f>
        <v>EA</v>
      </c>
      <c r="E24" s="83">
        <f>MRS!H24</f>
        <v>5</v>
      </c>
      <c r="F24" s="84">
        <f>MRS!I24</f>
        <v>80</v>
      </c>
      <c r="G24" s="85">
        <f t="shared" si="1"/>
        <v>400</v>
      </c>
      <c r="H24" s="90"/>
    </row>
    <row r="25" spans="1:8" s="51" customFormat="1" ht="18.75" customHeight="1">
      <c r="A25" s="89">
        <f t="shared" si="0"/>
        <v>20</v>
      </c>
      <c r="B25" s="164" t="str">
        <f>MRS!B25&amp;" "&amp;MRS!D25</f>
        <v>Garbage Bag 100Gln</v>
      </c>
      <c r="C25" s="165"/>
      <c r="D25" s="82" t="str">
        <f>MRS!G25</f>
        <v>BDL</v>
      </c>
      <c r="E25" s="83">
        <f>MRS!H25</f>
        <v>65</v>
      </c>
      <c r="F25" s="84">
        <f>MRS!I25</f>
        <v>41.5</v>
      </c>
      <c r="G25" s="85">
        <f t="shared" si="1"/>
        <v>2697.5</v>
      </c>
      <c r="H25" s="90"/>
    </row>
    <row r="26" spans="1:8" s="51" customFormat="1" ht="18.75" customHeight="1">
      <c r="A26" s="89">
        <f t="shared" si="0"/>
        <v>21</v>
      </c>
      <c r="B26" s="164" t="str">
        <f>MRS!B26&amp;" "&amp;MRS!D26</f>
        <v xml:space="preserve">Safety Shoes K7 </v>
      </c>
      <c r="C26" s="165"/>
      <c r="D26" s="82" t="str">
        <f>MRS!G26</f>
        <v>PAIR</v>
      </c>
      <c r="E26" s="83">
        <f>MRS!H26</f>
        <v>200</v>
      </c>
      <c r="F26" s="84">
        <f>MRS!I26</f>
        <v>63.5</v>
      </c>
      <c r="G26" s="85">
        <f t="shared" si="1"/>
        <v>12700</v>
      </c>
      <c r="H26" s="90"/>
    </row>
    <row r="27" spans="1:8" s="51" customFormat="1" ht="18.75" customHeight="1">
      <c r="A27" s="89">
        <f t="shared" si="0"/>
        <v>22</v>
      </c>
      <c r="B27" s="164" t="str">
        <f>MRS!B27&amp;" "&amp;MRS!D27</f>
        <v>Red Vest With Pocket L-100/M-100</v>
      </c>
      <c r="C27" s="165"/>
      <c r="D27" s="82" t="str">
        <f>MRS!G27</f>
        <v>EA</v>
      </c>
      <c r="E27" s="83">
        <f>MRS!H27</f>
        <v>150</v>
      </c>
      <c r="F27" s="84">
        <f>MRS!I27</f>
        <v>11</v>
      </c>
      <c r="G27" s="85">
        <f t="shared" si="1"/>
        <v>1650</v>
      </c>
      <c r="H27" s="90"/>
    </row>
    <row r="28" spans="1:8" s="51" customFormat="1" ht="18.75" customHeight="1">
      <c r="A28" s="89">
        <f t="shared" si="0"/>
        <v>23</v>
      </c>
      <c r="B28" s="164" t="str">
        <f>MRS!B28&amp;" "&amp;MRS!D28</f>
        <v>Igloo 10Gln</v>
      </c>
      <c r="C28" s="165"/>
      <c r="D28" s="82" t="str">
        <f>MRS!G28</f>
        <v>EA</v>
      </c>
      <c r="E28" s="83">
        <f>MRS!H28</f>
        <v>41</v>
      </c>
      <c r="F28" s="84">
        <f>MRS!I28</f>
        <v>97</v>
      </c>
      <c r="G28" s="85">
        <f t="shared" si="1"/>
        <v>3977</v>
      </c>
      <c r="H28" s="90"/>
    </row>
    <row r="29" spans="1:8" s="51" customFormat="1" ht="18.75" customHeight="1">
      <c r="A29" s="89">
        <f t="shared" si="0"/>
        <v>24</v>
      </c>
      <c r="B29" s="164" t="str">
        <f>MRS!B29&amp;" "&amp;MRS!D29</f>
        <v>Motor Fullset 0.5Hp</v>
      </c>
      <c r="C29" s="165"/>
      <c r="D29" s="82" t="str">
        <f>MRS!G29</f>
        <v>EA</v>
      </c>
      <c r="E29" s="83">
        <f>MRS!H29</f>
        <v>2</v>
      </c>
      <c r="F29" s="84">
        <f>MRS!I29</f>
        <v>240</v>
      </c>
      <c r="G29" s="85">
        <f t="shared" si="1"/>
        <v>480</v>
      </c>
      <c r="H29" s="90"/>
    </row>
    <row r="30" spans="1:8" s="51" customFormat="1" ht="18.75" customHeight="1">
      <c r="A30" s="89">
        <f t="shared" si="0"/>
        <v>25</v>
      </c>
      <c r="B30" s="164" t="str">
        <f>MRS!B30&amp;" "&amp;MRS!D30</f>
        <v>Safety Googles Vaultex Clear-1000/Dark-1000</v>
      </c>
      <c r="C30" s="165"/>
      <c r="D30" s="82" t="str">
        <f>MRS!G30</f>
        <v>EA</v>
      </c>
      <c r="E30" s="83">
        <f>MRS!H30</f>
        <v>1000</v>
      </c>
      <c r="F30" s="84">
        <f>MRS!I30</f>
        <v>3</v>
      </c>
      <c r="G30" s="85">
        <f t="shared" si="1"/>
        <v>3000</v>
      </c>
      <c r="H30" s="90"/>
    </row>
    <row r="31" spans="1:8" s="51" customFormat="1" ht="18.75" customHeight="1">
      <c r="A31" s="89">
        <f t="shared" si="0"/>
        <v>26</v>
      </c>
      <c r="B31" s="164" t="str">
        <f>MRS!B31&amp;" "&amp;MRS!D31</f>
        <v>Ricoh Toner Mpc6003 Yellow-3/Cyan-1</v>
      </c>
      <c r="C31" s="165"/>
      <c r="D31" s="82" t="str">
        <f>MRS!G31</f>
        <v>EA</v>
      </c>
      <c r="E31" s="83">
        <f>MRS!H31</f>
        <v>2</v>
      </c>
      <c r="F31" s="84">
        <f>MRS!I31</f>
        <v>506</v>
      </c>
      <c r="G31" s="85">
        <f t="shared" si="1"/>
        <v>1012</v>
      </c>
      <c r="H31" s="90"/>
    </row>
    <row r="32" spans="1:8" s="51" customFormat="1" ht="18.75" customHeight="1">
      <c r="A32" s="89">
        <f t="shared" si="0"/>
        <v>27</v>
      </c>
      <c r="B32" s="164" t="str">
        <f>MRS!B32&amp;" "&amp;MRS!D32</f>
        <v>Ricoh Toner Mpc6003 Black</v>
      </c>
      <c r="C32" s="165"/>
      <c r="D32" s="82" t="str">
        <f>MRS!G32</f>
        <v>EA</v>
      </c>
      <c r="E32" s="83">
        <f>MRS!H32</f>
        <v>1</v>
      </c>
      <c r="F32" s="84">
        <f>MRS!I32</f>
        <v>342</v>
      </c>
      <c r="G32" s="85">
        <f t="shared" si="1"/>
        <v>342</v>
      </c>
      <c r="H32" s="90"/>
    </row>
    <row r="33" spans="1:8" s="51" customFormat="1" ht="18.75" customHeight="1">
      <c r="A33" s="89">
        <f t="shared" si="0"/>
        <v>28</v>
      </c>
      <c r="B33" s="164" t="str">
        <f>MRS!B33&amp;" "&amp;MRS!D33</f>
        <v xml:space="preserve">Whitner 12/Pkt </v>
      </c>
      <c r="C33" s="165"/>
      <c r="D33" s="82" t="str">
        <f>MRS!G33</f>
        <v>PKT</v>
      </c>
      <c r="E33" s="83">
        <f>MRS!H33</f>
        <v>2</v>
      </c>
      <c r="F33" s="84">
        <f>MRS!I33</f>
        <v>15</v>
      </c>
      <c r="G33" s="85">
        <f t="shared" si="1"/>
        <v>30</v>
      </c>
      <c r="H33" s="90"/>
    </row>
    <row r="34" spans="1:8" s="51" customFormat="1" ht="18.75" customHeight="1">
      <c r="A34" s="89">
        <f t="shared" si="0"/>
        <v>29</v>
      </c>
      <c r="B34" s="164" t="str">
        <f>MRS!B34&amp;" "&amp;MRS!D34</f>
        <v xml:space="preserve">Wiper </v>
      </c>
      <c r="C34" s="165"/>
      <c r="D34" s="82" t="str">
        <f>MRS!G34</f>
        <v>EA</v>
      </c>
      <c r="E34" s="83">
        <f>MRS!H34</f>
        <v>5</v>
      </c>
      <c r="F34" s="84">
        <f>MRS!I34</f>
        <v>14</v>
      </c>
      <c r="G34" s="85">
        <f t="shared" si="1"/>
        <v>70</v>
      </c>
      <c r="H34" s="90"/>
    </row>
    <row r="35" spans="1:8" s="51" customFormat="1" ht="18.75" customHeight="1">
      <c r="A35" s="89">
        <f t="shared" si="0"/>
        <v>30</v>
      </c>
      <c r="B35" s="164" t="str">
        <f>MRS!B35&amp;" "&amp;MRS!D35</f>
        <v>Stapler Big 30Sheet Kangaro</v>
      </c>
      <c r="C35" s="165"/>
      <c r="D35" s="82" t="str">
        <f>MRS!G35</f>
        <v>EA</v>
      </c>
      <c r="E35" s="83">
        <f>MRS!H35</f>
        <v>1</v>
      </c>
      <c r="F35" s="84">
        <f>MRS!I35</f>
        <v>37</v>
      </c>
      <c r="G35" s="85">
        <f t="shared" si="1"/>
        <v>37</v>
      </c>
      <c r="H35" s="90"/>
    </row>
    <row r="36" spans="1:8" s="51" customFormat="1" ht="18.75" customHeight="1">
      <c r="A36" s="89">
        <f t="shared" si="0"/>
        <v>31</v>
      </c>
      <c r="B36" s="164" t="str">
        <f>MRS!B36&amp;" "&amp;MRS!D36</f>
        <v>Pocket Diary A5</v>
      </c>
      <c r="C36" s="165"/>
      <c r="D36" s="82" t="str">
        <f>MRS!G36</f>
        <v>EA</v>
      </c>
      <c r="E36" s="83">
        <f>MRS!H36</f>
        <v>5</v>
      </c>
      <c r="F36" s="84">
        <f>MRS!I36</f>
        <v>5.25</v>
      </c>
      <c r="G36" s="85">
        <f t="shared" si="1"/>
        <v>26.25</v>
      </c>
      <c r="H36" s="90"/>
    </row>
    <row r="37" spans="1:8" s="51" customFormat="1" ht="18.75" customHeight="1">
      <c r="A37" s="89">
        <f t="shared" si="0"/>
        <v>32</v>
      </c>
      <c r="B37" s="164" t="str">
        <f>MRS!B37&amp;" "&amp;MRS!D37</f>
        <v>Pocket Diary A6</v>
      </c>
      <c r="C37" s="165"/>
      <c r="D37" s="82" t="str">
        <f>MRS!G37</f>
        <v>EA</v>
      </c>
      <c r="E37" s="83">
        <f>MRS!H37</f>
        <v>5</v>
      </c>
      <c r="F37" s="84">
        <f>MRS!I37</f>
        <v>4.25</v>
      </c>
      <c r="G37" s="85">
        <f t="shared" si="1"/>
        <v>21.25</v>
      </c>
      <c r="H37" s="90"/>
    </row>
    <row r="38" spans="1:8" s="51" customFormat="1" ht="18.75" customHeight="1">
      <c r="A38" s="89">
        <f t="shared" si="0"/>
        <v>33</v>
      </c>
      <c r="B38" s="164" t="str">
        <f>MRS!B38&amp;" "&amp;MRS!D38</f>
        <v>Hana Water 1.50Ltr*6</v>
      </c>
      <c r="C38" s="165"/>
      <c r="D38" s="82" t="str">
        <f>MRS!G38</f>
        <v>BOX</v>
      </c>
      <c r="E38" s="83">
        <f>MRS!H38</f>
        <v>200</v>
      </c>
      <c r="F38" s="84">
        <f>MRS!I38</f>
        <v>6.5</v>
      </c>
      <c r="G38" s="85">
        <f t="shared" si="1"/>
        <v>1300</v>
      </c>
      <c r="H38" s="90"/>
    </row>
    <row r="39" spans="1:8" s="51" customFormat="1" ht="18.75" customHeight="1">
      <c r="A39" s="89">
        <f t="shared" si="0"/>
        <v>34</v>
      </c>
      <c r="B39" s="164" t="str">
        <f>MRS!B39&amp;" "&amp;MRS!D39</f>
        <v xml:space="preserve">Folding Chair </v>
      </c>
      <c r="C39" s="165"/>
      <c r="D39" s="82" t="str">
        <f>MRS!G39</f>
        <v>EA</v>
      </c>
      <c r="E39" s="83">
        <f>MRS!H39</f>
        <v>6</v>
      </c>
      <c r="F39" s="84">
        <f>MRS!I39</f>
        <v>80</v>
      </c>
      <c r="G39" s="85">
        <f t="shared" si="1"/>
        <v>480</v>
      </c>
      <c r="H39" s="90"/>
    </row>
    <row r="40" spans="1:8" s="51" customFormat="1" ht="18.75" customHeight="1">
      <c r="A40" s="89">
        <f t="shared" si="0"/>
        <v>35</v>
      </c>
      <c r="B40" s="164" t="str">
        <f>MRS!B40&amp;" "&amp;MRS!D40</f>
        <v>Safety Vest Pocket With
Logo M-100/L-100/Xl-50/Xxl-
100/Xxxl-30</v>
      </c>
      <c r="C40" s="165"/>
      <c r="D40" s="82" t="str">
        <f>MRS!G40</f>
        <v>EA</v>
      </c>
      <c r="E40" s="83">
        <f>MRS!H40</f>
        <v>230</v>
      </c>
      <c r="F40" s="84">
        <f>MRS!I40</f>
        <v>17</v>
      </c>
      <c r="G40" s="85">
        <f t="shared" si="1"/>
        <v>3910</v>
      </c>
      <c r="H40" s="90"/>
    </row>
    <row r="41" spans="1:8" s="51" customFormat="1" ht="18.75" customHeight="1">
      <c r="A41" s="89">
        <f t="shared" si="0"/>
        <v>36</v>
      </c>
      <c r="B41" s="164" t="str">
        <f>MRS!B41&amp;" "&amp;MRS!D41</f>
        <v>Office Chair Without Neck</v>
      </c>
      <c r="C41" s="165"/>
      <c r="D41" s="82" t="str">
        <f>MRS!G41</f>
        <v>EA</v>
      </c>
      <c r="E41" s="83">
        <f>MRS!H41</f>
        <v>4</v>
      </c>
      <c r="F41" s="84">
        <f>MRS!I41</f>
        <v>156</v>
      </c>
      <c r="G41" s="85">
        <f t="shared" si="1"/>
        <v>624</v>
      </c>
      <c r="H41" s="90"/>
    </row>
    <row r="42" spans="1:8" s="51" customFormat="1" ht="18.75" customHeight="1">
      <c r="A42" s="89">
        <f t="shared" si="0"/>
        <v>37</v>
      </c>
      <c r="B42" s="164" t="str">
        <f>MRS!B42&amp;" "&amp;MRS!D42</f>
        <v>A4 Paper Atlas</v>
      </c>
      <c r="C42" s="165"/>
      <c r="D42" s="82" t="str">
        <f>MRS!G42</f>
        <v>BOX</v>
      </c>
      <c r="E42" s="83">
        <f>MRS!H42</f>
        <v>77</v>
      </c>
      <c r="F42" s="84">
        <f>MRS!I42</f>
        <v>76</v>
      </c>
      <c r="G42" s="85">
        <f t="shared" si="1"/>
        <v>5852</v>
      </c>
      <c r="H42" s="90"/>
    </row>
    <row r="43" spans="1:8" s="51" customFormat="1" ht="18.75" customHeight="1">
      <c r="A43" s="89">
        <f t="shared" si="0"/>
        <v>38</v>
      </c>
      <c r="B43" s="164" t="str">
        <f>MRS!B43&amp;" "&amp;MRS!D43</f>
        <v>Nescafe Classic 190Gm</v>
      </c>
      <c r="C43" s="165"/>
      <c r="D43" s="82" t="str">
        <f>MRS!G43</f>
        <v>EA</v>
      </c>
      <c r="E43" s="83">
        <f>MRS!H43</f>
        <v>12</v>
      </c>
      <c r="F43" s="84">
        <f>MRS!I43</f>
        <v>24</v>
      </c>
      <c r="G43" s="85">
        <f t="shared" si="1"/>
        <v>288</v>
      </c>
      <c r="H43" s="90"/>
    </row>
    <row r="44" spans="1:8" s="51" customFormat="1" ht="18.75" customHeight="1">
      <c r="A44" s="89">
        <f t="shared" si="0"/>
        <v>39</v>
      </c>
      <c r="B44" s="164" t="str">
        <f>MRS!B44&amp;" "&amp;MRS!D44</f>
        <v xml:space="preserve">Rabea Tea </v>
      </c>
      <c r="C44" s="165"/>
      <c r="D44" s="82" t="str">
        <f>MRS!G44</f>
        <v>PKT</v>
      </c>
      <c r="E44" s="83">
        <f>MRS!H44</f>
        <v>12</v>
      </c>
      <c r="F44" s="84">
        <f>MRS!I44</f>
        <v>10.41</v>
      </c>
      <c r="G44" s="85">
        <f t="shared" si="1"/>
        <v>124.92</v>
      </c>
      <c r="H44" s="90"/>
    </row>
    <row r="45" spans="1:8" s="51" customFormat="1" ht="18.75" customHeight="1">
      <c r="A45" s="89">
        <f t="shared" si="0"/>
        <v>40</v>
      </c>
      <c r="B45" s="164" t="str">
        <f>MRS!B45&amp;" "&amp;MRS!D45</f>
        <v>Water Filter 1*100Pcs</v>
      </c>
      <c r="C45" s="165"/>
      <c r="D45" s="82" t="str">
        <f>MRS!G45</f>
        <v>EA</v>
      </c>
      <c r="E45" s="83">
        <f>MRS!H45</f>
        <v>100</v>
      </c>
      <c r="F45" s="84">
        <f>MRS!I45</f>
        <v>11</v>
      </c>
      <c r="G45" s="85">
        <f t="shared" si="1"/>
        <v>1100</v>
      </c>
      <c r="H45" s="90"/>
    </row>
    <row r="46" spans="1:8" s="51" customFormat="1" ht="18.75" customHeight="1">
      <c r="A46" s="89">
        <f t="shared" si="0"/>
        <v>41</v>
      </c>
      <c r="B46" s="164" t="str">
        <f>MRS!B46&amp;" "&amp;MRS!D46</f>
        <v>Safety Helmet Yellow Gariox</v>
      </c>
      <c r="C46" s="165"/>
      <c r="D46" s="82" t="str">
        <f>MRS!G46</f>
        <v>EA</v>
      </c>
      <c r="E46" s="83">
        <f>MRS!H46</f>
        <v>50</v>
      </c>
      <c r="F46" s="84">
        <f>MRS!I46</f>
        <v>12</v>
      </c>
      <c r="G46" s="85">
        <f t="shared" si="1"/>
        <v>600</v>
      </c>
      <c r="H46" s="90"/>
    </row>
    <row r="47" spans="1:8" s="51" customFormat="1" ht="18.75" customHeight="1">
      <c r="A47" s="89">
        <f t="shared" si="0"/>
        <v>42</v>
      </c>
      <c r="B47" s="164" t="str">
        <f>MRS!B47&amp;" "&amp;MRS!D47</f>
        <v xml:space="preserve">A4 Label Sticker </v>
      </c>
      <c r="C47" s="165"/>
      <c r="D47" s="82" t="str">
        <f>MRS!G47</f>
        <v>PKT</v>
      </c>
      <c r="E47" s="83">
        <f>MRS!H47</f>
        <v>4</v>
      </c>
      <c r="F47" s="84">
        <f>MRS!I47</f>
        <v>35</v>
      </c>
      <c r="G47" s="85">
        <f t="shared" si="1"/>
        <v>140</v>
      </c>
      <c r="H47" s="90"/>
    </row>
    <row r="48" spans="1:8" s="51" customFormat="1" ht="18.75" customHeight="1">
      <c r="A48" s="89">
        <f t="shared" si="0"/>
        <v>43</v>
      </c>
      <c r="B48" s="164" t="str">
        <f>MRS!B48&amp;" "&amp;MRS!D48</f>
        <v>White Board Marker Red-20/Blue-20,Deli</v>
      </c>
      <c r="C48" s="165"/>
      <c r="D48" s="82" t="str">
        <f>MRS!G48</f>
        <v>PKT</v>
      </c>
      <c r="E48" s="83">
        <f>MRS!H48</f>
        <v>10</v>
      </c>
      <c r="F48" s="84">
        <f>MRS!I48</f>
        <v>12</v>
      </c>
      <c r="G48" s="85">
        <f t="shared" ref="G48:G61" si="2">F48*E48</f>
        <v>120</v>
      </c>
      <c r="H48" s="90"/>
    </row>
    <row r="49" spans="1:8" s="51" customFormat="1" ht="18.75" customHeight="1">
      <c r="A49" s="89">
        <f t="shared" si="0"/>
        <v>44</v>
      </c>
      <c r="B49" s="164" t="str">
        <f>MRS!B49&amp;" "&amp;MRS!D49</f>
        <v xml:space="preserve">Xerox Drum Unit </v>
      </c>
      <c r="C49" s="165"/>
      <c r="D49" s="82" t="str">
        <f>MRS!G49</f>
        <v>EA</v>
      </c>
      <c r="E49" s="83">
        <f>MRS!H49</f>
        <v>2</v>
      </c>
      <c r="F49" s="84">
        <f>MRS!I49</f>
        <v>1050</v>
      </c>
      <c r="G49" s="85">
        <f t="shared" si="2"/>
        <v>2100</v>
      </c>
      <c r="H49" s="90"/>
    </row>
    <row r="50" spans="1:8" s="51" customFormat="1" ht="18.75" customHeight="1">
      <c r="A50" s="89">
        <f t="shared" si="0"/>
        <v>45</v>
      </c>
      <c r="B50" s="164" t="str">
        <f>MRS!B50&amp;" "&amp;MRS!D50</f>
        <v>White Board 90*60,Super Deal</v>
      </c>
      <c r="C50" s="165"/>
      <c r="D50" s="82" t="str">
        <f>MRS!G50</f>
        <v>EA</v>
      </c>
      <c r="E50" s="83">
        <f>MRS!H50</f>
        <v>4</v>
      </c>
      <c r="F50" s="84">
        <f>MRS!I50</f>
        <v>44</v>
      </c>
      <c r="G50" s="85">
        <f t="shared" si="2"/>
        <v>176</v>
      </c>
      <c r="H50" s="90"/>
    </row>
    <row r="51" spans="1:8" s="51" customFormat="1" ht="18.75" customHeight="1">
      <c r="A51" s="89">
        <f t="shared" si="0"/>
        <v>46</v>
      </c>
      <c r="B51" s="164" t="str">
        <f>MRS!B51&amp;" "&amp;MRS!D51</f>
        <v>Shampoo Head&amp;Sholder 190Ml</v>
      </c>
      <c r="C51" s="165"/>
      <c r="D51" s="82" t="str">
        <f>MRS!G51</f>
        <v>EA</v>
      </c>
      <c r="E51" s="83">
        <f>MRS!H51</f>
        <v>2</v>
      </c>
      <c r="F51" s="84">
        <f>MRS!I51</f>
        <v>13</v>
      </c>
      <c r="G51" s="85">
        <f t="shared" si="2"/>
        <v>26</v>
      </c>
      <c r="H51" s="90"/>
    </row>
    <row r="52" spans="1:8" s="51" customFormat="1" ht="18.75" customHeight="1">
      <c r="A52" s="89">
        <f t="shared" si="0"/>
        <v>47</v>
      </c>
      <c r="B52" s="164" t="str">
        <f>MRS!B52&amp;" "&amp;MRS!D52</f>
        <v>Tooth Paste Sensodyne</v>
      </c>
      <c r="C52" s="165"/>
      <c r="D52" s="82" t="str">
        <f>MRS!G52</f>
        <v>EA</v>
      </c>
      <c r="E52" s="83">
        <f>MRS!H52</f>
        <v>10</v>
      </c>
      <c r="F52" s="84">
        <f>MRS!I52</f>
        <v>30</v>
      </c>
      <c r="G52" s="85">
        <f t="shared" si="2"/>
        <v>300</v>
      </c>
      <c r="H52" s="90"/>
    </row>
    <row r="53" spans="1:8" s="51" customFormat="1" ht="18.75" customHeight="1">
      <c r="A53" s="89">
        <f t="shared" si="0"/>
        <v>48</v>
      </c>
      <c r="B53" s="164" t="str">
        <f>MRS!B53&amp;" "&amp;MRS!D53</f>
        <v>Tooth Brush Sensodyne</v>
      </c>
      <c r="C53" s="165"/>
      <c r="D53" s="82" t="str">
        <f>MRS!G53</f>
        <v>EA</v>
      </c>
      <c r="E53" s="83">
        <f>MRS!H53</f>
        <v>10</v>
      </c>
      <c r="F53" s="84">
        <f>MRS!I53</f>
        <v>7</v>
      </c>
      <c r="G53" s="85">
        <f t="shared" si="2"/>
        <v>70</v>
      </c>
      <c r="H53" s="90"/>
    </row>
    <row r="54" spans="1:8" s="51" customFormat="1" ht="18.75" customHeight="1">
      <c r="A54" s="89">
        <f t="shared" si="0"/>
        <v>49</v>
      </c>
      <c r="B54" s="164" t="str">
        <f>MRS!B54&amp;" "&amp;MRS!D54</f>
        <v>Paper Clip 33Mm</v>
      </c>
      <c r="C54" s="165"/>
      <c r="D54" s="82" t="str">
        <f>MRS!G54</f>
        <v>PKT</v>
      </c>
      <c r="E54" s="83">
        <f>MRS!H54</f>
        <v>50</v>
      </c>
      <c r="F54" s="84">
        <f>MRS!I54</f>
        <v>2</v>
      </c>
      <c r="G54" s="85">
        <f t="shared" si="2"/>
        <v>100</v>
      </c>
      <c r="H54" s="90"/>
    </row>
    <row r="55" spans="1:8" s="51" customFormat="1" ht="18.75" customHeight="1">
      <c r="A55" s="89">
        <f t="shared" si="0"/>
        <v>50</v>
      </c>
      <c r="B55" s="164" t="str">
        <f>MRS!B55&amp;" "&amp;MRS!D55</f>
        <v>Paper Clip 28Mm</v>
      </c>
      <c r="C55" s="165"/>
      <c r="D55" s="82" t="str">
        <f>MRS!G55</f>
        <v>PKT</v>
      </c>
      <c r="E55" s="83">
        <f>MRS!H55</f>
        <v>50</v>
      </c>
      <c r="F55" s="84">
        <f>MRS!I55</f>
        <v>1.9</v>
      </c>
      <c r="G55" s="85">
        <f t="shared" si="2"/>
        <v>95</v>
      </c>
      <c r="H55" s="90"/>
    </row>
    <row r="56" spans="1:8" s="51" customFormat="1" ht="18.75" customHeight="1">
      <c r="A56" s="89">
        <f t="shared" si="0"/>
        <v>51</v>
      </c>
      <c r="B56" s="164" t="str">
        <f>MRS!B56&amp;" "&amp;MRS!D56</f>
        <v xml:space="preserve">Sticker </v>
      </c>
      <c r="C56" s="165"/>
      <c r="D56" s="82" t="str">
        <f>MRS!G56</f>
        <v>EA</v>
      </c>
      <c r="E56" s="83">
        <f>MRS!H56</f>
        <v>1000</v>
      </c>
      <c r="F56" s="84">
        <f>MRS!I56</f>
        <v>1</v>
      </c>
      <c r="G56" s="85">
        <f t="shared" si="2"/>
        <v>1000</v>
      </c>
      <c r="H56" s="90"/>
    </row>
    <row r="57" spans="1:8" s="51" customFormat="1" ht="18.75" customHeight="1">
      <c r="A57" s="89">
        <f t="shared" si="0"/>
        <v>52</v>
      </c>
      <c r="B57" s="164" t="str">
        <f>MRS!B57&amp;" "&amp;MRS!D57</f>
        <v>Water Dispenser Geepas</v>
      </c>
      <c r="C57" s="165"/>
      <c r="D57" s="82" t="str">
        <f>MRS!G57</f>
        <v>EA</v>
      </c>
      <c r="E57" s="83">
        <f>MRS!H57</f>
        <v>1</v>
      </c>
      <c r="F57" s="84">
        <f>MRS!I57</f>
        <v>380</v>
      </c>
      <c r="G57" s="85">
        <f t="shared" si="2"/>
        <v>380</v>
      </c>
      <c r="H57" s="90"/>
    </row>
    <row r="58" spans="1:8" s="51" customFormat="1" ht="18.75" customHeight="1">
      <c r="A58" s="89">
        <f t="shared" si="0"/>
        <v>53</v>
      </c>
      <c r="B58" s="164" t="str">
        <f>MRS!B58&amp;" "&amp;MRS!D58</f>
        <v xml:space="preserve">Gooday Biscuit </v>
      </c>
      <c r="C58" s="165"/>
      <c r="D58" s="82" t="str">
        <f>MRS!G58</f>
        <v>BOX</v>
      </c>
      <c r="E58" s="83">
        <f>MRS!H58</f>
        <v>2</v>
      </c>
      <c r="F58" s="84">
        <f>MRS!I58</f>
        <v>22</v>
      </c>
      <c r="G58" s="85">
        <f t="shared" si="2"/>
        <v>44</v>
      </c>
      <c r="H58" s="90"/>
    </row>
    <row r="59" spans="1:8" s="51" customFormat="1" ht="18.75" customHeight="1">
      <c r="A59" s="89">
        <f t="shared" si="0"/>
        <v>54</v>
      </c>
      <c r="B59" s="164" t="str">
        <f>MRS!B59&amp;" "&amp;MRS!D59</f>
        <v>Time Card 100Pcs/Pkt</v>
      </c>
      <c r="C59" s="165"/>
      <c r="D59" s="82" t="str">
        <f>MRS!G59</f>
        <v>PKT</v>
      </c>
      <c r="E59" s="83">
        <f>MRS!H59</f>
        <v>60</v>
      </c>
      <c r="F59" s="84">
        <f>MRS!I59</f>
        <v>9</v>
      </c>
      <c r="G59" s="85">
        <f t="shared" si="2"/>
        <v>540</v>
      </c>
      <c r="H59" s="90"/>
    </row>
    <row r="60" spans="1:8" s="51" customFormat="1" ht="18.75" customHeight="1">
      <c r="A60" s="89">
        <f t="shared" si="0"/>
        <v>55</v>
      </c>
      <c r="B60" s="164" t="str">
        <f>MRS!B60&amp;" "&amp;MRS!D60</f>
        <v xml:space="preserve">2 Hole Punch </v>
      </c>
      <c r="C60" s="165"/>
      <c r="D60" s="82" t="str">
        <f>MRS!G60</f>
        <v>EA</v>
      </c>
      <c r="E60" s="83">
        <f>MRS!H60</f>
        <v>2</v>
      </c>
      <c r="F60" s="84">
        <f>MRS!I60</f>
        <v>29</v>
      </c>
      <c r="G60" s="85">
        <f t="shared" si="2"/>
        <v>58</v>
      </c>
      <c r="H60" s="90"/>
    </row>
    <row r="61" spans="1:8" s="51" customFormat="1" ht="18.75" customHeight="1">
      <c r="A61" s="89">
        <f t="shared" si="0"/>
        <v>56</v>
      </c>
      <c r="B61" s="164" t="str">
        <f>MRS!B61&amp;" "&amp;MRS!D61</f>
        <v xml:space="preserve">Flag Man Vest </v>
      </c>
      <c r="C61" s="165"/>
      <c r="D61" s="82" t="str">
        <f>MRS!G61</f>
        <v>EA</v>
      </c>
      <c r="E61" s="83">
        <f>MRS!H61</f>
        <v>10</v>
      </c>
      <c r="F61" s="84">
        <f>MRS!I61</f>
        <v>11</v>
      </c>
      <c r="G61" s="85">
        <f t="shared" si="2"/>
        <v>110</v>
      </c>
      <c r="H61" s="90"/>
    </row>
    <row r="62" spans="1:8" s="51" customFormat="1" ht="18.75" customHeight="1">
      <c r="A62" s="89">
        <f t="shared" si="0"/>
        <v>57</v>
      </c>
      <c r="B62" s="164" t="str">
        <f>MRS!B62&amp;" "&amp;MRS!D62</f>
        <v xml:space="preserve">Side Shield For Glass </v>
      </c>
      <c r="C62" s="165"/>
      <c r="D62" s="82" t="str">
        <f>MRS!G62</f>
        <v>EA</v>
      </c>
      <c r="E62" s="83">
        <f>MRS!H62</f>
        <v>3</v>
      </c>
      <c r="F62" s="84">
        <f>MRS!I62</f>
        <v>5</v>
      </c>
      <c r="G62" s="85">
        <f t="shared" ref="G62" si="3">F62*E62</f>
        <v>15</v>
      </c>
      <c r="H62" s="90"/>
    </row>
    <row r="63" spans="1:8" s="51" customFormat="1" ht="18.75" customHeight="1">
      <c r="A63" s="89">
        <f t="shared" si="0"/>
        <v>58</v>
      </c>
      <c r="B63" s="164" t="str">
        <f>MRS!B63&amp;" "&amp;MRS!D63</f>
        <v>Toshiba Toner Tfc 425 Black</v>
      </c>
      <c r="C63" s="165"/>
      <c r="D63" s="82" t="str">
        <f>MRS!G63</f>
        <v>EA</v>
      </c>
      <c r="E63" s="83">
        <f>MRS!H63</f>
        <v>2</v>
      </c>
      <c r="F63" s="84">
        <f>MRS!I63</f>
        <v>385</v>
      </c>
      <c r="G63" s="85">
        <f t="shared" ref="G63:G93" si="4">F63*E63</f>
        <v>770</v>
      </c>
      <c r="H63" s="90"/>
    </row>
    <row r="64" spans="1:8" s="51" customFormat="1" ht="18.75" customHeight="1">
      <c r="A64" s="89">
        <f t="shared" si="0"/>
        <v>59</v>
      </c>
      <c r="B64" s="164" t="str">
        <f>MRS!B64&amp;" "&amp;MRS!D64</f>
        <v>Toshiba Toner Tfc 425 Yellow-2/Magenta-2</v>
      </c>
      <c r="C64" s="165"/>
      <c r="D64" s="82" t="str">
        <f>MRS!G64</f>
        <v>EA</v>
      </c>
      <c r="E64" s="83">
        <f>MRS!H64</f>
        <v>2</v>
      </c>
      <c r="F64" s="84">
        <f>MRS!I64</f>
        <v>500</v>
      </c>
      <c r="G64" s="85">
        <f t="shared" si="4"/>
        <v>1000</v>
      </c>
      <c r="H64" s="90"/>
    </row>
    <row r="65" spans="1:8" s="51" customFormat="1" ht="18.75" customHeight="1">
      <c r="A65" s="89">
        <f t="shared" si="0"/>
        <v>60</v>
      </c>
      <c r="B65" s="164" t="str">
        <f>MRS!B65&amp;" "&amp;MRS!D65</f>
        <v>Chair Wheel 4Pcs/Set</v>
      </c>
      <c r="C65" s="165"/>
      <c r="D65" s="82" t="str">
        <f>MRS!G65</f>
        <v>PKT</v>
      </c>
      <c r="E65" s="83">
        <f>MRS!H65</f>
        <v>10</v>
      </c>
      <c r="F65" s="84">
        <f>MRS!I65</f>
        <v>14.5</v>
      </c>
      <c r="G65" s="85">
        <f t="shared" si="4"/>
        <v>145</v>
      </c>
      <c r="H65" s="90"/>
    </row>
    <row r="66" spans="1:8" s="51" customFormat="1" ht="18.75" customHeight="1">
      <c r="A66" s="89">
        <f t="shared" si="0"/>
        <v>61</v>
      </c>
      <c r="B66" s="164" t="str">
        <f>MRS!B66&amp;" "&amp;MRS!D66</f>
        <v xml:space="preserve">Facial Tissue </v>
      </c>
      <c r="C66" s="165"/>
      <c r="D66" s="82" t="str">
        <f>MRS!G66</f>
        <v>PKT</v>
      </c>
      <c r="E66" s="83">
        <f>MRS!H66</f>
        <v>5</v>
      </c>
      <c r="F66" s="84">
        <f>MRS!I66</f>
        <v>19.5</v>
      </c>
      <c r="G66" s="85">
        <f t="shared" si="4"/>
        <v>97.5</v>
      </c>
      <c r="H66" s="90"/>
    </row>
    <row r="67" spans="1:8" s="51" customFormat="1" ht="18.75" customHeight="1">
      <c r="A67" s="89">
        <f t="shared" si="0"/>
        <v>62</v>
      </c>
      <c r="B67" s="164" t="str">
        <f>MRS!B67&amp;" "&amp;MRS!D67</f>
        <v>Dac Cleaner 3Ltr</v>
      </c>
      <c r="C67" s="165"/>
      <c r="D67" s="82" t="str">
        <f>MRS!G67</f>
        <v>EA</v>
      </c>
      <c r="E67" s="83">
        <f>MRS!H67</f>
        <v>12</v>
      </c>
      <c r="F67" s="84">
        <f>MRS!I67</f>
        <v>26</v>
      </c>
      <c r="G67" s="85">
        <f t="shared" si="4"/>
        <v>312</v>
      </c>
      <c r="H67" s="90"/>
    </row>
    <row r="68" spans="1:8" s="51" customFormat="1" ht="18.75" customHeight="1">
      <c r="A68" s="89">
        <f t="shared" si="0"/>
        <v>63</v>
      </c>
      <c r="B68" s="164" t="str">
        <f>MRS!B68&amp;" "&amp;MRS!D68</f>
        <v>Spray Paint Black 12*1</v>
      </c>
      <c r="C68" s="165"/>
      <c r="D68" s="82" t="str">
        <f>MRS!G68</f>
        <v>BOX</v>
      </c>
      <c r="E68" s="83">
        <f>MRS!H68</f>
        <v>1</v>
      </c>
      <c r="F68" s="84">
        <f>MRS!I68</f>
        <v>65</v>
      </c>
      <c r="G68" s="85">
        <f t="shared" si="4"/>
        <v>65</v>
      </c>
      <c r="H68" s="90"/>
    </row>
    <row r="69" spans="1:8" s="51" customFormat="1" ht="18.75" customHeight="1">
      <c r="A69" s="89">
        <f t="shared" si="0"/>
        <v>64</v>
      </c>
      <c r="B69" s="164" t="str">
        <f>MRS!B69&amp;" "&amp;MRS!D69</f>
        <v>Hp Toner 106A Black</v>
      </c>
      <c r="C69" s="165"/>
      <c r="D69" s="82" t="str">
        <f>MRS!G69</f>
        <v>EA</v>
      </c>
      <c r="E69" s="83">
        <f>MRS!H69</f>
        <v>3</v>
      </c>
      <c r="F69" s="84">
        <f>MRS!I69</f>
        <v>237</v>
      </c>
      <c r="G69" s="85">
        <f t="shared" si="4"/>
        <v>711</v>
      </c>
      <c r="H69" s="90"/>
    </row>
    <row r="70" spans="1:8" s="51" customFormat="1" ht="18.75" customHeight="1">
      <c r="A70" s="89">
        <f t="shared" ref="A70:A93" si="5">ROW(A65)</f>
        <v>65</v>
      </c>
      <c r="B70" s="164" t="str">
        <f>MRS!B70&amp;" "&amp;MRS!D70</f>
        <v>Broom Brush Black</v>
      </c>
      <c r="C70" s="165"/>
      <c r="D70" s="82" t="str">
        <f>MRS!G70</f>
        <v>EA</v>
      </c>
      <c r="E70" s="83">
        <f>MRS!H70</f>
        <v>25</v>
      </c>
      <c r="F70" s="84">
        <f>MRS!I70</f>
        <v>12</v>
      </c>
      <c r="G70" s="85">
        <f t="shared" si="4"/>
        <v>300</v>
      </c>
      <c r="H70" s="90"/>
    </row>
    <row r="71" spans="1:8" s="51" customFormat="1" ht="18.75" customHeight="1">
      <c r="A71" s="89">
        <f t="shared" si="5"/>
        <v>66</v>
      </c>
      <c r="B71" s="164" t="str">
        <f>MRS!B71&amp;" "&amp;MRS!D71</f>
        <v xml:space="preserve">Dove Soap </v>
      </c>
      <c r="C71" s="165"/>
      <c r="D71" s="82" t="str">
        <f>MRS!G71</f>
        <v>EA</v>
      </c>
      <c r="E71" s="83">
        <f>MRS!H71</f>
        <v>6</v>
      </c>
      <c r="F71" s="84">
        <f>MRS!I71</f>
        <v>6</v>
      </c>
      <c r="G71" s="85">
        <f t="shared" si="4"/>
        <v>36</v>
      </c>
      <c r="H71" s="90"/>
    </row>
    <row r="72" spans="1:8" s="51" customFormat="1" ht="18.75" customHeight="1">
      <c r="A72" s="89">
        <f t="shared" si="5"/>
        <v>67</v>
      </c>
      <c r="B72" s="164" t="str">
        <f>MRS!B72&amp;" "&amp;MRS!D72</f>
        <v>Shampoo Head&amp;Sholder,400Ml</v>
      </c>
      <c r="C72" s="165"/>
      <c r="D72" s="82" t="str">
        <f>MRS!G72</f>
        <v>EA</v>
      </c>
      <c r="E72" s="83">
        <f>MRS!H72</f>
        <v>2</v>
      </c>
      <c r="F72" s="84">
        <f>MRS!I72</f>
        <v>18</v>
      </c>
      <c r="G72" s="85">
        <f t="shared" si="4"/>
        <v>36</v>
      </c>
      <c r="H72" s="90"/>
    </row>
    <row r="73" spans="1:8" s="51" customFormat="1" ht="18.75" customHeight="1">
      <c r="A73" s="89">
        <f t="shared" si="5"/>
        <v>68</v>
      </c>
      <c r="B73" s="164" t="str">
        <f>MRS!B73&amp;" "&amp;MRS!D73</f>
        <v xml:space="preserve">Wet Tissue </v>
      </c>
      <c r="C73" s="165"/>
      <c r="D73" s="82" t="str">
        <f>MRS!G73</f>
        <v>EA</v>
      </c>
      <c r="E73" s="83">
        <f>MRS!H73</f>
        <v>24</v>
      </c>
      <c r="F73" s="84">
        <f>MRS!I73</f>
        <v>8</v>
      </c>
      <c r="G73" s="85">
        <f t="shared" si="4"/>
        <v>192</v>
      </c>
      <c r="H73" s="90"/>
    </row>
    <row r="74" spans="1:8" s="51" customFormat="1" ht="18.75" customHeight="1">
      <c r="A74" s="89">
        <f t="shared" si="5"/>
        <v>69</v>
      </c>
      <c r="B74" s="164" t="str">
        <f>MRS!B74&amp;" "&amp;MRS!D74</f>
        <v>Chin Strap Blue &amp; White</v>
      </c>
      <c r="C74" s="165"/>
      <c r="D74" s="82" t="str">
        <f>MRS!G74</f>
        <v>EA</v>
      </c>
      <c r="E74" s="83">
        <f>MRS!H74</f>
        <v>150</v>
      </c>
      <c r="F74" s="84">
        <f>MRS!I74</f>
        <v>1.5</v>
      </c>
      <c r="G74" s="85">
        <f t="shared" si="4"/>
        <v>225</v>
      </c>
      <c r="H74" s="90"/>
    </row>
    <row r="75" spans="1:8" s="51" customFormat="1" ht="18.75" customHeight="1">
      <c r="A75" s="89">
        <f t="shared" si="5"/>
        <v>70</v>
      </c>
      <c r="B75" s="164" t="str">
        <f>MRS!B75&amp;" "&amp;MRS!D75</f>
        <v>Cone Cup 5000Pcs</v>
      </c>
      <c r="C75" s="165"/>
      <c r="D75" s="82" t="str">
        <f>MRS!G75</f>
        <v>BOX</v>
      </c>
      <c r="E75" s="83">
        <f>MRS!H75</f>
        <v>1</v>
      </c>
      <c r="F75" s="84">
        <f>MRS!I75</f>
        <v>181</v>
      </c>
      <c r="G75" s="85">
        <f t="shared" si="4"/>
        <v>181</v>
      </c>
      <c r="H75" s="90"/>
    </row>
    <row r="76" spans="1:8" s="51" customFormat="1" ht="18.75" customHeight="1">
      <c r="A76" s="89">
        <f t="shared" si="5"/>
        <v>71</v>
      </c>
      <c r="B76" s="164" t="str">
        <f>MRS!B76&amp;" "&amp;MRS!D76</f>
        <v xml:space="preserve">Lifboy  Soap </v>
      </c>
      <c r="C76" s="165"/>
      <c r="D76" s="82" t="str">
        <f>MRS!G76</f>
        <v>EA</v>
      </c>
      <c r="E76" s="83">
        <f>MRS!H76</f>
        <v>10</v>
      </c>
      <c r="F76" s="84">
        <f>MRS!I76</f>
        <v>7.3</v>
      </c>
      <c r="G76" s="85">
        <f t="shared" si="4"/>
        <v>73</v>
      </c>
      <c r="H76" s="90"/>
    </row>
    <row r="77" spans="1:8" s="51" customFormat="1" ht="18.75" customHeight="1">
      <c r="A77" s="89">
        <f t="shared" si="5"/>
        <v>72</v>
      </c>
      <c r="B77" s="164" t="str">
        <f>MRS!B77&amp;" "&amp;MRS!D77</f>
        <v>Xeroxtoner C 7100/7120 /C7125/C7130
Black</v>
      </c>
      <c r="C77" s="165"/>
      <c r="D77" s="82" t="str">
        <f>MRS!G77</f>
        <v>EA</v>
      </c>
      <c r="E77" s="83">
        <f>MRS!H77</f>
        <v>3</v>
      </c>
      <c r="F77" s="84">
        <f>MRS!I77</f>
        <v>350</v>
      </c>
      <c r="G77" s="85">
        <f t="shared" si="4"/>
        <v>1050</v>
      </c>
      <c r="H77" s="90"/>
    </row>
    <row r="78" spans="1:8" s="51" customFormat="1" ht="18.75" customHeight="1">
      <c r="A78" s="89">
        <f t="shared" si="5"/>
        <v>73</v>
      </c>
      <c r="B78" s="164" t="str">
        <f>MRS!B78&amp;" "&amp;MRS!D78</f>
        <v>Xeroxtoner C 7100/7120 /C7125/C7130
Yellow</v>
      </c>
      <c r="C78" s="165"/>
      <c r="D78" s="82" t="str">
        <f>MRS!G78</f>
        <v>EA</v>
      </c>
      <c r="E78" s="83">
        <f>MRS!H78</f>
        <v>2</v>
      </c>
      <c r="F78" s="84">
        <f>MRS!I78</f>
        <v>450</v>
      </c>
      <c r="G78" s="85">
        <f t="shared" si="4"/>
        <v>900</v>
      </c>
      <c r="H78" s="90"/>
    </row>
    <row r="79" spans="1:8" s="51" customFormat="1" ht="18.75" customHeight="1">
      <c r="A79" s="89">
        <f t="shared" si="5"/>
        <v>74</v>
      </c>
      <c r="B79" s="164" t="str">
        <f>MRS!B79&amp;" "&amp;MRS!D79</f>
        <v>Xeroxtoner C 7100/7120 /C7125/C7130
Majenta</v>
      </c>
      <c r="C79" s="165"/>
      <c r="D79" s="82" t="str">
        <f>MRS!G79</f>
        <v>EA</v>
      </c>
      <c r="E79" s="83">
        <f>MRS!H79</f>
        <v>2</v>
      </c>
      <c r="F79" s="84">
        <f>MRS!I79</f>
        <v>450</v>
      </c>
      <c r="G79" s="85">
        <f t="shared" si="4"/>
        <v>900</v>
      </c>
      <c r="H79" s="90"/>
    </row>
    <row r="80" spans="1:8" s="51" customFormat="1" ht="18.75" customHeight="1">
      <c r="A80" s="89">
        <f t="shared" si="5"/>
        <v>75</v>
      </c>
      <c r="B80" s="164" t="str">
        <f>MRS!B80&amp;" "&amp;MRS!D80</f>
        <v>Xeroxtoner C 7100/7120 /C7125/C7130 Cyan</v>
      </c>
      <c r="C80" s="165"/>
      <c r="D80" s="82" t="str">
        <f>MRS!G80</f>
        <v>EA</v>
      </c>
      <c r="E80" s="83">
        <f>MRS!H80</f>
        <v>1</v>
      </c>
      <c r="F80" s="84">
        <f>MRS!I80</f>
        <v>450</v>
      </c>
      <c r="G80" s="85">
        <f t="shared" si="4"/>
        <v>450</v>
      </c>
      <c r="H80" s="90"/>
    </row>
    <row r="81" spans="1:8" s="51" customFormat="1" ht="18.75" customHeight="1">
      <c r="A81" s="89">
        <f t="shared" si="5"/>
        <v>76</v>
      </c>
      <c r="B81" s="164" t="str">
        <f>MRS!B81&amp;" "&amp;MRS!D81</f>
        <v xml:space="preserve">Xerox C7130 Drum Unit </v>
      </c>
      <c r="C81" s="165"/>
      <c r="D81" s="82" t="str">
        <f>MRS!G81</f>
        <v>EA</v>
      </c>
      <c r="E81" s="83">
        <f>MRS!H81</f>
        <v>1</v>
      </c>
      <c r="F81" s="84">
        <f>MRS!I81</f>
        <v>1080</v>
      </c>
      <c r="G81" s="85">
        <f t="shared" si="4"/>
        <v>1080</v>
      </c>
      <c r="H81" s="90"/>
    </row>
    <row r="82" spans="1:8" s="51" customFormat="1" ht="18.75" customHeight="1">
      <c r="A82" s="89">
        <f t="shared" si="5"/>
        <v>77</v>
      </c>
      <c r="B82" s="164" t="str">
        <f>MRS!B82&amp;" "&amp;MRS!D82</f>
        <v xml:space="preserve">Time Crd Punching
Machine </v>
      </c>
      <c r="C82" s="165"/>
      <c r="D82" s="82" t="str">
        <f>MRS!G82</f>
        <v>EA</v>
      </c>
      <c r="E82" s="83">
        <f>MRS!H82</f>
        <v>5</v>
      </c>
      <c r="F82" s="84">
        <f>MRS!I82</f>
        <v>610</v>
      </c>
      <c r="G82" s="85">
        <f t="shared" si="4"/>
        <v>3050</v>
      </c>
      <c r="H82" s="90"/>
    </row>
    <row r="83" spans="1:8" s="51" customFormat="1" ht="18.75" customHeight="1">
      <c r="A83" s="89">
        <f t="shared" si="5"/>
        <v>78</v>
      </c>
      <c r="B83" s="164" t="str">
        <f>MRS!B83&amp;" "&amp;MRS!D83</f>
        <v>A4 Lamination Pouch Super Deal</v>
      </c>
      <c r="C83" s="165"/>
      <c r="D83" s="82" t="str">
        <f>MRS!G83</f>
        <v>PKT</v>
      </c>
      <c r="E83" s="83">
        <f>MRS!H83</f>
        <v>10</v>
      </c>
      <c r="F83" s="84">
        <f>MRS!I83</f>
        <v>28.8</v>
      </c>
      <c r="G83" s="85">
        <f t="shared" si="4"/>
        <v>288</v>
      </c>
      <c r="H83" s="90"/>
    </row>
    <row r="84" spans="1:8" s="51" customFormat="1" ht="18.75" customHeight="1">
      <c r="A84" s="89">
        <f t="shared" si="5"/>
        <v>79</v>
      </c>
      <c r="B84" s="164" t="str">
        <f>MRS!B84&amp;" "&amp;MRS!D84</f>
        <v xml:space="preserve">Laptop Charger </v>
      </c>
      <c r="C84" s="165"/>
      <c r="D84" s="82" t="str">
        <f>MRS!G84</f>
        <v>EA</v>
      </c>
      <c r="E84" s="83">
        <f>MRS!H84</f>
        <v>1</v>
      </c>
      <c r="F84" s="84">
        <f>MRS!I84</f>
        <v>160</v>
      </c>
      <c r="G84" s="85">
        <f t="shared" si="4"/>
        <v>160</v>
      </c>
      <c r="H84" s="90"/>
    </row>
    <row r="85" spans="1:8" s="51" customFormat="1" ht="18.75" customHeight="1">
      <c r="A85" s="89">
        <f t="shared" si="5"/>
        <v>80</v>
      </c>
      <c r="B85" s="164" t="str">
        <f>MRS!B85&amp;" "&amp;MRS!D85</f>
        <v xml:space="preserve">Thermal Paste </v>
      </c>
      <c r="C85" s="165"/>
      <c r="D85" s="82" t="str">
        <f>MRS!G85</f>
        <v>EA</v>
      </c>
      <c r="E85" s="83">
        <f>MRS!H85</f>
        <v>1</v>
      </c>
      <c r="F85" s="84">
        <f>MRS!I85</f>
        <v>36</v>
      </c>
      <c r="G85" s="85">
        <f t="shared" si="4"/>
        <v>36</v>
      </c>
      <c r="H85" s="90"/>
    </row>
    <row r="86" spans="1:8" s="51" customFormat="1" ht="18.75" customHeight="1">
      <c r="A86" s="89">
        <f t="shared" si="5"/>
        <v>81</v>
      </c>
      <c r="B86" s="164" t="str">
        <f>MRS!B86&amp;" "&amp;MRS!D86</f>
        <v>Kitchen Tissue Dimah,.350Mtr*6</v>
      </c>
      <c r="C86" s="165"/>
      <c r="D86" s="82" t="str">
        <f>MRS!G86</f>
        <v>BDL</v>
      </c>
      <c r="E86" s="83">
        <f>MRS!H86</f>
        <v>5</v>
      </c>
      <c r="F86" s="84">
        <f>MRS!I86</f>
        <v>73</v>
      </c>
      <c r="G86" s="85">
        <f t="shared" si="4"/>
        <v>365</v>
      </c>
      <c r="H86" s="90"/>
    </row>
    <row r="87" spans="1:8" s="51" customFormat="1" ht="18.75" customHeight="1">
      <c r="A87" s="89">
        <f t="shared" si="5"/>
        <v>82</v>
      </c>
      <c r="B87" s="164" t="str">
        <f>MRS!B87&amp;" "&amp;MRS!D87</f>
        <v>Cooler Tap Small</v>
      </c>
      <c r="C87" s="165"/>
      <c r="D87" s="82" t="str">
        <f>MRS!G87</f>
        <v>EA</v>
      </c>
      <c r="E87" s="83">
        <f>MRS!H87</f>
        <v>50</v>
      </c>
      <c r="F87" s="84">
        <f>MRS!I87</f>
        <v>3.15</v>
      </c>
      <c r="G87" s="85">
        <f t="shared" si="4"/>
        <v>157.5</v>
      </c>
      <c r="H87" s="90"/>
    </row>
    <row r="88" spans="1:8" s="51" customFormat="1" ht="18.75" customHeight="1">
      <c r="A88" s="89">
        <f t="shared" si="5"/>
        <v>83</v>
      </c>
      <c r="B88" s="164" t="str">
        <f>MRS!B88&amp;" "&amp;MRS!D88</f>
        <v>Cooler Tap Big</v>
      </c>
      <c r="C88" s="165"/>
      <c r="D88" s="82" t="str">
        <f>MRS!G88</f>
        <v>EA</v>
      </c>
      <c r="E88" s="83">
        <f>MRS!H88</f>
        <v>100</v>
      </c>
      <c r="F88" s="84">
        <f>MRS!I88</f>
        <v>3.6</v>
      </c>
      <c r="G88" s="85">
        <f t="shared" si="4"/>
        <v>360</v>
      </c>
      <c r="H88" s="90"/>
    </row>
    <row r="89" spans="1:8" s="51" customFormat="1" ht="18.75" customHeight="1">
      <c r="A89" s="89">
        <f t="shared" si="5"/>
        <v>84</v>
      </c>
      <c r="B89" s="164" t="str">
        <f>MRS!B89&amp;" "&amp;MRS!D89</f>
        <v>A3 Box File 10Pcs/Ctn</v>
      </c>
      <c r="C89" s="165"/>
      <c r="D89" s="82" t="str">
        <f>MRS!G89</f>
        <v>BOX</v>
      </c>
      <c r="E89" s="83">
        <f>MRS!H89</f>
        <v>3</v>
      </c>
      <c r="F89" s="84">
        <f>MRS!I89</f>
        <v>144</v>
      </c>
      <c r="G89" s="85">
        <f t="shared" si="4"/>
        <v>432</v>
      </c>
      <c r="H89" s="90"/>
    </row>
    <row r="90" spans="1:8" s="51" customFormat="1" ht="18.75" customHeight="1">
      <c r="A90" s="89">
        <f t="shared" si="5"/>
        <v>85</v>
      </c>
      <c r="B90" s="164" t="str">
        <f>MRS!B90&amp;" "&amp;MRS!D90</f>
        <v>Binder Clip 25Mm,1"</v>
      </c>
      <c r="C90" s="165"/>
      <c r="D90" s="82" t="str">
        <f>MRS!G90</f>
        <v>BOX</v>
      </c>
      <c r="E90" s="83">
        <f>MRS!H90</f>
        <v>5</v>
      </c>
      <c r="F90" s="84">
        <f>MRS!I90</f>
        <v>24</v>
      </c>
      <c r="G90" s="85">
        <f t="shared" si="4"/>
        <v>120</v>
      </c>
      <c r="H90" s="90"/>
    </row>
    <row r="91" spans="1:8" s="51" customFormat="1" ht="18.75" customHeight="1">
      <c r="A91" s="89">
        <f t="shared" si="5"/>
        <v>86</v>
      </c>
      <c r="B91" s="164" t="str">
        <f>MRS!B91&amp;" "&amp;MRS!D91</f>
        <v>Binder Clip 32Mm 1-1/4"</v>
      </c>
      <c r="C91" s="165"/>
      <c r="D91" s="82" t="str">
        <f>MRS!G91</f>
        <v>BOX</v>
      </c>
      <c r="E91" s="83">
        <f>MRS!H91</f>
        <v>5</v>
      </c>
      <c r="F91" s="84">
        <f>MRS!I91</f>
        <v>30</v>
      </c>
      <c r="G91" s="85">
        <f t="shared" si="4"/>
        <v>150</v>
      </c>
      <c r="H91" s="90"/>
    </row>
    <row r="92" spans="1:8" s="51" customFormat="1" ht="18.75" customHeight="1">
      <c r="A92" s="89">
        <f t="shared" si="5"/>
        <v>87</v>
      </c>
      <c r="B92" s="164" t="str">
        <f>MRS!B92&amp;" "&amp;MRS!D92</f>
        <v>Envelops Atlas,115*225,White,25/Pkt</v>
      </c>
      <c r="C92" s="165"/>
      <c r="D92" s="82" t="str">
        <f>MRS!G92</f>
        <v>PKT</v>
      </c>
      <c r="E92" s="83">
        <f>MRS!H92</f>
        <v>25</v>
      </c>
      <c r="F92" s="84">
        <f>MRS!I92</f>
        <v>3.5</v>
      </c>
      <c r="G92" s="85">
        <f t="shared" si="4"/>
        <v>87.5</v>
      </c>
      <c r="H92" s="90"/>
    </row>
    <row r="93" spans="1:8" s="51" customFormat="1" ht="18.75" customHeight="1">
      <c r="A93" s="89">
        <f t="shared" si="5"/>
        <v>88</v>
      </c>
      <c r="B93" s="164" t="str">
        <f>MRS!B93&amp;" "&amp;MRS!D93</f>
        <v>Trio Ball Pen 50Pcs/Pkt,Blue-20/Red-6</v>
      </c>
      <c r="C93" s="165"/>
      <c r="D93" s="82" t="str">
        <f>MRS!G93</f>
        <v>PKT</v>
      </c>
      <c r="E93" s="83">
        <f>MRS!H93</f>
        <v>10</v>
      </c>
      <c r="F93" s="84">
        <f>MRS!I93</f>
        <v>20</v>
      </c>
      <c r="G93" s="85">
        <f t="shared" si="4"/>
        <v>200</v>
      </c>
      <c r="H93" s="90"/>
    </row>
    <row r="94" spans="1:8" s="51" customFormat="1" ht="23.1" customHeight="1">
      <c r="A94" s="160" t="s">
        <v>86</v>
      </c>
      <c r="B94" s="161"/>
      <c r="C94" s="161"/>
      <c r="D94" s="161"/>
      <c r="E94" s="161"/>
      <c r="F94" s="161"/>
      <c r="G94" s="54">
        <f>SUM(G6:G93)</f>
        <v>78186.42</v>
      </c>
      <c r="H94" s="55"/>
    </row>
    <row r="95" spans="1:8" s="51" customFormat="1" ht="23.1" customHeight="1">
      <c r="A95" s="160" t="s">
        <v>50</v>
      </c>
      <c r="B95" s="161"/>
      <c r="C95" s="161"/>
      <c r="D95" s="161"/>
      <c r="E95" s="161"/>
      <c r="F95" s="161"/>
      <c r="G95" s="54">
        <f>+G94*0.15</f>
        <v>11727.963</v>
      </c>
      <c r="H95" s="55"/>
    </row>
    <row r="96" spans="1:8" s="51" customFormat="1" ht="24.95" customHeight="1" thickBot="1">
      <c r="A96" s="162" t="s">
        <v>87</v>
      </c>
      <c r="B96" s="163"/>
      <c r="C96" s="163"/>
      <c r="D96" s="163"/>
      <c r="E96" s="163"/>
      <c r="F96" s="163"/>
      <c r="G96" s="56">
        <f>G95+G94</f>
        <v>89914.383000000002</v>
      </c>
      <c r="H96" s="57"/>
    </row>
    <row r="97" spans="1:13" ht="15.75" thickTop="1">
      <c r="A97" s="58" t="str">
        <f>" 1) Above Price are as per your quotation with ref "&amp;'PO 1st page'!K14</f>
        <v xml:space="preserve"> 1) Above Price are as per your quotation with ref QUO-MAT-26070405</v>
      </c>
      <c r="B97" s="59"/>
      <c r="C97" s="59"/>
      <c r="D97" s="60"/>
      <c r="E97" s="60"/>
      <c r="F97" s="60"/>
      <c r="G97" s="60"/>
      <c r="H97" s="60"/>
    </row>
    <row r="98" spans="1:13" ht="15">
      <c r="A98" s="61" t="s">
        <v>88</v>
      </c>
      <c r="B98" s="62"/>
      <c r="C98" s="62"/>
      <c r="D98" s="63"/>
      <c r="E98" s="63"/>
      <c r="F98" s="63"/>
      <c r="G98" s="63"/>
      <c r="H98" s="63"/>
      <c r="I98" s="64"/>
    </row>
    <row r="99" spans="1:13" ht="15.75">
      <c r="A99" s="65"/>
    </row>
    <row r="100" spans="1:13">
      <c r="A100" s="151" t="s">
        <v>89</v>
      </c>
      <c r="B100" s="151"/>
      <c r="C100" s="151"/>
      <c r="D100" s="151"/>
      <c r="E100" s="151"/>
      <c r="F100" s="151"/>
      <c r="G100" s="151"/>
      <c r="H100" s="151"/>
      <c r="I100" s="66"/>
      <c r="J100" s="66"/>
      <c r="K100" s="66"/>
      <c r="L100" s="66"/>
      <c r="M100" s="66"/>
    </row>
    <row r="101" spans="1:13" ht="15.75">
      <c r="A101" s="65"/>
      <c r="C101" s="67"/>
    </row>
    <row r="102" spans="1:13" ht="15.75">
      <c r="A102" s="65"/>
      <c r="C102" s="67"/>
    </row>
    <row r="104" spans="1:13" ht="12" customHeight="1"/>
  </sheetData>
  <mergeCells count="100">
    <mergeCell ref="B88:C88"/>
    <mergeCell ref="B89:C89"/>
    <mergeCell ref="B90:C90"/>
    <mergeCell ref="B82:C82"/>
    <mergeCell ref="B83:C83"/>
    <mergeCell ref="B84:C84"/>
    <mergeCell ref="B85:C85"/>
    <mergeCell ref="B86:C86"/>
    <mergeCell ref="B78:C78"/>
    <mergeCell ref="B79:C79"/>
    <mergeCell ref="B80:C80"/>
    <mergeCell ref="B81:C81"/>
    <mergeCell ref="B87:C87"/>
    <mergeCell ref="B73:C73"/>
    <mergeCell ref="B74:C74"/>
    <mergeCell ref="B75:C75"/>
    <mergeCell ref="B76:C76"/>
    <mergeCell ref="B77:C77"/>
    <mergeCell ref="B60:C60"/>
    <mergeCell ref="B61:C61"/>
    <mergeCell ref="B91:C91"/>
    <mergeCell ref="B92:C92"/>
    <mergeCell ref="B93:C93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8:C48"/>
    <mergeCell ref="B49:C49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1:C31"/>
    <mergeCell ref="B32:C32"/>
    <mergeCell ref="B33:C33"/>
    <mergeCell ref="B34:C34"/>
    <mergeCell ref="B35:C35"/>
    <mergeCell ref="B25:C25"/>
    <mergeCell ref="B29:C29"/>
    <mergeCell ref="B30:C30"/>
    <mergeCell ref="B11:C11"/>
    <mergeCell ref="B12:C12"/>
    <mergeCell ref="B26:C26"/>
    <mergeCell ref="B27:C27"/>
    <mergeCell ref="B28:C28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94:F94"/>
    <mergeCell ref="A95:F95"/>
    <mergeCell ref="A96:F96"/>
    <mergeCell ref="A100:H10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2026-07-07T08:34:08Z</cp:lastPrinted>
  <dcterms:created xsi:type="dcterms:W3CDTF">2024-10-20T11:50:19Z</dcterms:created>
  <dcterms:modified xsi:type="dcterms:W3CDTF">2026-07-07T08:35:11Z</dcterms:modified>
</cp:coreProperties>
</file>