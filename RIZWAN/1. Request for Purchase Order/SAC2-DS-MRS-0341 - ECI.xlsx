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2C79996-B995-4B2E-97A7-B16382809F2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G12" i="4"/>
  <c r="F12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B8" i="4"/>
  <c r="B9" i="4"/>
  <c r="B10" i="4"/>
  <c r="B11" i="4"/>
  <c r="B12" i="4"/>
  <c r="J12" i="1"/>
  <c r="J10" i="1"/>
  <c r="E7" i="4"/>
  <c r="D7" i="4"/>
  <c r="B7" i="4"/>
  <c r="F6" i="4"/>
  <c r="E6" i="4"/>
  <c r="D6" i="4"/>
  <c r="B6" i="4"/>
  <c r="P54" i="3"/>
  <c r="J9" i="1" l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K67" i="3"/>
  <c r="E3" i="1"/>
  <c r="H7" i="2"/>
  <c r="G7" i="2"/>
  <c r="D7" i="2"/>
  <c r="B7" i="2"/>
  <c r="J6" i="1" l="1"/>
  <c r="K10" i="3"/>
  <c r="A21" i="4" l="1"/>
  <c r="J7" i="2"/>
  <c r="G7" i="4" s="1"/>
  <c r="I7" i="2"/>
  <c r="F7" i="4" s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<sst xmlns="http://schemas.openxmlformats.org/spreadsheetml/2006/main" count="168" uniqueCount="136">
  <si>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</si>
  <si>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</si>
  <si>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</si>
  <si>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</si>
  <si>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</si>
  <si>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</si>
  <si>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</si>
  <si>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</si>
  <si>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</si>
  <si>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</si>
  <si>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</si>
  <si>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</si>
  <si>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</si>
  <si>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</si>
  <si>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</si>
  <si>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</si>
  <si>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</si>
  <si>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</si>
  <si>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</si>
  <si>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</si>
  <si>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</si>
  <si>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</si>
  <si>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</si>
  <si>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</si>
  <si>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</si>
  <si>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</si>
  <si>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</si>
  <si>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</si>
  <si>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</si>
  <si>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</si>
  <si>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</si>
  <si>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</si>
  <si>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</si>
  <si>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</si>
  <si>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</si>
  <si>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</si>
  <si>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</si>
  <si>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</si>
  <si>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</si>
  <si>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</si>
  <si>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</si>
  <si>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</si>
  <si>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</si>
  <si>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</si>
  <si>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</si>
  <si>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</si>
  <si>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</si>
  <si>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</si>
  <si>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</si>
  <si>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</si>
  <si>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</si>
  <si>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</si>
  <si>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</si>
  <si>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</si>
  <si>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</si>
  <si>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</si>
  <si>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</si>
  <si>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</si>
  <si>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</si>
  <si>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</si>
  <si>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</si>
  <si>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</si>
  <si>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</si>
  <si>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</si>
  <si>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</si>
  <si>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</si>
  <si>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</si>
  <si>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</si>
  <si>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</si>
  <si>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</si>
  <si>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</si>
  <si>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</si>
  <si>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</si>
  <si>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</si>
  <si>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</si>
  <si>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</si>
  <si>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</si>
  <si>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</si>
  <si>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</si>
  <si>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</si>
  <si>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</si>
  <si>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</si>
  <si>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</si>
  <si>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</si>
  <si>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</si>
  <si>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</si>
  <si>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</si>
  <si>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</si>
  <si>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</si>
  <si>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</si>
  <si>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</si>
  <si>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</si>
  <si>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</si>
  <si>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</si>
  <si>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</si>
  <si>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</si>
  <si>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</si>
  <si>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</si>
  <si>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</si>
  <si>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</si>
  <si>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</si>
  <si>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EA</t>
  </si>
  <si>
    <t>Visual Inspection of Materials</t>
  </si>
  <si>
    <t>2066002674</t>
  </si>
  <si>
    <t>310237629500003</t>
  </si>
  <si>
    <t>Ahmad Salih</t>
  </si>
  <si>
    <t>Operation Manager</t>
  </si>
  <si>
    <t>Email:eci@eccgroupksa.com</t>
  </si>
  <si>
    <t>Landline : +99 13 667 6999 / 667 6895</t>
  </si>
  <si>
    <t>ECI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</si>
  <si>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</si>
  <si>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</si>
  <si>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</si>
  <si>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</si>
  <si>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</si>
  <si>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</si>
  <si>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</si>
  <si>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</si>
  <si>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</si>
  <si>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</si>
  <si>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</si>
  <si>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Building No. 3193, Al Fayha Dist. Ras Tannurah 32817, KSA</t>
  </si>
  <si>
    <t>ENGINEERING CORNER FOR INSPECTION</t>
  </si>
  <si>
    <t>04356973000105</t>
  </si>
  <si>
    <t>SA75 1000 0004 3569 7300 0105</t>
  </si>
  <si>
    <t>ECI (Engineering Corner for Inspection Co. Ltd.)</t>
  </si>
  <si>
    <t>One time</t>
  </si>
  <si>
    <t>"</t>
  </si>
  <si>
    <t>Visual Inspection for Webbing Sling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</si>
  <si>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-MRS-0341</t>
    </r>
  </si>
  <si>
    <t>Visual Inspection for Cross Arm Strap</t>
  </si>
  <si>
    <t>Visual Inspection for Gin Wheel</t>
  </si>
  <si>
    <t>Visual Inspection for Bow Shackles</t>
  </si>
  <si>
    <t>Visual Inspection for Chain Blocks</t>
  </si>
  <si>
    <t>Visual Inspection for Lever Block</t>
  </si>
  <si>
    <t>YRD-SO-2026/519 &amp; 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</si>
</sst>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12" sqref="I12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28" t="s">
        <v>89</v>
      </c>
      <c r="K1" s="129"/>
      <c r="L1" s="130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31" t="s">
        <v>96</v>
      </c>
      <c r="K2" s="132"/>
      <c r="L2" s="133"/>
    </row>
    <row r="3" spans="1:18" ht="20.100000000000001" customHeight="1">
      <c r="A3" s="3" t="s">
        <v>129</v>
      </c>
      <c r="B3" s="100"/>
      <c r="C3" s="100"/>
      <c r="D3" s="100"/>
      <c r="E3" s="134">
        <f>+L3</f>
        <v>46204</v>
      </c>
      <c r="F3" s="134"/>
      <c r="G3" s="134"/>
      <c r="H3" s="134"/>
      <c r="I3" s="134"/>
      <c r="J3" s="100"/>
      <c r="K3" s="100"/>
      <c r="L3" s="121">
        <v>46204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93</v>
      </c>
      <c r="J4" s="135" t="s">
        <v>94</v>
      </c>
      <c r="K4" s="145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8" ht="22.5" customHeight="1">
      <c r="A6" s="5">
        <f t="shared" ref="A6:A15" si="0">ROW(A1)</f>
        <v>1</v>
      </c>
      <c r="B6" s="147" t="s">
        <v>130</v>
      </c>
      <c r="C6" s="148"/>
      <c r="D6" s="149"/>
      <c r="E6" s="150"/>
      <c r="F6" s="151"/>
      <c r="G6" s="110" t="s">
        <v>101</v>
      </c>
      <c r="H6" s="111">
        <v>10</v>
      </c>
      <c r="I6" s="112">
        <v>15</v>
      </c>
      <c r="J6" s="112">
        <f>H6*I6</f>
        <v>150</v>
      </c>
      <c r="K6" s="113" t="s">
        <v>109</v>
      </c>
      <c r="L6" s="114" t="s">
        <v>126</v>
      </c>
      <c r="R6" s="105"/>
    </row>
    <row r="7" spans="1:18" ht="22.5" customHeight="1">
      <c r="A7" s="5">
        <f t="shared" si="0"/>
        <v>2</v>
      </c>
      <c r="B7" s="147" t="s">
        <v>131</v>
      </c>
      <c r="C7" s="148"/>
      <c r="D7" s="152"/>
      <c r="E7" s="150"/>
      <c r="F7" s="151"/>
      <c r="G7" s="110" t="s">
        <v>101</v>
      </c>
      <c r="H7" s="111">
        <v>10</v>
      </c>
      <c r="I7" s="112">
        <v>40</v>
      </c>
      <c r="J7" s="112">
        <f>H7*I7</f>
        <v>400</v>
      </c>
      <c r="K7" s="113" t="s">
        <v>127</v>
      </c>
      <c r="L7" s="114"/>
      <c r="R7" s="105"/>
    </row>
    <row r="8" spans="1:18" ht="22.5" customHeight="1">
      <c r="A8" s="5">
        <f t="shared" si="0"/>
        <v>3</v>
      </c>
      <c r="B8" s="147" t="s">
        <v>132</v>
      </c>
      <c r="C8" s="148"/>
      <c r="D8" s="149"/>
      <c r="E8" s="150"/>
      <c r="F8" s="151"/>
      <c r="G8" s="110" t="s">
        <v>101</v>
      </c>
      <c r="H8" s="111">
        <v>4</v>
      </c>
      <c r="I8" s="112">
        <v>15</v>
      </c>
      <c r="J8" s="112">
        <f>H8*I8</f>
        <v>60</v>
      </c>
      <c r="K8" s="113"/>
      <c r="L8" s="114"/>
      <c r="R8" s="105"/>
    </row>
    <row r="9" spans="1:18" ht="22.5" customHeight="1">
      <c r="A9" s="5">
        <f t="shared" si="0"/>
        <v>4</v>
      </c>
      <c r="B9" s="147" t="s">
        <v>128</v>
      </c>
      <c r="C9" s="148"/>
      <c r="D9" s="149"/>
      <c r="E9" s="150"/>
      <c r="F9" s="151"/>
      <c r="G9" s="110" t="s">
        <v>101</v>
      </c>
      <c r="H9" s="111">
        <v>9</v>
      </c>
      <c r="I9" s="112">
        <v>15</v>
      </c>
      <c r="J9" s="112">
        <f>H9*I9</f>
        <v>135</v>
      </c>
      <c r="K9" s="113"/>
      <c r="L9" s="114"/>
      <c r="R9" s="105"/>
    </row>
    <row r="10" spans="1:18" ht="22.5" customHeight="1">
      <c r="A10" s="5">
        <f t="shared" si="0"/>
        <v>5</v>
      </c>
      <c r="B10" s="147" t="s">
        <v>133</v>
      </c>
      <c r="C10" s="148"/>
      <c r="D10" s="153"/>
      <c r="E10" s="153"/>
      <c r="F10" s="153"/>
      <c r="G10" s="110" t="s">
        <v>101</v>
      </c>
      <c r="H10" s="111">
        <v>7</v>
      </c>
      <c r="I10" s="115">
        <v>40</v>
      </c>
      <c r="J10" s="112">
        <f>H10*I10</f>
        <v>280</v>
      </c>
      <c r="K10" s="113"/>
      <c r="L10" s="110"/>
      <c r="R10" s="105"/>
    </row>
    <row r="11" spans="1:18" ht="22.5" customHeight="1">
      <c r="A11" s="5">
        <f t="shared" si="0"/>
        <v>6</v>
      </c>
      <c r="B11" s="147" t="s">
        <v>134</v>
      </c>
      <c r="C11" s="148"/>
      <c r="D11" s="149"/>
      <c r="E11" s="150"/>
      <c r="F11" s="151"/>
      <c r="G11" s="110" t="s">
        <v>101</v>
      </c>
      <c r="H11" s="111">
        <v>26</v>
      </c>
      <c r="I11" s="112">
        <v>40</v>
      </c>
      <c r="J11" s="112">
        <f t="shared" ref="J11:J12" si="1">H11*I11</f>
        <v>1040</v>
      </c>
      <c r="K11" s="113"/>
      <c r="L11" s="114"/>
      <c r="R11" s="105"/>
    </row>
    <row r="12" spans="1:18" ht="22.5" customHeight="1">
      <c r="A12" s="5">
        <f t="shared" si="0"/>
        <v>7</v>
      </c>
      <c r="B12" s="147" t="s">
        <v>132</v>
      </c>
      <c r="C12" s="148"/>
      <c r="D12" s="153"/>
      <c r="E12" s="153"/>
      <c r="F12" s="153"/>
      <c r="G12" s="110" t="s">
        <v>101</v>
      </c>
      <c r="H12" s="111">
        <v>50</v>
      </c>
      <c r="I12" s="115">
        <v>15</v>
      </c>
      <c r="J12" s="112">
        <f t="shared" si="1"/>
        <v>750</v>
      </c>
      <c r="K12" s="113"/>
      <c r="L12" s="110"/>
      <c r="R12" s="105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2815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SAC2-DS-MRS-0341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46204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90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Visual Inspection for Cross Arm Strap</v>
      </c>
      <c r="C6" s="165"/>
      <c r="D6" s="166">
        <f>MRS!D6</f>
        <v>0</v>
      </c>
      <c r="E6" s="167"/>
      <c r="F6" s="168"/>
      <c r="G6" s="102" t="str">
        <f>MRS!G6</f>
        <v>EA</v>
      </c>
      <c r="H6" s="102">
        <f>MRS!H6</f>
        <v>10</v>
      </c>
      <c r="I6" s="103">
        <f>MRS!I6</f>
        <v>15</v>
      </c>
      <c r="J6" s="103">
        <f>MRS!J6</f>
        <v>150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 t="str">
        <f>MRS!B7</f>
        <v>Visual Inspection for Gin Wheel</v>
      </c>
      <c r="C7" s="165"/>
      <c r="D7" s="166">
        <f>MRS!D7</f>
        <v>0</v>
      </c>
      <c r="E7" s="167"/>
      <c r="F7" s="168"/>
      <c r="G7" s="102" t="str">
        <f>MRS!G7</f>
        <v>EA</v>
      </c>
      <c r="H7" s="102">
        <f>MRS!H7</f>
        <v>10</v>
      </c>
      <c r="I7" s="103">
        <f>MRS!I7</f>
        <v>40</v>
      </c>
      <c r="J7" s="103">
        <f>MRS!J7</f>
        <v>400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 t="str">
        <f>MRS!B8</f>
        <v>Visual Inspection for Bow Shackles</v>
      </c>
      <c r="C8" s="165"/>
      <c r="D8" s="166">
        <f>MRS!D8</f>
        <v>0</v>
      </c>
      <c r="E8" s="167"/>
      <c r="F8" s="168"/>
      <c r="G8" s="102" t="str">
        <f>MRS!G8</f>
        <v>EA</v>
      </c>
      <c r="H8" s="102">
        <f>MRS!H8</f>
        <v>4</v>
      </c>
      <c r="I8" s="103">
        <f>MRS!I8</f>
        <v>15</v>
      </c>
      <c r="J8" s="103">
        <f>MRS!J8</f>
        <v>60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 t="str">
        <f>MRS!B9</f>
        <v>Visual Inspection for Webbing Sling</v>
      </c>
      <c r="C9" s="165"/>
      <c r="D9" s="166">
        <f>MRS!D9</f>
        <v>0</v>
      </c>
      <c r="E9" s="167"/>
      <c r="F9" s="168"/>
      <c r="G9" s="102" t="str">
        <f>MRS!G9</f>
        <v>EA</v>
      </c>
      <c r="H9" s="102">
        <f>MRS!H9</f>
        <v>9</v>
      </c>
      <c r="I9" s="103">
        <f>MRS!I9</f>
        <v>15</v>
      </c>
      <c r="J9" s="103">
        <f>MRS!J9</f>
        <v>135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 t="str">
        <f>MRS!B10</f>
        <v>Visual Inspection for Chain Blocks</v>
      </c>
      <c r="C10" s="165"/>
      <c r="D10" s="166">
        <f>MRS!D10</f>
        <v>0</v>
      </c>
      <c r="E10" s="167"/>
      <c r="F10" s="168"/>
      <c r="G10" s="102" t="str">
        <f>MRS!G10</f>
        <v>EA</v>
      </c>
      <c r="H10" s="102">
        <f>MRS!H10</f>
        <v>7</v>
      </c>
      <c r="I10" s="103">
        <f>MRS!I10</f>
        <v>40</v>
      </c>
      <c r="J10" s="103">
        <f>MRS!J10</f>
        <v>280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 t="str">
        <f>MRS!B11</f>
        <v>Visual Inspection for Lever Block</v>
      </c>
      <c r="C11" s="165"/>
      <c r="D11" s="166">
        <f>MRS!D11</f>
        <v>0</v>
      </c>
      <c r="E11" s="167"/>
      <c r="F11" s="168"/>
      <c r="G11" s="102" t="str">
        <f>MRS!G11</f>
        <v>EA</v>
      </c>
      <c r="H11" s="102">
        <f>MRS!H11</f>
        <v>26</v>
      </c>
      <c r="I11" s="103">
        <f>MRS!I11</f>
        <v>40</v>
      </c>
      <c r="J11" s="103">
        <f>MRS!J11</f>
        <v>1040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125</v>
      </c>
      <c r="D9" s="38"/>
      <c r="E9" s="38"/>
    </row>
    <row r="10" spans="2:13" s="38" customFormat="1">
      <c r="B10" s="71"/>
      <c r="C10" s="38" t="s">
        <v>30</v>
      </c>
      <c r="D10" s="75" t="s">
        <v>103</v>
      </c>
      <c r="J10" s="38" t="s">
        <v>31</v>
      </c>
      <c r="K10" s="175">
        <f>MRS!L3</f>
        <v>46204</v>
      </c>
      <c r="L10" s="176"/>
      <c r="M10" s="176"/>
    </row>
    <row r="11" spans="2:13" s="38" customFormat="1">
      <c r="B11" s="71"/>
      <c r="C11" s="74" t="s">
        <v>32</v>
      </c>
      <c r="D11" s="75" t="s">
        <v>104</v>
      </c>
      <c r="J11" s="38" t="s">
        <v>33</v>
      </c>
      <c r="K11" s="177" t="str">
        <f>SUBSTITUTE(SUBSTITUTE(+MRS!A3,"  MRS No : ",""),"-MRS","-PO")</f>
        <v>SAC2-DS-PO-0341</v>
      </c>
      <c r="L11" s="177"/>
      <c r="M11" s="177"/>
    </row>
    <row r="12" spans="2:13" s="38" customFormat="1">
      <c r="B12" s="71"/>
      <c r="C12" s="74" t="s">
        <v>34</v>
      </c>
      <c r="D12" s="38" t="s">
        <v>105</v>
      </c>
      <c r="J12" s="38" t="s">
        <v>35</v>
      </c>
    </row>
    <row r="13" spans="2:13" s="38" customFormat="1">
      <c r="B13" s="71"/>
      <c r="C13" s="76"/>
      <c r="D13" s="75" t="s">
        <v>107</v>
      </c>
      <c r="J13" s="38" t="s">
        <v>36</v>
      </c>
    </row>
    <row r="14" spans="2:13" s="38" customFormat="1">
      <c r="B14" s="71"/>
      <c r="C14" s="76" t="s">
        <v>121</v>
      </c>
      <c r="J14" s="38" t="s">
        <v>37</v>
      </c>
      <c r="K14" s="38" t="s">
        <v>135</v>
      </c>
    </row>
    <row r="15" spans="2:13" s="38" customFormat="1">
      <c r="B15" s="71"/>
      <c r="C15" s="76" t="s">
        <v>108</v>
      </c>
      <c r="J15" s="38" t="s">
        <v>38</v>
      </c>
      <c r="K15" s="77">
        <v>46195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102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>
        <f>'PO 2nd page'!G18</f>
        <v>2815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>
        <f>'PO 2nd page'!G19</f>
        <v>422.25</v>
      </c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>
        <f>'PO 2nd page'!G20</f>
        <v>3237.25</v>
      </c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110</v>
      </c>
    </row>
    <row r="54" spans="2:16" ht="12" customHeight="1">
      <c r="B54" s="83" t="s">
        <v>63</v>
      </c>
      <c r="C54" s="125" t="s">
        <v>111</v>
      </c>
      <c r="F54" s="126" t="s">
        <v>122</v>
      </c>
      <c r="P54" s="26" t="str">
        <f>UPPER(F54)</f>
        <v>ENGINEERING CORNER FOR INSPECTION</v>
      </c>
    </row>
    <row r="55" spans="2:16" ht="12" customHeight="1">
      <c r="B55" s="83" t="s">
        <v>63</v>
      </c>
      <c r="C55" s="125" t="s">
        <v>112</v>
      </c>
      <c r="F55" s="126" t="s">
        <v>123</v>
      </c>
    </row>
    <row r="56" spans="2:16" ht="12" customHeight="1">
      <c r="B56" s="83" t="s">
        <v>63</v>
      </c>
      <c r="C56" s="125" t="s">
        <v>113</v>
      </c>
      <c r="F56" s="126" t="s">
        <v>124</v>
      </c>
    </row>
    <row r="57" spans="2:16" ht="12" customHeight="1">
      <c r="B57" s="83" t="s">
        <v>63</v>
      </c>
      <c r="C57" s="125" t="s">
        <v>114</v>
      </c>
      <c r="F57" s="26" t="s">
        <v>115</v>
      </c>
    </row>
    <row r="58" spans="2:16" ht="12" customHeight="1">
      <c r="B58" s="83" t="s">
        <v>63</v>
      </c>
      <c r="C58" s="125" t="s">
        <v>116</v>
      </c>
      <c r="F58" s="26" t="s">
        <v>117</v>
      </c>
    </row>
    <row r="59" spans="2:16" ht="12" customHeight="1">
      <c r="B59" s="83" t="s">
        <v>63</v>
      </c>
      <c r="C59" s="125" t="s">
        <v>118</v>
      </c>
      <c r="F59" s="26" t="s">
        <v>119</v>
      </c>
    </row>
    <row r="60" spans="2:16" ht="12" customHeight="1">
      <c r="B60" s="83"/>
      <c r="C60" s="127" t="s">
        <v>120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Ahmad Salih</v>
      </c>
    </row>
    <row r="68" spans="1:13" ht="18" customHeight="1">
      <c r="B68" s="26" t="s">
        <v>69</v>
      </c>
      <c r="J68" s="26" t="s">
        <v>70</v>
      </c>
      <c r="K68" s="22" t="s">
        <v>106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2" t="str">
        <f>C9</f>
        <v>ECI (Engineering Corner for Inspection Co. Ltd.)</v>
      </c>
      <c r="K70" s="182"/>
      <c r="L70" s="182"/>
      <c r="M70" s="182"/>
    </row>
    <row r="71" spans="1:13" ht="27.95" customHeight="1">
      <c r="A71" s="174" t="s">
        <v>74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SAC2-DS-PO-0341</v>
      </c>
      <c r="C2" s="185" t="s">
        <v>76</v>
      </c>
      <c r="D2" s="185"/>
      <c r="E2" s="185"/>
      <c r="F2" s="185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46204</v>
      </c>
      <c r="C3" s="50"/>
      <c r="D3" s="51"/>
      <c r="E3" s="186" t="s">
        <v>78</v>
      </c>
      <c r="F3" s="186"/>
      <c r="G3" s="186"/>
      <c r="H3" s="186"/>
      <c r="I3" s="52"/>
    </row>
    <row r="4" spans="1:13" s="54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ECI (Engineering Corner for Inspection Co. Ltd.)</v>
      </c>
      <c r="G4" s="196"/>
      <c r="H4" s="197" t="s">
        <v>83</v>
      </c>
      <c r="K4" s="55"/>
      <c r="L4" s="55"/>
      <c r="M4" s="55"/>
    </row>
    <row r="5" spans="1:13" s="54" customFormat="1" ht="21.95" customHeight="1">
      <c r="A5" s="188"/>
      <c r="B5" s="191"/>
      <c r="C5" s="192"/>
      <c r="D5" s="194"/>
      <c r="E5" s="194"/>
      <c r="F5" s="56" t="s">
        <v>84</v>
      </c>
      <c r="G5" s="56" t="s">
        <v>49</v>
      </c>
      <c r="H5" s="198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3" t="str">
        <f>_xlfn.CONCAT(MRS!B6)</f>
        <v>Visual Inspection for Cross Arm Strap</v>
      </c>
      <c r="C6" s="184"/>
      <c r="D6" s="85" t="str">
        <f>_xlfn.CONCAT(MRS!G6)</f>
        <v>EA</v>
      </c>
      <c r="E6" s="86" t="str">
        <f>_xlfn.CONCAT(MRS!H6)</f>
        <v>10</v>
      </c>
      <c r="F6" s="87">
        <f>+'MRS LIST'!I6</f>
        <v>15</v>
      </c>
      <c r="G6" s="88">
        <f>+'MRS LIST'!J6</f>
        <v>150</v>
      </c>
      <c r="H6" s="89" t="str">
        <f>MRS!L6</f>
        <v>One time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3" t="str">
        <f>_xlfn.CONCAT(MRS!B7)</f>
        <v>Visual Inspection for Gin Wheel</v>
      </c>
      <c r="C7" s="184"/>
      <c r="D7" s="85" t="str">
        <f>_xlfn.CONCAT(MRS!G7)</f>
        <v>EA</v>
      </c>
      <c r="E7" s="86" t="str">
        <f>_xlfn.CONCAT(MRS!H7)</f>
        <v>10</v>
      </c>
      <c r="F7" s="87">
        <f>+'MRS LIST'!I7</f>
        <v>40</v>
      </c>
      <c r="G7" s="88">
        <f>+'MRS LIST'!J7</f>
        <v>400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3" t="str">
        <f>_xlfn.CONCAT(MRS!B8)</f>
        <v>Visual Inspection for Bow Shackles</v>
      </c>
      <c r="C8" s="184"/>
      <c r="D8" s="85" t="str">
        <f>_xlfn.CONCAT(MRS!G8)</f>
        <v>EA</v>
      </c>
      <c r="E8" s="86" t="str">
        <f>_xlfn.CONCAT(MRS!H8)</f>
        <v>4</v>
      </c>
      <c r="F8" s="87">
        <f>+'MRS LIST'!I8</f>
        <v>15</v>
      </c>
      <c r="G8" s="88">
        <f>+'MRS LIST'!J8</f>
        <v>60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3" t="str">
        <f>_xlfn.CONCAT(MRS!B9)</f>
        <v>Visual Inspection for Webbing Sling</v>
      </c>
      <c r="C9" s="184"/>
      <c r="D9" s="85" t="str">
        <f>_xlfn.CONCAT(MRS!G9)</f>
        <v>EA</v>
      </c>
      <c r="E9" s="86" t="str">
        <f>_xlfn.CONCAT(MRS!H9)</f>
        <v>9</v>
      </c>
      <c r="F9" s="87">
        <f>+'MRS LIST'!I9</f>
        <v>15</v>
      </c>
      <c r="G9" s="88">
        <f>+'MRS LIST'!J9</f>
        <v>135</v>
      </c>
      <c r="H9" s="97"/>
    </row>
    <row r="10" spans="1:13" s="54" customFormat="1" ht="32.1" customHeight="1">
      <c r="A10" s="92">
        <f t="shared" si="0"/>
        <v>5</v>
      </c>
      <c r="B10" s="183" t="str">
        <f>_xlfn.CONCAT(MRS!B10)</f>
        <v>Visual Inspection for Chain Blocks</v>
      </c>
      <c r="C10" s="184"/>
      <c r="D10" s="85" t="str">
        <f>_xlfn.CONCAT(MRS!G10)</f>
        <v>EA</v>
      </c>
      <c r="E10" s="86" t="str">
        <f>_xlfn.CONCAT(MRS!H10)</f>
        <v>7</v>
      </c>
      <c r="F10" s="87">
        <f>+'MRS LIST'!I10</f>
        <v>40</v>
      </c>
      <c r="G10" s="88">
        <f>+'MRS LIST'!J10</f>
        <v>280</v>
      </c>
      <c r="H10" s="97"/>
    </row>
    <row r="11" spans="1:13" s="54" customFormat="1" ht="32.1" customHeight="1">
      <c r="A11" s="92">
        <f t="shared" si="0"/>
        <v>6</v>
      </c>
      <c r="B11" s="183" t="str">
        <f>_xlfn.CONCAT(MRS!B11)</f>
        <v>Visual Inspection for Lever Block</v>
      </c>
      <c r="C11" s="184"/>
      <c r="D11" s="85" t="str">
        <f>_xlfn.CONCAT(MRS!G11)</f>
        <v>EA</v>
      </c>
      <c r="E11" s="86" t="str">
        <f>_xlfn.CONCAT(MRS!H11)</f>
        <v>26</v>
      </c>
      <c r="F11" s="87">
        <f>+'MRS LIST'!I11</f>
        <v>40</v>
      </c>
      <c r="G11" s="88">
        <f>+'MRS LIST'!J11</f>
        <v>1040</v>
      </c>
      <c r="H11" s="97"/>
    </row>
    <row r="12" spans="1:13" s="54" customFormat="1" ht="32.1" customHeight="1">
      <c r="A12" s="92">
        <f t="shared" si="0"/>
        <v>7</v>
      </c>
      <c r="B12" s="183" t="str">
        <f>_xlfn.CONCAT(MRS!B12)</f>
        <v>Visual Inspection for Bow Shackles</v>
      </c>
      <c r="C12" s="184"/>
      <c r="D12" s="85" t="str">
        <f>_xlfn.CONCAT(MRS!G12)</f>
        <v>EA</v>
      </c>
      <c r="E12" s="86" t="str">
        <f>_xlfn.CONCAT(MRS!H12)</f>
        <v>50</v>
      </c>
      <c r="F12" s="87">
        <f>MRS!I12</f>
        <v>15</v>
      </c>
      <c r="G12" s="88">
        <f>MRS!J12</f>
        <v>750</v>
      </c>
      <c r="H12" s="97"/>
    </row>
    <row r="13" spans="1:13" s="54" customFormat="1" ht="32.1" customHeight="1">
      <c r="A13" s="92">
        <f t="shared" si="0"/>
        <v>8</v>
      </c>
      <c r="B13" s="203"/>
      <c r="C13" s="204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3"/>
      <c r="C14" s="204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3"/>
      <c r="C15" s="204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3"/>
      <c r="C16" s="204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203"/>
      <c r="C17" s="204"/>
      <c r="D17" s="93"/>
      <c r="E17" s="94"/>
      <c r="F17" s="95"/>
      <c r="G17" s="96"/>
      <c r="H17" s="97"/>
    </row>
    <row r="18" spans="1:13" s="54" customFormat="1" ht="23.1" customHeight="1">
      <c r="A18" s="199" t="s">
        <v>85</v>
      </c>
      <c r="B18" s="200"/>
      <c r="C18" s="200"/>
      <c r="D18" s="200"/>
      <c r="E18" s="200"/>
      <c r="F18" s="200"/>
      <c r="G18" s="57">
        <f>SUM(G6:G17)</f>
        <v>2815</v>
      </c>
      <c r="H18" s="58"/>
    </row>
    <row r="19" spans="1:13" s="54" customFormat="1" ht="23.1" customHeight="1">
      <c r="A19" s="199" t="s">
        <v>48</v>
      </c>
      <c r="B19" s="200"/>
      <c r="C19" s="200"/>
      <c r="D19" s="200"/>
      <c r="E19" s="200"/>
      <c r="F19" s="200"/>
      <c r="G19" s="57">
        <f>+G18*0.15</f>
        <v>422.25</v>
      </c>
      <c r="H19" s="58"/>
    </row>
    <row r="20" spans="1:13" s="54" customFormat="1" ht="24.95" customHeight="1" thickBot="1">
      <c r="A20" s="201" t="s">
        <v>86</v>
      </c>
      <c r="B20" s="202"/>
      <c r="C20" s="202"/>
      <c r="D20" s="202"/>
      <c r="E20" s="202"/>
      <c r="F20" s="202"/>
      <c r="G20" s="59">
        <f>G19+G18</f>
        <v>3237.25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YRD-SO-2026/519 &amp; 520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2026-07-01T08:39:42Z</cp:lastPrinted>
  <dcterms:created xsi:type="dcterms:W3CDTF">2024-10-20T11:50:19Z</dcterms:created>
  <dcterms:modified xsi:type="dcterms:W3CDTF">2026-07-01T08:44:33Z</dcterms:modified>
</cp:coreProperties>
</file>