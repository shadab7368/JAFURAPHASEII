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82F94DF0-386B-4D57-B3D8-DFD2AB4BA615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3" l="1"/>
  <c r="J7" i="2"/>
  <c r="I7" i="2"/>
  <c r="H7" i="2"/>
  <c r="G7" i="2"/>
  <c r="D7" i="2"/>
  <c r="B7" i="2"/>
  <c r="B6" i="4" l="1"/>
  <c r="A14" i="1" l="1"/>
  <c r="A13" i="1"/>
  <c r="A12" i="1"/>
  <c r="A13" i="2" s="1"/>
  <c r="A11" i="1"/>
  <c r="A12" i="2" s="1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5" i="2"/>
  <c r="A14" i="2"/>
  <c r="A10" i="1"/>
  <c r="A11" i="2" s="1"/>
  <c r="A9" i="1"/>
  <c r="A10" i="2" s="1"/>
  <c r="A8" i="1"/>
  <c r="A9" i="2" s="1"/>
  <c r="A7" i="1"/>
  <c r="A8" i="2" s="1"/>
  <c r="A7" i="2"/>
  <c r="A6" i="1"/>
  <c r="A6" i="2" s="1"/>
  <c r="J15" i="1" l="1"/>
  <c r="G18" i="4"/>
  <c r="F28" i="3" l="1"/>
  <c r="F29" i="3" s="1"/>
  <c r="G19" i="4"/>
  <c r="G21" i="4" s="1"/>
</calcChain>
</file>

<file path=xl/sharedStrings.xml><?xml version="1.0" encoding="utf-8"?>
<sst xmlns="http://schemas.openxmlformats.org/spreadsheetml/2006/main" count="152" uniqueCount="118">
  <si>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</si>
  <si>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</si>
  <si>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</si>
  <si>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</si>
  <si>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</si>
  <si>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</si>
  <si>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</si>
  <si>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</si>
  <si>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</si>
  <si>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</si>
  <si>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</si>
  <si>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</si>
  <si>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</si>
  <si>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</si>
  <si>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</si>
  <si>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</si>
  <si>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</si>
  <si>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</si>
  <si>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</si>
  <si>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</si>
  <si>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</si>
  <si>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</si>
  <si>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</si>
  <si>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</si>
  <si>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</si>
  <si>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</si>
  <si>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</si>
  <si>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</si>
  <si>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</si>
  <si>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</si>
  <si>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</si>
  <si>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</si>
  <si>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</si>
  <si>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</si>
  <si>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</si>
  <si>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</si>
  <si>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</si>
  <si>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</si>
  <si>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</si>
  <si>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</si>
  <si>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</si>
  <si>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</si>
  <si>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</si>
  <si>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</si>
  <si>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</si>
  <si>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</si>
  <si>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</si>
  <si>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</si>
  <si>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</si>
  <si>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</si>
  <si>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</si>
  <si>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</si>
  <si>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</si>
  <si>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</si>
  <si>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</si>
  <si>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</si>
  <si>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</si>
  <si>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</si>
  <si>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</si>
  <si>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</si>
  <si>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</si>
  <si>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</si>
  <si>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</si>
  <si>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</si>
  <si>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</si>
  <si>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</si>
  <si>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</si>
  <si>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</si>
  <si>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</si>
  <si>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</si>
  <si>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</si>
  <si>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</si>
  <si>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</si>
  <si>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</si>
  <si>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</si>
  <si>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</si>
  <si>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</si>
  <si>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</si>
  <si>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</si>
  <si>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</si>
  <si>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</si>
  <si>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</si>
  <si>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</si>
  <si>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</si>
  <si>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</si>
  <si>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</si>
  <si>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</si>
  <si>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</si>
  <si>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</si>
  <si>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</si>
  <si>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</si>
  <si>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</si>
  <si>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</si>
  <si>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</si>
  <si>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</si>
  <si>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</si>
  <si>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</si>
  <si>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</si>
  <si>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</si>
  <si>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</si>
  <si>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</si>
  <si>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</si>
  <si>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</si>
  <si>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()</t>
  </si>
  <si>
    <t xml:space="preserve">Sorento </t>
  </si>
  <si>
    <t>2.2L LX AWD 8DCT 5 DR 7/5 S1 (DIESEL PE)</t>
  </si>
  <si>
    <t>AJTC(Al Jabr Trading Co.)</t>
  </si>
  <si>
    <t>P.O. Box : 600 - Dammam 31421 - Kingdom of Saudi Arabia)</t>
  </si>
  <si>
    <t>Bashaar Mohammed</t>
  </si>
  <si>
    <t xml:space="preserve"> Mobile : +966 583018123 </t>
  </si>
  <si>
    <t>+966 58 3018123 / baklekar@aljabrauto.com</t>
  </si>
  <si>
    <t>Sales Supervisor</t>
  </si>
  <si>
    <t>Registration Fee</t>
  </si>
  <si>
    <t>,300420408510003</t>
  </si>
  <si>
    <t>AJTC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</si>
  <si>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-MRS-0025</t>
    </r>
  </si>
  <si>
    <t>DEBIT NOTE</t>
  </si>
  <si>
    <t xml:space="preserve">Debit Note for 'Sorento 2.2L LX AWD 8DCT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</si>
</sst>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1" fillId="0" borderId="8" xfId="0" quotePrefix="1" applyFont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12</xdr:col>
          <xdr:colOff>502</xdr:colOff>
          <xdr:row>23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V$23" spid="_x0000_s10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1"/>
  <sheetViews>
    <sheetView showGridLines="0" view="pageBreakPreview" zoomScale="95" zoomScaleNormal="95" zoomScaleSheetLayoutView="95" workbookViewId="0">
      <selection activeCell="P11" sqref="P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102</v>
      </c>
      <c r="B1" s="124"/>
      <c r="C1" s="111"/>
      <c r="D1" s="111"/>
      <c r="E1" s="111"/>
      <c r="F1" s="111"/>
      <c r="G1" s="1"/>
      <c r="J1" s="145" t="s">
        <v>93</v>
      </c>
      <c r="K1" s="146"/>
      <c r="L1" s="147"/>
    </row>
    <row r="2" spans="1:19" ht="20.100000000000001" customHeight="1">
      <c r="A2" s="3" t="s">
        <v>1</v>
      </c>
      <c r="B2" s="102"/>
      <c r="C2" s="102"/>
      <c r="D2" s="3" t="s">
        <v>101</v>
      </c>
      <c r="E2" s="102"/>
      <c r="F2" s="102"/>
      <c r="G2" s="102"/>
      <c r="H2" s="102"/>
      <c r="I2" s="4"/>
      <c r="J2" s="148" t="s">
        <v>103</v>
      </c>
      <c r="K2" s="149"/>
      <c r="L2" s="150"/>
    </row>
    <row r="3" spans="1:19" ht="20.100000000000001" customHeight="1">
      <c r="A3" s="3" t="s">
        <v>115</v>
      </c>
      <c r="B3" s="102"/>
      <c r="C3" s="102"/>
      <c r="D3" s="102"/>
      <c r="E3" s="151">
        <f>+L3</f>
        <v>45683</v>
      </c>
      <c r="F3" s="151"/>
      <c r="G3" s="151"/>
      <c r="H3" s="151"/>
      <c r="I3" s="151"/>
      <c r="J3" s="102"/>
      <c r="K3" s="102"/>
      <c r="L3" s="123">
        <v>45683</v>
      </c>
      <c r="M3" s="4"/>
    </row>
    <row r="4" spans="1:19" ht="15.95" customHeight="1">
      <c r="A4" s="128" t="s">
        <v>2</v>
      </c>
      <c r="B4" s="129" t="s">
        <v>3</v>
      </c>
      <c r="C4" s="129"/>
      <c r="D4" s="130" t="s">
        <v>4</v>
      </c>
      <c r="E4" s="131"/>
      <c r="F4" s="132"/>
      <c r="G4" s="136" t="s">
        <v>5</v>
      </c>
      <c r="H4" s="138" t="s">
        <v>6</v>
      </c>
      <c r="I4" s="138" t="s">
        <v>99</v>
      </c>
      <c r="J4" s="128" t="s">
        <v>100</v>
      </c>
      <c r="K4" s="138" t="s">
        <v>0</v>
      </c>
      <c r="L4" s="129" t="s">
        <v>7</v>
      </c>
    </row>
    <row r="5" spans="1:19" ht="15.95" customHeight="1">
      <c r="A5" s="128"/>
      <c r="B5" s="129"/>
      <c r="C5" s="129"/>
      <c r="D5" s="133"/>
      <c r="E5" s="134"/>
      <c r="F5" s="135"/>
      <c r="G5" s="137"/>
      <c r="H5" s="139"/>
      <c r="I5" s="139"/>
      <c r="J5" s="128"/>
      <c r="K5" s="139"/>
      <c r="L5" s="129"/>
    </row>
    <row r="6" spans="1:19" ht="30.75" customHeight="1">
      <c r="A6" s="5">
        <f t="shared" ref="A6" si="0">ROW(A1)</f>
        <v>1</v>
      </c>
      <c r="B6" s="140" t="s">
        <v>104</v>
      </c>
      <c r="C6" s="141"/>
      <c r="D6" s="142" t="s">
        <v>105</v>
      </c>
      <c r="E6" s="143"/>
      <c r="F6" s="144"/>
      <c r="G6" s="112">
        <v>1</v>
      </c>
      <c r="H6" s="113">
        <v>1</v>
      </c>
      <c r="I6" s="114">
        <v>716.48</v>
      </c>
      <c r="J6" s="114">
        <f>H6*I6</f>
        <v>716.48</v>
      </c>
      <c r="K6" s="115" t="s">
        <v>114</v>
      </c>
      <c r="L6" s="209" t="s">
        <v>116</v>
      </c>
      <c r="S6" s="107"/>
    </row>
    <row r="7" spans="1:19" ht="22.5" customHeight="1">
      <c r="A7" s="5">
        <f>ROW(A3)</f>
        <v>3</v>
      </c>
      <c r="B7" s="140"/>
      <c r="C7" s="141"/>
      <c r="D7" s="142"/>
      <c r="E7" s="143"/>
      <c r="F7" s="144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>ROW(A4)</f>
        <v>4</v>
      </c>
      <c r="B8" s="140"/>
      <c r="C8" s="141"/>
      <c r="D8" s="142"/>
      <c r="E8" s="143"/>
      <c r="F8" s="144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>ROW(A5)</f>
        <v>5</v>
      </c>
      <c r="B9" s="140"/>
      <c r="C9" s="141"/>
      <c r="D9" s="152"/>
      <c r="E9" s="152"/>
      <c r="F9" s="152"/>
      <c r="G9" s="112"/>
      <c r="H9" s="113"/>
      <c r="I9" s="117"/>
      <c r="J9" s="114"/>
      <c r="K9" s="115"/>
      <c r="L9" s="112"/>
      <c r="S9" s="107"/>
    </row>
    <row r="10" spans="1:19" ht="22.5" customHeight="1">
      <c r="A10" s="5">
        <f>ROW(A6)</f>
        <v>6</v>
      </c>
      <c r="B10" s="140"/>
      <c r="C10" s="141"/>
      <c r="D10" s="142"/>
      <c r="E10" s="143"/>
      <c r="F10" s="144"/>
      <c r="G10" s="112"/>
      <c r="H10" s="113"/>
      <c r="I10" s="114"/>
      <c r="J10" s="114"/>
      <c r="K10" s="115"/>
      <c r="L10" s="116"/>
      <c r="S10" s="107"/>
    </row>
    <row r="11" spans="1:19" ht="22.5" customHeight="1">
      <c r="A11" s="5">
        <f t="shared" ref="A11:A14" si="1">ROW(A7)</f>
        <v>7</v>
      </c>
      <c r="B11" s="153"/>
      <c r="C11" s="153"/>
      <c r="D11" s="152"/>
      <c r="E11" s="152"/>
      <c r="F11" s="152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1"/>
        <v>8</v>
      </c>
      <c r="B12" s="140"/>
      <c r="C12" s="141"/>
      <c r="D12" s="142"/>
      <c r="E12" s="143"/>
      <c r="F12" s="144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f t="shared" si="1"/>
        <v>9</v>
      </c>
      <c r="B13" s="140"/>
      <c r="C13" s="141"/>
      <c r="D13" s="142"/>
      <c r="E13" s="143"/>
      <c r="F13" s="144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1"/>
        <v>10</v>
      </c>
      <c r="B14" s="140"/>
      <c r="C14" s="141"/>
      <c r="D14" s="142"/>
      <c r="E14" s="143"/>
      <c r="F14" s="144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154" t="s">
        <v>8</v>
      </c>
      <c r="B15" s="155"/>
      <c r="C15" s="118"/>
      <c r="D15" s="119"/>
      <c r="E15" s="119"/>
      <c r="F15" s="119"/>
      <c r="G15" s="120"/>
      <c r="H15" s="120"/>
      <c r="I15" s="121" t="s">
        <v>9</v>
      </c>
      <c r="J15" s="114">
        <f>SUM(J6:J14)</f>
        <v>716.48</v>
      </c>
      <c r="K15" s="114"/>
      <c r="L15" s="122"/>
    </row>
    <row r="16" spans="1:19" ht="20.100000000000001" customHeight="1">
      <c r="A16" s="6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8"/>
      <c r="L16" s="9"/>
    </row>
    <row r="17" spans="1:22" ht="18" customHeight="1">
      <c r="A17" s="10"/>
      <c r="J17" s="1"/>
      <c r="K17" s="1"/>
      <c r="O17" s="11"/>
      <c r="P17" s="11"/>
      <c r="Q17" s="11"/>
      <c r="S17" s="156" t="s">
        <v>11</v>
      </c>
      <c r="T17" s="12" t="s">
        <v>12</v>
      </c>
      <c r="U17" s="13" t="s">
        <v>13</v>
      </c>
      <c r="V17" s="12" t="s">
        <v>14</v>
      </c>
    </row>
    <row r="18" spans="1:22" ht="50.1" customHeight="1">
      <c r="S18" s="157"/>
      <c r="T18" s="14"/>
      <c r="U18" s="15"/>
      <c r="V18" s="14"/>
    </row>
    <row r="19" spans="1:22" ht="17.100000000000001" customHeight="1">
      <c r="O19" s="11"/>
      <c r="P19" s="11"/>
      <c r="Q19" s="11"/>
      <c r="S19" s="158"/>
      <c r="T19" s="15" t="s">
        <v>15</v>
      </c>
      <c r="U19" s="15" t="s">
        <v>15</v>
      </c>
      <c r="V19" s="16" t="s">
        <v>15</v>
      </c>
    </row>
    <row r="20" spans="1:22" ht="15" customHeight="1">
      <c r="O20" s="17" t="s">
        <v>16</v>
      </c>
      <c r="P20" s="159" t="s">
        <v>17</v>
      </c>
      <c r="Q20" s="159" t="s">
        <v>18</v>
      </c>
    </row>
    <row r="21" spans="1:22" ht="18" customHeight="1">
      <c r="O21" s="18" t="s">
        <v>19</v>
      </c>
      <c r="P21" s="160"/>
      <c r="Q21" s="160"/>
      <c r="S21" s="156" t="s">
        <v>20</v>
      </c>
      <c r="T21" s="12" t="s">
        <v>12</v>
      </c>
      <c r="U21" s="12" t="s">
        <v>13</v>
      </c>
      <c r="V21" s="12" t="s">
        <v>14</v>
      </c>
    </row>
    <row r="22" spans="1:22" ht="50.1" customHeight="1">
      <c r="O22" s="14"/>
      <c r="P22" s="14"/>
      <c r="Q22" s="14"/>
      <c r="S22" s="157"/>
      <c r="T22" s="19"/>
      <c r="U22" s="19"/>
      <c r="V22" s="14"/>
    </row>
    <row r="23" spans="1:22" ht="17.100000000000001" customHeight="1">
      <c r="O23" s="16" t="s">
        <v>15</v>
      </c>
      <c r="P23" s="16" t="s">
        <v>15</v>
      </c>
      <c r="Q23" s="16" t="s">
        <v>15</v>
      </c>
      <c r="S23" s="158"/>
      <c r="T23" s="15" t="s">
        <v>15</v>
      </c>
      <c r="U23" s="15" t="s">
        <v>15</v>
      </c>
      <c r="V23" s="16" t="s">
        <v>15</v>
      </c>
    </row>
    <row r="24" spans="1:22" ht="9.9499999999999993" customHeight="1"/>
    <row r="25" spans="1:22" ht="19.899999999999999" customHeight="1"/>
    <row r="26" spans="1:22" ht="17.45" customHeight="1">
      <c r="O26" s="161"/>
      <c r="P26" s="161"/>
      <c r="Q26" s="161"/>
    </row>
    <row r="27" spans="1:22" ht="19.899999999999999" customHeight="1">
      <c r="O27" s="161"/>
      <c r="P27" s="161"/>
      <c r="Q27" s="161"/>
    </row>
    <row r="28" spans="1:22" ht="14.25">
      <c r="O28" s="11"/>
      <c r="P28" s="11"/>
      <c r="Q28" s="11"/>
    </row>
    <row r="29" spans="1:22" ht="65.099999999999994" customHeight="1"/>
    <row r="30" spans="1:22" ht="14.25">
      <c r="O30" s="11"/>
      <c r="P30" s="11"/>
      <c r="Q30" s="11"/>
    </row>
    <row r="31" spans="1:22" ht="19.899999999999999" customHeight="1"/>
    <row r="32" spans="1:22" ht="14.25"/>
    <row r="33" spans="15:22" ht="19.899999999999999" customHeight="1"/>
    <row r="34" spans="15:22" ht="14.25"/>
    <row r="35" spans="15:22" ht="19.899999999999999" customHeight="1"/>
    <row r="36" spans="15:22" ht="19.899999999999999" customHeight="1"/>
    <row r="37" spans="15:22" ht="64.900000000000006" customHeight="1"/>
    <row r="39" spans="15:22" ht="19.899999999999999" customHeight="1">
      <c r="T39" s="159" t="s">
        <v>21</v>
      </c>
    </row>
    <row r="40" spans="15:22" ht="19.899999999999999" customHeight="1">
      <c r="T40" s="160"/>
    </row>
    <row r="41" spans="15:22" ht="64.900000000000006" customHeight="1">
      <c r="T41" s="14"/>
    </row>
    <row r="45" spans="15:22" ht="21" customHeight="1">
      <c r="O45" s="159" t="s">
        <v>21</v>
      </c>
      <c r="P45" s="159" t="s">
        <v>21</v>
      </c>
      <c r="Q45" s="159" t="s">
        <v>21</v>
      </c>
      <c r="T45" s="159" t="s">
        <v>22</v>
      </c>
      <c r="U45" s="159" t="s">
        <v>13</v>
      </c>
      <c r="V45" s="159" t="s">
        <v>21</v>
      </c>
    </row>
    <row r="46" spans="15:22" ht="21" customHeight="1">
      <c r="O46" s="160"/>
      <c r="P46" s="160"/>
      <c r="Q46" s="160"/>
      <c r="T46" s="158"/>
      <c r="U46" s="158"/>
      <c r="V46" s="160"/>
    </row>
    <row r="47" spans="15:22" ht="64.900000000000006" customHeight="1">
      <c r="O47" s="14"/>
      <c r="P47" s="14"/>
      <c r="Q47" s="14"/>
      <c r="T47" s="14"/>
      <c r="U47" s="15"/>
      <c r="V47" s="14"/>
    </row>
    <row r="48" spans="15:22" ht="7.15" customHeight="1"/>
    <row r="49" spans="15:22" ht="21" customHeight="1">
      <c r="O49" s="159" t="s">
        <v>21</v>
      </c>
      <c r="P49" s="159" t="s">
        <v>21</v>
      </c>
      <c r="Q49" s="159" t="s">
        <v>21</v>
      </c>
      <c r="T49" s="159" t="s">
        <v>13</v>
      </c>
      <c r="U49" s="159" t="s">
        <v>22</v>
      </c>
      <c r="V49" s="159" t="s">
        <v>21</v>
      </c>
    </row>
    <row r="50" spans="15:22" ht="21" customHeight="1">
      <c r="O50" s="160"/>
      <c r="P50" s="160"/>
      <c r="Q50" s="160"/>
      <c r="T50" s="158"/>
      <c r="U50" s="158"/>
      <c r="V50" s="160"/>
    </row>
    <row r="51" spans="15:22" ht="64.900000000000006" customHeight="1">
      <c r="O51" s="14"/>
      <c r="P51" s="14"/>
      <c r="Q51" s="14"/>
      <c r="T51" s="15"/>
      <c r="U51" s="14"/>
      <c r="V51" s="14"/>
    </row>
  </sheetData>
  <mergeCells count="51">
    <mergeCell ref="U45:U46"/>
    <mergeCell ref="V45:V46"/>
    <mergeCell ref="O49:O50"/>
    <mergeCell ref="P49:P50"/>
    <mergeCell ref="Q49:Q50"/>
    <mergeCell ref="T49:T50"/>
    <mergeCell ref="U49:U50"/>
    <mergeCell ref="V49:V50"/>
    <mergeCell ref="O26:O27"/>
    <mergeCell ref="P26:P27"/>
    <mergeCell ref="Q26:Q27"/>
    <mergeCell ref="T39:T40"/>
    <mergeCell ref="O45:O46"/>
    <mergeCell ref="P45:P46"/>
    <mergeCell ref="Q45:Q46"/>
    <mergeCell ref="T45:T46"/>
    <mergeCell ref="B14:C14"/>
    <mergeCell ref="D14:F14"/>
    <mergeCell ref="A15:B15"/>
    <mergeCell ref="S17:S19"/>
    <mergeCell ref="P20:P21"/>
    <mergeCell ref="Q20:Q21"/>
    <mergeCell ref="S21:S23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98</v>
      </c>
      <c r="B1" s="101"/>
      <c r="C1" s="101"/>
      <c r="D1" s="101"/>
      <c r="E1" s="101"/>
      <c r="F1" s="101"/>
      <c r="G1" s="1"/>
      <c r="J1" s="162" t="str">
        <f>+MRS!J1</f>
        <v>DAESHIN PLANT</v>
      </c>
      <c r="K1" s="163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64" t="str">
        <f>+MRS!J2</f>
        <v>Subcontract name ()</v>
      </c>
      <c r="K2" s="165"/>
    </row>
    <row r="3" spans="1:18" ht="24.95" customHeight="1">
      <c r="A3" s="3" t="str">
        <f>+MRS!A3</f>
        <v xml:space="preserve">  MRS No : SAC2-DS-MRS-0025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45683</v>
      </c>
    </row>
    <row r="4" spans="1:18" ht="15.95" customHeight="1">
      <c r="A4" s="166" t="s">
        <v>2</v>
      </c>
      <c r="B4" s="167" t="s">
        <v>23</v>
      </c>
      <c r="C4" s="167"/>
      <c r="D4" s="166" t="s">
        <v>4</v>
      </c>
      <c r="E4" s="166"/>
      <c r="F4" s="166"/>
      <c r="G4" s="167" t="s">
        <v>5</v>
      </c>
      <c r="H4" s="166" t="s">
        <v>94</v>
      </c>
      <c r="I4" s="166" t="s">
        <v>24</v>
      </c>
      <c r="J4" s="166" t="s">
        <v>25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21">
        <f>+MRS!A6</f>
        <v>1</v>
      </c>
      <c r="B6" s="168" t="str">
        <f>MRS!B6</f>
        <v xml:space="preserve">Sorento </v>
      </c>
      <c r="C6" s="169"/>
      <c r="D6" s="170" t="str">
        <f>MRS!D6</f>
        <v>2.2L LX AWD 8DCT 5 DR 7/5 S1 (DIESEL PE)</v>
      </c>
      <c r="E6" s="171"/>
      <c r="F6" s="172"/>
      <c r="G6" s="104">
        <f>MRS!G6</f>
        <v>1</v>
      </c>
      <c r="H6" s="104">
        <f>MRS!H6</f>
        <v>1</v>
      </c>
      <c r="I6" s="105">
        <f>MRS!I6</f>
        <v>716.48</v>
      </c>
      <c r="J6" s="105">
        <f>MRS!J6</f>
        <v>716.48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68">
        <f>MRS!B7</f>
        <v>0</v>
      </c>
      <c r="C7" s="169"/>
      <c r="D7" s="170">
        <f>MRS!D7</f>
        <v>0</v>
      </c>
      <c r="E7" s="171"/>
      <c r="F7" s="172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+MRS!A7</f>
        <v>3</v>
      </c>
      <c r="B8" s="173"/>
      <c r="C8" s="174"/>
      <c r="D8" s="175"/>
      <c r="E8" s="176"/>
      <c r="F8" s="177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+MRS!A8</f>
        <v>4</v>
      </c>
      <c r="B9" s="173"/>
      <c r="C9" s="174"/>
      <c r="D9" s="175"/>
      <c r="E9" s="176"/>
      <c r="F9" s="177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+MRS!A9</f>
        <v>5</v>
      </c>
      <c r="B10" s="173"/>
      <c r="C10" s="174"/>
      <c r="D10" s="175"/>
      <c r="E10" s="176"/>
      <c r="F10" s="177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+MRS!A10</f>
        <v>6</v>
      </c>
      <c r="B11" s="173"/>
      <c r="C11" s="174"/>
      <c r="D11" s="175"/>
      <c r="E11" s="176"/>
      <c r="F11" s="17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7</v>
      </c>
      <c r="B12" s="173"/>
      <c r="C12" s="174"/>
      <c r="D12" s="175"/>
      <c r="E12" s="176"/>
      <c r="F12" s="17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8</v>
      </c>
      <c r="B13" s="173"/>
      <c r="C13" s="174"/>
      <c r="D13" s="175"/>
      <c r="E13" s="176"/>
      <c r="F13" s="17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9</v>
      </c>
      <c r="B14" s="173"/>
      <c r="C14" s="174"/>
      <c r="D14" s="175"/>
      <c r="E14" s="176"/>
      <c r="F14" s="17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+MRS!A14</f>
        <v>10</v>
      </c>
      <c r="B15" s="173"/>
      <c r="C15" s="174"/>
      <c r="D15" s="175"/>
      <c r="E15" s="176"/>
      <c r="F15" s="17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zoomScale="130" zoomScaleSheetLayoutView="130" workbookViewId="0">
      <selection activeCell="M26" sqref="M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106</v>
      </c>
      <c r="D9" s="39"/>
      <c r="E9" s="39"/>
    </row>
    <row r="10" spans="2:13" s="39" customFormat="1">
      <c r="B10" s="72"/>
      <c r="C10" s="39" t="s">
        <v>33</v>
      </c>
      <c r="D10" s="39">
        <v>2050002658</v>
      </c>
      <c r="J10" s="39" t="s">
        <v>34</v>
      </c>
      <c r="K10" s="179">
        <f>MRS!L3</f>
        <v>45683</v>
      </c>
      <c r="L10" s="180"/>
      <c r="M10" s="180"/>
    </row>
    <row r="11" spans="2:13" s="39" customFormat="1">
      <c r="B11" s="72"/>
      <c r="C11" s="75" t="s">
        <v>35</v>
      </c>
      <c r="D11" s="76" t="s">
        <v>113</v>
      </c>
      <c r="J11" s="39" t="s">
        <v>36</v>
      </c>
      <c r="K11" s="181" t="str">
        <f>SUBSTITUTE(SUBSTITUTE(+MRS!A3,"  MRS No : ",""),"-MRS","-PO")</f>
        <v>SAC2-DS-PO-0025</v>
      </c>
      <c r="L11" s="181"/>
      <c r="M11" s="181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110</v>
      </c>
      <c r="J13" s="39" t="s">
        <v>39</v>
      </c>
    </row>
    <row r="14" spans="2:13" s="39" customFormat="1">
      <c r="B14" s="72"/>
      <c r="C14" s="77" t="s">
        <v>107</v>
      </c>
      <c r="J14" s="39" t="s">
        <v>40</v>
      </c>
      <c r="K14" s="39">
        <v>9784142</v>
      </c>
    </row>
    <row r="15" spans="2:13" s="39" customFormat="1">
      <c r="C15" s="77" t="s">
        <v>109</v>
      </c>
      <c r="J15" s="39" t="s">
        <v>41</v>
      </c>
      <c r="K15" s="78">
        <v>45680</v>
      </c>
    </row>
    <row r="16" spans="2:13" ht="12" customHeight="1">
      <c r="C16" s="29"/>
      <c r="K16" s="30"/>
    </row>
    <row r="17" spans="2:13" ht="20.25">
      <c r="B17" s="182" t="s">
        <v>42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</row>
    <row r="18" spans="2:13" ht="12" customHeight="1"/>
    <row r="19" spans="2:13" s="31" customFormat="1" ht="12" customHeight="1">
      <c r="B19" s="183" t="s">
        <v>43</v>
      </c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</row>
    <row r="20" spans="2:13" s="31" customFormat="1" ht="12" customHeight="1">
      <c r="B20" s="183" t="s">
        <v>44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45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ht="6.95" customHeight="1"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s="32" customFormat="1" ht="20.100000000000001" customHeight="1">
      <c r="B24" s="32">
        <v>1</v>
      </c>
      <c r="C24" s="32" t="s">
        <v>46</v>
      </c>
    </row>
    <row r="25" spans="2:13" s="39" customFormat="1" ht="15" customHeight="1">
      <c r="B25" s="73"/>
      <c r="C25" s="76" t="s">
        <v>117</v>
      </c>
      <c r="M25" s="79" t="s">
        <v>47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48</v>
      </c>
    </row>
    <row r="28" spans="2:13" ht="15" customHeight="1">
      <c r="B28" s="32"/>
      <c r="C28" s="26" t="s">
        <v>49</v>
      </c>
      <c r="E28" s="26" t="s">
        <v>50</v>
      </c>
      <c r="F28" s="186">
        <f>+'PO 2nd page'!G18</f>
        <v>716.48</v>
      </c>
      <c r="G28" s="186"/>
      <c r="H28" s="33" t="s">
        <v>51</v>
      </c>
      <c r="M28" s="34"/>
    </row>
    <row r="29" spans="2:13" ht="15" customHeight="1">
      <c r="B29" s="32"/>
      <c r="C29" s="26" t="s">
        <v>52</v>
      </c>
      <c r="E29" s="26" t="s">
        <v>50</v>
      </c>
      <c r="F29" s="186">
        <f>+F28*0.15</f>
        <v>107.47199999999999</v>
      </c>
      <c r="G29" s="186"/>
    </row>
    <row r="30" spans="2:13" ht="15" customHeight="1">
      <c r="B30" s="32"/>
      <c r="C30" s="26" t="s">
        <v>53</v>
      </c>
      <c r="D30" s="35"/>
      <c r="E30" s="26" t="s">
        <v>50</v>
      </c>
      <c r="F30" s="186">
        <f>+F28+F29</f>
        <v>823.952</v>
      </c>
      <c r="G30" s="186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54</v>
      </c>
    </row>
    <row r="33" spans="2:16" ht="15" customHeight="1">
      <c r="B33" s="32"/>
      <c r="C33" s="22" t="s">
        <v>55</v>
      </c>
    </row>
    <row r="34" spans="2:16" ht="15" customHeight="1">
      <c r="B34" s="32"/>
      <c r="C34" s="22" t="s">
        <v>56</v>
      </c>
    </row>
    <row r="35" spans="2:16" ht="15" customHeight="1">
      <c r="B35" s="32"/>
      <c r="C35" s="22" t="s">
        <v>57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58</v>
      </c>
    </row>
    <row r="38" spans="2:16" ht="15" customHeight="1">
      <c r="B38" s="32"/>
      <c r="C38" s="26" t="s">
        <v>59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60</v>
      </c>
    </row>
    <row r="41" spans="2:16" ht="15" customHeight="1">
      <c r="B41" s="32"/>
      <c r="C41" s="36" t="s">
        <v>61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62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63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65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66</v>
      </c>
    </row>
    <row r="48" spans="2:16" s="39" customFormat="1" ht="15" customHeight="1">
      <c r="B48" s="80" t="s">
        <v>67</v>
      </c>
      <c r="C48" s="81" t="s">
        <v>96</v>
      </c>
      <c r="P48" s="82"/>
    </row>
    <row r="49" spans="1:13" s="83" customFormat="1" ht="15" customHeight="1">
      <c r="B49" s="84" t="s">
        <v>67</v>
      </c>
      <c r="C49" s="81" t="s">
        <v>97</v>
      </c>
    </row>
    <row r="50" spans="1:13" s="83" customFormat="1" ht="15" customHeight="1">
      <c r="B50" s="84" t="s">
        <v>67</v>
      </c>
      <c r="C50" s="81" t="s">
        <v>95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68</v>
      </c>
      <c r="J55" s="32" t="s">
        <v>69</v>
      </c>
    </row>
    <row r="56" spans="1:13" ht="50.1" customHeight="1"/>
    <row r="57" spans="1:13" ht="18" customHeight="1">
      <c r="B57" s="26" t="s">
        <v>70</v>
      </c>
      <c r="J57" s="26" t="s">
        <v>70</v>
      </c>
    </row>
    <row r="58" spans="1:13" ht="18" customHeight="1">
      <c r="B58" s="26" t="s">
        <v>71</v>
      </c>
      <c r="J58" s="26" t="s">
        <v>72</v>
      </c>
      <c r="K58" s="22" t="str">
        <f>UPPER(D12)</f>
        <v>BASHAAR MOHAMMED</v>
      </c>
    </row>
    <row r="59" spans="1:13" ht="18" customHeight="1">
      <c r="B59" s="26" t="s">
        <v>73</v>
      </c>
      <c r="J59" s="26" t="s">
        <v>74</v>
      </c>
      <c r="K59" s="22" t="s">
        <v>111</v>
      </c>
    </row>
    <row r="60" spans="1:13" ht="15" customHeight="1">
      <c r="B60" s="26" t="s">
        <v>75</v>
      </c>
      <c r="J60" s="26" t="s">
        <v>76</v>
      </c>
    </row>
    <row r="61" spans="1:13" s="28" customFormat="1" ht="15" customHeight="1">
      <c r="B61" s="25" t="s">
        <v>77</v>
      </c>
      <c r="J61" s="32" t="str">
        <f>C9</f>
        <v>AJTC(Al Jabr Trading Co.)</v>
      </c>
    </row>
    <row r="62" spans="1:13" ht="27.95" customHeight="1">
      <c r="A62" s="178" t="s">
        <v>78</v>
      </c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tabSelected="1" view="pageBreakPreview" zoomScaleSheetLayoutView="100" zoomScalePageLayoutView="55" workbookViewId="0">
      <selection activeCell="N14" sqref="N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SAC2-DS-PO-0025</v>
      </c>
      <c r="C2" s="189" t="s">
        <v>80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45683</v>
      </c>
      <c r="C3" s="51"/>
      <c r="D3" s="52"/>
      <c r="E3" s="190" t="s">
        <v>82</v>
      </c>
      <c r="F3" s="190"/>
      <c r="G3" s="190"/>
      <c r="H3" s="190"/>
      <c r="I3" s="53"/>
    </row>
    <row r="4" spans="1:13" s="55" customFormat="1" ht="28.5" customHeight="1" thickTop="1">
      <c r="A4" s="191" t="s">
        <v>83</v>
      </c>
      <c r="B4" s="193" t="s">
        <v>84</v>
      </c>
      <c r="C4" s="194"/>
      <c r="D4" s="197" t="s">
        <v>85</v>
      </c>
      <c r="E4" s="197" t="s">
        <v>86</v>
      </c>
      <c r="F4" s="199" t="str">
        <f>'PO 1st page'!C9</f>
        <v>AJTC(Al Jabr Trading Co.)</v>
      </c>
      <c r="G4" s="200"/>
      <c r="H4" s="201" t="s">
        <v>87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88</v>
      </c>
      <c r="G5" s="57" t="s">
        <v>53</v>
      </c>
      <c r="H5" s="202"/>
      <c r="K5" s="56"/>
      <c r="L5" s="56"/>
      <c r="M5" s="56"/>
    </row>
    <row r="6" spans="1:13" s="55" customFormat="1" ht="32.25" customHeight="1">
      <c r="A6" s="85">
        <f t="shared" ref="A6:A17" si="0">ROW(A1)</f>
        <v>1</v>
      </c>
      <c r="B6" s="203" t="str">
        <f>MRS!B6</f>
        <v xml:space="preserve">Sorento </v>
      </c>
      <c r="C6" s="204"/>
      <c r="D6" s="86">
        <f>+'MRS LIST'!G6</f>
        <v>1</v>
      </c>
      <c r="E6" s="87">
        <f>+'MRS LIST'!H6</f>
        <v>1</v>
      </c>
      <c r="F6" s="88">
        <f>+'MRS LIST'!I6</f>
        <v>716.48</v>
      </c>
      <c r="G6" s="89">
        <f>+'MRS LIST'!J6</f>
        <v>716.48</v>
      </c>
      <c r="H6" s="90" t="s">
        <v>116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3"/>
      <c r="C7" s="204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3"/>
      <c r="C8" s="204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/>
      <c r="C9" s="188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7"/>
      <c r="C10" s="188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7"/>
      <c r="C12" s="18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7"/>
      <c r="C13" s="18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7"/>
      <c r="C14" s="18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7"/>
      <c r="C15" s="18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7"/>
      <c r="C16" s="18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7"/>
      <c r="C17" s="188"/>
      <c r="D17" s="94"/>
      <c r="E17" s="95"/>
      <c r="F17" s="96"/>
      <c r="G17" s="97"/>
      <c r="H17" s="98"/>
    </row>
    <row r="18" spans="1:13" s="55" customFormat="1" ht="23.1" customHeight="1">
      <c r="A18" s="205" t="s">
        <v>89</v>
      </c>
      <c r="B18" s="206"/>
      <c r="C18" s="206"/>
      <c r="D18" s="206"/>
      <c r="E18" s="206"/>
      <c r="F18" s="206"/>
      <c r="G18" s="58">
        <f>SUM(G6:G17)</f>
        <v>716.48</v>
      </c>
      <c r="H18" s="59"/>
    </row>
    <row r="19" spans="1:13" s="55" customFormat="1" ht="23.1" customHeight="1">
      <c r="A19" s="205" t="s">
        <v>52</v>
      </c>
      <c r="B19" s="206"/>
      <c r="C19" s="206"/>
      <c r="D19" s="206"/>
      <c r="E19" s="206"/>
      <c r="F19" s="206"/>
      <c r="G19" s="58">
        <f>+G18*0.15</f>
        <v>107.47199999999999</v>
      </c>
      <c r="H19" s="59"/>
    </row>
    <row r="20" spans="1:13" s="55" customFormat="1" ht="23.1" customHeight="1">
      <c r="A20" s="205" t="s">
        <v>112</v>
      </c>
      <c r="B20" s="206"/>
      <c r="C20" s="206"/>
      <c r="D20" s="206"/>
      <c r="E20" s="206"/>
      <c r="F20" s="206"/>
      <c r="G20" s="126">
        <v>0</v>
      </c>
      <c r="H20" s="127"/>
    </row>
    <row r="21" spans="1:13" s="55" customFormat="1" ht="24.95" customHeight="1" thickBot="1">
      <c r="A21" s="207" t="s">
        <v>90</v>
      </c>
      <c r="B21" s="208"/>
      <c r="C21" s="208"/>
      <c r="D21" s="208"/>
      <c r="E21" s="208"/>
      <c r="F21" s="208"/>
      <c r="G21" s="60">
        <f>SUM(G18:G20)</f>
        <v>823.952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9784142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91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78" t="s">
        <v>92</v>
      </c>
      <c r="B25" s="178"/>
      <c r="C25" s="178"/>
      <c r="D25" s="178"/>
      <c r="E25" s="178"/>
      <c r="F25" s="178"/>
      <c r="G25" s="178"/>
      <c r="H25" s="178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2025-01-26T12:30:41Z</cp:lastPrinted>
  <dcterms:created xsi:type="dcterms:W3CDTF">2024-10-20T11:50:19Z</dcterms:created>
  <dcterms:modified xsi:type="dcterms:W3CDTF">2025-01-26T12:36:50Z</dcterms:modified>
</cp:coreProperties>
</file>