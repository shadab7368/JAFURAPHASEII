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5D9023FB-55CE-4E36-9773-BF7247912298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MRS!$A$1:$L$31</definedName>
    <definedName name="_xlnm.Print_Area" localSheetId="1">'MRS LIST'!$A$1:$K$29</definedName>
    <definedName name="_xlnm.Print_Area" localSheetId="2">'PO 1st page'!$A$1:$N$63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4" l="1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F30" i="3"/>
  <c r="F29" i="3"/>
  <c r="J21" i="2"/>
  <c r="I21" i="2"/>
  <c r="H21" i="2"/>
  <c r="G21" i="2"/>
  <c r="D21" i="4" s="1"/>
  <c r="J20" i="2"/>
  <c r="I20" i="2"/>
  <c r="F20" i="4" s="1"/>
  <c r="H20" i="2"/>
  <c r="E20" i="4" s="1"/>
  <c r="G20" i="2"/>
  <c r="D20" i="4" s="1"/>
  <c r="J19" i="2"/>
  <c r="G19" i="4" s="1"/>
  <c r="I19" i="2"/>
  <c r="H19" i="2"/>
  <c r="G19" i="2"/>
  <c r="D19" i="4" s="1"/>
  <c r="J18" i="2"/>
  <c r="G18" i="4" s="1"/>
  <c r="I18" i="2"/>
  <c r="F18" i="4" s="1"/>
  <c r="H18" i="2"/>
  <c r="E18" i="4" s="1"/>
  <c r="G18" i="2"/>
  <c r="D18" i="4" s="1"/>
  <c r="J17" i="2"/>
  <c r="I17" i="2"/>
  <c r="H17" i="2"/>
  <c r="G17" i="2"/>
  <c r="D17" i="4" s="1"/>
  <c r="J16" i="2"/>
  <c r="G16" i="4" s="1"/>
  <c r="I16" i="2"/>
  <c r="H16" i="2"/>
  <c r="G16" i="2"/>
  <c r="J15" i="2"/>
  <c r="G15" i="4" s="1"/>
  <c r="I15" i="2"/>
  <c r="F15" i="4" s="1"/>
  <c r="H15" i="2"/>
  <c r="E15" i="4" s="1"/>
  <c r="G15" i="2"/>
  <c r="J14" i="2"/>
  <c r="I14" i="2"/>
  <c r="H14" i="2"/>
  <c r="G14" i="2"/>
  <c r="J13" i="2"/>
  <c r="G13" i="4" s="1"/>
  <c r="I13" i="2"/>
  <c r="H13" i="2"/>
  <c r="G13" i="2"/>
  <c r="J12" i="2"/>
  <c r="I12" i="2"/>
  <c r="H12" i="2"/>
  <c r="G12" i="2"/>
  <c r="D12" i="4" s="1"/>
  <c r="J11" i="2"/>
  <c r="I11" i="2"/>
  <c r="H11" i="2"/>
  <c r="G11" i="2"/>
  <c r="J10" i="2"/>
  <c r="I10" i="2"/>
  <c r="H10" i="2"/>
  <c r="G10" i="2"/>
  <c r="J9" i="2"/>
  <c r="G9" i="4" s="1"/>
  <c r="I9" i="2"/>
  <c r="H9" i="2"/>
  <c r="E9" i="4" s="1"/>
  <c r="G9" i="2"/>
  <c r="D9" i="4" s="1"/>
  <c r="J8" i="2"/>
  <c r="I8" i="2"/>
  <c r="H8" i="2"/>
  <c r="G8" i="2"/>
  <c r="J7" i="2"/>
  <c r="I7" i="2"/>
  <c r="H7" i="2"/>
  <c r="G7" i="2"/>
  <c r="D10" i="4"/>
  <c r="F10" i="4"/>
  <c r="E10" i="4"/>
  <c r="F9" i="4"/>
  <c r="J6" i="2"/>
  <c r="H6" i="2"/>
  <c r="G6" i="2"/>
  <c r="D6" i="2"/>
  <c r="D15" i="4"/>
  <c r="D11" i="4"/>
  <c r="D14" i="4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G21" i="4"/>
  <c r="F21" i="4"/>
  <c r="E21" i="4"/>
  <c r="G20" i="4"/>
  <c r="F19" i="4"/>
  <c r="E19" i="4"/>
  <c r="G17" i="4"/>
  <c r="F17" i="4"/>
  <c r="E17" i="4"/>
  <c r="F16" i="4"/>
  <c r="E16" i="4"/>
  <c r="D16" i="4"/>
  <c r="G14" i="4"/>
  <c r="F14" i="4"/>
  <c r="E14" i="4"/>
  <c r="F13" i="4"/>
  <c r="E13" i="4"/>
  <c r="D13" i="4"/>
  <c r="G12" i="4"/>
  <c r="F12" i="4"/>
  <c r="E12" i="4"/>
  <c r="E6" i="4"/>
  <c r="D6" i="4"/>
  <c r="A17" i="2"/>
  <c r="A19" i="2"/>
  <c r="A20" i="2"/>
  <c r="A21" i="2"/>
  <c r="A16" i="2"/>
  <c r="A15" i="2"/>
  <c r="A14" i="2"/>
  <c r="A12" i="2"/>
  <c r="A11" i="2"/>
  <c r="A10" i="2"/>
  <c r="A9" i="2"/>
  <c r="G11" i="4"/>
  <c r="F11" i="4"/>
  <c r="E11" i="4"/>
  <c r="G10" i="4"/>
  <c r="A12" i="4"/>
  <c r="A13" i="4"/>
  <c r="A14" i="4"/>
  <c r="A15" i="4"/>
  <c r="A16" i="4"/>
  <c r="A17" i="4"/>
  <c r="A18" i="4"/>
  <c r="A19" i="4"/>
  <c r="A20" i="4"/>
  <c r="A21" i="4"/>
  <c r="J22" i="1"/>
  <c r="A8" i="1"/>
  <c r="A9" i="1"/>
  <c r="A10" i="1"/>
  <c r="A11" i="1"/>
  <c r="A12" i="1"/>
  <c r="A13" i="1"/>
  <c r="A13" i="2" s="1"/>
  <c r="A14" i="1"/>
  <c r="A15" i="1"/>
  <c r="A16" i="1"/>
  <c r="A17" i="1"/>
  <c r="A18" i="1"/>
  <c r="A18" i="2" s="1"/>
  <c r="A19" i="1"/>
  <c r="A20" i="1"/>
  <c r="A21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F8" i="4" l="1"/>
  <c r="E8" i="4"/>
  <c r="D8" i="4"/>
  <c r="G8" i="4"/>
  <c r="K59" i="3"/>
  <c r="E3" i="1"/>
  <c r="E7" i="4"/>
  <c r="D7" i="4"/>
  <c r="K10" i="3" l="1"/>
  <c r="A25" i="4" l="1"/>
  <c r="G7" i="4"/>
  <c r="F7" i="4"/>
  <c r="I6" i="2"/>
  <c r="F6" i="4" s="1"/>
  <c r="A11" i="4"/>
  <c r="A10" i="4"/>
  <c r="A9" i="4"/>
  <c r="A8" i="4"/>
  <c r="A7" i="4"/>
  <c r="A6" i="4"/>
  <c r="F4" i="4"/>
  <c r="B3" i="4"/>
  <c r="J62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G23" i="4" l="1"/>
  <c r="G24" i="4" l="1"/>
  <c r="F31" i="3" s="1"/>
</calcChain>
</file>

<file path=xl/sharedStrings.xml><?xml version="1.0" encoding="utf-8"?>
<sst xmlns="http://schemas.openxmlformats.org/spreadsheetml/2006/main" count="198" uniqueCount="141">
  <si>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</si>
  <si>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</si>
  <si>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</si>
  <si>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</si>
  <si>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</si>
  <si>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</si>
  <si>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</si>
  <si>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</si>
  <si>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</si>
  <si>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</si>
  <si>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</si>
  <si>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</si>
  <si>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</si>
  <si>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</si>
  <si>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</si>
  <si>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</si>
  <si>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</si>
  <si>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</si>
  <si>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</si>
  <si>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</si>
  <si>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</si>
  <si>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</si>
  <si>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</si>
  <si>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</si>
  <si>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</si>
  <si>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</si>
  <si>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</si>
  <si>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</si>
  <si>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</si>
  <si>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</si>
  <si>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</si>
  <si>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</si>
  <si>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</si>
  <si>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</si>
  <si>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</si>
  <si>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</si>
  <si>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</si>
  <si>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</si>
  <si>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</si>
  <si>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</si>
  <si>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</si>
  <si>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</si>
  <si>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</si>
  <si>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</si>
  <si>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</si>
  <si>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</si>
  <si>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</si>
  <si>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</si>
  <si>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</si>
  <si>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</si>
  <si>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</si>
  <si>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</si>
  <si>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</si>
  <si>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</si>
  <si>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</si>
  <si>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</si>
  <si>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</si>
  <si>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</si>
  <si>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</si>
  <si>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</si>
  <si>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</si>
  <si>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</si>
  <si>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</si>
  <si>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</si>
  <si>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</si>
  <si>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</si>
  <si>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</si>
  <si>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</si>
  <si>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</si>
  <si>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</si>
  <si>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</si>
  <si>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</si>
  <si>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</si>
  <si>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</si>
  <si>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</si>
  <si>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</si>
  <si>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</si>
  <si>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</si>
  <si>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</si>
  <si>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</si>
  <si>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</si>
  <si>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</si>
  <si>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</si>
  <si>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</si>
  <si>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</si>
  <si>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</si>
  <si>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</si>
  <si>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</si>
  <si>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</si>
  <si>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</si>
  <si>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</si>
  <si>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</si>
  <si>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</si>
  <si>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</si>
  <si>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</si>
  <si>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</si>
  <si>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</si>
  <si>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</si>
  <si>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</si>
  <si>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</si>
  <si>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</si>
  <si>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</si>
  <si>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-MRS-0055</t>
    </r>
  </si>
  <si>
    <t>H-Beam CS</t>
    <phoneticPr fontId="2" type="noConversion"/>
  </si>
  <si>
    <t>H-Beam CS</t>
  </si>
  <si>
    <t>Channel CS</t>
  </si>
  <si>
    <t>Angle Bar CS</t>
  </si>
  <si>
    <t>Rectangle Bar CS</t>
  </si>
  <si>
    <t>Steel Plate CS</t>
  </si>
  <si>
    <t>Corrugated Sheet</t>
  </si>
  <si>
    <t>Pipe</t>
  </si>
  <si>
    <t>Ordinary plywood</t>
  </si>
  <si>
    <t>100x100x6x8, 12m</t>
    <phoneticPr fontId="2" type="noConversion"/>
  </si>
  <si>
    <t>150x150x7x10, 12m</t>
    <phoneticPr fontId="2" type="noConversion"/>
  </si>
  <si>
    <t>100x50x5x7.5, 6m</t>
    <phoneticPr fontId="2" type="noConversion"/>
  </si>
  <si>
    <t>75x75x6, 6m</t>
    <phoneticPr fontId="2" type="noConversion"/>
  </si>
  <si>
    <t>50x50x5, 6m</t>
    <phoneticPr fontId="2" type="noConversion"/>
  </si>
  <si>
    <t>50x50x4, 6m</t>
    <phoneticPr fontId="2" type="noConversion"/>
  </si>
  <si>
    <t>80x40x3, 6m</t>
    <phoneticPr fontId="2" type="noConversion"/>
  </si>
  <si>
    <t>50x25x3, 6m</t>
    <phoneticPr fontId="2" type="noConversion"/>
  </si>
  <si>
    <t>40x40x3, 6m</t>
    <phoneticPr fontId="2" type="noConversion"/>
  </si>
  <si>
    <t>20x20x2, 6m</t>
    <phoneticPr fontId="2" type="noConversion"/>
  </si>
  <si>
    <t>4'x8', 3t</t>
    <phoneticPr fontId="2" type="noConversion"/>
  </si>
  <si>
    <t>1X3MX0.32mm</t>
    <phoneticPr fontId="2" type="noConversion"/>
  </si>
  <si>
    <t>A106-B 1/2" S160(4.78t) 6m</t>
    <phoneticPr fontId="2" type="noConversion"/>
  </si>
  <si>
    <t>4'x8', 12t , Indonesia</t>
    <phoneticPr fontId="2" type="noConversion"/>
  </si>
  <si>
    <t>EA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</si>
  <si>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</si>
  <si>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</si>
  <si>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</si>
  <si>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</si>
  <si>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</si>
  <si>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</si>
  <si>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</si>
  <si>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</si>
  <si>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HYUNDAI ENG. &amp; CONST. CO., LTD.</t>
  </si>
  <si>
    <t>Hyundai Engineering and Const. Co., Ltd. (HDEC)</t>
  </si>
  <si>
    <t>Site Materials</t>
  </si>
  <si>
    <t>King Fahd Road 3208 - Al Aqeeq District Unit No.778 Zip Code 13519 Riyadh</t>
  </si>
  <si>
    <t>Q-20253157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</si>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</sst>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360946</xdr:colOff>
          <xdr:row>23</xdr:row>
          <xdr:rowOff>20054</xdr:rowOff>
        </xdr:from>
        <xdr:to>
          <xdr:col>11</xdr:col>
          <xdr:colOff>1664868</xdr:colOff>
          <xdr:row>30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4:$V$30" spid="_x0000_s12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89946" y="4702343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8"/>
  <sheetViews>
    <sheetView showGridLines="0" tabSelected="1" view="pageBreakPreview" zoomScale="95" zoomScaleNormal="95" zoomScaleSheetLayoutView="95" workbookViewId="0">
      <selection activeCell="C25" sqref="C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10" t="s">
        <v>99</v>
      </c>
      <c r="B1" s="101"/>
      <c r="C1" s="101"/>
      <c r="D1" s="101"/>
      <c r="E1" s="101"/>
      <c r="F1" s="101"/>
      <c r="G1" s="1"/>
      <c r="J1" s="132" t="s">
        <v>90</v>
      </c>
      <c r="K1" s="133"/>
      <c r="L1" s="134"/>
    </row>
    <row r="2" spans="1:19" ht="20.100000000000001" customHeight="1">
      <c r="A2" s="3" t="s">
        <v>1</v>
      </c>
      <c r="B2" s="95"/>
      <c r="C2" s="95"/>
      <c r="D2" s="3" t="s">
        <v>98</v>
      </c>
      <c r="E2" s="95"/>
      <c r="F2" s="95"/>
      <c r="G2" s="95"/>
      <c r="H2" s="95"/>
      <c r="I2" s="4"/>
      <c r="J2" s="135" t="s">
        <v>97</v>
      </c>
      <c r="K2" s="136"/>
      <c r="L2" s="137"/>
    </row>
    <row r="3" spans="1:19" ht="20.100000000000001" customHeight="1">
      <c r="A3" s="3" t="s">
        <v>102</v>
      </c>
      <c r="B3" s="95"/>
      <c r="C3" s="95"/>
      <c r="D3" s="95"/>
      <c r="E3" s="138">
        <f>+L3</f>
        <v>45780</v>
      </c>
      <c r="F3" s="138"/>
      <c r="G3" s="138"/>
      <c r="H3" s="138"/>
      <c r="I3" s="138"/>
      <c r="J3" s="95"/>
      <c r="K3" s="95"/>
      <c r="L3" s="108">
        <v>45780</v>
      </c>
      <c r="M3" s="4"/>
    </row>
    <row r="4" spans="1:19" ht="15.95" customHeight="1">
      <c r="A4" s="139" t="s">
        <v>2</v>
      </c>
      <c r="B4" s="140" t="s">
        <v>3</v>
      </c>
      <c r="C4" s="140"/>
      <c r="D4" s="141" t="s">
        <v>4</v>
      </c>
      <c r="E4" s="142"/>
      <c r="F4" s="143"/>
      <c r="G4" s="147" t="s">
        <v>5</v>
      </c>
      <c r="H4" s="149" t="s">
        <v>6</v>
      </c>
      <c r="I4" s="149" t="s">
        <v>94</v>
      </c>
      <c r="J4" s="139" t="s">
        <v>95</v>
      </c>
      <c r="K4" s="149" t="s">
        <v>0</v>
      </c>
      <c r="L4" s="140" t="s">
        <v>7</v>
      </c>
    </row>
    <row r="5" spans="1:19" ht="15.95" customHeight="1">
      <c r="A5" s="139"/>
      <c r="B5" s="140"/>
      <c r="C5" s="140"/>
      <c r="D5" s="144"/>
      <c r="E5" s="145"/>
      <c r="F5" s="146"/>
      <c r="G5" s="148"/>
      <c r="H5" s="150"/>
      <c r="I5" s="150"/>
      <c r="J5" s="139"/>
      <c r="K5" s="150"/>
      <c r="L5" s="140"/>
    </row>
    <row r="6" spans="1:19" ht="13.5" customHeight="1">
      <c r="A6" s="5">
        <f t="shared" ref="A6:A21" si="0">ROW(A1)</f>
        <v>1</v>
      </c>
      <c r="B6" s="123" t="s">
        <v>103</v>
      </c>
      <c r="C6" s="124"/>
      <c r="D6" s="125" t="s">
        <v>112</v>
      </c>
      <c r="E6" s="126"/>
      <c r="F6" s="127"/>
      <c r="G6" s="115" t="s">
        <v>126</v>
      </c>
      <c r="H6" s="115">
        <v>30</v>
      </c>
      <c r="I6" s="116">
        <v>800</v>
      </c>
      <c r="J6" s="103">
        <f>H6*I6</f>
        <v>24000</v>
      </c>
      <c r="K6" s="104" t="s">
        <v>127</v>
      </c>
      <c r="L6" s="105"/>
      <c r="S6" s="100"/>
    </row>
    <row r="7" spans="1:19" ht="13.5" customHeight="1">
      <c r="A7" s="5">
        <f t="shared" si="0"/>
        <v>2</v>
      </c>
      <c r="B7" s="123" t="s">
        <v>104</v>
      </c>
      <c r="C7" s="124"/>
      <c r="D7" s="125" t="s">
        <v>112</v>
      </c>
      <c r="E7" s="126"/>
      <c r="F7" s="127"/>
      <c r="G7" s="115" t="s">
        <v>126</v>
      </c>
      <c r="H7" s="115">
        <v>5</v>
      </c>
      <c r="I7" s="116">
        <v>800</v>
      </c>
      <c r="J7" s="103">
        <f t="shared" ref="J7:J21" si="1">H7*I7</f>
        <v>4000</v>
      </c>
      <c r="K7" s="104"/>
      <c r="L7" s="105"/>
      <c r="S7" s="100"/>
    </row>
    <row r="8" spans="1:19" ht="13.5" customHeight="1">
      <c r="A8" s="5">
        <f t="shared" si="0"/>
        <v>3</v>
      </c>
      <c r="B8" s="123" t="s">
        <v>104</v>
      </c>
      <c r="C8" s="124"/>
      <c r="D8" s="125" t="s">
        <v>113</v>
      </c>
      <c r="E8" s="126"/>
      <c r="F8" s="127"/>
      <c r="G8" s="115" t="s">
        <v>126</v>
      </c>
      <c r="H8" s="115">
        <v>10</v>
      </c>
      <c r="I8" s="116">
        <v>1480</v>
      </c>
      <c r="J8" s="103">
        <f t="shared" si="1"/>
        <v>14800</v>
      </c>
      <c r="K8" s="104"/>
      <c r="L8" s="105"/>
      <c r="P8" s="2" t="s">
        <v>101</v>
      </c>
      <c r="S8" s="100"/>
    </row>
    <row r="9" spans="1:19" ht="13.5" customHeight="1">
      <c r="A9" s="5">
        <f t="shared" si="0"/>
        <v>4</v>
      </c>
      <c r="B9" s="123" t="s">
        <v>105</v>
      </c>
      <c r="C9" s="124"/>
      <c r="D9" s="125" t="s">
        <v>114</v>
      </c>
      <c r="E9" s="126"/>
      <c r="F9" s="127"/>
      <c r="G9" s="115" t="s">
        <v>126</v>
      </c>
      <c r="H9" s="115">
        <v>10</v>
      </c>
      <c r="I9" s="116">
        <v>198</v>
      </c>
      <c r="J9" s="103">
        <f t="shared" si="1"/>
        <v>1980</v>
      </c>
      <c r="K9" s="104"/>
      <c r="L9" s="105"/>
      <c r="S9" s="100"/>
    </row>
    <row r="10" spans="1:19" ht="13.5" customHeight="1">
      <c r="A10" s="5">
        <f t="shared" si="0"/>
        <v>5</v>
      </c>
      <c r="B10" s="123" t="s">
        <v>106</v>
      </c>
      <c r="C10" s="124"/>
      <c r="D10" s="125" t="s">
        <v>115</v>
      </c>
      <c r="E10" s="126"/>
      <c r="F10" s="127"/>
      <c r="G10" s="115" t="s">
        <v>126</v>
      </c>
      <c r="H10" s="115">
        <v>5</v>
      </c>
      <c r="I10" s="116">
        <v>145</v>
      </c>
      <c r="J10" s="103">
        <f t="shared" si="1"/>
        <v>725</v>
      </c>
      <c r="K10" s="104"/>
      <c r="L10" s="105"/>
      <c r="S10" s="100"/>
    </row>
    <row r="11" spans="1:19" ht="13.5" customHeight="1">
      <c r="A11" s="5">
        <f t="shared" si="0"/>
        <v>6</v>
      </c>
      <c r="B11" s="123" t="s">
        <v>106</v>
      </c>
      <c r="C11" s="124"/>
      <c r="D11" s="125" t="s">
        <v>116</v>
      </c>
      <c r="E11" s="126"/>
      <c r="F11" s="127"/>
      <c r="G11" s="115" t="s">
        <v>126</v>
      </c>
      <c r="H11" s="115">
        <v>10</v>
      </c>
      <c r="I11" s="116">
        <v>77</v>
      </c>
      <c r="J11" s="103">
        <f t="shared" si="1"/>
        <v>770</v>
      </c>
      <c r="K11" s="104"/>
      <c r="L11" s="105"/>
      <c r="S11" s="100"/>
    </row>
    <row r="12" spans="1:19" ht="13.5" customHeight="1">
      <c r="A12" s="5">
        <f t="shared" si="0"/>
        <v>7</v>
      </c>
      <c r="B12" s="123" t="s">
        <v>106</v>
      </c>
      <c r="C12" s="124"/>
      <c r="D12" s="125" t="s">
        <v>117</v>
      </c>
      <c r="E12" s="126"/>
      <c r="F12" s="127"/>
      <c r="G12" s="115" t="s">
        <v>126</v>
      </c>
      <c r="H12" s="115">
        <v>100</v>
      </c>
      <c r="I12" s="116">
        <v>62</v>
      </c>
      <c r="J12" s="103">
        <f t="shared" si="1"/>
        <v>6200</v>
      </c>
      <c r="K12" s="104"/>
      <c r="L12" s="105"/>
      <c r="S12" s="100"/>
    </row>
    <row r="13" spans="1:19" ht="13.5" customHeight="1">
      <c r="A13" s="5">
        <f t="shared" si="0"/>
        <v>8</v>
      </c>
      <c r="B13" s="123" t="s">
        <v>107</v>
      </c>
      <c r="C13" s="124"/>
      <c r="D13" s="125" t="s">
        <v>118</v>
      </c>
      <c r="E13" s="126"/>
      <c r="F13" s="127"/>
      <c r="G13" s="115" t="s">
        <v>126</v>
      </c>
      <c r="H13" s="115">
        <v>50</v>
      </c>
      <c r="I13" s="116">
        <v>118.9</v>
      </c>
      <c r="J13" s="103">
        <f t="shared" si="1"/>
        <v>5945</v>
      </c>
      <c r="K13" s="104"/>
      <c r="L13" s="105"/>
      <c r="S13" s="100"/>
    </row>
    <row r="14" spans="1:19" ht="13.5" customHeight="1">
      <c r="A14" s="5">
        <f t="shared" si="0"/>
        <v>9</v>
      </c>
      <c r="B14" s="123" t="s">
        <v>107</v>
      </c>
      <c r="C14" s="124"/>
      <c r="D14" s="125" t="s">
        <v>119</v>
      </c>
      <c r="E14" s="126"/>
      <c r="F14" s="127"/>
      <c r="G14" s="115" t="s">
        <v>126</v>
      </c>
      <c r="H14" s="115">
        <v>50</v>
      </c>
      <c r="I14" s="116">
        <v>76</v>
      </c>
      <c r="J14" s="103">
        <f t="shared" si="1"/>
        <v>3800</v>
      </c>
      <c r="K14" s="104"/>
      <c r="L14" s="105"/>
      <c r="S14" s="100"/>
    </row>
    <row r="15" spans="1:19" ht="13.5" customHeight="1">
      <c r="A15" s="5">
        <f t="shared" si="0"/>
        <v>10</v>
      </c>
      <c r="B15" s="123" t="s">
        <v>107</v>
      </c>
      <c r="C15" s="124"/>
      <c r="D15" s="125" t="s">
        <v>120</v>
      </c>
      <c r="E15" s="126"/>
      <c r="F15" s="127"/>
      <c r="G15" s="115" t="s">
        <v>126</v>
      </c>
      <c r="H15" s="115">
        <v>10</v>
      </c>
      <c r="I15" s="116">
        <v>81</v>
      </c>
      <c r="J15" s="103">
        <f t="shared" si="1"/>
        <v>810</v>
      </c>
      <c r="K15" s="104"/>
      <c r="L15" s="105"/>
      <c r="S15" s="100"/>
    </row>
    <row r="16" spans="1:19" ht="13.5" customHeight="1">
      <c r="A16" s="5">
        <f t="shared" si="0"/>
        <v>11</v>
      </c>
      <c r="B16" s="123" t="s">
        <v>107</v>
      </c>
      <c r="C16" s="124"/>
      <c r="D16" s="125" t="s">
        <v>121</v>
      </c>
      <c r="E16" s="126"/>
      <c r="F16" s="127"/>
      <c r="G16" s="115" t="s">
        <v>126</v>
      </c>
      <c r="H16" s="115">
        <v>120</v>
      </c>
      <c r="I16" s="116">
        <v>26.5</v>
      </c>
      <c r="J16" s="103">
        <f t="shared" si="1"/>
        <v>3180</v>
      </c>
      <c r="K16" s="104"/>
      <c r="L16" s="105"/>
      <c r="S16" s="100"/>
    </row>
    <row r="17" spans="1:22" ht="13.5" customHeight="1">
      <c r="A17" s="5">
        <f t="shared" si="0"/>
        <v>12</v>
      </c>
      <c r="B17" s="123" t="s">
        <v>108</v>
      </c>
      <c r="C17" s="124"/>
      <c r="D17" s="125" t="s">
        <v>122</v>
      </c>
      <c r="E17" s="126"/>
      <c r="F17" s="127"/>
      <c r="G17" s="115" t="s">
        <v>126</v>
      </c>
      <c r="H17" s="115">
        <v>30</v>
      </c>
      <c r="I17" s="116">
        <v>250</v>
      </c>
      <c r="J17" s="103">
        <f t="shared" si="1"/>
        <v>7500</v>
      </c>
      <c r="K17" s="104"/>
      <c r="L17" s="102"/>
      <c r="S17" s="100"/>
    </row>
    <row r="18" spans="1:22" ht="13.5" customHeight="1">
      <c r="A18" s="5">
        <f t="shared" si="0"/>
        <v>13</v>
      </c>
      <c r="B18" s="123" t="s">
        <v>108</v>
      </c>
      <c r="C18" s="124"/>
      <c r="D18" s="125" t="s">
        <v>122</v>
      </c>
      <c r="E18" s="126"/>
      <c r="F18" s="127"/>
      <c r="G18" s="115" t="s">
        <v>126</v>
      </c>
      <c r="H18" s="115">
        <v>8</v>
      </c>
      <c r="I18" s="116">
        <v>250</v>
      </c>
      <c r="J18" s="103">
        <f t="shared" si="1"/>
        <v>2000</v>
      </c>
      <c r="K18" s="104"/>
      <c r="L18" s="105"/>
      <c r="S18" s="100"/>
    </row>
    <row r="19" spans="1:22" ht="13.5" customHeight="1">
      <c r="A19" s="5">
        <f t="shared" si="0"/>
        <v>14</v>
      </c>
      <c r="B19" s="123" t="s">
        <v>109</v>
      </c>
      <c r="C19" s="124"/>
      <c r="D19" s="125" t="s">
        <v>123</v>
      </c>
      <c r="E19" s="126"/>
      <c r="F19" s="127"/>
      <c r="G19" s="115" t="s">
        <v>126</v>
      </c>
      <c r="H19" s="115">
        <v>100</v>
      </c>
      <c r="I19" s="116">
        <v>47</v>
      </c>
      <c r="J19" s="103">
        <f t="shared" si="1"/>
        <v>4700</v>
      </c>
      <c r="K19" s="104"/>
      <c r="L19" s="102"/>
      <c r="S19" s="100"/>
    </row>
    <row r="20" spans="1:22" ht="13.5" customHeight="1">
      <c r="A20" s="5">
        <f t="shared" si="0"/>
        <v>15</v>
      </c>
      <c r="B20" s="123" t="s">
        <v>110</v>
      </c>
      <c r="C20" s="124"/>
      <c r="D20" s="125" t="s">
        <v>124</v>
      </c>
      <c r="E20" s="126"/>
      <c r="F20" s="127"/>
      <c r="G20" s="115" t="s">
        <v>126</v>
      </c>
      <c r="H20" s="115">
        <v>1</v>
      </c>
      <c r="I20" s="116">
        <v>190</v>
      </c>
      <c r="J20" s="103">
        <f t="shared" si="1"/>
        <v>190</v>
      </c>
      <c r="K20" s="104"/>
      <c r="L20" s="105"/>
      <c r="S20" s="100"/>
    </row>
    <row r="21" spans="1:22" ht="13.5" customHeight="1">
      <c r="A21" s="5">
        <f t="shared" si="0"/>
        <v>16</v>
      </c>
      <c r="B21" s="123" t="s">
        <v>111</v>
      </c>
      <c r="C21" s="124"/>
      <c r="D21" s="125" t="s">
        <v>125</v>
      </c>
      <c r="E21" s="126"/>
      <c r="F21" s="127"/>
      <c r="G21" s="115" t="s">
        <v>126</v>
      </c>
      <c r="H21" s="115">
        <v>50</v>
      </c>
      <c r="I21" s="116">
        <v>98</v>
      </c>
      <c r="J21" s="103">
        <f t="shared" si="1"/>
        <v>4900</v>
      </c>
      <c r="K21" s="104"/>
      <c r="L21" s="105"/>
      <c r="S21" s="100"/>
    </row>
    <row r="22" spans="1:22" ht="13.5" customHeight="1">
      <c r="A22" s="128" t="s">
        <v>8</v>
      </c>
      <c r="B22" s="129"/>
      <c r="C22" s="106"/>
      <c r="D22" s="112"/>
      <c r="E22" s="112"/>
      <c r="F22" s="112"/>
      <c r="G22" s="113"/>
      <c r="H22" s="113"/>
      <c r="I22" s="114" t="s">
        <v>9</v>
      </c>
      <c r="J22" s="103">
        <f>SUM(J6:J21)</f>
        <v>85500</v>
      </c>
      <c r="K22" s="103"/>
      <c r="L22" s="107"/>
    </row>
    <row r="23" spans="1:22" ht="20.100000000000001" customHeight="1">
      <c r="A23" s="6" t="s">
        <v>10</v>
      </c>
      <c r="B23" s="7"/>
      <c r="C23" s="7"/>
      <c r="D23" s="7"/>
      <c r="E23" s="7"/>
      <c r="F23" s="7"/>
      <c r="G23" s="7"/>
      <c r="H23" s="7"/>
      <c r="I23" s="7"/>
      <c r="J23" s="7"/>
      <c r="K23" s="8"/>
      <c r="L23" s="9"/>
    </row>
    <row r="24" spans="1:22" ht="18" customHeight="1">
      <c r="A24" s="10"/>
      <c r="J24" s="1"/>
      <c r="K24" s="1"/>
      <c r="O24" s="11"/>
      <c r="P24" s="11"/>
      <c r="Q24" s="11"/>
      <c r="S24" s="130" t="s">
        <v>11</v>
      </c>
      <c r="T24" s="12" t="s">
        <v>12</v>
      </c>
      <c r="U24" s="13" t="s">
        <v>13</v>
      </c>
      <c r="V24" s="12" t="s">
        <v>14</v>
      </c>
    </row>
    <row r="25" spans="1:22" ht="50.1" customHeight="1">
      <c r="S25" s="131"/>
      <c r="T25" s="14"/>
      <c r="U25" s="15"/>
      <c r="V25" s="14"/>
    </row>
    <row r="26" spans="1:22" ht="17.100000000000001" customHeight="1">
      <c r="O26" s="11"/>
      <c r="P26" s="11"/>
      <c r="Q26" s="11"/>
      <c r="S26" s="120"/>
      <c r="T26" s="15" t="s">
        <v>15</v>
      </c>
      <c r="U26" s="15" t="s">
        <v>15</v>
      </c>
      <c r="V26" s="16" t="s">
        <v>15</v>
      </c>
    </row>
    <row r="27" spans="1:22" ht="15" customHeight="1">
      <c r="O27" s="17" t="s">
        <v>16</v>
      </c>
      <c r="P27" s="119" t="s">
        <v>17</v>
      </c>
      <c r="Q27" s="119" t="s">
        <v>18</v>
      </c>
    </row>
    <row r="28" spans="1:22" ht="18" customHeight="1">
      <c r="O28" s="18" t="s">
        <v>19</v>
      </c>
      <c r="P28" s="121"/>
      <c r="Q28" s="121"/>
      <c r="S28" s="130" t="s">
        <v>20</v>
      </c>
      <c r="T28" s="12" t="s">
        <v>12</v>
      </c>
      <c r="U28" s="12" t="s">
        <v>13</v>
      </c>
      <c r="V28" s="12" t="s">
        <v>14</v>
      </c>
    </row>
    <row r="29" spans="1:22" ht="50.1" customHeight="1">
      <c r="O29" s="14"/>
      <c r="P29" s="14"/>
      <c r="Q29" s="14"/>
      <c r="S29" s="131"/>
      <c r="T29" s="19"/>
      <c r="U29" s="19"/>
      <c r="V29" s="14"/>
    </row>
    <row r="30" spans="1:22" ht="17.100000000000001" customHeight="1">
      <c r="O30" s="16" t="s">
        <v>15</v>
      </c>
      <c r="P30" s="16" t="s">
        <v>15</v>
      </c>
      <c r="Q30" s="16" t="s">
        <v>15</v>
      </c>
      <c r="S30" s="120"/>
      <c r="T30" s="15" t="s">
        <v>15</v>
      </c>
      <c r="U30" s="15" t="s">
        <v>15</v>
      </c>
      <c r="V30" s="16" t="s">
        <v>15</v>
      </c>
    </row>
    <row r="31" spans="1:22" ht="9.9499999999999993" customHeight="1"/>
    <row r="32" spans="1:22" ht="19.899999999999999" customHeight="1"/>
    <row r="33" spans="15:20" ht="17.45" customHeight="1">
      <c r="O33" s="122"/>
      <c r="P33" s="122"/>
      <c r="Q33" s="122"/>
    </row>
    <row r="34" spans="15:20" ht="19.899999999999999" customHeight="1">
      <c r="O34" s="122"/>
      <c r="P34" s="122"/>
      <c r="Q34" s="122"/>
    </row>
    <row r="35" spans="15:20" ht="14.25">
      <c r="O35" s="11"/>
      <c r="P35" s="11"/>
      <c r="Q35" s="11"/>
    </row>
    <row r="36" spans="15:20" ht="65.099999999999994" customHeight="1"/>
    <row r="37" spans="15:20" ht="14.25">
      <c r="O37" s="11"/>
      <c r="P37" s="11"/>
      <c r="Q37" s="11"/>
    </row>
    <row r="38" spans="15:20" ht="19.899999999999999" customHeight="1"/>
    <row r="39" spans="15:20" ht="14.25"/>
    <row r="40" spans="15:20" ht="19.899999999999999" customHeight="1"/>
    <row r="41" spans="15:20" ht="14.25"/>
    <row r="42" spans="15:20" ht="19.899999999999999" customHeight="1"/>
    <row r="43" spans="15:20" ht="19.899999999999999" customHeight="1"/>
    <row r="44" spans="15:20" ht="64.900000000000006" customHeight="1"/>
    <row r="46" spans="15:20" ht="19.899999999999999" customHeight="1">
      <c r="T46" s="119" t="s">
        <v>21</v>
      </c>
    </row>
    <row r="47" spans="15:20" ht="19.899999999999999" customHeight="1">
      <c r="T47" s="121"/>
    </row>
    <row r="48" spans="15:20" ht="64.900000000000006" customHeight="1">
      <c r="T48" s="14"/>
    </row>
    <row r="52" spans="15:22" ht="21" customHeight="1">
      <c r="O52" s="119" t="s">
        <v>21</v>
      </c>
      <c r="P52" s="119" t="s">
        <v>21</v>
      </c>
      <c r="Q52" s="119" t="s">
        <v>21</v>
      </c>
      <c r="T52" s="119" t="s">
        <v>22</v>
      </c>
      <c r="U52" s="119" t="s">
        <v>13</v>
      </c>
      <c r="V52" s="119" t="s">
        <v>21</v>
      </c>
    </row>
    <row r="53" spans="15:22" ht="21" customHeight="1">
      <c r="O53" s="121"/>
      <c r="P53" s="121"/>
      <c r="Q53" s="121"/>
      <c r="T53" s="120"/>
      <c r="U53" s="120"/>
      <c r="V53" s="121"/>
    </row>
    <row r="54" spans="15:22" ht="64.900000000000006" customHeight="1">
      <c r="O54" s="14"/>
      <c r="P54" s="14"/>
      <c r="Q54" s="14"/>
      <c r="T54" s="14"/>
      <c r="U54" s="15"/>
      <c r="V54" s="14"/>
    </row>
    <row r="55" spans="15:22" ht="7.15" customHeight="1"/>
    <row r="56" spans="15:22" ht="21" customHeight="1">
      <c r="O56" s="119" t="s">
        <v>21</v>
      </c>
      <c r="P56" s="119" t="s">
        <v>21</v>
      </c>
      <c r="Q56" s="119" t="s">
        <v>21</v>
      </c>
      <c r="T56" s="119" t="s">
        <v>13</v>
      </c>
      <c r="U56" s="119" t="s">
        <v>22</v>
      </c>
      <c r="V56" s="119" t="s">
        <v>21</v>
      </c>
    </row>
    <row r="57" spans="15:22" ht="21" customHeight="1">
      <c r="O57" s="121"/>
      <c r="P57" s="121"/>
      <c r="Q57" s="121"/>
      <c r="T57" s="120"/>
      <c r="U57" s="120"/>
      <c r="V57" s="121"/>
    </row>
    <row r="58" spans="15:22" ht="64.900000000000006" customHeight="1">
      <c r="O58" s="14"/>
      <c r="P58" s="14"/>
      <c r="Q58" s="14"/>
      <c r="T58" s="15"/>
      <c r="U58" s="14"/>
      <c r="V58" s="14"/>
    </row>
  </sheetData>
  <mergeCells count="65">
    <mergeCell ref="B12:C12"/>
    <mergeCell ref="D12:F12"/>
    <mergeCell ref="B16:C16"/>
    <mergeCell ref="D16:F16"/>
    <mergeCell ref="D18:F18"/>
    <mergeCell ref="B18:C18"/>
    <mergeCell ref="D17:F17"/>
    <mergeCell ref="B17:C1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9:C19"/>
    <mergeCell ref="D19:F19"/>
    <mergeCell ref="B20:C20"/>
    <mergeCell ref="D20:F20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B21:C21"/>
    <mergeCell ref="D21:F21"/>
    <mergeCell ref="A22:B22"/>
    <mergeCell ref="S24:S26"/>
    <mergeCell ref="P27:P28"/>
    <mergeCell ref="Q27:Q28"/>
    <mergeCell ref="S28:S30"/>
    <mergeCell ref="O33:O34"/>
    <mergeCell ref="P33:P34"/>
    <mergeCell ref="Q33:Q34"/>
    <mergeCell ref="T46:T47"/>
    <mergeCell ref="O52:O53"/>
    <mergeCell ref="P52:P53"/>
    <mergeCell ref="Q52:Q53"/>
    <mergeCell ref="T52:T53"/>
    <mergeCell ref="U52:U53"/>
    <mergeCell ref="V52:V53"/>
    <mergeCell ref="O56:O57"/>
    <mergeCell ref="P56:P57"/>
    <mergeCell ref="Q56:Q57"/>
    <mergeCell ref="T56:T57"/>
    <mergeCell ref="U56:U57"/>
    <mergeCell ref="V56:V5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9" t="s">
        <v>96</v>
      </c>
      <c r="B1" s="94"/>
      <c r="C1" s="94"/>
      <c r="D1" s="94"/>
      <c r="E1" s="94"/>
      <c r="F1" s="94"/>
      <c r="G1" s="1"/>
      <c r="J1" s="132" t="str">
        <f>+MRS!J1</f>
        <v>DAESHIN PLANT</v>
      </c>
      <c r="K1" s="134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35" t="str">
        <f>+MRS!J2</f>
        <v>Subcontract name (SAC2-SC-IK-SMP-01)</v>
      </c>
      <c r="K2" s="137"/>
    </row>
    <row r="3" spans="1:18" ht="24.95" customHeight="1">
      <c r="A3" s="3" t="str">
        <f>+MRS!A3</f>
        <v xml:space="preserve">  MRS No : SAC2-DS-MRS-0055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45780</v>
      </c>
    </row>
    <row r="4" spans="1:18" ht="15.95" customHeight="1">
      <c r="A4" s="156" t="s">
        <v>2</v>
      </c>
      <c r="B4" s="157" t="s">
        <v>23</v>
      </c>
      <c r="C4" s="157"/>
      <c r="D4" s="156" t="s">
        <v>4</v>
      </c>
      <c r="E4" s="156"/>
      <c r="F4" s="156"/>
      <c r="G4" s="157" t="s">
        <v>5</v>
      </c>
      <c r="H4" s="156" t="s">
        <v>91</v>
      </c>
      <c r="I4" s="156" t="s">
        <v>24</v>
      </c>
      <c r="J4" s="156" t="s">
        <v>25</v>
      </c>
      <c r="K4" s="157" t="s">
        <v>7</v>
      </c>
    </row>
    <row r="5" spans="1:18" ht="15.95" customHeight="1">
      <c r="A5" s="156"/>
      <c r="B5" s="157"/>
      <c r="C5" s="157"/>
      <c r="D5" s="156"/>
      <c r="E5" s="156"/>
      <c r="F5" s="156"/>
      <c r="G5" s="157"/>
      <c r="H5" s="156"/>
      <c r="I5" s="156"/>
      <c r="J5" s="156"/>
      <c r="K5" s="157"/>
    </row>
    <row r="6" spans="1:18" ht="105" customHeight="1">
      <c r="A6" s="21">
        <f>+MRS!A6</f>
        <v>1</v>
      </c>
      <c r="B6" s="151" t="str">
        <f>MRS!B6</f>
        <v>H-Beam CS</v>
      </c>
      <c r="C6" s="152"/>
      <c r="D6" s="153" t="str">
        <f>MRS!D6</f>
        <v>100x100x6x8, 12m</v>
      </c>
      <c r="E6" s="154"/>
      <c r="F6" s="155"/>
      <c r="G6" s="97" t="str">
        <f>MRS!G6</f>
        <v>EA</v>
      </c>
      <c r="H6" s="97">
        <f>MRS!H6</f>
        <v>30</v>
      </c>
      <c r="I6" s="98">
        <f>MRS!I6</f>
        <v>800</v>
      </c>
      <c r="J6" s="98">
        <f>MRS!J6</f>
        <v>24000</v>
      </c>
      <c r="K6" s="99"/>
      <c r="O6" s="100"/>
      <c r="P6" s="100"/>
      <c r="R6" s="100"/>
    </row>
    <row r="7" spans="1:18" ht="105" customHeight="1">
      <c r="A7" s="21">
        <f>+MRS!A7</f>
        <v>2</v>
      </c>
      <c r="B7" s="151" t="str">
        <f>MRS!B7</f>
        <v>H-Beam CS</v>
      </c>
      <c r="C7" s="152"/>
      <c r="D7" s="153" t="str">
        <f>MRS!D7</f>
        <v>100x100x6x8, 12m</v>
      </c>
      <c r="E7" s="154"/>
      <c r="F7" s="155"/>
      <c r="G7" s="97" t="str">
        <f>MRS!G7</f>
        <v>EA</v>
      </c>
      <c r="H7" s="97">
        <f>MRS!H7</f>
        <v>5</v>
      </c>
      <c r="I7" s="98">
        <f>MRS!I7</f>
        <v>800</v>
      </c>
      <c r="J7" s="98">
        <f>MRS!J7</f>
        <v>4000</v>
      </c>
      <c r="K7" s="99"/>
      <c r="O7" s="100"/>
      <c r="P7" s="100"/>
      <c r="R7" s="100"/>
    </row>
    <row r="8" spans="1:18" ht="105" customHeight="1">
      <c r="A8" s="21">
        <f>+MRS!A8</f>
        <v>3</v>
      </c>
      <c r="B8" s="151" t="str">
        <f>MRS!B8</f>
        <v>H-Beam CS</v>
      </c>
      <c r="C8" s="152"/>
      <c r="D8" s="153" t="str">
        <f>MRS!D8</f>
        <v>150x150x7x10, 12m</v>
      </c>
      <c r="E8" s="154"/>
      <c r="F8" s="155"/>
      <c r="G8" s="97" t="str">
        <f>MRS!G8</f>
        <v>EA</v>
      </c>
      <c r="H8" s="97">
        <f>MRS!H8</f>
        <v>10</v>
      </c>
      <c r="I8" s="98">
        <f>MRS!I8</f>
        <v>1480</v>
      </c>
      <c r="J8" s="98">
        <f>MRS!J8</f>
        <v>14800</v>
      </c>
      <c r="K8" s="99"/>
      <c r="O8" s="100"/>
      <c r="P8" s="100"/>
      <c r="R8" s="100"/>
    </row>
    <row r="9" spans="1:18" ht="105" customHeight="1">
      <c r="A9" s="21">
        <f>+MRS!A9</f>
        <v>4</v>
      </c>
      <c r="B9" s="151" t="str">
        <f>MRS!B9</f>
        <v>Channel CS</v>
      </c>
      <c r="C9" s="152"/>
      <c r="D9" s="153" t="str">
        <f>MRS!D9</f>
        <v>100x50x5x7.5, 6m</v>
      </c>
      <c r="E9" s="154"/>
      <c r="F9" s="155"/>
      <c r="G9" s="97" t="str">
        <f>MRS!G9</f>
        <v>EA</v>
      </c>
      <c r="H9" s="97">
        <f>MRS!H9</f>
        <v>10</v>
      </c>
      <c r="I9" s="98">
        <f>MRS!I9</f>
        <v>198</v>
      </c>
      <c r="J9" s="98">
        <f>MRS!J9</f>
        <v>1980</v>
      </c>
      <c r="K9" s="99"/>
      <c r="O9" s="100"/>
      <c r="P9" s="100"/>
      <c r="R9" s="100"/>
    </row>
    <row r="10" spans="1:18" ht="105" customHeight="1">
      <c r="A10" s="21">
        <f>+MRS!A10</f>
        <v>5</v>
      </c>
      <c r="B10" s="151" t="str">
        <f>MRS!B10</f>
        <v>Angle Bar CS</v>
      </c>
      <c r="C10" s="152"/>
      <c r="D10" s="153" t="str">
        <f>MRS!D10</f>
        <v>75x75x6, 6m</v>
      </c>
      <c r="E10" s="154"/>
      <c r="F10" s="155"/>
      <c r="G10" s="97" t="str">
        <f>MRS!G10</f>
        <v>EA</v>
      </c>
      <c r="H10" s="97">
        <f>MRS!H10</f>
        <v>5</v>
      </c>
      <c r="I10" s="98">
        <f>MRS!I10</f>
        <v>145</v>
      </c>
      <c r="J10" s="98">
        <f>MRS!J10</f>
        <v>725</v>
      </c>
      <c r="K10" s="99"/>
      <c r="O10" s="100"/>
      <c r="P10" s="100"/>
      <c r="R10" s="100"/>
    </row>
    <row r="11" spans="1:18" ht="105" customHeight="1">
      <c r="A11" s="21">
        <f>+MRS!A11</f>
        <v>6</v>
      </c>
      <c r="B11" s="151" t="str">
        <f>MRS!B11</f>
        <v>Angle Bar CS</v>
      </c>
      <c r="C11" s="152"/>
      <c r="D11" s="153" t="str">
        <f>MRS!D11</f>
        <v>50x50x5, 6m</v>
      </c>
      <c r="E11" s="154"/>
      <c r="F11" s="155"/>
      <c r="G11" s="97" t="str">
        <f>MRS!G11</f>
        <v>EA</v>
      </c>
      <c r="H11" s="97">
        <f>MRS!H11</f>
        <v>10</v>
      </c>
      <c r="I11" s="98">
        <f>MRS!I11</f>
        <v>77</v>
      </c>
      <c r="J11" s="98">
        <f>MRS!J11</f>
        <v>770</v>
      </c>
      <c r="K11" s="99"/>
      <c r="O11" s="100"/>
      <c r="P11" s="100"/>
      <c r="R11" s="100"/>
    </row>
    <row r="12" spans="1:18" ht="105" customHeight="1">
      <c r="A12" s="21">
        <f>+MRS!A12</f>
        <v>7</v>
      </c>
      <c r="B12" s="151" t="str">
        <f>MRS!B12</f>
        <v>Angle Bar CS</v>
      </c>
      <c r="C12" s="152"/>
      <c r="D12" s="153" t="str">
        <f>MRS!D12</f>
        <v>50x50x4, 6m</v>
      </c>
      <c r="E12" s="154"/>
      <c r="F12" s="155"/>
      <c r="G12" s="97" t="str">
        <f>MRS!G12</f>
        <v>EA</v>
      </c>
      <c r="H12" s="97">
        <f>MRS!H12</f>
        <v>100</v>
      </c>
      <c r="I12" s="98">
        <f>MRS!I12</f>
        <v>62</v>
      </c>
      <c r="J12" s="98">
        <f>MRS!J12</f>
        <v>6200</v>
      </c>
      <c r="K12" s="99"/>
      <c r="O12" s="100"/>
      <c r="P12" s="100"/>
      <c r="R12" s="100"/>
    </row>
    <row r="13" spans="1:18" ht="105" customHeight="1">
      <c r="A13" s="21">
        <f>+MRS!A13</f>
        <v>8</v>
      </c>
      <c r="B13" s="151" t="str">
        <f>MRS!B13</f>
        <v>Rectangle Bar CS</v>
      </c>
      <c r="C13" s="152"/>
      <c r="D13" s="153" t="str">
        <f>MRS!D13</f>
        <v>80x40x3, 6m</v>
      </c>
      <c r="E13" s="154"/>
      <c r="F13" s="155"/>
      <c r="G13" s="97" t="str">
        <f>MRS!G13</f>
        <v>EA</v>
      </c>
      <c r="H13" s="97">
        <f>MRS!H13</f>
        <v>50</v>
      </c>
      <c r="I13" s="98">
        <f>MRS!I13</f>
        <v>118.9</v>
      </c>
      <c r="J13" s="98">
        <f>MRS!J13</f>
        <v>5945</v>
      </c>
      <c r="K13" s="99"/>
      <c r="O13" s="100"/>
      <c r="P13" s="100"/>
      <c r="R13" s="100"/>
    </row>
    <row r="14" spans="1:18" ht="105" customHeight="1">
      <c r="A14" s="21">
        <f>+MRS!A14</f>
        <v>9</v>
      </c>
      <c r="B14" s="151" t="str">
        <f>MRS!B14</f>
        <v>Rectangle Bar CS</v>
      </c>
      <c r="C14" s="152"/>
      <c r="D14" s="153" t="str">
        <f>MRS!D14</f>
        <v>50x25x3, 6m</v>
      </c>
      <c r="E14" s="154"/>
      <c r="F14" s="155"/>
      <c r="G14" s="97" t="str">
        <f>MRS!G14</f>
        <v>EA</v>
      </c>
      <c r="H14" s="97">
        <f>MRS!H14</f>
        <v>50</v>
      </c>
      <c r="I14" s="98">
        <f>MRS!I14</f>
        <v>76</v>
      </c>
      <c r="J14" s="98">
        <f>MRS!J14</f>
        <v>3800</v>
      </c>
      <c r="K14" s="99"/>
      <c r="O14" s="100"/>
      <c r="P14" s="100"/>
      <c r="R14" s="100"/>
    </row>
    <row r="15" spans="1:18" ht="105" customHeight="1">
      <c r="A15" s="21">
        <f>+MRS!A15</f>
        <v>10</v>
      </c>
      <c r="B15" s="151" t="str">
        <f>MRS!B15</f>
        <v>Rectangle Bar CS</v>
      </c>
      <c r="C15" s="152"/>
      <c r="D15" s="153" t="str">
        <f>MRS!D15</f>
        <v>40x40x3, 6m</v>
      </c>
      <c r="E15" s="154"/>
      <c r="F15" s="155"/>
      <c r="G15" s="97" t="str">
        <f>MRS!G15</f>
        <v>EA</v>
      </c>
      <c r="H15" s="97">
        <f>MRS!H15</f>
        <v>10</v>
      </c>
      <c r="I15" s="98">
        <f>MRS!I15</f>
        <v>81</v>
      </c>
      <c r="J15" s="98">
        <f>MRS!J15</f>
        <v>810</v>
      </c>
      <c r="K15" s="99"/>
      <c r="O15" s="100"/>
      <c r="P15" s="100"/>
      <c r="R15" s="100"/>
    </row>
    <row r="16" spans="1:18" ht="105" customHeight="1">
      <c r="A16" s="21">
        <f>+MRS!A16</f>
        <v>11</v>
      </c>
      <c r="B16" s="151" t="str">
        <f>MRS!B16</f>
        <v>Rectangle Bar CS</v>
      </c>
      <c r="C16" s="152"/>
      <c r="D16" s="153" t="str">
        <f>MRS!D16</f>
        <v>20x20x2, 6m</v>
      </c>
      <c r="E16" s="154"/>
      <c r="F16" s="155"/>
      <c r="G16" s="97" t="str">
        <f>MRS!G16</f>
        <v>EA</v>
      </c>
      <c r="H16" s="97">
        <f>MRS!H16</f>
        <v>120</v>
      </c>
      <c r="I16" s="98">
        <f>MRS!I16</f>
        <v>26.5</v>
      </c>
      <c r="J16" s="98">
        <f>MRS!J16</f>
        <v>3180</v>
      </c>
      <c r="K16" s="99"/>
      <c r="O16" s="100"/>
      <c r="P16" s="100"/>
      <c r="R16" s="100"/>
    </row>
    <row r="17" spans="1:18" ht="105" customHeight="1">
      <c r="A17" s="21">
        <f>+MRS!A17</f>
        <v>12</v>
      </c>
      <c r="B17" s="151" t="str">
        <f>MRS!B17</f>
        <v>Steel Plate CS</v>
      </c>
      <c r="C17" s="152"/>
      <c r="D17" s="153" t="str">
        <f>MRS!D17</f>
        <v>4'x8', 3t</v>
      </c>
      <c r="E17" s="154"/>
      <c r="F17" s="155"/>
      <c r="G17" s="97" t="str">
        <f>MRS!G17</f>
        <v>EA</v>
      </c>
      <c r="H17" s="97">
        <f>MRS!H17</f>
        <v>30</v>
      </c>
      <c r="I17" s="98">
        <f>MRS!I17</f>
        <v>250</v>
      </c>
      <c r="J17" s="98">
        <f>MRS!J17</f>
        <v>7500</v>
      </c>
      <c r="K17" s="99"/>
      <c r="O17" s="100"/>
      <c r="P17" s="100"/>
      <c r="R17" s="100"/>
    </row>
    <row r="18" spans="1:18" ht="105" customHeight="1">
      <c r="A18" s="21">
        <f>+MRS!A18</f>
        <v>13</v>
      </c>
      <c r="B18" s="151" t="str">
        <f>MRS!B18</f>
        <v>Steel Plate CS</v>
      </c>
      <c r="C18" s="152"/>
      <c r="D18" s="153" t="str">
        <f>MRS!D18</f>
        <v>4'x8', 3t</v>
      </c>
      <c r="E18" s="154"/>
      <c r="F18" s="155"/>
      <c r="G18" s="97" t="str">
        <f>MRS!G18</f>
        <v>EA</v>
      </c>
      <c r="H18" s="97">
        <f>MRS!H18</f>
        <v>8</v>
      </c>
      <c r="I18" s="98">
        <f>MRS!I18</f>
        <v>250</v>
      </c>
      <c r="J18" s="98">
        <f>MRS!J18</f>
        <v>2000</v>
      </c>
      <c r="K18" s="99"/>
      <c r="O18" s="100"/>
      <c r="P18" s="100"/>
      <c r="R18" s="100"/>
    </row>
    <row r="19" spans="1:18" ht="105" customHeight="1">
      <c r="A19" s="21">
        <f>+MRS!A19</f>
        <v>14</v>
      </c>
      <c r="B19" s="151" t="str">
        <f>MRS!B19</f>
        <v>Corrugated Sheet</v>
      </c>
      <c r="C19" s="152"/>
      <c r="D19" s="153" t="str">
        <f>MRS!D19</f>
        <v>1X3MX0.32mm</v>
      </c>
      <c r="E19" s="154"/>
      <c r="F19" s="155"/>
      <c r="G19" s="97" t="str">
        <f>MRS!G19</f>
        <v>EA</v>
      </c>
      <c r="H19" s="97">
        <f>MRS!H19</f>
        <v>100</v>
      </c>
      <c r="I19" s="98">
        <f>MRS!I19</f>
        <v>47</v>
      </c>
      <c r="J19" s="98">
        <f>MRS!J19</f>
        <v>4700</v>
      </c>
      <c r="K19" s="99"/>
      <c r="O19" s="100"/>
      <c r="P19" s="100"/>
      <c r="R19" s="100"/>
    </row>
    <row r="20" spans="1:18" ht="105" customHeight="1">
      <c r="A20" s="21">
        <f>+MRS!A20</f>
        <v>15</v>
      </c>
      <c r="B20" s="151" t="str">
        <f>MRS!B20</f>
        <v>Pipe</v>
      </c>
      <c r="C20" s="152"/>
      <c r="D20" s="153" t="str">
        <f>MRS!D20</f>
        <v>A106-B 1/2" S160(4.78t) 6m</v>
      </c>
      <c r="E20" s="154"/>
      <c r="F20" s="155"/>
      <c r="G20" s="97" t="str">
        <f>MRS!G20</f>
        <v>EA</v>
      </c>
      <c r="H20" s="97">
        <f>MRS!H20</f>
        <v>1</v>
      </c>
      <c r="I20" s="98">
        <f>MRS!I20</f>
        <v>190</v>
      </c>
      <c r="J20" s="98">
        <f>MRS!J20</f>
        <v>190</v>
      </c>
      <c r="K20" s="99"/>
      <c r="O20" s="100"/>
      <c r="P20" s="100"/>
      <c r="R20" s="100"/>
    </row>
    <row r="21" spans="1:18" ht="105" customHeight="1">
      <c r="A21" s="21">
        <f>+MRS!A21</f>
        <v>16</v>
      </c>
      <c r="B21" s="151" t="str">
        <f>MRS!B21</f>
        <v>Ordinary plywood</v>
      </c>
      <c r="C21" s="152"/>
      <c r="D21" s="153" t="str">
        <f>MRS!D21</f>
        <v>4'x8', 12t , Indonesia</v>
      </c>
      <c r="E21" s="154"/>
      <c r="F21" s="155"/>
      <c r="G21" s="97" t="str">
        <f>MRS!G21</f>
        <v>EA</v>
      </c>
      <c r="H21" s="97">
        <f>MRS!H21</f>
        <v>50</v>
      </c>
      <c r="I21" s="98">
        <f>MRS!I21</f>
        <v>98</v>
      </c>
      <c r="J21" s="98">
        <f>MRS!J21</f>
        <v>4900</v>
      </c>
      <c r="K21" s="99"/>
      <c r="O21" s="100"/>
      <c r="P21" s="100"/>
      <c r="R21" s="100"/>
    </row>
    <row r="23" spans="1:18" ht="21" customHeight="1">
      <c r="J23" s="117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28" zoomScale="130" zoomScaleNormal="100" zoomScaleSheetLayoutView="130" workbookViewId="0">
      <selection activeCell="Q20" sqref="Q2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135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128</v>
      </c>
      <c r="D9" s="38"/>
      <c r="E9" s="38"/>
    </row>
    <row r="10" spans="2:13" s="38" customFormat="1">
      <c r="B10" s="71"/>
      <c r="C10" s="38" t="s">
        <v>32</v>
      </c>
      <c r="D10" s="75" t="s">
        <v>129</v>
      </c>
      <c r="J10" s="38" t="s">
        <v>33</v>
      </c>
      <c r="K10" s="159">
        <f>MRS!L3</f>
        <v>45780</v>
      </c>
      <c r="L10" s="160"/>
      <c r="M10" s="160"/>
    </row>
    <row r="11" spans="2:13" s="38" customFormat="1">
      <c r="B11" s="71"/>
      <c r="C11" s="74" t="s">
        <v>34</v>
      </c>
      <c r="D11" s="75" t="s">
        <v>130</v>
      </c>
      <c r="J11" s="38" t="s">
        <v>35</v>
      </c>
      <c r="K11" s="161" t="str">
        <f>SUBSTITUTE(SUBSTITUTE(+MRS!A3,"  MRS No : ",""),"-MRS","-PO")</f>
        <v>SAC2-DS-PO-0055</v>
      </c>
      <c r="L11" s="161"/>
      <c r="M11" s="161"/>
    </row>
    <row r="12" spans="2:13" s="38" customFormat="1">
      <c r="B12" s="71"/>
      <c r="C12" s="74" t="s">
        <v>36</v>
      </c>
      <c r="D12" s="38" t="s">
        <v>131</v>
      </c>
      <c r="J12" s="38" t="s">
        <v>37</v>
      </c>
    </row>
    <row r="13" spans="2:13" s="38" customFormat="1">
      <c r="B13" s="71"/>
      <c r="C13" s="76"/>
      <c r="D13" s="75" t="s">
        <v>132</v>
      </c>
      <c r="J13" s="38" t="s">
        <v>38</v>
      </c>
    </row>
    <row r="14" spans="2:13" s="38" customFormat="1">
      <c r="B14" s="71"/>
      <c r="C14" s="118" t="s">
        <v>138</v>
      </c>
      <c r="J14" s="38" t="s">
        <v>39</v>
      </c>
      <c r="K14" s="38" t="s">
        <v>139</v>
      </c>
    </row>
    <row r="15" spans="2:13" s="38" customFormat="1">
      <c r="B15" s="71"/>
      <c r="C15" s="74" t="s">
        <v>133</v>
      </c>
      <c r="J15" s="38" t="s">
        <v>40</v>
      </c>
      <c r="K15" s="77">
        <v>45776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62" t="s">
        <v>41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</row>
    <row r="19" spans="2:13" ht="12" customHeight="1"/>
    <row r="20" spans="2:13" s="31" customFormat="1" ht="12" customHeight="1">
      <c r="B20" s="163" t="s">
        <v>42</v>
      </c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</row>
    <row r="21" spans="2:13" s="31" customFormat="1" ht="12" customHeight="1">
      <c r="B21" s="163" t="s">
        <v>43</v>
      </c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</row>
    <row r="22" spans="2:13" s="31" customFormat="1" ht="12" customHeight="1">
      <c r="B22" s="163" t="s">
        <v>44</v>
      </c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</row>
    <row r="23" spans="2:13" ht="6.95" customHeight="1"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</row>
    <row r="24" spans="2:13" ht="6.95" customHeight="1"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137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11">
        <f>'PO 2nd page'!G22</f>
        <v>85500</v>
      </c>
      <c r="G29" s="111"/>
      <c r="H29" s="111"/>
      <c r="M29" s="33"/>
    </row>
    <row r="30" spans="2:13" ht="15" customHeight="1">
      <c r="B30" s="32"/>
      <c r="C30" s="26" t="s">
        <v>50</v>
      </c>
      <c r="E30" s="26" t="s">
        <v>49</v>
      </c>
      <c r="F30" s="111">
        <f>'PO 2nd page'!G23</f>
        <v>12825</v>
      </c>
      <c r="G30" s="111"/>
      <c r="H30" s="111"/>
    </row>
    <row r="31" spans="2:13" ht="15" customHeight="1">
      <c r="B31" s="32"/>
      <c r="C31" s="26" t="s">
        <v>51</v>
      </c>
      <c r="D31" s="34"/>
      <c r="E31" s="26" t="s">
        <v>49</v>
      </c>
      <c r="F31" s="111">
        <f>'PO 2nd page'!G24</f>
        <v>98325</v>
      </c>
      <c r="G31" s="111"/>
      <c r="H31" s="111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Shashank Kamra</v>
      </c>
    </row>
    <row r="60" spans="1:16" ht="18" customHeight="1">
      <c r="B60" s="26" t="s">
        <v>71</v>
      </c>
      <c r="J60" s="26" t="s">
        <v>72</v>
      </c>
      <c r="K60" s="22" t="s">
        <v>134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136</v>
      </c>
      <c r="J62" s="166" t="str">
        <f>C9</f>
        <v>JSAJ(Jassim Saif Amer Aljaberi Trading Est.)</v>
      </c>
      <c r="K62" s="166"/>
      <c r="L62" s="166"/>
      <c r="M62" s="166"/>
    </row>
    <row r="63" spans="1:16" ht="27.95" customHeight="1">
      <c r="A63" s="158" t="s">
        <v>75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topLeftCell="A9" zoomScaleSheetLayoutView="100" zoomScalePageLayoutView="55" workbookViewId="0">
      <selection activeCell="L18" sqref="L1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SAC2-DS-PO-0055</v>
      </c>
      <c r="C2" s="173" t="s">
        <v>77</v>
      </c>
      <c r="D2" s="173"/>
      <c r="E2" s="173"/>
      <c r="F2" s="173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45780</v>
      </c>
      <c r="C3" s="50"/>
      <c r="D3" s="51"/>
      <c r="E3" s="174" t="s">
        <v>79</v>
      </c>
      <c r="F3" s="174"/>
      <c r="G3" s="174"/>
      <c r="H3" s="174"/>
      <c r="I3" s="52"/>
    </row>
    <row r="4" spans="1:13" s="54" customFormat="1" ht="28.5" customHeight="1" thickTop="1">
      <c r="A4" s="175" t="s">
        <v>80</v>
      </c>
      <c r="B4" s="177" t="s">
        <v>81</v>
      </c>
      <c r="C4" s="178"/>
      <c r="D4" s="181" t="s">
        <v>82</v>
      </c>
      <c r="E4" s="181" t="s">
        <v>83</v>
      </c>
      <c r="F4" s="183" t="str">
        <f>'PO 1st page'!C9</f>
        <v>JSAJ(Jassim Saif Amer Aljaberi Trading Est.)</v>
      </c>
      <c r="G4" s="184"/>
      <c r="H4" s="185" t="s">
        <v>84</v>
      </c>
      <c r="K4" s="55"/>
      <c r="L4" s="55"/>
      <c r="M4" s="55"/>
    </row>
    <row r="5" spans="1:13" s="54" customFormat="1" ht="21.95" customHeight="1">
      <c r="A5" s="176"/>
      <c r="B5" s="179"/>
      <c r="C5" s="180"/>
      <c r="D5" s="182"/>
      <c r="E5" s="182"/>
      <c r="F5" s="56" t="s">
        <v>85</v>
      </c>
      <c r="G5" s="56" t="s">
        <v>51</v>
      </c>
      <c r="H5" s="186"/>
      <c r="K5" s="55"/>
      <c r="L5" s="55"/>
      <c r="M5" s="55"/>
    </row>
    <row r="6" spans="1:13" s="54" customFormat="1" ht="32.1" customHeight="1">
      <c r="A6" s="84">
        <f t="shared" ref="A6:A21" si="0">ROW(A1)</f>
        <v>1</v>
      </c>
      <c r="B6" s="171" t="str">
        <f>MRS!B6&amp;" "&amp;MRS!D6</f>
        <v>H-Beam CS 100x100x6x8, 12m</v>
      </c>
      <c r="C6" s="172"/>
      <c r="D6" s="85" t="str">
        <f>MRS!G6</f>
        <v>EA</v>
      </c>
      <c r="E6" s="86">
        <f>MRS!H6</f>
        <v>30</v>
      </c>
      <c r="F6" s="87">
        <f>+'MRS LIST'!I6</f>
        <v>800</v>
      </c>
      <c r="G6" s="88">
        <f>+'MRS LIST'!J6</f>
        <v>24000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71" t="str">
        <f>MRS!B7&amp;" "&amp;MRS!D7</f>
        <v>H-Beam CS 100x100x6x8, 12m</v>
      </c>
      <c r="C7" s="172"/>
      <c r="D7" s="85" t="str">
        <f>+'MRS LIST'!G7</f>
        <v>EA</v>
      </c>
      <c r="E7" s="86">
        <f>+'MRS LIST'!H7</f>
        <v>5</v>
      </c>
      <c r="F7" s="87">
        <f>+'MRS LIST'!I7</f>
        <v>800</v>
      </c>
      <c r="G7" s="88">
        <f>+'MRS LIST'!J7</f>
        <v>4000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71" t="str">
        <f>MRS!B8&amp;" "&amp;MRS!D8</f>
        <v>H-Beam CS 150x150x7x10, 12m</v>
      </c>
      <c r="C8" s="172"/>
      <c r="D8" s="85" t="str">
        <f>+'MRS LIST'!G8</f>
        <v>EA</v>
      </c>
      <c r="E8" s="86">
        <f>+'MRS LIST'!H8</f>
        <v>10</v>
      </c>
      <c r="F8" s="87">
        <f>+'MRS LIST'!I8</f>
        <v>1480</v>
      </c>
      <c r="G8" s="88">
        <f>+'MRS LIST'!J8</f>
        <v>14800</v>
      </c>
      <c r="H8" s="89"/>
      <c r="K8" s="55"/>
      <c r="L8" s="55"/>
      <c r="M8" s="55"/>
    </row>
    <row r="9" spans="1:13" s="54" customFormat="1" ht="32.1" customHeight="1">
      <c r="A9" s="92">
        <f t="shared" si="0"/>
        <v>4</v>
      </c>
      <c r="B9" s="171" t="str">
        <f>MRS!B9&amp;" "&amp;MRS!D9</f>
        <v>Channel CS 100x50x5x7.5, 6m</v>
      </c>
      <c r="C9" s="172"/>
      <c r="D9" s="85" t="str">
        <f>+'MRS LIST'!G9</f>
        <v>EA</v>
      </c>
      <c r="E9" s="86">
        <f>+'MRS LIST'!H9</f>
        <v>10</v>
      </c>
      <c r="F9" s="87">
        <f>+'MRS LIST'!I9</f>
        <v>198</v>
      </c>
      <c r="G9" s="88">
        <f>+'MRS LIST'!J9</f>
        <v>1980</v>
      </c>
      <c r="H9" s="93"/>
    </row>
    <row r="10" spans="1:13" s="54" customFormat="1" ht="32.1" customHeight="1">
      <c r="A10" s="92">
        <f t="shared" si="0"/>
        <v>5</v>
      </c>
      <c r="B10" s="171" t="str">
        <f>MRS!B10&amp;" "&amp;MRS!D10</f>
        <v>Angle Bar CS 75x75x6, 6m</v>
      </c>
      <c r="C10" s="172"/>
      <c r="D10" s="85" t="str">
        <f>+'MRS LIST'!G10</f>
        <v>EA</v>
      </c>
      <c r="E10" s="86">
        <f>+'MRS LIST'!H10</f>
        <v>5</v>
      </c>
      <c r="F10" s="87">
        <f>+'MRS LIST'!I10</f>
        <v>145</v>
      </c>
      <c r="G10" s="88">
        <f>+'MRS LIST'!J10</f>
        <v>725</v>
      </c>
      <c r="H10" s="93"/>
    </row>
    <row r="11" spans="1:13" s="54" customFormat="1" ht="32.1" customHeight="1">
      <c r="A11" s="92">
        <f t="shared" si="0"/>
        <v>6</v>
      </c>
      <c r="B11" s="171" t="str">
        <f>MRS!B11&amp;" "&amp;MRS!D11</f>
        <v>Angle Bar CS 50x50x5, 6m</v>
      </c>
      <c r="C11" s="172"/>
      <c r="D11" s="85" t="str">
        <f>+'MRS LIST'!G11</f>
        <v>EA</v>
      </c>
      <c r="E11" s="86">
        <f>+'MRS LIST'!H11</f>
        <v>10</v>
      </c>
      <c r="F11" s="87">
        <f>+'MRS LIST'!I11</f>
        <v>77</v>
      </c>
      <c r="G11" s="88">
        <f>+'MRS LIST'!J11</f>
        <v>770</v>
      </c>
      <c r="H11" s="93"/>
    </row>
    <row r="12" spans="1:13" s="54" customFormat="1" ht="32.1" customHeight="1">
      <c r="A12" s="92">
        <f t="shared" si="0"/>
        <v>7</v>
      </c>
      <c r="B12" s="171" t="str">
        <f>MRS!B12&amp;" "&amp;MRS!D12</f>
        <v>Angle Bar CS 50x50x4, 6m</v>
      </c>
      <c r="C12" s="172"/>
      <c r="D12" s="85" t="str">
        <f>+'MRS LIST'!G12</f>
        <v>EA</v>
      </c>
      <c r="E12" s="86">
        <f>+'MRS LIST'!H12</f>
        <v>100</v>
      </c>
      <c r="F12" s="87">
        <f>+'MRS LIST'!I12</f>
        <v>62</v>
      </c>
      <c r="G12" s="88">
        <f>+'MRS LIST'!J12</f>
        <v>6200</v>
      </c>
      <c r="H12" s="93"/>
    </row>
    <row r="13" spans="1:13" s="54" customFormat="1" ht="32.1" customHeight="1">
      <c r="A13" s="92">
        <f t="shared" si="0"/>
        <v>8</v>
      </c>
      <c r="B13" s="171" t="str">
        <f>MRS!B13&amp;" "&amp;MRS!D13</f>
        <v>Rectangle Bar CS 80x40x3, 6m</v>
      </c>
      <c r="C13" s="172"/>
      <c r="D13" s="85" t="str">
        <f>+'MRS LIST'!G13</f>
        <v>EA</v>
      </c>
      <c r="E13" s="86">
        <f>+'MRS LIST'!H13</f>
        <v>50</v>
      </c>
      <c r="F13" s="87">
        <f>+'MRS LIST'!I13</f>
        <v>118.9</v>
      </c>
      <c r="G13" s="88">
        <f>+'MRS LIST'!J13</f>
        <v>5945</v>
      </c>
      <c r="H13" s="93"/>
    </row>
    <row r="14" spans="1:13" s="54" customFormat="1" ht="32.1" customHeight="1">
      <c r="A14" s="92">
        <f t="shared" si="0"/>
        <v>9</v>
      </c>
      <c r="B14" s="171" t="str">
        <f>MRS!B14&amp;" "&amp;MRS!D14</f>
        <v>Rectangle Bar CS 50x25x3, 6m</v>
      </c>
      <c r="C14" s="172"/>
      <c r="D14" s="85" t="str">
        <f>+'MRS LIST'!G14</f>
        <v>EA</v>
      </c>
      <c r="E14" s="86">
        <f>+'MRS LIST'!H14</f>
        <v>50</v>
      </c>
      <c r="F14" s="87">
        <f>+'MRS LIST'!I14</f>
        <v>76</v>
      </c>
      <c r="G14" s="88">
        <f>+'MRS LIST'!J14</f>
        <v>3800</v>
      </c>
      <c r="H14" s="93"/>
      <c r="J14" s="54" t="s">
        <v>140</v>
      </c>
    </row>
    <row r="15" spans="1:13" s="54" customFormat="1" ht="32.1" customHeight="1">
      <c r="A15" s="92">
        <f t="shared" si="0"/>
        <v>10</v>
      </c>
      <c r="B15" s="171" t="str">
        <f>MRS!B15&amp;" "&amp;MRS!D15</f>
        <v>Rectangle Bar CS 40x40x3, 6m</v>
      </c>
      <c r="C15" s="172"/>
      <c r="D15" s="85" t="str">
        <f>+'MRS LIST'!G15</f>
        <v>EA</v>
      </c>
      <c r="E15" s="86">
        <f>+'MRS LIST'!H15</f>
        <v>10</v>
      </c>
      <c r="F15" s="87">
        <f>+'MRS LIST'!I15</f>
        <v>81</v>
      </c>
      <c r="G15" s="88">
        <f>+'MRS LIST'!J15</f>
        <v>810</v>
      </c>
      <c r="H15" s="93"/>
    </row>
    <row r="16" spans="1:13" s="54" customFormat="1" ht="32.1" customHeight="1">
      <c r="A16" s="92">
        <f t="shared" si="0"/>
        <v>11</v>
      </c>
      <c r="B16" s="171" t="str">
        <f>MRS!B16&amp;" "&amp;MRS!D16</f>
        <v>Rectangle Bar CS 20x20x2, 6m</v>
      </c>
      <c r="C16" s="172"/>
      <c r="D16" s="85" t="str">
        <f>+'MRS LIST'!G16</f>
        <v>EA</v>
      </c>
      <c r="E16" s="86">
        <f>+'MRS LIST'!H16</f>
        <v>120</v>
      </c>
      <c r="F16" s="87">
        <f>+'MRS LIST'!I16</f>
        <v>26.5</v>
      </c>
      <c r="G16" s="88">
        <f>+'MRS LIST'!J16</f>
        <v>3180</v>
      </c>
      <c r="H16" s="93"/>
    </row>
    <row r="17" spans="1:13" s="54" customFormat="1" ht="32.1" customHeight="1">
      <c r="A17" s="92">
        <f t="shared" si="0"/>
        <v>12</v>
      </c>
      <c r="B17" s="171" t="str">
        <f>MRS!B17&amp;" "&amp;MRS!D17</f>
        <v>Steel Plate CS 4'x8', 3t</v>
      </c>
      <c r="C17" s="172"/>
      <c r="D17" s="85" t="str">
        <f>+'MRS LIST'!G17</f>
        <v>EA</v>
      </c>
      <c r="E17" s="86">
        <f>+'MRS LIST'!H17</f>
        <v>30</v>
      </c>
      <c r="F17" s="87">
        <f>+'MRS LIST'!I17</f>
        <v>250</v>
      </c>
      <c r="G17" s="88">
        <f>+'MRS LIST'!J17</f>
        <v>7500</v>
      </c>
      <c r="H17" s="93"/>
    </row>
    <row r="18" spans="1:13" s="54" customFormat="1" ht="32.1" customHeight="1">
      <c r="A18" s="92">
        <f t="shared" si="0"/>
        <v>13</v>
      </c>
      <c r="B18" s="171" t="str">
        <f>MRS!B18&amp;" "&amp;MRS!D18</f>
        <v>Steel Plate CS 4'x8', 3t</v>
      </c>
      <c r="C18" s="172"/>
      <c r="D18" s="85" t="str">
        <f>+'MRS LIST'!G18</f>
        <v>EA</v>
      </c>
      <c r="E18" s="86">
        <f>+'MRS LIST'!H18</f>
        <v>8</v>
      </c>
      <c r="F18" s="87">
        <f>+'MRS LIST'!I18</f>
        <v>250</v>
      </c>
      <c r="G18" s="88">
        <f>+'MRS LIST'!J18</f>
        <v>2000</v>
      </c>
      <c r="H18" s="93"/>
    </row>
    <row r="19" spans="1:13" s="54" customFormat="1" ht="32.1" customHeight="1">
      <c r="A19" s="92">
        <f t="shared" si="0"/>
        <v>14</v>
      </c>
      <c r="B19" s="171" t="str">
        <f>MRS!B19&amp;" "&amp;MRS!D19</f>
        <v>Corrugated Sheet 1X3MX0.32mm</v>
      </c>
      <c r="C19" s="172"/>
      <c r="D19" s="85" t="str">
        <f>+'MRS LIST'!G19</f>
        <v>EA</v>
      </c>
      <c r="E19" s="86">
        <f>+'MRS LIST'!H19</f>
        <v>100</v>
      </c>
      <c r="F19" s="87">
        <f>+'MRS LIST'!I19</f>
        <v>47</v>
      </c>
      <c r="G19" s="88">
        <f>+'MRS LIST'!J19</f>
        <v>4700</v>
      </c>
      <c r="H19" s="93"/>
    </row>
    <row r="20" spans="1:13" s="54" customFormat="1" ht="32.1" customHeight="1">
      <c r="A20" s="92">
        <f t="shared" si="0"/>
        <v>15</v>
      </c>
      <c r="B20" s="171" t="str">
        <f>MRS!B20&amp;" "&amp;MRS!D20</f>
        <v>Pipe A106-B 1/2" S160(4.78t) 6m</v>
      </c>
      <c r="C20" s="172"/>
      <c r="D20" s="85" t="str">
        <f>+'MRS LIST'!G20</f>
        <v>EA</v>
      </c>
      <c r="E20" s="86">
        <f>+'MRS LIST'!H20</f>
        <v>1</v>
      </c>
      <c r="F20" s="87">
        <f>+'MRS LIST'!I20</f>
        <v>190</v>
      </c>
      <c r="G20" s="88">
        <f>+'MRS LIST'!J20</f>
        <v>190</v>
      </c>
      <c r="H20" s="93"/>
    </row>
    <row r="21" spans="1:13" s="54" customFormat="1" ht="32.1" customHeight="1">
      <c r="A21" s="92">
        <f t="shared" si="0"/>
        <v>16</v>
      </c>
      <c r="B21" s="171" t="str">
        <f>MRS!B21&amp;" "&amp;MRS!D21</f>
        <v>Ordinary plywood 4'x8', 12t , Indonesia</v>
      </c>
      <c r="C21" s="172"/>
      <c r="D21" s="85" t="str">
        <f>+'MRS LIST'!G21</f>
        <v>EA</v>
      </c>
      <c r="E21" s="86">
        <f>+'MRS LIST'!H21</f>
        <v>50</v>
      </c>
      <c r="F21" s="87">
        <f>+'MRS LIST'!I21</f>
        <v>98</v>
      </c>
      <c r="G21" s="88">
        <f>+'MRS LIST'!J21</f>
        <v>4900</v>
      </c>
      <c r="H21" s="93"/>
    </row>
    <row r="22" spans="1:13" s="54" customFormat="1" ht="23.1" customHeight="1">
      <c r="A22" s="167" t="s">
        <v>86</v>
      </c>
      <c r="B22" s="168"/>
      <c r="C22" s="168"/>
      <c r="D22" s="168"/>
      <c r="E22" s="168"/>
      <c r="F22" s="168"/>
      <c r="G22" s="57">
        <f>SUM(G6:G21)</f>
        <v>85500</v>
      </c>
      <c r="H22" s="58"/>
    </row>
    <row r="23" spans="1:13" s="54" customFormat="1" ht="23.1" customHeight="1">
      <c r="A23" s="167" t="s">
        <v>50</v>
      </c>
      <c r="B23" s="168"/>
      <c r="C23" s="168"/>
      <c r="D23" s="168"/>
      <c r="E23" s="168"/>
      <c r="F23" s="168"/>
      <c r="G23" s="57">
        <f>+G22*0.15</f>
        <v>12825</v>
      </c>
      <c r="H23" s="58"/>
    </row>
    <row r="24" spans="1:13" s="54" customFormat="1" ht="24.95" customHeight="1" thickBot="1">
      <c r="A24" s="169" t="s">
        <v>87</v>
      </c>
      <c r="B24" s="170"/>
      <c r="C24" s="170"/>
      <c r="D24" s="170"/>
      <c r="E24" s="170"/>
      <c r="F24" s="170"/>
      <c r="G24" s="59">
        <f>G23+G22</f>
        <v>98325</v>
      </c>
      <c r="H24" s="60"/>
    </row>
    <row r="25" spans="1:13" ht="15.75" thickTop="1">
      <c r="A25" s="61" t="str">
        <f>" 1) Above Price are as per your quotation with ref "&amp;'PO 1st page'!K14</f>
        <v xml:space="preserve"> 1) Above Price are as per your quotation with ref Q-20253157</v>
      </c>
      <c r="B25" s="62"/>
      <c r="C25" s="62"/>
      <c r="D25" s="63"/>
      <c r="E25" s="63"/>
      <c r="F25" s="63"/>
      <c r="G25" s="63"/>
      <c r="H25" s="63"/>
    </row>
    <row r="26" spans="1:13" ht="15">
      <c r="A26" s="64" t="s">
        <v>88</v>
      </c>
      <c r="B26" s="65"/>
      <c r="C26" s="65"/>
      <c r="D26" s="66"/>
      <c r="E26" s="66"/>
      <c r="F26" s="66"/>
      <c r="G26" s="66"/>
      <c r="H26" s="66"/>
      <c r="I26" s="67"/>
    </row>
    <row r="27" spans="1:13" ht="15.75">
      <c r="A27" s="68"/>
    </row>
    <row r="28" spans="1:13">
      <c r="A28" s="158" t="s">
        <v>89</v>
      </c>
      <c r="B28" s="158"/>
      <c r="C28" s="158"/>
      <c r="D28" s="158"/>
      <c r="E28" s="158"/>
      <c r="F28" s="158"/>
      <c r="G28" s="158"/>
      <c r="H28" s="158"/>
      <c r="I28" s="69"/>
      <c r="J28" s="69"/>
      <c r="K28" s="69"/>
      <c r="L28" s="69"/>
      <c r="M28" s="69"/>
    </row>
    <row r="29" spans="1:13" ht="15.75">
      <c r="A29" s="68"/>
      <c r="C29" s="70"/>
    </row>
    <row r="30" spans="1:13" ht="15.75">
      <c r="A30" s="68"/>
      <c r="C30" s="70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2025-05-05T04:21:51Z</cp:lastPrinted>
  <dcterms:created xsi:type="dcterms:W3CDTF">2024-10-20T11:50:19Z</dcterms:created>
  <dcterms:modified xsi:type="dcterms:W3CDTF">2025-05-05T04:22:59Z</dcterms:modified>
</cp:coreProperties>
</file>