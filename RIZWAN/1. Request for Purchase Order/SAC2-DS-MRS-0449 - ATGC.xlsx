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0432247-C519-4F9F-87AF-9F5E939AC439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LIST'!$A$1:$K$15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6" i="3"/>
  <c r="A7" i="1"/>
  <c r="A8" i="1"/>
  <c r="A9" i="1"/>
  <c r="A10" i="1"/>
  <c r="A11" i="1"/>
  <c r="A12" i="1"/>
  <c r="A13" i="1"/>
  <c r="A14" i="1"/>
  <c r="A15" i="1"/>
  <c r="H6" i="4"/>
  <c r="B15" i="4"/>
  <c r="B14" i="4"/>
  <c r="B13" i="4"/>
  <c r="B12" i="4"/>
  <c r="B11" i="4"/>
  <c r="B10" i="4"/>
  <c r="B9" i="4"/>
  <c r="B8" i="4"/>
  <c r="B7" i="4"/>
  <c r="A15" i="4"/>
  <c r="A14" i="4"/>
  <c r="A13" i="4"/>
  <c r="A12" i="4"/>
  <c r="A11" i="4"/>
  <c r="A10" i="4"/>
  <c r="A9" i="4"/>
  <c r="A8" i="4"/>
  <c r="J6" i="1"/>
  <c r="J16" i="1" s="1"/>
  <c r="B6" i="4"/>
  <c r="A6" i="1"/>
  <c r="E3" i="1"/>
  <c r="F6" i="4"/>
  <c r="E6" i="4"/>
  <c r="D6" i="4"/>
  <c r="I7" i="2" l="1"/>
  <c r="I8" i="2"/>
  <c r="I9" i="2"/>
  <c r="I10" i="2"/>
  <c r="I11" i="2"/>
  <c r="I12" i="2"/>
  <c r="I13" i="2"/>
  <c r="I14" i="2"/>
  <c r="I15" i="2"/>
  <c r="H13" i="2"/>
  <c r="H14" i="2"/>
  <c r="H15" i="2"/>
  <c r="G14" i="2"/>
  <c r="G15" i="2"/>
  <c r="P54" i="3"/>
  <c r="G6" i="4" l="1"/>
  <c r="G16" i="4" s="1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9" i="2"/>
  <c r="A10" i="2"/>
  <c r="A11" i="2"/>
  <c r="A12" i="2"/>
  <c r="A13" i="2"/>
  <c r="A14" i="2"/>
  <c r="A15" i="2"/>
  <c r="J12" i="2"/>
  <c r="J13" i="2"/>
  <c r="J14" i="2"/>
  <c r="J15" i="2"/>
  <c r="J10" i="2" l="1"/>
  <c r="J9" i="2"/>
  <c r="J8" i="2"/>
  <c r="J7" i="2"/>
  <c r="J11" i="2" l="1"/>
  <c r="K67" i="3"/>
  <c r="K10" i="3" l="1"/>
  <c r="A19" i="4" l="1"/>
  <c r="I6" i="2"/>
  <c r="H6" i="2"/>
  <c r="G6" i="2"/>
  <c r="D6" i="2"/>
  <c r="B6" i="2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2"/>
  <c r="A6" i="2"/>
  <c r="J6" i="2" l="1"/>
  <c r="G17" i="4" l="1"/>
  <c r="F30" i="3" s="1"/>
  <c r="F29" i="3"/>
  <c r="G18" i="4" l="1"/>
  <c r="F31" i="3" s="1"/>
</calcChain>
</file>

<file path=xl/sharedStrings.xml><?xml version="1.0" encoding="utf-8"?>
<sst xmlns="http://schemas.openxmlformats.org/spreadsheetml/2006/main" count="163" uniqueCount="134">
  <si>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</si>
  <si>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</si>
  <si>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</si>
  <si>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</si>
  <si>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</si>
  <si>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</si>
  <si>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</si>
  <si>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</si>
  <si>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</si>
  <si>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</si>
  <si>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</si>
  <si>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</si>
  <si>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</si>
  <si>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</si>
  <si>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</si>
  <si>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</si>
  <si>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</si>
  <si>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</si>
  <si>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</si>
  <si>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</si>
  <si>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</si>
  <si>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</si>
  <si>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</si>
  <si>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</si>
  <si>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</si>
  <si>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</si>
  <si>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</si>
  <si>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</si>
  <si>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</si>
  <si>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</si>
  <si>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</si>
  <si>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</si>
  <si>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</si>
  <si>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</si>
  <si>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</si>
  <si>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</si>
  <si>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</si>
  <si>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</si>
  <si>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</si>
  <si>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</si>
  <si>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</si>
  <si>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</si>
  <si>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</si>
  <si>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</si>
  <si>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</si>
  <si>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</si>
  <si>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</si>
  <si>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</si>
  <si>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</si>
  <si>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</si>
  <si>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</si>
  <si>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</si>
  <si>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</si>
  <si>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</si>
  <si>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</si>
  <si>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</si>
  <si>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</si>
  <si>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</si>
  <si>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</si>
  <si>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</si>
  <si>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</si>
  <si>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</si>
  <si>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</si>
  <si>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</si>
  <si>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</si>
  <si>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</si>
  <si>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</si>
  <si>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</si>
  <si>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</si>
  <si>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</si>
  <si>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</si>
  <si>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</si>
  <si>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</si>
  <si>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</si>
  <si>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</si>
  <si>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</si>
  <si>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</si>
  <si>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</si>
  <si>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</si>
  <si>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</si>
  <si>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</si>
  <si>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</si>
  <si>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</si>
  <si>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</si>
  <si>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</si>
  <si>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</si>
  <si>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</si>
  <si>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</si>
  <si>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</si>
  <si>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</si>
  <si>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</si>
  <si>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</si>
  <si>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</si>
  <si>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</si>
  <si>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</si>
  <si>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</si>
  <si>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</si>
  <si>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</si>
  <si>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</si>
  <si>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</si>
  <si>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</si>
  <si>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</si>
  <si>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</si>
  <si>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</si>
  <si>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</si>
  <si>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</si>
  <si>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</si>
  <si>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</si>
  <si>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</si>
  <si>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</si>
  <si>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</si>
  <si>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</si>
  <si>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NATIONAL COMMERCIAL BANK</t>
  </si>
  <si>
    <t>04161114000110</t>
  </si>
  <si>
    <t>SA61 1000 0004 1611 1400 0110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</si>
  <si>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</si>
  <si>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</si>
  <si>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</si>
  <si>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</si>
  <si>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</si>
  <si>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</si>
  <si>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</si>
  <si>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</si>
  <si>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</si>
  <si>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</si>
  <si>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</si>
  <si>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</si>
  <si>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</si>
  <si>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</si>
  <si>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-MRS-0449</t>
    </r>
  </si>
  <si>
    <t>Mobile Phone</t>
  </si>
  <si>
    <t>V91S plus without camera &amp; GPS RAM 128 GB, 4G</t>
  </si>
  <si>
    <t>QUO-MAT-26080802</t>
  </si>
  <si>
    <t>ALROMOZ ALFANIAH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</si>
</sst>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0" fontId="25" fillId="3" borderId="0" xfId="5" quotePrefix="1" applyFont="1" applyFill="1" applyAlignment="1">
      <alignment horizontal="left"/>
    </xf>
    <xf numFmtId="171" fontId="52" fillId="3" borderId="0" xfId="5" applyNumberFormat="1" applyFont="1" applyFill="1"/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3" fillId="0" borderId="15" xfId="0" applyFont="1" applyBorder="1">
      <alignment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0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4" fontId="58" fillId="0" borderId="7" xfId="3" applyNumberFormat="1" applyFont="1" applyBorder="1" applyAlignment="1">
      <alignment horizontal="right"/>
    </xf>
    <xf numFmtId="0" fontId="2" fillId="0" borderId="12" xfId="0" quotePrefix="1" applyFont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5" fillId="2" borderId="36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1022685</xdr:colOff>
          <xdr:row>17</xdr:row>
          <xdr:rowOff>33589</xdr:rowOff>
        </xdr:from>
        <xdr:to>
          <xdr:col>11</xdr:col>
          <xdr:colOff>1667879</xdr:colOff>
          <xdr:row>23</xdr:row>
          <xdr:rowOff>271714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E1C5276-2516-56BF-4667-0CE5A9A0BB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14764" y="4806115"/>
              <a:ext cx="8916904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P13" sqref="P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28515625" style="2" customWidth="1"/>
    <col min="20" max="22" width="13.5703125" style="2" customWidth="1"/>
    <col min="23" max="23" width="8.42578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1" t="s">
        <v>127</v>
      </c>
      <c r="B1" s="122"/>
      <c r="C1" s="92"/>
      <c r="D1" s="92"/>
      <c r="E1" s="92"/>
      <c r="F1" s="92"/>
      <c r="G1" s="1"/>
      <c r="J1" s="152" t="s">
        <v>81</v>
      </c>
      <c r="K1" s="153"/>
      <c r="L1" s="154"/>
    </row>
    <row r="2" spans="1:19" ht="20.100000000000001" customHeight="1">
      <c r="A2" s="3" t="s">
        <v>1</v>
      </c>
      <c r="B2" s="86"/>
      <c r="C2" s="86"/>
      <c r="D2" s="3" t="s">
        <v>128</v>
      </c>
      <c r="E2" s="86"/>
      <c r="F2" s="86"/>
      <c r="G2" s="86"/>
      <c r="H2" s="86"/>
      <c r="I2" s="4"/>
      <c r="J2" s="155" t="s">
        <v>92</v>
      </c>
      <c r="K2" s="156"/>
      <c r="L2" s="157"/>
    </row>
    <row r="3" spans="1:19" ht="20.100000000000001" customHeight="1">
      <c r="A3" s="3" t="s">
        <v>129</v>
      </c>
      <c r="B3" s="86"/>
      <c r="C3" s="86"/>
      <c r="D3" s="86"/>
      <c r="E3" s="158">
        <f>+L3+3</f>
        <v>46272</v>
      </c>
      <c r="F3" s="158"/>
      <c r="G3" s="158"/>
      <c r="H3" s="158"/>
      <c r="I3" s="158"/>
      <c r="J3" s="86"/>
      <c r="K3" s="86"/>
      <c r="L3" s="123">
        <v>46269</v>
      </c>
      <c r="M3" s="4"/>
    </row>
    <row r="4" spans="1:19" ht="21.75" customHeight="1">
      <c r="A4" s="150" t="s">
        <v>2</v>
      </c>
      <c r="B4" s="151" t="s">
        <v>3</v>
      </c>
      <c r="C4" s="151"/>
      <c r="D4" s="150" t="s">
        <v>4</v>
      </c>
      <c r="E4" s="150"/>
      <c r="F4" s="150"/>
      <c r="G4" s="151" t="s">
        <v>5</v>
      </c>
      <c r="H4" s="150" t="s">
        <v>6</v>
      </c>
      <c r="I4" s="150" t="s">
        <v>85</v>
      </c>
      <c r="J4" s="150" t="s">
        <v>86</v>
      </c>
      <c r="K4" s="150" t="s">
        <v>0</v>
      </c>
      <c r="L4" s="151" t="s">
        <v>7</v>
      </c>
    </row>
    <row r="5" spans="1:19" ht="21.75" customHeight="1">
      <c r="A5" s="150"/>
      <c r="B5" s="151"/>
      <c r="C5" s="151"/>
      <c r="D5" s="150"/>
      <c r="E5" s="150"/>
      <c r="F5" s="150"/>
      <c r="G5" s="151"/>
      <c r="H5" s="150"/>
      <c r="I5" s="150"/>
      <c r="J5" s="150"/>
      <c r="K5" s="150"/>
      <c r="L5" s="151"/>
    </row>
    <row r="6" spans="1:19" ht="19.5" customHeight="1">
      <c r="A6" s="96">
        <f t="shared" ref="A6:A15" si="0">ROW(A1)</f>
        <v>1</v>
      </c>
      <c r="B6" s="111" t="s">
        <v>130</v>
      </c>
      <c r="C6" s="112"/>
      <c r="D6" s="114" t="s">
        <v>131</v>
      </c>
      <c r="E6" s="114"/>
      <c r="F6" s="112"/>
      <c r="G6" s="97" t="s">
        <v>88</v>
      </c>
      <c r="H6" s="98">
        <v>6</v>
      </c>
      <c r="I6" s="99">
        <v>880</v>
      </c>
      <c r="J6" s="99">
        <f>+I6*H6</f>
        <v>5280</v>
      </c>
      <c r="K6" s="100" t="s">
        <v>89</v>
      </c>
      <c r="L6" s="124" t="s">
        <v>94</v>
      </c>
      <c r="S6" s="91"/>
    </row>
    <row r="7" spans="1:19" ht="19.5" customHeight="1">
      <c r="A7" s="96">
        <f t="shared" si="0"/>
        <v>2</v>
      </c>
      <c r="B7" s="111"/>
      <c r="C7" s="112"/>
      <c r="D7" s="114"/>
      <c r="E7" s="114"/>
      <c r="F7" s="112"/>
      <c r="G7" s="97"/>
      <c r="H7" s="98"/>
      <c r="I7" s="99"/>
      <c r="J7" s="99"/>
      <c r="K7" s="100"/>
      <c r="L7" s="124"/>
      <c r="S7" s="91"/>
    </row>
    <row r="8" spans="1:19" ht="19.5" customHeight="1">
      <c r="A8" s="96">
        <f t="shared" si="0"/>
        <v>3</v>
      </c>
      <c r="B8" s="111"/>
      <c r="C8" s="112"/>
      <c r="D8" s="114"/>
      <c r="E8" s="114"/>
      <c r="F8" s="112"/>
      <c r="G8" s="97"/>
      <c r="H8" s="98"/>
      <c r="I8" s="99"/>
      <c r="J8" s="99"/>
      <c r="K8" s="100"/>
      <c r="L8" s="124"/>
      <c r="S8" s="91"/>
    </row>
    <row r="9" spans="1:19" ht="19.5" customHeight="1">
      <c r="A9" s="96">
        <f t="shared" si="0"/>
        <v>4</v>
      </c>
      <c r="B9" s="111"/>
      <c r="C9" s="112"/>
      <c r="D9" s="114"/>
      <c r="E9" s="114"/>
      <c r="F9" s="112"/>
      <c r="G9" s="97"/>
      <c r="H9" s="98"/>
      <c r="I9" s="99"/>
      <c r="J9" s="99"/>
      <c r="K9" s="100"/>
      <c r="L9" s="124"/>
      <c r="S9" s="91"/>
    </row>
    <row r="10" spans="1:19" ht="19.5" customHeight="1">
      <c r="A10" s="96">
        <f t="shared" si="0"/>
        <v>5</v>
      </c>
      <c r="B10" s="111"/>
      <c r="C10" s="112"/>
      <c r="D10" s="114"/>
      <c r="E10" s="114"/>
      <c r="F10" s="112"/>
      <c r="G10" s="97"/>
      <c r="H10" s="98"/>
      <c r="I10" s="99"/>
      <c r="J10" s="99"/>
      <c r="K10" s="100"/>
      <c r="L10" s="124"/>
      <c r="S10" s="91"/>
    </row>
    <row r="11" spans="1:19" ht="19.5" customHeight="1">
      <c r="A11" s="96">
        <f t="shared" si="0"/>
        <v>6</v>
      </c>
      <c r="B11" s="111"/>
      <c r="C11" s="112"/>
      <c r="D11" s="114"/>
      <c r="E11" s="114"/>
      <c r="F11" s="112"/>
      <c r="G11" s="97"/>
      <c r="H11" s="98"/>
      <c r="I11" s="99"/>
      <c r="J11" s="99"/>
      <c r="K11" s="100"/>
      <c r="L11" s="124"/>
      <c r="S11" s="91"/>
    </row>
    <row r="12" spans="1:19" ht="19.5" customHeight="1">
      <c r="A12" s="96">
        <f t="shared" si="0"/>
        <v>7</v>
      </c>
      <c r="B12" s="111"/>
      <c r="C12" s="112"/>
      <c r="D12" s="114"/>
      <c r="E12" s="114"/>
      <c r="F12" s="112"/>
      <c r="G12" s="97"/>
      <c r="H12" s="98"/>
      <c r="I12" s="99"/>
      <c r="J12" s="99"/>
      <c r="K12" s="100"/>
      <c r="L12" s="124"/>
      <c r="S12" s="91"/>
    </row>
    <row r="13" spans="1:19" ht="19.5" customHeight="1">
      <c r="A13" s="96">
        <f t="shared" si="0"/>
        <v>8</v>
      </c>
      <c r="B13" s="111"/>
      <c r="C13" s="112"/>
      <c r="D13" s="114"/>
      <c r="E13" s="114"/>
      <c r="F13" s="112"/>
      <c r="G13" s="97"/>
      <c r="H13" s="98"/>
      <c r="I13" s="99"/>
      <c r="J13" s="99"/>
      <c r="K13" s="100"/>
      <c r="L13" s="124"/>
      <c r="S13" s="91"/>
    </row>
    <row r="14" spans="1:19" ht="19.5" customHeight="1">
      <c r="A14" s="96">
        <f t="shared" si="0"/>
        <v>9</v>
      </c>
      <c r="B14" s="111"/>
      <c r="C14" s="112"/>
      <c r="D14" s="114"/>
      <c r="E14" s="114"/>
      <c r="F14" s="112"/>
      <c r="G14" s="97"/>
      <c r="H14" s="98"/>
      <c r="I14" s="99"/>
      <c r="J14" s="99"/>
      <c r="K14" s="100"/>
      <c r="L14" s="124"/>
      <c r="S14" s="91"/>
    </row>
    <row r="15" spans="1:19" ht="19.5" customHeight="1">
      <c r="A15" s="96">
        <f t="shared" si="0"/>
        <v>10</v>
      </c>
      <c r="B15" s="111"/>
      <c r="C15" s="112"/>
      <c r="D15" s="114"/>
      <c r="E15" s="114"/>
      <c r="F15" s="112"/>
      <c r="G15" s="97"/>
      <c r="H15" s="98"/>
      <c r="I15" s="99"/>
      <c r="J15" s="99"/>
      <c r="K15" s="100"/>
      <c r="L15" s="124"/>
      <c r="S15" s="91"/>
    </row>
    <row r="16" spans="1:19" ht="19.5" customHeight="1">
      <c r="A16" s="147" t="s">
        <v>8</v>
      </c>
      <c r="B16" s="148"/>
      <c r="C16" s="103"/>
      <c r="D16" s="104"/>
      <c r="E16" s="104"/>
      <c r="F16" s="104"/>
      <c r="G16" s="105"/>
      <c r="H16" s="106"/>
      <c r="I16" s="102" t="s">
        <v>9</v>
      </c>
      <c r="J16" s="99">
        <f>SUM(J6:J15)</f>
        <v>5280</v>
      </c>
      <c r="K16" s="99"/>
      <c r="L16" s="101"/>
    </row>
    <row r="17" spans="1:26" ht="25.5" customHeight="1">
      <c r="A17" s="95" t="s">
        <v>10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 spans="1:26" ht="18" customHeight="1">
      <c r="A18" s="7"/>
      <c r="J18" s="1"/>
      <c r="K18" s="1"/>
      <c r="O18" s="8"/>
      <c r="P18" s="8"/>
      <c r="Q18" s="8"/>
      <c r="R18" s="8"/>
      <c r="S18" s="8"/>
      <c r="T18" s="8"/>
      <c r="U18" s="8"/>
      <c r="V18" s="8"/>
      <c r="W18" s="8"/>
      <c r="Y18" s="138"/>
      <c r="Z18" s="8"/>
    </row>
    <row r="19" spans="1:26" ht="50.1" customHeight="1">
      <c r="Y19" s="139"/>
    </row>
    <row r="20" spans="1:26" ht="15" customHeight="1">
      <c r="O20" s="134" t="s">
        <v>115</v>
      </c>
      <c r="P20" s="140"/>
      <c r="Q20" s="140"/>
      <c r="R20" s="135"/>
      <c r="S20" s="113"/>
      <c r="T20" s="134" t="s">
        <v>116</v>
      </c>
      <c r="U20" s="140"/>
      <c r="V20" s="140"/>
      <c r="W20" s="140"/>
      <c r="X20" s="140"/>
      <c r="Y20" s="135"/>
    </row>
    <row r="21" spans="1:26" ht="15" customHeight="1">
      <c r="O21" s="141" t="s">
        <v>117</v>
      </c>
      <c r="P21" s="143" t="s">
        <v>118</v>
      </c>
      <c r="Q21" s="141" t="s">
        <v>119</v>
      </c>
      <c r="R21" s="143" t="s">
        <v>120</v>
      </c>
      <c r="S21" s="113"/>
      <c r="T21" s="141" t="s">
        <v>121</v>
      </c>
      <c r="U21" s="143" t="s">
        <v>122</v>
      </c>
      <c r="V21" s="134" t="s">
        <v>123</v>
      </c>
      <c r="W21" s="140"/>
      <c r="X21" s="135"/>
      <c r="Y21" s="143" t="s">
        <v>124</v>
      </c>
    </row>
    <row r="22" spans="1:26" ht="18" customHeight="1">
      <c r="O22" s="142"/>
      <c r="P22" s="144"/>
      <c r="Q22" s="142"/>
      <c r="R22" s="144"/>
      <c r="S22" s="115"/>
      <c r="T22" s="142"/>
      <c r="U22" s="144"/>
      <c r="V22" s="10" t="s">
        <v>117</v>
      </c>
      <c r="W22" s="145" t="s">
        <v>125</v>
      </c>
      <c r="X22" s="146"/>
      <c r="Y22" s="144"/>
    </row>
    <row r="23" spans="1:26" ht="50.1" customHeight="1">
      <c r="O23" s="11"/>
      <c r="P23" s="11"/>
      <c r="Q23" s="11"/>
      <c r="R23" s="11"/>
      <c r="S23" s="113"/>
      <c r="T23" s="11"/>
      <c r="U23" s="11"/>
      <c r="V23" s="11"/>
      <c r="W23" s="134"/>
      <c r="X23" s="135"/>
      <c r="Y23" s="116"/>
    </row>
    <row r="24" spans="1:26" ht="36" customHeight="1">
      <c r="W24" s="117"/>
      <c r="X24" s="136" t="s">
        <v>126</v>
      </c>
      <c r="Y24" s="9" t="s">
        <v>124</v>
      </c>
    </row>
    <row r="25" spans="1:26" ht="50.1" customHeight="1">
      <c r="O25" s="118"/>
      <c r="P25" s="118"/>
      <c r="Q25" s="118"/>
      <c r="R25" s="118"/>
      <c r="S25" s="118"/>
      <c r="T25" s="118"/>
      <c r="U25" s="118"/>
      <c r="V25" s="118"/>
      <c r="W25" s="119"/>
      <c r="X25" s="137"/>
      <c r="Y25" s="120"/>
    </row>
    <row r="26" spans="1:26" ht="19.899999999999999" customHeight="1"/>
    <row r="27" spans="1:26" ht="17.45" customHeight="1">
      <c r="O27" s="149"/>
      <c r="P27" s="149"/>
      <c r="Q27" s="149"/>
    </row>
    <row r="28" spans="1:26" ht="19.899999999999999" customHeight="1">
      <c r="O28" s="149"/>
      <c r="P28" s="149"/>
      <c r="Q28" s="149"/>
    </row>
    <row r="29" spans="1:26" ht="14.25">
      <c r="O29" s="8"/>
      <c r="P29" s="8"/>
      <c r="Q29" s="8"/>
    </row>
    <row r="30" spans="1:26" ht="65.099999999999994" customHeight="1"/>
    <row r="31" spans="1:26" ht="14.25">
      <c r="O31" s="8"/>
      <c r="P31" s="8"/>
      <c r="Q31" s="8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3" t="s">
        <v>12</v>
      </c>
    </row>
    <row r="41" spans="15:22" ht="19.899999999999999" customHeight="1">
      <c r="T41" s="144"/>
    </row>
    <row r="42" spans="15:22" ht="64.900000000000006" customHeight="1">
      <c r="T42" s="11"/>
    </row>
    <row r="46" spans="15:22" ht="21" customHeight="1">
      <c r="O46" s="143" t="s">
        <v>12</v>
      </c>
      <c r="P46" s="143" t="s">
        <v>12</v>
      </c>
      <c r="Q46" s="143" t="s">
        <v>12</v>
      </c>
      <c r="T46" s="143" t="s">
        <v>13</v>
      </c>
      <c r="U46" s="143" t="s">
        <v>11</v>
      </c>
      <c r="V46" s="143" t="s">
        <v>12</v>
      </c>
    </row>
    <row r="47" spans="15:22" ht="21" customHeight="1">
      <c r="O47" s="144"/>
      <c r="P47" s="144"/>
      <c r="Q47" s="144"/>
      <c r="T47" s="142"/>
      <c r="U47" s="142"/>
      <c r="V47" s="144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43" t="s">
        <v>12</v>
      </c>
      <c r="P50" s="143" t="s">
        <v>12</v>
      </c>
      <c r="Q50" s="143" t="s">
        <v>12</v>
      </c>
      <c r="T50" s="143" t="s">
        <v>11</v>
      </c>
      <c r="U50" s="143" t="s">
        <v>13</v>
      </c>
      <c r="V50" s="143" t="s">
        <v>12</v>
      </c>
    </row>
    <row r="51" spans="15:22" ht="21" customHeight="1">
      <c r="O51" s="144"/>
      <c r="P51" s="144"/>
      <c r="Q51" s="144"/>
      <c r="T51" s="142"/>
      <c r="U51" s="142"/>
      <c r="V51" s="144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43">
    <mergeCell ref="A4:A5"/>
    <mergeCell ref="B4:C5"/>
    <mergeCell ref="D4:F5"/>
    <mergeCell ref="L4:L5"/>
    <mergeCell ref="J1:L1"/>
    <mergeCell ref="J2:L2"/>
    <mergeCell ref="E3:I3"/>
    <mergeCell ref="G4:G5"/>
    <mergeCell ref="H4:H5"/>
    <mergeCell ref="I4:I5"/>
    <mergeCell ref="J4:J5"/>
    <mergeCell ref="K4:K5"/>
    <mergeCell ref="V46:V47"/>
    <mergeCell ref="O50:O51"/>
    <mergeCell ref="P50:P51"/>
    <mergeCell ref="Q50:Q51"/>
    <mergeCell ref="T50:T51"/>
    <mergeCell ref="U50:U51"/>
    <mergeCell ref="V50:V51"/>
    <mergeCell ref="O46:O47"/>
    <mergeCell ref="P46:P47"/>
    <mergeCell ref="Q46:Q47"/>
    <mergeCell ref="T46:T47"/>
    <mergeCell ref="A16:B16"/>
    <mergeCell ref="P27:P28"/>
    <mergeCell ref="Q27:Q28"/>
    <mergeCell ref="O27:O28"/>
    <mergeCell ref="U46:U47"/>
    <mergeCell ref="T40:T41"/>
    <mergeCell ref="P21:P22"/>
    <mergeCell ref="Q21:Q22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5"/>
  <sheetViews>
    <sheetView showGridLines="0" view="pageBreakPreview" zoomScale="70" zoomScaleNormal="95" zoomScaleSheetLayoutView="70" workbookViewId="0">
      <pane ySplit="5" topLeftCell="A12" activePane="bottomLeft" state="frozen"/>
      <selection activeCell="D30" sqref="D30"/>
      <selection pane="bottomLeft" activeCell="L19" sqref="L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87</v>
      </c>
      <c r="B1" s="85"/>
      <c r="C1" s="85"/>
      <c r="D1" s="85"/>
      <c r="E1" s="85"/>
      <c r="F1" s="85"/>
      <c r="G1" s="1"/>
      <c r="J1" s="152" t="str">
        <f>+MRS!J1</f>
        <v>DAESHIN PLANT</v>
      </c>
      <c r="K1" s="154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3"/>
      <c r="H2" s="13"/>
      <c r="I2" s="13"/>
      <c r="J2" s="155" t="str">
        <f>+MRS!J2</f>
        <v>Subcontract name (SAC2-SC-IK-SMP-01)</v>
      </c>
      <c r="K2" s="157"/>
    </row>
    <row r="3" spans="1:18" ht="24.95" customHeight="1">
      <c r="A3" s="3" t="str">
        <f>+MRS!A3</f>
        <v xml:space="preserve">  MRS No : SAC2-DS-MRS-0449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46269</v>
      </c>
    </row>
    <row r="4" spans="1:18" ht="15.95" customHeight="1">
      <c r="A4" s="164" t="s">
        <v>2</v>
      </c>
      <c r="B4" s="165" t="s">
        <v>14</v>
      </c>
      <c r="C4" s="165"/>
      <c r="D4" s="164" t="s">
        <v>4</v>
      </c>
      <c r="E4" s="164"/>
      <c r="F4" s="164"/>
      <c r="G4" s="165" t="s">
        <v>5</v>
      </c>
      <c r="H4" s="164" t="s">
        <v>82</v>
      </c>
      <c r="I4" s="164" t="s">
        <v>15</v>
      </c>
      <c r="J4" s="164" t="s">
        <v>16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74.25" customHeight="1">
      <c r="A6" s="14">
        <f>+MRS!A6</f>
        <v>1</v>
      </c>
      <c r="B6" s="159" t="str">
        <f>MRS!B6</f>
        <v>Mobile Phone</v>
      </c>
      <c r="C6" s="160"/>
      <c r="D6" s="161" t="str">
        <f>MRS!D6</f>
        <v>V91S plus without camera &amp; GPS RAM 128 GB, 4G</v>
      </c>
      <c r="E6" s="162"/>
      <c r="F6" s="163"/>
      <c r="G6" s="88" t="str">
        <f>MRS!G6</f>
        <v>EA</v>
      </c>
      <c r="H6" s="88">
        <f>MRS!H6</f>
        <v>6</v>
      </c>
      <c r="I6" s="89">
        <f>MRS!I6</f>
        <v>880</v>
      </c>
      <c r="J6" s="89">
        <f>MRS!J6</f>
        <v>5280</v>
      </c>
      <c r="K6" s="90"/>
      <c r="O6" s="91"/>
      <c r="P6" s="91"/>
      <c r="R6" s="91"/>
    </row>
    <row r="7" spans="1:18" ht="74.25" customHeight="1">
      <c r="A7" s="14">
        <f>+MRS!A7</f>
        <v>2</v>
      </c>
      <c r="B7" s="159">
        <f>MRS!B7</f>
        <v>0</v>
      </c>
      <c r="C7" s="160"/>
      <c r="D7" s="161">
        <f>MRS!D7</f>
        <v>0</v>
      </c>
      <c r="E7" s="162"/>
      <c r="F7" s="163"/>
      <c r="G7" s="88">
        <f>MRS!G7</f>
        <v>0</v>
      </c>
      <c r="H7" s="88">
        <f>MRS!H7</f>
        <v>0</v>
      </c>
      <c r="I7" s="89">
        <f>MRS!I7</f>
        <v>0</v>
      </c>
      <c r="J7" s="89">
        <f>MRS!J7</f>
        <v>0</v>
      </c>
      <c r="K7" s="90"/>
      <c r="O7" s="91"/>
      <c r="P7" s="91"/>
      <c r="R7" s="91"/>
    </row>
    <row r="8" spans="1:18" ht="74.25" customHeight="1">
      <c r="A8" s="14">
        <f>+MRS!A8</f>
        <v>3</v>
      </c>
      <c r="B8" s="159">
        <f>MRS!B8</f>
        <v>0</v>
      </c>
      <c r="C8" s="160"/>
      <c r="D8" s="161">
        <f>MRS!D8</f>
        <v>0</v>
      </c>
      <c r="E8" s="162"/>
      <c r="F8" s="163"/>
      <c r="G8" s="88">
        <f>MRS!G8</f>
        <v>0</v>
      </c>
      <c r="H8" s="88">
        <f>MRS!H8</f>
        <v>0</v>
      </c>
      <c r="I8" s="89">
        <f>MRS!I8</f>
        <v>0</v>
      </c>
      <c r="J8" s="89">
        <f>MRS!J8</f>
        <v>0</v>
      </c>
      <c r="K8" s="90"/>
      <c r="O8" s="91"/>
      <c r="P8" s="91"/>
      <c r="R8" s="91"/>
    </row>
    <row r="9" spans="1:18" ht="74.25" customHeight="1">
      <c r="A9" s="14">
        <f>+MRS!A9</f>
        <v>4</v>
      </c>
      <c r="B9" s="159">
        <f>MRS!B9</f>
        <v>0</v>
      </c>
      <c r="C9" s="160"/>
      <c r="D9" s="161">
        <f>MRS!D9</f>
        <v>0</v>
      </c>
      <c r="E9" s="162"/>
      <c r="F9" s="163"/>
      <c r="G9" s="88">
        <f>MRS!G9</f>
        <v>0</v>
      </c>
      <c r="H9" s="88">
        <f>MRS!H9</f>
        <v>0</v>
      </c>
      <c r="I9" s="89">
        <f>MRS!I9</f>
        <v>0</v>
      </c>
      <c r="J9" s="89">
        <f>MRS!J9</f>
        <v>0</v>
      </c>
      <c r="K9" s="90"/>
      <c r="O9" s="91"/>
      <c r="P9" s="91"/>
      <c r="R9" s="91"/>
    </row>
    <row r="10" spans="1:18" ht="74.25" customHeight="1">
      <c r="A10" s="14">
        <f>+MRS!A10</f>
        <v>5</v>
      </c>
      <c r="B10" s="159">
        <f>MRS!B10</f>
        <v>0</v>
      </c>
      <c r="C10" s="160"/>
      <c r="D10" s="161">
        <f>MRS!D10</f>
        <v>0</v>
      </c>
      <c r="E10" s="162"/>
      <c r="F10" s="163"/>
      <c r="G10" s="88">
        <f>MRS!G10</f>
        <v>0</v>
      </c>
      <c r="H10" s="88">
        <f>MRS!H10</f>
        <v>0</v>
      </c>
      <c r="I10" s="89">
        <f>MRS!I10</f>
        <v>0</v>
      </c>
      <c r="J10" s="89">
        <f>MRS!J10</f>
        <v>0</v>
      </c>
      <c r="K10" s="90"/>
      <c r="O10" s="91"/>
      <c r="P10" s="91"/>
      <c r="R10" s="91"/>
    </row>
    <row r="11" spans="1:18" ht="74.25" customHeight="1">
      <c r="A11" s="14">
        <f>+MRS!A11</f>
        <v>6</v>
      </c>
      <c r="B11" s="159">
        <f>MRS!B11</f>
        <v>0</v>
      </c>
      <c r="C11" s="160"/>
      <c r="D11" s="161">
        <f>MRS!D11</f>
        <v>0</v>
      </c>
      <c r="E11" s="162"/>
      <c r="F11" s="163"/>
      <c r="G11" s="88">
        <f>MRS!G11</f>
        <v>0</v>
      </c>
      <c r="H11" s="88">
        <f>MRS!H11</f>
        <v>0</v>
      </c>
      <c r="I11" s="89">
        <f>MRS!I11</f>
        <v>0</v>
      </c>
      <c r="J11" s="89">
        <f>MRS!J11</f>
        <v>0</v>
      </c>
      <c r="K11" s="90"/>
      <c r="O11" s="91"/>
      <c r="P11" s="91"/>
      <c r="R11" s="91"/>
    </row>
    <row r="12" spans="1:18" ht="74.25" customHeight="1">
      <c r="A12" s="14">
        <f>+MRS!A12</f>
        <v>7</v>
      </c>
      <c r="B12" s="159">
        <f>MRS!B12</f>
        <v>0</v>
      </c>
      <c r="C12" s="160"/>
      <c r="D12" s="161">
        <f>MRS!D12</f>
        <v>0</v>
      </c>
      <c r="E12" s="162"/>
      <c r="F12" s="163"/>
      <c r="G12" s="88">
        <f>MRS!G12</f>
        <v>0</v>
      </c>
      <c r="H12" s="88">
        <f>MRS!H12</f>
        <v>0</v>
      </c>
      <c r="I12" s="89">
        <f>MRS!I12</f>
        <v>0</v>
      </c>
      <c r="J12" s="89">
        <f>MRS!J12</f>
        <v>0</v>
      </c>
      <c r="K12" s="90"/>
      <c r="O12" s="91"/>
      <c r="P12" s="91"/>
      <c r="R12" s="91"/>
    </row>
    <row r="13" spans="1:18" ht="74.25" customHeight="1">
      <c r="A13" s="14">
        <f>+MRS!A13</f>
        <v>8</v>
      </c>
      <c r="B13" s="159">
        <f>MRS!B13</f>
        <v>0</v>
      </c>
      <c r="C13" s="160"/>
      <c r="D13" s="161">
        <f>MRS!D13</f>
        <v>0</v>
      </c>
      <c r="E13" s="162"/>
      <c r="F13" s="163"/>
      <c r="G13" s="88">
        <f>MRS!G13</f>
        <v>0</v>
      </c>
      <c r="H13" s="88">
        <f>MRS!H13</f>
        <v>0</v>
      </c>
      <c r="I13" s="89">
        <f>MRS!I13</f>
        <v>0</v>
      </c>
      <c r="J13" s="89">
        <f>MRS!J13</f>
        <v>0</v>
      </c>
      <c r="K13" s="90"/>
      <c r="O13" s="91"/>
      <c r="P13" s="91"/>
      <c r="R13" s="91"/>
    </row>
    <row r="14" spans="1:18" ht="74.25" customHeight="1">
      <c r="A14" s="14">
        <f>+MRS!A14</f>
        <v>9</v>
      </c>
      <c r="B14" s="159">
        <f>MRS!B14</f>
        <v>0</v>
      </c>
      <c r="C14" s="160"/>
      <c r="D14" s="161">
        <f>MRS!D14</f>
        <v>0</v>
      </c>
      <c r="E14" s="162"/>
      <c r="F14" s="163"/>
      <c r="G14" s="88">
        <f>MRS!G14</f>
        <v>0</v>
      </c>
      <c r="H14" s="88">
        <f>MRS!H14</f>
        <v>0</v>
      </c>
      <c r="I14" s="89">
        <f>MRS!I14</f>
        <v>0</v>
      </c>
      <c r="J14" s="89">
        <f>MRS!J14</f>
        <v>0</v>
      </c>
      <c r="K14" s="90"/>
      <c r="O14" s="91"/>
      <c r="P14" s="91"/>
      <c r="R14" s="91"/>
    </row>
    <row r="15" spans="1:18" ht="74.25" customHeight="1">
      <c r="A15" s="14">
        <f>+MRS!A15</f>
        <v>10</v>
      </c>
      <c r="B15" s="159">
        <f>MRS!B15</f>
        <v>0</v>
      </c>
      <c r="C15" s="160"/>
      <c r="D15" s="161">
        <f>MRS!D15</f>
        <v>0</v>
      </c>
      <c r="E15" s="162"/>
      <c r="F15" s="163"/>
      <c r="G15" s="88">
        <f>MRS!G15</f>
        <v>0</v>
      </c>
      <c r="H15" s="88">
        <f>MRS!H15</f>
        <v>0</v>
      </c>
      <c r="I15" s="89">
        <f>MRS!I15</f>
        <v>0</v>
      </c>
      <c r="J15" s="89">
        <f>MRS!J15</f>
        <v>0</v>
      </c>
      <c r="K15" s="90"/>
      <c r="O15" s="91"/>
      <c r="P15" s="91"/>
      <c r="R15" s="91"/>
    </row>
  </sheetData>
  <mergeCells count="30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5:C15"/>
    <mergeCell ref="D15:F15"/>
    <mergeCell ref="B12:C12"/>
    <mergeCell ref="D12:F12"/>
    <mergeCell ref="B13:C13"/>
    <mergeCell ref="D13:F13"/>
    <mergeCell ref="B14:C14"/>
    <mergeCell ref="D14:F1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2" zoomScale="130" zoomScaleNormal="100" zoomScaleSheetLayoutView="130" workbookViewId="0">
      <selection activeCell="R33" sqref="R33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101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100</v>
      </c>
      <c r="D9" s="31"/>
      <c r="E9" s="31"/>
    </row>
    <row r="10" spans="2:13" s="31" customFormat="1">
      <c r="B10" s="64"/>
      <c r="C10" s="31" t="s">
        <v>23</v>
      </c>
      <c r="D10" s="109">
        <v>2053026325</v>
      </c>
      <c r="J10" s="31" t="s">
        <v>24</v>
      </c>
      <c r="K10" s="126">
        <f>MRS!L3</f>
        <v>46269</v>
      </c>
      <c r="L10" s="127"/>
      <c r="M10" s="127"/>
    </row>
    <row r="11" spans="2:13" s="31" customFormat="1">
      <c r="B11" s="64"/>
      <c r="C11" s="67" t="s">
        <v>25</v>
      </c>
      <c r="D11" s="68" t="s">
        <v>90</v>
      </c>
      <c r="J11" s="31" t="s">
        <v>26</v>
      </c>
      <c r="K11" s="128" t="str">
        <f>SUBSTITUTE(SUBSTITUTE(+MRS!A3,"  MRS No : ",""),"-MRS","-PO")</f>
        <v>SAC2-DS-PO-0449</v>
      </c>
      <c r="L11" s="128"/>
      <c r="M11" s="128"/>
    </row>
    <row r="12" spans="2:13" s="31" customFormat="1">
      <c r="B12" s="64"/>
      <c r="C12" s="67" t="s">
        <v>27</v>
      </c>
      <c r="D12" s="31" t="s">
        <v>95</v>
      </c>
      <c r="J12" s="31" t="s">
        <v>28</v>
      </c>
    </row>
    <row r="13" spans="2:13" s="31" customFormat="1">
      <c r="B13" s="64"/>
      <c r="C13" s="69"/>
      <c r="D13" s="68" t="s">
        <v>96</v>
      </c>
      <c r="J13" s="31" t="s">
        <v>29</v>
      </c>
    </row>
    <row r="14" spans="2:13" s="31" customFormat="1">
      <c r="B14" s="64"/>
      <c r="C14" s="69" t="s">
        <v>91</v>
      </c>
      <c r="J14" s="31" t="s">
        <v>30</v>
      </c>
      <c r="K14" s="31" t="s">
        <v>132</v>
      </c>
    </row>
    <row r="15" spans="2:13" s="31" customFormat="1">
      <c r="B15" s="64"/>
      <c r="C15" s="69" t="s">
        <v>97</v>
      </c>
      <c r="J15" s="31" t="s">
        <v>31</v>
      </c>
      <c r="K15" s="70">
        <v>46242</v>
      </c>
    </row>
    <row r="16" spans="2:13" s="31" customFormat="1">
      <c r="C16" s="69"/>
      <c r="K16" s="70"/>
    </row>
    <row r="17" spans="2:13" ht="6" customHeight="1">
      <c r="C17" s="22"/>
      <c r="K17" s="23"/>
    </row>
    <row r="18" spans="2:13" ht="20.25">
      <c r="B18" s="129" t="s">
        <v>32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</row>
    <row r="19" spans="2:13" ht="12" customHeight="1"/>
    <row r="20" spans="2:13" s="24" customFormat="1" ht="12" customHeight="1">
      <c r="B20" s="130" t="s">
        <v>33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2:13" s="24" customFormat="1" ht="12" customHeight="1">
      <c r="B21" s="130" t="s">
        <v>34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2:13" s="24" customFormat="1" ht="12" customHeight="1">
      <c r="B22" s="130" t="s">
        <v>35</v>
      </c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</row>
    <row r="23" spans="2:13" ht="6.95" customHeight="1"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2:13" ht="6.95" customHeight="1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68" t="str">
        <f>MRS!B6</f>
        <v>Mobile Phone</v>
      </c>
      <c r="M26" s="71" t="s">
        <v>37</v>
      </c>
    </row>
    <row r="27" spans="2:13" ht="11.1" customHeight="1">
      <c r="B27" s="25"/>
      <c r="C27" s="19" t="str">
        <f>MRS!D6</f>
        <v>V91S plus without camera &amp; GPS RAM 128 GB, 4G</v>
      </c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10">
        <f>'PO 2nd page'!G16</f>
        <v>5280</v>
      </c>
      <c r="G29" s="94"/>
      <c r="H29" s="94"/>
      <c r="M29" s="26"/>
    </row>
    <row r="30" spans="2:13" ht="12" customHeight="1">
      <c r="B30" s="25"/>
      <c r="C30" s="19" t="s">
        <v>41</v>
      </c>
      <c r="E30" s="19" t="s">
        <v>40</v>
      </c>
      <c r="F30" s="110">
        <f>'PO 2nd page'!G17</f>
        <v>792</v>
      </c>
      <c r="G30" s="94"/>
      <c r="H30" s="94"/>
    </row>
    <row r="31" spans="2:13" ht="12" customHeight="1">
      <c r="B31" s="25"/>
      <c r="C31" s="19" t="s">
        <v>42</v>
      </c>
      <c r="D31" s="27"/>
      <c r="E31" s="19" t="s">
        <v>40</v>
      </c>
      <c r="F31" s="110">
        <f>'PO 2nd page'!G18</f>
        <v>6072</v>
      </c>
      <c r="G31" s="94"/>
      <c r="H31" s="94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2" t="s">
        <v>56</v>
      </c>
      <c r="C49" s="73" t="s">
        <v>93</v>
      </c>
      <c r="P49" s="74"/>
    </row>
    <row r="50" spans="2:16" s="75" customFormat="1" ht="12" customHeight="1">
      <c r="B50" s="76" t="s">
        <v>56</v>
      </c>
      <c r="C50" s="73" t="s">
        <v>84</v>
      </c>
    </row>
    <row r="51" spans="2:16" s="75" customFormat="1" ht="12" customHeight="1">
      <c r="B51" s="76" t="s">
        <v>56</v>
      </c>
      <c r="C51" s="73" t="s">
        <v>83</v>
      </c>
    </row>
    <row r="52" spans="2:16" s="75" customFormat="1" ht="6" customHeight="1">
      <c r="B52" s="76"/>
      <c r="C52" s="73"/>
    </row>
    <row r="53" spans="2:16" ht="15" customHeight="1">
      <c r="B53" s="34">
        <v>7</v>
      </c>
      <c r="C53" s="25" t="s">
        <v>102</v>
      </c>
    </row>
    <row r="54" spans="2:16" ht="12" customHeight="1">
      <c r="B54" s="76" t="s">
        <v>56</v>
      </c>
      <c r="C54" s="107" t="s">
        <v>103</v>
      </c>
      <c r="F54" s="19" t="s">
        <v>133</v>
      </c>
      <c r="P54" s="19" t="str">
        <f>UPPER(F54)</f>
        <v>ALROMOZ ALFANIAH EST.</v>
      </c>
    </row>
    <row r="55" spans="2:16" ht="12" customHeight="1">
      <c r="B55" s="76" t="s">
        <v>56</v>
      </c>
      <c r="C55" s="107" t="s">
        <v>104</v>
      </c>
      <c r="F55" s="108" t="s">
        <v>113</v>
      </c>
    </row>
    <row r="56" spans="2:16" ht="12" customHeight="1">
      <c r="B56" s="76" t="s">
        <v>56</v>
      </c>
      <c r="C56" s="107" t="s">
        <v>105</v>
      </c>
      <c r="F56" s="108" t="s">
        <v>114</v>
      </c>
    </row>
    <row r="57" spans="2:16" ht="12" customHeight="1">
      <c r="B57" s="76" t="s">
        <v>56</v>
      </c>
      <c r="C57" s="107" t="s">
        <v>106</v>
      </c>
      <c r="F57" s="19" t="s">
        <v>112</v>
      </c>
    </row>
    <row r="58" spans="2:16" ht="12" customHeight="1">
      <c r="B58" s="76" t="s">
        <v>56</v>
      </c>
      <c r="C58" s="107" t="s">
        <v>107</v>
      </c>
      <c r="F58" s="19" t="s">
        <v>108</v>
      </c>
    </row>
    <row r="59" spans="2:16" ht="12" customHeight="1">
      <c r="B59" s="76" t="s">
        <v>56</v>
      </c>
      <c r="C59" s="107" t="s">
        <v>109</v>
      </c>
      <c r="F59" s="19" t="s">
        <v>110</v>
      </c>
    </row>
    <row r="60" spans="2:16" ht="12" customHeight="1">
      <c r="B60" s="76"/>
      <c r="C60" s="107" t="s">
        <v>111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Muhammed Rafi</v>
      </c>
    </row>
    <row r="68" spans="1:13" ht="18" customHeight="1">
      <c r="B68" s="19" t="s">
        <v>62</v>
      </c>
      <c r="J68" s="19" t="s">
        <v>63</v>
      </c>
      <c r="K68" s="15" t="s">
        <v>98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99</v>
      </c>
      <c r="J70" s="133" t="str">
        <f>C9</f>
        <v>ATGC(Alrmooz Technical for General Contracting Est.)</v>
      </c>
      <c r="K70" s="133"/>
      <c r="L70" s="133"/>
      <c r="M70" s="133"/>
    </row>
    <row r="71" spans="1:13" ht="27.95" customHeight="1">
      <c r="A71" s="125" t="s">
        <v>66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zoomScaleSheetLayoutView="100" zoomScalePageLayoutView="55" workbookViewId="0">
      <selection activeCell="M12" sqref="M12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38.1406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SAC2-DS-PO-0449</v>
      </c>
      <c r="C2" s="172" t="s">
        <v>68</v>
      </c>
      <c r="D2" s="172"/>
      <c r="E2" s="172"/>
      <c r="F2" s="172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46269</v>
      </c>
      <c r="C3" s="43"/>
      <c r="D3" s="44"/>
      <c r="E3" s="173" t="s">
        <v>70</v>
      </c>
      <c r="F3" s="173"/>
      <c r="G3" s="173"/>
      <c r="H3" s="173"/>
      <c r="I3" s="45"/>
    </row>
    <row r="4" spans="1:13" s="47" customFormat="1" ht="28.5" customHeight="1" thickTop="1">
      <c r="A4" s="174" t="s">
        <v>71</v>
      </c>
      <c r="B4" s="176" t="s">
        <v>72</v>
      </c>
      <c r="C4" s="177"/>
      <c r="D4" s="180" t="s">
        <v>73</v>
      </c>
      <c r="E4" s="180" t="s">
        <v>74</v>
      </c>
      <c r="F4" s="182" t="str">
        <f>'PO 1st page'!C9</f>
        <v>ATGC(Alrmooz Technical for General Contracting Est.)</v>
      </c>
      <c r="G4" s="183"/>
      <c r="H4" s="184" t="s">
        <v>75</v>
      </c>
      <c r="K4" s="48"/>
      <c r="L4" s="48"/>
      <c r="M4" s="48"/>
    </row>
    <row r="5" spans="1:13" s="47" customFormat="1" ht="21.95" customHeight="1">
      <c r="A5" s="175"/>
      <c r="B5" s="178"/>
      <c r="C5" s="179"/>
      <c r="D5" s="181"/>
      <c r="E5" s="181"/>
      <c r="F5" s="49" t="s">
        <v>76</v>
      </c>
      <c r="G5" s="49" t="s">
        <v>42</v>
      </c>
      <c r="H5" s="185"/>
      <c r="K5" s="48"/>
      <c r="L5" s="48"/>
      <c r="M5" s="48"/>
    </row>
    <row r="6" spans="1:13" s="47" customFormat="1" ht="25.5" customHeight="1">
      <c r="A6" s="77">
        <f t="shared" ref="A6:A15" si="0">ROW(A1)</f>
        <v>1</v>
      </c>
      <c r="B6" s="170" t="str">
        <f>MRS!B6&amp;" "&amp;MRS!D6</f>
        <v>Mobile Phone V91S plus without camera &amp; GPS RAM 128 GB, 4G</v>
      </c>
      <c r="C6" s="171"/>
      <c r="D6" s="78" t="str">
        <f>MRS!G6</f>
        <v>EA</v>
      </c>
      <c r="E6" s="79">
        <f>MRS!H6</f>
        <v>6</v>
      </c>
      <c r="F6" s="80">
        <f>MRS!I6</f>
        <v>880</v>
      </c>
      <c r="G6" s="81">
        <f>F6*E6</f>
        <v>5280</v>
      </c>
      <c r="H6" s="82" t="str">
        <f>MRS!L6</f>
        <v>One time</v>
      </c>
      <c r="K6" s="83"/>
      <c r="L6" s="84"/>
      <c r="M6" s="48"/>
    </row>
    <row r="7" spans="1:13" s="47" customFormat="1" ht="25.5" customHeight="1">
      <c r="A7" s="77">
        <f t="shared" si="0"/>
        <v>2</v>
      </c>
      <c r="B7" s="170" t="str">
        <f>MRS!B7&amp;" "&amp;MRS!D7</f>
        <v xml:space="preserve"> </v>
      </c>
      <c r="C7" s="171"/>
      <c r="D7" s="78"/>
      <c r="E7" s="79"/>
      <c r="F7" s="80"/>
      <c r="G7" s="81"/>
      <c r="H7" s="82"/>
      <c r="K7" s="83"/>
      <c r="L7" s="84"/>
      <c r="M7" s="48"/>
    </row>
    <row r="8" spans="1:13" s="47" customFormat="1" ht="25.5" customHeight="1">
      <c r="A8" s="77">
        <f t="shared" si="0"/>
        <v>3</v>
      </c>
      <c r="B8" s="170" t="str">
        <f>MRS!B8&amp;" "&amp;MRS!D8</f>
        <v xml:space="preserve"> </v>
      </c>
      <c r="C8" s="171"/>
      <c r="D8" s="78"/>
      <c r="E8" s="79"/>
      <c r="F8" s="80"/>
      <c r="G8" s="81"/>
      <c r="H8" s="82"/>
      <c r="K8" s="48"/>
      <c r="L8" s="48"/>
      <c r="M8" s="48"/>
    </row>
    <row r="9" spans="1:13" s="47" customFormat="1" ht="25.5" customHeight="1">
      <c r="A9" s="77">
        <f t="shared" si="0"/>
        <v>4</v>
      </c>
      <c r="B9" s="170" t="str">
        <f>MRS!B9&amp;" "&amp;MRS!D9</f>
        <v xml:space="preserve"> </v>
      </c>
      <c r="C9" s="171"/>
      <c r="D9" s="78"/>
      <c r="E9" s="79"/>
      <c r="F9" s="80"/>
      <c r="G9" s="81"/>
      <c r="H9" s="82"/>
    </row>
    <row r="10" spans="1:13" s="47" customFormat="1" ht="25.5" customHeight="1">
      <c r="A10" s="77">
        <f t="shared" si="0"/>
        <v>5</v>
      </c>
      <c r="B10" s="170" t="str">
        <f>MRS!B10&amp;" "&amp;MRS!D10</f>
        <v xml:space="preserve"> </v>
      </c>
      <c r="C10" s="171"/>
      <c r="D10" s="78"/>
      <c r="E10" s="79"/>
      <c r="F10" s="80"/>
      <c r="G10" s="81"/>
      <c r="H10" s="82"/>
    </row>
    <row r="11" spans="1:13" s="47" customFormat="1" ht="25.5" customHeight="1">
      <c r="A11" s="77">
        <f t="shared" si="0"/>
        <v>6</v>
      </c>
      <c r="B11" s="170" t="str">
        <f>MRS!B11&amp;" "&amp;MRS!D11</f>
        <v xml:space="preserve"> </v>
      </c>
      <c r="C11" s="171"/>
      <c r="D11" s="78"/>
      <c r="E11" s="79"/>
      <c r="F11" s="80"/>
      <c r="G11" s="81"/>
      <c r="H11" s="82"/>
    </row>
    <row r="12" spans="1:13" s="47" customFormat="1" ht="25.5" customHeight="1">
      <c r="A12" s="77">
        <f t="shared" si="0"/>
        <v>7</v>
      </c>
      <c r="B12" s="170" t="str">
        <f>MRS!B12&amp;" "&amp;MRS!D12</f>
        <v xml:space="preserve"> </v>
      </c>
      <c r="C12" s="171"/>
      <c r="D12" s="78"/>
      <c r="E12" s="79"/>
      <c r="F12" s="80"/>
      <c r="G12" s="81"/>
      <c r="H12" s="82"/>
    </row>
    <row r="13" spans="1:13" s="47" customFormat="1" ht="25.5" customHeight="1">
      <c r="A13" s="77">
        <f t="shared" si="0"/>
        <v>8</v>
      </c>
      <c r="B13" s="170" t="str">
        <f>MRS!B13&amp;" "&amp;MRS!D13</f>
        <v xml:space="preserve"> </v>
      </c>
      <c r="C13" s="171"/>
      <c r="D13" s="78"/>
      <c r="E13" s="79"/>
      <c r="F13" s="80"/>
      <c r="G13" s="81"/>
      <c r="H13" s="82"/>
    </row>
    <row r="14" spans="1:13" s="47" customFormat="1" ht="25.5" customHeight="1">
      <c r="A14" s="77">
        <f t="shared" si="0"/>
        <v>9</v>
      </c>
      <c r="B14" s="170" t="str">
        <f>MRS!B14&amp;" "&amp;MRS!D14</f>
        <v xml:space="preserve"> </v>
      </c>
      <c r="C14" s="171"/>
      <c r="D14" s="78"/>
      <c r="E14" s="79"/>
      <c r="F14" s="80"/>
      <c r="G14" s="81"/>
      <c r="H14" s="82"/>
    </row>
    <row r="15" spans="1:13" s="47" customFormat="1" ht="25.5" customHeight="1">
      <c r="A15" s="77">
        <f t="shared" si="0"/>
        <v>10</v>
      </c>
      <c r="B15" s="170" t="str">
        <f>MRS!B15&amp;" "&amp;MRS!D15</f>
        <v xml:space="preserve"> </v>
      </c>
      <c r="C15" s="171"/>
      <c r="D15" s="78"/>
      <c r="E15" s="79"/>
      <c r="F15" s="80"/>
      <c r="G15" s="81"/>
      <c r="H15" s="82"/>
    </row>
    <row r="16" spans="1:13" s="47" customFormat="1" ht="23.1" customHeight="1">
      <c r="A16" s="166" t="s">
        <v>77</v>
      </c>
      <c r="B16" s="167"/>
      <c r="C16" s="167"/>
      <c r="D16" s="167"/>
      <c r="E16" s="167"/>
      <c r="F16" s="167"/>
      <c r="G16" s="50">
        <f>SUM(G6:G15)</f>
        <v>5280</v>
      </c>
      <c r="H16" s="51"/>
    </row>
    <row r="17" spans="1:13" s="47" customFormat="1" ht="23.1" customHeight="1">
      <c r="A17" s="166" t="s">
        <v>41</v>
      </c>
      <c r="B17" s="167"/>
      <c r="C17" s="167"/>
      <c r="D17" s="167"/>
      <c r="E17" s="167"/>
      <c r="F17" s="167"/>
      <c r="G17" s="50">
        <f>+G16*0.15</f>
        <v>792</v>
      </c>
      <c r="H17" s="51"/>
    </row>
    <row r="18" spans="1:13" s="47" customFormat="1" ht="24.95" customHeight="1" thickBot="1">
      <c r="A18" s="168" t="s">
        <v>78</v>
      </c>
      <c r="B18" s="169"/>
      <c r="C18" s="169"/>
      <c r="D18" s="169"/>
      <c r="E18" s="169"/>
      <c r="F18" s="169"/>
      <c r="G18" s="52">
        <f>G17+G16</f>
        <v>6072</v>
      </c>
      <c r="H18" s="53"/>
    </row>
    <row r="19" spans="1:13" ht="15.75" thickTop="1">
      <c r="A19" s="54" t="str">
        <f>" 1) Above Price are as per your quotation with ref "&amp;'PO 1st page'!K14</f>
        <v xml:space="preserve"> 1) Above Price are as per your quotation with ref QUO-MAT-26080802</v>
      </c>
      <c r="B19" s="55"/>
      <c r="C19" s="55"/>
      <c r="D19" s="56"/>
      <c r="E19" s="56"/>
      <c r="F19" s="56"/>
      <c r="G19" s="56"/>
      <c r="H19" s="56"/>
    </row>
    <row r="20" spans="1:13" ht="15">
      <c r="A20" s="57" t="s">
        <v>79</v>
      </c>
      <c r="B20" s="58"/>
      <c r="C20" s="58"/>
      <c r="D20" s="59"/>
      <c r="E20" s="59"/>
      <c r="F20" s="59"/>
      <c r="G20" s="59"/>
      <c r="H20" s="59"/>
      <c r="I20" s="60"/>
    </row>
    <row r="21" spans="1:13" ht="15.75">
      <c r="A21" s="61"/>
    </row>
    <row r="22" spans="1:13">
      <c r="A22" s="125" t="s">
        <v>80</v>
      </c>
      <c r="B22" s="125"/>
      <c r="C22" s="125"/>
      <c r="D22" s="125"/>
      <c r="E22" s="125"/>
      <c r="F22" s="125"/>
      <c r="G22" s="125"/>
      <c r="H22" s="125"/>
      <c r="I22" s="62"/>
      <c r="J22" s="62"/>
      <c r="K22" s="62"/>
      <c r="L22" s="62"/>
      <c r="M22" s="62"/>
    </row>
    <row r="23" spans="1:13" ht="15.75">
      <c r="A23" s="61"/>
      <c r="C23" s="63"/>
    </row>
    <row r="24" spans="1:13" ht="15.75">
      <c r="A24" s="61"/>
      <c r="C24" s="63"/>
    </row>
    <row r="26" spans="1:13" ht="12" customHeight="1"/>
  </sheetData>
  <mergeCells count="22"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6:F16"/>
    <mergeCell ref="A17:F17"/>
    <mergeCell ref="A18:F18"/>
    <mergeCell ref="A22:H22"/>
    <mergeCell ref="B11:C11"/>
    <mergeCell ref="B12:C12"/>
    <mergeCell ref="B13:C13"/>
    <mergeCell ref="B14:C14"/>
    <mergeCell ref="B15:C15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6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2026-09-05T04:21:27Z</cp:lastPrinted>
  <dcterms:created xsi:type="dcterms:W3CDTF">2024-10-20T11:50:19Z</dcterms:created>
  <dcterms:modified xsi:type="dcterms:W3CDTF">2026-09-05T08:23:25Z</dcterms:modified>
</cp:coreProperties>
</file>