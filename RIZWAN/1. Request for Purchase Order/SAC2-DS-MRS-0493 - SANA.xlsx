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25FC9750-7254-4828-A71D-2E7FB0A89860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C26" i="3"/>
  <c r="P54" i="3"/>
  <c r="B6" i="4" l="1"/>
  <c r="B7" i="4"/>
  <c r="J10" i="2" l="1"/>
  <c r="I10" i="2"/>
  <c r="H10" i="2"/>
  <c r="G10" i="2"/>
  <c r="D10" i="2"/>
  <c r="B10" i="2"/>
  <c r="H6" i="4"/>
  <c r="A14" i="1"/>
  <c r="A8" i="1"/>
  <c r="A10" i="1"/>
  <c r="A12" i="1"/>
  <c r="I9" i="2"/>
  <c r="H9" i="2"/>
  <c r="G9" i="2"/>
  <c r="D9" i="2"/>
  <c r="B9" i="2"/>
  <c r="I8" i="2"/>
  <c r="H8" i="2"/>
  <c r="G8" i="2"/>
  <c r="D8" i="2"/>
  <c r="B8" i="2"/>
  <c r="J9" i="2"/>
  <c r="J8" i="2"/>
  <c r="J7" i="2" l="1"/>
  <c r="I7" i="2"/>
  <c r="H7" i="2"/>
  <c r="G7" i="2"/>
  <c r="D7" i="2"/>
  <c r="B7" i="2"/>
  <c r="A15" i="2" l="1"/>
  <c r="A14" i="2"/>
  <c r="A13" i="2"/>
  <c r="A12" i="2"/>
  <c r="K10" i="3"/>
  <c r="B3" i="4" s="1"/>
  <c r="J6" i="1"/>
  <c r="J6" i="2" s="1"/>
  <c r="G6" i="4" s="1"/>
  <c r="I6" i="2"/>
  <c r="F6" i="4" s="1"/>
  <c r="H6" i="2"/>
  <c r="E6" i="4" s="1"/>
  <c r="G6" i="2"/>
  <c r="D6" i="4" s="1"/>
  <c r="D6" i="2"/>
  <c r="B6" i="2"/>
  <c r="A22" i="4"/>
  <c r="A17" i="4"/>
  <c r="A16" i="4"/>
  <c r="A15" i="4"/>
  <c r="A14" i="4"/>
  <c r="A13" i="4"/>
  <c r="A12" i="4"/>
  <c r="A11" i="4"/>
  <c r="A10" i="4"/>
  <c r="A9" i="4"/>
  <c r="A6" i="4"/>
  <c r="F4" i="4"/>
  <c r="J70" i="3"/>
  <c r="K67" i="3"/>
  <c r="K11" i="3"/>
  <c r="B2" i="4" s="1"/>
  <c r="A17" i="2"/>
  <c r="K3" i="2"/>
  <c r="A3" i="2"/>
  <c r="J2" i="2"/>
  <c r="D2" i="2"/>
  <c r="A2" i="2"/>
  <c r="J1" i="2"/>
  <c r="A16" i="2"/>
  <c r="A11" i="2"/>
  <c r="A10" i="2"/>
  <c r="A9" i="2"/>
  <c r="A8" i="2"/>
  <c r="A7" i="2"/>
  <c r="A6" i="1"/>
  <c r="A6" i="2" s="1"/>
  <c r="J16" i="1" l="1"/>
  <c r="G18" i="4"/>
  <c r="G19" i="4" l="1"/>
  <c r="G21" i="4" s="1"/>
</calcChain>
</file>

<file path=xl/sharedStrings.xml><?xml version="1.0" encoding="utf-8"?>
<sst xmlns="http://schemas.openxmlformats.org/spreadsheetml/2006/main" count="200" uniqueCount="146">
  <si>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</si>
  <si>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</si>
  <si>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</si>
  <si>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</si>
  <si>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</si>
  <si>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</si>
  <si>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</si>
  <si>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</si>
  <si>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</si>
  <si>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</si>
  <si>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</si>
  <si>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</si>
  <si>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</si>
  <si>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</si>
  <si>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</si>
  <si>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</si>
  <si>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</si>
  <si>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</si>
  <si>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</si>
  <si>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</si>
  <si>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</si>
  <si>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</si>
  <si>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</si>
  <si>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</si>
  <si>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</si>
  <si>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</si>
  <si>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</si>
  <si>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</si>
  <si>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</si>
  <si>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</si>
  <si>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</si>
  <si>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</si>
  <si>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</si>
  <si>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</si>
  <si>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</si>
  <si>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</si>
  <si>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</si>
  <si>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</si>
  <si>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</si>
  <si>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</si>
  <si>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</si>
  <si>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</si>
  <si>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</si>
  <si>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</si>
  <si>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</si>
  <si>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</si>
  <si>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</si>
  <si>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</si>
  <si>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</si>
  <si>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</si>
  <si>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</si>
  <si>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</si>
  <si>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</si>
  <si>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</si>
  <si>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</si>
  <si>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</si>
  <si>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</si>
  <si>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</si>
  <si>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</si>
  <si>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</si>
  <si>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</si>
  <si>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</si>
  <si>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</si>
  <si>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</si>
  <si>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</si>
  <si>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</si>
  <si>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</si>
  <si>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</si>
  <si>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</si>
  <si>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</si>
  <si>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</si>
  <si>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</si>
  <si>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</si>
  <si>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</si>
  <si>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</si>
  <si>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</si>
  <si>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</si>
  <si>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</si>
  <si>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</si>
  <si>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</si>
  <si>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</si>
  <si>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</si>
  <si>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</si>
  <si>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</si>
  <si>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</si>
  <si>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</si>
  <si>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</si>
  <si>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</si>
  <si>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</si>
  <si>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</si>
  <si>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</si>
  <si>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</si>
  <si>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</si>
  <si>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Unit Price (SAR)
(Exclude VAT)</t>
    <phoneticPr fontId="5" type="noConversion"/>
  </si>
  <si>
    <t>Total Price (SAR)
(Exclude VAT)</t>
    <phoneticPr fontId="5" type="noConversion"/>
  </si>
  <si>
    <t>Registration Fee</t>
  </si>
  <si>
    <t>Subcontract name (SAC2-SC-IK-SMP-01)</t>
  </si>
  <si>
    <t>Monthly</t>
  </si>
  <si>
    <t>Monthly Based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</si>
  <si>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</si>
  <si>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</si>
  <si>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</si>
  <si>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</si>
  <si>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</si>
  <si>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</si>
  <si>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</si>
  <si>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</si>
  <si>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</si>
  <si>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</si>
  <si>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</si>
  <si>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SAGC</t>
  </si>
  <si>
    <t>SAGC(Sana Al-Tamiz General Contracting Est.)</t>
  </si>
  <si>
    <t xml:space="preserve"> CR No. :</t>
    <phoneticPr fontId="6" type="noConversion"/>
  </si>
  <si>
    <t>2055136684</t>
  </si>
  <si>
    <t xml:space="preserve"> VAT No. : </t>
    <phoneticPr fontId="6" type="noConversion"/>
  </si>
  <si>
    <t>311630284900003</t>
  </si>
  <si>
    <t xml:space="preserve"> In Charge :</t>
    <phoneticPr fontId="6" type="noConversion"/>
  </si>
  <si>
    <t>Moidin Nisar</t>
  </si>
  <si>
    <t>01400019078307</t>
  </si>
  <si>
    <t>SA29 1000 0001 4000 1907 8307</t>
  </si>
  <si>
    <t>SAUDI NATIONAL BANK</t>
  </si>
  <si>
    <t>SNBKSAJE</t>
  </si>
  <si>
    <t>Sales Executive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</si>
  <si>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</si>
  <si>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</si>
  <si>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-MRS-0493</t>
    </r>
  </si>
  <si>
    <t>Month</t>
  </si>
  <si>
    <t>Bus with Driver</t>
  </si>
  <si>
    <t>SUB-CON</t>
    <phoneticPr fontId="8" type="noConversion"/>
  </si>
  <si>
    <t>HDEC</t>
    <phoneticPr fontId="8" type="noConversion"/>
  </si>
  <si>
    <t>In Charge</t>
    <phoneticPr fontId="8" type="noConversion"/>
  </si>
  <si>
    <t>ADM</t>
    <phoneticPr fontId="8" type="noConversion"/>
  </si>
  <si>
    <t>PCM</t>
    <phoneticPr fontId="8" type="noConversion"/>
  </si>
  <si>
    <t>PM</t>
    <phoneticPr fontId="8" type="noConversion"/>
  </si>
  <si>
    <t>Construction</t>
    <phoneticPr fontId="8" type="noConversion"/>
  </si>
  <si>
    <t>Subcon(PC)</t>
    <phoneticPr fontId="8" type="noConversion"/>
  </si>
  <si>
    <t>Account</t>
    <phoneticPr fontId="8" type="noConversion"/>
  </si>
  <si>
    <t>ADM</t>
    <phoneticPr fontId="13" type="noConversion"/>
  </si>
  <si>
    <t>Manager</t>
    <phoneticPr fontId="8" type="noConversion"/>
  </si>
  <si>
    <t>HEC</t>
    <phoneticPr fontId="13" type="noConversion"/>
  </si>
  <si>
    <t>+966 59 054 9362 / email: info@sanatechksa.com</t>
  </si>
  <si>
    <t>Mobile : +966 59 054 9362</t>
  </si>
  <si>
    <t>Bldg No. 4564 Al Riyadh Street, Al Jubail-35514, KSA</t>
  </si>
  <si>
    <t>ESTABLISHMENT SANA AL-TAMIZ FOR GENERAL CONTRACTING</t>
  </si>
  <si>
    <t>66 Seater 2025 to 2026 Model</t>
  </si>
  <si>
    <t>ST/HEC/26/125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</si>
</sst>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9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38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3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43" fontId="11" fillId="0" borderId="46" xfId="6" quotePrefix="1" applyNumberFormat="1" applyFont="1" applyBorder="1" applyAlignment="1">
      <alignment vertical="center" wrapText="1"/>
    </xf>
    <xf numFmtId="0" fontId="53" fillId="0" borderId="47" xfId="6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quotePrefix="1" applyFont="1" applyBorder="1" applyAlignment="1">
      <alignment horizontal="center" vertical="center" wrapText="1"/>
    </xf>
    <xf numFmtId="0" fontId="13" fillId="3" borderId="0" xfId="5" quotePrefix="1" applyFont="1" applyFill="1" applyAlignment="1">
      <alignment vertical="top" wrapText="1"/>
    </xf>
    <xf numFmtId="0" fontId="26" fillId="3" borderId="0" xfId="5" quotePrefix="1" applyFont="1" applyFill="1" applyAlignment="1">
      <alignment vertical="center"/>
    </xf>
    <xf numFmtId="0" fontId="54" fillId="3" borderId="0" xfId="5" applyFont="1" applyFill="1"/>
    <xf numFmtId="0" fontId="54" fillId="3" borderId="0" xfId="5" quotePrefix="1" applyFont="1" applyFill="1"/>
    <xf numFmtId="171" fontId="26" fillId="3" borderId="0" xfId="5" applyNumberFormat="1" applyFont="1" applyFill="1" applyAlignment="1">
      <alignment horizontal="left"/>
    </xf>
    <xf numFmtId="0" fontId="4" fillId="2" borderId="21" xfId="1" applyFont="1" applyFill="1" applyBorder="1" applyAlignment="1">
      <alignment horizontal="center" vertical="center"/>
    </xf>
    <xf numFmtId="0" fontId="55" fillId="2" borderId="0" xfId="1" applyFont="1" applyFill="1" applyAlignment="1">
      <alignment vertical="center"/>
    </xf>
    <xf numFmtId="0" fontId="58" fillId="0" borderId="0" xfId="2" applyFont="1" applyAlignment="1">
      <alignment vertical="center"/>
    </xf>
    <xf numFmtId="170" fontId="49" fillId="0" borderId="7" xfId="3" applyNumberFormat="1" applyFont="1" applyBorder="1" applyAlignment="1">
      <alignment horizontal="right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8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left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52" fillId="2" borderId="7" xfId="1" applyNumberFormat="1" applyFont="1" applyFill="1" applyBorder="1" applyAlignment="1">
      <alignment horizontal="left" vertical="center"/>
    </xf>
    <xf numFmtId="0" fontId="1" fillId="3" borderId="16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1112918</xdr:colOff>
          <xdr:row>17</xdr:row>
          <xdr:rowOff>100262</xdr:rowOff>
        </xdr:from>
        <xdr:to>
          <xdr:col>11</xdr:col>
          <xdr:colOff>1554577</xdr:colOff>
          <xdr:row>24</xdr:row>
          <xdr:rowOff>130341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2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904997" y="5183604"/>
              <a:ext cx="8051633" cy="221581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AG52"/>
  <sheetViews>
    <sheetView showGridLines="0" tabSelected="1" view="pageBreakPreview" zoomScale="95" zoomScaleNormal="95" zoomScaleSheetLayoutView="95" workbookViewId="0">
      <selection activeCell="J6" sqref="J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7" width="13.5703125" style="2" customWidth="1"/>
    <col min="28" max="28" width="13.5703125" style="2" hidden="1" customWidth="1"/>
    <col min="29" max="29" width="3.5703125" style="2" customWidth="1"/>
    <col min="30" max="30" width="7.5703125" style="2" customWidth="1"/>
    <col min="31" max="31" width="13.5703125" style="2" hidden="1" customWidth="1"/>
    <col min="32" max="32" width="13.5703125" style="2" customWidth="1"/>
    <col min="33" max="33" width="13.5703125" style="2" hidden="1" customWidth="1"/>
    <col min="34" max="16384" width="9" style="2"/>
  </cols>
  <sheetData>
    <row r="1" spans="1:30" ht="49.9" customHeight="1">
      <c r="A1" s="135" t="s">
        <v>123</v>
      </c>
      <c r="B1" s="136"/>
      <c r="C1" s="109"/>
      <c r="D1" s="109"/>
      <c r="E1" s="109"/>
      <c r="F1" s="109"/>
      <c r="G1" s="1"/>
      <c r="J1" s="164" t="s">
        <v>87</v>
      </c>
      <c r="K1" s="165"/>
      <c r="L1" s="166"/>
    </row>
    <row r="2" spans="1:30" ht="20.100000000000001" customHeight="1">
      <c r="A2" s="3" t="s">
        <v>1</v>
      </c>
      <c r="B2" s="100"/>
      <c r="C2" s="100"/>
      <c r="D2" s="3" t="s">
        <v>124</v>
      </c>
      <c r="E2" s="100"/>
      <c r="F2" s="100"/>
      <c r="G2" s="100"/>
      <c r="H2" s="100"/>
      <c r="I2" s="4"/>
      <c r="J2" s="167" t="s">
        <v>96</v>
      </c>
      <c r="K2" s="168"/>
      <c r="L2" s="169"/>
    </row>
    <row r="3" spans="1:30" ht="20.100000000000001" customHeight="1">
      <c r="A3" s="3" t="s">
        <v>125</v>
      </c>
      <c r="B3" s="100"/>
      <c r="C3" s="100"/>
      <c r="D3" s="100"/>
      <c r="E3" s="170">
        <f>+L3+3</f>
        <v>46319</v>
      </c>
      <c r="F3" s="170"/>
      <c r="G3" s="170"/>
      <c r="H3" s="170"/>
      <c r="I3" s="170"/>
      <c r="J3" s="100"/>
      <c r="K3" s="100"/>
      <c r="L3" s="137">
        <v>46316</v>
      </c>
      <c r="M3" s="4"/>
    </row>
    <row r="4" spans="1:30" ht="19.5" customHeight="1">
      <c r="A4" s="144" t="s">
        <v>2</v>
      </c>
      <c r="B4" s="145" t="s">
        <v>3</v>
      </c>
      <c r="C4" s="145"/>
      <c r="D4" s="146" t="s">
        <v>4</v>
      </c>
      <c r="E4" s="147"/>
      <c r="F4" s="148"/>
      <c r="G4" s="152" t="s">
        <v>5</v>
      </c>
      <c r="H4" s="154" t="s">
        <v>6</v>
      </c>
      <c r="I4" s="154" t="s">
        <v>93</v>
      </c>
      <c r="J4" s="144" t="s">
        <v>94</v>
      </c>
      <c r="K4" s="154" t="s">
        <v>0</v>
      </c>
      <c r="L4" s="145" t="s">
        <v>7</v>
      </c>
    </row>
    <row r="5" spans="1:30" ht="19.5" customHeight="1">
      <c r="A5" s="144"/>
      <c r="B5" s="145"/>
      <c r="C5" s="145"/>
      <c r="D5" s="149"/>
      <c r="E5" s="150"/>
      <c r="F5" s="151"/>
      <c r="G5" s="153"/>
      <c r="H5" s="155"/>
      <c r="I5" s="155"/>
      <c r="J5" s="144"/>
      <c r="K5" s="155"/>
      <c r="L5" s="145"/>
    </row>
    <row r="6" spans="1:30" ht="23.25" customHeight="1">
      <c r="A6" s="5">
        <f t="shared" ref="A6:A14" si="0">ROW(A1)</f>
        <v>1</v>
      </c>
      <c r="B6" s="156" t="s">
        <v>127</v>
      </c>
      <c r="C6" s="157"/>
      <c r="D6" s="158" t="s">
        <v>144</v>
      </c>
      <c r="E6" s="159"/>
      <c r="F6" s="160"/>
      <c r="G6" s="110" t="s">
        <v>126</v>
      </c>
      <c r="H6" s="111">
        <v>1</v>
      </c>
      <c r="I6" s="112">
        <v>11000</v>
      </c>
      <c r="J6" s="112">
        <f>H6*I6</f>
        <v>11000</v>
      </c>
      <c r="K6" s="113" t="s">
        <v>110</v>
      </c>
      <c r="L6" s="128" t="s">
        <v>97</v>
      </c>
      <c r="S6" s="105"/>
      <c r="AD6" s="105"/>
    </row>
    <row r="7" spans="1:30" ht="23.25" customHeight="1">
      <c r="A7" s="5">
        <v>2</v>
      </c>
      <c r="B7" s="156"/>
      <c r="C7" s="157"/>
      <c r="D7" s="161"/>
      <c r="E7" s="162"/>
      <c r="F7" s="163"/>
      <c r="G7" s="110"/>
      <c r="H7" s="111"/>
      <c r="I7" s="112"/>
      <c r="J7" s="112"/>
      <c r="K7" s="113"/>
      <c r="L7" s="128"/>
      <c r="S7" s="105"/>
      <c r="AD7" s="105"/>
    </row>
    <row r="8" spans="1:30" ht="23.25" customHeight="1">
      <c r="A8" s="5">
        <f t="shared" si="0"/>
        <v>3</v>
      </c>
      <c r="B8" s="156"/>
      <c r="C8" s="157"/>
      <c r="D8" s="158"/>
      <c r="E8" s="159"/>
      <c r="F8" s="160"/>
      <c r="G8" s="110"/>
      <c r="H8" s="111"/>
      <c r="I8" s="112"/>
      <c r="J8" s="112"/>
      <c r="K8" s="113"/>
      <c r="L8" s="114"/>
      <c r="S8" s="105"/>
      <c r="AD8" s="105"/>
    </row>
    <row r="9" spans="1:30" ht="22.5" customHeight="1">
      <c r="A9" s="5">
        <v>4</v>
      </c>
      <c r="B9" s="156"/>
      <c r="C9" s="157"/>
      <c r="D9" s="171"/>
      <c r="E9" s="162"/>
      <c r="F9" s="163"/>
      <c r="G9" s="110"/>
      <c r="H9" s="111"/>
      <c r="I9" s="115"/>
      <c r="J9" s="112"/>
      <c r="K9" s="113"/>
      <c r="L9" s="110"/>
      <c r="S9" s="105"/>
      <c r="AD9" s="105"/>
    </row>
    <row r="10" spans="1:30" ht="22.5" customHeight="1">
      <c r="A10" s="5">
        <f t="shared" si="0"/>
        <v>5</v>
      </c>
      <c r="B10" s="156"/>
      <c r="C10" s="157"/>
      <c r="D10" s="171"/>
      <c r="E10" s="162"/>
      <c r="F10" s="163"/>
      <c r="G10" s="110"/>
      <c r="H10" s="111"/>
      <c r="I10" s="112"/>
      <c r="J10" s="112"/>
      <c r="K10" s="113"/>
      <c r="L10" s="128"/>
      <c r="S10" s="105"/>
      <c r="AD10" s="105"/>
    </row>
    <row r="11" spans="1:30" ht="22.5" customHeight="1">
      <c r="A11" s="5">
        <v>6</v>
      </c>
      <c r="B11" s="172"/>
      <c r="C11" s="172"/>
      <c r="D11" s="173"/>
      <c r="E11" s="173"/>
      <c r="F11" s="173"/>
      <c r="G11" s="110"/>
      <c r="H11" s="111"/>
      <c r="I11" s="115"/>
      <c r="J11" s="112"/>
      <c r="K11" s="113"/>
      <c r="L11" s="110"/>
      <c r="S11" s="105"/>
      <c r="AD11" s="105"/>
    </row>
    <row r="12" spans="1:30" ht="22.5" customHeight="1">
      <c r="A12" s="5">
        <f t="shared" si="0"/>
        <v>7</v>
      </c>
      <c r="B12" s="156"/>
      <c r="C12" s="157"/>
      <c r="D12" s="171"/>
      <c r="E12" s="162"/>
      <c r="F12" s="163"/>
      <c r="G12" s="110"/>
      <c r="H12" s="111"/>
      <c r="I12" s="112"/>
      <c r="J12" s="112"/>
      <c r="K12" s="113"/>
      <c r="L12" s="114"/>
      <c r="S12" s="105"/>
      <c r="AD12" s="105"/>
    </row>
    <row r="13" spans="1:30" ht="22.5" customHeight="1">
      <c r="A13" s="5">
        <v>8</v>
      </c>
      <c r="B13" s="156"/>
      <c r="C13" s="157"/>
      <c r="D13" s="171"/>
      <c r="E13" s="162"/>
      <c r="F13" s="163"/>
      <c r="G13" s="110"/>
      <c r="H13" s="111"/>
      <c r="I13" s="112"/>
      <c r="J13" s="112"/>
      <c r="K13" s="113"/>
      <c r="L13" s="114"/>
      <c r="S13" s="105"/>
      <c r="AD13" s="105"/>
    </row>
    <row r="14" spans="1:30" ht="22.5" customHeight="1">
      <c r="A14" s="5">
        <f t="shared" si="0"/>
        <v>9</v>
      </c>
      <c r="B14" s="123"/>
      <c r="C14" s="124"/>
      <c r="D14" s="125"/>
      <c r="E14" s="126"/>
      <c r="F14" s="127"/>
      <c r="G14" s="110"/>
      <c r="H14" s="111"/>
      <c r="I14" s="112"/>
      <c r="J14" s="112"/>
      <c r="K14" s="113"/>
      <c r="L14" s="114"/>
      <c r="S14" s="105"/>
      <c r="AD14" s="105"/>
    </row>
    <row r="15" spans="1:30" ht="22.5" customHeight="1">
      <c r="A15" s="5">
        <v>10</v>
      </c>
      <c r="B15" s="156"/>
      <c r="C15" s="157"/>
      <c r="D15" s="171"/>
      <c r="E15" s="162"/>
      <c r="F15" s="163"/>
      <c r="G15" s="110"/>
      <c r="H15" s="111"/>
      <c r="I15" s="112"/>
      <c r="J15" s="112"/>
      <c r="K15" s="113"/>
      <c r="L15" s="114"/>
      <c r="S15" s="105"/>
      <c r="AD15" s="105"/>
    </row>
    <row r="16" spans="1:30" ht="22.5" customHeight="1">
      <c r="A16" s="174" t="s">
        <v>8</v>
      </c>
      <c r="B16" s="175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11000</v>
      </c>
      <c r="K16" s="112"/>
      <c r="L16" s="120"/>
    </row>
    <row r="17" spans="1:33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33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81"/>
      <c r="Z18" s="11"/>
      <c r="AA18" s="11"/>
      <c r="AB18" s="11"/>
      <c r="AD18" s="176" t="s">
        <v>11</v>
      </c>
      <c r="AE18" s="12" t="s">
        <v>12</v>
      </c>
      <c r="AF18" s="13" t="s">
        <v>13</v>
      </c>
      <c r="AG18" s="12" t="s">
        <v>14</v>
      </c>
    </row>
    <row r="19" spans="1:33" ht="50.1" customHeight="1">
      <c r="Y19" s="182"/>
      <c r="AD19" s="177"/>
      <c r="AE19" s="14"/>
      <c r="AF19" s="15"/>
      <c r="AG19" s="14"/>
    </row>
    <row r="20" spans="1:33" ht="17.100000000000001" customHeight="1">
      <c r="O20" s="183" t="s">
        <v>128</v>
      </c>
      <c r="P20" s="184"/>
      <c r="Q20" s="184"/>
      <c r="R20" s="185"/>
      <c r="S20" s="134"/>
      <c r="T20" s="183" t="s">
        <v>129</v>
      </c>
      <c r="U20" s="184"/>
      <c r="V20" s="184"/>
      <c r="W20" s="184"/>
      <c r="X20" s="184"/>
      <c r="Y20" s="185"/>
      <c r="Z20" s="11"/>
      <c r="AA20" s="11"/>
      <c r="AB20" s="11"/>
      <c r="AD20" s="178"/>
      <c r="AE20" s="15" t="s">
        <v>15</v>
      </c>
      <c r="AF20" s="15" t="s">
        <v>15</v>
      </c>
      <c r="AG20" s="16" t="s">
        <v>15</v>
      </c>
    </row>
    <row r="21" spans="1:33" ht="15" customHeight="1">
      <c r="O21" s="176" t="s">
        <v>130</v>
      </c>
      <c r="P21" s="179" t="s">
        <v>131</v>
      </c>
      <c r="Q21" s="176" t="s">
        <v>132</v>
      </c>
      <c r="R21" s="179" t="s">
        <v>133</v>
      </c>
      <c r="S21" s="134"/>
      <c r="T21" s="176" t="s">
        <v>134</v>
      </c>
      <c r="U21" s="179" t="s">
        <v>135</v>
      </c>
      <c r="V21" s="183" t="s">
        <v>136</v>
      </c>
      <c r="W21" s="184"/>
      <c r="X21" s="185"/>
      <c r="Y21" s="179" t="s">
        <v>137</v>
      </c>
      <c r="Z21" s="17" t="s">
        <v>16</v>
      </c>
      <c r="AA21" s="179" t="s">
        <v>17</v>
      </c>
      <c r="AB21" s="179" t="s">
        <v>18</v>
      </c>
    </row>
    <row r="22" spans="1:33" ht="18" customHeight="1">
      <c r="O22" s="178"/>
      <c r="P22" s="180"/>
      <c r="Q22" s="178"/>
      <c r="R22" s="180"/>
      <c r="S22" s="138"/>
      <c r="T22" s="178"/>
      <c r="U22" s="180"/>
      <c r="V22" s="13" t="s">
        <v>130</v>
      </c>
      <c r="W22" s="187" t="s">
        <v>138</v>
      </c>
      <c r="X22" s="188"/>
      <c r="Y22" s="180"/>
      <c r="Z22" s="18" t="s">
        <v>19</v>
      </c>
      <c r="AA22" s="180"/>
      <c r="AB22" s="180"/>
      <c r="AD22" s="176" t="s">
        <v>20</v>
      </c>
      <c r="AE22" s="12" t="s">
        <v>12</v>
      </c>
      <c r="AF22" s="12" t="s">
        <v>13</v>
      </c>
      <c r="AG22" s="12" t="s">
        <v>14</v>
      </c>
    </row>
    <row r="23" spans="1:33" ht="38.25" customHeight="1">
      <c r="O23" s="14"/>
      <c r="P23" s="14"/>
      <c r="Q23" s="14"/>
      <c r="R23" s="14"/>
      <c r="S23" s="134"/>
      <c r="T23" s="14"/>
      <c r="U23" s="14"/>
      <c r="V23" s="14"/>
      <c r="W23" s="183"/>
      <c r="X23" s="185"/>
      <c r="Y23" s="139"/>
      <c r="Z23" s="14"/>
      <c r="AA23" s="14"/>
      <c r="AB23" s="14"/>
      <c r="AD23" s="177"/>
      <c r="AE23" s="19"/>
      <c r="AF23" s="19"/>
      <c r="AG23" s="14"/>
    </row>
    <row r="24" spans="1:33" ht="17.100000000000001" customHeight="1">
      <c r="W24" s="140"/>
      <c r="X24" s="189" t="s">
        <v>139</v>
      </c>
      <c r="Y24" s="12" t="s">
        <v>137</v>
      </c>
      <c r="Z24" s="16" t="s">
        <v>15</v>
      </c>
      <c r="AA24" s="16" t="s">
        <v>15</v>
      </c>
      <c r="AB24" s="16" t="s">
        <v>15</v>
      </c>
      <c r="AD24" s="178"/>
      <c r="AE24" s="15" t="s">
        <v>15</v>
      </c>
      <c r="AF24" s="15" t="s">
        <v>15</v>
      </c>
      <c r="AG24" s="16" t="s">
        <v>15</v>
      </c>
    </row>
    <row r="25" spans="1:33" ht="37.5" customHeight="1">
      <c r="O25" s="141"/>
      <c r="P25" s="141"/>
      <c r="Q25" s="141"/>
      <c r="R25" s="141"/>
      <c r="S25" s="141"/>
      <c r="T25" s="141"/>
      <c r="U25" s="141"/>
      <c r="V25" s="141"/>
      <c r="W25" s="142"/>
      <c r="X25" s="190"/>
      <c r="Y25" s="143"/>
    </row>
    <row r="26" spans="1:33" ht="19.899999999999999" customHeight="1"/>
    <row r="27" spans="1:33" ht="17.45" customHeight="1">
      <c r="O27" s="186"/>
      <c r="P27" s="186"/>
      <c r="Q27" s="186"/>
      <c r="Z27" s="186"/>
      <c r="AA27" s="186"/>
      <c r="AB27" s="186"/>
    </row>
    <row r="28" spans="1:33" ht="19.899999999999999" customHeight="1">
      <c r="O28" s="186"/>
      <c r="P28" s="186"/>
      <c r="Q28" s="186"/>
      <c r="Z28" s="186"/>
      <c r="AA28" s="186"/>
      <c r="AB28" s="186"/>
    </row>
    <row r="29" spans="1:33" ht="14.25">
      <c r="O29" s="11"/>
      <c r="P29" s="11"/>
      <c r="Q29" s="11"/>
      <c r="Z29" s="11"/>
      <c r="AA29" s="11"/>
      <c r="AB29" s="11"/>
    </row>
    <row r="30" spans="1:33" ht="65.099999999999994" customHeight="1"/>
    <row r="31" spans="1:33" ht="14.25">
      <c r="O31" s="11"/>
      <c r="P31" s="11"/>
      <c r="Q31" s="11"/>
      <c r="Z31" s="11"/>
      <c r="AA31" s="11"/>
      <c r="AB31" s="11"/>
    </row>
    <row r="32" spans="1:33" ht="19.899999999999999" customHeight="1"/>
    <row r="33" spans="15:33" ht="14.25"/>
    <row r="34" spans="15:33" ht="19.899999999999999" customHeight="1"/>
    <row r="35" spans="15:33" ht="14.25"/>
    <row r="36" spans="15:33" ht="19.899999999999999" customHeight="1"/>
    <row r="37" spans="15:33" ht="19.899999999999999" customHeight="1"/>
    <row r="38" spans="15:33" ht="64.900000000000006" customHeight="1"/>
    <row r="40" spans="15:33" ht="19.899999999999999" customHeight="1">
      <c r="T40" s="179" t="s">
        <v>21</v>
      </c>
      <c r="AE40" s="179" t="s">
        <v>21</v>
      </c>
    </row>
    <row r="41" spans="15:33" ht="19.899999999999999" customHeight="1">
      <c r="T41" s="180"/>
      <c r="AE41" s="180"/>
    </row>
    <row r="42" spans="15:33" ht="64.900000000000006" customHeight="1">
      <c r="T42" s="14"/>
      <c r="AE42" s="14"/>
    </row>
    <row r="46" spans="15:33" ht="21" customHeight="1">
      <c r="O46" s="179" t="s">
        <v>21</v>
      </c>
      <c r="P46" s="179" t="s">
        <v>21</v>
      </c>
      <c r="Q46" s="179" t="s">
        <v>21</v>
      </c>
      <c r="T46" s="179" t="s">
        <v>22</v>
      </c>
      <c r="U46" s="179" t="s">
        <v>13</v>
      </c>
      <c r="V46" s="179" t="s">
        <v>21</v>
      </c>
      <c r="Z46" s="179" t="s">
        <v>21</v>
      </c>
      <c r="AA46" s="179" t="s">
        <v>21</v>
      </c>
      <c r="AB46" s="179" t="s">
        <v>21</v>
      </c>
      <c r="AE46" s="179" t="s">
        <v>22</v>
      </c>
      <c r="AF46" s="179" t="s">
        <v>13</v>
      </c>
      <c r="AG46" s="179" t="s">
        <v>21</v>
      </c>
    </row>
    <row r="47" spans="15:33" ht="21" customHeight="1">
      <c r="O47" s="180"/>
      <c r="P47" s="180"/>
      <c r="Q47" s="180"/>
      <c r="T47" s="178"/>
      <c r="U47" s="178"/>
      <c r="V47" s="180"/>
      <c r="Z47" s="180"/>
      <c r="AA47" s="180"/>
      <c r="AB47" s="180"/>
      <c r="AE47" s="178"/>
      <c r="AF47" s="178"/>
      <c r="AG47" s="180"/>
    </row>
    <row r="48" spans="15:33" ht="64.900000000000006" customHeight="1">
      <c r="O48" s="14"/>
      <c r="P48" s="14"/>
      <c r="Q48" s="14"/>
      <c r="T48" s="14"/>
      <c r="U48" s="15"/>
      <c r="V48" s="14"/>
      <c r="Z48" s="14"/>
      <c r="AA48" s="14"/>
      <c r="AB48" s="14"/>
      <c r="AE48" s="14"/>
      <c r="AF48" s="15"/>
      <c r="AG48" s="14"/>
    </row>
    <row r="49" spans="15:33" ht="7.15" customHeight="1"/>
    <row r="50" spans="15:33" ht="21" customHeight="1">
      <c r="O50" s="179" t="s">
        <v>21</v>
      </c>
      <c r="P50" s="179" t="s">
        <v>21</v>
      </c>
      <c r="Q50" s="179" t="s">
        <v>21</v>
      </c>
      <c r="T50" s="179" t="s">
        <v>13</v>
      </c>
      <c r="U50" s="179" t="s">
        <v>22</v>
      </c>
      <c r="V50" s="179" t="s">
        <v>21</v>
      </c>
      <c r="Z50" s="179" t="s">
        <v>21</v>
      </c>
      <c r="AA50" s="179" t="s">
        <v>21</v>
      </c>
      <c r="AB50" s="179" t="s">
        <v>21</v>
      </c>
      <c r="AE50" s="179" t="s">
        <v>13</v>
      </c>
      <c r="AF50" s="179" t="s">
        <v>22</v>
      </c>
      <c r="AG50" s="179" t="s">
        <v>21</v>
      </c>
    </row>
    <row r="51" spans="15:33" ht="21" customHeight="1">
      <c r="O51" s="180"/>
      <c r="P51" s="180"/>
      <c r="Q51" s="180"/>
      <c r="T51" s="178"/>
      <c r="U51" s="178"/>
      <c r="V51" s="180"/>
      <c r="Z51" s="180"/>
      <c r="AA51" s="180"/>
      <c r="AB51" s="180"/>
      <c r="AE51" s="178"/>
      <c r="AF51" s="178"/>
      <c r="AG51" s="180"/>
    </row>
    <row r="52" spans="15:33" ht="64.900000000000006" customHeight="1">
      <c r="O52" s="14"/>
      <c r="P52" s="14"/>
      <c r="Q52" s="14"/>
      <c r="T52" s="15"/>
      <c r="U52" s="14"/>
      <c r="V52" s="14"/>
      <c r="Z52" s="14"/>
      <c r="AA52" s="14"/>
      <c r="AB52" s="14"/>
      <c r="AE52" s="15"/>
      <c r="AF52" s="14"/>
      <c r="AG52" s="14"/>
    </row>
  </sheetData>
  <mergeCells count="81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V21:X21"/>
    <mergeCell ref="Y21:Y22"/>
    <mergeCell ref="W22:X22"/>
    <mergeCell ref="W23:X23"/>
    <mergeCell ref="X24:X25"/>
    <mergeCell ref="AF46:AF47"/>
    <mergeCell ref="AG46:AG47"/>
    <mergeCell ref="Z50:Z51"/>
    <mergeCell ref="AA50:AA51"/>
    <mergeCell ref="AB50:AB51"/>
    <mergeCell ref="AE50:AE51"/>
    <mergeCell ref="AF50:AF51"/>
    <mergeCell ref="AG50:AG51"/>
    <mergeCell ref="Z27:Z28"/>
    <mergeCell ref="AA27:AA28"/>
    <mergeCell ref="AB27:AB28"/>
    <mergeCell ref="AE40:AE41"/>
    <mergeCell ref="Z46:Z47"/>
    <mergeCell ref="AA46:AA47"/>
    <mergeCell ref="AB46:AB47"/>
    <mergeCell ref="AE46:AE47"/>
    <mergeCell ref="B15:C15"/>
    <mergeCell ref="D15:F15"/>
    <mergeCell ref="A16:B16"/>
    <mergeCell ref="AD18:AD20"/>
    <mergeCell ref="AA21:AA22"/>
    <mergeCell ref="AB21:AB22"/>
    <mergeCell ref="AD22:AD24"/>
    <mergeCell ref="Y18:Y19"/>
    <mergeCell ref="O20:R20"/>
    <mergeCell ref="T20:Y20"/>
    <mergeCell ref="O21:O22"/>
    <mergeCell ref="P21:P22"/>
    <mergeCell ref="Q21:Q22"/>
    <mergeCell ref="R21:R22"/>
    <mergeCell ref="T21:T22"/>
    <mergeCell ref="U21:U22"/>
    <mergeCell ref="B11:C11"/>
    <mergeCell ref="D11:F11"/>
    <mergeCell ref="B12:C12"/>
    <mergeCell ref="D12:F12"/>
    <mergeCell ref="B13:C13"/>
    <mergeCell ref="D13:F13"/>
    <mergeCell ref="B8:C8"/>
    <mergeCell ref="D8:F8"/>
    <mergeCell ref="B9:C9"/>
    <mergeCell ref="D9:F9"/>
    <mergeCell ref="B10:C10"/>
    <mergeCell ref="D10:F10"/>
    <mergeCell ref="B6:C6"/>
    <mergeCell ref="D6:F6"/>
    <mergeCell ref="B7:C7"/>
    <mergeCell ref="D7:F7"/>
    <mergeCell ref="J1:L1"/>
    <mergeCell ref="J2:L2"/>
    <mergeCell ref="E3:I3"/>
    <mergeCell ref="I4:I5"/>
    <mergeCell ref="J4:J5"/>
    <mergeCell ref="K4:K5"/>
    <mergeCell ref="L4:L5"/>
    <mergeCell ref="A4:A5"/>
    <mergeCell ref="B4:C5"/>
    <mergeCell ref="D4:F5"/>
    <mergeCell ref="G4:G5"/>
    <mergeCell ref="H4:H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10" sqref="D10:F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8" t="s">
        <v>92</v>
      </c>
      <c r="B1" s="99"/>
      <c r="C1" s="99"/>
      <c r="D1" s="99"/>
      <c r="E1" s="99"/>
      <c r="F1" s="99"/>
      <c r="G1" s="1"/>
      <c r="J1" s="191" t="str">
        <f>+MRS!J1</f>
        <v>DAESHIN PLANT</v>
      </c>
      <c r="K1" s="192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93" t="str">
        <f>+MRS!J2</f>
        <v>Subcontract name (SAC2-SC-IK-SMP-01)</v>
      </c>
      <c r="K2" s="194"/>
    </row>
    <row r="3" spans="1:18" ht="24.95" customHeight="1">
      <c r="A3" s="3" t="str">
        <f>+MRS!A3</f>
        <v xml:space="preserve">  MRS No : SAC2-DS-MRS-0493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46316</v>
      </c>
    </row>
    <row r="4" spans="1:18" ht="15.95" customHeight="1">
      <c r="A4" s="195" t="s">
        <v>2</v>
      </c>
      <c r="B4" s="196" t="s">
        <v>23</v>
      </c>
      <c r="C4" s="196"/>
      <c r="D4" s="195" t="s">
        <v>4</v>
      </c>
      <c r="E4" s="195"/>
      <c r="F4" s="195"/>
      <c r="G4" s="196" t="s">
        <v>5</v>
      </c>
      <c r="H4" s="195" t="s">
        <v>88</v>
      </c>
      <c r="I4" s="195" t="s">
        <v>24</v>
      </c>
      <c r="J4" s="195" t="s">
        <v>25</v>
      </c>
      <c r="K4" s="196" t="s">
        <v>7</v>
      </c>
    </row>
    <row r="5" spans="1:18" ht="15.95" customHeight="1">
      <c r="A5" s="195"/>
      <c r="B5" s="196"/>
      <c r="C5" s="196"/>
      <c r="D5" s="195"/>
      <c r="E5" s="195"/>
      <c r="F5" s="195"/>
      <c r="G5" s="196"/>
      <c r="H5" s="195"/>
      <c r="I5" s="195"/>
      <c r="J5" s="195"/>
      <c r="K5" s="196"/>
    </row>
    <row r="6" spans="1:18" ht="105" customHeight="1">
      <c r="A6" s="21">
        <f>+MRS!A6</f>
        <v>1</v>
      </c>
      <c r="B6" s="197" t="str">
        <f>MRS!B6</f>
        <v>Bus with Driver</v>
      </c>
      <c r="C6" s="198"/>
      <c r="D6" s="199" t="str">
        <f>MRS!D6</f>
        <v>66 Seater 2025 to 2026 Model</v>
      </c>
      <c r="E6" s="200"/>
      <c r="F6" s="201"/>
      <c r="G6" s="102" t="str">
        <f>MRS!G6</f>
        <v>Month</v>
      </c>
      <c r="H6" s="102">
        <f>MRS!H6</f>
        <v>1</v>
      </c>
      <c r="I6" s="103">
        <f>MRS!I6</f>
        <v>11000</v>
      </c>
      <c r="J6" s="103">
        <f>MRS!J6</f>
        <v>11000</v>
      </c>
      <c r="K6" s="104"/>
      <c r="O6" s="105"/>
      <c r="P6" s="105"/>
      <c r="R6" s="105"/>
    </row>
    <row r="7" spans="1:18" ht="105" customHeight="1">
      <c r="A7" s="21" t="e">
        <f>+MRS!#REF!</f>
        <v>#REF!</v>
      </c>
      <c r="B7" s="197">
        <f>MRS!B7</f>
        <v>0</v>
      </c>
      <c r="C7" s="198"/>
      <c r="D7" s="199">
        <f>MRS!D7</f>
        <v>0</v>
      </c>
      <c r="E7" s="200"/>
      <c r="F7" s="201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+MRS!A7</f>
        <v>2</v>
      </c>
      <c r="B8" s="197">
        <f>MRS!B8</f>
        <v>0</v>
      </c>
      <c r="C8" s="198"/>
      <c r="D8" s="199">
        <f>MRS!D8</f>
        <v>0</v>
      </c>
      <c r="E8" s="200"/>
      <c r="F8" s="201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+MRS!A8</f>
        <v>3</v>
      </c>
      <c r="B9" s="197">
        <f>MRS!B9</f>
        <v>0</v>
      </c>
      <c r="C9" s="198"/>
      <c r="D9" s="199">
        <f>MRS!D9</f>
        <v>0</v>
      </c>
      <c r="E9" s="200"/>
      <c r="F9" s="201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+MRS!A9</f>
        <v>4</v>
      </c>
      <c r="B10" s="197">
        <f>MRS!B10</f>
        <v>0</v>
      </c>
      <c r="C10" s="198"/>
      <c r="D10" s="199">
        <f>MRS!D10</f>
        <v>0</v>
      </c>
      <c r="E10" s="200"/>
      <c r="F10" s="201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+MRS!A10</f>
        <v>5</v>
      </c>
      <c r="B11" s="202"/>
      <c r="C11" s="203"/>
      <c r="D11" s="204"/>
      <c r="E11" s="205"/>
      <c r="F11" s="206"/>
      <c r="G11" s="106"/>
      <c r="H11" s="107"/>
      <c r="I11" s="108"/>
      <c r="J11" s="108"/>
      <c r="K11" s="104"/>
      <c r="O11" s="105"/>
      <c r="P11" s="105"/>
      <c r="R11" s="105"/>
    </row>
    <row r="12" spans="1:18" ht="105" customHeight="1">
      <c r="A12" s="21">
        <f>+MRS!A11</f>
        <v>6</v>
      </c>
      <c r="B12" s="202"/>
      <c r="C12" s="203"/>
      <c r="D12" s="204"/>
      <c r="E12" s="205"/>
      <c r="F12" s="206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+MRS!A12</f>
        <v>7</v>
      </c>
      <c r="B13" s="202"/>
      <c r="C13" s="203"/>
      <c r="D13" s="204"/>
      <c r="E13" s="205"/>
      <c r="F13" s="206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+MRS!A13</f>
        <v>8</v>
      </c>
      <c r="B14" s="202"/>
      <c r="C14" s="203"/>
      <c r="D14" s="204"/>
      <c r="E14" s="205"/>
      <c r="F14" s="206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202"/>
      <c r="C15" s="203"/>
      <c r="D15" s="204"/>
      <c r="E15" s="205"/>
      <c r="F15" s="206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202"/>
      <c r="C16" s="203"/>
      <c r="D16" s="204"/>
      <c r="E16" s="205"/>
      <c r="F16" s="206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202"/>
      <c r="C17" s="203"/>
      <c r="D17" s="204"/>
      <c r="E17" s="205"/>
      <c r="F17" s="206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100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3" customFormat="1" ht="13.5">
      <c r="B9" s="71" t="s">
        <v>31</v>
      </c>
      <c r="C9" s="72" t="s">
        <v>111</v>
      </c>
      <c r="D9" s="38"/>
      <c r="E9" s="38"/>
    </row>
    <row r="10" spans="2:13" s="38" customFormat="1">
      <c r="B10" s="71"/>
      <c r="C10" s="38" t="s">
        <v>112</v>
      </c>
      <c r="D10" s="75" t="s">
        <v>113</v>
      </c>
      <c r="J10" s="38" t="s">
        <v>32</v>
      </c>
      <c r="K10" s="208">
        <f>MRS!L3</f>
        <v>46316</v>
      </c>
      <c r="L10" s="209"/>
      <c r="M10" s="209"/>
    </row>
    <row r="11" spans="2:13" s="38" customFormat="1">
      <c r="B11" s="71"/>
      <c r="C11" s="74" t="s">
        <v>114</v>
      </c>
      <c r="D11" s="75" t="s">
        <v>115</v>
      </c>
      <c r="J11" s="38" t="s">
        <v>33</v>
      </c>
      <c r="K11" s="210" t="str">
        <f>SUBSTITUTE(SUBSTITUTE(+MRS!A3,"  MRS No : ",""),"-MRS","-PO")</f>
        <v>SAC2-DS-PO-0493</v>
      </c>
      <c r="L11" s="210"/>
      <c r="M11" s="210"/>
    </row>
    <row r="12" spans="2:13" s="38" customFormat="1">
      <c r="B12" s="71"/>
      <c r="C12" s="74" t="s">
        <v>116</v>
      </c>
      <c r="D12" s="38" t="s">
        <v>117</v>
      </c>
      <c r="J12" s="38" t="s">
        <v>34</v>
      </c>
    </row>
    <row r="13" spans="2:13" s="38" customFormat="1">
      <c r="B13" s="71"/>
      <c r="C13" s="76"/>
      <c r="D13" s="75" t="s">
        <v>140</v>
      </c>
      <c r="J13" s="38" t="s">
        <v>35</v>
      </c>
    </row>
    <row r="14" spans="2:13" s="38" customFormat="1">
      <c r="B14" s="71"/>
      <c r="C14" s="76" t="s">
        <v>142</v>
      </c>
      <c r="J14" s="38" t="s">
        <v>36</v>
      </c>
      <c r="K14" s="38" t="s">
        <v>145</v>
      </c>
    </row>
    <row r="15" spans="2:13" s="38" customFormat="1">
      <c r="B15" s="71"/>
      <c r="C15" s="76" t="s">
        <v>141</v>
      </c>
      <c r="J15" s="38" t="s">
        <v>37</v>
      </c>
      <c r="K15" s="133">
        <v>46313</v>
      </c>
    </row>
    <row r="16" spans="2:13" ht="12" customHeight="1">
      <c r="C16" s="76"/>
      <c r="K16" s="29"/>
    </row>
    <row r="17" spans="2:13" ht="6" customHeight="1">
      <c r="C17" s="76"/>
      <c r="K17" s="29"/>
    </row>
    <row r="18" spans="2:13" ht="20.25">
      <c r="B18" s="211" t="s">
        <v>38</v>
      </c>
      <c r="C18" s="211"/>
      <c r="D18" s="211"/>
      <c r="E18" s="211"/>
      <c r="F18" s="211"/>
      <c r="G18" s="211"/>
      <c r="H18" s="211"/>
      <c r="I18" s="211"/>
      <c r="J18" s="211"/>
      <c r="K18" s="211"/>
      <c r="L18" s="211"/>
      <c r="M18" s="211"/>
    </row>
    <row r="19" spans="2:13" ht="12" customHeight="1"/>
    <row r="20" spans="2:13" s="30" customFormat="1" ht="12" customHeight="1">
      <c r="B20" s="212" t="s">
        <v>39</v>
      </c>
      <c r="C20" s="212"/>
      <c r="D20" s="212"/>
      <c r="E20" s="212"/>
      <c r="F20" s="212"/>
      <c r="G20" s="212"/>
      <c r="H20" s="212"/>
      <c r="I20" s="212"/>
      <c r="J20" s="212"/>
      <c r="K20" s="212"/>
      <c r="L20" s="212"/>
      <c r="M20" s="212"/>
    </row>
    <row r="21" spans="2:13" s="30" customFormat="1" ht="12" customHeight="1">
      <c r="B21" s="212" t="s">
        <v>40</v>
      </c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</row>
    <row r="22" spans="2:13" s="30" customFormat="1" ht="12" customHeight="1">
      <c r="B22" s="212" t="s">
        <v>41</v>
      </c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</row>
    <row r="23" spans="2:13" ht="6.95" customHeight="1"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</row>
    <row r="24" spans="2:13" ht="6.95" customHeight="1"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</row>
    <row r="25" spans="2:13" s="31" customFormat="1" ht="15" customHeight="1">
      <c r="B25" s="31">
        <v>1</v>
      </c>
      <c r="C25" s="31" t="s">
        <v>42</v>
      </c>
    </row>
    <row r="26" spans="2:13" s="38" customFormat="1" ht="12" customHeight="1">
      <c r="B26" s="72"/>
      <c r="C26" s="130" t="str">
        <f>MRS!B6&amp;" "&amp;MRS!D6</f>
        <v>Bus with Driver 66 Seater 2025 to 2026 Model</v>
      </c>
      <c r="D26" s="129"/>
      <c r="E26" s="129"/>
      <c r="F26" s="129"/>
      <c r="G26" s="129"/>
      <c r="M26" s="77" t="s">
        <v>43</v>
      </c>
    </row>
    <row r="27" spans="2:13" ht="10.5" customHeight="1">
      <c r="B27" s="31"/>
    </row>
    <row r="28" spans="2:13" ht="15" customHeight="1">
      <c r="B28" s="31">
        <v>2</v>
      </c>
      <c r="C28" s="31" t="s">
        <v>44</v>
      </c>
    </row>
    <row r="29" spans="2:13" ht="12" customHeight="1">
      <c r="B29" s="31"/>
      <c r="C29" s="26" t="s">
        <v>45</v>
      </c>
      <c r="E29" s="26" t="s">
        <v>46</v>
      </c>
      <c r="F29" s="215" t="s">
        <v>98</v>
      </c>
      <c r="G29" s="215"/>
      <c r="H29" s="32"/>
      <c r="M29" s="33"/>
    </row>
    <row r="30" spans="2:13" ht="12" customHeight="1">
      <c r="B30" s="31"/>
      <c r="C30" s="26" t="s">
        <v>47</v>
      </c>
      <c r="E30" s="26" t="s">
        <v>46</v>
      </c>
      <c r="F30" s="215"/>
      <c r="G30" s="215"/>
    </row>
    <row r="31" spans="2:13" ht="12" customHeight="1">
      <c r="B31" s="31"/>
      <c r="C31" s="26" t="s">
        <v>48</v>
      </c>
      <c r="D31" s="34"/>
      <c r="E31" s="26" t="s">
        <v>46</v>
      </c>
      <c r="F31" s="215"/>
      <c r="G31" s="215"/>
      <c r="H31" s="32"/>
    </row>
    <row r="32" spans="2:13" ht="11.1" customHeight="1">
      <c r="B32" s="31"/>
    </row>
    <row r="33" spans="2:13" ht="15" customHeight="1">
      <c r="B33" s="31">
        <v>3</v>
      </c>
      <c r="C33" s="31" t="s">
        <v>49</v>
      </c>
    </row>
    <row r="34" spans="2:13" ht="12" customHeight="1">
      <c r="B34" s="31"/>
      <c r="C34" s="22" t="s">
        <v>50</v>
      </c>
    </row>
    <row r="35" spans="2:13" ht="12" customHeight="1">
      <c r="B35" s="31"/>
      <c r="C35" s="22" t="s">
        <v>51</v>
      </c>
    </row>
    <row r="36" spans="2:13" ht="12" customHeight="1">
      <c r="B36" s="31"/>
      <c r="C36" s="22" t="s">
        <v>52</v>
      </c>
    </row>
    <row r="37" spans="2:13" ht="11.1" customHeight="1">
      <c r="B37" s="31"/>
    </row>
    <row r="38" spans="2:13" ht="15" customHeight="1">
      <c r="B38" s="31">
        <v>4</v>
      </c>
      <c r="C38" s="31" t="s">
        <v>53</v>
      </c>
    </row>
    <row r="39" spans="2:13" ht="12" customHeight="1">
      <c r="B39" s="31"/>
      <c r="C39" s="26" t="s">
        <v>54</v>
      </c>
    </row>
    <row r="40" spans="2:13" ht="11.1" customHeight="1">
      <c r="B40" s="31"/>
    </row>
    <row r="41" spans="2:13" ht="15" customHeight="1">
      <c r="B41" s="31">
        <v>5</v>
      </c>
      <c r="C41" s="31" t="s">
        <v>55</v>
      </c>
    </row>
    <row r="42" spans="2:13" ht="12" customHeight="1">
      <c r="B42" s="31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1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1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1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1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11.1" customHeight="1">
      <c r="B47" s="31"/>
    </row>
    <row r="48" spans="2:13" ht="15" customHeight="1">
      <c r="B48" s="31">
        <v>6</v>
      </c>
      <c r="C48" s="31" t="s">
        <v>61</v>
      </c>
    </row>
    <row r="49" spans="2:16" s="38" customFormat="1" ht="12" customHeight="1">
      <c r="B49" s="78" t="s">
        <v>62</v>
      </c>
      <c r="C49" s="79" t="s">
        <v>90</v>
      </c>
      <c r="P49" s="80"/>
    </row>
    <row r="50" spans="2:16" s="81" customFormat="1" ht="12" customHeight="1">
      <c r="B50" s="82" t="s">
        <v>62</v>
      </c>
      <c r="C50" s="79" t="s">
        <v>91</v>
      </c>
    </row>
    <row r="51" spans="2:16" s="81" customFormat="1" ht="12" customHeight="1">
      <c r="B51" s="82" t="s">
        <v>62</v>
      </c>
      <c r="C51" s="79" t="s">
        <v>89</v>
      </c>
    </row>
    <row r="52" spans="2:16" s="81" customFormat="1" ht="4.5" customHeight="1">
      <c r="B52" s="82"/>
      <c r="C52" s="79"/>
    </row>
    <row r="53" spans="2:16" ht="15" customHeight="1">
      <c r="B53" s="41">
        <v>7</v>
      </c>
      <c r="C53" s="31" t="s">
        <v>101</v>
      </c>
    </row>
    <row r="54" spans="2:16" ht="12" customHeight="1">
      <c r="B54" s="82" t="s">
        <v>62</v>
      </c>
      <c r="C54" s="131" t="s">
        <v>102</v>
      </c>
      <c r="F54" s="131" t="s">
        <v>143</v>
      </c>
      <c r="P54" s="26" t="str">
        <f>UPPER(F54)</f>
        <v>ESTABLISHMENT SANA AL-TAMIZ FOR GENERAL CONTRACTING</v>
      </c>
    </row>
    <row r="55" spans="2:16" ht="12" customHeight="1">
      <c r="B55" s="82" t="s">
        <v>62</v>
      </c>
      <c r="C55" s="131" t="s">
        <v>103</v>
      </c>
      <c r="F55" s="132" t="s">
        <v>118</v>
      </c>
    </row>
    <row r="56" spans="2:16" ht="12" customHeight="1">
      <c r="B56" s="82" t="s">
        <v>62</v>
      </c>
      <c r="C56" s="131" t="s">
        <v>104</v>
      </c>
      <c r="F56" s="132" t="s">
        <v>119</v>
      </c>
    </row>
    <row r="57" spans="2:16" ht="12" customHeight="1">
      <c r="B57" s="82" t="s">
        <v>62</v>
      </c>
      <c r="C57" s="131" t="s">
        <v>105</v>
      </c>
      <c r="F57" s="131" t="s">
        <v>120</v>
      </c>
    </row>
    <row r="58" spans="2:16" ht="12" customHeight="1">
      <c r="B58" s="82" t="s">
        <v>62</v>
      </c>
      <c r="C58" s="131" t="s">
        <v>106</v>
      </c>
      <c r="F58" s="131" t="s">
        <v>121</v>
      </c>
    </row>
    <row r="59" spans="2:16" ht="12" customHeight="1">
      <c r="B59" s="82" t="s">
        <v>62</v>
      </c>
      <c r="C59" s="131" t="s">
        <v>107</v>
      </c>
      <c r="F59" s="131" t="s">
        <v>108</v>
      </c>
    </row>
    <row r="60" spans="2:16" ht="12" customHeight="1">
      <c r="B60" s="82"/>
      <c r="C60" s="34" t="s">
        <v>109</v>
      </c>
    </row>
    <row r="61" spans="2:16" ht="3" customHeight="1">
      <c r="B61" s="42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 spans="2:16" ht="3" customHeight="1">
      <c r="B62" s="31"/>
    </row>
    <row r="63" spans="2:16" ht="11.1" customHeight="1">
      <c r="B63" s="41"/>
    </row>
    <row r="64" spans="2:16">
      <c r="B64" s="31" t="s">
        <v>63</v>
      </c>
      <c r="J64" s="31" t="s">
        <v>64</v>
      </c>
    </row>
    <row r="65" spans="1:13" ht="48" customHeight="1"/>
    <row r="66" spans="1:13" ht="18" customHeight="1">
      <c r="B66" s="26" t="s">
        <v>65</v>
      </c>
      <c r="J66" s="26" t="s">
        <v>65</v>
      </c>
    </row>
    <row r="67" spans="1:13" ht="18" customHeight="1">
      <c r="B67" s="26" t="s">
        <v>66</v>
      </c>
      <c r="J67" s="26" t="s">
        <v>67</v>
      </c>
      <c r="K67" s="22" t="str">
        <f>UPPER(D12)</f>
        <v>MOIDIN NISAR</v>
      </c>
    </row>
    <row r="68" spans="1:13" ht="18" customHeight="1">
      <c r="B68" s="26" t="s">
        <v>68</v>
      </c>
      <c r="J68" s="26" t="s">
        <v>69</v>
      </c>
      <c r="K68" s="22" t="s">
        <v>122</v>
      </c>
    </row>
    <row r="69" spans="1:13" ht="15" customHeight="1">
      <c r="B69" s="26" t="s">
        <v>70</v>
      </c>
      <c r="J69" s="26" t="s">
        <v>71</v>
      </c>
    </row>
    <row r="70" spans="1:13" s="28" customFormat="1" ht="15" customHeight="1">
      <c r="B70" s="25" t="s">
        <v>99</v>
      </c>
      <c r="J70" s="31" t="str">
        <f>C9</f>
        <v>SAGC(Sana Al-Tamiz General Contracting Est.)</v>
      </c>
    </row>
    <row r="71" spans="1:13" ht="27.95" customHeight="1">
      <c r="A71" s="207" t="s">
        <v>72</v>
      </c>
      <c r="B71" s="207"/>
      <c r="C71" s="207"/>
      <c r="D71" s="207"/>
      <c r="E71" s="207"/>
      <c r="F71" s="207"/>
      <c r="G71" s="207"/>
      <c r="H71" s="207"/>
      <c r="I71" s="207"/>
      <c r="J71" s="207"/>
      <c r="K71" s="207"/>
      <c r="L71" s="207"/>
      <c r="M71" s="207"/>
    </row>
    <row r="78" spans="1:13">
      <c r="B78" s="31"/>
    </row>
    <row r="79" spans="1:13">
      <c r="B79" s="31"/>
    </row>
    <row r="80" spans="1:13">
      <c r="B80" s="31"/>
    </row>
    <row r="81" spans="2:2">
      <c r="B81" s="31"/>
    </row>
    <row r="82" spans="2:2">
      <c r="B82" s="31"/>
    </row>
    <row r="83" spans="2:2">
      <c r="B83" s="31"/>
    </row>
    <row r="84" spans="2:2">
      <c r="B84" s="31"/>
    </row>
    <row r="85" spans="2:2">
      <c r="B85" s="31"/>
    </row>
    <row r="86" spans="2:2">
      <c r="B86" s="31"/>
    </row>
    <row r="87" spans="2:2">
      <c r="B87" s="31"/>
    </row>
    <row r="88" spans="2:2">
      <c r="B88" s="31"/>
    </row>
    <row r="89" spans="2:2">
      <c r="B89" s="31"/>
    </row>
    <row r="90" spans="2:2">
      <c r="B90" s="31"/>
    </row>
    <row r="91" spans="2:2">
      <c r="B91" s="31"/>
    </row>
    <row r="92" spans="2:2">
      <c r="B92" s="31"/>
    </row>
    <row r="93" spans="2:2">
      <c r="B93" s="31"/>
    </row>
    <row r="94" spans="2:2">
      <c r="B94" s="31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9"/>
  <sheetViews>
    <sheetView showGridLines="0" view="pageBreakPreview" zoomScaleSheetLayoutView="100" zoomScalePageLayoutView="55" workbookViewId="0">
      <selection activeCell="D7" sqref="D7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73</v>
      </c>
      <c r="B2" s="46" t="str">
        <f>+'PO 1st page'!K11</f>
        <v>SAC2-DS-PO-0493</v>
      </c>
      <c r="C2" s="218" t="s">
        <v>74</v>
      </c>
      <c r="D2" s="218"/>
      <c r="E2" s="218"/>
      <c r="F2" s="218"/>
      <c r="G2" s="47"/>
      <c r="H2" s="47"/>
    </row>
    <row r="3" spans="1:13" s="53" customFormat="1" ht="28.5" customHeight="1" thickBot="1">
      <c r="A3" s="48" t="s">
        <v>75</v>
      </c>
      <c r="B3" s="49">
        <f>+'PO 1st page'!K10</f>
        <v>46316</v>
      </c>
      <c r="C3" s="50"/>
      <c r="D3" s="51"/>
      <c r="E3" s="219" t="s">
        <v>76</v>
      </c>
      <c r="F3" s="219"/>
      <c r="G3" s="219"/>
      <c r="H3" s="219"/>
      <c r="I3" s="52"/>
    </row>
    <row r="4" spans="1:13" s="54" customFormat="1" ht="28.5" customHeight="1" thickTop="1">
      <c r="A4" s="220" t="s">
        <v>77</v>
      </c>
      <c r="B4" s="222" t="s">
        <v>78</v>
      </c>
      <c r="C4" s="223"/>
      <c r="D4" s="226" t="s">
        <v>79</v>
      </c>
      <c r="E4" s="226" t="s">
        <v>80</v>
      </c>
      <c r="F4" s="228" t="str">
        <f>'PO 1st page'!C9</f>
        <v>SAGC(Sana Al-Tamiz General Contracting Est.)</v>
      </c>
      <c r="G4" s="229"/>
      <c r="H4" s="230" t="s">
        <v>81</v>
      </c>
      <c r="K4" s="55"/>
      <c r="L4" s="55"/>
      <c r="M4" s="55"/>
    </row>
    <row r="5" spans="1:13" s="54" customFormat="1" ht="21.95" customHeight="1">
      <c r="A5" s="221"/>
      <c r="B5" s="224"/>
      <c r="C5" s="225"/>
      <c r="D5" s="227"/>
      <c r="E5" s="227"/>
      <c r="F5" s="56" t="s">
        <v>82</v>
      </c>
      <c r="G5" s="56" t="s">
        <v>48</v>
      </c>
      <c r="H5" s="231"/>
      <c r="K5" s="55"/>
      <c r="L5" s="55"/>
      <c r="M5" s="55"/>
    </row>
    <row r="6" spans="1:13" s="54" customFormat="1" ht="31.5" customHeight="1">
      <c r="A6" s="83">
        <f t="shared" ref="A6:A17" si="0">ROW(A1)</f>
        <v>1</v>
      </c>
      <c r="B6" s="232" t="str">
        <f>MRS!B6&amp;","&amp;MRS!D6</f>
        <v>Bus with Driver,66 Seater 2025 to 2026 Model</v>
      </c>
      <c r="C6" s="233"/>
      <c r="D6" s="84" t="str">
        <f>+'MRS LIST'!G6</f>
        <v>Month</v>
      </c>
      <c r="E6" s="85">
        <f>+'MRS LIST'!H6</f>
        <v>1</v>
      </c>
      <c r="F6" s="86">
        <f>+'MRS LIST'!I6</f>
        <v>11000</v>
      </c>
      <c r="G6" s="87">
        <f>+'MRS LIST'!J6</f>
        <v>11000</v>
      </c>
      <c r="H6" s="88" t="str">
        <f>MRS!L6</f>
        <v>Monthly</v>
      </c>
      <c r="K6" s="89"/>
      <c r="L6" s="90"/>
      <c r="M6" s="55"/>
    </row>
    <row r="7" spans="1:13" s="54" customFormat="1" ht="31.5" customHeight="1">
      <c r="A7" s="83">
        <v>2</v>
      </c>
      <c r="B7" s="232" t="str">
        <f>MRS!B7&amp;"
"&amp;MRS!D7</f>
        <v xml:space="preserve">
</v>
      </c>
      <c r="C7" s="233"/>
      <c r="D7" s="84"/>
      <c r="E7" s="85"/>
      <c r="F7" s="86"/>
      <c r="G7" s="87"/>
      <c r="H7" s="88"/>
      <c r="K7" s="89"/>
      <c r="L7" s="90"/>
      <c r="M7" s="55"/>
    </row>
    <row r="8" spans="1:13" s="54" customFormat="1" ht="31.5" customHeight="1">
      <c r="A8" s="91">
        <v>3</v>
      </c>
      <c r="B8" s="232"/>
      <c r="C8" s="233"/>
      <c r="D8" s="84"/>
      <c r="E8" s="85"/>
      <c r="F8" s="86"/>
      <c r="G8" s="87"/>
      <c r="H8" s="88"/>
      <c r="K8" s="55"/>
      <c r="L8" s="55"/>
      <c r="M8" s="55"/>
    </row>
    <row r="9" spans="1:13" s="54" customFormat="1" ht="32.1" customHeight="1">
      <c r="A9" s="91">
        <f t="shared" si="0"/>
        <v>4</v>
      </c>
      <c r="B9" s="232"/>
      <c r="C9" s="233"/>
      <c r="D9" s="84"/>
      <c r="E9" s="85"/>
      <c r="F9" s="86"/>
      <c r="G9" s="87"/>
      <c r="H9" s="88"/>
    </row>
    <row r="10" spans="1:13" s="54" customFormat="1" ht="32.1" customHeight="1">
      <c r="A10" s="91">
        <f t="shared" si="0"/>
        <v>5</v>
      </c>
      <c r="B10" s="232"/>
      <c r="C10" s="233"/>
      <c r="D10" s="84"/>
      <c r="E10" s="85"/>
      <c r="F10" s="86"/>
      <c r="G10" s="87"/>
      <c r="H10" s="88"/>
    </row>
    <row r="11" spans="1:13" s="54" customFormat="1" ht="32.1" customHeight="1">
      <c r="A11" s="91">
        <f t="shared" si="0"/>
        <v>6</v>
      </c>
      <c r="B11" s="216"/>
      <c r="C11" s="217"/>
      <c r="D11" s="92"/>
      <c r="E11" s="93"/>
      <c r="F11" s="94"/>
      <c r="G11" s="95"/>
      <c r="H11" s="96"/>
    </row>
    <row r="12" spans="1:13" s="54" customFormat="1" ht="32.1" customHeight="1">
      <c r="A12" s="91">
        <f t="shared" si="0"/>
        <v>7</v>
      </c>
      <c r="B12" s="216"/>
      <c r="C12" s="217"/>
      <c r="D12" s="92"/>
      <c r="E12" s="93"/>
      <c r="F12" s="94"/>
      <c r="G12" s="95"/>
      <c r="H12" s="96"/>
    </row>
    <row r="13" spans="1:13" s="54" customFormat="1" ht="32.1" customHeight="1">
      <c r="A13" s="91">
        <f t="shared" si="0"/>
        <v>8</v>
      </c>
      <c r="B13" s="216"/>
      <c r="C13" s="217"/>
      <c r="D13" s="92"/>
      <c r="E13" s="93"/>
      <c r="F13" s="94"/>
      <c r="G13" s="95"/>
      <c r="H13" s="96"/>
    </row>
    <row r="14" spans="1:13" s="54" customFormat="1" ht="32.1" customHeight="1">
      <c r="A14" s="91">
        <f t="shared" si="0"/>
        <v>9</v>
      </c>
      <c r="B14" s="216"/>
      <c r="C14" s="217"/>
      <c r="D14" s="92"/>
      <c r="E14" s="93"/>
      <c r="F14" s="97"/>
      <c r="G14" s="95"/>
      <c r="H14" s="96"/>
    </row>
    <row r="15" spans="1:13" s="54" customFormat="1" ht="32.1" customHeight="1">
      <c r="A15" s="91">
        <f t="shared" si="0"/>
        <v>10</v>
      </c>
      <c r="B15" s="216"/>
      <c r="C15" s="217"/>
      <c r="D15" s="92"/>
      <c r="E15" s="93"/>
      <c r="F15" s="97"/>
      <c r="G15" s="95"/>
      <c r="H15" s="96"/>
    </row>
    <row r="16" spans="1:13" s="54" customFormat="1" ht="32.1" customHeight="1">
      <c r="A16" s="91">
        <f t="shared" si="0"/>
        <v>11</v>
      </c>
      <c r="B16" s="216"/>
      <c r="C16" s="217"/>
      <c r="D16" s="92"/>
      <c r="E16" s="93"/>
      <c r="F16" s="94"/>
      <c r="G16" s="95"/>
      <c r="H16" s="96"/>
    </row>
    <row r="17" spans="1:13" s="54" customFormat="1" ht="32.1" customHeight="1">
      <c r="A17" s="91">
        <f t="shared" si="0"/>
        <v>12</v>
      </c>
      <c r="B17" s="216"/>
      <c r="C17" s="217"/>
      <c r="D17" s="92"/>
      <c r="E17" s="93"/>
      <c r="F17" s="94"/>
      <c r="G17" s="95"/>
      <c r="H17" s="96"/>
    </row>
    <row r="18" spans="1:13" s="54" customFormat="1" ht="23.1" customHeight="1">
      <c r="A18" s="234" t="s">
        <v>83</v>
      </c>
      <c r="B18" s="235"/>
      <c r="C18" s="235"/>
      <c r="D18" s="235"/>
      <c r="E18" s="235"/>
      <c r="F18" s="235"/>
      <c r="G18" s="57">
        <f>SUM(G6:G17)</f>
        <v>11000</v>
      </c>
      <c r="H18" s="58"/>
    </row>
    <row r="19" spans="1:13" s="54" customFormat="1" ht="23.1" customHeight="1">
      <c r="A19" s="234" t="s">
        <v>47</v>
      </c>
      <c r="B19" s="235"/>
      <c r="C19" s="235"/>
      <c r="D19" s="235"/>
      <c r="E19" s="235"/>
      <c r="F19" s="235"/>
      <c r="G19" s="57">
        <f>+G18*0.15</f>
        <v>1650</v>
      </c>
      <c r="H19" s="58"/>
    </row>
    <row r="20" spans="1:13" s="54" customFormat="1" ht="23.1" customHeight="1">
      <c r="A20" s="234" t="s">
        <v>95</v>
      </c>
      <c r="B20" s="235"/>
      <c r="C20" s="235"/>
      <c r="D20" s="235"/>
      <c r="E20" s="235"/>
      <c r="F20" s="235"/>
      <c r="G20" s="121">
        <v>0</v>
      </c>
      <c r="H20" s="122"/>
    </row>
    <row r="21" spans="1:13" s="54" customFormat="1" ht="24.95" customHeight="1" thickBot="1">
      <c r="A21" s="236" t="s">
        <v>84</v>
      </c>
      <c r="B21" s="237"/>
      <c r="C21" s="237"/>
      <c r="D21" s="237"/>
      <c r="E21" s="237"/>
      <c r="F21" s="237"/>
      <c r="G21" s="59">
        <f>SUM(G18:G20)</f>
        <v>12650</v>
      </c>
      <c r="H21" s="60"/>
    </row>
    <row r="22" spans="1:13" ht="15.75" thickTop="1">
      <c r="A22" s="61" t="str">
        <f>" 1) Above Price are as per your quotation with ref "&amp;'PO 1st page'!K14</f>
        <v xml:space="preserve"> 1) Above Price are as per your quotation with ref ST/HEC/26/125</v>
      </c>
      <c r="B22" s="62"/>
      <c r="C22" s="62"/>
      <c r="D22" s="63"/>
      <c r="E22" s="63"/>
      <c r="F22" s="63"/>
      <c r="G22" s="63"/>
      <c r="H22" s="63"/>
    </row>
    <row r="23" spans="1:13" ht="15">
      <c r="A23" s="64" t="s">
        <v>85</v>
      </c>
      <c r="B23" s="65"/>
      <c r="C23" s="65"/>
      <c r="D23" s="66"/>
      <c r="E23" s="66"/>
      <c r="F23" s="66"/>
      <c r="G23" s="66"/>
      <c r="H23" s="66"/>
      <c r="I23" s="67"/>
    </row>
    <row r="24" spans="1:13" ht="15.75">
      <c r="A24" s="68"/>
    </row>
    <row r="25" spans="1:13">
      <c r="A25" s="207" t="s">
        <v>86</v>
      </c>
      <c r="B25" s="207"/>
      <c r="C25" s="207"/>
      <c r="D25" s="207"/>
      <c r="E25" s="207"/>
      <c r="F25" s="207"/>
      <c r="G25" s="207"/>
      <c r="H25" s="207"/>
      <c r="I25" s="69"/>
      <c r="J25" s="69"/>
      <c r="K25" s="69"/>
      <c r="L25" s="69"/>
      <c r="M25" s="69"/>
    </row>
    <row r="26" spans="1:13" ht="15.75">
      <c r="A26" s="68"/>
      <c r="C26" s="70"/>
    </row>
    <row r="27" spans="1:13" ht="15.75">
      <c r="A27" s="68"/>
      <c r="C27" s="70"/>
    </row>
    <row r="29" spans="1:13" ht="12" customHeight="1"/>
  </sheetData>
  <mergeCells count="25">
    <mergeCell ref="A18:F18"/>
    <mergeCell ref="A19:F19"/>
    <mergeCell ref="A21:F21"/>
    <mergeCell ref="A25:H25"/>
    <mergeCell ref="B12:C12"/>
    <mergeCell ref="B13:C13"/>
    <mergeCell ref="B14:C14"/>
    <mergeCell ref="B15:C15"/>
    <mergeCell ref="B16:C16"/>
    <mergeCell ref="B17:C17"/>
    <mergeCell ref="A20:F20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2026-10-21T04:14:08Z</cp:lastPrinted>
  <dcterms:created xsi:type="dcterms:W3CDTF">2024-10-20T11:50:19Z</dcterms:created>
  <dcterms:modified xsi:type="dcterms:W3CDTF">2026-10-21T04:22:31Z</dcterms:modified>
</cp:coreProperties>
</file>