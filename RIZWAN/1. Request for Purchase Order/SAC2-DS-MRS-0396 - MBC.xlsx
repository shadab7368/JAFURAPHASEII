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17AB8A0-1FBB-471F-A40B-50656788F415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J7" i="1"/>
  <c r="J7" i="2" s="1"/>
  <c r="G7" i="4" s="1"/>
  <c r="J16" i="1"/>
  <c r="F7" i="4"/>
  <c r="E7" i="4"/>
  <c r="D7" i="4"/>
  <c r="B7" i="4"/>
  <c r="B6" i="4"/>
  <c r="E3" i="1"/>
  <c r="H6" i="4" l="1"/>
  <c r="P54" i="3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J6" i="1" l="1"/>
  <c r="K10" i="3"/>
  <c r="A21" i="4" l="1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<sst xmlns="http://schemas.openxmlformats.org/spreadsheetml/2006/main" count="159" uniqueCount="136">
  <si>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</si>
  <si>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</si>
  <si>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</si>
  <si>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</si>
  <si>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</si>
  <si>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</si>
  <si>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</si>
  <si>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</si>
  <si>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</si>
  <si>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</si>
  <si>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</si>
  <si>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</si>
  <si>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</si>
  <si>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</si>
  <si>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</si>
  <si>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</si>
  <si>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</si>
  <si>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</si>
  <si>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</si>
  <si>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</si>
  <si>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</si>
  <si>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</si>
  <si>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</si>
  <si>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</si>
  <si>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</si>
  <si>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</si>
  <si>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</si>
  <si>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</si>
  <si>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</si>
  <si>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</si>
  <si>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</si>
  <si>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</si>
  <si>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</si>
  <si>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</si>
  <si>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</si>
  <si>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</si>
  <si>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</si>
  <si>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</si>
  <si>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</si>
  <si>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</si>
  <si>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</si>
  <si>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</si>
  <si>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</si>
  <si>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</si>
  <si>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</si>
  <si>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</si>
  <si>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</si>
  <si>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</si>
  <si>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</si>
  <si>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</si>
  <si>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</si>
  <si>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</si>
  <si>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</si>
  <si>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</si>
  <si>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</si>
  <si>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</si>
  <si>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</si>
  <si>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</si>
  <si>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</si>
  <si>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</si>
  <si>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</si>
  <si>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</si>
  <si>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</si>
  <si>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</si>
  <si>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</si>
  <si>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</si>
  <si>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</si>
  <si>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</si>
  <si>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</si>
  <si>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</si>
  <si>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</si>
  <si>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</si>
  <si>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</si>
  <si>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</si>
  <si>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</si>
  <si>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</si>
  <si>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</si>
  <si>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</si>
  <si>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</si>
  <si>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</si>
  <si>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</si>
  <si>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</si>
  <si>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</si>
  <si>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</si>
  <si>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</si>
  <si>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</si>
  <si>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</si>
  <si>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</si>
  <si>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</si>
  <si>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</si>
  <si>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</si>
  <si>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</si>
  <si>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</si>
  <si>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</si>
  <si>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</si>
  <si>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</si>
  <si>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</si>
  <si>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</si>
  <si>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</si>
  <si>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</si>
  <si>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</si>
  <si>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</si>
  <si>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</si>
  <si>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</si>
  <si>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</si>
  <si>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</si>
  <si>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</si>
  <si>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</si>
  <si>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</si>
  <si>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</si>
  <si>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</si>
  <si>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172000010006086184691</t>
  </si>
  <si>
    <t>ALRAJHI BANK</t>
  </si>
  <si>
    <t>RJHISARI</t>
  </si>
  <si>
    <t>Monthly Based</t>
  </si>
  <si>
    <t>SA28 8000 0172 6080 1618 4691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</si>
  <si>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-MRS-0396</t>
    </r>
  </si>
  <si>
    <t>Helper</t>
  </si>
  <si>
    <t>Pipe Fitter</t>
  </si>
  <si>
    <t xml:space="preserve">Monthly 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</si>
  <si>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</si>
  <si>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</si>
  <si>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</si>
  <si>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</si>
  <si>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</si>
  <si>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</si>
  <si>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</si>
  <si>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</si>
  <si>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</si>
  <si>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</si>
  <si>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</si>
  <si>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</si>
  <si>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</si>
  <si>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</si>
  <si>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MBC 2026015</t>
  </si>
  <si>
    <t>MUHAMMED ALI BIN MAKKI AL HARFAN GENERAL CON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</si>
</sst>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/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757990</xdr:colOff>
          <xdr:row>17</xdr:row>
          <xdr:rowOff>65672</xdr:rowOff>
        </xdr:from>
        <xdr:to>
          <xdr:col>11</xdr:col>
          <xdr:colOff>1605715</xdr:colOff>
          <xdr:row>23</xdr:row>
          <xdr:rowOff>303797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90F7D24-F6CA-4433-2116-696C17B37A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0069" y="5048751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2" sqref="O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30" t="s">
        <v>132</v>
      </c>
      <c r="B1" s="131"/>
      <c r="C1" s="106"/>
      <c r="D1" s="106"/>
      <c r="E1" s="106"/>
      <c r="F1" s="106"/>
      <c r="G1" s="1"/>
      <c r="J1" s="146" t="s">
        <v>81</v>
      </c>
      <c r="K1" s="147"/>
      <c r="L1" s="148"/>
    </row>
    <row r="2" spans="1:18" ht="20.100000000000001" customHeight="1">
      <c r="A2" s="3" t="s">
        <v>1</v>
      </c>
      <c r="B2" s="97"/>
      <c r="C2" s="97"/>
      <c r="D2" s="3" t="s">
        <v>133</v>
      </c>
      <c r="E2" s="97"/>
      <c r="F2" s="97"/>
      <c r="G2" s="97"/>
      <c r="H2" s="97"/>
      <c r="I2" s="4"/>
      <c r="J2" s="162" t="s">
        <v>88</v>
      </c>
      <c r="K2" s="163"/>
      <c r="L2" s="164"/>
    </row>
    <row r="3" spans="1:18" ht="20.100000000000001" customHeight="1">
      <c r="A3" s="3" t="s">
        <v>116</v>
      </c>
      <c r="B3" s="97"/>
      <c r="C3" s="97"/>
      <c r="D3" s="97"/>
      <c r="E3" s="149">
        <f>+L3+3</f>
        <v>46243</v>
      </c>
      <c r="F3" s="149"/>
      <c r="G3" s="149"/>
      <c r="H3" s="149"/>
      <c r="I3" s="149"/>
      <c r="J3" s="97"/>
      <c r="K3" s="97"/>
      <c r="L3" s="132">
        <v>46240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85</v>
      </c>
      <c r="J4" s="150" t="s">
        <v>86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65" t="s">
        <v>117</v>
      </c>
      <c r="C6" s="166"/>
      <c r="D6" s="167"/>
      <c r="E6" s="168"/>
      <c r="F6" s="169"/>
      <c r="G6" s="107" t="s">
        <v>90</v>
      </c>
      <c r="H6" s="108">
        <v>1</v>
      </c>
      <c r="I6" s="109">
        <v>13</v>
      </c>
      <c r="J6" s="109">
        <f>H6*I6</f>
        <v>13</v>
      </c>
      <c r="K6" s="110" t="s">
        <v>102</v>
      </c>
      <c r="L6" s="111" t="s">
        <v>119</v>
      </c>
      <c r="R6" s="102"/>
    </row>
    <row r="7" spans="1:18" ht="22.5" customHeight="1">
      <c r="A7" s="5">
        <f t="shared" si="0"/>
        <v>2</v>
      </c>
      <c r="B7" s="165" t="s">
        <v>118</v>
      </c>
      <c r="C7" s="166"/>
      <c r="D7" s="170"/>
      <c r="E7" s="168"/>
      <c r="F7" s="169"/>
      <c r="G7" s="107" t="s">
        <v>90</v>
      </c>
      <c r="H7" s="108">
        <v>1</v>
      </c>
      <c r="I7" s="109">
        <v>19</v>
      </c>
      <c r="J7" s="109">
        <f>H7*I7</f>
        <v>19</v>
      </c>
      <c r="K7" s="110"/>
      <c r="L7" s="111"/>
      <c r="R7" s="102"/>
    </row>
    <row r="8" spans="1:18" ht="22.5" customHeight="1">
      <c r="A8" s="5">
        <f t="shared" si="0"/>
        <v>3</v>
      </c>
      <c r="B8" s="165"/>
      <c r="C8" s="166"/>
      <c r="D8" s="167"/>
      <c r="E8" s="168"/>
      <c r="F8" s="169"/>
      <c r="G8" s="107"/>
      <c r="H8" s="108"/>
      <c r="I8" s="109"/>
      <c r="J8" s="109"/>
      <c r="K8" s="110"/>
      <c r="L8" s="111"/>
      <c r="R8" s="102"/>
    </row>
    <row r="9" spans="1:18" ht="22.5" customHeight="1">
      <c r="A9" s="5">
        <f t="shared" si="0"/>
        <v>4</v>
      </c>
      <c r="B9" s="165"/>
      <c r="C9" s="166"/>
      <c r="D9" s="167"/>
      <c r="E9" s="168"/>
      <c r="F9" s="169"/>
      <c r="G9" s="107"/>
      <c r="H9" s="108"/>
      <c r="I9" s="109"/>
      <c r="J9" s="109"/>
      <c r="K9" s="110"/>
      <c r="L9" s="111"/>
      <c r="R9" s="102"/>
    </row>
    <row r="10" spans="1:18" ht="22.5" customHeight="1">
      <c r="A10" s="5">
        <f t="shared" si="0"/>
        <v>5</v>
      </c>
      <c r="B10" s="171"/>
      <c r="C10" s="171"/>
      <c r="D10" s="172"/>
      <c r="E10" s="172"/>
      <c r="F10" s="172"/>
      <c r="G10" s="107"/>
      <c r="H10" s="108"/>
      <c r="I10" s="112"/>
      <c r="J10" s="109"/>
      <c r="K10" s="110"/>
      <c r="L10" s="107"/>
      <c r="R10" s="102"/>
    </row>
    <row r="11" spans="1:18" ht="22.5" customHeight="1">
      <c r="A11" s="5">
        <f t="shared" si="0"/>
        <v>6</v>
      </c>
      <c r="B11" s="165"/>
      <c r="C11" s="166"/>
      <c r="D11" s="167"/>
      <c r="E11" s="168"/>
      <c r="F11" s="169"/>
      <c r="G11" s="107"/>
      <c r="H11" s="108"/>
      <c r="I11" s="109"/>
      <c r="J11" s="109"/>
      <c r="K11" s="110"/>
      <c r="L11" s="111"/>
      <c r="R11" s="102"/>
    </row>
    <row r="12" spans="1:18" ht="22.5" customHeight="1">
      <c r="A12" s="5">
        <f t="shared" si="0"/>
        <v>7</v>
      </c>
      <c r="B12" s="171"/>
      <c r="C12" s="171"/>
      <c r="D12" s="172"/>
      <c r="E12" s="172"/>
      <c r="F12" s="172"/>
      <c r="G12" s="107"/>
      <c r="H12" s="108"/>
      <c r="I12" s="112"/>
      <c r="J12" s="109"/>
      <c r="K12" s="110"/>
      <c r="L12" s="107"/>
      <c r="R12" s="102"/>
    </row>
    <row r="13" spans="1:18" ht="22.5" customHeight="1">
      <c r="A13" s="5">
        <f t="shared" si="0"/>
        <v>8</v>
      </c>
      <c r="B13" s="165"/>
      <c r="C13" s="166"/>
      <c r="D13" s="167"/>
      <c r="E13" s="168"/>
      <c r="F13" s="169"/>
      <c r="G13" s="107"/>
      <c r="H13" s="108"/>
      <c r="I13" s="109"/>
      <c r="J13" s="109"/>
      <c r="K13" s="110"/>
      <c r="L13" s="111"/>
      <c r="R13" s="102"/>
    </row>
    <row r="14" spans="1:18" ht="22.5" customHeight="1">
      <c r="A14" s="5">
        <f t="shared" si="0"/>
        <v>9</v>
      </c>
      <c r="B14" s="165"/>
      <c r="C14" s="166"/>
      <c r="D14" s="167"/>
      <c r="E14" s="168"/>
      <c r="F14" s="169"/>
      <c r="G14" s="107"/>
      <c r="H14" s="108"/>
      <c r="I14" s="109"/>
      <c r="J14" s="109"/>
      <c r="K14" s="110"/>
      <c r="L14" s="111"/>
      <c r="R14" s="102"/>
    </row>
    <row r="15" spans="1:18" ht="22.5" customHeight="1">
      <c r="A15" s="5">
        <f t="shared" si="0"/>
        <v>10</v>
      </c>
      <c r="B15" s="165"/>
      <c r="C15" s="166"/>
      <c r="D15" s="167"/>
      <c r="E15" s="168"/>
      <c r="F15" s="169"/>
      <c r="G15" s="107"/>
      <c r="H15" s="108"/>
      <c r="I15" s="109"/>
      <c r="J15" s="109"/>
      <c r="K15" s="110"/>
      <c r="L15" s="111"/>
      <c r="R15" s="102"/>
    </row>
    <row r="16" spans="1:18" ht="22.5" customHeight="1">
      <c r="A16" s="173" t="s">
        <v>8</v>
      </c>
      <c r="B16" s="174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32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120</v>
      </c>
      <c r="P20" s="139"/>
      <c r="Q20" s="139"/>
      <c r="R20" s="134"/>
      <c r="S20" s="123"/>
      <c r="T20" s="133" t="s">
        <v>121</v>
      </c>
      <c r="U20" s="139"/>
      <c r="V20" s="139"/>
      <c r="W20" s="139"/>
      <c r="X20" s="139"/>
      <c r="Y20" s="134"/>
    </row>
    <row r="21" spans="1:26" ht="15" customHeight="1">
      <c r="O21" s="140" t="s">
        <v>122</v>
      </c>
      <c r="P21" s="142" t="s">
        <v>123</v>
      </c>
      <c r="Q21" s="140" t="s">
        <v>124</v>
      </c>
      <c r="R21" s="142" t="s">
        <v>125</v>
      </c>
      <c r="S21" s="123"/>
      <c r="T21" s="140" t="s">
        <v>126</v>
      </c>
      <c r="U21" s="142" t="s">
        <v>127</v>
      </c>
      <c r="V21" s="133" t="s">
        <v>128</v>
      </c>
      <c r="W21" s="139"/>
      <c r="X21" s="134"/>
      <c r="Y21" s="142" t="s">
        <v>129</v>
      </c>
    </row>
    <row r="22" spans="1:26" ht="18" customHeight="1">
      <c r="O22" s="141"/>
      <c r="P22" s="143"/>
      <c r="Q22" s="141"/>
      <c r="R22" s="143"/>
      <c r="S22" s="124"/>
      <c r="T22" s="141"/>
      <c r="U22" s="143"/>
      <c r="V22" s="13" t="s">
        <v>122</v>
      </c>
      <c r="W22" s="144" t="s">
        <v>130</v>
      </c>
      <c r="X22" s="145"/>
      <c r="Y22" s="14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33"/>
      <c r="X23" s="134"/>
      <c r="Y23" s="125"/>
    </row>
    <row r="24" spans="1:26" ht="36" customHeight="1">
      <c r="W24" s="126"/>
      <c r="X24" s="135" t="s">
        <v>131</v>
      </c>
      <c r="Y24" s="12" t="s">
        <v>129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36"/>
      <c r="Y25" s="129"/>
    </row>
    <row r="26" spans="1:26" ht="19.899999999999999" customHeight="1"/>
    <row r="27" spans="1:26" ht="17.45" customHeight="1">
      <c r="O27" s="175"/>
      <c r="P27" s="175"/>
    </row>
    <row r="28" spans="1:26" ht="19.899999999999999" customHeight="1">
      <c r="O28" s="175"/>
      <c r="P28" s="175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2" t="s">
        <v>12</v>
      </c>
      <c r="P46" s="142" t="s">
        <v>12</v>
      </c>
      <c r="S46" s="142" t="s">
        <v>11</v>
      </c>
    </row>
    <row r="47" spans="15:19" ht="21" customHeight="1">
      <c r="O47" s="143"/>
      <c r="P47" s="143"/>
      <c r="S47" s="14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2" t="s">
        <v>12</v>
      </c>
      <c r="P50" s="142" t="s">
        <v>12</v>
      </c>
      <c r="S50" s="142" t="s">
        <v>13</v>
      </c>
    </row>
    <row r="51" spans="15:19" ht="21" customHeight="1">
      <c r="O51" s="143"/>
      <c r="P51" s="143"/>
      <c r="S51" s="141"/>
    </row>
    <row r="52" spans="15:19" ht="64.900000000000006" customHeight="1">
      <c r="O52" s="14"/>
      <c r="P52" s="14"/>
      <c r="S52" s="14"/>
    </row>
  </sheetData>
  <mergeCells count="55"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P21:P22"/>
    <mergeCell ref="S46:S4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7" sqref="J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2" t="str">
        <f>+MRS!J2</f>
        <v>Subcontract name (SAC2-SC-IK-SMP-01)</v>
      </c>
      <c r="K2" s="164"/>
    </row>
    <row r="3" spans="1:18" ht="24.95" customHeight="1">
      <c r="A3" s="3" t="str">
        <f>+MRS!A3</f>
        <v xml:space="preserve">  MRS No : SAC2-DS-MRS-0396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46240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82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Helper</v>
      </c>
      <c r="C6" s="179"/>
      <c r="D6" s="180">
        <f>MRS!D6</f>
        <v>0</v>
      </c>
      <c r="E6" s="181"/>
      <c r="F6" s="182"/>
      <c r="G6" s="99" t="str">
        <f>MRS!G6</f>
        <v>Hour</v>
      </c>
      <c r="H6" s="99">
        <f>MRS!H6</f>
        <v>1</v>
      </c>
      <c r="I6" s="100">
        <f>MRS!I6</f>
        <v>13</v>
      </c>
      <c r="J6" s="100">
        <f>MRS!J6</f>
        <v>13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8" t="str">
        <f>MRS!B7</f>
        <v>Pipe Fitter</v>
      </c>
      <c r="C7" s="179"/>
      <c r="D7" s="180">
        <f>MRS!D7</f>
        <v>0</v>
      </c>
      <c r="E7" s="181"/>
      <c r="F7" s="182"/>
      <c r="G7" s="99" t="str">
        <f>MRS!G7</f>
        <v>Hour</v>
      </c>
      <c r="H7" s="99">
        <f>MRS!H7</f>
        <v>1</v>
      </c>
      <c r="I7" s="100">
        <f>MRS!I7</f>
        <v>19</v>
      </c>
      <c r="J7" s="100">
        <f>MRS!J7</f>
        <v>19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12" zoomScale="130" zoomScaleNormal="100" zoomScaleSheetLayoutView="130" workbookViewId="0">
      <selection activeCell="I30" sqref="I3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9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103</v>
      </c>
      <c r="D9" s="35"/>
      <c r="E9" s="35"/>
    </row>
    <row r="10" spans="2:13" s="35" customFormat="1">
      <c r="B10" s="68"/>
      <c r="C10" s="35" t="s">
        <v>23</v>
      </c>
      <c r="D10" s="72" t="s">
        <v>104</v>
      </c>
      <c r="J10" s="35" t="s">
        <v>24</v>
      </c>
      <c r="K10" s="189">
        <f>MRS!L3</f>
        <v>46240</v>
      </c>
      <c r="L10" s="190"/>
      <c r="M10" s="190"/>
    </row>
    <row r="11" spans="2:13" s="35" customFormat="1">
      <c r="B11" s="68"/>
      <c r="C11" s="71" t="s">
        <v>25</v>
      </c>
      <c r="D11" s="72" t="s">
        <v>105</v>
      </c>
      <c r="J11" s="35" t="s">
        <v>26</v>
      </c>
      <c r="K11" s="191" t="str">
        <f>SUBSTITUTE(SUBSTITUTE(+MRS!A3,"  MRS No : ",""),"-MRS","-PO")</f>
        <v>SAC2-DS-PO-0396</v>
      </c>
      <c r="L11" s="191"/>
      <c r="M11" s="191"/>
    </row>
    <row r="12" spans="2:13" s="35" customFormat="1">
      <c r="B12" s="68"/>
      <c r="C12" s="71" t="s">
        <v>27</v>
      </c>
      <c r="D12" s="35" t="s">
        <v>106</v>
      </c>
      <c r="J12" s="35" t="s">
        <v>28</v>
      </c>
    </row>
    <row r="13" spans="2:13" s="35" customFormat="1">
      <c r="B13" s="68"/>
      <c r="C13" s="73"/>
      <c r="D13" s="72" t="s">
        <v>107</v>
      </c>
      <c r="J13" s="35" t="s">
        <v>29</v>
      </c>
    </row>
    <row r="14" spans="2:13" s="35" customFormat="1">
      <c r="B14" s="68"/>
      <c r="C14" s="73" t="s">
        <v>108</v>
      </c>
      <c r="J14" s="35" t="s">
        <v>30</v>
      </c>
      <c r="K14" s="35" t="s">
        <v>134</v>
      </c>
    </row>
    <row r="15" spans="2:13" s="35" customFormat="1">
      <c r="B15" s="68"/>
      <c r="C15" s="73" t="s">
        <v>109</v>
      </c>
      <c r="J15" s="35" t="s">
        <v>31</v>
      </c>
      <c r="K15" s="74">
        <v>46239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tr">
        <f>MRS!B6&amp;" &amp; "&amp;MRS!B7</f>
        <v>Helper &amp; Pipe Fitter</v>
      </c>
      <c r="M26" s="75" t="s">
        <v>37</v>
      </c>
    </row>
    <row r="27" spans="2:13" ht="11.1" customHeight="1">
      <c r="B27" s="28"/>
      <c r="C27" s="121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114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89</v>
      </c>
      <c r="P49" s="78"/>
    </row>
    <row r="50" spans="2:16" s="79" customFormat="1" ht="12" customHeight="1">
      <c r="B50" s="80" t="s">
        <v>56</v>
      </c>
      <c r="C50" s="77" t="s">
        <v>84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91</v>
      </c>
    </row>
    <row r="54" spans="2:16" ht="12" customHeight="1">
      <c r="B54" s="80" t="s">
        <v>56</v>
      </c>
      <c r="C54" s="119" t="s">
        <v>92</v>
      </c>
      <c r="F54" s="120" t="s">
        <v>135</v>
      </c>
      <c r="P54" s="22" t="str">
        <f>UPPER(F54)</f>
        <v>MUHAMMED ALI BIN MAKKI AL HARFAN GENERAL CON EST.</v>
      </c>
    </row>
    <row r="55" spans="2:16" ht="12" customHeight="1">
      <c r="B55" s="80" t="s">
        <v>56</v>
      </c>
      <c r="C55" s="119" t="s">
        <v>93</v>
      </c>
      <c r="F55" s="120" t="s">
        <v>111</v>
      </c>
    </row>
    <row r="56" spans="2:16" ht="12" customHeight="1">
      <c r="B56" s="80" t="s">
        <v>56</v>
      </c>
      <c r="C56" s="119" t="s">
        <v>94</v>
      </c>
      <c r="F56" s="120" t="s">
        <v>115</v>
      </c>
    </row>
    <row r="57" spans="2:16" ht="12" customHeight="1">
      <c r="B57" s="80" t="s">
        <v>56</v>
      </c>
      <c r="C57" s="119" t="s">
        <v>95</v>
      </c>
      <c r="F57" s="22" t="s">
        <v>112</v>
      </c>
    </row>
    <row r="58" spans="2:16" ht="12" customHeight="1">
      <c r="B58" s="80" t="s">
        <v>56</v>
      </c>
      <c r="C58" s="119" t="s">
        <v>96</v>
      </c>
      <c r="F58" s="22" t="s">
        <v>113</v>
      </c>
    </row>
    <row r="59" spans="2:16" ht="12" customHeight="1">
      <c r="B59" s="80" t="s">
        <v>56</v>
      </c>
      <c r="C59" s="119" t="s">
        <v>97</v>
      </c>
      <c r="F59" s="22" t="s">
        <v>98</v>
      </c>
    </row>
    <row r="60" spans="2:16" ht="12" customHeight="1">
      <c r="B60" s="80"/>
      <c r="C60" s="122" t="s">
        <v>99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Abdur Rahman</v>
      </c>
    </row>
    <row r="68" spans="1:13" ht="18" customHeight="1">
      <c r="B68" s="22" t="s">
        <v>62</v>
      </c>
      <c r="J68" s="22" t="s">
        <v>63</v>
      </c>
      <c r="K68" s="18" t="s">
        <v>110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100</v>
      </c>
      <c r="J70" s="197" t="str">
        <f>C9</f>
        <v>MBC(Muhammad Ali Bin Makki Al Harfan General Contracting Est.)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SAC2-DS-PO-0396</v>
      </c>
      <c r="C2" s="200" t="s">
        <v>68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46240</v>
      </c>
      <c r="C3" s="47"/>
      <c r="D3" s="48"/>
      <c r="E3" s="201" t="s">
        <v>70</v>
      </c>
      <c r="F3" s="201"/>
      <c r="G3" s="201"/>
      <c r="H3" s="201"/>
      <c r="I3" s="49"/>
    </row>
    <row r="4" spans="1:13" s="51" customFormat="1" ht="28.5" customHeight="1" thickTop="1">
      <c r="A4" s="202" t="s">
        <v>71</v>
      </c>
      <c r="B4" s="204" t="s">
        <v>72</v>
      </c>
      <c r="C4" s="205"/>
      <c r="D4" s="208" t="s">
        <v>73</v>
      </c>
      <c r="E4" s="208" t="s">
        <v>74</v>
      </c>
      <c r="F4" s="210" t="str">
        <f>'PO 1st page'!C9</f>
        <v>MBC(Muhammad Ali Bin Makki Al Harfan General Contracting Est.)</v>
      </c>
      <c r="G4" s="211"/>
      <c r="H4" s="212" t="s">
        <v>75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76</v>
      </c>
      <c r="G5" s="53" t="s">
        <v>42</v>
      </c>
      <c r="H5" s="213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8" t="str">
        <f>MRS!B6</f>
        <v>Helper</v>
      </c>
      <c r="C6" s="199"/>
      <c r="D6" s="82" t="str">
        <f>+'MRS LIST'!G6</f>
        <v>Hour</v>
      </c>
      <c r="E6" s="83">
        <f>+'MRS LIST'!H6</f>
        <v>1</v>
      </c>
      <c r="F6" s="84">
        <f>+'MRS LIST'!I6</f>
        <v>13</v>
      </c>
      <c r="G6" s="85">
        <f>+'MRS LIST'!J6</f>
        <v>13</v>
      </c>
      <c r="H6" s="86" t="str">
        <f>MRS!L6</f>
        <v xml:space="preserve">Monthly 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8" t="str">
        <f>MRS!B7</f>
        <v>Pipe Fitter</v>
      </c>
      <c r="C7" s="199"/>
      <c r="D7" s="82" t="str">
        <f>+'MRS LIST'!G7</f>
        <v>Hour</v>
      </c>
      <c r="E7" s="83">
        <f>+'MRS LIST'!H7</f>
        <v>1</v>
      </c>
      <c r="F7" s="84">
        <f>+'MRS LIST'!I7</f>
        <v>19</v>
      </c>
      <c r="G7" s="85">
        <f>+'MRS LIST'!J7</f>
        <v>19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8"/>
      <c r="C8" s="199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8"/>
      <c r="C9" s="199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198"/>
      <c r="C10" s="199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8"/>
      <c r="C11" s="199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8"/>
      <c r="C12" s="21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8"/>
      <c r="C13" s="21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8"/>
      <c r="C14" s="21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8"/>
      <c r="C15" s="21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8"/>
      <c r="C16" s="21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8"/>
      <c r="C17" s="219"/>
      <c r="D17" s="90"/>
      <c r="E17" s="91"/>
      <c r="F17" s="92"/>
      <c r="G17" s="93"/>
      <c r="H17" s="94"/>
    </row>
    <row r="18" spans="1:13" s="51" customFormat="1" ht="23.1" customHeight="1">
      <c r="A18" s="214" t="s">
        <v>77</v>
      </c>
      <c r="B18" s="215"/>
      <c r="C18" s="215"/>
      <c r="D18" s="215"/>
      <c r="E18" s="215"/>
      <c r="F18" s="215"/>
      <c r="G18" s="54">
        <f>SUM(G6:G17)</f>
        <v>32</v>
      </c>
      <c r="H18" s="55"/>
    </row>
    <row r="19" spans="1:13" s="51" customFormat="1" ht="23.1" customHeight="1">
      <c r="A19" s="214" t="s">
        <v>41</v>
      </c>
      <c r="B19" s="215"/>
      <c r="C19" s="215"/>
      <c r="D19" s="215"/>
      <c r="E19" s="215"/>
      <c r="F19" s="215"/>
      <c r="G19" s="54">
        <f>+G18*0.15</f>
        <v>4.8</v>
      </c>
      <c r="H19" s="55"/>
    </row>
    <row r="20" spans="1:13" s="51" customFormat="1" ht="24.95" customHeight="1" thickBot="1">
      <c r="A20" s="216" t="s">
        <v>78</v>
      </c>
      <c r="B20" s="217"/>
      <c r="C20" s="217"/>
      <c r="D20" s="217"/>
      <c r="E20" s="217"/>
      <c r="F20" s="217"/>
      <c r="G20" s="56">
        <f>G19+G18</f>
        <v>36.799999999999997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MBC 2026015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2026-08-11T06:28:07Z</cp:lastPrinted>
  <dcterms:created xsi:type="dcterms:W3CDTF">2024-10-20T11:50:19Z</dcterms:created>
  <dcterms:modified xsi:type="dcterms:W3CDTF">2026-08-11T06:36:41Z</dcterms:modified>
</cp:coreProperties>
</file>