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023C83F-F4F3-478F-8900-6B4D85B91104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MRS!$A$1:$L$97</definedName>
    <definedName name="_xlnm.Print_Area" localSheetId="1">'MRS LIST'!$A$1:$K$30</definedName>
    <definedName name="_xlnm.Print_Area" localSheetId="2">'PO 1st page'!$A$1:$N$71</definedName>
    <definedName name="_xlnm.Print_Area" localSheetId="3">'PO 2nd page'!$A$1:$H$95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I30" i="2"/>
  <c r="H30" i="2"/>
  <c r="G30" i="2"/>
  <c r="D30" i="2"/>
  <c r="B30" i="2"/>
  <c r="A30" i="2"/>
  <c r="J29" i="2"/>
  <c r="I29" i="2"/>
  <c r="H29" i="2"/>
  <c r="G29" i="2"/>
  <c r="D29" i="2"/>
  <c r="B29" i="2"/>
  <c r="A29" i="2"/>
  <c r="J28" i="2"/>
  <c r="I28" i="2"/>
  <c r="H28" i="2"/>
  <c r="G28" i="2"/>
  <c r="D28" i="2"/>
  <c r="B28" i="2"/>
  <c r="A28" i="2"/>
  <c r="J27" i="2"/>
  <c r="I27" i="2"/>
  <c r="H27" i="2"/>
  <c r="G27" i="2"/>
  <c r="D27" i="2"/>
  <c r="B27" i="2"/>
  <c r="A27" i="2"/>
  <c r="J26" i="2"/>
  <c r="I26" i="2"/>
  <c r="H26" i="2"/>
  <c r="G26" i="2"/>
  <c r="D26" i="2"/>
  <c r="B26" i="2"/>
  <c r="A26" i="2"/>
  <c r="J25" i="2"/>
  <c r="I25" i="2"/>
  <c r="H25" i="2"/>
  <c r="G25" i="2"/>
  <c r="D25" i="2"/>
  <c r="B25" i="2"/>
  <c r="A25" i="2"/>
  <c r="J24" i="2"/>
  <c r="I24" i="2"/>
  <c r="H24" i="2"/>
  <c r="G24" i="2"/>
  <c r="D24" i="2"/>
  <c r="B24" i="2"/>
  <c r="A24" i="2"/>
  <c r="J23" i="2"/>
  <c r="I23" i="2"/>
  <c r="H23" i="2"/>
  <c r="G23" i="2"/>
  <c r="D23" i="2"/>
  <c r="B23" i="2"/>
  <c r="A23" i="2"/>
  <c r="J22" i="2"/>
  <c r="I22" i="2"/>
  <c r="H22" i="2"/>
  <c r="G22" i="2"/>
  <c r="D22" i="2"/>
  <c r="B22" i="2"/>
  <c r="A22" i="2"/>
  <c r="J21" i="2"/>
  <c r="I21" i="2"/>
  <c r="H21" i="2"/>
  <c r="G21" i="2"/>
  <c r="D21" i="2"/>
  <c r="B21" i="2"/>
  <c r="A21" i="2"/>
  <c r="J20" i="2"/>
  <c r="I20" i="2"/>
  <c r="H20" i="2"/>
  <c r="G20" i="2"/>
  <c r="D20" i="2"/>
  <c r="B20" i="2"/>
  <c r="A20" i="2"/>
  <c r="J19" i="2"/>
  <c r="I19" i="2"/>
  <c r="H19" i="2"/>
  <c r="G19" i="2"/>
  <c r="D19" i="2"/>
  <c r="B19" i="2"/>
  <c r="A19" i="2"/>
  <c r="J18" i="2"/>
  <c r="I18" i="2"/>
  <c r="H18" i="2"/>
  <c r="G18" i="2"/>
  <c r="D18" i="2"/>
  <c r="B18" i="2"/>
  <c r="A18" i="2"/>
  <c r="J17" i="2"/>
  <c r="I17" i="2"/>
  <c r="H17" i="2"/>
  <c r="G17" i="2"/>
  <c r="D17" i="2"/>
  <c r="B17" i="2"/>
  <c r="A17" i="2"/>
  <c r="J16" i="2"/>
  <c r="I16" i="2"/>
  <c r="H16" i="2"/>
  <c r="G16" i="2"/>
  <c r="D16" i="2"/>
  <c r="B16" i="2"/>
  <c r="A16" i="2"/>
  <c r="J15" i="2"/>
  <c r="I15" i="2"/>
  <c r="H15" i="2"/>
  <c r="G15" i="2"/>
  <c r="D15" i="2"/>
  <c r="B15" i="2"/>
  <c r="A15" i="2"/>
  <c r="J14" i="2"/>
  <c r="I14" i="2"/>
  <c r="H14" i="2"/>
  <c r="G14" i="2"/>
  <c r="D14" i="2"/>
  <c r="B14" i="2"/>
  <c r="A14" i="2"/>
  <c r="J13" i="2"/>
  <c r="I13" i="2"/>
  <c r="H13" i="2"/>
  <c r="G13" i="2"/>
  <c r="D13" i="2"/>
  <c r="B13" i="2"/>
  <c r="A13" i="2"/>
  <c r="J12" i="2"/>
  <c r="I12" i="2"/>
  <c r="H12" i="2"/>
  <c r="G12" i="2"/>
  <c r="D12" i="2"/>
  <c r="B12" i="2"/>
  <c r="A12" i="2"/>
  <c r="J11" i="2"/>
  <c r="I11" i="2"/>
  <c r="H11" i="2"/>
  <c r="G11" i="2"/>
  <c r="D11" i="2"/>
  <c r="B11" i="2"/>
  <c r="A11" i="2"/>
  <c r="J10" i="2"/>
  <c r="I10" i="2"/>
  <c r="H10" i="2"/>
  <c r="G10" i="2"/>
  <c r="D10" i="2"/>
  <c r="B10" i="2"/>
  <c r="A10" i="2"/>
  <c r="J9" i="2"/>
  <c r="I9" i="2"/>
  <c r="H9" i="2"/>
  <c r="G9" i="2"/>
  <c r="D9" i="2"/>
  <c r="B9" i="2"/>
  <c r="A9" i="2"/>
  <c r="J8" i="2"/>
  <c r="I8" i="2"/>
  <c r="H8" i="2"/>
  <c r="G8" i="2"/>
  <c r="D8" i="2"/>
  <c r="B8" i="2"/>
  <c r="A8" i="2"/>
  <c r="B88" i="4" l="1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F88" i="4"/>
  <c r="E88" i="4"/>
  <c r="D88" i="4"/>
  <c r="F87" i="4"/>
  <c r="E87" i="4"/>
  <c r="D87" i="4"/>
  <c r="F86" i="4"/>
  <c r="G86" i="4" s="1"/>
  <c r="E86" i="4"/>
  <c r="D86" i="4"/>
  <c r="F85" i="4"/>
  <c r="E85" i="4"/>
  <c r="D85" i="4"/>
  <c r="F84" i="4"/>
  <c r="G84" i="4" s="1"/>
  <c r="E84" i="4"/>
  <c r="D84" i="4"/>
  <c r="G83" i="4"/>
  <c r="F83" i="4"/>
  <c r="E83" i="4"/>
  <c r="D83" i="4"/>
  <c r="F82" i="4"/>
  <c r="E82" i="4"/>
  <c r="D82" i="4"/>
  <c r="F81" i="4"/>
  <c r="E81" i="4"/>
  <c r="D81" i="4"/>
  <c r="F80" i="4"/>
  <c r="G80" i="4" s="1"/>
  <c r="E80" i="4"/>
  <c r="D80" i="4"/>
  <c r="F79" i="4"/>
  <c r="E79" i="4"/>
  <c r="D79" i="4"/>
  <c r="F78" i="4"/>
  <c r="G78" i="4" s="1"/>
  <c r="E78" i="4"/>
  <c r="D78" i="4"/>
  <c r="F77" i="4"/>
  <c r="G77" i="4" s="1"/>
  <c r="E77" i="4"/>
  <c r="D77" i="4"/>
  <c r="F76" i="4"/>
  <c r="G76" i="4" s="1"/>
  <c r="E76" i="4"/>
  <c r="D76" i="4"/>
  <c r="F75" i="4"/>
  <c r="G75" i="4" s="1"/>
  <c r="E75" i="4"/>
  <c r="D75" i="4"/>
  <c r="F74" i="4"/>
  <c r="G74" i="4" s="1"/>
  <c r="E74" i="4"/>
  <c r="D74" i="4"/>
  <c r="F73" i="4"/>
  <c r="E73" i="4"/>
  <c r="D73" i="4"/>
  <c r="F72" i="4"/>
  <c r="G72" i="4" s="1"/>
  <c r="E72" i="4"/>
  <c r="D72" i="4"/>
  <c r="F71" i="4"/>
  <c r="G71" i="4" s="1"/>
  <c r="E71" i="4"/>
  <c r="D71" i="4"/>
  <c r="F70" i="4"/>
  <c r="E70" i="4"/>
  <c r="D70" i="4"/>
  <c r="F69" i="4"/>
  <c r="E69" i="4"/>
  <c r="D69" i="4"/>
  <c r="F68" i="4"/>
  <c r="G68" i="4" s="1"/>
  <c r="E68" i="4"/>
  <c r="D68" i="4"/>
  <c r="F67" i="4"/>
  <c r="E67" i="4"/>
  <c r="D67" i="4"/>
  <c r="F66" i="4"/>
  <c r="G66" i="4" s="1"/>
  <c r="E66" i="4"/>
  <c r="D66" i="4"/>
  <c r="F65" i="4"/>
  <c r="G65" i="4" s="1"/>
  <c r="E65" i="4"/>
  <c r="D65" i="4"/>
  <c r="F64" i="4"/>
  <c r="E64" i="4"/>
  <c r="D64" i="4"/>
  <c r="F63" i="4"/>
  <c r="G63" i="4" s="1"/>
  <c r="E63" i="4"/>
  <c r="D63" i="4"/>
  <c r="F62" i="4"/>
  <c r="G62" i="4" s="1"/>
  <c r="E62" i="4"/>
  <c r="D62" i="4"/>
  <c r="F61" i="4"/>
  <c r="E61" i="4"/>
  <c r="D61" i="4"/>
  <c r="F60" i="4"/>
  <c r="G60" i="4" s="1"/>
  <c r="E60" i="4"/>
  <c r="D60" i="4"/>
  <c r="F59" i="4"/>
  <c r="G59" i="4" s="1"/>
  <c r="E59" i="4"/>
  <c r="D59" i="4"/>
  <c r="F58" i="4"/>
  <c r="G58" i="4" s="1"/>
  <c r="E58" i="4"/>
  <c r="D58" i="4"/>
  <c r="F57" i="4"/>
  <c r="G57" i="4" s="1"/>
  <c r="E57" i="4"/>
  <c r="D57" i="4"/>
  <c r="F56" i="4"/>
  <c r="G56" i="4" s="1"/>
  <c r="E56" i="4"/>
  <c r="D56" i="4"/>
  <c r="F55" i="4"/>
  <c r="E55" i="4"/>
  <c r="D55" i="4"/>
  <c r="F54" i="4"/>
  <c r="G54" i="4" s="1"/>
  <c r="E54" i="4"/>
  <c r="D54" i="4"/>
  <c r="F53" i="4"/>
  <c r="G53" i="4" s="1"/>
  <c r="E53" i="4"/>
  <c r="D53" i="4"/>
  <c r="F52" i="4"/>
  <c r="E52" i="4"/>
  <c r="D52" i="4"/>
  <c r="F51" i="4"/>
  <c r="E51" i="4"/>
  <c r="D51" i="4"/>
  <c r="F50" i="4"/>
  <c r="G50" i="4" s="1"/>
  <c r="E50" i="4"/>
  <c r="D50" i="4"/>
  <c r="F49" i="4"/>
  <c r="E49" i="4"/>
  <c r="D49" i="4"/>
  <c r="F48" i="4"/>
  <c r="G48" i="4" s="1"/>
  <c r="E48" i="4"/>
  <c r="D48" i="4"/>
  <c r="F47" i="4"/>
  <c r="G47" i="4" s="1"/>
  <c r="E47" i="4"/>
  <c r="D47" i="4"/>
  <c r="F46" i="4"/>
  <c r="E46" i="4"/>
  <c r="D46" i="4"/>
  <c r="F45" i="4"/>
  <c r="G45" i="4" s="1"/>
  <c r="E45" i="4"/>
  <c r="D45" i="4"/>
  <c r="F44" i="4"/>
  <c r="G44" i="4" s="1"/>
  <c r="E44" i="4"/>
  <c r="D44" i="4"/>
  <c r="F43" i="4"/>
  <c r="E43" i="4"/>
  <c r="D43" i="4"/>
  <c r="F42" i="4"/>
  <c r="G42" i="4" s="1"/>
  <c r="E42" i="4"/>
  <c r="D42" i="4"/>
  <c r="F41" i="4"/>
  <c r="G41" i="4" s="1"/>
  <c r="E41" i="4"/>
  <c r="D41" i="4"/>
  <c r="F40" i="4"/>
  <c r="E40" i="4"/>
  <c r="D40" i="4"/>
  <c r="F39" i="4"/>
  <c r="G39" i="4" s="1"/>
  <c r="E39" i="4"/>
  <c r="D39" i="4"/>
  <c r="F38" i="4"/>
  <c r="G38" i="4" s="1"/>
  <c r="E38" i="4"/>
  <c r="D38" i="4"/>
  <c r="F37" i="4"/>
  <c r="E37" i="4"/>
  <c r="D37" i="4"/>
  <c r="F36" i="4"/>
  <c r="G36" i="4" s="1"/>
  <c r="E36" i="4"/>
  <c r="D36" i="4"/>
  <c r="F35" i="4"/>
  <c r="G35" i="4" s="1"/>
  <c r="E35" i="4"/>
  <c r="D35" i="4"/>
  <c r="F34" i="4"/>
  <c r="E34" i="4"/>
  <c r="D34" i="4"/>
  <c r="F33" i="4"/>
  <c r="E33" i="4"/>
  <c r="D33" i="4"/>
  <c r="F32" i="4"/>
  <c r="G32" i="4" s="1"/>
  <c r="E32" i="4"/>
  <c r="D32" i="4"/>
  <c r="F31" i="4"/>
  <c r="E31" i="4"/>
  <c r="D31" i="4"/>
  <c r="F30" i="4"/>
  <c r="G30" i="4" s="1"/>
  <c r="E30" i="4"/>
  <c r="D30" i="4"/>
  <c r="F29" i="4"/>
  <c r="G29" i="4" s="1"/>
  <c r="E29" i="4"/>
  <c r="D29" i="4"/>
  <c r="F28" i="4"/>
  <c r="E28" i="4"/>
  <c r="D28" i="4"/>
  <c r="F27" i="4"/>
  <c r="E27" i="4"/>
  <c r="D27" i="4"/>
  <c r="F26" i="4"/>
  <c r="G26" i="4" s="1"/>
  <c r="E26" i="4"/>
  <c r="D26" i="4"/>
  <c r="F25" i="4"/>
  <c r="E25" i="4"/>
  <c r="D25" i="4"/>
  <c r="F24" i="4"/>
  <c r="G24" i="4" s="1"/>
  <c r="E24" i="4"/>
  <c r="D24" i="4"/>
  <c r="F23" i="4"/>
  <c r="G23" i="4" s="1"/>
  <c r="E23" i="4"/>
  <c r="D23" i="4"/>
  <c r="F22" i="4"/>
  <c r="E22" i="4"/>
  <c r="D22" i="4"/>
  <c r="F21" i="4"/>
  <c r="G21" i="4" s="1"/>
  <c r="E21" i="4"/>
  <c r="D21" i="4"/>
  <c r="F20" i="4"/>
  <c r="G20" i="4" s="1"/>
  <c r="E20" i="4"/>
  <c r="D20" i="4"/>
  <c r="F19" i="4"/>
  <c r="E19" i="4"/>
  <c r="D19" i="4"/>
  <c r="F18" i="4"/>
  <c r="G18" i="4" s="1"/>
  <c r="E18" i="4"/>
  <c r="D18" i="4"/>
  <c r="F17" i="4"/>
  <c r="G17" i="4" s="1"/>
  <c r="E17" i="4"/>
  <c r="D17" i="4"/>
  <c r="F16" i="4"/>
  <c r="E16" i="4"/>
  <c r="D16" i="4"/>
  <c r="F15" i="4"/>
  <c r="E15" i="4"/>
  <c r="D15" i="4"/>
  <c r="F14" i="4"/>
  <c r="G14" i="4" s="1"/>
  <c r="E14" i="4"/>
  <c r="D14" i="4"/>
  <c r="F13" i="4"/>
  <c r="E13" i="4"/>
  <c r="D13" i="4"/>
  <c r="F12" i="4"/>
  <c r="G12" i="4" s="1"/>
  <c r="E12" i="4"/>
  <c r="D12" i="4"/>
  <c r="F11" i="4"/>
  <c r="G11" i="4" s="1"/>
  <c r="E11" i="4"/>
  <c r="D11" i="4"/>
  <c r="F10" i="4"/>
  <c r="E10" i="4"/>
  <c r="D10" i="4"/>
  <c r="F9" i="4"/>
  <c r="E9" i="4"/>
  <c r="D9" i="4"/>
  <c r="F8" i="4"/>
  <c r="G8" i="4" s="1"/>
  <c r="E8" i="4"/>
  <c r="D8" i="4"/>
  <c r="F7" i="4"/>
  <c r="E7" i="4"/>
  <c r="D7" i="4"/>
  <c r="B7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A78" i="1"/>
  <c r="A79" i="1"/>
  <c r="A80" i="1"/>
  <c r="A81" i="1"/>
  <c r="A82" i="1"/>
  <c r="A83" i="1"/>
  <c r="A84" i="1"/>
  <c r="A85" i="1"/>
  <c r="A86" i="1"/>
  <c r="A87" i="1"/>
  <c r="A88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F6" i="4"/>
  <c r="E6" i="4"/>
  <c r="D6" i="4"/>
  <c r="B14" i="4"/>
  <c r="B13" i="4"/>
  <c r="B12" i="4"/>
  <c r="B11" i="4"/>
  <c r="B10" i="4"/>
  <c r="B9" i="4"/>
  <c r="B8" i="4"/>
  <c r="B6" i="4"/>
  <c r="A13" i="1"/>
  <c r="A12" i="1"/>
  <c r="A11" i="1"/>
  <c r="A10" i="1"/>
  <c r="A9" i="1"/>
  <c r="A8" i="1"/>
  <c r="G10" i="4" l="1"/>
  <c r="G28" i="4"/>
  <c r="G46" i="4"/>
  <c r="G64" i="4"/>
  <c r="G82" i="4"/>
  <c r="G7" i="4"/>
  <c r="G25" i="4"/>
  <c r="G43" i="4"/>
  <c r="G61" i="4"/>
  <c r="G79" i="4"/>
  <c r="G22" i="4"/>
  <c r="G40" i="4"/>
  <c r="G15" i="4"/>
  <c r="G33" i="4"/>
  <c r="G51" i="4"/>
  <c r="G69" i="4"/>
  <c r="G87" i="4"/>
  <c r="G19" i="4"/>
  <c r="G37" i="4"/>
  <c r="G55" i="4"/>
  <c r="G73" i="4"/>
  <c r="G16" i="4"/>
  <c r="G34" i="4"/>
  <c r="G52" i="4"/>
  <c r="G70" i="4"/>
  <c r="G88" i="4"/>
  <c r="G9" i="4"/>
  <c r="G81" i="4"/>
  <c r="G27" i="4"/>
  <c r="G13" i="4"/>
  <c r="G31" i="4"/>
  <c r="G49" i="4"/>
  <c r="G67" i="4"/>
  <c r="G85" i="4"/>
  <c r="I7" i="2" l="1"/>
  <c r="P54" i="3"/>
  <c r="G6" i="4" l="1"/>
  <c r="G89" i="4" s="1"/>
  <c r="H7" i="2"/>
  <c r="G7" i="2"/>
  <c r="D7" i="2"/>
  <c r="B7" i="2"/>
  <c r="J7" i="2" l="1"/>
  <c r="K67" i="3" l="1"/>
  <c r="E3" i="1"/>
  <c r="J6" i="1" l="1"/>
  <c r="J89" i="1" s="1"/>
  <c r="K10" i="3"/>
  <c r="A92" i="4" l="1"/>
  <c r="I6" i="2"/>
  <c r="H6" i="2"/>
  <c r="G6" i="2"/>
  <c r="D6" i="2"/>
  <c r="B6" i="2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J6" i="2" l="1"/>
  <c r="G90" i="4" l="1"/>
  <c r="F30" i="3" s="1"/>
  <c r="F29" i="3"/>
  <c r="G91" i="4" l="1"/>
  <c r="F31" i="3" s="1"/>
</calcChain>
</file>

<file path=xl/sharedStrings.xml><?xml version="1.0" encoding="utf-8"?>
<sst xmlns="http://schemas.openxmlformats.org/spreadsheetml/2006/main" count="412" uniqueCount="271">
  <si>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</si>
  <si>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</si>
  <si>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</si>
  <si>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</si>
  <si>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</si>
  <si>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</si>
  <si>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</si>
  <si>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</si>
  <si>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</si>
  <si>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</si>
  <si>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</si>
  <si>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</si>
  <si>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</si>
  <si>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</si>
  <si>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</si>
  <si>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</si>
  <si>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</si>
  <si>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</si>
  <si>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</si>
  <si>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</si>
  <si>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</si>
  <si>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</si>
  <si>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</si>
  <si>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</si>
  <si>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</si>
  <si>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</si>
  <si>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</si>
  <si>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</si>
  <si>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</si>
  <si>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</si>
  <si>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</si>
  <si>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</si>
  <si>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</si>
  <si>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</si>
  <si>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</si>
  <si>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</si>
  <si>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</si>
  <si>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</si>
  <si>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</si>
  <si>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</si>
  <si>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</si>
  <si>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</si>
  <si>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</si>
  <si>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</si>
  <si>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</si>
  <si>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</si>
  <si>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</si>
  <si>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</si>
  <si>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</si>
  <si>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</si>
  <si>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</si>
  <si>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</si>
  <si>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</si>
  <si>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</si>
  <si>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</si>
  <si>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</si>
  <si>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</si>
  <si>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</si>
  <si>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</si>
  <si>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</si>
  <si>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</si>
  <si>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</si>
  <si>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</si>
  <si>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</si>
  <si>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</si>
  <si>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</si>
  <si>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</si>
  <si>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</si>
  <si>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</si>
  <si>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</si>
  <si>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</si>
  <si>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</si>
  <si>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</si>
  <si>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</si>
  <si>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</si>
  <si>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</si>
  <si>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</si>
  <si>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</si>
  <si>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</si>
  <si>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</si>
  <si>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</si>
  <si>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</si>
  <si>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</si>
  <si>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</si>
  <si>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</si>
  <si>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</si>
  <si>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</si>
  <si>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</si>
  <si>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</si>
  <si>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</si>
  <si>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</si>
  <si>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One time</t>
  </si>
  <si>
    <t>Muhammed Rafi</t>
  </si>
  <si>
    <t>+966 57 5956527 / Email:info@alrmoozsa.com</t>
  </si>
  <si>
    <t>Landline : +99 13 8022775. : Mobile : +966 583694645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</si>
  <si>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</si>
  <si>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</si>
  <si>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</si>
  <si>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</si>
  <si>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</si>
  <si>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</si>
  <si>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</si>
  <si>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</si>
  <si>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</si>
  <si>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</si>
  <si>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</si>
  <si>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</si>
  <si>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</si>
  <si>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</si>
  <si>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ALRMOOZ TECHNICAL FOR GENERAL CONTRACTING EST.</t>
  </si>
  <si>
    <t>THE NATIONAL COMMERCIAL BANK</t>
  </si>
  <si>
    <t>04161114000110</t>
  </si>
  <si>
    <t>SA61 1000 0004 1611 1400 0110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</si>
  <si>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-MRS-0375</t>
    </r>
  </si>
  <si>
    <t>Water Dispencer</t>
  </si>
  <si>
    <t>A3 Box File</t>
  </si>
  <si>
    <t>Printer Waste Catridge</t>
  </si>
  <si>
    <t>Bread</t>
  </si>
  <si>
    <t>Tp Link</t>
  </si>
  <si>
    <t>Document Tray</t>
  </si>
  <si>
    <t>File Folder</t>
  </si>
  <si>
    <t>Garbage Bag</t>
  </si>
  <si>
    <t>Tea Cup</t>
  </si>
  <si>
    <t>Safety Helmet</t>
  </si>
  <si>
    <t>Trash Bag</t>
  </si>
  <si>
    <t>Nescafe Classic</t>
  </si>
  <si>
    <t>A3 Paper</t>
  </si>
  <si>
    <t>A4 Paper</t>
  </si>
  <si>
    <t>Al Rai Juice Cocktail</t>
  </si>
  <si>
    <t>Permanent Marker</t>
  </si>
  <si>
    <t>Board Marker</t>
  </si>
  <si>
    <t>Eraser</t>
  </si>
  <si>
    <t>Ruler Steel</t>
  </si>
  <si>
    <t>Signhere Flag</t>
  </si>
  <si>
    <t>Label Printing Machine</t>
  </si>
  <si>
    <t>Comix Punching Machine</t>
  </si>
  <si>
    <t>Time Card Catridge</t>
  </si>
  <si>
    <t>Nokia Mobile</t>
  </si>
  <si>
    <t>Label Tap Catridge</t>
  </si>
  <si>
    <t>Igloo</t>
  </si>
  <si>
    <t>Envelop</t>
  </si>
  <si>
    <t>Sugar</t>
  </si>
  <si>
    <t>Spray Paint</t>
  </si>
  <si>
    <t>Clorox</t>
  </si>
  <si>
    <t>Dust Bin</t>
  </si>
  <si>
    <t>Safety Vest With Logo</t>
  </si>
  <si>
    <t>Rabia Red Tea</t>
  </si>
  <si>
    <t>Blue Coverall</t>
  </si>
  <si>
    <t>Paper Clip</t>
  </si>
  <si>
    <t>Ricoh Toner C6003</t>
  </si>
  <si>
    <t>Highlighter</t>
  </si>
  <si>
    <t>Sheet Protector</t>
  </si>
  <si>
    <t>Ice Box</t>
  </si>
  <si>
    <t>Correction Pen</t>
  </si>
  <si>
    <t>Safety Shoes K7</t>
  </si>
  <si>
    <t>Hp Toner 106A</t>
  </si>
  <si>
    <t>Wired Mouse</t>
  </si>
  <si>
    <t>Paper Punch</t>
  </si>
  <si>
    <t>Stapler</t>
  </si>
  <si>
    <t>Safety Googles</t>
  </si>
  <si>
    <t>2 Hole Punch</t>
  </si>
  <si>
    <t>Folding Chair</t>
  </si>
  <si>
    <t>Office Chair</t>
  </si>
  <si>
    <t>Xerox Drum Unit</t>
  </si>
  <si>
    <t>Stapler Pin</t>
  </si>
  <si>
    <t>Celing Led Light</t>
  </si>
  <si>
    <t>Scotch Tape</t>
  </si>
  <si>
    <t>Sticky Note</t>
  </si>
  <si>
    <t>A5 Record Book</t>
  </si>
  <si>
    <t>A7 Record Book</t>
  </si>
  <si>
    <t>Clip Board</t>
  </si>
  <si>
    <t>A3 Lamination Pouch</t>
  </si>
  <si>
    <t>Electric Kettle</t>
  </si>
  <si>
    <t>Round Mop Set</t>
  </si>
  <si>
    <t>Mop</t>
  </si>
  <si>
    <t>Water - 1.5 Ltrs</t>
  </si>
  <si>
    <t>Tooth Brush</t>
  </si>
  <si>
    <t>Tooth Paste</t>
  </si>
  <si>
    <t>Shampoo</t>
  </si>
  <si>
    <t>Soap</t>
  </si>
  <si>
    <t>Facial Tissue</t>
  </si>
  <si>
    <t>Blue Pen</t>
  </si>
  <si>
    <t>Pencil</t>
  </si>
  <si>
    <t>Red Flags With Sticks</t>
  </si>
  <si>
    <t>Green Flags With Sticks</t>
  </si>
  <si>
    <t>A4 Lamination Pouch</t>
  </si>
  <si>
    <t>Dac - Cleaning Liquid</t>
  </si>
  <si>
    <t>Hyundai Logo Sticker</t>
  </si>
  <si>
    <t>Wash Basin Mixer</t>
  </si>
  <si>
    <t>Hand Wash</t>
  </si>
  <si>
    <t>Toilet Tissue</t>
  </si>
  <si>
    <t>Geepas</t>
  </si>
  <si>
    <t>10Pcs*1</t>
  </si>
  <si>
    <t>Xerox</t>
  </si>
  <si>
    <t/>
  </si>
  <si>
    <t>100Gln</t>
  </si>
  <si>
    <t>9Oz</t>
  </si>
  <si>
    <t>Gariox,White</t>
  </si>
  <si>
    <t>10Gln</t>
  </si>
  <si>
    <t>190Gm</t>
  </si>
  <si>
    <t>Atlas</t>
  </si>
  <si>
    <t>27*250Ml</t>
  </si>
  <si>
    <t>Black,Pentel</t>
  </si>
  <si>
    <t>Deli,Black-10/Green-3</t>
  </si>
  <si>
    <t>Super Deal</t>
  </si>
  <si>
    <t>Deluxe,30Cm</t>
  </si>
  <si>
    <t>Fantastick</t>
  </si>
  <si>
    <t>Comix</t>
  </si>
  <si>
    <t>Model 215</t>
  </si>
  <si>
    <t>Black-1/Yellow-1</t>
  </si>
  <si>
    <t>20Pkts*1Box</t>
  </si>
  <si>
    <t>1Kg*20</t>
  </si>
  <si>
    <t>Black</t>
  </si>
  <si>
    <t>3.78Ltr*6</t>
  </si>
  <si>
    <t>Small</t>
  </si>
  <si>
    <t>M-100/Xl-100/L-100</t>
  </si>
  <si>
    <t>100Bag</t>
  </si>
  <si>
    <t>Xl,Gariox</t>
  </si>
  <si>
    <t>#236</t>
  </si>
  <si>
    <t>Magenta-2/Yellow-
2/Cyan-2</t>
  </si>
  <si>
    <t>Deli,Green</t>
  </si>
  <si>
    <t>127Ltr</t>
  </si>
  <si>
    <t>Big Size,10Ml 12/Pkt</t>
  </si>
  <si>
    <t>Big</t>
  </si>
  <si>
    <t>Big,Deli</t>
  </si>
  <si>
    <t>Dark</t>
  </si>
  <si>
    <t>Without Neck</t>
  </si>
  <si>
    <t>Clear</t>
  </si>
  <si>
    <t>B7100</t>
  </si>
  <si>
    <t>26/6 5M</t>
  </si>
  <si>
    <t>60*60,60W</t>
  </si>
  <si>
    <t>3M,19Mm,Small</t>
  </si>
  <si>
    <t>Fantastic,Size
38.1*50.8Mm</t>
  </si>
  <si>
    <t>Fantastic,Size 76.2Mm</t>
  </si>
  <si>
    <t>A4</t>
  </si>
  <si>
    <t>1.8L</t>
  </si>
  <si>
    <t>Vileda</t>
  </si>
  <si>
    <t>1 X 6 / Pkt</t>
  </si>
  <si>
    <t>Sensodye</t>
  </si>
  <si>
    <t>Head &amp; Sholders</t>
  </si>
  <si>
    <t>Dove</t>
  </si>
  <si>
    <t>3 Layer - 1*10/ Pkt</t>
  </si>
  <si>
    <t>1*50/ Pkt</t>
  </si>
  <si>
    <t>1*12/ Pkt</t>
  </si>
  <si>
    <t>Steel Tape</t>
  </si>
  <si>
    <t>4Ltr</t>
  </si>
  <si>
    <t>Mouchoir</t>
  </si>
  <si>
    <t>BOX</t>
  </si>
  <si>
    <t>BDL</t>
  </si>
  <si>
    <t>PKT</t>
  </si>
  <si>
    <t>PAIR</t>
  </si>
  <si>
    <t>PKTS</t>
  </si>
  <si>
    <t>QUO-MAT-26072505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</si>
  <si>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</si>
  <si>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</si>
  <si>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</si>
  <si>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</si>
  <si>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</si>
  <si>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</si>
  <si>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</si>
  <si>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</si>
  <si>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</si>
  <si>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</si>
  <si>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</si>
  <si>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</si>
  <si>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</si>
  <si>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</si>
  <si>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Office Material &amp; Consumables</t>
  </si>
  <si>
    <t xml:space="preserve">  Delivery &amp; Payment : Dong Chang Kim / Daeshin Admin. [ Mobile No. : +966 53 748 5762 / Email : kdchjs@daeshinplant.com ]</t>
  </si>
  <si>
    <t xml:space="preserve">  Commercial (Purchaser) : Youngkyu Choi / Daeshin Planning [ Mobile No. : +966 53 952 0931 / Email : ykchoi@daeshinplant.com ]</t>
  </si>
  <si>
    <t xml:space="preserve">  Invoicing : Nehal Kauser / HDEC Purchase PIC [ Mobile No. : +966 50 610 2363 / Email : nehal_kauser@hdec.co.kr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</si>
</sst>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  <family val="2"/>
    </font>
    <font>
      <b/>
      <sz val="17"/>
      <name val="Arial"/>
      <family val="3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7"/>
      <name val="Segoe UI Symbol"/>
      <family val="3"/>
    </font>
    <font>
      <b/>
      <sz val="1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0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16" xfId="5" applyFont="1" applyFill="1" applyBorder="1"/>
    <xf numFmtId="0" fontId="17" fillId="3" borderId="1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5" fillId="0" borderId="35" xfId="6" applyFont="1" applyBorder="1" applyAlignment="1">
      <alignment vertical="center"/>
    </xf>
    <xf numFmtId="0" fontId="25" fillId="0" borderId="3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7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2" xfId="0" applyFont="1" applyBorder="1" applyAlignment="1">
      <alignment horizontal="center" vertical="center"/>
    </xf>
    <xf numFmtId="173" fontId="41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42" fillId="2" borderId="0" xfId="1" applyFont="1" applyFill="1" applyAlignment="1">
      <alignment vertical="center"/>
    </xf>
    <xf numFmtId="171" fontId="17" fillId="3" borderId="0" xfId="5" applyNumberFormat="1" applyFont="1" applyFill="1"/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0" fillId="3" borderId="0" xfId="5" applyFont="1" applyFill="1"/>
    <xf numFmtId="0" fontId="17" fillId="3" borderId="0" xfId="5" quotePrefix="1" applyFont="1" applyFill="1"/>
    <xf numFmtId="171" fontId="52" fillId="3" borderId="0" xfId="5" applyNumberFormat="1" applyFont="1" applyFill="1"/>
    <xf numFmtId="0" fontId="53" fillId="0" borderId="14" xfId="0" applyFont="1" applyBorder="1" applyAlignment="1">
      <alignment vertical="center" wrapText="1"/>
    </xf>
    <xf numFmtId="0" fontId="53" fillId="0" borderId="13" xfId="0" applyFont="1" applyBorder="1">
      <alignment vertical="center"/>
    </xf>
    <xf numFmtId="0" fontId="53" fillId="0" borderId="14" xfId="0" applyFont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168" fontId="2" fillId="0" borderId="12" xfId="0" quotePrefix="1" applyNumberFormat="1" applyFont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vertical="center"/>
    </xf>
    <xf numFmtId="0" fontId="5" fillId="2" borderId="3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0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4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4" fontId="56" fillId="0" borderId="7" xfId="3" applyNumberFormat="1" applyFont="1" applyBorder="1" applyAlignment="1">
      <alignment horizontal="right"/>
    </xf>
    <xf numFmtId="0" fontId="5" fillId="2" borderId="36" xfId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2" fillId="2" borderId="13" xfId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3" fillId="0" borderId="13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/>
    </xf>
    <xf numFmtId="0" fontId="53" fillId="0" borderId="14" xfId="0" applyFont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41" fillId="0" borderId="13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1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41" fillId="3" borderId="28" xfId="5" applyFont="1" applyFill="1" applyBorder="1" applyAlignment="1">
      <alignment horizontal="left" vertical="center"/>
    </xf>
    <xf numFmtId="0" fontId="41" fillId="3" borderId="29" xfId="5" applyFont="1" applyFill="1" applyBorder="1" applyAlignment="1">
      <alignment horizontal="left" vertical="center"/>
    </xf>
    <xf numFmtId="0" fontId="29" fillId="0" borderId="0" xfId="6" applyFont="1" applyAlignment="1">
      <alignment horizontal="center" vertical="center"/>
    </xf>
    <xf numFmtId="0" fontId="32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25" fillId="3" borderId="0" xfId="5" quotePrefix="1" applyFont="1" applyFill="1" applyAlignment="1">
      <alignment horizontal="left"/>
    </xf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169" fontId="25" fillId="3" borderId="0" xfId="5" quotePrefix="1" applyNumberFormat="1" applyFont="1" applyFill="1" applyAlignment="1">
      <alignment horizontal="left" vertical="center"/>
    </xf>
    <xf numFmtId="169" fontId="25" fillId="3" borderId="0" xfId="5" applyNumberFormat="1" applyFont="1" applyFill="1" applyAlignment="1">
      <alignment horizontal="lef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832185</xdr:colOff>
          <xdr:row>90</xdr:row>
          <xdr:rowOff>125830</xdr:rowOff>
        </xdr:from>
        <xdr:to>
          <xdr:col>11</xdr:col>
          <xdr:colOff>1556587</xdr:colOff>
          <xdr:row>96</xdr:row>
          <xdr:rowOff>365960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1FBEE2BB-0E8F-5812-B4C8-40A2402304C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93:$Y$98" spid="_x0000_s13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24264" y="19827541"/>
              <a:ext cx="8996112" cy="234565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125"/>
  <sheetViews>
    <sheetView showGridLines="0" view="pageBreakPreview" topLeftCell="A75" zoomScale="95" zoomScaleNormal="95" zoomScaleSheetLayoutView="95" workbookViewId="0">
      <selection activeCell="L15" sqref="L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3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1" t="s">
        <v>265</v>
      </c>
      <c r="B1" s="122"/>
      <c r="C1" s="122"/>
      <c r="D1" s="122"/>
      <c r="E1" s="122"/>
      <c r="F1" s="122"/>
      <c r="G1" s="1"/>
      <c r="J1" s="144" t="s">
        <v>81</v>
      </c>
      <c r="K1" s="145"/>
      <c r="L1" s="146"/>
    </row>
    <row r="2" spans="1:19" ht="20.100000000000001" customHeight="1">
      <c r="A2" s="3" t="s">
        <v>1</v>
      </c>
      <c r="B2" s="86"/>
      <c r="C2" s="86"/>
      <c r="D2" s="3" t="s">
        <v>266</v>
      </c>
      <c r="E2" s="86"/>
      <c r="F2" s="86"/>
      <c r="G2" s="86"/>
      <c r="H2" s="86"/>
      <c r="I2" s="4"/>
      <c r="J2" s="147" t="s">
        <v>90</v>
      </c>
      <c r="K2" s="148"/>
      <c r="L2" s="149"/>
    </row>
    <row r="3" spans="1:19" ht="20.100000000000001" customHeight="1">
      <c r="A3" s="3" t="s">
        <v>113</v>
      </c>
      <c r="B3" s="86"/>
      <c r="C3" s="86"/>
      <c r="D3" s="86"/>
      <c r="E3" s="150">
        <f>+L3</f>
        <v>46230</v>
      </c>
      <c r="F3" s="150"/>
      <c r="G3" s="150"/>
      <c r="H3" s="150"/>
      <c r="I3" s="150"/>
      <c r="J3" s="86"/>
      <c r="K3" s="86"/>
      <c r="L3" s="123">
        <v>46230</v>
      </c>
      <c r="M3" s="4"/>
    </row>
    <row r="4" spans="1:19" ht="21.75" customHeight="1">
      <c r="A4" s="151" t="s">
        <v>2</v>
      </c>
      <c r="B4" s="143" t="s">
        <v>3</v>
      </c>
      <c r="C4" s="143"/>
      <c r="D4" s="151" t="s">
        <v>4</v>
      </c>
      <c r="E4" s="151"/>
      <c r="F4" s="151"/>
      <c r="G4" s="143" t="s">
        <v>5</v>
      </c>
      <c r="H4" s="151" t="s">
        <v>6</v>
      </c>
      <c r="I4" s="151" t="s">
        <v>83</v>
      </c>
      <c r="J4" s="151" t="s">
        <v>84</v>
      </c>
      <c r="K4" s="151" t="s">
        <v>0</v>
      </c>
      <c r="L4" s="143" t="s">
        <v>7</v>
      </c>
    </row>
    <row r="5" spans="1:19" ht="21.75" customHeight="1">
      <c r="A5" s="151"/>
      <c r="B5" s="143"/>
      <c r="C5" s="143"/>
      <c r="D5" s="151"/>
      <c r="E5" s="151"/>
      <c r="F5" s="151"/>
      <c r="G5" s="143"/>
      <c r="H5" s="151"/>
      <c r="I5" s="151"/>
      <c r="J5" s="151"/>
      <c r="K5" s="151"/>
      <c r="L5" s="143"/>
    </row>
    <row r="6" spans="1:19" ht="16.5" customHeight="1">
      <c r="A6" s="95">
        <f t="shared" ref="A6:A69" si="0">ROW(A1)</f>
        <v>1</v>
      </c>
      <c r="B6" s="111" t="s">
        <v>114</v>
      </c>
      <c r="C6" s="110"/>
      <c r="D6" s="140" t="s">
        <v>191</v>
      </c>
      <c r="E6" s="141"/>
      <c r="F6" s="142"/>
      <c r="G6" s="96" t="s">
        <v>86</v>
      </c>
      <c r="H6" s="97">
        <v>3</v>
      </c>
      <c r="I6" s="98">
        <v>380</v>
      </c>
      <c r="J6" s="98">
        <f>H6*I6</f>
        <v>1140</v>
      </c>
      <c r="K6" s="99" t="s">
        <v>87</v>
      </c>
      <c r="L6" s="100" t="s">
        <v>91</v>
      </c>
      <c r="S6" s="91"/>
    </row>
    <row r="7" spans="1:19" ht="16.5" customHeight="1">
      <c r="A7" s="95">
        <f t="shared" si="0"/>
        <v>2</v>
      </c>
      <c r="B7" s="111" t="s">
        <v>115</v>
      </c>
      <c r="C7" s="112"/>
      <c r="D7" s="140" t="s">
        <v>192</v>
      </c>
      <c r="E7" s="141"/>
      <c r="F7" s="142"/>
      <c r="G7" s="96" t="s">
        <v>247</v>
      </c>
      <c r="H7" s="97">
        <v>2</v>
      </c>
      <c r="I7" s="98">
        <v>144</v>
      </c>
      <c r="J7" s="98">
        <f t="shared" ref="J7:J70" si="1">H7*I7</f>
        <v>288</v>
      </c>
      <c r="K7" s="114" t="s">
        <v>194</v>
      </c>
      <c r="L7" s="100"/>
      <c r="S7" s="91"/>
    </row>
    <row r="8" spans="1:19" ht="16.5" customHeight="1">
      <c r="A8" s="95">
        <f t="shared" si="0"/>
        <v>3</v>
      </c>
      <c r="B8" s="111" t="s">
        <v>116</v>
      </c>
      <c r="C8" s="112"/>
      <c r="D8" s="140" t="s">
        <v>193</v>
      </c>
      <c r="E8" s="141"/>
      <c r="F8" s="142"/>
      <c r="G8" s="96" t="s">
        <v>86</v>
      </c>
      <c r="H8" s="97">
        <v>2</v>
      </c>
      <c r="I8" s="98">
        <v>200</v>
      </c>
      <c r="J8" s="98">
        <f t="shared" si="1"/>
        <v>400</v>
      </c>
      <c r="K8" s="99"/>
      <c r="L8" s="100"/>
      <c r="S8" s="91"/>
    </row>
    <row r="9" spans="1:19" ht="16.5" customHeight="1">
      <c r="A9" s="95">
        <f t="shared" si="0"/>
        <v>4</v>
      </c>
      <c r="B9" s="111" t="s">
        <v>117</v>
      </c>
      <c r="C9" s="112"/>
      <c r="D9" s="140" t="s">
        <v>194</v>
      </c>
      <c r="E9" s="141"/>
      <c r="F9" s="142"/>
      <c r="G9" s="96" t="s">
        <v>86</v>
      </c>
      <c r="H9" s="97">
        <v>2500</v>
      </c>
      <c r="I9" s="98">
        <v>1.25</v>
      </c>
      <c r="J9" s="98">
        <f t="shared" si="1"/>
        <v>3125</v>
      </c>
      <c r="K9" s="99"/>
      <c r="L9" s="100"/>
      <c r="S9" s="91"/>
    </row>
    <row r="10" spans="1:19" ht="16.5" customHeight="1">
      <c r="A10" s="95">
        <f t="shared" si="0"/>
        <v>5</v>
      </c>
      <c r="B10" s="111" t="s">
        <v>118</v>
      </c>
      <c r="C10" s="112"/>
      <c r="D10" s="140" t="s">
        <v>194</v>
      </c>
      <c r="E10" s="141"/>
      <c r="F10" s="142"/>
      <c r="G10" s="96" t="s">
        <v>86</v>
      </c>
      <c r="H10" s="97">
        <v>2</v>
      </c>
      <c r="I10" s="98">
        <v>75</v>
      </c>
      <c r="J10" s="98">
        <f t="shared" si="1"/>
        <v>150</v>
      </c>
      <c r="K10" s="99"/>
      <c r="L10" s="96"/>
      <c r="S10" s="91"/>
    </row>
    <row r="11" spans="1:19" ht="16.5" customHeight="1">
      <c r="A11" s="95">
        <f t="shared" si="0"/>
        <v>6</v>
      </c>
      <c r="B11" s="111" t="s">
        <v>119</v>
      </c>
      <c r="C11" s="112"/>
      <c r="D11" s="140" t="s">
        <v>194</v>
      </c>
      <c r="E11" s="141"/>
      <c r="F11" s="142"/>
      <c r="G11" s="96" t="s">
        <v>86</v>
      </c>
      <c r="H11" s="97">
        <v>3</v>
      </c>
      <c r="I11" s="98">
        <v>25</v>
      </c>
      <c r="J11" s="98">
        <f t="shared" si="1"/>
        <v>75</v>
      </c>
      <c r="K11" s="99"/>
      <c r="L11" s="100"/>
      <c r="S11" s="91"/>
    </row>
    <row r="12" spans="1:19" ht="16.5" customHeight="1">
      <c r="A12" s="95">
        <f t="shared" si="0"/>
        <v>7</v>
      </c>
      <c r="B12" s="111" t="s">
        <v>120</v>
      </c>
      <c r="C12" s="112"/>
      <c r="D12" s="140" t="s">
        <v>194</v>
      </c>
      <c r="E12" s="141"/>
      <c r="F12" s="142"/>
      <c r="G12" s="96" t="s">
        <v>86</v>
      </c>
      <c r="H12" s="97">
        <v>2</v>
      </c>
      <c r="I12" s="98">
        <v>26.8</v>
      </c>
      <c r="J12" s="98">
        <f t="shared" si="1"/>
        <v>53.6</v>
      </c>
      <c r="K12" s="99"/>
      <c r="L12" s="100"/>
      <c r="S12" s="91"/>
    </row>
    <row r="13" spans="1:19" ht="16.5" customHeight="1">
      <c r="A13" s="95">
        <f t="shared" si="0"/>
        <v>8</v>
      </c>
      <c r="B13" s="111" t="s">
        <v>121</v>
      </c>
      <c r="C13" s="112"/>
      <c r="D13" s="140" t="s">
        <v>195</v>
      </c>
      <c r="E13" s="141"/>
      <c r="F13" s="142"/>
      <c r="G13" s="96" t="s">
        <v>248</v>
      </c>
      <c r="H13" s="97">
        <v>100</v>
      </c>
      <c r="I13" s="98">
        <v>41.5</v>
      </c>
      <c r="J13" s="98">
        <f t="shared" si="1"/>
        <v>4150</v>
      </c>
      <c r="K13" s="99"/>
      <c r="L13" s="100"/>
      <c r="S13" s="91"/>
    </row>
    <row r="14" spans="1:19" ht="16.5" customHeight="1">
      <c r="A14" s="95">
        <f t="shared" si="0"/>
        <v>9</v>
      </c>
      <c r="B14" s="111" t="s">
        <v>122</v>
      </c>
      <c r="C14" s="112"/>
      <c r="D14" s="140" t="s">
        <v>196</v>
      </c>
      <c r="E14" s="141"/>
      <c r="F14" s="142"/>
      <c r="G14" s="96" t="s">
        <v>247</v>
      </c>
      <c r="H14" s="97">
        <v>5</v>
      </c>
      <c r="I14" s="98">
        <v>64</v>
      </c>
      <c r="J14" s="98">
        <f t="shared" si="1"/>
        <v>320</v>
      </c>
      <c r="K14" s="99"/>
      <c r="L14" s="100"/>
      <c r="S14" s="91"/>
    </row>
    <row r="15" spans="1:19" ht="16.5" customHeight="1">
      <c r="A15" s="95">
        <f t="shared" si="0"/>
        <v>10</v>
      </c>
      <c r="B15" s="111" t="s">
        <v>123</v>
      </c>
      <c r="C15" s="112"/>
      <c r="D15" s="140" t="s">
        <v>197</v>
      </c>
      <c r="E15" s="141"/>
      <c r="F15" s="142"/>
      <c r="G15" s="96" t="s">
        <v>86</v>
      </c>
      <c r="H15" s="97">
        <v>200</v>
      </c>
      <c r="I15" s="98">
        <v>12</v>
      </c>
      <c r="J15" s="98">
        <f t="shared" si="1"/>
        <v>2400</v>
      </c>
      <c r="K15" s="99"/>
      <c r="L15" s="100"/>
      <c r="S15" s="91"/>
    </row>
    <row r="16" spans="1:19" ht="16.5" customHeight="1">
      <c r="A16" s="95">
        <f t="shared" si="0"/>
        <v>11</v>
      </c>
      <c r="B16" s="111" t="s">
        <v>124</v>
      </c>
      <c r="C16" s="112"/>
      <c r="D16" s="140" t="s">
        <v>198</v>
      </c>
      <c r="E16" s="141"/>
      <c r="F16" s="142"/>
      <c r="G16" s="96" t="s">
        <v>248</v>
      </c>
      <c r="H16" s="97">
        <v>10</v>
      </c>
      <c r="I16" s="98">
        <v>65</v>
      </c>
      <c r="J16" s="98">
        <f t="shared" si="1"/>
        <v>650</v>
      </c>
      <c r="K16" s="99"/>
      <c r="L16" s="100"/>
      <c r="S16" s="91"/>
    </row>
    <row r="17" spans="1:19" ht="16.5" customHeight="1">
      <c r="A17" s="95">
        <f t="shared" si="0"/>
        <v>12</v>
      </c>
      <c r="B17" s="111" t="s">
        <v>125</v>
      </c>
      <c r="C17" s="112"/>
      <c r="D17" s="140" t="s">
        <v>199</v>
      </c>
      <c r="E17" s="141"/>
      <c r="F17" s="142"/>
      <c r="G17" s="96" t="s">
        <v>86</v>
      </c>
      <c r="H17" s="97">
        <v>24</v>
      </c>
      <c r="I17" s="98">
        <v>24</v>
      </c>
      <c r="J17" s="98">
        <f t="shared" si="1"/>
        <v>576</v>
      </c>
      <c r="K17" s="99"/>
      <c r="L17" s="100"/>
      <c r="S17" s="91"/>
    </row>
    <row r="18" spans="1:19" ht="16.5" customHeight="1">
      <c r="A18" s="95">
        <f t="shared" si="0"/>
        <v>13</v>
      </c>
      <c r="B18" s="111" t="s">
        <v>126</v>
      </c>
      <c r="C18" s="112"/>
      <c r="D18" s="140" t="s">
        <v>200</v>
      </c>
      <c r="E18" s="141"/>
      <c r="F18" s="142"/>
      <c r="G18" s="96" t="s">
        <v>247</v>
      </c>
      <c r="H18" s="97">
        <v>60</v>
      </c>
      <c r="I18" s="98">
        <v>160</v>
      </c>
      <c r="J18" s="98">
        <f t="shared" si="1"/>
        <v>9600</v>
      </c>
      <c r="K18" s="99"/>
      <c r="L18" s="100"/>
      <c r="S18" s="91"/>
    </row>
    <row r="19" spans="1:19" ht="16.5" customHeight="1">
      <c r="A19" s="95">
        <f t="shared" si="0"/>
        <v>14</v>
      </c>
      <c r="B19" s="111" t="s">
        <v>127</v>
      </c>
      <c r="C19" s="112"/>
      <c r="D19" s="140" t="s">
        <v>200</v>
      </c>
      <c r="E19" s="141"/>
      <c r="F19" s="142"/>
      <c r="G19" s="96" t="s">
        <v>247</v>
      </c>
      <c r="H19" s="97">
        <v>150</v>
      </c>
      <c r="I19" s="98">
        <v>64</v>
      </c>
      <c r="J19" s="98">
        <f t="shared" si="1"/>
        <v>9600</v>
      </c>
      <c r="K19" s="99"/>
      <c r="L19" s="100"/>
      <c r="S19" s="91"/>
    </row>
    <row r="20" spans="1:19" ht="16.5" customHeight="1">
      <c r="A20" s="95">
        <f t="shared" si="0"/>
        <v>15</v>
      </c>
      <c r="B20" s="111" t="s">
        <v>128</v>
      </c>
      <c r="C20" s="112"/>
      <c r="D20" s="140" t="s">
        <v>201</v>
      </c>
      <c r="E20" s="141"/>
      <c r="F20" s="142"/>
      <c r="G20" s="96" t="s">
        <v>86</v>
      </c>
      <c r="H20" s="97">
        <v>2500</v>
      </c>
      <c r="I20" s="98">
        <v>1.25</v>
      </c>
      <c r="J20" s="98">
        <f t="shared" si="1"/>
        <v>3125</v>
      </c>
      <c r="K20" s="99"/>
      <c r="L20" s="100"/>
      <c r="S20" s="91"/>
    </row>
    <row r="21" spans="1:19" ht="16.5" customHeight="1">
      <c r="A21" s="95">
        <f t="shared" si="0"/>
        <v>16</v>
      </c>
      <c r="B21" s="111" t="s">
        <v>129</v>
      </c>
      <c r="C21" s="112"/>
      <c r="D21" s="140" t="s">
        <v>202</v>
      </c>
      <c r="E21" s="141"/>
      <c r="F21" s="142"/>
      <c r="G21" s="96" t="s">
        <v>249</v>
      </c>
      <c r="H21" s="97">
        <v>10</v>
      </c>
      <c r="I21" s="98">
        <v>31</v>
      </c>
      <c r="J21" s="98">
        <f t="shared" si="1"/>
        <v>310</v>
      </c>
      <c r="K21" s="99"/>
      <c r="L21" s="100"/>
      <c r="S21" s="91"/>
    </row>
    <row r="22" spans="1:19" ht="16.5" customHeight="1">
      <c r="A22" s="95">
        <f t="shared" si="0"/>
        <v>17</v>
      </c>
      <c r="B22" s="111" t="s">
        <v>130</v>
      </c>
      <c r="C22" s="112"/>
      <c r="D22" s="140" t="s">
        <v>203</v>
      </c>
      <c r="E22" s="141"/>
      <c r="F22" s="142"/>
      <c r="G22" s="96" t="s">
        <v>249</v>
      </c>
      <c r="H22" s="97">
        <v>10</v>
      </c>
      <c r="I22" s="98">
        <v>12</v>
      </c>
      <c r="J22" s="98">
        <f t="shared" si="1"/>
        <v>120</v>
      </c>
      <c r="K22" s="99"/>
      <c r="L22" s="100"/>
      <c r="S22" s="91"/>
    </row>
    <row r="23" spans="1:19" ht="16.5" customHeight="1">
      <c r="A23" s="95">
        <f t="shared" si="0"/>
        <v>18</v>
      </c>
      <c r="B23" s="111" t="s">
        <v>131</v>
      </c>
      <c r="C23" s="112"/>
      <c r="D23" s="140" t="s">
        <v>204</v>
      </c>
      <c r="E23" s="141"/>
      <c r="F23" s="142"/>
      <c r="G23" s="96" t="s">
        <v>249</v>
      </c>
      <c r="H23" s="97">
        <v>2</v>
      </c>
      <c r="I23" s="98">
        <v>8</v>
      </c>
      <c r="J23" s="98">
        <f t="shared" si="1"/>
        <v>16</v>
      </c>
      <c r="K23" s="99"/>
      <c r="L23" s="100"/>
      <c r="S23" s="91"/>
    </row>
    <row r="24" spans="1:19" ht="16.5" customHeight="1">
      <c r="A24" s="95">
        <f t="shared" si="0"/>
        <v>19</v>
      </c>
      <c r="B24" s="111" t="s">
        <v>132</v>
      </c>
      <c r="C24" s="112"/>
      <c r="D24" s="140" t="s">
        <v>205</v>
      </c>
      <c r="E24" s="141"/>
      <c r="F24" s="142"/>
      <c r="G24" s="96" t="s">
        <v>86</v>
      </c>
      <c r="H24" s="97">
        <v>30</v>
      </c>
      <c r="I24" s="98">
        <v>1.65</v>
      </c>
      <c r="J24" s="98">
        <f t="shared" si="1"/>
        <v>49.5</v>
      </c>
      <c r="K24" s="99"/>
      <c r="L24" s="100"/>
      <c r="S24" s="91"/>
    </row>
    <row r="25" spans="1:19" ht="16.5" customHeight="1">
      <c r="A25" s="95">
        <f t="shared" si="0"/>
        <v>20</v>
      </c>
      <c r="B25" s="111" t="s">
        <v>133</v>
      </c>
      <c r="C25" s="112"/>
      <c r="D25" s="140" t="s">
        <v>206</v>
      </c>
      <c r="E25" s="141"/>
      <c r="F25" s="142"/>
      <c r="G25" s="96" t="s">
        <v>247</v>
      </c>
      <c r="H25" s="97">
        <v>5</v>
      </c>
      <c r="I25" s="98">
        <v>100</v>
      </c>
      <c r="J25" s="98">
        <f t="shared" si="1"/>
        <v>500</v>
      </c>
      <c r="K25" s="99"/>
      <c r="L25" s="100"/>
      <c r="S25" s="91"/>
    </row>
    <row r="26" spans="1:19" ht="16.5" customHeight="1">
      <c r="A26" s="95">
        <f t="shared" si="0"/>
        <v>21</v>
      </c>
      <c r="B26" s="111" t="s">
        <v>134</v>
      </c>
      <c r="C26" s="112"/>
      <c r="D26" s="140" t="s">
        <v>194</v>
      </c>
      <c r="E26" s="141"/>
      <c r="F26" s="142"/>
      <c r="G26" s="96" t="s">
        <v>86</v>
      </c>
      <c r="H26" s="97">
        <v>1</v>
      </c>
      <c r="I26" s="98">
        <v>195</v>
      </c>
      <c r="J26" s="98">
        <f t="shared" si="1"/>
        <v>195</v>
      </c>
      <c r="K26" s="99"/>
      <c r="L26" s="100"/>
      <c r="S26" s="91"/>
    </row>
    <row r="27" spans="1:19" ht="16.5" customHeight="1">
      <c r="A27" s="95">
        <f t="shared" si="0"/>
        <v>22</v>
      </c>
      <c r="B27" s="111" t="s">
        <v>135</v>
      </c>
      <c r="C27" s="112"/>
      <c r="D27" s="140" t="s">
        <v>194</v>
      </c>
      <c r="E27" s="141"/>
      <c r="F27" s="142"/>
      <c r="G27" s="96" t="s">
        <v>86</v>
      </c>
      <c r="H27" s="97">
        <v>3</v>
      </c>
      <c r="I27" s="98">
        <v>640</v>
      </c>
      <c r="J27" s="98">
        <f t="shared" si="1"/>
        <v>1920</v>
      </c>
      <c r="K27" s="99"/>
      <c r="L27" s="100"/>
      <c r="S27" s="91"/>
    </row>
    <row r="28" spans="1:19" ht="16.5" customHeight="1">
      <c r="A28" s="95">
        <f t="shared" si="0"/>
        <v>23</v>
      </c>
      <c r="B28" s="111" t="s">
        <v>136</v>
      </c>
      <c r="C28" s="112"/>
      <c r="D28" s="140" t="s">
        <v>207</v>
      </c>
      <c r="E28" s="141"/>
      <c r="F28" s="142"/>
      <c r="G28" s="96" t="s">
        <v>86</v>
      </c>
      <c r="H28" s="97">
        <v>8</v>
      </c>
      <c r="I28" s="98">
        <v>18.75</v>
      </c>
      <c r="J28" s="98">
        <f t="shared" si="1"/>
        <v>150</v>
      </c>
      <c r="K28" s="99"/>
      <c r="L28" s="100"/>
      <c r="S28" s="91"/>
    </row>
    <row r="29" spans="1:19" ht="16.5" customHeight="1">
      <c r="A29" s="95">
        <f t="shared" si="0"/>
        <v>24</v>
      </c>
      <c r="B29" s="111" t="s">
        <v>137</v>
      </c>
      <c r="C29" s="112"/>
      <c r="D29" s="140" t="s">
        <v>208</v>
      </c>
      <c r="E29" s="141"/>
      <c r="F29" s="142"/>
      <c r="G29" s="96" t="s">
        <v>86</v>
      </c>
      <c r="H29" s="97">
        <v>4</v>
      </c>
      <c r="I29" s="98">
        <v>168</v>
      </c>
      <c r="J29" s="98">
        <f t="shared" si="1"/>
        <v>672</v>
      </c>
      <c r="K29" s="99"/>
      <c r="L29" s="100"/>
      <c r="S29" s="91"/>
    </row>
    <row r="30" spans="1:19" ht="16.5" customHeight="1">
      <c r="A30" s="95">
        <f t="shared" si="0"/>
        <v>25</v>
      </c>
      <c r="B30" s="111" t="s">
        <v>138</v>
      </c>
      <c r="C30" s="112"/>
      <c r="D30" s="140" t="s">
        <v>209</v>
      </c>
      <c r="E30" s="141"/>
      <c r="F30" s="142"/>
      <c r="G30" s="96" t="s">
        <v>86</v>
      </c>
      <c r="H30" s="97">
        <v>2</v>
      </c>
      <c r="I30" s="98">
        <v>52</v>
      </c>
      <c r="J30" s="98">
        <f t="shared" si="1"/>
        <v>104</v>
      </c>
      <c r="K30" s="99"/>
      <c r="L30" s="100"/>
      <c r="S30" s="91"/>
    </row>
    <row r="31" spans="1:19" ht="16.5" customHeight="1">
      <c r="A31" s="95">
        <f t="shared" si="0"/>
        <v>26</v>
      </c>
      <c r="B31" s="111" t="s">
        <v>139</v>
      </c>
      <c r="C31" s="112"/>
      <c r="D31" s="140" t="s">
        <v>198</v>
      </c>
      <c r="E31" s="141"/>
      <c r="F31" s="142"/>
      <c r="G31" s="96" t="s">
        <v>86</v>
      </c>
      <c r="H31" s="97">
        <v>25</v>
      </c>
      <c r="I31" s="98">
        <v>97</v>
      </c>
      <c r="J31" s="98">
        <f t="shared" si="1"/>
        <v>2425</v>
      </c>
      <c r="K31" s="99"/>
      <c r="L31" s="100"/>
      <c r="S31" s="91"/>
    </row>
    <row r="32" spans="1:19" ht="16.5" customHeight="1">
      <c r="A32" s="95">
        <f t="shared" si="0"/>
        <v>27</v>
      </c>
      <c r="B32" s="111" t="s">
        <v>140</v>
      </c>
      <c r="C32" s="112"/>
      <c r="D32" s="140" t="s">
        <v>210</v>
      </c>
      <c r="E32" s="141"/>
      <c r="F32" s="142"/>
      <c r="G32" s="96" t="s">
        <v>249</v>
      </c>
      <c r="H32" s="97">
        <v>20</v>
      </c>
      <c r="I32" s="98">
        <v>3.5</v>
      </c>
      <c r="J32" s="98">
        <f t="shared" si="1"/>
        <v>70</v>
      </c>
      <c r="K32" s="99"/>
      <c r="L32" s="100"/>
      <c r="S32" s="91"/>
    </row>
    <row r="33" spans="1:19" ht="16.5" customHeight="1">
      <c r="A33" s="95">
        <f t="shared" si="0"/>
        <v>28</v>
      </c>
      <c r="B33" s="111" t="s">
        <v>141</v>
      </c>
      <c r="C33" s="112"/>
      <c r="D33" s="140" t="s">
        <v>211</v>
      </c>
      <c r="E33" s="141"/>
      <c r="F33" s="142"/>
      <c r="G33" s="96" t="s">
        <v>247</v>
      </c>
      <c r="H33" s="97">
        <v>3</v>
      </c>
      <c r="I33" s="98">
        <v>70</v>
      </c>
      <c r="J33" s="98">
        <f t="shared" si="1"/>
        <v>210</v>
      </c>
      <c r="K33" s="99"/>
      <c r="L33" s="100"/>
      <c r="S33" s="91"/>
    </row>
    <row r="34" spans="1:19" ht="16.5" customHeight="1">
      <c r="A34" s="95">
        <f t="shared" si="0"/>
        <v>29</v>
      </c>
      <c r="B34" s="111" t="s">
        <v>142</v>
      </c>
      <c r="C34" s="112"/>
      <c r="D34" s="140" t="s">
        <v>212</v>
      </c>
      <c r="E34" s="141"/>
      <c r="F34" s="142"/>
      <c r="G34" s="96" t="s">
        <v>247</v>
      </c>
      <c r="H34" s="97">
        <v>1</v>
      </c>
      <c r="I34" s="98">
        <v>65</v>
      </c>
      <c r="J34" s="98">
        <f t="shared" si="1"/>
        <v>65</v>
      </c>
      <c r="K34" s="99"/>
      <c r="L34" s="100"/>
      <c r="S34" s="91"/>
    </row>
    <row r="35" spans="1:19" ht="16.5" customHeight="1">
      <c r="A35" s="95">
        <f t="shared" si="0"/>
        <v>30</v>
      </c>
      <c r="B35" s="111" t="s">
        <v>143</v>
      </c>
      <c r="C35" s="112"/>
      <c r="D35" s="140" t="s">
        <v>213</v>
      </c>
      <c r="E35" s="141"/>
      <c r="F35" s="142"/>
      <c r="G35" s="96" t="s">
        <v>86</v>
      </c>
      <c r="H35" s="97">
        <v>6</v>
      </c>
      <c r="I35" s="98">
        <v>25</v>
      </c>
      <c r="J35" s="98">
        <f t="shared" si="1"/>
        <v>150</v>
      </c>
      <c r="K35" s="99"/>
      <c r="L35" s="100"/>
      <c r="S35" s="91"/>
    </row>
    <row r="36" spans="1:19" ht="16.5" customHeight="1">
      <c r="A36" s="95">
        <f t="shared" si="0"/>
        <v>31</v>
      </c>
      <c r="B36" s="111" t="s">
        <v>144</v>
      </c>
      <c r="C36" s="112"/>
      <c r="D36" s="140" t="s">
        <v>214</v>
      </c>
      <c r="E36" s="141"/>
      <c r="F36" s="142"/>
      <c r="G36" s="96" t="s">
        <v>86</v>
      </c>
      <c r="H36" s="97">
        <v>3</v>
      </c>
      <c r="I36" s="98">
        <v>8</v>
      </c>
      <c r="J36" s="98">
        <f t="shared" si="1"/>
        <v>24</v>
      </c>
      <c r="K36" s="99"/>
      <c r="L36" s="100"/>
      <c r="S36" s="91"/>
    </row>
    <row r="37" spans="1:19" ht="16.5" customHeight="1">
      <c r="A37" s="95">
        <f t="shared" si="0"/>
        <v>32</v>
      </c>
      <c r="B37" s="111" t="s">
        <v>145</v>
      </c>
      <c r="C37" s="112"/>
      <c r="D37" s="140" t="s">
        <v>215</v>
      </c>
      <c r="E37" s="141"/>
      <c r="F37" s="142"/>
      <c r="G37" s="96" t="s">
        <v>86</v>
      </c>
      <c r="H37" s="97">
        <v>200</v>
      </c>
      <c r="I37" s="98">
        <v>17</v>
      </c>
      <c r="J37" s="98">
        <f t="shared" si="1"/>
        <v>3400</v>
      </c>
      <c r="K37" s="99"/>
      <c r="L37" s="100"/>
      <c r="S37" s="91"/>
    </row>
    <row r="38" spans="1:19" ht="16.5" customHeight="1">
      <c r="A38" s="95">
        <f t="shared" si="0"/>
        <v>33</v>
      </c>
      <c r="B38" s="111" t="s">
        <v>146</v>
      </c>
      <c r="C38" s="112"/>
      <c r="D38" s="140" t="s">
        <v>216</v>
      </c>
      <c r="E38" s="141"/>
      <c r="F38" s="142"/>
      <c r="G38" s="96" t="s">
        <v>249</v>
      </c>
      <c r="H38" s="97">
        <v>24</v>
      </c>
      <c r="I38" s="98">
        <v>10.41</v>
      </c>
      <c r="J38" s="98">
        <f t="shared" si="1"/>
        <v>249.84</v>
      </c>
      <c r="K38" s="99"/>
      <c r="L38" s="100"/>
      <c r="S38" s="91"/>
    </row>
    <row r="39" spans="1:19" ht="16.5" customHeight="1">
      <c r="A39" s="95">
        <f t="shared" si="0"/>
        <v>34</v>
      </c>
      <c r="B39" s="111" t="s">
        <v>147</v>
      </c>
      <c r="C39" s="112"/>
      <c r="D39" s="140" t="s">
        <v>217</v>
      </c>
      <c r="E39" s="141"/>
      <c r="F39" s="142"/>
      <c r="G39" s="96" t="s">
        <v>86</v>
      </c>
      <c r="H39" s="97">
        <v>20</v>
      </c>
      <c r="I39" s="98">
        <v>77</v>
      </c>
      <c r="J39" s="98">
        <f t="shared" si="1"/>
        <v>1540</v>
      </c>
      <c r="K39" s="99"/>
      <c r="L39" s="100"/>
      <c r="S39" s="91"/>
    </row>
    <row r="40" spans="1:19" ht="16.5" customHeight="1">
      <c r="A40" s="95">
        <f t="shared" si="0"/>
        <v>35</v>
      </c>
      <c r="B40" s="111" t="s">
        <v>148</v>
      </c>
      <c r="C40" s="112"/>
      <c r="D40" s="140" t="s">
        <v>218</v>
      </c>
      <c r="E40" s="141"/>
      <c r="F40" s="142"/>
      <c r="G40" s="96" t="s">
        <v>249</v>
      </c>
      <c r="H40" s="97">
        <v>10</v>
      </c>
      <c r="I40" s="98">
        <v>2.75</v>
      </c>
      <c r="J40" s="98">
        <f t="shared" si="1"/>
        <v>27.5</v>
      </c>
      <c r="K40" s="99"/>
      <c r="L40" s="100"/>
      <c r="S40" s="91"/>
    </row>
    <row r="41" spans="1:19" ht="16.5" customHeight="1">
      <c r="A41" s="95">
        <f t="shared" si="0"/>
        <v>36</v>
      </c>
      <c r="B41" s="111" t="s">
        <v>149</v>
      </c>
      <c r="C41" s="112"/>
      <c r="D41" s="140" t="s">
        <v>212</v>
      </c>
      <c r="E41" s="141"/>
      <c r="F41" s="142"/>
      <c r="G41" s="96" t="s">
        <v>86</v>
      </c>
      <c r="H41" s="97">
        <v>6</v>
      </c>
      <c r="I41" s="98">
        <v>342</v>
      </c>
      <c r="J41" s="98">
        <f t="shared" si="1"/>
        <v>2052</v>
      </c>
      <c r="K41" s="99"/>
      <c r="L41" s="100"/>
      <c r="S41" s="91"/>
    </row>
    <row r="42" spans="1:19" ht="16.5" customHeight="1">
      <c r="A42" s="95">
        <f t="shared" si="0"/>
        <v>37</v>
      </c>
      <c r="B42" s="111" t="s">
        <v>149</v>
      </c>
      <c r="C42" s="112"/>
      <c r="D42" s="140" t="s">
        <v>219</v>
      </c>
      <c r="E42" s="141"/>
      <c r="F42" s="142"/>
      <c r="G42" s="96" t="s">
        <v>86</v>
      </c>
      <c r="H42" s="97">
        <v>10</v>
      </c>
      <c r="I42" s="98">
        <v>506</v>
      </c>
      <c r="J42" s="98">
        <f t="shared" si="1"/>
        <v>5060</v>
      </c>
      <c r="K42" s="99"/>
      <c r="L42" s="100"/>
      <c r="S42" s="91"/>
    </row>
    <row r="43" spans="1:19" ht="16.5" customHeight="1">
      <c r="A43" s="95">
        <f t="shared" si="0"/>
        <v>38</v>
      </c>
      <c r="B43" s="111" t="s">
        <v>150</v>
      </c>
      <c r="C43" s="112"/>
      <c r="D43" s="140" t="s">
        <v>220</v>
      </c>
      <c r="E43" s="141"/>
      <c r="F43" s="142"/>
      <c r="G43" s="96" t="s">
        <v>249</v>
      </c>
      <c r="H43" s="97">
        <v>30</v>
      </c>
      <c r="I43" s="98">
        <v>12</v>
      </c>
      <c r="J43" s="98">
        <f t="shared" si="1"/>
        <v>360</v>
      </c>
      <c r="K43" s="99"/>
      <c r="L43" s="100"/>
      <c r="S43" s="91"/>
    </row>
    <row r="44" spans="1:19" ht="16.5" customHeight="1">
      <c r="A44" s="95">
        <f t="shared" si="0"/>
        <v>39</v>
      </c>
      <c r="B44" s="111" t="s">
        <v>151</v>
      </c>
      <c r="C44" s="112"/>
      <c r="D44" s="140" t="s">
        <v>204</v>
      </c>
      <c r="E44" s="141"/>
      <c r="F44" s="142"/>
      <c r="G44" s="96" t="s">
        <v>249</v>
      </c>
      <c r="H44" s="97">
        <v>10</v>
      </c>
      <c r="I44" s="98">
        <v>12.5</v>
      </c>
      <c r="J44" s="98">
        <f t="shared" si="1"/>
        <v>125</v>
      </c>
      <c r="K44" s="99"/>
      <c r="L44" s="100"/>
      <c r="S44" s="91"/>
    </row>
    <row r="45" spans="1:19" ht="16.5" customHeight="1">
      <c r="A45" s="95">
        <f t="shared" si="0"/>
        <v>40</v>
      </c>
      <c r="B45" s="111" t="s">
        <v>152</v>
      </c>
      <c r="C45" s="112"/>
      <c r="D45" s="140" t="s">
        <v>221</v>
      </c>
      <c r="E45" s="141"/>
      <c r="F45" s="142"/>
      <c r="G45" s="96" t="s">
        <v>86</v>
      </c>
      <c r="H45" s="97">
        <v>4</v>
      </c>
      <c r="I45" s="98">
        <v>390</v>
      </c>
      <c r="J45" s="98">
        <f t="shared" si="1"/>
        <v>1560</v>
      </c>
      <c r="K45" s="99"/>
      <c r="L45" s="100"/>
      <c r="S45" s="91"/>
    </row>
    <row r="46" spans="1:19" ht="16.5" customHeight="1">
      <c r="A46" s="95">
        <f t="shared" si="0"/>
        <v>41</v>
      </c>
      <c r="B46" s="111" t="s">
        <v>153</v>
      </c>
      <c r="C46" s="112"/>
      <c r="D46" s="140" t="s">
        <v>222</v>
      </c>
      <c r="E46" s="141"/>
      <c r="F46" s="142"/>
      <c r="G46" s="96" t="s">
        <v>247</v>
      </c>
      <c r="H46" s="97">
        <v>5</v>
      </c>
      <c r="I46" s="98">
        <v>45</v>
      </c>
      <c r="J46" s="98">
        <f t="shared" si="1"/>
        <v>225</v>
      </c>
      <c r="K46" s="99"/>
      <c r="L46" s="100"/>
      <c r="S46" s="91"/>
    </row>
    <row r="47" spans="1:19" ht="16.5" customHeight="1">
      <c r="A47" s="95">
        <f t="shared" si="0"/>
        <v>42</v>
      </c>
      <c r="B47" s="111" t="s">
        <v>154</v>
      </c>
      <c r="C47" s="112"/>
      <c r="D47" s="140" t="s">
        <v>194</v>
      </c>
      <c r="E47" s="141"/>
      <c r="F47" s="142"/>
      <c r="G47" s="96" t="s">
        <v>250</v>
      </c>
      <c r="H47" s="97">
        <v>500</v>
      </c>
      <c r="I47" s="98">
        <v>63.5</v>
      </c>
      <c r="J47" s="98">
        <f t="shared" si="1"/>
        <v>31750</v>
      </c>
      <c r="K47" s="99"/>
      <c r="L47" s="100"/>
      <c r="S47" s="91"/>
    </row>
    <row r="48" spans="1:19" ht="16.5" customHeight="1">
      <c r="A48" s="95">
        <f t="shared" si="0"/>
        <v>43</v>
      </c>
      <c r="B48" s="111" t="s">
        <v>155</v>
      </c>
      <c r="C48" s="112"/>
      <c r="D48" s="140" t="s">
        <v>212</v>
      </c>
      <c r="E48" s="141"/>
      <c r="F48" s="142"/>
      <c r="G48" s="96" t="s">
        <v>86</v>
      </c>
      <c r="H48" s="97">
        <v>5</v>
      </c>
      <c r="I48" s="98">
        <v>237</v>
      </c>
      <c r="J48" s="98">
        <f t="shared" si="1"/>
        <v>1185</v>
      </c>
      <c r="K48" s="99"/>
      <c r="L48" s="100"/>
      <c r="S48" s="91"/>
    </row>
    <row r="49" spans="1:19" ht="16.5" customHeight="1">
      <c r="A49" s="95">
        <f t="shared" si="0"/>
        <v>44</v>
      </c>
      <c r="B49" s="111" t="s">
        <v>156</v>
      </c>
      <c r="C49" s="112"/>
      <c r="D49" s="140" t="s">
        <v>194</v>
      </c>
      <c r="E49" s="141"/>
      <c r="F49" s="142"/>
      <c r="G49" s="96" t="s">
        <v>86</v>
      </c>
      <c r="H49" s="97">
        <v>5</v>
      </c>
      <c r="I49" s="98">
        <v>22</v>
      </c>
      <c r="J49" s="98">
        <f t="shared" si="1"/>
        <v>110</v>
      </c>
      <c r="K49" s="99"/>
      <c r="L49" s="100"/>
      <c r="S49" s="91"/>
    </row>
    <row r="50" spans="1:19" ht="16.5" customHeight="1">
      <c r="A50" s="95">
        <f t="shared" si="0"/>
        <v>45</v>
      </c>
      <c r="B50" s="111" t="s">
        <v>157</v>
      </c>
      <c r="C50" s="112"/>
      <c r="D50" s="140" t="s">
        <v>223</v>
      </c>
      <c r="E50" s="141"/>
      <c r="F50" s="142"/>
      <c r="G50" s="96" t="s">
        <v>86</v>
      </c>
      <c r="H50" s="97">
        <v>1</v>
      </c>
      <c r="I50" s="98">
        <v>207</v>
      </c>
      <c r="J50" s="98">
        <f t="shared" si="1"/>
        <v>207</v>
      </c>
      <c r="K50" s="99"/>
      <c r="L50" s="100"/>
      <c r="S50" s="91"/>
    </row>
    <row r="51" spans="1:19" ht="16.5" customHeight="1">
      <c r="A51" s="95">
        <f t="shared" si="0"/>
        <v>46</v>
      </c>
      <c r="B51" s="111" t="s">
        <v>158</v>
      </c>
      <c r="C51" s="112"/>
      <c r="D51" s="140" t="s">
        <v>224</v>
      </c>
      <c r="E51" s="141"/>
      <c r="F51" s="142"/>
      <c r="G51" s="96" t="s">
        <v>86</v>
      </c>
      <c r="H51" s="97">
        <v>1</v>
      </c>
      <c r="I51" s="98">
        <v>51</v>
      </c>
      <c r="J51" s="98">
        <f t="shared" si="1"/>
        <v>51</v>
      </c>
      <c r="K51" s="99"/>
      <c r="L51" s="100"/>
      <c r="S51" s="91"/>
    </row>
    <row r="52" spans="1:19" ht="16.5" customHeight="1">
      <c r="A52" s="95">
        <f t="shared" si="0"/>
        <v>47</v>
      </c>
      <c r="B52" s="111" t="s">
        <v>159</v>
      </c>
      <c r="C52" s="112"/>
      <c r="D52" s="140" t="s">
        <v>225</v>
      </c>
      <c r="E52" s="141"/>
      <c r="F52" s="142"/>
      <c r="G52" s="96" t="s">
        <v>86</v>
      </c>
      <c r="H52" s="97">
        <v>800</v>
      </c>
      <c r="I52" s="98">
        <v>3</v>
      </c>
      <c r="J52" s="98">
        <f t="shared" si="1"/>
        <v>2400</v>
      </c>
      <c r="K52" s="99"/>
      <c r="L52" s="100"/>
      <c r="S52" s="91"/>
    </row>
    <row r="53" spans="1:19" ht="16.5" customHeight="1">
      <c r="A53" s="95">
        <f t="shared" si="0"/>
        <v>48</v>
      </c>
      <c r="B53" s="111" t="s">
        <v>158</v>
      </c>
      <c r="C53" s="112"/>
      <c r="D53" s="140" t="s">
        <v>194</v>
      </c>
      <c r="E53" s="141"/>
      <c r="F53" s="142"/>
      <c r="G53" s="96" t="s">
        <v>86</v>
      </c>
      <c r="H53" s="97">
        <v>5</v>
      </c>
      <c r="I53" s="98">
        <v>13</v>
      </c>
      <c r="J53" s="98">
        <f t="shared" si="1"/>
        <v>65</v>
      </c>
      <c r="K53" s="99"/>
      <c r="L53" s="100"/>
      <c r="S53" s="91"/>
    </row>
    <row r="54" spans="1:19" ht="16.5" customHeight="1">
      <c r="A54" s="95">
        <f t="shared" si="0"/>
        <v>49</v>
      </c>
      <c r="B54" s="111" t="s">
        <v>160</v>
      </c>
      <c r="C54" s="112"/>
      <c r="D54" s="140" t="s">
        <v>194</v>
      </c>
      <c r="E54" s="141"/>
      <c r="F54" s="142"/>
      <c r="G54" s="96" t="s">
        <v>86</v>
      </c>
      <c r="H54" s="97">
        <v>1</v>
      </c>
      <c r="I54" s="98">
        <v>24</v>
      </c>
      <c r="J54" s="98">
        <f t="shared" si="1"/>
        <v>24</v>
      </c>
      <c r="K54" s="99"/>
      <c r="L54" s="100"/>
      <c r="S54" s="91"/>
    </row>
    <row r="55" spans="1:19" ht="16.5" customHeight="1">
      <c r="A55" s="95">
        <f t="shared" si="0"/>
        <v>50</v>
      </c>
      <c r="B55" s="111" t="s">
        <v>161</v>
      </c>
      <c r="C55" s="112"/>
      <c r="D55" s="140" t="s">
        <v>194</v>
      </c>
      <c r="E55" s="141"/>
      <c r="F55" s="142"/>
      <c r="G55" s="96" t="s">
        <v>86</v>
      </c>
      <c r="H55" s="97">
        <v>8</v>
      </c>
      <c r="I55" s="98">
        <v>80</v>
      </c>
      <c r="J55" s="98">
        <f t="shared" si="1"/>
        <v>640</v>
      </c>
      <c r="K55" s="99"/>
      <c r="L55" s="100"/>
      <c r="S55" s="91"/>
    </row>
    <row r="56" spans="1:19" ht="16.5" customHeight="1">
      <c r="A56" s="95">
        <f t="shared" si="0"/>
        <v>51</v>
      </c>
      <c r="B56" s="111" t="s">
        <v>162</v>
      </c>
      <c r="C56" s="112"/>
      <c r="D56" s="140" t="s">
        <v>226</v>
      </c>
      <c r="E56" s="141"/>
      <c r="F56" s="142"/>
      <c r="G56" s="96" t="s">
        <v>86</v>
      </c>
      <c r="H56" s="97">
        <v>2</v>
      </c>
      <c r="I56" s="98">
        <v>156</v>
      </c>
      <c r="J56" s="98">
        <f t="shared" si="1"/>
        <v>312</v>
      </c>
      <c r="K56" s="99"/>
      <c r="L56" s="100"/>
      <c r="S56" s="91"/>
    </row>
    <row r="57" spans="1:19" ht="16.5" customHeight="1">
      <c r="A57" s="95">
        <f t="shared" si="0"/>
        <v>52</v>
      </c>
      <c r="B57" s="111" t="s">
        <v>159</v>
      </c>
      <c r="C57" s="112"/>
      <c r="D57" s="140" t="s">
        <v>227</v>
      </c>
      <c r="E57" s="141"/>
      <c r="F57" s="142"/>
      <c r="G57" s="96" t="s">
        <v>86</v>
      </c>
      <c r="H57" s="97">
        <v>800</v>
      </c>
      <c r="I57" s="98">
        <v>3</v>
      </c>
      <c r="J57" s="98">
        <f t="shared" si="1"/>
        <v>2400</v>
      </c>
      <c r="K57" s="99"/>
      <c r="L57" s="100"/>
      <c r="S57" s="91"/>
    </row>
    <row r="58" spans="1:19" ht="16.5" customHeight="1">
      <c r="A58" s="95">
        <f t="shared" si="0"/>
        <v>53</v>
      </c>
      <c r="B58" s="111" t="s">
        <v>163</v>
      </c>
      <c r="C58" s="112"/>
      <c r="D58" s="140" t="s">
        <v>228</v>
      </c>
      <c r="E58" s="141"/>
      <c r="F58" s="142"/>
      <c r="G58" s="96" t="s">
        <v>86</v>
      </c>
      <c r="H58" s="97">
        <v>1</v>
      </c>
      <c r="I58" s="98">
        <v>1080</v>
      </c>
      <c r="J58" s="98">
        <f t="shared" si="1"/>
        <v>1080</v>
      </c>
      <c r="K58" s="99"/>
      <c r="L58" s="100"/>
      <c r="S58" s="91"/>
    </row>
    <row r="59" spans="1:19" ht="16.5" customHeight="1">
      <c r="A59" s="95">
        <f t="shared" si="0"/>
        <v>54</v>
      </c>
      <c r="B59" s="111" t="s">
        <v>164</v>
      </c>
      <c r="C59" s="112"/>
      <c r="D59" s="140" t="s">
        <v>229</v>
      </c>
      <c r="E59" s="141"/>
      <c r="F59" s="142"/>
      <c r="G59" s="96" t="s">
        <v>247</v>
      </c>
      <c r="H59" s="97">
        <v>2</v>
      </c>
      <c r="I59" s="98">
        <v>30</v>
      </c>
      <c r="J59" s="98">
        <f t="shared" si="1"/>
        <v>60</v>
      </c>
      <c r="K59" s="99"/>
      <c r="L59" s="100"/>
      <c r="S59" s="91"/>
    </row>
    <row r="60" spans="1:19" ht="16.5" customHeight="1">
      <c r="A60" s="95">
        <f t="shared" si="0"/>
        <v>55</v>
      </c>
      <c r="B60" s="111" t="s">
        <v>165</v>
      </c>
      <c r="C60" s="112"/>
      <c r="D60" s="140" t="s">
        <v>230</v>
      </c>
      <c r="E60" s="141"/>
      <c r="F60" s="142"/>
      <c r="G60" s="96" t="s">
        <v>86</v>
      </c>
      <c r="H60" s="97">
        <v>5</v>
      </c>
      <c r="I60" s="98">
        <v>62</v>
      </c>
      <c r="J60" s="98">
        <f t="shared" si="1"/>
        <v>310</v>
      </c>
      <c r="K60" s="99"/>
      <c r="L60" s="100"/>
      <c r="S60" s="91"/>
    </row>
    <row r="61" spans="1:19" ht="16.5" customHeight="1">
      <c r="A61" s="95">
        <f t="shared" si="0"/>
        <v>56</v>
      </c>
      <c r="B61" s="111" t="s">
        <v>166</v>
      </c>
      <c r="C61" s="112"/>
      <c r="D61" s="140" t="s">
        <v>231</v>
      </c>
      <c r="E61" s="141"/>
      <c r="F61" s="142"/>
      <c r="G61" s="96" t="s">
        <v>86</v>
      </c>
      <c r="H61" s="97">
        <v>5</v>
      </c>
      <c r="I61" s="98">
        <v>10</v>
      </c>
      <c r="J61" s="98">
        <f t="shared" si="1"/>
        <v>50</v>
      </c>
      <c r="K61" s="99"/>
      <c r="L61" s="100"/>
      <c r="S61" s="91"/>
    </row>
    <row r="62" spans="1:19" ht="16.5" customHeight="1">
      <c r="A62" s="95">
        <f t="shared" si="0"/>
        <v>57</v>
      </c>
      <c r="B62" s="111" t="s">
        <v>167</v>
      </c>
      <c r="C62" s="112"/>
      <c r="D62" s="140" t="s">
        <v>232</v>
      </c>
      <c r="E62" s="141"/>
      <c r="F62" s="142"/>
      <c r="G62" s="96" t="s">
        <v>249</v>
      </c>
      <c r="H62" s="97">
        <v>5</v>
      </c>
      <c r="I62" s="98">
        <v>7.5</v>
      </c>
      <c r="J62" s="98">
        <f t="shared" si="1"/>
        <v>37.5</v>
      </c>
      <c r="K62" s="99"/>
      <c r="L62" s="100"/>
      <c r="S62" s="91"/>
    </row>
    <row r="63" spans="1:19" ht="16.5" customHeight="1">
      <c r="A63" s="95">
        <f t="shared" si="0"/>
        <v>58</v>
      </c>
      <c r="B63" s="111" t="s">
        <v>167</v>
      </c>
      <c r="C63" s="112"/>
      <c r="D63" s="140" t="s">
        <v>233</v>
      </c>
      <c r="E63" s="141"/>
      <c r="F63" s="142"/>
      <c r="G63" s="96" t="s">
        <v>249</v>
      </c>
      <c r="H63" s="97">
        <v>5</v>
      </c>
      <c r="I63" s="98">
        <v>12</v>
      </c>
      <c r="J63" s="98">
        <f t="shared" si="1"/>
        <v>60</v>
      </c>
      <c r="K63" s="99"/>
      <c r="L63" s="100"/>
      <c r="S63" s="91"/>
    </row>
    <row r="64" spans="1:19" ht="16.5" customHeight="1">
      <c r="A64" s="95">
        <f t="shared" si="0"/>
        <v>59</v>
      </c>
      <c r="B64" s="111" t="s">
        <v>168</v>
      </c>
      <c r="C64" s="112"/>
      <c r="D64" s="140" t="s">
        <v>194</v>
      </c>
      <c r="E64" s="141"/>
      <c r="F64" s="142"/>
      <c r="G64" s="96" t="s">
        <v>86</v>
      </c>
      <c r="H64" s="97">
        <v>10</v>
      </c>
      <c r="I64" s="98">
        <v>5</v>
      </c>
      <c r="J64" s="98">
        <f t="shared" si="1"/>
        <v>50</v>
      </c>
      <c r="K64" s="99"/>
      <c r="L64" s="100"/>
      <c r="S64" s="91"/>
    </row>
    <row r="65" spans="1:19" ht="16.5" customHeight="1">
      <c r="A65" s="95">
        <f t="shared" si="0"/>
        <v>60</v>
      </c>
      <c r="B65" s="111" t="s">
        <v>169</v>
      </c>
      <c r="C65" s="112"/>
      <c r="D65" s="140" t="s">
        <v>194</v>
      </c>
      <c r="E65" s="141"/>
      <c r="F65" s="142"/>
      <c r="G65" s="96" t="s">
        <v>86</v>
      </c>
      <c r="H65" s="97">
        <v>20</v>
      </c>
      <c r="I65" s="98">
        <v>3.25</v>
      </c>
      <c r="J65" s="98">
        <f t="shared" si="1"/>
        <v>65</v>
      </c>
      <c r="K65" s="99"/>
      <c r="L65" s="100"/>
      <c r="S65" s="91"/>
    </row>
    <row r="66" spans="1:19" ht="16.5" customHeight="1">
      <c r="A66" s="95">
        <f t="shared" si="0"/>
        <v>61</v>
      </c>
      <c r="B66" s="111" t="s">
        <v>170</v>
      </c>
      <c r="C66" s="112"/>
      <c r="D66" s="140" t="s">
        <v>234</v>
      </c>
      <c r="E66" s="141"/>
      <c r="F66" s="142"/>
      <c r="G66" s="96" t="s">
        <v>86</v>
      </c>
      <c r="H66" s="97">
        <v>30</v>
      </c>
      <c r="I66" s="98">
        <v>4</v>
      </c>
      <c r="J66" s="98">
        <f t="shared" si="1"/>
        <v>120</v>
      </c>
      <c r="K66" s="99"/>
      <c r="L66" s="100"/>
      <c r="S66" s="91"/>
    </row>
    <row r="67" spans="1:19" ht="16.5" customHeight="1">
      <c r="A67" s="95">
        <f t="shared" si="0"/>
        <v>62</v>
      </c>
      <c r="B67" s="111" t="s">
        <v>166</v>
      </c>
      <c r="C67" s="112"/>
      <c r="D67" s="140" t="s">
        <v>223</v>
      </c>
      <c r="E67" s="141"/>
      <c r="F67" s="142"/>
      <c r="G67" s="96" t="s">
        <v>86</v>
      </c>
      <c r="H67" s="97">
        <v>5</v>
      </c>
      <c r="I67" s="98">
        <v>6</v>
      </c>
      <c r="J67" s="98">
        <f t="shared" si="1"/>
        <v>30</v>
      </c>
      <c r="K67" s="99"/>
      <c r="L67" s="100"/>
      <c r="S67" s="91"/>
    </row>
    <row r="68" spans="1:19" ht="16.5" customHeight="1">
      <c r="A68" s="95">
        <f t="shared" si="0"/>
        <v>63</v>
      </c>
      <c r="B68" s="111" t="s">
        <v>171</v>
      </c>
      <c r="C68" s="112"/>
      <c r="D68" s="140" t="s">
        <v>204</v>
      </c>
      <c r="E68" s="141"/>
      <c r="F68" s="142"/>
      <c r="G68" s="96" t="s">
        <v>251</v>
      </c>
      <c r="H68" s="97">
        <v>15</v>
      </c>
      <c r="I68" s="98">
        <v>55</v>
      </c>
      <c r="J68" s="98">
        <f t="shared" si="1"/>
        <v>825</v>
      </c>
      <c r="K68" s="99"/>
      <c r="L68" s="100"/>
      <c r="S68" s="91"/>
    </row>
    <row r="69" spans="1:19" ht="16.5" customHeight="1">
      <c r="A69" s="95">
        <f t="shared" si="0"/>
        <v>64</v>
      </c>
      <c r="B69" s="111" t="s">
        <v>172</v>
      </c>
      <c r="C69" s="112"/>
      <c r="D69" s="140" t="s">
        <v>235</v>
      </c>
      <c r="E69" s="141"/>
      <c r="F69" s="142"/>
      <c r="G69" s="96" t="s">
        <v>86</v>
      </c>
      <c r="H69" s="97">
        <v>1</v>
      </c>
      <c r="I69" s="98">
        <v>58</v>
      </c>
      <c r="J69" s="98">
        <f t="shared" si="1"/>
        <v>58</v>
      </c>
      <c r="K69" s="99"/>
      <c r="L69" s="100"/>
      <c r="S69" s="91"/>
    </row>
    <row r="70" spans="1:19" ht="16.5" customHeight="1">
      <c r="A70" s="95">
        <f t="shared" ref="A70:A88" si="2">ROW(A65)</f>
        <v>65</v>
      </c>
      <c r="B70" s="111" t="s">
        <v>173</v>
      </c>
      <c r="C70" s="112"/>
      <c r="D70" s="140" t="s">
        <v>236</v>
      </c>
      <c r="E70" s="141"/>
      <c r="F70" s="142"/>
      <c r="G70" s="96" t="s">
        <v>86</v>
      </c>
      <c r="H70" s="97">
        <v>1</v>
      </c>
      <c r="I70" s="98">
        <v>126</v>
      </c>
      <c r="J70" s="98">
        <f t="shared" si="1"/>
        <v>126</v>
      </c>
      <c r="K70" s="99"/>
      <c r="L70" s="100"/>
      <c r="S70" s="91"/>
    </row>
    <row r="71" spans="1:19" ht="16.5" customHeight="1">
      <c r="A71" s="95">
        <f t="shared" si="2"/>
        <v>66</v>
      </c>
      <c r="B71" s="111" t="s">
        <v>174</v>
      </c>
      <c r="C71" s="112"/>
      <c r="D71" s="140" t="s">
        <v>223</v>
      </c>
      <c r="E71" s="141"/>
      <c r="F71" s="142"/>
      <c r="G71" s="96" t="s">
        <v>86</v>
      </c>
      <c r="H71" s="97">
        <v>1</v>
      </c>
      <c r="I71" s="98">
        <v>43</v>
      </c>
      <c r="J71" s="98">
        <f t="shared" ref="J71:J88" si="3">H71*I71</f>
        <v>43</v>
      </c>
      <c r="K71" s="99"/>
      <c r="L71" s="100"/>
      <c r="S71" s="91"/>
    </row>
    <row r="72" spans="1:19" ht="16.5" customHeight="1">
      <c r="A72" s="95">
        <f t="shared" si="2"/>
        <v>67</v>
      </c>
      <c r="B72" s="111" t="s">
        <v>167</v>
      </c>
      <c r="C72" s="112"/>
      <c r="D72" s="140" t="s">
        <v>194</v>
      </c>
      <c r="E72" s="141"/>
      <c r="F72" s="142"/>
      <c r="G72" s="96" t="s">
        <v>249</v>
      </c>
      <c r="H72" s="97">
        <v>20</v>
      </c>
      <c r="I72" s="98">
        <v>4.4000000000000004</v>
      </c>
      <c r="J72" s="98">
        <f t="shared" si="3"/>
        <v>88</v>
      </c>
      <c r="K72" s="99"/>
      <c r="L72" s="100"/>
      <c r="S72" s="91"/>
    </row>
    <row r="73" spans="1:19" ht="16.5" customHeight="1">
      <c r="A73" s="95">
        <f t="shared" si="2"/>
        <v>68</v>
      </c>
      <c r="B73" s="111" t="s">
        <v>175</v>
      </c>
      <c r="C73" s="112"/>
      <c r="D73" s="140" t="s">
        <v>237</v>
      </c>
      <c r="E73" s="141"/>
      <c r="F73" s="142"/>
      <c r="G73" s="96" t="s">
        <v>249</v>
      </c>
      <c r="H73" s="97">
        <v>300</v>
      </c>
      <c r="I73" s="98">
        <v>6.5</v>
      </c>
      <c r="J73" s="98">
        <f t="shared" si="3"/>
        <v>1950</v>
      </c>
      <c r="K73" s="99"/>
      <c r="L73" s="100"/>
      <c r="S73" s="91"/>
    </row>
    <row r="74" spans="1:19" ht="16.5" customHeight="1">
      <c r="A74" s="95">
        <f t="shared" si="2"/>
        <v>69</v>
      </c>
      <c r="B74" s="111" t="s">
        <v>176</v>
      </c>
      <c r="C74" s="112"/>
      <c r="D74" s="140" t="s">
        <v>238</v>
      </c>
      <c r="E74" s="141"/>
      <c r="F74" s="142"/>
      <c r="G74" s="96" t="s">
        <v>86</v>
      </c>
      <c r="H74" s="97">
        <v>6</v>
      </c>
      <c r="I74" s="98">
        <v>7</v>
      </c>
      <c r="J74" s="98">
        <f t="shared" si="3"/>
        <v>42</v>
      </c>
      <c r="K74" s="99"/>
      <c r="L74" s="100"/>
      <c r="S74" s="91"/>
    </row>
    <row r="75" spans="1:19" ht="16.5" customHeight="1">
      <c r="A75" s="95">
        <f t="shared" si="2"/>
        <v>70</v>
      </c>
      <c r="B75" s="111" t="s">
        <v>177</v>
      </c>
      <c r="C75" s="112"/>
      <c r="D75" s="140" t="s">
        <v>238</v>
      </c>
      <c r="E75" s="141"/>
      <c r="F75" s="142"/>
      <c r="G75" s="96" t="s">
        <v>86</v>
      </c>
      <c r="H75" s="97">
        <v>6</v>
      </c>
      <c r="I75" s="98">
        <v>30</v>
      </c>
      <c r="J75" s="98">
        <f t="shared" si="3"/>
        <v>180</v>
      </c>
      <c r="K75" s="99"/>
      <c r="L75" s="100"/>
      <c r="S75" s="91"/>
    </row>
    <row r="76" spans="1:19" ht="16.5" customHeight="1">
      <c r="A76" s="95">
        <f t="shared" si="2"/>
        <v>71</v>
      </c>
      <c r="B76" s="111" t="s">
        <v>178</v>
      </c>
      <c r="C76" s="112"/>
      <c r="D76" s="140" t="s">
        <v>239</v>
      </c>
      <c r="E76" s="141"/>
      <c r="F76" s="142"/>
      <c r="G76" s="96" t="s">
        <v>86</v>
      </c>
      <c r="H76" s="97">
        <v>5</v>
      </c>
      <c r="I76" s="98">
        <v>13</v>
      </c>
      <c r="J76" s="98">
        <f t="shared" si="3"/>
        <v>65</v>
      </c>
      <c r="K76" s="99"/>
      <c r="L76" s="100"/>
      <c r="S76" s="91"/>
    </row>
    <row r="77" spans="1:19" ht="16.5" customHeight="1">
      <c r="A77" s="95">
        <f t="shared" si="2"/>
        <v>72</v>
      </c>
      <c r="B77" s="111" t="s">
        <v>179</v>
      </c>
      <c r="C77" s="112"/>
      <c r="D77" s="140" t="s">
        <v>240</v>
      </c>
      <c r="E77" s="141"/>
      <c r="F77" s="142"/>
      <c r="G77" s="96" t="s">
        <v>86</v>
      </c>
      <c r="H77" s="97">
        <v>5</v>
      </c>
      <c r="I77" s="98">
        <v>6</v>
      </c>
      <c r="J77" s="98">
        <f t="shared" si="3"/>
        <v>30</v>
      </c>
      <c r="K77" s="99"/>
      <c r="L77" s="100"/>
      <c r="S77" s="91"/>
    </row>
    <row r="78" spans="1:19" ht="16.5" customHeight="1">
      <c r="A78" s="95">
        <f t="shared" si="2"/>
        <v>73</v>
      </c>
      <c r="B78" s="111" t="s">
        <v>180</v>
      </c>
      <c r="C78" s="112"/>
      <c r="D78" s="140" t="s">
        <v>241</v>
      </c>
      <c r="E78" s="141"/>
      <c r="F78" s="142"/>
      <c r="G78" s="96" t="s">
        <v>86</v>
      </c>
      <c r="H78" s="97">
        <v>5</v>
      </c>
      <c r="I78" s="98">
        <v>19.5</v>
      </c>
      <c r="J78" s="98">
        <f t="shared" si="3"/>
        <v>97.5</v>
      </c>
      <c r="K78" s="99"/>
      <c r="L78" s="100"/>
      <c r="S78" s="91"/>
    </row>
    <row r="79" spans="1:19" ht="16.5" customHeight="1">
      <c r="A79" s="95">
        <f t="shared" si="2"/>
        <v>74</v>
      </c>
      <c r="B79" s="111" t="s">
        <v>181</v>
      </c>
      <c r="C79" s="112"/>
      <c r="D79" s="140" t="s">
        <v>242</v>
      </c>
      <c r="E79" s="141"/>
      <c r="F79" s="142"/>
      <c r="G79" s="96" t="s">
        <v>249</v>
      </c>
      <c r="H79" s="97">
        <v>10</v>
      </c>
      <c r="I79" s="98">
        <v>20</v>
      </c>
      <c r="J79" s="98">
        <f t="shared" si="3"/>
        <v>200</v>
      </c>
      <c r="K79" s="99"/>
      <c r="L79" s="100"/>
      <c r="S79" s="91"/>
    </row>
    <row r="80" spans="1:19" ht="16.5" customHeight="1">
      <c r="A80" s="95">
        <f t="shared" si="2"/>
        <v>75</v>
      </c>
      <c r="B80" s="111" t="s">
        <v>182</v>
      </c>
      <c r="C80" s="112"/>
      <c r="D80" s="140" t="s">
        <v>243</v>
      </c>
      <c r="E80" s="141"/>
      <c r="F80" s="142"/>
      <c r="G80" s="96" t="s">
        <v>249</v>
      </c>
      <c r="H80" s="97">
        <v>15</v>
      </c>
      <c r="I80" s="98">
        <v>5</v>
      </c>
      <c r="J80" s="98">
        <f t="shared" si="3"/>
        <v>75</v>
      </c>
      <c r="K80" s="99"/>
      <c r="L80" s="100"/>
      <c r="S80" s="91"/>
    </row>
    <row r="81" spans="1:26" ht="16.5" customHeight="1">
      <c r="A81" s="95">
        <f t="shared" si="2"/>
        <v>76</v>
      </c>
      <c r="B81" s="111" t="s">
        <v>183</v>
      </c>
      <c r="C81" s="112"/>
      <c r="D81" s="140" t="s">
        <v>194</v>
      </c>
      <c r="E81" s="141"/>
      <c r="F81" s="142"/>
      <c r="G81" s="96" t="s">
        <v>86</v>
      </c>
      <c r="H81" s="97">
        <v>10</v>
      </c>
      <c r="I81" s="98">
        <v>18</v>
      </c>
      <c r="J81" s="98">
        <f t="shared" si="3"/>
        <v>180</v>
      </c>
      <c r="K81" s="99"/>
      <c r="L81" s="100"/>
      <c r="S81" s="91"/>
    </row>
    <row r="82" spans="1:26" ht="16.5" customHeight="1">
      <c r="A82" s="95">
        <f t="shared" si="2"/>
        <v>77</v>
      </c>
      <c r="B82" s="111" t="s">
        <v>184</v>
      </c>
      <c r="C82" s="112"/>
      <c r="D82" s="140" t="s">
        <v>194</v>
      </c>
      <c r="E82" s="141"/>
      <c r="F82" s="142"/>
      <c r="G82" s="96" t="s">
        <v>86</v>
      </c>
      <c r="H82" s="97">
        <v>10</v>
      </c>
      <c r="I82" s="98">
        <v>18</v>
      </c>
      <c r="J82" s="98">
        <f t="shared" si="3"/>
        <v>180</v>
      </c>
      <c r="K82" s="99"/>
      <c r="L82" s="100"/>
      <c r="S82" s="91"/>
    </row>
    <row r="83" spans="1:26" ht="16.5" customHeight="1">
      <c r="A83" s="95">
        <f t="shared" si="2"/>
        <v>78</v>
      </c>
      <c r="B83" s="111" t="s">
        <v>185</v>
      </c>
      <c r="C83" s="112"/>
      <c r="D83" s="140" t="s">
        <v>194</v>
      </c>
      <c r="E83" s="141"/>
      <c r="F83" s="142"/>
      <c r="G83" s="96" t="s">
        <v>249</v>
      </c>
      <c r="H83" s="97">
        <v>20</v>
      </c>
      <c r="I83" s="98">
        <v>28.8</v>
      </c>
      <c r="J83" s="98">
        <f t="shared" si="3"/>
        <v>576</v>
      </c>
      <c r="K83" s="99"/>
      <c r="L83" s="100"/>
      <c r="S83" s="91"/>
    </row>
    <row r="84" spans="1:26" ht="16.5" customHeight="1">
      <c r="A84" s="95">
        <f t="shared" si="2"/>
        <v>79</v>
      </c>
      <c r="B84" s="111" t="s">
        <v>186</v>
      </c>
      <c r="C84" s="112"/>
      <c r="D84" s="140" t="s">
        <v>194</v>
      </c>
      <c r="E84" s="141"/>
      <c r="F84" s="142"/>
      <c r="G84" s="96" t="s">
        <v>86</v>
      </c>
      <c r="H84" s="97">
        <v>12</v>
      </c>
      <c r="I84" s="98">
        <v>26</v>
      </c>
      <c r="J84" s="98">
        <f t="shared" si="3"/>
        <v>312</v>
      </c>
      <c r="K84" s="99"/>
      <c r="L84" s="100"/>
      <c r="S84" s="91"/>
    </row>
    <row r="85" spans="1:26" ht="16.5" customHeight="1">
      <c r="A85" s="95">
        <f t="shared" si="2"/>
        <v>80</v>
      </c>
      <c r="B85" s="111" t="s">
        <v>187</v>
      </c>
      <c r="C85" s="112"/>
      <c r="D85" s="140" t="s">
        <v>194</v>
      </c>
      <c r="E85" s="141"/>
      <c r="F85" s="142"/>
      <c r="G85" s="96" t="s">
        <v>86</v>
      </c>
      <c r="H85" s="97">
        <v>1500</v>
      </c>
      <c r="I85" s="98">
        <v>1</v>
      </c>
      <c r="J85" s="98">
        <f t="shared" si="3"/>
        <v>1500</v>
      </c>
      <c r="K85" s="99"/>
      <c r="L85" s="100"/>
      <c r="S85" s="91"/>
    </row>
    <row r="86" spans="1:26" ht="16.5" customHeight="1">
      <c r="A86" s="95">
        <f t="shared" si="2"/>
        <v>81</v>
      </c>
      <c r="B86" s="111" t="s">
        <v>188</v>
      </c>
      <c r="C86" s="112"/>
      <c r="D86" s="140" t="s">
        <v>244</v>
      </c>
      <c r="E86" s="141"/>
      <c r="F86" s="142"/>
      <c r="G86" s="96" t="s">
        <v>86</v>
      </c>
      <c r="H86" s="97">
        <v>10</v>
      </c>
      <c r="I86" s="98">
        <v>87</v>
      </c>
      <c r="J86" s="98">
        <f t="shared" si="3"/>
        <v>870</v>
      </c>
      <c r="K86" s="99"/>
      <c r="L86" s="100"/>
      <c r="S86" s="91"/>
    </row>
    <row r="87" spans="1:26" ht="16.5" customHeight="1">
      <c r="A87" s="95">
        <f t="shared" si="2"/>
        <v>82</v>
      </c>
      <c r="B87" s="111" t="s">
        <v>189</v>
      </c>
      <c r="C87" s="112"/>
      <c r="D87" s="140" t="s">
        <v>245</v>
      </c>
      <c r="E87" s="141"/>
      <c r="F87" s="142"/>
      <c r="G87" s="96" t="s">
        <v>86</v>
      </c>
      <c r="H87" s="97">
        <v>12</v>
      </c>
      <c r="I87" s="98">
        <v>12.6</v>
      </c>
      <c r="J87" s="98">
        <f t="shared" si="3"/>
        <v>151.19999999999999</v>
      </c>
      <c r="K87" s="99"/>
      <c r="L87" s="100"/>
      <c r="S87" s="91"/>
    </row>
    <row r="88" spans="1:26" ht="16.5" customHeight="1">
      <c r="A88" s="95">
        <f t="shared" si="2"/>
        <v>83</v>
      </c>
      <c r="B88" s="111" t="s">
        <v>190</v>
      </c>
      <c r="C88" s="112"/>
      <c r="D88" s="140" t="s">
        <v>246</v>
      </c>
      <c r="E88" s="141"/>
      <c r="F88" s="142"/>
      <c r="G88" s="96" t="s">
        <v>248</v>
      </c>
      <c r="H88" s="97">
        <v>25</v>
      </c>
      <c r="I88" s="98">
        <v>15.25</v>
      </c>
      <c r="J88" s="98">
        <f t="shared" si="3"/>
        <v>381.25</v>
      </c>
      <c r="K88" s="99"/>
      <c r="L88" s="100"/>
      <c r="S88" s="91"/>
    </row>
    <row r="89" spans="1:26" ht="16.5" customHeight="1">
      <c r="A89" s="137" t="s">
        <v>8</v>
      </c>
      <c r="B89" s="138"/>
      <c r="C89" s="103"/>
      <c r="D89" s="104"/>
      <c r="E89" s="104"/>
      <c r="F89" s="104"/>
      <c r="G89" s="105"/>
      <c r="H89" s="106"/>
      <c r="I89" s="102" t="s">
        <v>9</v>
      </c>
      <c r="J89" s="98">
        <f>SUM(J6:J88)</f>
        <v>106168.89</v>
      </c>
      <c r="K89" s="98"/>
      <c r="L89" s="101"/>
    </row>
    <row r="90" spans="1:26" ht="25.5" customHeight="1">
      <c r="A90" s="94" t="s">
        <v>10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</row>
    <row r="91" spans="1:26" ht="18" customHeight="1">
      <c r="A91" s="7"/>
      <c r="J91" s="1"/>
      <c r="K91" s="1"/>
      <c r="O91" s="8"/>
      <c r="P91" s="8"/>
      <c r="Q91" s="8"/>
      <c r="R91" s="8"/>
      <c r="S91" s="8"/>
      <c r="T91" s="8"/>
      <c r="U91" s="8"/>
      <c r="V91" s="8"/>
      <c r="W91" s="8"/>
      <c r="Y91" s="128"/>
      <c r="Z91" s="8"/>
    </row>
    <row r="92" spans="1:26" ht="50.1" customHeight="1">
      <c r="Y92" s="129"/>
    </row>
    <row r="93" spans="1:26" ht="15" customHeight="1">
      <c r="O93" s="124" t="s">
        <v>253</v>
      </c>
      <c r="P93" s="130"/>
      <c r="Q93" s="130"/>
      <c r="R93" s="125"/>
      <c r="S93" s="113"/>
      <c r="T93" s="124" t="s">
        <v>254</v>
      </c>
      <c r="U93" s="130"/>
      <c r="V93" s="130"/>
      <c r="W93" s="130"/>
      <c r="X93" s="130"/>
      <c r="Y93" s="125"/>
    </row>
    <row r="94" spans="1:26" ht="15" customHeight="1">
      <c r="O94" s="131" t="s">
        <v>255</v>
      </c>
      <c r="P94" s="133" t="s">
        <v>256</v>
      </c>
      <c r="Q94" s="131" t="s">
        <v>257</v>
      </c>
      <c r="R94" s="133" t="s">
        <v>258</v>
      </c>
      <c r="S94" s="113"/>
      <c r="T94" s="131" t="s">
        <v>259</v>
      </c>
      <c r="U94" s="133" t="s">
        <v>260</v>
      </c>
      <c r="V94" s="124" t="s">
        <v>261</v>
      </c>
      <c r="W94" s="130"/>
      <c r="X94" s="125"/>
      <c r="Y94" s="133" t="s">
        <v>262</v>
      </c>
    </row>
    <row r="95" spans="1:26" ht="18" customHeight="1">
      <c r="O95" s="132"/>
      <c r="P95" s="134"/>
      <c r="Q95" s="132"/>
      <c r="R95" s="134"/>
      <c r="S95" s="115"/>
      <c r="T95" s="132"/>
      <c r="U95" s="134"/>
      <c r="V95" s="10" t="s">
        <v>255</v>
      </c>
      <c r="W95" s="135" t="s">
        <v>263</v>
      </c>
      <c r="X95" s="136"/>
      <c r="Y95" s="134"/>
    </row>
    <row r="96" spans="1:26" ht="50.1" customHeight="1">
      <c r="O96" s="11"/>
      <c r="P96" s="11"/>
      <c r="Q96" s="11"/>
      <c r="R96" s="11"/>
      <c r="S96" s="113"/>
      <c r="T96" s="11"/>
      <c r="U96" s="11"/>
      <c r="V96" s="11"/>
      <c r="W96" s="124"/>
      <c r="X96" s="125"/>
      <c r="Y96" s="116"/>
    </row>
    <row r="97" spans="15:25" ht="36" customHeight="1">
      <c r="W97" s="117"/>
      <c r="X97" s="126" t="s">
        <v>264</v>
      </c>
      <c r="Y97" s="9" t="s">
        <v>262</v>
      </c>
    </row>
    <row r="98" spans="15:25" ht="50.1" customHeight="1">
      <c r="O98" s="118"/>
      <c r="P98" s="118"/>
      <c r="Q98" s="118"/>
      <c r="R98" s="118"/>
      <c r="S98" s="118"/>
      <c r="T98" s="118"/>
      <c r="U98" s="118"/>
      <c r="V98" s="118"/>
      <c r="W98" s="119"/>
      <c r="X98" s="127"/>
      <c r="Y98" s="120"/>
    </row>
    <row r="99" spans="15:25" ht="50.1" customHeight="1">
      <c r="O99" s="118"/>
      <c r="P99" s="118"/>
      <c r="Q99" s="118"/>
      <c r="R99" s="118"/>
      <c r="S99" s="118"/>
      <c r="T99" s="118"/>
      <c r="U99" s="118"/>
      <c r="V99" s="118"/>
      <c r="W99" s="118"/>
    </row>
    <row r="100" spans="15:25" ht="17.45" customHeight="1">
      <c r="O100" s="139"/>
      <c r="P100" s="139"/>
      <c r="Q100" s="139"/>
    </row>
    <row r="101" spans="15:25" ht="19.899999999999999" customHeight="1">
      <c r="O101" s="139"/>
      <c r="P101" s="139"/>
      <c r="Q101" s="139"/>
    </row>
    <row r="102" spans="15:25" ht="14.25">
      <c r="O102" s="8"/>
      <c r="P102" s="8"/>
      <c r="Q102" s="8"/>
    </row>
    <row r="103" spans="15:25" ht="65.099999999999994" customHeight="1"/>
    <row r="104" spans="15:25" ht="14.25">
      <c r="O104" s="8"/>
      <c r="P104" s="8"/>
      <c r="Q104" s="8"/>
    </row>
    <row r="105" spans="15:25" ht="19.899999999999999" customHeight="1"/>
    <row r="106" spans="15:25" ht="14.25"/>
    <row r="107" spans="15:25" ht="19.899999999999999" customHeight="1"/>
    <row r="108" spans="15:25" ht="14.25"/>
    <row r="109" spans="15:25" ht="19.899999999999999" customHeight="1"/>
    <row r="110" spans="15:25" ht="19.899999999999999" customHeight="1"/>
    <row r="111" spans="15:25" ht="64.900000000000006" customHeight="1"/>
    <row r="113" spans="15:22" ht="19.899999999999999" customHeight="1">
      <c r="T113" s="133" t="s">
        <v>12</v>
      </c>
    </row>
    <row r="114" spans="15:22" ht="19.899999999999999" customHeight="1">
      <c r="T114" s="134"/>
    </row>
    <row r="115" spans="15:22" ht="64.900000000000006" customHeight="1">
      <c r="T115" s="11"/>
    </row>
    <row r="119" spans="15:22" ht="21" customHeight="1">
      <c r="O119" s="133" t="s">
        <v>12</v>
      </c>
      <c r="P119" s="133" t="s">
        <v>12</v>
      </c>
      <c r="Q119" s="133" t="s">
        <v>12</v>
      </c>
      <c r="T119" s="133" t="s">
        <v>13</v>
      </c>
      <c r="U119" s="133" t="s">
        <v>11</v>
      </c>
      <c r="V119" s="133" t="s">
        <v>12</v>
      </c>
    </row>
    <row r="120" spans="15:22" ht="21" customHeight="1">
      <c r="O120" s="134"/>
      <c r="P120" s="134"/>
      <c r="Q120" s="134"/>
      <c r="T120" s="132"/>
      <c r="U120" s="132"/>
      <c r="V120" s="134"/>
    </row>
    <row r="121" spans="15:22" ht="64.900000000000006" customHeight="1">
      <c r="O121" s="11"/>
      <c r="P121" s="11"/>
      <c r="Q121" s="11"/>
      <c r="T121" s="11"/>
      <c r="U121" s="12"/>
      <c r="V121" s="11"/>
    </row>
    <row r="122" spans="15:22" ht="7.15" customHeight="1"/>
    <row r="123" spans="15:22" ht="21" customHeight="1">
      <c r="O123" s="133" t="s">
        <v>12</v>
      </c>
      <c r="P123" s="133" t="s">
        <v>12</v>
      </c>
      <c r="Q123" s="133" t="s">
        <v>12</v>
      </c>
      <c r="T123" s="133" t="s">
        <v>11</v>
      </c>
      <c r="U123" s="133" t="s">
        <v>13</v>
      </c>
      <c r="V123" s="133" t="s">
        <v>12</v>
      </c>
    </row>
    <row r="124" spans="15:22" ht="21" customHeight="1">
      <c r="O124" s="134"/>
      <c r="P124" s="134"/>
      <c r="Q124" s="134"/>
      <c r="T124" s="132"/>
      <c r="U124" s="132"/>
      <c r="V124" s="134"/>
    </row>
    <row r="125" spans="15:22" ht="64.900000000000006" customHeight="1">
      <c r="O125" s="11"/>
      <c r="P125" s="11"/>
      <c r="Q125" s="11"/>
      <c r="T125" s="12"/>
      <c r="U125" s="11"/>
      <c r="V125" s="11"/>
    </row>
  </sheetData>
  <mergeCells count="126">
    <mergeCell ref="D84:F84"/>
    <mergeCell ref="D85:F85"/>
    <mergeCell ref="D86:F86"/>
    <mergeCell ref="D87:F87"/>
    <mergeCell ref="D88:F88"/>
    <mergeCell ref="D79:F79"/>
    <mergeCell ref="D80:F80"/>
    <mergeCell ref="D81:F81"/>
    <mergeCell ref="D82:F82"/>
    <mergeCell ref="D83:F83"/>
    <mergeCell ref="D74:F74"/>
    <mergeCell ref="D75:F75"/>
    <mergeCell ref="D76:F76"/>
    <mergeCell ref="D77:F77"/>
    <mergeCell ref="D78:F78"/>
    <mergeCell ref="D69:F69"/>
    <mergeCell ref="D70:F70"/>
    <mergeCell ref="D71:F71"/>
    <mergeCell ref="D72:F72"/>
    <mergeCell ref="D73:F73"/>
    <mergeCell ref="D64:F64"/>
    <mergeCell ref="D65:F65"/>
    <mergeCell ref="D66:F66"/>
    <mergeCell ref="D67:F67"/>
    <mergeCell ref="D68:F68"/>
    <mergeCell ref="D59:F59"/>
    <mergeCell ref="D60:F60"/>
    <mergeCell ref="D61:F61"/>
    <mergeCell ref="D62:F62"/>
    <mergeCell ref="D63:F63"/>
    <mergeCell ref="D54:F54"/>
    <mergeCell ref="D55:F55"/>
    <mergeCell ref="D56:F56"/>
    <mergeCell ref="D57:F57"/>
    <mergeCell ref="D58:F58"/>
    <mergeCell ref="D49:F49"/>
    <mergeCell ref="D50:F50"/>
    <mergeCell ref="D51:F51"/>
    <mergeCell ref="D52:F52"/>
    <mergeCell ref="D53:F53"/>
    <mergeCell ref="D44:F44"/>
    <mergeCell ref="D45:F45"/>
    <mergeCell ref="D46:F46"/>
    <mergeCell ref="D47:F47"/>
    <mergeCell ref="D48:F48"/>
    <mergeCell ref="D39:F39"/>
    <mergeCell ref="D40:F40"/>
    <mergeCell ref="D41:F41"/>
    <mergeCell ref="D42:F42"/>
    <mergeCell ref="D43:F43"/>
    <mergeCell ref="D34:F34"/>
    <mergeCell ref="D35:F35"/>
    <mergeCell ref="D36:F36"/>
    <mergeCell ref="D37:F37"/>
    <mergeCell ref="D38:F38"/>
    <mergeCell ref="D29:F29"/>
    <mergeCell ref="D30:F30"/>
    <mergeCell ref="D31:F31"/>
    <mergeCell ref="D32:F32"/>
    <mergeCell ref="D33:F33"/>
    <mergeCell ref="D24:F24"/>
    <mergeCell ref="D25:F25"/>
    <mergeCell ref="D26:F26"/>
    <mergeCell ref="D27:F27"/>
    <mergeCell ref="D28:F28"/>
    <mergeCell ref="D19:F19"/>
    <mergeCell ref="D20:F20"/>
    <mergeCell ref="D21:F21"/>
    <mergeCell ref="D22:F22"/>
    <mergeCell ref="D23:F23"/>
    <mergeCell ref="A4:A5"/>
    <mergeCell ref="B4:C5"/>
    <mergeCell ref="D4:F5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L4:L5"/>
    <mergeCell ref="J1:L1"/>
    <mergeCell ref="J2:L2"/>
    <mergeCell ref="E3:I3"/>
    <mergeCell ref="D6:F6"/>
    <mergeCell ref="G4:G5"/>
    <mergeCell ref="H4:H5"/>
    <mergeCell ref="I4:I5"/>
    <mergeCell ref="J4:J5"/>
    <mergeCell ref="K4:K5"/>
    <mergeCell ref="O123:O124"/>
    <mergeCell ref="P123:P124"/>
    <mergeCell ref="Q123:Q124"/>
    <mergeCell ref="T123:T124"/>
    <mergeCell ref="U123:U124"/>
    <mergeCell ref="V123:V124"/>
    <mergeCell ref="O119:O120"/>
    <mergeCell ref="P119:P120"/>
    <mergeCell ref="Q119:Q120"/>
    <mergeCell ref="T119:T120"/>
    <mergeCell ref="A89:B89"/>
    <mergeCell ref="P100:P101"/>
    <mergeCell ref="Q100:Q101"/>
    <mergeCell ref="O100:O101"/>
    <mergeCell ref="U119:U120"/>
    <mergeCell ref="T113:T114"/>
    <mergeCell ref="P94:P95"/>
    <mergeCell ref="Q94:Q95"/>
    <mergeCell ref="V119:V120"/>
    <mergeCell ref="W96:X96"/>
    <mergeCell ref="X97:X98"/>
    <mergeCell ref="Y91:Y92"/>
    <mergeCell ref="O93:R93"/>
    <mergeCell ref="T93:Y93"/>
    <mergeCell ref="O94:O95"/>
    <mergeCell ref="R94:R95"/>
    <mergeCell ref="T94:T95"/>
    <mergeCell ref="U94:U95"/>
    <mergeCell ref="V94:X94"/>
    <mergeCell ref="Y94:Y95"/>
    <mergeCell ref="W95:X95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25" activePane="bottomLeft" state="frozen"/>
      <selection activeCell="D30" sqref="D30"/>
      <selection pane="bottomLeft" activeCell="O34" sqref="O3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2" t="s">
        <v>85</v>
      </c>
      <c r="B1" s="85"/>
      <c r="C1" s="85"/>
      <c r="D1" s="85"/>
      <c r="E1" s="85"/>
      <c r="F1" s="85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86"/>
      <c r="C2" s="86"/>
      <c r="D2" s="3" t="str">
        <f>+MRS!D2</f>
        <v>Division (In charge Name) : ADMIN MANAGER (Dong Chang Kim)</v>
      </c>
      <c r="E2" s="86"/>
      <c r="F2" s="86"/>
      <c r="G2" s="13"/>
      <c r="H2" s="13"/>
      <c r="I2" s="13"/>
      <c r="J2" s="147" t="str">
        <f>+MRS!J2</f>
        <v>Subcontract name (SAC2-SC-IK-SMP-01)</v>
      </c>
      <c r="K2" s="149"/>
    </row>
    <row r="3" spans="1:18" ht="24.95" customHeight="1">
      <c r="A3" s="3" t="str">
        <f>+MRS!A3</f>
        <v xml:space="preserve">  MRS No : SAC2-DS-MRS-0375</v>
      </c>
      <c r="B3" s="86"/>
      <c r="C3" s="86"/>
      <c r="D3" s="86"/>
      <c r="E3" s="86"/>
      <c r="F3" s="86"/>
      <c r="G3" s="86"/>
      <c r="H3" s="86"/>
      <c r="I3" s="86"/>
      <c r="J3" s="86"/>
      <c r="K3" s="87">
        <f>+MRS!L3</f>
        <v>46230</v>
      </c>
    </row>
    <row r="4" spans="1:18" ht="15.95" customHeight="1">
      <c r="A4" s="157" t="s">
        <v>2</v>
      </c>
      <c r="B4" s="158" t="s">
        <v>14</v>
      </c>
      <c r="C4" s="158"/>
      <c r="D4" s="157" t="s">
        <v>4</v>
      </c>
      <c r="E4" s="157"/>
      <c r="F4" s="157"/>
      <c r="G4" s="158" t="s">
        <v>5</v>
      </c>
      <c r="H4" s="157" t="s">
        <v>82</v>
      </c>
      <c r="I4" s="157" t="s">
        <v>15</v>
      </c>
      <c r="J4" s="157" t="s">
        <v>16</v>
      </c>
      <c r="K4" s="158" t="s">
        <v>7</v>
      </c>
    </row>
    <row r="5" spans="1:18" ht="15.95" customHeight="1">
      <c r="A5" s="157"/>
      <c r="B5" s="158"/>
      <c r="C5" s="158"/>
      <c r="D5" s="157"/>
      <c r="E5" s="157"/>
      <c r="F5" s="157"/>
      <c r="G5" s="158"/>
      <c r="H5" s="157"/>
      <c r="I5" s="157"/>
      <c r="J5" s="157"/>
      <c r="K5" s="158"/>
    </row>
    <row r="6" spans="1:18" ht="74.25" customHeight="1">
      <c r="A6" s="14">
        <f>+MRS!A6</f>
        <v>1</v>
      </c>
      <c r="B6" s="152" t="str">
        <f>MRS!B6</f>
        <v>Water Dispencer</v>
      </c>
      <c r="C6" s="153"/>
      <c r="D6" s="154" t="str">
        <f>MRS!D6</f>
        <v>Geepas</v>
      </c>
      <c r="E6" s="155"/>
      <c r="F6" s="156"/>
      <c r="G6" s="88" t="str">
        <f>MRS!G6</f>
        <v>EA</v>
      </c>
      <c r="H6" s="88">
        <f>MRS!H6</f>
        <v>3</v>
      </c>
      <c r="I6" s="89">
        <f>MRS!I6</f>
        <v>380</v>
      </c>
      <c r="J6" s="89">
        <f>MRS!J6</f>
        <v>1140</v>
      </c>
      <c r="K6" s="90"/>
      <c r="O6" s="91"/>
      <c r="P6" s="91"/>
      <c r="R6" s="91"/>
    </row>
    <row r="7" spans="1:18" ht="74.25" customHeight="1">
      <c r="A7" s="14">
        <f>+MRS!A7</f>
        <v>2</v>
      </c>
      <c r="B7" s="152" t="str">
        <f>MRS!B7</f>
        <v>A3 Box File</v>
      </c>
      <c r="C7" s="153"/>
      <c r="D7" s="154" t="str">
        <f>MRS!D7</f>
        <v>10Pcs*1</v>
      </c>
      <c r="E7" s="155"/>
      <c r="F7" s="156"/>
      <c r="G7" s="88" t="str">
        <f>MRS!G7</f>
        <v>BOX</v>
      </c>
      <c r="H7" s="88">
        <f>MRS!H7</f>
        <v>2</v>
      </c>
      <c r="I7" s="89">
        <f>MRS!I7</f>
        <v>144</v>
      </c>
      <c r="J7" s="89">
        <f>MRS!J7</f>
        <v>288</v>
      </c>
      <c r="K7" s="90"/>
      <c r="O7" s="91"/>
      <c r="P7" s="91"/>
      <c r="R7" s="91"/>
    </row>
    <row r="8" spans="1:18" ht="74.25" customHeight="1">
      <c r="A8" s="14">
        <f>+MRS!A8</f>
        <v>3</v>
      </c>
      <c r="B8" s="152" t="str">
        <f>MRS!B8</f>
        <v>Printer Waste Catridge</v>
      </c>
      <c r="C8" s="153"/>
      <c r="D8" s="154" t="str">
        <f>MRS!D8</f>
        <v>Xerox</v>
      </c>
      <c r="E8" s="155"/>
      <c r="F8" s="156"/>
      <c r="G8" s="88" t="str">
        <f>MRS!G8</f>
        <v>EA</v>
      </c>
      <c r="H8" s="88">
        <f>MRS!H8</f>
        <v>2</v>
      </c>
      <c r="I8" s="89">
        <f>MRS!I8</f>
        <v>200</v>
      </c>
      <c r="J8" s="89">
        <f>MRS!J8</f>
        <v>400</v>
      </c>
      <c r="K8" s="90"/>
      <c r="O8" s="91"/>
      <c r="P8" s="91"/>
      <c r="R8" s="91"/>
    </row>
    <row r="9" spans="1:18" ht="74.25" customHeight="1">
      <c r="A9" s="14">
        <f>+MRS!A9</f>
        <v>4</v>
      </c>
      <c r="B9" s="152" t="str">
        <f>MRS!B9</f>
        <v>Bread</v>
      </c>
      <c r="C9" s="153"/>
      <c r="D9" s="154" t="str">
        <f>MRS!D9</f>
        <v/>
      </c>
      <c r="E9" s="155"/>
      <c r="F9" s="156"/>
      <c r="G9" s="88" t="str">
        <f>MRS!G9</f>
        <v>EA</v>
      </c>
      <c r="H9" s="88">
        <f>MRS!H9</f>
        <v>2500</v>
      </c>
      <c r="I9" s="89">
        <f>MRS!I9</f>
        <v>1.25</v>
      </c>
      <c r="J9" s="89">
        <f>MRS!J9</f>
        <v>3125</v>
      </c>
      <c r="K9" s="90"/>
      <c r="O9" s="91"/>
      <c r="P9" s="91"/>
      <c r="R9" s="91"/>
    </row>
    <row r="10" spans="1:18" ht="74.25" customHeight="1">
      <c r="A10" s="14">
        <f>+MRS!A10</f>
        <v>5</v>
      </c>
      <c r="B10" s="152" t="str">
        <f>MRS!B10</f>
        <v>Tp Link</v>
      </c>
      <c r="C10" s="153"/>
      <c r="D10" s="154" t="str">
        <f>MRS!D10</f>
        <v/>
      </c>
      <c r="E10" s="155"/>
      <c r="F10" s="156"/>
      <c r="G10" s="88" t="str">
        <f>MRS!G10</f>
        <v>EA</v>
      </c>
      <c r="H10" s="88">
        <f>MRS!H10</f>
        <v>2</v>
      </c>
      <c r="I10" s="89">
        <f>MRS!I10</f>
        <v>75</v>
      </c>
      <c r="J10" s="89">
        <f>MRS!J10</f>
        <v>150</v>
      </c>
      <c r="K10" s="90"/>
      <c r="O10" s="91"/>
      <c r="P10" s="91"/>
      <c r="R10" s="91"/>
    </row>
    <row r="11" spans="1:18" ht="74.25" customHeight="1">
      <c r="A11" s="14">
        <f>+MRS!A11</f>
        <v>6</v>
      </c>
      <c r="B11" s="152" t="str">
        <f>MRS!B11</f>
        <v>Document Tray</v>
      </c>
      <c r="C11" s="153"/>
      <c r="D11" s="154" t="str">
        <f>MRS!D11</f>
        <v/>
      </c>
      <c r="E11" s="155"/>
      <c r="F11" s="156"/>
      <c r="G11" s="88" t="str">
        <f>MRS!G11</f>
        <v>EA</v>
      </c>
      <c r="H11" s="88">
        <f>MRS!H11</f>
        <v>3</v>
      </c>
      <c r="I11" s="89">
        <f>MRS!I11</f>
        <v>25</v>
      </c>
      <c r="J11" s="89">
        <f>MRS!J11</f>
        <v>75</v>
      </c>
      <c r="K11" s="90"/>
      <c r="O11" s="91"/>
      <c r="P11" s="91"/>
      <c r="R11" s="91"/>
    </row>
    <row r="12" spans="1:18" ht="74.25" customHeight="1">
      <c r="A12" s="14">
        <f>+MRS!A12</f>
        <v>7</v>
      </c>
      <c r="B12" s="152" t="str">
        <f>MRS!B12</f>
        <v>File Folder</v>
      </c>
      <c r="C12" s="153"/>
      <c r="D12" s="154" t="str">
        <f>MRS!D12</f>
        <v/>
      </c>
      <c r="E12" s="155"/>
      <c r="F12" s="156"/>
      <c r="G12" s="88" t="str">
        <f>MRS!G12</f>
        <v>EA</v>
      </c>
      <c r="H12" s="88">
        <f>MRS!H12</f>
        <v>2</v>
      </c>
      <c r="I12" s="89">
        <f>MRS!I12</f>
        <v>26.8</v>
      </c>
      <c r="J12" s="89">
        <f>MRS!J12</f>
        <v>53.6</v>
      </c>
      <c r="K12" s="90"/>
      <c r="O12" s="91"/>
      <c r="P12" s="91"/>
      <c r="R12" s="91"/>
    </row>
    <row r="13" spans="1:18" ht="74.25" customHeight="1">
      <c r="A13" s="14">
        <f>+MRS!A13</f>
        <v>8</v>
      </c>
      <c r="B13" s="152" t="str">
        <f>MRS!B13</f>
        <v>Garbage Bag</v>
      </c>
      <c r="C13" s="153"/>
      <c r="D13" s="154" t="str">
        <f>MRS!D13</f>
        <v>100Gln</v>
      </c>
      <c r="E13" s="155"/>
      <c r="F13" s="156"/>
      <c r="G13" s="88" t="str">
        <f>MRS!G13</f>
        <v>BDL</v>
      </c>
      <c r="H13" s="88">
        <f>MRS!H13</f>
        <v>100</v>
      </c>
      <c r="I13" s="89">
        <f>MRS!I13</f>
        <v>41.5</v>
      </c>
      <c r="J13" s="89">
        <f>MRS!J13</f>
        <v>4150</v>
      </c>
      <c r="K13" s="90"/>
      <c r="O13" s="91"/>
      <c r="P13" s="91"/>
      <c r="R13" s="91"/>
    </row>
    <row r="14" spans="1:18" ht="74.25" customHeight="1">
      <c r="A14" s="14">
        <f>+MRS!A14</f>
        <v>9</v>
      </c>
      <c r="B14" s="152" t="str">
        <f>MRS!B14</f>
        <v>Tea Cup</v>
      </c>
      <c r="C14" s="153"/>
      <c r="D14" s="154" t="str">
        <f>MRS!D14</f>
        <v>9Oz</v>
      </c>
      <c r="E14" s="155"/>
      <c r="F14" s="156"/>
      <c r="G14" s="88" t="str">
        <f>MRS!G14</f>
        <v>BOX</v>
      </c>
      <c r="H14" s="88">
        <f>MRS!H14</f>
        <v>5</v>
      </c>
      <c r="I14" s="89">
        <f>MRS!I14</f>
        <v>64</v>
      </c>
      <c r="J14" s="89">
        <f>MRS!J14</f>
        <v>320</v>
      </c>
      <c r="K14" s="90"/>
      <c r="O14" s="91"/>
      <c r="P14" s="91"/>
      <c r="R14" s="91"/>
    </row>
    <row r="15" spans="1:18" ht="74.25" customHeight="1">
      <c r="A15" s="14">
        <f>+MRS!A15</f>
        <v>10</v>
      </c>
      <c r="B15" s="152" t="str">
        <f>MRS!B15</f>
        <v>Safety Helmet</v>
      </c>
      <c r="C15" s="153"/>
      <c r="D15" s="154" t="str">
        <f>MRS!D15</f>
        <v>Gariox,White</v>
      </c>
      <c r="E15" s="155"/>
      <c r="F15" s="156"/>
      <c r="G15" s="88" t="str">
        <f>MRS!G15</f>
        <v>EA</v>
      </c>
      <c r="H15" s="88">
        <f>MRS!H15</f>
        <v>200</v>
      </c>
      <c r="I15" s="89">
        <f>MRS!I15</f>
        <v>12</v>
      </c>
      <c r="J15" s="89">
        <f>MRS!J15</f>
        <v>2400</v>
      </c>
      <c r="K15" s="90"/>
      <c r="O15" s="91"/>
      <c r="P15" s="91"/>
      <c r="R15" s="91"/>
    </row>
    <row r="16" spans="1:18" ht="74.25" customHeight="1">
      <c r="A16" s="14">
        <f>+MRS!A16</f>
        <v>11</v>
      </c>
      <c r="B16" s="152" t="str">
        <f>MRS!B16</f>
        <v>Trash Bag</v>
      </c>
      <c r="C16" s="153"/>
      <c r="D16" s="154" t="str">
        <f>MRS!D16</f>
        <v>10Gln</v>
      </c>
      <c r="E16" s="155"/>
      <c r="F16" s="156"/>
      <c r="G16" s="88" t="str">
        <f>MRS!G16</f>
        <v>BDL</v>
      </c>
      <c r="H16" s="88">
        <f>MRS!H16</f>
        <v>10</v>
      </c>
      <c r="I16" s="89">
        <f>MRS!I16</f>
        <v>65</v>
      </c>
      <c r="J16" s="89">
        <f>MRS!J16</f>
        <v>650</v>
      </c>
      <c r="K16" s="90"/>
      <c r="O16" s="91"/>
      <c r="P16" s="91"/>
      <c r="R16" s="91"/>
    </row>
    <row r="17" spans="1:18" ht="74.25" customHeight="1">
      <c r="A17" s="14">
        <f>+MRS!A17</f>
        <v>12</v>
      </c>
      <c r="B17" s="152" t="str">
        <f>MRS!B17</f>
        <v>Nescafe Classic</v>
      </c>
      <c r="C17" s="153"/>
      <c r="D17" s="154" t="str">
        <f>MRS!D17</f>
        <v>190Gm</v>
      </c>
      <c r="E17" s="155"/>
      <c r="F17" s="156"/>
      <c r="G17" s="88" t="str">
        <f>MRS!G17</f>
        <v>EA</v>
      </c>
      <c r="H17" s="88">
        <f>MRS!H17</f>
        <v>24</v>
      </c>
      <c r="I17" s="89">
        <f>MRS!I17</f>
        <v>24</v>
      </c>
      <c r="J17" s="89">
        <f>MRS!J17</f>
        <v>576</v>
      </c>
      <c r="K17" s="90"/>
      <c r="O17" s="91"/>
      <c r="P17" s="91"/>
      <c r="R17" s="91"/>
    </row>
    <row r="18" spans="1:18" ht="74.25" customHeight="1">
      <c r="A18" s="14">
        <f>+MRS!A18</f>
        <v>13</v>
      </c>
      <c r="B18" s="152" t="str">
        <f>MRS!B18</f>
        <v>A3 Paper</v>
      </c>
      <c r="C18" s="153"/>
      <c r="D18" s="154" t="str">
        <f>MRS!D18</f>
        <v>Atlas</v>
      </c>
      <c r="E18" s="155"/>
      <c r="F18" s="156"/>
      <c r="G18" s="88" t="str">
        <f>MRS!G18</f>
        <v>BOX</v>
      </c>
      <c r="H18" s="88">
        <f>MRS!H18</f>
        <v>60</v>
      </c>
      <c r="I18" s="89">
        <f>MRS!I18</f>
        <v>160</v>
      </c>
      <c r="J18" s="89">
        <f>MRS!J18</f>
        <v>9600</v>
      </c>
      <c r="K18" s="90"/>
      <c r="O18" s="91"/>
      <c r="P18" s="91"/>
      <c r="R18" s="91"/>
    </row>
    <row r="19" spans="1:18" ht="74.25" customHeight="1">
      <c r="A19" s="14">
        <f>+MRS!A19</f>
        <v>14</v>
      </c>
      <c r="B19" s="152" t="str">
        <f>MRS!B19</f>
        <v>A4 Paper</v>
      </c>
      <c r="C19" s="153"/>
      <c r="D19" s="154" t="str">
        <f>MRS!D19</f>
        <v>Atlas</v>
      </c>
      <c r="E19" s="155"/>
      <c r="F19" s="156"/>
      <c r="G19" s="88" t="str">
        <f>MRS!G19</f>
        <v>BOX</v>
      </c>
      <c r="H19" s="88">
        <f>MRS!H19</f>
        <v>150</v>
      </c>
      <c r="I19" s="89">
        <f>MRS!I19</f>
        <v>64</v>
      </c>
      <c r="J19" s="89">
        <f>MRS!J19</f>
        <v>9600</v>
      </c>
      <c r="K19" s="90"/>
      <c r="O19" s="91"/>
      <c r="P19" s="91"/>
      <c r="R19" s="91"/>
    </row>
    <row r="20" spans="1:18" ht="74.25" customHeight="1">
      <c r="A20" s="14">
        <f>+MRS!A20</f>
        <v>15</v>
      </c>
      <c r="B20" s="152" t="str">
        <f>MRS!B20</f>
        <v>Al Rai Juice Cocktail</v>
      </c>
      <c r="C20" s="153"/>
      <c r="D20" s="154" t="str">
        <f>MRS!D20</f>
        <v>27*250Ml</v>
      </c>
      <c r="E20" s="155"/>
      <c r="F20" s="156"/>
      <c r="G20" s="88" t="str">
        <f>MRS!G20</f>
        <v>EA</v>
      </c>
      <c r="H20" s="88">
        <f>MRS!H20</f>
        <v>2500</v>
      </c>
      <c r="I20" s="89">
        <f>MRS!I20</f>
        <v>1.25</v>
      </c>
      <c r="J20" s="89">
        <f>MRS!J20</f>
        <v>3125</v>
      </c>
      <c r="K20" s="90"/>
      <c r="O20" s="91"/>
      <c r="P20" s="91"/>
      <c r="R20" s="91"/>
    </row>
    <row r="21" spans="1:18" ht="74.25" customHeight="1">
      <c r="A21" s="14">
        <f>+MRS!A21</f>
        <v>16</v>
      </c>
      <c r="B21" s="152" t="str">
        <f>MRS!B21</f>
        <v>Permanent Marker</v>
      </c>
      <c r="C21" s="153"/>
      <c r="D21" s="154" t="str">
        <f>MRS!D21</f>
        <v>Black,Pentel</v>
      </c>
      <c r="E21" s="155"/>
      <c r="F21" s="156"/>
      <c r="G21" s="88" t="str">
        <f>MRS!G21</f>
        <v>PKT</v>
      </c>
      <c r="H21" s="88">
        <f>MRS!H21</f>
        <v>10</v>
      </c>
      <c r="I21" s="89">
        <f>MRS!I21</f>
        <v>31</v>
      </c>
      <c r="J21" s="89">
        <f>MRS!J21</f>
        <v>310</v>
      </c>
      <c r="K21" s="90"/>
      <c r="O21" s="91"/>
      <c r="P21" s="91"/>
      <c r="R21" s="91"/>
    </row>
    <row r="22" spans="1:18" ht="74.25" customHeight="1">
      <c r="A22" s="14">
        <f>+MRS!A22</f>
        <v>17</v>
      </c>
      <c r="B22" s="152" t="str">
        <f>MRS!B22</f>
        <v>Board Marker</v>
      </c>
      <c r="C22" s="153"/>
      <c r="D22" s="154" t="str">
        <f>MRS!D22</f>
        <v>Deli,Black-10/Green-3</v>
      </c>
      <c r="E22" s="155"/>
      <c r="F22" s="156"/>
      <c r="G22" s="88" t="str">
        <f>MRS!G22</f>
        <v>PKT</v>
      </c>
      <c r="H22" s="88">
        <f>MRS!H22</f>
        <v>10</v>
      </c>
      <c r="I22" s="89">
        <f>MRS!I22</f>
        <v>12</v>
      </c>
      <c r="J22" s="89">
        <f>MRS!J22</f>
        <v>120</v>
      </c>
      <c r="K22" s="90"/>
      <c r="O22" s="91"/>
      <c r="P22" s="91"/>
      <c r="R22" s="91"/>
    </row>
    <row r="23" spans="1:18" ht="74.25" customHeight="1">
      <c r="A23" s="14">
        <f>+MRS!A23</f>
        <v>18</v>
      </c>
      <c r="B23" s="152" t="str">
        <f>MRS!B23</f>
        <v>Eraser</v>
      </c>
      <c r="C23" s="153"/>
      <c r="D23" s="154" t="str">
        <f>MRS!D23</f>
        <v>Super Deal</v>
      </c>
      <c r="E23" s="155"/>
      <c r="F23" s="156"/>
      <c r="G23" s="88" t="str">
        <f>MRS!G23</f>
        <v>PKT</v>
      </c>
      <c r="H23" s="88">
        <f>MRS!H23</f>
        <v>2</v>
      </c>
      <c r="I23" s="89">
        <f>MRS!I23</f>
        <v>8</v>
      </c>
      <c r="J23" s="89">
        <f>MRS!J23</f>
        <v>16</v>
      </c>
      <c r="K23" s="90"/>
      <c r="O23" s="91"/>
      <c r="P23" s="91"/>
      <c r="R23" s="91"/>
    </row>
    <row r="24" spans="1:18" ht="74.25" customHeight="1">
      <c r="A24" s="14">
        <f>+MRS!A24</f>
        <v>19</v>
      </c>
      <c r="B24" s="152" t="str">
        <f>MRS!B24</f>
        <v>Ruler Steel</v>
      </c>
      <c r="C24" s="153"/>
      <c r="D24" s="154" t="str">
        <f>MRS!D24</f>
        <v>Deluxe,30Cm</v>
      </c>
      <c r="E24" s="155"/>
      <c r="F24" s="156"/>
      <c r="G24" s="88" t="str">
        <f>MRS!G24</f>
        <v>EA</v>
      </c>
      <c r="H24" s="88">
        <f>MRS!H24</f>
        <v>30</v>
      </c>
      <c r="I24" s="89">
        <f>MRS!I24</f>
        <v>1.65</v>
      </c>
      <c r="J24" s="89">
        <f>MRS!J24</f>
        <v>49.5</v>
      </c>
      <c r="K24" s="90"/>
      <c r="O24" s="91"/>
      <c r="P24" s="91"/>
      <c r="R24" s="91"/>
    </row>
    <row r="25" spans="1:18" ht="74.25" customHeight="1">
      <c r="A25" s="14">
        <f>+MRS!A25</f>
        <v>20</v>
      </c>
      <c r="B25" s="152" t="str">
        <f>MRS!B25</f>
        <v>Signhere Flag</v>
      </c>
      <c r="C25" s="153"/>
      <c r="D25" s="154" t="str">
        <f>MRS!D25</f>
        <v>Fantastick</v>
      </c>
      <c r="E25" s="155"/>
      <c r="F25" s="156"/>
      <c r="G25" s="88" t="str">
        <f>MRS!G25</f>
        <v>BOX</v>
      </c>
      <c r="H25" s="88">
        <f>MRS!H25</f>
        <v>5</v>
      </c>
      <c r="I25" s="89">
        <f>MRS!I25</f>
        <v>100</v>
      </c>
      <c r="J25" s="89">
        <f>MRS!J25</f>
        <v>500</v>
      </c>
      <c r="K25" s="90"/>
      <c r="O25" s="91"/>
      <c r="P25" s="91"/>
      <c r="R25" s="91"/>
    </row>
    <row r="26" spans="1:18" ht="74.25" customHeight="1">
      <c r="A26" s="14">
        <f>+MRS!A26</f>
        <v>21</v>
      </c>
      <c r="B26" s="152" t="str">
        <f>MRS!B26</f>
        <v>Label Printing Machine</v>
      </c>
      <c r="C26" s="153"/>
      <c r="D26" s="154" t="str">
        <f>MRS!D26</f>
        <v/>
      </c>
      <c r="E26" s="155"/>
      <c r="F26" s="156"/>
      <c r="G26" s="88" t="str">
        <f>MRS!G26</f>
        <v>EA</v>
      </c>
      <c r="H26" s="88">
        <f>MRS!H26</f>
        <v>1</v>
      </c>
      <c r="I26" s="89">
        <f>MRS!I26</f>
        <v>195</v>
      </c>
      <c r="J26" s="89">
        <f>MRS!J26</f>
        <v>195</v>
      </c>
      <c r="K26" s="90"/>
      <c r="O26" s="91"/>
      <c r="P26" s="91"/>
      <c r="R26" s="91"/>
    </row>
    <row r="27" spans="1:18" ht="74.25" customHeight="1">
      <c r="A27" s="14">
        <f>+MRS!A27</f>
        <v>22</v>
      </c>
      <c r="B27" s="152" t="str">
        <f>MRS!B27</f>
        <v>Comix Punching Machine</v>
      </c>
      <c r="C27" s="153"/>
      <c r="D27" s="154" t="str">
        <f>MRS!D27</f>
        <v/>
      </c>
      <c r="E27" s="155"/>
      <c r="F27" s="156"/>
      <c r="G27" s="88" t="str">
        <f>MRS!G27</f>
        <v>EA</v>
      </c>
      <c r="H27" s="88">
        <f>MRS!H27</f>
        <v>3</v>
      </c>
      <c r="I27" s="89">
        <f>MRS!I27</f>
        <v>640</v>
      </c>
      <c r="J27" s="89">
        <f>MRS!J27</f>
        <v>1920</v>
      </c>
      <c r="K27" s="90"/>
      <c r="O27" s="91"/>
      <c r="P27" s="91"/>
      <c r="R27" s="91"/>
    </row>
    <row r="28" spans="1:18" ht="74.25" customHeight="1">
      <c r="A28" s="14">
        <f>+MRS!A28</f>
        <v>23</v>
      </c>
      <c r="B28" s="152" t="str">
        <f>MRS!B28</f>
        <v>Time Card Catridge</v>
      </c>
      <c r="C28" s="153"/>
      <c r="D28" s="154" t="str">
        <f>MRS!D28</f>
        <v>Comix</v>
      </c>
      <c r="E28" s="155"/>
      <c r="F28" s="156"/>
      <c r="G28" s="88" t="str">
        <f>MRS!G28</f>
        <v>EA</v>
      </c>
      <c r="H28" s="88">
        <f>MRS!H28</f>
        <v>8</v>
      </c>
      <c r="I28" s="89">
        <f>MRS!I28</f>
        <v>18.75</v>
      </c>
      <c r="J28" s="89">
        <f>MRS!J28</f>
        <v>150</v>
      </c>
      <c r="K28" s="90"/>
      <c r="O28" s="91"/>
      <c r="P28" s="91"/>
      <c r="R28" s="91"/>
    </row>
    <row r="29" spans="1:18" ht="74.25" customHeight="1">
      <c r="A29" s="14">
        <f>+MRS!A29</f>
        <v>24</v>
      </c>
      <c r="B29" s="152" t="str">
        <f>MRS!B29</f>
        <v>Nokia Mobile</v>
      </c>
      <c r="C29" s="153"/>
      <c r="D29" s="154" t="str">
        <f>MRS!D29</f>
        <v>Model 215</v>
      </c>
      <c r="E29" s="155"/>
      <c r="F29" s="156"/>
      <c r="G29" s="88" t="str">
        <f>MRS!G29</f>
        <v>EA</v>
      </c>
      <c r="H29" s="88">
        <f>MRS!H29</f>
        <v>4</v>
      </c>
      <c r="I29" s="89">
        <f>MRS!I29</f>
        <v>168</v>
      </c>
      <c r="J29" s="89">
        <f>MRS!J29</f>
        <v>672</v>
      </c>
      <c r="K29" s="90"/>
      <c r="O29" s="91"/>
      <c r="P29" s="91"/>
      <c r="R29" s="91"/>
    </row>
    <row r="30" spans="1:18" ht="74.25" customHeight="1">
      <c r="A30" s="14">
        <f>+MRS!A30</f>
        <v>25</v>
      </c>
      <c r="B30" s="152" t="str">
        <f>MRS!B30</f>
        <v>Label Tap Catridge</v>
      </c>
      <c r="C30" s="153"/>
      <c r="D30" s="154" t="str">
        <f>MRS!D30</f>
        <v>Black-1/Yellow-1</v>
      </c>
      <c r="E30" s="155"/>
      <c r="F30" s="156"/>
      <c r="G30" s="88" t="str">
        <f>MRS!G30</f>
        <v>EA</v>
      </c>
      <c r="H30" s="88">
        <f>MRS!H30</f>
        <v>2</v>
      </c>
      <c r="I30" s="89">
        <f>MRS!I30</f>
        <v>52</v>
      </c>
      <c r="J30" s="89">
        <f>MRS!J30</f>
        <v>104</v>
      </c>
      <c r="K30" s="90"/>
      <c r="O30" s="91"/>
      <c r="P30" s="91"/>
      <c r="R30" s="91"/>
    </row>
  </sheetData>
  <mergeCells count="60">
    <mergeCell ref="B28:C28"/>
    <mergeCell ref="D28:F28"/>
    <mergeCell ref="B29:C29"/>
    <mergeCell ref="D29:F29"/>
    <mergeCell ref="B30:C30"/>
    <mergeCell ref="D30:F30"/>
    <mergeCell ref="B22:C22"/>
    <mergeCell ref="D22:F22"/>
    <mergeCell ref="B23:C23"/>
    <mergeCell ref="D23:F23"/>
    <mergeCell ref="B24:C24"/>
    <mergeCell ref="D24:F24"/>
    <mergeCell ref="B19:C19"/>
    <mergeCell ref="D19:F19"/>
    <mergeCell ref="B20:C20"/>
    <mergeCell ref="D20:F20"/>
    <mergeCell ref="B21:C21"/>
    <mergeCell ref="D21:F21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8:C18"/>
    <mergeCell ref="D18:F18"/>
    <mergeCell ref="B17:C17"/>
    <mergeCell ref="D17:F17"/>
    <mergeCell ref="B25:C25"/>
    <mergeCell ref="D25:F25"/>
    <mergeCell ref="B26:C26"/>
    <mergeCell ref="D26:F26"/>
    <mergeCell ref="B27:C27"/>
    <mergeCell ref="D27:F2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18" zoomScale="130" zoomScaleNormal="100" zoomScaleSheetLayoutView="130" workbookViewId="0">
      <selection activeCell="R39" sqref="R39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6" width="14" style="19" customWidth="1"/>
    <col min="7" max="7" width="6.5703125" style="19" customWidth="1"/>
    <col min="8" max="10" width="9.140625" style="19"/>
    <col min="11" max="11" width="9.710937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98</v>
      </c>
    </row>
    <row r="3" spans="2:13" s="15" customFormat="1">
      <c r="M3" s="17" t="s">
        <v>17</v>
      </c>
    </row>
    <row r="4" spans="2:13" s="15" customFormat="1">
      <c r="M4" s="17" t="s">
        <v>18</v>
      </c>
    </row>
    <row r="5" spans="2:13" s="15" customFormat="1">
      <c r="B5" s="18" t="s">
        <v>19</v>
      </c>
      <c r="M5" s="17" t="s">
        <v>20</v>
      </c>
    </row>
    <row r="6" spans="2:13" s="15" customFormat="1">
      <c r="M6" s="17" t="s">
        <v>21</v>
      </c>
    </row>
    <row r="7" spans="2:13">
      <c r="M7" s="20"/>
    </row>
    <row r="8" spans="2:13">
      <c r="M8" s="20"/>
    </row>
    <row r="9" spans="2:13" s="66" customFormat="1" ht="13.5">
      <c r="B9" s="64" t="s">
        <v>22</v>
      </c>
      <c r="C9" s="65" t="s">
        <v>97</v>
      </c>
      <c r="D9" s="31"/>
      <c r="E9" s="31"/>
    </row>
    <row r="10" spans="2:13" s="31" customFormat="1">
      <c r="B10" s="64"/>
      <c r="C10" s="31" t="s">
        <v>23</v>
      </c>
      <c r="D10" s="186">
        <v>2053026325</v>
      </c>
      <c r="J10" s="31" t="s">
        <v>24</v>
      </c>
      <c r="K10" s="189">
        <f>MRS!L3</f>
        <v>46230</v>
      </c>
      <c r="L10" s="190"/>
      <c r="M10" s="190"/>
    </row>
    <row r="11" spans="2:13" s="31" customFormat="1">
      <c r="B11" s="64"/>
      <c r="C11" s="187" t="s">
        <v>25</v>
      </c>
      <c r="D11" s="188" t="s">
        <v>88</v>
      </c>
      <c r="J11" s="31" t="s">
        <v>26</v>
      </c>
      <c r="K11" s="160" t="str">
        <f>SUBSTITUTE(SUBSTITUTE(+MRS!A3,"  MRS No : ",""),"-MRS","-PO")</f>
        <v>SAC2-DS-PO-0375</v>
      </c>
      <c r="L11" s="160"/>
      <c r="M11" s="160"/>
    </row>
    <row r="12" spans="2:13" s="31" customFormat="1">
      <c r="B12" s="64"/>
      <c r="C12" s="187" t="s">
        <v>27</v>
      </c>
      <c r="D12" s="31" t="s">
        <v>92</v>
      </c>
      <c r="J12" s="31" t="s">
        <v>28</v>
      </c>
    </row>
    <row r="13" spans="2:13" s="31" customFormat="1">
      <c r="B13" s="64"/>
      <c r="C13" s="67"/>
      <c r="D13" s="188" t="s">
        <v>93</v>
      </c>
      <c r="J13" s="31" t="s">
        <v>29</v>
      </c>
    </row>
    <row r="14" spans="2:13" s="31" customFormat="1">
      <c r="B14" s="64"/>
      <c r="C14" s="187" t="s">
        <v>89</v>
      </c>
      <c r="J14" s="31" t="s">
        <v>30</v>
      </c>
      <c r="K14" s="31" t="s">
        <v>252</v>
      </c>
    </row>
    <row r="15" spans="2:13" s="31" customFormat="1">
      <c r="B15" s="64"/>
      <c r="C15" s="187" t="s">
        <v>94</v>
      </c>
      <c r="J15" s="31" t="s">
        <v>31</v>
      </c>
      <c r="K15" s="68">
        <v>46228</v>
      </c>
    </row>
    <row r="16" spans="2:13" s="31" customFormat="1">
      <c r="C16" s="67"/>
      <c r="K16" s="68"/>
    </row>
    <row r="17" spans="2:13" ht="6" customHeight="1">
      <c r="C17" s="22"/>
      <c r="K17" s="23"/>
    </row>
    <row r="18" spans="2:13" ht="20.25">
      <c r="B18" s="161" t="s">
        <v>32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</row>
    <row r="19" spans="2:13" ht="12" customHeight="1"/>
    <row r="20" spans="2:13" s="24" customFormat="1" ht="12" customHeight="1">
      <c r="B20" s="162" t="s">
        <v>33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</row>
    <row r="21" spans="2:13" s="24" customFormat="1" ht="12" customHeight="1">
      <c r="B21" s="162" t="s">
        <v>34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</row>
    <row r="22" spans="2:13" s="24" customFormat="1" ht="12" customHeight="1">
      <c r="B22" s="162" t="s">
        <v>35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</row>
    <row r="23" spans="2:13" ht="6.95" customHeight="1"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</row>
    <row r="24" spans="2:13" ht="6.95" customHeight="1"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</row>
    <row r="25" spans="2:13" s="25" customFormat="1" ht="15" customHeight="1">
      <c r="B25" s="25">
        <v>1</v>
      </c>
      <c r="C25" s="25" t="s">
        <v>36</v>
      </c>
    </row>
    <row r="26" spans="2:13" s="31" customFormat="1" ht="12" customHeight="1">
      <c r="B26" s="65"/>
      <c r="C26" s="188" t="s">
        <v>267</v>
      </c>
      <c r="M26" s="69" t="s">
        <v>37</v>
      </c>
    </row>
    <row r="27" spans="2:13" ht="11.1" customHeight="1">
      <c r="B27" s="25"/>
    </row>
    <row r="28" spans="2:13" ht="15" customHeight="1">
      <c r="B28" s="25">
        <v>2</v>
      </c>
      <c r="C28" s="25" t="s">
        <v>38</v>
      </c>
    </row>
    <row r="29" spans="2:13" ht="12" customHeight="1">
      <c r="B29" s="25"/>
      <c r="C29" s="19" t="s">
        <v>39</v>
      </c>
      <c r="E29" s="19" t="s">
        <v>40</v>
      </c>
      <c r="F29" s="109">
        <f>'PO 2nd page'!G89</f>
        <v>106168.89</v>
      </c>
      <c r="G29" s="93"/>
      <c r="H29" s="93"/>
      <c r="M29" s="26"/>
    </row>
    <row r="30" spans="2:13" ht="12" customHeight="1">
      <c r="B30" s="25"/>
      <c r="C30" s="19" t="s">
        <v>41</v>
      </c>
      <c r="E30" s="19" t="s">
        <v>40</v>
      </c>
      <c r="F30" s="109">
        <f>'PO 2nd page'!G90</f>
        <v>15925.333499999999</v>
      </c>
      <c r="G30" s="93"/>
      <c r="H30" s="93"/>
    </row>
    <row r="31" spans="2:13" ht="12" customHeight="1">
      <c r="B31" s="25"/>
      <c r="C31" s="19" t="s">
        <v>42</v>
      </c>
      <c r="D31" s="27"/>
      <c r="E31" s="19" t="s">
        <v>40</v>
      </c>
      <c r="F31" s="109">
        <f>'PO 2nd page'!G91</f>
        <v>122094.22349999999</v>
      </c>
      <c r="G31" s="93"/>
      <c r="H31" s="93"/>
    </row>
    <row r="32" spans="2:13" ht="11.1" customHeight="1">
      <c r="B32" s="25"/>
    </row>
    <row r="33" spans="2:13" ht="15" customHeight="1">
      <c r="B33" s="25">
        <v>3</v>
      </c>
      <c r="C33" s="25" t="s">
        <v>43</v>
      </c>
    </row>
    <row r="34" spans="2:13" ht="12" customHeight="1">
      <c r="B34" s="25"/>
      <c r="C34" s="15" t="s">
        <v>44</v>
      </c>
    </row>
    <row r="35" spans="2:13" ht="12" customHeight="1">
      <c r="B35" s="25"/>
      <c r="C35" s="15" t="s">
        <v>45</v>
      </c>
    </row>
    <row r="36" spans="2:13" ht="12" customHeight="1">
      <c r="B36" s="25"/>
      <c r="C36" s="15" t="s">
        <v>46</v>
      </c>
    </row>
    <row r="37" spans="2:13" ht="6" customHeight="1">
      <c r="B37" s="25"/>
    </row>
    <row r="38" spans="2:13" ht="15" customHeight="1">
      <c r="B38" s="25">
        <v>4</v>
      </c>
      <c r="C38" s="25" t="s">
        <v>47</v>
      </c>
    </row>
    <row r="39" spans="2:13" ht="12" customHeight="1">
      <c r="B39" s="25"/>
      <c r="C39" s="19" t="s">
        <v>48</v>
      </c>
    </row>
    <row r="40" spans="2:13" ht="6" customHeight="1">
      <c r="B40" s="25"/>
    </row>
    <row r="41" spans="2:13" ht="15" customHeight="1">
      <c r="B41" s="25">
        <v>5</v>
      </c>
      <c r="C41" s="25" t="s">
        <v>49</v>
      </c>
    </row>
    <row r="42" spans="2:13" ht="12" customHeight="1">
      <c r="B42" s="25"/>
      <c r="C42" s="28" t="s">
        <v>50</v>
      </c>
      <c r="D42" s="29"/>
      <c r="E42" s="30"/>
      <c r="F42" s="30"/>
      <c r="G42" s="30"/>
      <c r="H42" s="30"/>
      <c r="I42" s="30"/>
      <c r="J42" s="30"/>
      <c r="K42" s="30"/>
      <c r="L42" s="30"/>
      <c r="M42" s="30"/>
    </row>
    <row r="43" spans="2:13" ht="12" customHeight="1">
      <c r="B43" s="25"/>
      <c r="C43" s="28" t="s">
        <v>51</v>
      </c>
      <c r="D43" s="29"/>
      <c r="E43" s="30"/>
      <c r="F43" s="30"/>
      <c r="G43" s="30"/>
      <c r="H43" s="30"/>
      <c r="I43" s="30"/>
      <c r="J43" s="30"/>
      <c r="K43" s="30"/>
      <c r="L43" s="30"/>
      <c r="M43" s="30"/>
    </row>
    <row r="44" spans="2:13" ht="12" customHeight="1">
      <c r="B44" s="25"/>
      <c r="C44" s="28" t="s">
        <v>52</v>
      </c>
      <c r="D44" s="29"/>
      <c r="E44" s="30"/>
      <c r="F44" s="30"/>
      <c r="G44" s="30"/>
      <c r="H44" s="30"/>
      <c r="I44" s="30"/>
      <c r="J44" s="30"/>
      <c r="K44" s="30"/>
      <c r="L44" s="30"/>
      <c r="M44" s="30"/>
    </row>
    <row r="45" spans="2:13" ht="12" customHeight="1">
      <c r="B45" s="25"/>
      <c r="C45" s="28" t="s">
        <v>53</v>
      </c>
      <c r="D45" s="29"/>
      <c r="E45" s="30"/>
      <c r="F45" s="30"/>
      <c r="G45" s="30"/>
      <c r="H45" s="30"/>
      <c r="I45" s="30"/>
      <c r="J45" s="30"/>
      <c r="K45" s="30"/>
      <c r="L45" s="30"/>
      <c r="M45" s="30"/>
    </row>
    <row r="46" spans="2:13" ht="12" customHeight="1">
      <c r="B46" s="25"/>
      <c r="C46" s="31" t="s">
        <v>54</v>
      </c>
      <c r="D46" s="32"/>
      <c r="E46" s="33"/>
      <c r="F46" s="33"/>
      <c r="G46" s="33"/>
      <c r="H46" s="33"/>
      <c r="I46" s="33"/>
      <c r="J46" s="33"/>
      <c r="K46" s="33"/>
      <c r="L46" s="33"/>
      <c r="M46" s="33"/>
    </row>
    <row r="47" spans="2:13" ht="6" customHeight="1">
      <c r="B47" s="25"/>
    </row>
    <row r="48" spans="2:13" ht="15" customHeight="1">
      <c r="B48" s="25">
        <v>6</v>
      </c>
      <c r="C48" s="25" t="s">
        <v>55</v>
      </c>
    </row>
    <row r="49" spans="2:16" s="31" customFormat="1" ht="12" customHeight="1">
      <c r="B49" s="70" t="s">
        <v>56</v>
      </c>
      <c r="C49" s="71" t="s">
        <v>268</v>
      </c>
      <c r="P49" s="72"/>
    </row>
    <row r="50" spans="2:16" s="73" customFormat="1" ht="12" customHeight="1">
      <c r="B50" s="74" t="s">
        <v>56</v>
      </c>
      <c r="C50" s="71" t="s">
        <v>269</v>
      </c>
    </row>
    <row r="51" spans="2:16" s="73" customFormat="1" ht="12" customHeight="1">
      <c r="B51" s="74" t="s">
        <v>56</v>
      </c>
      <c r="C51" s="71" t="s">
        <v>270</v>
      </c>
    </row>
    <row r="52" spans="2:16" s="73" customFormat="1" ht="6" customHeight="1">
      <c r="B52" s="74"/>
      <c r="C52" s="71"/>
    </row>
    <row r="53" spans="2:16" ht="15" customHeight="1">
      <c r="B53" s="34">
        <v>7</v>
      </c>
      <c r="C53" s="25" t="s">
        <v>99</v>
      </c>
    </row>
    <row r="54" spans="2:16" ht="12" customHeight="1">
      <c r="B54" s="74" t="s">
        <v>56</v>
      </c>
      <c r="C54" s="107" t="s">
        <v>100</v>
      </c>
      <c r="F54" s="19" t="s">
        <v>109</v>
      </c>
      <c r="P54" s="19" t="str">
        <f>UPPER(F54)</f>
        <v>ALRMOOZ TECHNICAL FOR GENERAL CONTRACTING EST.</v>
      </c>
    </row>
    <row r="55" spans="2:16" ht="12" customHeight="1">
      <c r="B55" s="74" t="s">
        <v>56</v>
      </c>
      <c r="C55" s="107" t="s">
        <v>101</v>
      </c>
      <c r="F55" s="108" t="s">
        <v>111</v>
      </c>
    </row>
    <row r="56" spans="2:16" ht="12" customHeight="1">
      <c r="B56" s="74" t="s">
        <v>56</v>
      </c>
      <c r="C56" s="107" t="s">
        <v>102</v>
      </c>
      <c r="F56" s="108" t="s">
        <v>112</v>
      </c>
    </row>
    <row r="57" spans="2:16" ht="12" customHeight="1">
      <c r="B57" s="74" t="s">
        <v>56</v>
      </c>
      <c r="C57" s="107" t="s">
        <v>103</v>
      </c>
      <c r="F57" s="19" t="s">
        <v>110</v>
      </c>
    </row>
    <row r="58" spans="2:16" ht="12" customHeight="1">
      <c r="B58" s="74" t="s">
        <v>56</v>
      </c>
      <c r="C58" s="107" t="s">
        <v>104</v>
      </c>
      <c r="F58" s="19" t="s">
        <v>105</v>
      </c>
    </row>
    <row r="59" spans="2:16" ht="12" customHeight="1">
      <c r="B59" s="74" t="s">
        <v>56</v>
      </c>
      <c r="C59" s="107" t="s">
        <v>106</v>
      </c>
      <c r="F59" s="19" t="s">
        <v>107</v>
      </c>
    </row>
    <row r="60" spans="2:16" ht="12" customHeight="1">
      <c r="B60" s="74"/>
      <c r="C60" s="107" t="s">
        <v>108</v>
      </c>
    </row>
    <row r="61" spans="2:16" ht="3" customHeight="1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2:16" ht="3" customHeight="1">
      <c r="B62" s="25"/>
    </row>
    <row r="63" spans="2:16" ht="11.1" customHeight="1">
      <c r="B63" s="34"/>
    </row>
    <row r="64" spans="2:16" ht="12" customHeight="1">
      <c r="B64" s="25" t="s">
        <v>57</v>
      </c>
      <c r="J64" s="25" t="s">
        <v>58</v>
      </c>
    </row>
    <row r="65" spans="1:13" ht="46.5" customHeight="1"/>
    <row r="66" spans="1:13" ht="16.5" customHeight="1">
      <c r="B66" s="19" t="s">
        <v>59</v>
      </c>
      <c r="J66" s="19" t="s">
        <v>59</v>
      </c>
    </row>
    <row r="67" spans="1:13" ht="16.5" customHeight="1">
      <c r="B67" s="19" t="s">
        <v>60</v>
      </c>
      <c r="J67" s="19" t="s">
        <v>61</v>
      </c>
      <c r="K67" s="15" t="str">
        <f>D12</f>
        <v>Muhammed Rafi</v>
      </c>
    </row>
    <row r="68" spans="1:13" ht="18" customHeight="1">
      <c r="B68" s="19" t="s">
        <v>62</v>
      </c>
      <c r="J68" s="19" t="s">
        <v>63</v>
      </c>
      <c r="K68" s="15" t="s">
        <v>95</v>
      </c>
    </row>
    <row r="69" spans="1:13" ht="15" customHeight="1">
      <c r="B69" s="19" t="s">
        <v>64</v>
      </c>
      <c r="J69" s="19" t="s">
        <v>65</v>
      </c>
    </row>
    <row r="70" spans="1:13" s="21" customFormat="1" ht="24.75" customHeight="1">
      <c r="B70" s="18" t="s">
        <v>96</v>
      </c>
      <c r="J70" s="165" t="str">
        <f>C9</f>
        <v>ATGC(Alrmooz Technical for General Contracting Est.)</v>
      </c>
      <c r="K70" s="165"/>
      <c r="L70" s="165"/>
      <c r="M70" s="165"/>
    </row>
    <row r="71" spans="1:13" ht="27.95" customHeight="1">
      <c r="A71" s="159" t="s">
        <v>66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99"/>
  <sheetViews>
    <sheetView showGridLines="0" view="pageBreakPreview" zoomScaleSheetLayoutView="100" zoomScalePageLayoutView="55" workbookViewId="0">
      <selection activeCell="N20" sqref="N20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30.425781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SAC2-DS-PO-0375</v>
      </c>
      <c r="C2" s="172" t="s">
        <v>68</v>
      </c>
      <c r="D2" s="172"/>
      <c r="E2" s="172"/>
      <c r="F2" s="172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46230</v>
      </c>
      <c r="C3" s="43"/>
      <c r="D3" s="44"/>
      <c r="E3" s="173" t="s">
        <v>70</v>
      </c>
      <c r="F3" s="173"/>
      <c r="G3" s="173"/>
      <c r="H3" s="173"/>
      <c r="I3" s="45"/>
    </row>
    <row r="4" spans="1:13" s="47" customFormat="1" ht="28.5" customHeight="1" thickTop="1">
      <c r="A4" s="174" t="s">
        <v>71</v>
      </c>
      <c r="B4" s="176" t="s">
        <v>72</v>
      </c>
      <c r="C4" s="177"/>
      <c r="D4" s="180" t="s">
        <v>73</v>
      </c>
      <c r="E4" s="180" t="s">
        <v>74</v>
      </c>
      <c r="F4" s="182" t="str">
        <f>'PO 1st page'!C9</f>
        <v>ATGC(Alrmooz Technical for General Contracting Est.)</v>
      </c>
      <c r="G4" s="183"/>
      <c r="H4" s="184" t="s">
        <v>75</v>
      </c>
      <c r="K4" s="48"/>
      <c r="L4" s="48"/>
      <c r="M4" s="48"/>
    </row>
    <row r="5" spans="1:13" s="47" customFormat="1" ht="21.95" customHeight="1">
      <c r="A5" s="175"/>
      <c r="B5" s="178"/>
      <c r="C5" s="179"/>
      <c r="D5" s="181"/>
      <c r="E5" s="181"/>
      <c r="F5" s="49" t="s">
        <v>76</v>
      </c>
      <c r="G5" s="49" t="s">
        <v>42</v>
      </c>
      <c r="H5" s="185"/>
      <c r="K5" s="48"/>
      <c r="L5" s="48"/>
      <c r="M5" s="48"/>
    </row>
    <row r="6" spans="1:13" s="47" customFormat="1" ht="18.75" customHeight="1">
      <c r="A6" s="75">
        <f t="shared" ref="A6:A69" si="0">ROW(A1)</f>
        <v>1</v>
      </c>
      <c r="B6" s="170" t="str">
        <f>MRS!B6&amp;" "&amp;MRS!D6</f>
        <v>Water Dispencer Geepas</v>
      </c>
      <c r="C6" s="171"/>
      <c r="D6" s="76" t="str">
        <f>MRS!G6</f>
        <v>EA</v>
      </c>
      <c r="E6" s="77">
        <f>MRS!H6</f>
        <v>3</v>
      </c>
      <c r="F6" s="78">
        <f>MRS!I6</f>
        <v>380</v>
      </c>
      <c r="G6" s="79">
        <f>F6*E6</f>
        <v>1140</v>
      </c>
      <c r="H6" s="80" t="s">
        <v>91</v>
      </c>
      <c r="K6" s="81"/>
      <c r="L6" s="82"/>
      <c r="M6" s="48"/>
    </row>
    <row r="7" spans="1:13" s="47" customFormat="1" ht="18.75" customHeight="1">
      <c r="A7" s="75">
        <f t="shared" si="0"/>
        <v>2</v>
      </c>
      <c r="B7" s="170" t="str">
        <f>MRS!B7&amp;" "&amp;MRS!D7</f>
        <v>A3 Box File 10Pcs*1</v>
      </c>
      <c r="C7" s="171"/>
      <c r="D7" s="76" t="str">
        <f>MRS!G7</f>
        <v>BOX</v>
      </c>
      <c r="E7" s="77">
        <f>MRS!H7</f>
        <v>2</v>
      </c>
      <c r="F7" s="78">
        <f>MRS!I7</f>
        <v>144</v>
      </c>
      <c r="G7" s="79">
        <f t="shared" ref="G7:G70" si="1">F7*E7</f>
        <v>288</v>
      </c>
      <c r="H7" s="80"/>
      <c r="K7" s="81"/>
      <c r="L7" s="82"/>
      <c r="M7" s="48"/>
    </row>
    <row r="8" spans="1:13" s="47" customFormat="1" ht="18.75" customHeight="1">
      <c r="A8" s="83">
        <f t="shared" si="0"/>
        <v>3</v>
      </c>
      <c r="B8" s="170" t="str">
        <f>MRS!B8&amp;" "&amp;MRS!D8</f>
        <v>Printer Waste Catridge Xerox</v>
      </c>
      <c r="C8" s="171"/>
      <c r="D8" s="76" t="str">
        <f>MRS!G8</f>
        <v>EA</v>
      </c>
      <c r="E8" s="77">
        <f>MRS!H8</f>
        <v>2</v>
      </c>
      <c r="F8" s="78">
        <f>MRS!I8</f>
        <v>200</v>
      </c>
      <c r="G8" s="79">
        <f t="shared" si="1"/>
        <v>400</v>
      </c>
      <c r="H8" s="84"/>
      <c r="K8" s="48"/>
      <c r="L8" s="48"/>
      <c r="M8" s="48"/>
    </row>
    <row r="9" spans="1:13" s="47" customFormat="1" ht="18.75" customHeight="1">
      <c r="A9" s="83">
        <f t="shared" si="0"/>
        <v>4</v>
      </c>
      <c r="B9" s="170" t="str">
        <f>MRS!B9&amp;" "&amp;MRS!D9</f>
        <v xml:space="preserve">Bread </v>
      </c>
      <c r="C9" s="171"/>
      <c r="D9" s="76" t="str">
        <f>MRS!G9</f>
        <v>EA</v>
      </c>
      <c r="E9" s="77">
        <f>MRS!H9</f>
        <v>2500</v>
      </c>
      <c r="F9" s="78">
        <f>MRS!I9</f>
        <v>1.25</v>
      </c>
      <c r="G9" s="79">
        <f t="shared" si="1"/>
        <v>3125</v>
      </c>
      <c r="H9" s="84"/>
    </row>
    <row r="10" spans="1:13" s="47" customFormat="1" ht="18.75" customHeight="1">
      <c r="A10" s="83">
        <f t="shared" si="0"/>
        <v>5</v>
      </c>
      <c r="B10" s="170" t="str">
        <f>MRS!B10&amp;" "&amp;MRS!D10</f>
        <v xml:space="preserve">Tp Link </v>
      </c>
      <c r="C10" s="171"/>
      <c r="D10" s="76" t="str">
        <f>MRS!G10</f>
        <v>EA</v>
      </c>
      <c r="E10" s="77">
        <f>MRS!H10</f>
        <v>2</v>
      </c>
      <c r="F10" s="78">
        <f>MRS!I10</f>
        <v>75</v>
      </c>
      <c r="G10" s="79">
        <f t="shared" si="1"/>
        <v>150</v>
      </c>
      <c r="H10" s="84"/>
    </row>
    <row r="11" spans="1:13" s="47" customFormat="1" ht="18.75" customHeight="1">
      <c r="A11" s="83">
        <f t="shared" si="0"/>
        <v>6</v>
      </c>
      <c r="B11" s="170" t="str">
        <f>MRS!B11&amp;" "&amp;MRS!D11</f>
        <v xml:space="preserve">Document Tray </v>
      </c>
      <c r="C11" s="171"/>
      <c r="D11" s="76" t="str">
        <f>MRS!G11</f>
        <v>EA</v>
      </c>
      <c r="E11" s="77">
        <f>MRS!H11</f>
        <v>3</v>
      </c>
      <c r="F11" s="78">
        <f>MRS!I11</f>
        <v>25</v>
      </c>
      <c r="G11" s="79">
        <f t="shared" si="1"/>
        <v>75</v>
      </c>
      <c r="H11" s="84"/>
    </row>
    <row r="12" spans="1:13" s="47" customFormat="1" ht="18.75" customHeight="1">
      <c r="A12" s="83">
        <f t="shared" si="0"/>
        <v>7</v>
      </c>
      <c r="B12" s="170" t="str">
        <f>MRS!B12&amp;" "&amp;MRS!D12</f>
        <v xml:space="preserve">File Folder </v>
      </c>
      <c r="C12" s="171"/>
      <c r="D12" s="76" t="str">
        <f>MRS!G12</f>
        <v>EA</v>
      </c>
      <c r="E12" s="77">
        <f>MRS!H12</f>
        <v>2</v>
      </c>
      <c r="F12" s="78">
        <f>MRS!I12</f>
        <v>26.8</v>
      </c>
      <c r="G12" s="79">
        <f t="shared" si="1"/>
        <v>53.6</v>
      </c>
      <c r="H12" s="84"/>
    </row>
    <row r="13" spans="1:13" s="47" customFormat="1" ht="18.75" customHeight="1">
      <c r="A13" s="83">
        <f t="shared" si="0"/>
        <v>8</v>
      </c>
      <c r="B13" s="170" t="str">
        <f>MRS!B13&amp;" "&amp;MRS!D13</f>
        <v>Garbage Bag 100Gln</v>
      </c>
      <c r="C13" s="171"/>
      <c r="D13" s="76" t="str">
        <f>MRS!G13</f>
        <v>BDL</v>
      </c>
      <c r="E13" s="77">
        <f>MRS!H13</f>
        <v>100</v>
      </c>
      <c r="F13" s="78">
        <f>MRS!I13</f>
        <v>41.5</v>
      </c>
      <c r="G13" s="79">
        <f t="shared" si="1"/>
        <v>4150</v>
      </c>
      <c r="H13" s="84"/>
    </row>
    <row r="14" spans="1:13" s="47" customFormat="1" ht="18.75" customHeight="1">
      <c r="A14" s="83">
        <f t="shared" si="0"/>
        <v>9</v>
      </c>
      <c r="B14" s="170" t="str">
        <f>MRS!B14&amp;" "&amp;MRS!D14</f>
        <v>Tea Cup 9Oz</v>
      </c>
      <c r="C14" s="171"/>
      <c r="D14" s="76" t="str">
        <f>MRS!G14</f>
        <v>BOX</v>
      </c>
      <c r="E14" s="77">
        <f>MRS!H14</f>
        <v>5</v>
      </c>
      <c r="F14" s="78">
        <f>MRS!I14</f>
        <v>64</v>
      </c>
      <c r="G14" s="79">
        <f t="shared" si="1"/>
        <v>320</v>
      </c>
      <c r="H14" s="84"/>
    </row>
    <row r="15" spans="1:13" s="47" customFormat="1" ht="18.75" customHeight="1">
      <c r="A15" s="83">
        <f t="shared" si="0"/>
        <v>10</v>
      </c>
      <c r="B15" s="170" t="str">
        <f>MRS!B15&amp;" "&amp;MRS!D15</f>
        <v>Safety Helmet Gariox,White</v>
      </c>
      <c r="C15" s="171"/>
      <c r="D15" s="76" t="str">
        <f>MRS!G15</f>
        <v>EA</v>
      </c>
      <c r="E15" s="77">
        <f>MRS!H15</f>
        <v>200</v>
      </c>
      <c r="F15" s="78">
        <f>MRS!I15</f>
        <v>12</v>
      </c>
      <c r="G15" s="79">
        <f t="shared" si="1"/>
        <v>2400</v>
      </c>
      <c r="H15" s="84"/>
    </row>
    <row r="16" spans="1:13" s="47" customFormat="1" ht="18.75" customHeight="1">
      <c r="A16" s="83">
        <f t="shared" si="0"/>
        <v>11</v>
      </c>
      <c r="B16" s="170" t="str">
        <f>MRS!B16&amp;" "&amp;MRS!D16</f>
        <v>Trash Bag 10Gln</v>
      </c>
      <c r="C16" s="171"/>
      <c r="D16" s="76" t="str">
        <f>MRS!G16</f>
        <v>BDL</v>
      </c>
      <c r="E16" s="77">
        <f>MRS!H16</f>
        <v>10</v>
      </c>
      <c r="F16" s="78">
        <f>MRS!I16</f>
        <v>65</v>
      </c>
      <c r="G16" s="79">
        <f t="shared" si="1"/>
        <v>650</v>
      </c>
      <c r="H16" s="84"/>
    </row>
    <row r="17" spans="1:8" s="47" customFormat="1" ht="18.75" customHeight="1">
      <c r="A17" s="83">
        <f t="shared" si="0"/>
        <v>12</v>
      </c>
      <c r="B17" s="170" t="str">
        <f>MRS!B17&amp;" "&amp;MRS!D17</f>
        <v>Nescafe Classic 190Gm</v>
      </c>
      <c r="C17" s="171"/>
      <c r="D17" s="76" t="str">
        <f>MRS!G17</f>
        <v>EA</v>
      </c>
      <c r="E17" s="77">
        <f>MRS!H17</f>
        <v>24</v>
      </c>
      <c r="F17" s="78">
        <f>MRS!I17</f>
        <v>24</v>
      </c>
      <c r="G17" s="79">
        <f t="shared" si="1"/>
        <v>576</v>
      </c>
      <c r="H17" s="84"/>
    </row>
    <row r="18" spans="1:8" s="47" customFormat="1" ht="18.75" customHeight="1">
      <c r="A18" s="83">
        <f t="shared" si="0"/>
        <v>13</v>
      </c>
      <c r="B18" s="170" t="str">
        <f>MRS!B18&amp;" "&amp;MRS!D18</f>
        <v>A3 Paper Atlas</v>
      </c>
      <c r="C18" s="171"/>
      <c r="D18" s="76" t="str">
        <f>MRS!G18</f>
        <v>BOX</v>
      </c>
      <c r="E18" s="77">
        <f>MRS!H18</f>
        <v>60</v>
      </c>
      <c r="F18" s="78">
        <f>MRS!I18</f>
        <v>160</v>
      </c>
      <c r="G18" s="79">
        <f t="shared" si="1"/>
        <v>9600</v>
      </c>
      <c r="H18" s="84"/>
    </row>
    <row r="19" spans="1:8" s="47" customFormat="1" ht="18.75" customHeight="1">
      <c r="A19" s="83">
        <f t="shared" si="0"/>
        <v>14</v>
      </c>
      <c r="B19" s="170" t="str">
        <f>MRS!B19&amp;" "&amp;MRS!D19</f>
        <v>A4 Paper Atlas</v>
      </c>
      <c r="C19" s="171"/>
      <c r="D19" s="76" t="str">
        <f>MRS!G19</f>
        <v>BOX</v>
      </c>
      <c r="E19" s="77">
        <f>MRS!H19</f>
        <v>150</v>
      </c>
      <c r="F19" s="78">
        <f>MRS!I19</f>
        <v>64</v>
      </c>
      <c r="G19" s="79">
        <f t="shared" si="1"/>
        <v>9600</v>
      </c>
      <c r="H19" s="84"/>
    </row>
    <row r="20" spans="1:8" s="47" customFormat="1" ht="18.75" customHeight="1">
      <c r="A20" s="83">
        <f t="shared" si="0"/>
        <v>15</v>
      </c>
      <c r="B20" s="170" t="str">
        <f>MRS!B20&amp;" "&amp;MRS!D20</f>
        <v>Al Rai Juice Cocktail 27*250Ml</v>
      </c>
      <c r="C20" s="171"/>
      <c r="D20" s="76" t="str">
        <f>MRS!G20</f>
        <v>EA</v>
      </c>
      <c r="E20" s="77">
        <f>MRS!H20</f>
        <v>2500</v>
      </c>
      <c r="F20" s="78">
        <f>MRS!I20</f>
        <v>1.25</v>
      </c>
      <c r="G20" s="79">
        <f t="shared" si="1"/>
        <v>3125</v>
      </c>
      <c r="H20" s="84"/>
    </row>
    <row r="21" spans="1:8" s="47" customFormat="1" ht="18.75" customHeight="1">
      <c r="A21" s="83">
        <f t="shared" si="0"/>
        <v>16</v>
      </c>
      <c r="B21" s="170" t="str">
        <f>MRS!B21&amp;" "&amp;MRS!D21</f>
        <v>Permanent Marker Black,Pentel</v>
      </c>
      <c r="C21" s="171"/>
      <c r="D21" s="76" t="str">
        <f>MRS!G21</f>
        <v>PKT</v>
      </c>
      <c r="E21" s="77">
        <f>MRS!H21</f>
        <v>10</v>
      </c>
      <c r="F21" s="78">
        <f>MRS!I21</f>
        <v>31</v>
      </c>
      <c r="G21" s="79">
        <f t="shared" si="1"/>
        <v>310</v>
      </c>
      <c r="H21" s="84"/>
    </row>
    <row r="22" spans="1:8" s="47" customFormat="1" ht="18.75" customHeight="1">
      <c r="A22" s="83">
        <f t="shared" si="0"/>
        <v>17</v>
      </c>
      <c r="B22" s="170" t="str">
        <f>MRS!B22&amp;" "&amp;MRS!D22</f>
        <v>Board Marker Deli,Black-10/Green-3</v>
      </c>
      <c r="C22" s="171"/>
      <c r="D22" s="76" t="str">
        <f>MRS!G22</f>
        <v>PKT</v>
      </c>
      <c r="E22" s="77">
        <f>MRS!H22</f>
        <v>10</v>
      </c>
      <c r="F22" s="78">
        <f>MRS!I22</f>
        <v>12</v>
      </c>
      <c r="G22" s="79">
        <f t="shared" si="1"/>
        <v>120</v>
      </c>
      <c r="H22" s="84"/>
    </row>
    <row r="23" spans="1:8" s="47" customFormat="1" ht="18.75" customHeight="1">
      <c r="A23" s="83">
        <f t="shared" si="0"/>
        <v>18</v>
      </c>
      <c r="B23" s="170" t="str">
        <f>MRS!B23&amp;" "&amp;MRS!D23</f>
        <v>Eraser Super Deal</v>
      </c>
      <c r="C23" s="171"/>
      <c r="D23" s="76" t="str">
        <f>MRS!G23</f>
        <v>PKT</v>
      </c>
      <c r="E23" s="77">
        <f>MRS!H23</f>
        <v>2</v>
      </c>
      <c r="F23" s="78">
        <f>MRS!I23</f>
        <v>8</v>
      </c>
      <c r="G23" s="79">
        <f t="shared" si="1"/>
        <v>16</v>
      </c>
      <c r="H23" s="84"/>
    </row>
    <row r="24" spans="1:8" s="47" customFormat="1" ht="18.75" customHeight="1">
      <c r="A24" s="83">
        <f t="shared" si="0"/>
        <v>19</v>
      </c>
      <c r="B24" s="170" t="str">
        <f>MRS!B24&amp;" "&amp;MRS!D24</f>
        <v>Ruler Steel Deluxe,30Cm</v>
      </c>
      <c r="C24" s="171"/>
      <c r="D24" s="76" t="str">
        <f>MRS!G24</f>
        <v>EA</v>
      </c>
      <c r="E24" s="77">
        <f>MRS!H24</f>
        <v>30</v>
      </c>
      <c r="F24" s="78">
        <f>MRS!I24</f>
        <v>1.65</v>
      </c>
      <c r="G24" s="79">
        <f t="shared" si="1"/>
        <v>49.5</v>
      </c>
      <c r="H24" s="84"/>
    </row>
    <row r="25" spans="1:8" s="47" customFormat="1" ht="18.75" customHeight="1">
      <c r="A25" s="83">
        <f t="shared" si="0"/>
        <v>20</v>
      </c>
      <c r="B25" s="170" t="str">
        <f>MRS!B25&amp;" "&amp;MRS!D25</f>
        <v>Signhere Flag Fantastick</v>
      </c>
      <c r="C25" s="171"/>
      <c r="D25" s="76" t="str">
        <f>MRS!G25</f>
        <v>BOX</v>
      </c>
      <c r="E25" s="77">
        <f>MRS!H25</f>
        <v>5</v>
      </c>
      <c r="F25" s="78">
        <f>MRS!I25</f>
        <v>100</v>
      </c>
      <c r="G25" s="79">
        <f t="shared" si="1"/>
        <v>500</v>
      </c>
      <c r="H25" s="84"/>
    </row>
    <row r="26" spans="1:8" s="47" customFormat="1" ht="18.75" customHeight="1">
      <c r="A26" s="83">
        <f t="shared" si="0"/>
        <v>21</v>
      </c>
      <c r="B26" s="170" t="str">
        <f>MRS!B26&amp;" "&amp;MRS!D26</f>
        <v xml:space="preserve">Label Printing Machine </v>
      </c>
      <c r="C26" s="171"/>
      <c r="D26" s="76" t="str">
        <f>MRS!G26</f>
        <v>EA</v>
      </c>
      <c r="E26" s="77">
        <f>MRS!H26</f>
        <v>1</v>
      </c>
      <c r="F26" s="78">
        <f>MRS!I26</f>
        <v>195</v>
      </c>
      <c r="G26" s="79">
        <f t="shared" si="1"/>
        <v>195</v>
      </c>
      <c r="H26" s="84"/>
    </row>
    <row r="27" spans="1:8" s="47" customFormat="1" ht="18.75" customHeight="1">
      <c r="A27" s="83">
        <f t="shared" si="0"/>
        <v>22</v>
      </c>
      <c r="B27" s="170" t="str">
        <f>MRS!B27&amp;" "&amp;MRS!D27</f>
        <v xml:space="preserve">Comix Punching Machine </v>
      </c>
      <c r="C27" s="171"/>
      <c r="D27" s="76" t="str">
        <f>MRS!G27</f>
        <v>EA</v>
      </c>
      <c r="E27" s="77">
        <f>MRS!H27</f>
        <v>3</v>
      </c>
      <c r="F27" s="78">
        <f>MRS!I27</f>
        <v>640</v>
      </c>
      <c r="G27" s="79">
        <f t="shared" si="1"/>
        <v>1920</v>
      </c>
      <c r="H27" s="84"/>
    </row>
    <row r="28" spans="1:8" s="47" customFormat="1" ht="18.75" customHeight="1">
      <c r="A28" s="83">
        <f t="shared" si="0"/>
        <v>23</v>
      </c>
      <c r="B28" s="170" t="str">
        <f>MRS!B28&amp;" "&amp;MRS!D28</f>
        <v>Time Card Catridge Comix</v>
      </c>
      <c r="C28" s="171"/>
      <c r="D28" s="76" t="str">
        <f>MRS!G28</f>
        <v>EA</v>
      </c>
      <c r="E28" s="77">
        <f>MRS!H28</f>
        <v>8</v>
      </c>
      <c r="F28" s="78">
        <f>MRS!I28</f>
        <v>18.75</v>
      </c>
      <c r="G28" s="79">
        <f t="shared" si="1"/>
        <v>150</v>
      </c>
      <c r="H28" s="84"/>
    </row>
    <row r="29" spans="1:8" s="47" customFormat="1" ht="18.75" customHeight="1">
      <c r="A29" s="83">
        <f t="shared" si="0"/>
        <v>24</v>
      </c>
      <c r="B29" s="170" t="str">
        <f>MRS!B29&amp;" "&amp;MRS!D29</f>
        <v>Nokia Mobile Model 215</v>
      </c>
      <c r="C29" s="171"/>
      <c r="D29" s="76" t="str">
        <f>MRS!G29</f>
        <v>EA</v>
      </c>
      <c r="E29" s="77">
        <f>MRS!H29</f>
        <v>4</v>
      </c>
      <c r="F29" s="78">
        <f>MRS!I29</f>
        <v>168</v>
      </c>
      <c r="G29" s="79">
        <f t="shared" si="1"/>
        <v>672</v>
      </c>
      <c r="H29" s="84"/>
    </row>
    <row r="30" spans="1:8" s="47" customFormat="1" ht="18.75" customHeight="1">
      <c r="A30" s="83">
        <f t="shared" si="0"/>
        <v>25</v>
      </c>
      <c r="B30" s="170" t="str">
        <f>MRS!B30&amp;" "&amp;MRS!D30</f>
        <v>Label Tap Catridge Black-1/Yellow-1</v>
      </c>
      <c r="C30" s="171"/>
      <c r="D30" s="76" t="str">
        <f>MRS!G30</f>
        <v>EA</v>
      </c>
      <c r="E30" s="77">
        <f>MRS!H30</f>
        <v>2</v>
      </c>
      <c r="F30" s="78">
        <f>MRS!I30</f>
        <v>52</v>
      </c>
      <c r="G30" s="79">
        <f t="shared" si="1"/>
        <v>104</v>
      </c>
      <c r="H30" s="84"/>
    </row>
    <row r="31" spans="1:8" s="47" customFormat="1" ht="18.75" customHeight="1">
      <c r="A31" s="83">
        <f t="shared" si="0"/>
        <v>26</v>
      </c>
      <c r="B31" s="170" t="str">
        <f>MRS!B31&amp;" "&amp;MRS!D31</f>
        <v>Igloo 10Gln</v>
      </c>
      <c r="C31" s="171"/>
      <c r="D31" s="76" t="str">
        <f>MRS!G31</f>
        <v>EA</v>
      </c>
      <c r="E31" s="77">
        <f>MRS!H31</f>
        <v>25</v>
      </c>
      <c r="F31" s="78">
        <f>MRS!I31</f>
        <v>97</v>
      </c>
      <c r="G31" s="79">
        <f t="shared" si="1"/>
        <v>2425</v>
      </c>
      <c r="H31" s="84"/>
    </row>
    <row r="32" spans="1:8" s="47" customFormat="1" ht="18.75" customHeight="1">
      <c r="A32" s="83">
        <f t="shared" si="0"/>
        <v>27</v>
      </c>
      <c r="B32" s="170" t="str">
        <f>MRS!B32&amp;" "&amp;MRS!D32</f>
        <v>Envelop 20Pkts*1Box</v>
      </c>
      <c r="C32" s="171"/>
      <c r="D32" s="76" t="str">
        <f>MRS!G32</f>
        <v>PKT</v>
      </c>
      <c r="E32" s="77">
        <f>MRS!H32</f>
        <v>20</v>
      </c>
      <c r="F32" s="78">
        <f>MRS!I32</f>
        <v>3.5</v>
      </c>
      <c r="G32" s="79">
        <f t="shared" si="1"/>
        <v>70</v>
      </c>
      <c r="H32" s="84"/>
    </row>
    <row r="33" spans="1:8" s="47" customFormat="1" ht="18.75" customHeight="1">
      <c r="A33" s="83">
        <f t="shared" si="0"/>
        <v>28</v>
      </c>
      <c r="B33" s="170" t="str">
        <f>MRS!B33&amp;" "&amp;MRS!D33</f>
        <v>Sugar 1Kg*20</v>
      </c>
      <c r="C33" s="171"/>
      <c r="D33" s="76" t="str">
        <f>MRS!G33</f>
        <v>BOX</v>
      </c>
      <c r="E33" s="77">
        <f>MRS!H33</f>
        <v>3</v>
      </c>
      <c r="F33" s="78">
        <f>MRS!I33</f>
        <v>70</v>
      </c>
      <c r="G33" s="79">
        <f t="shared" si="1"/>
        <v>210</v>
      </c>
      <c r="H33" s="84"/>
    </row>
    <row r="34" spans="1:8" s="47" customFormat="1" ht="18.75" customHeight="1">
      <c r="A34" s="83">
        <f t="shared" si="0"/>
        <v>29</v>
      </c>
      <c r="B34" s="170" t="str">
        <f>MRS!B34&amp;" "&amp;MRS!D34</f>
        <v>Spray Paint Black</v>
      </c>
      <c r="C34" s="171"/>
      <c r="D34" s="76" t="str">
        <f>MRS!G34</f>
        <v>BOX</v>
      </c>
      <c r="E34" s="77">
        <f>MRS!H34</f>
        <v>1</v>
      </c>
      <c r="F34" s="78">
        <f>MRS!I34</f>
        <v>65</v>
      </c>
      <c r="G34" s="79">
        <f t="shared" si="1"/>
        <v>65</v>
      </c>
      <c r="H34" s="84"/>
    </row>
    <row r="35" spans="1:8" s="47" customFormat="1" ht="18.75" customHeight="1">
      <c r="A35" s="83">
        <f t="shared" si="0"/>
        <v>30</v>
      </c>
      <c r="B35" s="170" t="str">
        <f>MRS!B35&amp;" "&amp;MRS!D35</f>
        <v>Clorox 3.78Ltr*6</v>
      </c>
      <c r="C35" s="171"/>
      <c r="D35" s="76" t="str">
        <f>MRS!G35</f>
        <v>EA</v>
      </c>
      <c r="E35" s="77">
        <f>MRS!H35</f>
        <v>6</v>
      </c>
      <c r="F35" s="78">
        <f>MRS!I35</f>
        <v>25</v>
      </c>
      <c r="G35" s="79">
        <f t="shared" si="1"/>
        <v>150</v>
      </c>
      <c r="H35" s="84"/>
    </row>
    <row r="36" spans="1:8" s="47" customFormat="1" ht="18.75" customHeight="1">
      <c r="A36" s="83">
        <f t="shared" si="0"/>
        <v>31</v>
      </c>
      <c r="B36" s="170" t="str">
        <f>MRS!B36&amp;" "&amp;MRS!D36</f>
        <v>Dust Bin Small</v>
      </c>
      <c r="C36" s="171"/>
      <c r="D36" s="76" t="str">
        <f>MRS!G36</f>
        <v>EA</v>
      </c>
      <c r="E36" s="77">
        <f>MRS!H36</f>
        <v>3</v>
      </c>
      <c r="F36" s="78">
        <f>MRS!I36</f>
        <v>8</v>
      </c>
      <c r="G36" s="79">
        <f t="shared" si="1"/>
        <v>24</v>
      </c>
      <c r="H36" s="84"/>
    </row>
    <row r="37" spans="1:8" s="47" customFormat="1" ht="18.75" customHeight="1">
      <c r="A37" s="83">
        <f t="shared" si="0"/>
        <v>32</v>
      </c>
      <c r="B37" s="170" t="str">
        <f>MRS!B37&amp;" "&amp;MRS!D37</f>
        <v>Safety Vest With Logo M-100/Xl-100/L-100</v>
      </c>
      <c r="C37" s="171"/>
      <c r="D37" s="76" t="str">
        <f>MRS!G37</f>
        <v>EA</v>
      </c>
      <c r="E37" s="77">
        <f>MRS!H37</f>
        <v>200</v>
      </c>
      <c r="F37" s="78">
        <f>MRS!I37</f>
        <v>17</v>
      </c>
      <c r="G37" s="79">
        <f t="shared" si="1"/>
        <v>3400</v>
      </c>
      <c r="H37" s="84"/>
    </row>
    <row r="38" spans="1:8" s="47" customFormat="1" ht="18.75" customHeight="1">
      <c r="A38" s="83">
        <f t="shared" si="0"/>
        <v>33</v>
      </c>
      <c r="B38" s="170" t="str">
        <f>MRS!B38&amp;" "&amp;MRS!D38</f>
        <v>Rabia Red Tea 100Bag</v>
      </c>
      <c r="C38" s="171"/>
      <c r="D38" s="76" t="str">
        <f>MRS!G38</f>
        <v>PKT</v>
      </c>
      <c r="E38" s="77">
        <f>MRS!H38</f>
        <v>24</v>
      </c>
      <c r="F38" s="78">
        <f>MRS!I38</f>
        <v>10.41</v>
      </c>
      <c r="G38" s="79">
        <f t="shared" si="1"/>
        <v>249.84</v>
      </c>
      <c r="H38" s="84"/>
    </row>
    <row r="39" spans="1:8" s="47" customFormat="1" ht="18.75" customHeight="1">
      <c r="A39" s="83">
        <f t="shared" si="0"/>
        <v>34</v>
      </c>
      <c r="B39" s="170" t="str">
        <f>MRS!B39&amp;" "&amp;MRS!D39</f>
        <v>Blue Coverall Xl,Gariox</v>
      </c>
      <c r="C39" s="171"/>
      <c r="D39" s="76" t="str">
        <f>MRS!G39</f>
        <v>EA</v>
      </c>
      <c r="E39" s="77">
        <f>MRS!H39</f>
        <v>20</v>
      </c>
      <c r="F39" s="78">
        <f>MRS!I39</f>
        <v>77</v>
      </c>
      <c r="G39" s="79">
        <f t="shared" si="1"/>
        <v>1540</v>
      </c>
      <c r="H39" s="84"/>
    </row>
    <row r="40" spans="1:8" s="47" customFormat="1" ht="18.75" customHeight="1">
      <c r="A40" s="83">
        <f t="shared" si="0"/>
        <v>35</v>
      </c>
      <c r="B40" s="170" t="str">
        <f>MRS!B40&amp;" "&amp;MRS!D40</f>
        <v>Paper Clip #236</v>
      </c>
      <c r="C40" s="171"/>
      <c r="D40" s="76" t="str">
        <f>MRS!G40</f>
        <v>PKT</v>
      </c>
      <c r="E40" s="77">
        <f>MRS!H40</f>
        <v>10</v>
      </c>
      <c r="F40" s="78">
        <f>MRS!I40</f>
        <v>2.75</v>
      </c>
      <c r="G40" s="79">
        <f t="shared" si="1"/>
        <v>27.5</v>
      </c>
      <c r="H40" s="84"/>
    </row>
    <row r="41" spans="1:8" s="47" customFormat="1" ht="18.75" customHeight="1">
      <c r="A41" s="83">
        <f t="shared" si="0"/>
        <v>36</v>
      </c>
      <c r="B41" s="170" t="str">
        <f>MRS!B41&amp;" "&amp;MRS!D41</f>
        <v>Ricoh Toner C6003 Black</v>
      </c>
      <c r="C41" s="171"/>
      <c r="D41" s="76" t="str">
        <f>MRS!G41</f>
        <v>EA</v>
      </c>
      <c r="E41" s="77">
        <f>MRS!H41</f>
        <v>6</v>
      </c>
      <c r="F41" s="78">
        <f>MRS!I41</f>
        <v>342</v>
      </c>
      <c r="G41" s="79">
        <f t="shared" si="1"/>
        <v>2052</v>
      </c>
      <c r="H41" s="84"/>
    </row>
    <row r="42" spans="1:8" s="47" customFormat="1" ht="18.75" customHeight="1">
      <c r="A42" s="83">
        <f t="shared" si="0"/>
        <v>37</v>
      </c>
      <c r="B42" s="170" t="str">
        <f>MRS!B42&amp;" "&amp;MRS!D42</f>
        <v>Ricoh Toner C6003 Magenta-2/Yellow-
2/Cyan-2</v>
      </c>
      <c r="C42" s="171"/>
      <c r="D42" s="76" t="str">
        <f>MRS!G42</f>
        <v>EA</v>
      </c>
      <c r="E42" s="77">
        <f>MRS!H42</f>
        <v>10</v>
      </c>
      <c r="F42" s="78">
        <f>MRS!I42</f>
        <v>506</v>
      </c>
      <c r="G42" s="79">
        <f t="shared" si="1"/>
        <v>5060</v>
      </c>
      <c r="H42" s="84"/>
    </row>
    <row r="43" spans="1:8" s="47" customFormat="1" ht="18.75" customHeight="1">
      <c r="A43" s="83">
        <f t="shared" si="0"/>
        <v>38</v>
      </c>
      <c r="B43" s="170" t="str">
        <f>MRS!B43&amp;" "&amp;MRS!D43</f>
        <v>Highlighter Deli,Green</v>
      </c>
      <c r="C43" s="171"/>
      <c r="D43" s="76" t="str">
        <f>MRS!G43</f>
        <v>PKT</v>
      </c>
      <c r="E43" s="77">
        <f>MRS!H43</f>
        <v>30</v>
      </c>
      <c r="F43" s="78">
        <f>MRS!I43</f>
        <v>12</v>
      </c>
      <c r="G43" s="79">
        <f t="shared" si="1"/>
        <v>360</v>
      </c>
      <c r="H43" s="84"/>
    </row>
    <row r="44" spans="1:8" s="47" customFormat="1" ht="18.75" customHeight="1">
      <c r="A44" s="83">
        <f t="shared" si="0"/>
        <v>39</v>
      </c>
      <c r="B44" s="170" t="str">
        <f>MRS!B44&amp;" "&amp;MRS!D44</f>
        <v>Sheet Protector Super Deal</v>
      </c>
      <c r="C44" s="171"/>
      <c r="D44" s="76" t="str">
        <f>MRS!G44</f>
        <v>PKT</v>
      </c>
      <c r="E44" s="77">
        <f>MRS!H44</f>
        <v>10</v>
      </c>
      <c r="F44" s="78">
        <f>MRS!I44</f>
        <v>12.5</v>
      </c>
      <c r="G44" s="79">
        <f t="shared" si="1"/>
        <v>125</v>
      </c>
      <c r="H44" s="84"/>
    </row>
    <row r="45" spans="1:8" s="47" customFormat="1" ht="18.75" customHeight="1">
      <c r="A45" s="83">
        <f t="shared" si="0"/>
        <v>40</v>
      </c>
      <c r="B45" s="170" t="str">
        <f>MRS!B45&amp;" "&amp;MRS!D45</f>
        <v>Ice Box 127Ltr</v>
      </c>
      <c r="C45" s="171"/>
      <c r="D45" s="76" t="str">
        <f>MRS!G45</f>
        <v>EA</v>
      </c>
      <c r="E45" s="77">
        <f>MRS!H45</f>
        <v>4</v>
      </c>
      <c r="F45" s="78">
        <f>MRS!I45</f>
        <v>390</v>
      </c>
      <c r="G45" s="79">
        <f t="shared" si="1"/>
        <v>1560</v>
      </c>
      <c r="H45" s="84"/>
    </row>
    <row r="46" spans="1:8" s="47" customFormat="1" ht="18.75" customHeight="1">
      <c r="A46" s="83">
        <f t="shared" si="0"/>
        <v>41</v>
      </c>
      <c r="B46" s="170" t="str">
        <f>MRS!B46&amp;" "&amp;MRS!D46</f>
        <v>Correction Pen Big Size,10Ml 12/Pkt</v>
      </c>
      <c r="C46" s="171"/>
      <c r="D46" s="76" t="str">
        <f>MRS!G46</f>
        <v>BOX</v>
      </c>
      <c r="E46" s="77">
        <f>MRS!H46</f>
        <v>5</v>
      </c>
      <c r="F46" s="78">
        <f>MRS!I46</f>
        <v>45</v>
      </c>
      <c r="G46" s="79">
        <f t="shared" si="1"/>
        <v>225</v>
      </c>
      <c r="H46" s="84"/>
    </row>
    <row r="47" spans="1:8" s="47" customFormat="1" ht="18.75" customHeight="1">
      <c r="A47" s="83">
        <f t="shared" si="0"/>
        <v>42</v>
      </c>
      <c r="B47" s="170" t="str">
        <f>MRS!B47&amp;" "&amp;MRS!D47</f>
        <v xml:space="preserve">Safety Shoes K7 </v>
      </c>
      <c r="C47" s="171"/>
      <c r="D47" s="76" t="str">
        <f>MRS!G47</f>
        <v>PAIR</v>
      </c>
      <c r="E47" s="77">
        <f>MRS!H47</f>
        <v>500</v>
      </c>
      <c r="F47" s="78">
        <f>MRS!I47</f>
        <v>63.5</v>
      </c>
      <c r="G47" s="79">
        <f t="shared" si="1"/>
        <v>31750</v>
      </c>
      <c r="H47" s="84"/>
    </row>
    <row r="48" spans="1:8" s="47" customFormat="1" ht="18.75" customHeight="1">
      <c r="A48" s="83">
        <f t="shared" si="0"/>
        <v>43</v>
      </c>
      <c r="B48" s="170" t="str">
        <f>MRS!B48&amp;" "&amp;MRS!D48</f>
        <v>Hp Toner 106A Black</v>
      </c>
      <c r="C48" s="171"/>
      <c r="D48" s="76" t="str">
        <f>MRS!G48</f>
        <v>EA</v>
      </c>
      <c r="E48" s="77">
        <f>MRS!H48</f>
        <v>5</v>
      </c>
      <c r="F48" s="78">
        <f>MRS!I48</f>
        <v>237</v>
      </c>
      <c r="G48" s="79">
        <f t="shared" si="1"/>
        <v>1185</v>
      </c>
      <c r="H48" s="84"/>
    </row>
    <row r="49" spans="1:8" s="47" customFormat="1" ht="18.75" customHeight="1">
      <c r="A49" s="83">
        <f t="shared" si="0"/>
        <v>44</v>
      </c>
      <c r="B49" s="170" t="str">
        <f>MRS!B49&amp;" "&amp;MRS!D49</f>
        <v xml:space="preserve">Wired Mouse </v>
      </c>
      <c r="C49" s="171"/>
      <c r="D49" s="76" t="str">
        <f>MRS!G49</f>
        <v>EA</v>
      </c>
      <c r="E49" s="77">
        <f>MRS!H49</f>
        <v>5</v>
      </c>
      <c r="F49" s="78">
        <f>MRS!I49</f>
        <v>22</v>
      </c>
      <c r="G49" s="79">
        <f t="shared" si="1"/>
        <v>110</v>
      </c>
      <c r="H49" s="84"/>
    </row>
    <row r="50" spans="1:8" s="47" customFormat="1" ht="18.75" customHeight="1">
      <c r="A50" s="83">
        <f t="shared" si="0"/>
        <v>45</v>
      </c>
      <c r="B50" s="170" t="str">
        <f>MRS!B50&amp;" "&amp;MRS!D50</f>
        <v>Paper Punch Big</v>
      </c>
      <c r="C50" s="171"/>
      <c r="D50" s="76" t="str">
        <f>MRS!G50</f>
        <v>EA</v>
      </c>
      <c r="E50" s="77">
        <f>MRS!H50</f>
        <v>1</v>
      </c>
      <c r="F50" s="78">
        <f>MRS!I50</f>
        <v>207</v>
      </c>
      <c r="G50" s="79">
        <f t="shared" si="1"/>
        <v>207</v>
      </c>
      <c r="H50" s="84"/>
    </row>
    <row r="51" spans="1:8" s="47" customFormat="1" ht="18.75" customHeight="1">
      <c r="A51" s="83">
        <f t="shared" si="0"/>
        <v>46</v>
      </c>
      <c r="B51" s="170" t="str">
        <f>MRS!B51&amp;" "&amp;MRS!D51</f>
        <v>Stapler Big,Deli</v>
      </c>
      <c r="C51" s="171"/>
      <c r="D51" s="76" t="str">
        <f>MRS!G51</f>
        <v>EA</v>
      </c>
      <c r="E51" s="77">
        <f>MRS!H51</f>
        <v>1</v>
      </c>
      <c r="F51" s="78">
        <f>MRS!I51</f>
        <v>51</v>
      </c>
      <c r="G51" s="79">
        <f t="shared" si="1"/>
        <v>51</v>
      </c>
      <c r="H51" s="84"/>
    </row>
    <row r="52" spans="1:8" s="47" customFormat="1" ht="18.75" customHeight="1">
      <c r="A52" s="83">
        <f t="shared" si="0"/>
        <v>47</v>
      </c>
      <c r="B52" s="170" t="str">
        <f>MRS!B52&amp;" "&amp;MRS!D52</f>
        <v>Safety Googles Dark</v>
      </c>
      <c r="C52" s="171"/>
      <c r="D52" s="76" t="str">
        <f>MRS!G52</f>
        <v>EA</v>
      </c>
      <c r="E52" s="77">
        <f>MRS!H52</f>
        <v>800</v>
      </c>
      <c r="F52" s="78">
        <f>MRS!I52</f>
        <v>3</v>
      </c>
      <c r="G52" s="79">
        <f t="shared" si="1"/>
        <v>2400</v>
      </c>
      <c r="H52" s="84"/>
    </row>
    <row r="53" spans="1:8" s="47" customFormat="1" ht="18.75" customHeight="1">
      <c r="A53" s="83">
        <f t="shared" si="0"/>
        <v>48</v>
      </c>
      <c r="B53" s="170" t="str">
        <f>MRS!B53&amp;" "&amp;MRS!D53</f>
        <v xml:space="preserve">Stapler </v>
      </c>
      <c r="C53" s="171"/>
      <c r="D53" s="76" t="str">
        <f>MRS!G53</f>
        <v>EA</v>
      </c>
      <c r="E53" s="77">
        <f>MRS!H53</f>
        <v>5</v>
      </c>
      <c r="F53" s="78">
        <f>MRS!I53</f>
        <v>13</v>
      </c>
      <c r="G53" s="79">
        <f t="shared" si="1"/>
        <v>65</v>
      </c>
      <c r="H53" s="84"/>
    </row>
    <row r="54" spans="1:8" s="47" customFormat="1" ht="18.75" customHeight="1">
      <c r="A54" s="83">
        <f t="shared" si="0"/>
        <v>49</v>
      </c>
      <c r="B54" s="170" t="str">
        <f>MRS!B54&amp;" "&amp;MRS!D54</f>
        <v xml:space="preserve">2 Hole Punch </v>
      </c>
      <c r="C54" s="171"/>
      <c r="D54" s="76" t="str">
        <f>MRS!G54</f>
        <v>EA</v>
      </c>
      <c r="E54" s="77">
        <f>MRS!H54</f>
        <v>1</v>
      </c>
      <c r="F54" s="78">
        <f>MRS!I54</f>
        <v>24</v>
      </c>
      <c r="G54" s="79">
        <f t="shared" si="1"/>
        <v>24</v>
      </c>
      <c r="H54" s="84"/>
    </row>
    <row r="55" spans="1:8" s="47" customFormat="1" ht="18.75" customHeight="1">
      <c r="A55" s="83">
        <f t="shared" si="0"/>
        <v>50</v>
      </c>
      <c r="B55" s="170" t="str">
        <f>MRS!B55&amp;" "&amp;MRS!D55</f>
        <v xml:space="preserve">Folding Chair </v>
      </c>
      <c r="C55" s="171"/>
      <c r="D55" s="76" t="str">
        <f>MRS!G55</f>
        <v>EA</v>
      </c>
      <c r="E55" s="77">
        <f>MRS!H55</f>
        <v>8</v>
      </c>
      <c r="F55" s="78">
        <f>MRS!I55</f>
        <v>80</v>
      </c>
      <c r="G55" s="79">
        <f t="shared" si="1"/>
        <v>640</v>
      </c>
      <c r="H55" s="84"/>
    </row>
    <row r="56" spans="1:8" s="47" customFormat="1" ht="18.75" customHeight="1">
      <c r="A56" s="83">
        <f t="shared" si="0"/>
        <v>51</v>
      </c>
      <c r="B56" s="170" t="str">
        <f>MRS!B56&amp;" "&amp;MRS!D56</f>
        <v>Office Chair Without Neck</v>
      </c>
      <c r="C56" s="171"/>
      <c r="D56" s="76" t="str">
        <f>MRS!G56</f>
        <v>EA</v>
      </c>
      <c r="E56" s="77">
        <f>MRS!H56</f>
        <v>2</v>
      </c>
      <c r="F56" s="78">
        <f>MRS!I56</f>
        <v>156</v>
      </c>
      <c r="G56" s="79">
        <f t="shared" si="1"/>
        <v>312</v>
      </c>
      <c r="H56" s="84"/>
    </row>
    <row r="57" spans="1:8" s="47" customFormat="1" ht="18.75" customHeight="1">
      <c r="A57" s="83">
        <f t="shared" si="0"/>
        <v>52</v>
      </c>
      <c r="B57" s="170" t="str">
        <f>MRS!B57&amp;" "&amp;MRS!D57</f>
        <v>Safety Googles Clear</v>
      </c>
      <c r="C57" s="171"/>
      <c r="D57" s="76" t="str">
        <f>MRS!G57</f>
        <v>EA</v>
      </c>
      <c r="E57" s="77">
        <f>MRS!H57</f>
        <v>800</v>
      </c>
      <c r="F57" s="78">
        <f>MRS!I57</f>
        <v>3</v>
      </c>
      <c r="G57" s="79">
        <f t="shared" si="1"/>
        <v>2400</v>
      </c>
      <c r="H57" s="84"/>
    </row>
    <row r="58" spans="1:8" s="47" customFormat="1" ht="18.75" customHeight="1">
      <c r="A58" s="83">
        <f t="shared" si="0"/>
        <v>53</v>
      </c>
      <c r="B58" s="170" t="str">
        <f>MRS!B58&amp;" "&amp;MRS!D58</f>
        <v>Xerox Drum Unit B7100</v>
      </c>
      <c r="C58" s="171"/>
      <c r="D58" s="76" t="str">
        <f>MRS!G58</f>
        <v>EA</v>
      </c>
      <c r="E58" s="77">
        <f>MRS!H58</f>
        <v>1</v>
      </c>
      <c r="F58" s="78">
        <f>MRS!I58</f>
        <v>1080</v>
      </c>
      <c r="G58" s="79">
        <f t="shared" si="1"/>
        <v>1080</v>
      </c>
      <c r="H58" s="84"/>
    </row>
    <row r="59" spans="1:8" s="47" customFormat="1" ht="18.75" customHeight="1">
      <c r="A59" s="83">
        <f t="shared" si="0"/>
        <v>54</v>
      </c>
      <c r="B59" s="170" t="str">
        <f>MRS!B59&amp;" "&amp;MRS!D59</f>
        <v>Stapler Pin 26/6 5M</v>
      </c>
      <c r="C59" s="171"/>
      <c r="D59" s="76" t="str">
        <f>MRS!G59</f>
        <v>BOX</v>
      </c>
      <c r="E59" s="77">
        <f>MRS!H59</f>
        <v>2</v>
      </c>
      <c r="F59" s="78">
        <f>MRS!I59</f>
        <v>30</v>
      </c>
      <c r="G59" s="79">
        <f t="shared" si="1"/>
        <v>60</v>
      </c>
      <c r="H59" s="84"/>
    </row>
    <row r="60" spans="1:8" s="47" customFormat="1" ht="18.75" customHeight="1">
      <c r="A60" s="83">
        <f t="shared" si="0"/>
        <v>55</v>
      </c>
      <c r="B60" s="170" t="str">
        <f>MRS!B60&amp;" "&amp;MRS!D60</f>
        <v>Celing Led Light 60*60,60W</v>
      </c>
      <c r="C60" s="171"/>
      <c r="D60" s="76" t="str">
        <f>MRS!G60</f>
        <v>EA</v>
      </c>
      <c r="E60" s="77">
        <f>MRS!H60</f>
        <v>5</v>
      </c>
      <c r="F60" s="78">
        <f>MRS!I60</f>
        <v>62</v>
      </c>
      <c r="G60" s="79">
        <f t="shared" si="1"/>
        <v>310</v>
      </c>
      <c r="H60" s="84"/>
    </row>
    <row r="61" spans="1:8" s="47" customFormat="1" ht="18.75" customHeight="1">
      <c r="A61" s="83">
        <f t="shared" si="0"/>
        <v>56</v>
      </c>
      <c r="B61" s="170" t="str">
        <f>MRS!B61&amp;" "&amp;MRS!D61</f>
        <v>Scotch Tape 3M,19Mm,Small</v>
      </c>
      <c r="C61" s="171"/>
      <c r="D61" s="76" t="str">
        <f>MRS!G61</f>
        <v>EA</v>
      </c>
      <c r="E61" s="77">
        <f>MRS!H61</f>
        <v>5</v>
      </c>
      <c r="F61" s="78">
        <f>MRS!I61</f>
        <v>10</v>
      </c>
      <c r="G61" s="79">
        <f t="shared" si="1"/>
        <v>50</v>
      </c>
      <c r="H61" s="84"/>
    </row>
    <row r="62" spans="1:8" s="47" customFormat="1" ht="18.75" customHeight="1">
      <c r="A62" s="83">
        <f t="shared" si="0"/>
        <v>57</v>
      </c>
      <c r="B62" s="170" t="str">
        <f>MRS!B62&amp;" "&amp;MRS!D62</f>
        <v>Sticky Note Fantastic,Size
38.1*50.8Mm</v>
      </c>
      <c r="C62" s="171"/>
      <c r="D62" s="76" t="str">
        <f>MRS!G62</f>
        <v>PKT</v>
      </c>
      <c r="E62" s="77">
        <f>MRS!H62</f>
        <v>5</v>
      </c>
      <c r="F62" s="78">
        <f>MRS!I62</f>
        <v>7.5</v>
      </c>
      <c r="G62" s="79">
        <f t="shared" si="1"/>
        <v>37.5</v>
      </c>
      <c r="H62" s="84"/>
    </row>
    <row r="63" spans="1:8" s="47" customFormat="1" ht="18.75" customHeight="1">
      <c r="A63" s="83">
        <f t="shared" si="0"/>
        <v>58</v>
      </c>
      <c r="B63" s="170" t="str">
        <f>MRS!B63&amp;" "&amp;MRS!D63</f>
        <v>Sticky Note Fantastic,Size 76.2Mm</v>
      </c>
      <c r="C63" s="171"/>
      <c r="D63" s="76" t="str">
        <f>MRS!G63</f>
        <v>PKT</v>
      </c>
      <c r="E63" s="77">
        <f>MRS!H63</f>
        <v>5</v>
      </c>
      <c r="F63" s="78">
        <f>MRS!I63</f>
        <v>12</v>
      </c>
      <c r="G63" s="79">
        <f t="shared" si="1"/>
        <v>60</v>
      </c>
      <c r="H63" s="84"/>
    </row>
    <row r="64" spans="1:8" s="47" customFormat="1" ht="18.75" customHeight="1">
      <c r="A64" s="83">
        <f t="shared" si="0"/>
        <v>59</v>
      </c>
      <c r="B64" s="170" t="str">
        <f>MRS!B64&amp;" "&amp;MRS!D64</f>
        <v xml:space="preserve">A5 Record Book </v>
      </c>
      <c r="C64" s="171"/>
      <c r="D64" s="76" t="str">
        <f>MRS!G64</f>
        <v>EA</v>
      </c>
      <c r="E64" s="77">
        <f>MRS!H64</f>
        <v>10</v>
      </c>
      <c r="F64" s="78">
        <f>MRS!I64</f>
        <v>5</v>
      </c>
      <c r="G64" s="79">
        <f t="shared" si="1"/>
        <v>50</v>
      </c>
      <c r="H64" s="84"/>
    </row>
    <row r="65" spans="1:8" s="47" customFormat="1" ht="18.75" customHeight="1">
      <c r="A65" s="83">
        <f t="shared" si="0"/>
        <v>60</v>
      </c>
      <c r="B65" s="170" t="str">
        <f>MRS!B65&amp;" "&amp;MRS!D65</f>
        <v xml:space="preserve">A7 Record Book </v>
      </c>
      <c r="C65" s="171"/>
      <c r="D65" s="76" t="str">
        <f>MRS!G65</f>
        <v>EA</v>
      </c>
      <c r="E65" s="77">
        <f>MRS!H65</f>
        <v>20</v>
      </c>
      <c r="F65" s="78">
        <f>MRS!I65</f>
        <v>3.25</v>
      </c>
      <c r="G65" s="79">
        <f t="shared" si="1"/>
        <v>65</v>
      </c>
      <c r="H65" s="84"/>
    </row>
    <row r="66" spans="1:8" s="47" customFormat="1" ht="18.75" customHeight="1">
      <c r="A66" s="83">
        <f t="shared" si="0"/>
        <v>61</v>
      </c>
      <c r="B66" s="170" t="str">
        <f>MRS!B66&amp;" "&amp;MRS!D66</f>
        <v>Clip Board A4</v>
      </c>
      <c r="C66" s="171"/>
      <c r="D66" s="76" t="str">
        <f>MRS!G66</f>
        <v>EA</v>
      </c>
      <c r="E66" s="77">
        <f>MRS!H66</f>
        <v>30</v>
      </c>
      <c r="F66" s="78">
        <f>MRS!I66</f>
        <v>4</v>
      </c>
      <c r="G66" s="79">
        <f t="shared" si="1"/>
        <v>120</v>
      </c>
      <c r="H66" s="84"/>
    </row>
    <row r="67" spans="1:8" s="47" customFormat="1" ht="18.75" customHeight="1">
      <c r="A67" s="83">
        <f t="shared" si="0"/>
        <v>62</v>
      </c>
      <c r="B67" s="170" t="str">
        <f>MRS!B67&amp;" "&amp;MRS!D67</f>
        <v>Scotch Tape Big</v>
      </c>
      <c r="C67" s="171"/>
      <c r="D67" s="76" t="str">
        <f>MRS!G67</f>
        <v>EA</v>
      </c>
      <c r="E67" s="77">
        <f>MRS!H67</f>
        <v>5</v>
      </c>
      <c r="F67" s="78">
        <f>MRS!I67</f>
        <v>6</v>
      </c>
      <c r="G67" s="79">
        <f t="shared" si="1"/>
        <v>30</v>
      </c>
      <c r="H67" s="84"/>
    </row>
    <row r="68" spans="1:8" s="47" customFormat="1" ht="18.75" customHeight="1">
      <c r="A68" s="83">
        <f t="shared" si="0"/>
        <v>63</v>
      </c>
      <c r="B68" s="170" t="str">
        <f>MRS!B68&amp;" "&amp;MRS!D68</f>
        <v>A3 Lamination Pouch Super Deal</v>
      </c>
      <c r="C68" s="171"/>
      <c r="D68" s="76" t="str">
        <f>MRS!G68</f>
        <v>PKTS</v>
      </c>
      <c r="E68" s="77">
        <f>MRS!H68</f>
        <v>15</v>
      </c>
      <c r="F68" s="78">
        <f>MRS!I68</f>
        <v>55</v>
      </c>
      <c r="G68" s="79">
        <f t="shared" si="1"/>
        <v>825</v>
      </c>
      <c r="H68" s="84"/>
    </row>
    <row r="69" spans="1:8" s="47" customFormat="1" ht="18.75" customHeight="1">
      <c r="A69" s="83">
        <f t="shared" si="0"/>
        <v>64</v>
      </c>
      <c r="B69" s="170" t="str">
        <f>MRS!B69&amp;" "&amp;MRS!D69</f>
        <v>Electric Kettle 1.8L</v>
      </c>
      <c r="C69" s="171"/>
      <c r="D69" s="76" t="str">
        <f>MRS!G69</f>
        <v>EA</v>
      </c>
      <c r="E69" s="77">
        <f>MRS!H69</f>
        <v>1</v>
      </c>
      <c r="F69" s="78">
        <f>MRS!I69</f>
        <v>58</v>
      </c>
      <c r="G69" s="79">
        <f t="shared" si="1"/>
        <v>58</v>
      </c>
      <c r="H69" s="84"/>
    </row>
    <row r="70" spans="1:8" s="47" customFormat="1" ht="18.75" customHeight="1">
      <c r="A70" s="83">
        <f t="shared" ref="A70:A88" si="2">ROW(A65)</f>
        <v>65</v>
      </c>
      <c r="B70" s="170" t="str">
        <f>MRS!B70&amp;" "&amp;MRS!D70</f>
        <v>Round Mop Set Vileda</v>
      </c>
      <c r="C70" s="171"/>
      <c r="D70" s="76" t="str">
        <f>MRS!G70</f>
        <v>EA</v>
      </c>
      <c r="E70" s="77">
        <f>MRS!H70</f>
        <v>1</v>
      </c>
      <c r="F70" s="78">
        <f>MRS!I70</f>
        <v>126</v>
      </c>
      <c r="G70" s="79">
        <f t="shared" si="1"/>
        <v>126</v>
      </c>
      <c r="H70" s="84"/>
    </row>
    <row r="71" spans="1:8" s="47" customFormat="1" ht="18.75" customHeight="1">
      <c r="A71" s="83">
        <f t="shared" si="2"/>
        <v>66</v>
      </c>
      <c r="B71" s="170" t="str">
        <f>MRS!B71&amp;" "&amp;MRS!D71</f>
        <v>Mop Big</v>
      </c>
      <c r="C71" s="171"/>
      <c r="D71" s="76" t="str">
        <f>MRS!G71</f>
        <v>EA</v>
      </c>
      <c r="E71" s="77">
        <f>MRS!H71</f>
        <v>1</v>
      </c>
      <c r="F71" s="78">
        <f>MRS!I71</f>
        <v>43</v>
      </c>
      <c r="G71" s="79">
        <f t="shared" ref="G71:G88" si="3">F71*E71</f>
        <v>43</v>
      </c>
      <c r="H71" s="84"/>
    </row>
    <row r="72" spans="1:8" s="47" customFormat="1" ht="18.75" customHeight="1">
      <c r="A72" s="83">
        <f t="shared" si="2"/>
        <v>67</v>
      </c>
      <c r="B72" s="170" t="str">
        <f>MRS!B72&amp;" "&amp;MRS!D72</f>
        <v xml:space="preserve">Sticky Note </v>
      </c>
      <c r="C72" s="171"/>
      <c r="D72" s="76" t="str">
        <f>MRS!G72</f>
        <v>PKT</v>
      </c>
      <c r="E72" s="77">
        <f>MRS!H72</f>
        <v>20</v>
      </c>
      <c r="F72" s="78">
        <f>MRS!I72</f>
        <v>4.4000000000000004</v>
      </c>
      <c r="G72" s="79">
        <f t="shared" si="3"/>
        <v>88</v>
      </c>
      <c r="H72" s="84"/>
    </row>
    <row r="73" spans="1:8" s="47" customFormat="1" ht="18.75" customHeight="1">
      <c r="A73" s="83">
        <f t="shared" si="2"/>
        <v>68</v>
      </c>
      <c r="B73" s="170" t="str">
        <f>MRS!B73&amp;" "&amp;MRS!D73</f>
        <v>Water - 1.5 Ltrs 1 X 6 / Pkt</v>
      </c>
      <c r="C73" s="171"/>
      <c r="D73" s="76" t="str">
        <f>MRS!G73</f>
        <v>PKT</v>
      </c>
      <c r="E73" s="77">
        <f>MRS!H73</f>
        <v>300</v>
      </c>
      <c r="F73" s="78">
        <f>MRS!I73</f>
        <v>6.5</v>
      </c>
      <c r="G73" s="79">
        <f t="shared" si="3"/>
        <v>1950</v>
      </c>
      <c r="H73" s="84"/>
    </row>
    <row r="74" spans="1:8" s="47" customFormat="1" ht="18.75" customHeight="1">
      <c r="A74" s="83">
        <f t="shared" si="2"/>
        <v>69</v>
      </c>
      <c r="B74" s="170" t="str">
        <f>MRS!B74&amp;" "&amp;MRS!D74</f>
        <v>Tooth Brush Sensodye</v>
      </c>
      <c r="C74" s="171"/>
      <c r="D74" s="76" t="str">
        <f>MRS!G74</f>
        <v>EA</v>
      </c>
      <c r="E74" s="77">
        <f>MRS!H74</f>
        <v>6</v>
      </c>
      <c r="F74" s="78">
        <f>MRS!I74</f>
        <v>7</v>
      </c>
      <c r="G74" s="79">
        <f t="shared" si="3"/>
        <v>42</v>
      </c>
      <c r="H74" s="84"/>
    </row>
    <row r="75" spans="1:8" s="47" customFormat="1" ht="18.75" customHeight="1">
      <c r="A75" s="83">
        <f t="shared" si="2"/>
        <v>70</v>
      </c>
      <c r="B75" s="170" t="str">
        <f>MRS!B75&amp;" "&amp;MRS!D75</f>
        <v>Tooth Paste Sensodye</v>
      </c>
      <c r="C75" s="171"/>
      <c r="D75" s="76" t="str">
        <f>MRS!G75</f>
        <v>EA</v>
      </c>
      <c r="E75" s="77">
        <f>MRS!H75</f>
        <v>6</v>
      </c>
      <c r="F75" s="78">
        <f>MRS!I75</f>
        <v>30</v>
      </c>
      <c r="G75" s="79">
        <f t="shared" si="3"/>
        <v>180</v>
      </c>
      <c r="H75" s="84"/>
    </row>
    <row r="76" spans="1:8" s="47" customFormat="1" ht="18.75" customHeight="1">
      <c r="A76" s="83">
        <f t="shared" si="2"/>
        <v>71</v>
      </c>
      <c r="B76" s="170" t="str">
        <f>MRS!B76&amp;" "&amp;MRS!D76</f>
        <v>Shampoo Head &amp; Sholders</v>
      </c>
      <c r="C76" s="171"/>
      <c r="D76" s="76" t="str">
        <f>MRS!G76</f>
        <v>EA</v>
      </c>
      <c r="E76" s="77">
        <f>MRS!H76</f>
        <v>5</v>
      </c>
      <c r="F76" s="78">
        <f>MRS!I76</f>
        <v>13</v>
      </c>
      <c r="G76" s="79">
        <f t="shared" si="3"/>
        <v>65</v>
      </c>
      <c r="H76" s="84"/>
    </row>
    <row r="77" spans="1:8" s="47" customFormat="1" ht="18.75" customHeight="1">
      <c r="A77" s="83">
        <f t="shared" si="2"/>
        <v>72</v>
      </c>
      <c r="B77" s="170" t="str">
        <f>MRS!B77&amp;" "&amp;MRS!D77</f>
        <v>Soap Dove</v>
      </c>
      <c r="C77" s="171"/>
      <c r="D77" s="76" t="str">
        <f>MRS!G77</f>
        <v>EA</v>
      </c>
      <c r="E77" s="77">
        <f>MRS!H77</f>
        <v>5</v>
      </c>
      <c r="F77" s="78">
        <f>MRS!I77</f>
        <v>6</v>
      </c>
      <c r="G77" s="79">
        <f t="shared" si="3"/>
        <v>30</v>
      </c>
      <c r="H77" s="84"/>
    </row>
    <row r="78" spans="1:8" s="47" customFormat="1" ht="18.75" customHeight="1">
      <c r="A78" s="83">
        <f t="shared" si="2"/>
        <v>73</v>
      </c>
      <c r="B78" s="170" t="str">
        <f>MRS!B78&amp;" "&amp;MRS!D78</f>
        <v>Facial Tissue 3 Layer - 1*10/ Pkt</v>
      </c>
      <c r="C78" s="171"/>
      <c r="D78" s="76" t="str">
        <f>MRS!G78</f>
        <v>EA</v>
      </c>
      <c r="E78" s="77">
        <f>MRS!H78</f>
        <v>5</v>
      </c>
      <c r="F78" s="78">
        <f>MRS!I78</f>
        <v>19.5</v>
      </c>
      <c r="G78" s="79">
        <f t="shared" si="3"/>
        <v>97.5</v>
      </c>
      <c r="H78" s="84"/>
    </row>
    <row r="79" spans="1:8" s="47" customFormat="1" ht="18.75" customHeight="1">
      <c r="A79" s="83">
        <f t="shared" si="2"/>
        <v>74</v>
      </c>
      <c r="B79" s="170" t="str">
        <f>MRS!B79&amp;" "&amp;MRS!D79</f>
        <v>Blue Pen 1*50/ Pkt</v>
      </c>
      <c r="C79" s="171"/>
      <c r="D79" s="76" t="str">
        <f>MRS!G79</f>
        <v>PKT</v>
      </c>
      <c r="E79" s="77">
        <f>MRS!H79</f>
        <v>10</v>
      </c>
      <c r="F79" s="78">
        <f>MRS!I79</f>
        <v>20</v>
      </c>
      <c r="G79" s="79">
        <f t="shared" si="3"/>
        <v>200</v>
      </c>
      <c r="H79" s="84"/>
    </row>
    <row r="80" spans="1:8" s="47" customFormat="1" ht="18.75" customHeight="1">
      <c r="A80" s="83">
        <f t="shared" si="2"/>
        <v>75</v>
      </c>
      <c r="B80" s="170" t="str">
        <f>MRS!B80&amp;" "&amp;MRS!D80</f>
        <v>Pencil 1*12/ Pkt</v>
      </c>
      <c r="C80" s="171"/>
      <c r="D80" s="76" t="str">
        <f>MRS!G80</f>
        <v>PKT</v>
      </c>
      <c r="E80" s="77">
        <f>MRS!H80</f>
        <v>15</v>
      </c>
      <c r="F80" s="78">
        <f>MRS!I80</f>
        <v>5</v>
      </c>
      <c r="G80" s="79">
        <f t="shared" si="3"/>
        <v>75</v>
      </c>
      <c r="H80" s="84"/>
    </row>
    <row r="81" spans="1:13" s="47" customFormat="1" ht="18.75" customHeight="1">
      <c r="A81" s="83">
        <f t="shared" si="2"/>
        <v>76</v>
      </c>
      <c r="B81" s="170" t="str">
        <f>MRS!B81&amp;" "&amp;MRS!D81</f>
        <v xml:space="preserve">Red Flags With Sticks </v>
      </c>
      <c r="C81" s="171"/>
      <c r="D81" s="76" t="str">
        <f>MRS!G81</f>
        <v>EA</v>
      </c>
      <c r="E81" s="77">
        <f>MRS!H81</f>
        <v>10</v>
      </c>
      <c r="F81" s="78">
        <f>MRS!I81</f>
        <v>18</v>
      </c>
      <c r="G81" s="79">
        <f t="shared" si="3"/>
        <v>180</v>
      </c>
      <c r="H81" s="84"/>
    </row>
    <row r="82" spans="1:13" s="47" customFormat="1" ht="18.75" customHeight="1">
      <c r="A82" s="83">
        <f t="shared" si="2"/>
        <v>77</v>
      </c>
      <c r="B82" s="170" t="str">
        <f>MRS!B82&amp;" "&amp;MRS!D82</f>
        <v xml:space="preserve">Green Flags With Sticks </v>
      </c>
      <c r="C82" s="171"/>
      <c r="D82" s="76" t="str">
        <f>MRS!G82</f>
        <v>EA</v>
      </c>
      <c r="E82" s="77">
        <f>MRS!H82</f>
        <v>10</v>
      </c>
      <c r="F82" s="78">
        <f>MRS!I82</f>
        <v>18</v>
      </c>
      <c r="G82" s="79">
        <f t="shared" si="3"/>
        <v>180</v>
      </c>
      <c r="H82" s="84"/>
    </row>
    <row r="83" spans="1:13" s="47" customFormat="1" ht="18.75" customHeight="1">
      <c r="A83" s="83">
        <f t="shared" si="2"/>
        <v>78</v>
      </c>
      <c r="B83" s="170" t="str">
        <f>MRS!B83&amp;" "&amp;MRS!D83</f>
        <v xml:space="preserve">A4 Lamination Pouch </v>
      </c>
      <c r="C83" s="171"/>
      <c r="D83" s="76" t="str">
        <f>MRS!G83</f>
        <v>PKT</v>
      </c>
      <c r="E83" s="77">
        <f>MRS!H83</f>
        <v>20</v>
      </c>
      <c r="F83" s="78">
        <f>MRS!I83</f>
        <v>28.8</v>
      </c>
      <c r="G83" s="79">
        <f t="shared" si="3"/>
        <v>576</v>
      </c>
      <c r="H83" s="84"/>
    </row>
    <row r="84" spans="1:13" s="47" customFormat="1" ht="18.75" customHeight="1">
      <c r="A84" s="83">
        <f t="shared" si="2"/>
        <v>79</v>
      </c>
      <c r="B84" s="170" t="str">
        <f>MRS!B84&amp;" "&amp;MRS!D84</f>
        <v xml:space="preserve">Dac - Cleaning Liquid </v>
      </c>
      <c r="C84" s="171"/>
      <c r="D84" s="76" t="str">
        <f>MRS!G84</f>
        <v>EA</v>
      </c>
      <c r="E84" s="77">
        <f>MRS!H84</f>
        <v>12</v>
      </c>
      <c r="F84" s="78">
        <f>MRS!I84</f>
        <v>26</v>
      </c>
      <c r="G84" s="79">
        <f t="shared" si="3"/>
        <v>312</v>
      </c>
      <c r="H84" s="84"/>
    </row>
    <row r="85" spans="1:13" s="47" customFormat="1" ht="18.75" customHeight="1">
      <c r="A85" s="83">
        <f t="shared" si="2"/>
        <v>80</v>
      </c>
      <c r="B85" s="170" t="str">
        <f>MRS!B85&amp;" "&amp;MRS!D85</f>
        <v xml:space="preserve">Hyundai Logo Sticker </v>
      </c>
      <c r="C85" s="171"/>
      <c r="D85" s="76" t="str">
        <f>MRS!G85</f>
        <v>EA</v>
      </c>
      <c r="E85" s="77">
        <f>MRS!H85</f>
        <v>1500</v>
      </c>
      <c r="F85" s="78">
        <f>MRS!I85</f>
        <v>1</v>
      </c>
      <c r="G85" s="79">
        <f t="shared" si="3"/>
        <v>1500</v>
      </c>
      <c r="H85" s="84"/>
    </row>
    <row r="86" spans="1:13" s="47" customFormat="1" ht="18.75" customHeight="1">
      <c r="A86" s="83">
        <f t="shared" si="2"/>
        <v>81</v>
      </c>
      <c r="B86" s="170" t="str">
        <f>MRS!B86&amp;" "&amp;MRS!D86</f>
        <v>Wash Basin Mixer Steel Tape</v>
      </c>
      <c r="C86" s="171"/>
      <c r="D86" s="76" t="str">
        <f>MRS!G86</f>
        <v>EA</v>
      </c>
      <c r="E86" s="77">
        <f>MRS!H86</f>
        <v>10</v>
      </c>
      <c r="F86" s="78">
        <f>MRS!I86</f>
        <v>87</v>
      </c>
      <c r="G86" s="79">
        <f t="shared" si="3"/>
        <v>870</v>
      </c>
      <c r="H86" s="84"/>
    </row>
    <row r="87" spans="1:13" s="47" customFormat="1" ht="18.75" customHeight="1">
      <c r="A87" s="83">
        <f t="shared" si="2"/>
        <v>82</v>
      </c>
      <c r="B87" s="170" t="str">
        <f>MRS!B87&amp;" "&amp;MRS!D87</f>
        <v>Hand Wash 4Ltr</v>
      </c>
      <c r="C87" s="171"/>
      <c r="D87" s="76" t="str">
        <f>MRS!G87</f>
        <v>EA</v>
      </c>
      <c r="E87" s="77">
        <f>MRS!H87</f>
        <v>12</v>
      </c>
      <c r="F87" s="78">
        <f>MRS!I87</f>
        <v>12.6</v>
      </c>
      <c r="G87" s="79">
        <f t="shared" si="3"/>
        <v>151.19999999999999</v>
      </c>
      <c r="H87" s="84"/>
    </row>
    <row r="88" spans="1:13" s="47" customFormat="1" ht="18.75" customHeight="1">
      <c r="A88" s="83">
        <f t="shared" si="2"/>
        <v>83</v>
      </c>
      <c r="B88" s="170" t="str">
        <f>MRS!B88&amp;" "&amp;MRS!D88</f>
        <v>Toilet Tissue Mouchoir</v>
      </c>
      <c r="C88" s="171"/>
      <c r="D88" s="76" t="str">
        <f>MRS!G88</f>
        <v>BDL</v>
      </c>
      <c r="E88" s="77">
        <f>MRS!H88</f>
        <v>25</v>
      </c>
      <c r="F88" s="78">
        <f>MRS!I88</f>
        <v>15.25</v>
      </c>
      <c r="G88" s="79">
        <f t="shared" si="3"/>
        <v>381.25</v>
      </c>
      <c r="H88" s="84"/>
    </row>
    <row r="89" spans="1:13" s="47" customFormat="1" ht="23.1" customHeight="1">
      <c r="A89" s="166" t="s">
        <v>77</v>
      </c>
      <c r="B89" s="167"/>
      <c r="C89" s="167"/>
      <c r="D89" s="167"/>
      <c r="E89" s="167"/>
      <c r="F89" s="167"/>
      <c r="G89" s="50">
        <f>SUM(G6:G88)</f>
        <v>106168.89</v>
      </c>
      <c r="H89" s="51"/>
    </row>
    <row r="90" spans="1:13" s="47" customFormat="1" ht="23.1" customHeight="1">
      <c r="A90" s="166" t="s">
        <v>41</v>
      </c>
      <c r="B90" s="167"/>
      <c r="C90" s="167"/>
      <c r="D90" s="167"/>
      <c r="E90" s="167"/>
      <c r="F90" s="167"/>
      <c r="G90" s="50">
        <f>+G89*0.15</f>
        <v>15925.333499999999</v>
      </c>
      <c r="H90" s="51"/>
    </row>
    <row r="91" spans="1:13" s="47" customFormat="1" ht="24.95" customHeight="1" thickBot="1">
      <c r="A91" s="168" t="s">
        <v>78</v>
      </c>
      <c r="B91" s="169"/>
      <c r="C91" s="169"/>
      <c r="D91" s="169"/>
      <c r="E91" s="169"/>
      <c r="F91" s="169"/>
      <c r="G91" s="52">
        <f>G90+G89</f>
        <v>122094.22349999999</v>
      </c>
      <c r="H91" s="53"/>
    </row>
    <row r="92" spans="1:13" ht="15.75" thickTop="1">
      <c r="A92" s="54" t="str">
        <f>" 1) Above Price are as per your quotation with ref "&amp;'PO 1st page'!K14</f>
        <v xml:space="preserve"> 1) Above Price are as per your quotation with ref QUO-MAT-26072505</v>
      </c>
      <c r="B92" s="55"/>
      <c r="C92" s="55"/>
      <c r="D92" s="56"/>
      <c r="E92" s="56"/>
      <c r="F92" s="56"/>
      <c r="G92" s="56"/>
      <c r="H92" s="56"/>
    </row>
    <row r="93" spans="1:13" ht="15">
      <c r="A93" s="57" t="s">
        <v>79</v>
      </c>
      <c r="B93" s="58"/>
      <c r="C93" s="58"/>
      <c r="D93" s="59"/>
      <c r="E93" s="59"/>
      <c r="F93" s="59"/>
      <c r="G93" s="59"/>
      <c r="H93" s="59"/>
      <c r="I93" s="60"/>
    </row>
    <row r="94" spans="1:13" ht="15.75">
      <c r="A94" s="61"/>
    </row>
    <row r="95" spans="1:13">
      <c r="A95" s="159" t="s">
        <v>80</v>
      </c>
      <c r="B95" s="159"/>
      <c r="C95" s="159"/>
      <c r="D95" s="159"/>
      <c r="E95" s="159"/>
      <c r="F95" s="159"/>
      <c r="G95" s="159"/>
      <c r="H95" s="159"/>
      <c r="I95" s="62"/>
      <c r="J95" s="62"/>
      <c r="K95" s="62"/>
      <c r="L95" s="62"/>
      <c r="M95" s="62"/>
    </row>
    <row r="96" spans="1:13" ht="15.75">
      <c r="A96" s="61"/>
      <c r="C96" s="63"/>
    </row>
    <row r="97" spans="1:3" ht="15.75">
      <c r="A97" s="61"/>
      <c r="C97" s="63"/>
    </row>
    <row r="99" spans="1:3" ht="12" customHeight="1"/>
  </sheetData>
  <mergeCells count="95">
    <mergeCell ref="B88:C88"/>
    <mergeCell ref="B82:C82"/>
    <mergeCell ref="B83:C83"/>
    <mergeCell ref="B84:C84"/>
    <mergeCell ref="B85:C85"/>
    <mergeCell ref="B86:C86"/>
    <mergeCell ref="B78:C78"/>
    <mergeCell ref="B79:C79"/>
    <mergeCell ref="B80:C80"/>
    <mergeCell ref="B81:C81"/>
    <mergeCell ref="B87:C87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11:C11"/>
    <mergeCell ref="B12:C12"/>
    <mergeCell ref="B15:C15"/>
    <mergeCell ref="B16:C16"/>
    <mergeCell ref="B17:C17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89:F89"/>
    <mergeCell ref="A90:F90"/>
    <mergeCell ref="A91:F91"/>
    <mergeCell ref="A95:H95"/>
    <mergeCell ref="B13:C13"/>
    <mergeCell ref="B14:C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6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2026-08-04T12:30:05Z</cp:lastPrinted>
  <dcterms:created xsi:type="dcterms:W3CDTF">2024-10-20T11:50:19Z</dcterms:created>
  <dcterms:modified xsi:type="dcterms:W3CDTF">2026-08-04T12:32:54Z</dcterms:modified>
</cp:coreProperties>
</file>