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BB4B82E9-E7F2-4DC7-87B5-3088177B9D8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D7" i="4"/>
  <c r="E7" i="4"/>
  <c r="F7" i="4"/>
  <c r="G7" i="4"/>
  <c r="B7" i="4"/>
  <c r="C26" i="3"/>
  <c r="J7" i="1"/>
  <c r="E3" i="1"/>
  <c r="P54" i="3" l="1"/>
  <c r="B6" i="4" l="1"/>
  <c r="H6" i="4"/>
  <c r="K67" i="3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<sst xmlns="http://schemas.openxmlformats.org/spreadsheetml/2006/main" count="167" uniqueCount="136">
  <si>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</si>
  <si>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</si>
  <si>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</si>
  <si>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</si>
  <si>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</si>
  <si>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</si>
  <si>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</si>
  <si>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</si>
  <si>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</si>
  <si>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</si>
  <si>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</si>
  <si>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</si>
  <si>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</si>
  <si>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</si>
  <si>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</si>
  <si>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</si>
  <si>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</si>
  <si>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</si>
  <si>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</si>
  <si>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</si>
  <si>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</si>
  <si>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</si>
  <si>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</si>
  <si>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</si>
  <si>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</si>
  <si>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</si>
  <si>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</si>
  <si>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</si>
  <si>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</si>
  <si>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</si>
  <si>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</si>
  <si>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</si>
  <si>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</si>
  <si>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</si>
  <si>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</si>
  <si>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</si>
  <si>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</si>
  <si>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</si>
  <si>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</si>
  <si>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</si>
  <si>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</si>
  <si>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</si>
  <si>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</si>
  <si>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</si>
  <si>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</si>
  <si>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</si>
  <si>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</si>
  <si>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</si>
  <si>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</si>
  <si>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</si>
  <si>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</si>
  <si>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</si>
  <si>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</si>
  <si>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</si>
  <si>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</si>
  <si>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</si>
  <si>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</si>
  <si>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</si>
  <si>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</si>
  <si>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</si>
  <si>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</si>
  <si>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</si>
  <si>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</si>
  <si>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</si>
  <si>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</si>
  <si>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</si>
  <si>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</si>
  <si>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</si>
  <si>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</si>
  <si>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</si>
  <si>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</si>
  <si>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</si>
  <si>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</si>
  <si>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</si>
  <si>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</si>
  <si>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</si>
  <si>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</si>
  <si>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</si>
  <si>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</si>
  <si>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</si>
  <si>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</si>
  <si>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</si>
  <si>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</si>
  <si>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</si>
  <si>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</si>
  <si>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</si>
  <si>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</si>
  <si>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</si>
  <si>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</si>
  <si>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</si>
  <si>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</si>
  <si>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311318994400003</t>
  </si>
  <si>
    <t>Landline: +966 13 362 3735 / Mobile : +966 533121661</t>
  </si>
  <si>
    <t>Subcontract name (SAC2-SC-IK-SMP-01)</t>
  </si>
  <si>
    <t>Mohammed Irshad</t>
  </si>
  <si>
    <t>+966 53 3121661 / Email:admin@desertsolutionindus.com</t>
  </si>
  <si>
    <t>P.O. Box No. 1015, Jubail-31951, KSA</t>
  </si>
  <si>
    <t>Administration</t>
  </si>
  <si>
    <t>Monthly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</si>
  <si>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</si>
  <si>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</si>
  <si>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</si>
  <si>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</si>
  <si>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</si>
  <si>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</si>
  <si>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</si>
  <si>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</si>
  <si>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</si>
  <si>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</si>
  <si>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</si>
  <si>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</si>
  <si>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</si>
  <si>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40947982000108</t>
  </si>
  <si>
    <t>SA09 1000 0040 9479 8200 0108</t>
  </si>
  <si>
    <t>DESERT SOLUTION GENERAL CONTRACTING EST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</si>
  <si>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</si>
  <si>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</si>
  <si>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</si>
  <si>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</si>
  <si>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</si>
  <si>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</si>
  <si>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</si>
  <si>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</si>
  <si>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</si>
  <si>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</si>
  <si>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</si>
  <si>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</si>
  <si>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</si>
  <si>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</si>
  <si>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Hour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</si>
  <si>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-MRS-0488</t>
    </r>
  </si>
  <si>
    <t>Pipe Fabricator</t>
  </si>
  <si>
    <t>Iron Worker</t>
  </si>
  <si>
    <t>"</t>
  </si>
  <si>
    <t>DSGC (Desert Solution General Contracting Company LLC)</t>
  </si>
  <si>
    <t>DSCE/HYU/Q-11197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</si>
</sst>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50" fillId="3" borderId="0" xfId="5" applyFont="1" applyFill="1"/>
    <xf numFmtId="0" fontId="16" fillId="3" borderId="0" xfId="5" quotePrefix="1" applyFont="1" applyFill="1"/>
    <xf numFmtId="0" fontId="51" fillId="3" borderId="0" xfId="5" applyFont="1" applyFill="1"/>
    <xf numFmtId="0" fontId="25" fillId="3" borderId="0" xfId="5" quotePrefix="1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800099</xdr:colOff>
          <xdr:row>17</xdr:row>
          <xdr:rowOff>120316</xdr:rowOff>
        </xdr:from>
        <xdr:to>
          <xdr:col>11</xdr:col>
          <xdr:colOff>1628774</xdr:colOff>
          <xdr:row>23</xdr:row>
          <xdr:rowOff>360445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5F0D786C-9841-F230-C3C0-9E1D73580D6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92178" y="5213684"/>
              <a:ext cx="8438649" cy="234565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115</v>
      </c>
      <c r="B1" s="125"/>
      <c r="C1" s="106"/>
      <c r="D1" s="106"/>
      <c r="E1" s="106"/>
      <c r="F1" s="106"/>
      <c r="G1" s="1"/>
      <c r="J1" s="157" t="s">
        <v>82</v>
      </c>
      <c r="K1" s="158"/>
      <c r="L1" s="159"/>
    </row>
    <row r="2" spans="1:19" ht="20.100000000000001" customHeight="1">
      <c r="A2" s="3" t="s">
        <v>1</v>
      </c>
      <c r="B2" s="97"/>
      <c r="C2" s="97"/>
      <c r="D2" s="3" t="s">
        <v>116</v>
      </c>
      <c r="E2" s="97"/>
      <c r="F2" s="97"/>
      <c r="G2" s="97"/>
      <c r="H2" s="97"/>
      <c r="I2" s="4"/>
      <c r="J2" s="160" t="s">
        <v>93</v>
      </c>
      <c r="K2" s="161"/>
      <c r="L2" s="162"/>
    </row>
    <row r="3" spans="1:19" ht="20.100000000000001" customHeight="1">
      <c r="A3" s="3" t="s">
        <v>130</v>
      </c>
      <c r="B3" s="97"/>
      <c r="C3" s="97"/>
      <c r="D3" s="97"/>
      <c r="E3" s="163">
        <f>+L3+3</f>
        <v>46305</v>
      </c>
      <c r="F3" s="163"/>
      <c r="G3" s="163"/>
      <c r="H3" s="163"/>
      <c r="I3" s="163"/>
      <c r="J3" s="97"/>
      <c r="K3" s="97"/>
      <c r="L3" s="126">
        <v>46302</v>
      </c>
      <c r="M3" s="4"/>
    </row>
    <row r="4" spans="1:19" ht="15.95" customHeight="1">
      <c r="A4" s="164" t="s">
        <v>2</v>
      </c>
      <c r="B4" s="165" t="s">
        <v>3</v>
      </c>
      <c r="C4" s="165"/>
      <c r="D4" s="166" t="s">
        <v>4</v>
      </c>
      <c r="E4" s="167"/>
      <c r="F4" s="168"/>
      <c r="G4" s="172" t="s">
        <v>5</v>
      </c>
      <c r="H4" s="174" t="s">
        <v>6</v>
      </c>
      <c r="I4" s="174" t="s">
        <v>87</v>
      </c>
      <c r="J4" s="164" t="s">
        <v>88</v>
      </c>
      <c r="K4" s="174" t="s">
        <v>0</v>
      </c>
      <c r="L4" s="165" t="s">
        <v>7</v>
      </c>
    </row>
    <row r="5" spans="1:19" ht="15.95" customHeight="1">
      <c r="A5" s="164"/>
      <c r="B5" s="165"/>
      <c r="C5" s="165"/>
      <c r="D5" s="169"/>
      <c r="E5" s="170"/>
      <c r="F5" s="171"/>
      <c r="G5" s="173"/>
      <c r="H5" s="175"/>
      <c r="I5" s="175"/>
      <c r="J5" s="164"/>
      <c r="K5" s="175"/>
      <c r="L5" s="165"/>
    </row>
    <row r="6" spans="1:19" ht="31.5" customHeight="1">
      <c r="A6" s="5">
        <f t="shared" ref="A6:A15" si="0">ROW(A1)</f>
        <v>1</v>
      </c>
      <c r="B6" s="147" t="s">
        <v>131</v>
      </c>
      <c r="C6" s="148"/>
      <c r="D6" s="149"/>
      <c r="E6" s="150"/>
      <c r="F6" s="151"/>
      <c r="G6" s="107" t="s">
        <v>129</v>
      </c>
      <c r="H6" s="108">
        <v>1</v>
      </c>
      <c r="I6" s="109">
        <v>24</v>
      </c>
      <c r="J6" s="109">
        <f>H6*I6</f>
        <v>24</v>
      </c>
      <c r="K6" s="110" t="s">
        <v>90</v>
      </c>
      <c r="L6" s="111" t="s">
        <v>98</v>
      </c>
      <c r="S6" s="102"/>
    </row>
    <row r="7" spans="1:19" ht="22.5" customHeight="1">
      <c r="A7" s="5">
        <f t="shared" si="0"/>
        <v>2</v>
      </c>
      <c r="B7" s="147" t="s">
        <v>132</v>
      </c>
      <c r="C7" s="148"/>
      <c r="D7" s="156"/>
      <c r="E7" s="150"/>
      <c r="F7" s="151"/>
      <c r="G7" s="107" t="s">
        <v>129</v>
      </c>
      <c r="H7" s="108">
        <v>1</v>
      </c>
      <c r="I7" s="109">
        <v>18</v>
      </c>
      <c r="J7" s="109">
        <f>H7*I7</f>
        <v>18</v>
      </c>
      <c r="K7" s="110" t="s">
        <v>133</v>
      </c>
      <c r="L7" s="111" t="s">
        <v>133</v>
      </c>
      <c r="S7" s="102"/>
    </row>
    <row r="8" spans="1:19" ht="22.5" customHeight="1">
      <c r="A8" s="5">
        <f t="shared" si="0"/>
        <v>3</v>
      </c>
      <c r="B8" s="147"/>
      <c r="C8" s="148"/>
      <c r="D8" s="149"/>
      <c r="E8" s="150"/>
      <c r="F8" s="151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47"/>
      <c r="C9" s="148"/>
      <c r="D9" s="149"/>
      <c r="E9" s="150"/>
      <c r="F9" s="151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47"/>
      <c r="C11" s="148"/>
      <c r="D11" s="149"/>
      <c r="E11" s="150"/>
      <c r="F11" s="151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47"/>
      <c r="C13" s="148"/>
      <c r="D13" s="149"/>
      <c r="E13" s="150"/>
      <c r="F13" s="151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47"/>
      <c r="C14" s="148"/>
      <c r="D14" s="149"/>
      <c r="E14" s="150"/>
      <c r="F14" s="151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47"/>
      <c r="C15" s="148"/>
      <c r="D15" s="149"/>
      <c r="E15" s="150"/>
      <c r="F15" s="151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52" t="s">
        <v>8</v>
      </c>
      <c r="B16" s="153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42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117</v>
      </c>
      <c r="P20" s="139"/>
      <c r="Q20" s="139"/>
      <c r="R20" s="134"/>
      <c r="S20" s="123"/>
      <c r="T20" s="133" t="s">
        <v>118</v>
      </c>
      <c r="U20" s="139"/>
      <c r="V20" s="139"/>
      <c r="W20" s="139"/>
      <c r="X20" s="139"/>
      <c r="Y20" s="134"/>
    </row>
    <row r="21" spans="1:26" ht="15" customHeight="1">
      <c r="O21" s="140" t="s">
        <v>119</v>
      </c>
      <c r="P21" s="142" t="s">
        <v>120</v>
      </c>
      <c r="Q21" s="140" t="s">
        <v>121</v>
      </c>
      <c r="R21" s="142" t="s">
        <v>122</v>
      </c>
      <c r="S21" s="123"/>
      <c r="T21" s="140" t="s">
        <v>123</v>
      </c>
      <c r="U21" s="142" t="s">
        <v>124</v>
      </c>
      <c r="V21" s="133" t="s">
        <v>125</v>
      </c>
      <c r="W21" s="139"/>
      <c r="X21" s="134"/>
      <c r="Y21" s="142" t="s">
        <v>126</v>
      </c>
    </row>
    <row r="22" spans="1:26" ht="18" customHeight="1">
      <c r="O22" s="141"/>
      <c r="P22" s="143"/>
      <c r="Q22" s="141"/>
      <c r="R22" s="143"/>
      <c r="S22" s="127"/>
      <c r="T22" s="141"/>
      <c r="U22" s="143"/>
      <c r="V22" s="13" t="s">
        <v>119</v>
      </c>
      <c r="W22" s="144" t="s">
        <v>127</v>
      </c>
      <c r="X22" s="145"/>
      <c r="Y22" s="143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33"/>
      <c r="X23" s="134"/>
      <c r="Y23" s="128"/>
    </row>
    <row r="24" spans="1:26" ht="36" customHeight="1">
      <c r="W24" s="129"/>
      <c r="X24" s="135" t="s">
        <v>128</v>
      </c>
      <c r="Y24" s="12" t="s">
        <v>126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36"/>
      <c r="Y25" s="132"/>
    </row>
    <row r="26" spans="1:26" ht="19.899999999999999" customHeight="1"/>
    <row r="27" spans="1:26" ht="17.45" customHeight="1">
      <c r="O27" s="146"/>
      <c r="P27" s="146"/>
      <c r="Q27" s="146"/>
    </row>
    <row r="28" spans="1:26" ht="19.899999999999999" customHeight="1">
      <c r="O28" s="146"/>
      <c r="P28" s="146"/>
      <c r="Q28" s="14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2" t="s">
        <v>12</v>
      </c>
    </row>
    <row r="41" spans="15:22" ht="19.899999999999999" customHeight="1">
      <c r="T41" s="143"/>
    </row>
    <row r="42" spans="15:22" ht="64.900000000000006" customHeight="1">
      <c r="T42" s="14"/>
    </row>
    <row r="46" spans="15:22" ht="21" customHeight="1">
      <c r="O46" s="142" t="s">
        <v>12</v>
      </c>
      <c r="P46" s="142" t="s">
        <v>12</v>
      </c>
      <c r="Q46" s="142" t="s">
        <v>12</v>
      </c>
      <c r="T46" s="142" t="s">
        <v>13</v>
      </c>
      <c r="U46" s="142" t="s">
        <v>11</v>
      </c>
      <c r="V46" s="142" t="s">
        <v>12</v>
      </c>
    </row>
    <row r="47" spans="15:22" ht="21" customHeight="1">
      <c r="O47" s="143"/>
      <c r="P47" s="143"/>
      <c r="Q47" s="143"/>
      <c r="T47" s="141"/>
      <c r="U47" s="141"/>
      <c r="V47" s="14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2" t="s">
        <v>12</v>
      </c>
      <c r="P50" s="142" t="s">
        <v>12</v>
      </c>
      <c r="Q50" s="142" t="s">
        <v>12</v>
      </c>
      <c r="T50" s="142" t="s">
        <v>11</v>
      </c>
      <c r="U50" s="142" t="s">
        <v>13</v>
      </c>
      <c r="V50" s="142" t="s">
        <v>12</v>
      </c>
    </row>
    <row r="51" spans="15:22" ht="21" customHeight="1">
      <c r="O51" s="143"/>
      <c r="P51" s="143"/>
      <c r="Q51" s="143"/>
      <c r="T51" s="141"/>
      <c r="U51" s="141"/>
      <c r="V51" s="14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89</v>
      </c>
      <c r="B1" s="96"/>
      <c r="C1" s="96"/>
      <c r="D1" s="96"/>
      <c r="E1" s="96"/>
      <c r="F1" s="96"/>
      <c r="G1" s="1"/>
      <c r="J1" s="157" t="str">
        <f>+MRS!J1</f>
        <v>DAESHIN PLANT</v>
      </c>
      <c r="K1" s="159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60" t="str">
        <f>+MRS!J2</f>
        <v>Subcontract name (SAC2-SC-IK-SMP-01)</v>
      </c>
      <c r="K2" s="162"/>
    </row>
    <row r="3" spans="1:18" ht="24.95" customHeight="1">
      <c r="A3" s="3" t="str">
        <f>+MRS!A3</f>
        <v xml:space="preserve">  MRS No : SAC2-DS-MRS-0488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46302</v>
      </c>
    </row>
    <row r="4" spans="1:18" ht="15.95" customHeight="1">
      <c r="A4" s="186" t="s">
        <v>2</v>
      </c>
      <c r="B4" s="187" t="s">
        <v>14</v>
      </c>
      <c r="C4" s="187"/>
      <c r="D4" s="186" t="s">
        <v>4</v>
      </c>
      <c r="E4" s="186"/>
      <c r="F4" s="186"/>
      <c r="G4" s="187" t="s">
        <v>5</v>
      </c>
      <c r="H4" s="186" t="s">
        <v>83</v>
      </c>
      <c r="I4" s="186" t="s">
        <v>15</v>
      </c>
      <c r="J4" s="186" t="s">
        <v>16</v>
      </c>
      <c r="K4" s="187" t="s">
        <v>7</v>
      </c>
    </row>
    <row r="5" spans="1:18" ht="15.95" customHeight="1">
      <c r="A5" s="186"/>
      <c r="B5" s="187"/>
      <c r="C5" s="187"/>
      <c r="D5" s="186"/>
      <c r="E5" s="186"/>
      <c r="F5" s="186"/>
      <c r="G5" s="187"/>
      <c r="H5" s="186"/>
      <c r="I5" s="186"/>
      <c r="J5" s="186"/>
      <c r="K5" s="187"/>
    </row>
    <row r="6" spans="1:18" ht="105" customHeight="1">
      <c r="A6" s="17">
        <f>+MRS!A6</f>
        <v>1</v>
      </c>
      <c r="B6" s="181" t="str">
        <f>MRS!B6</f>
        <v>Pipe Fabricator</v>
      </c>
      <c r="C6" s="182"/>
      <c r="D6" s="183">
        <f>MRS!D6</f>
        <v>0</v>
      </c>
      <c r="E6" s="184"/>
      <c r="F6" s="185"/>
      <c r="G6" s="99" t="str">
        <f>MRS!G6</f>
        <v>Hour</v>
      </c>
      <c r="H6" s="99">
        <f>MRS!H6</f>
        <v>1</v>
      </c>
      <c r="I6" s="100">
        <f>MRS!I6</f>
        <v>24</v>
      </c>
      <c r="J6" s="100">
        <f>MRS!J6</f>
        <v>24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81" t="str">
        <f>MRS!B7</f>
        <v>Iron Worker</v>
      </c>
      <c r="C7" s="182"/>
      <c r="D7" s="183">
        <f>MRS!D7</f>
        <v>0</v>
      </c>
      <c r="E7" s="184"/>
      <c r="F7" s="185"/>
      <c r="G7" s="99" t="str">
        <f>MRS!G7</f>
        <v>Hour</v>
      </c>
      <c r="H7" s="99">
        <f>MRS!H7</f>
        <v>1</v>
      </c>
      <c r="I7" s="100">
        <f>MRS!I7</f>
        <v>18</v>
      </c>
      <c r="J7" s="100">
        <f>MRS!J7</f>
        <v>18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6"/>
      <c r="C8" s="177"/>
      <c r="D8" s="178"/>
      <c r="E8" s="179"/>
      <c r="F8" s="180"/>
      <c r="G8" s="103"/>
      <c r="H8" s="104"/>
      <c r="I8" s="105"/>
      <c r="J8" s="105"/>
      <c r="K8" s="101"/>
      <c r="O8" s="102"/>
      <c r="P8" s="102"/>
      <c r="R8" s="102"/>
    </row>
    <row r="9" spans="1:18" ht="105" customHeight="1">
      <c r="A9" s="17">
        <f>+MRS!A9</f>
        <v>4</v>
      </c>
      <c r="B9" s="176"/>
      <c r="C9" s="177"/>
      <c r="D9" s="178"/>
      <c r="E9" s="179"/>
      <c r="F9" s="180"/>
      <c r="G9" s="103"/>
      <c r="H9" s="104"/>
      <c r="I9" s="105"/>
      <c r="J9" s="105"/>
      <c r="K9" s="101"/>
      <c r="O9" s="102"/>
      <c r="P9" s="102"/>
      <c r="R9" s="102"/>
    </row>
    <row r="10" spans="1:18" ht="105" customHeight="1">
      <c r="A10" s="17">
        <f>+MRS!A10</f>
        <v>5</v>
      </c>
      <c r="B10" s="176"/>
      <c r="C10" s="177"/>
      <c r="D10" s="178"/>
      <c r="E10" s="179"/>
      <c r="F10" s="180"/>
      <c r="G10" s="103"/>
      <c r="H10" s="104"/>
      <c r="I10" s="105"/>
      <c r="J10" s="105"/>
      <c r="K10" s="101"/>
      <c r="O10" s="102"/>
      <c r="P10" s="102"/>
      <c r="R10" s="102"/>
    </row>
    <row r="11" spans="1:18" ht="105" customHeight="1">
      <c r="A11" s="17">
        <f>+MRS!A11</f>
        <v>6</v>
      </c>
      <c r="B11" s="176"/>
      <c r="C11" s="177"/>
      <c r="D11" s="178"/>
      <c r="E11" s="179"/>
      <c r="F11" s="180"/>
      <c r="G11" s="103"/>
      <c r="H11" s="104"/>
      <c r="I11" s="105"/>
      <c r="J11" s="105"/>
      <c r="K11" s="101"/>
      <c r="O11" s="102"/>
      <c r="P11" s="102"/>
      <c r="R11" s="102"/>
    </row>
    <row r="12" spans="1:18" ht="105" customHeight="1">
      <c r="A12" s="17">
        <f>+MRS!A12</f>
        <v>7</v>
      </c>
      <c r="B12" s="176"/>
      <c r="C12" s="177"/>
      <c r="D12" s="178"/>
      <c r="E12" s="179"/>
      <c r="F12" s="180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76"/>
      <c r="C13" s="177"/>
      <c r="D13" s="178"/>
      <c r="E13" s="179"/>
      <c r="F13" s="180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76"/>
      <c r="C14" s="177"/>
      <c r="D14" s="178"/>
      <c r="E14" s="179"/>
      <c r="F14" s="180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76"/>
      <c r="C15" s="177"/>
      <c r="D15" s="178"/>
      <c r="E15" s="179"/>
      <c r="F15" s="180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76"/>
      <c r="C16" s="177"/>
      <c r="D16" s="178"/>
      <c r="E16" s="179"/>
      <c r="F16" s="180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4" sqref="K1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1.42578125" style="22" bestFit="1" customWidth="1"/>
    <col min="7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134</v>
      </c>
      <c r="D9" s="35"/>
      <c r="E9" s="35"/>
    </row>
    <row r="10" spans="2:13" s="35" customFormat="1">
      <c r="B10" s="68"/>
      <c r="C10" s="35" t="s">
        <v>24</v>
      </c>
      <c r="D10" s="122">
        <v>2055104339</v>
      </c>
      <c r="J10" s="35" t="s">
        <v>25</v>
      </c>
      <c r="K10" s="189">
        <f>MRS!L3</f>
        <v>46302</v>
      </c>
      <c r="L10" s="190"/>
      <c r="M10" s="190"/>
    </row>
    <row r="11" spans="2:13" s="35" customFormat="1">
      <c r="B11" s="68"/>
      <c r="C11" s="71" t="s">
        <v>26</v>
      </c>
      <c r="D11" s="72" t="s">
        <v>91</v>
      </c>
      <c r="J11" s="35" t="s">
        <v>27</v>
      </c>
      <c r="K11" s="191" t="str">
        <f>SUBSTITUTE(SUBSTITUTE(+MRS!A3,"  MRS No : ",""),"-MRS","-PO")</f>
        <v>SAC2-DS-PO-0488</v>
      </c>
      <c r="L11" s="191"/>
      <c r="M11" s="191"/>
    </row>
    <row r="12" spans="2:13" s="35" customFormat="1">
      <c r="B12" s="68"/>
      <c r="C12" s="71" t="s">
        <v>28</v>
      </c>
      <c r="D12" s="35" t="s">
        <v>94</v>
      </c>
      <c r="J12" s="35" t="s">
        <v>29</v>
      </c>
    </row>
    <row r="13" spans="2:13" s="35" customFormat="1">
      <c r="B13" s="68"/>
      <c r="C13" s="73"/>
      <c r="D13" s="72" t="s">
        <v>95</v>
      </c>
      <c r="J13" s="35" t="s">
        <v>30</v>
      </c>
    </row>
    <row r="14" spans="2:13" s="35" customFormat="1">
      <c r="B14" s="68"/>
      <c r="C14" s="73" t="s">
        <v>96</v>
      </c>
      <c r="J14" s="35" t="s">
        <v>31</v>
      </c>
      <c r="K14" s="35" t="s">
        <v>135</v>
      </c>
    </row>
    <row r="15" spans="2:13" s="35" customFormat="1">
      <c r="B15" s="68"/>
      <c r="C15" s="73" t="s">
        <v>92</v>
      </c>
      <c r="J15" s="35" t="s">
        <v>32</v>
      </c>
      <c r="K15" s="74">
        <v>46287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33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34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35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36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69"/>
      <c r="C26" s="72" t="str">
        <f>MRS!B6&amp;",  "&amp;MRS!B7</f>
        <v>Pipe Fabricator,  Iron Worker</v>
      </c>
      <c r="M26" s="75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6" t="s">
        <v>99</v>
      </c>
      <c r="G29" s="196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6"/>
      <c r="G30" s="196"/>
    </row>
    <row r="31" spans="2:13" ht="12" customHeight="1">
      <c r="B31" s="28"/>
      <c r="C31" s="22" t="s">
        <v>43</v>
      </c>
      <c r="D31" s="31"/>
      <c r="E31" s="22" t="s">
        <v>41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6" t="s">
        <v>57</v>
      </c>
      <c r="C49" s="77" t="s">
        <v>85</v>
      </c>
      <c r="P49" s="78"/>
    </row>
    <row r="50" spans="2:16" s="79" customFormat="1" ht="12" customHeight="1">
      <c r="B50" s="80" t="s">
        <v>57</v>
      </c>
      <c r="C50" s="77" t="s">
        <v>86</v>
      </c>
    </row>
    <row r="51" spans="2:16" s="79" customFormat="1" ht="12" customHeight="1">
      <c r="B51" s="80" t="s">
        <v>57</v>
      </c>
      <c r="C51" s="77" t="s">
        <v>84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101</v>
      </c>
    </row>
    <row r="54" spans="2:16" ht="12" customHeight="1">
      <c r="B54" s="80" t="s">
        <v>57</v>
      </c>
      <c r="C54" s="119" t="s">
        <v>102</v>
      </c>
      <c r="F54" s="22" t="s">
        <v>114</v>
      </c>
      <c r="P54" s="22" t="str">
        <f>UPPER(F54)</f>
        <v>DESERT SOLUTION GENERAL CONTRACTING EST</v>
      </c>
    </row>
    <row r="55" spans="2:16" ht="12" customHeight="1">
      <c r="B55" s="80" t="s">
        <v>57</v>
      </c>
      <c r="C55" s="119" t="s">
        <v>103</v>
      </c>
      <c r="F55" s="120" t="s">
        <v>112</v>
      </c>
    </row>
    <row r="56" spans="2:16" ht="12" customHeight="1">
      <c r="B56" s="80" t="s">
        <v>57</v>
      </c>
      <c r="C56" s="119" t="s">
        <v>104</v>
      </c>
      <c r="F56" s="22" t="s">
        <v>113</v>
      </c>
    </row>
    <row r="57" spans="2:16" ht="12" customHeight="1">
      <c r="B57" s="80" t="s">
        <v>57</v>
      </c>
      <c r="C57" s="119" t="s">
        <v>105</v>
      </c>
      <c r="F57" s="22" t="s">
        <v>106</v>
      </c>
    </row>
    <row r="58" spans="2:16" ht="12" customHeight="1">
      <c r="B58" s="80" t="s">
        <v>57</v>
      </c>
      <c r="C58" s="119" t="s">
        <v>107</v>
      </c>
      <c r="F58" s="22" t="s">
        <v>108</v>
      </c>
    </row>
    <row r="59" spans="2:16" ht="12" customHeight="1">
      <c r="B59" s="80" t="s">
        <v>57</v>
      </c>
      <c r="C59" s="119" t="s">
        <v>109</v>
      </c>
      <c r="F59" s="22" t="s">
        <v>110</v>
      </c>
    </row>
    <row r="60" spans="2:16" ht="12" customHeight="1">
      <c r="B60" s="80"/>
      <c r="C60" s="121" t="s">
        <v>111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58</v>
      </c>
      <c r="J64" s="28" t="s">
        <v>59</v>
      </c>
    </row>
    <row r="65" spans="1:13" ht="50.1" customHeight="1"/>
    <row r="66" spans="1:13" ht="18" customHeight="1">
      <c r="B66" s="22" t="s">
        <v>60</v>
      </c>
      <c r="J66" s="22" t="s">
        <v>60</v>
      </c>
    </row>
    <row r="67" spans="1:13" ht="18" customHeight="1">
      <c r="B67" s="22" t="s">
        <v>61</v>
      </c>
      <c r="J67" s="22" t="s">
        <v>62</v>
      </c>
      <c r="K67" s="18" t="str">
        <f>D12</f>
        <v>Mohammed Irshad</v>
      </c>
    </row>
    <row r="68" spans="1:13" ht="18" customHeight="1">
      <c r="B68" s="22" t="s">
        <v>63</v>
      </c>
      <c r="J68" s="22" t="s">
        <v>64</v>
      </c>
      <c r="K68" s="18" t="s">
        <v>97</v>
      </c>
    </row>
    <row r="69" spans="1:13" ht="15" customHeight="1">
      <c r="B69" s="22" t="s">
        <v>65</v>
      </c>
      <c r="J69" s="22" t="s">
        <v>66</v>
      </c>
    </row>
    <row r="70" spans="1:13" s="24" customFormat="1" ht="24.75" customHeight="1">
      <c r="B70" s="21" t="s">
        <v>100</v>
      </c>
      <c r="J70" s="197" t="str">
        <f>C9</f>
        <v>DSGC (Desert Solution General Contracting Company LLC)</v>
      </c>
      <c r="K70" s="197"/>
      <c r="L70" s="197"/>
      <c r="M70" s="197"/>
    </row>
    <row r="71" spans="1:13" ht="27.95" customHeight="1">
      <c r="A71" s="188" t="s">
        <v>67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68</v>
      </c>
      <c r="B2" s="43" t="str">
        <f>+'PO 1st page'!K11</f>
        <v>SAC2-DS-PO-0488</v>
      </c>
      <c r="C2" s="204" t="s">
        <v>69</v>
      </c>
      <c r="D2" s="204"/>
      <c r="E2" s="204"/>
      <c r="F2" s="204"/>
      <c r="G2" s="44"/>
      <c r="H2" s="44"/>
    </row>
    <row r="3" spans="1:13" s="50" customFormat="1" ht="28.5" customHeight="1" thickBot="1">
      <c r="A3" s="45" t="s">
        <v>70</v>
      </c>
      <c r="B3" s="46">
        <f>+'PO 1st page'!K10</f>
        <v>46302</v>
      </c>
      <c r="C3" s="47"/>
      <c r="D3" s="48"/>
      <c r="E3" s="205" t="s">
        <v>71</v>
      </c>
      <c r="F3" s="205"/>
      <c r="G3" s="205"/>
      <c r="H3" s="205"/>
      <c r="I3" s="49"/>
    </row>
    <row r="4" spans="1:13" s="51" customFormat="1" ht="28.5" customHeight="1" thickTop="1">
      <c r="A4" s="206" t="s">
        <v>72</v>
      </c>
      <c r="B4" s="208" t="s">
        <v>73</v>
      </c>
      <c r="C4" s="209"/>
      <c r="D4" s="212" t="s">
        <v>74</v>
      </c>
      <c r="E4" s="212" t="s">
        <v>75</v>
      </c>
      <c r="F4" s="214" t="str">
        <f>'PO 1st page'!C9</f>
        <v>DSGC (Desert Solution General Contracting Company LLC)</v>
      </c>
      <c r="G4" s="215"/>
      <c r="H4" s="216" t="s">
        <v>76</v>
      </c>
      <c r="K4" s="52"/>
      <c r="L4" s="52"/>
      <c r="M4" s="52"/>
    </row>
    <row r="5" spans="1:13" s="51" customFormat="1" ht="21.95" customHeight="1">
      <c r="A5" s="207"/>
      <c r="B5" s="210"/>
      <c r="C5" s="211"/>
      <c r="D5" s="213"/>
      <c r="E5" s="213"/>
      <c r="F5" s="53" t="s">
        <v>77</v>
      </c>
      <c r="G5" s="53" t="s">
        <v>43</v>
      </c>
      <c r="H5" s="217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218" t="str">
        <f>CONCATENATE(MRS!B6," ",MRS!D6)</f>
        <v xml:space="preserve">Pipe Fabricator </v>
      </c>
      <c r="C6" s="219"/>
      <c r="D6" s="82" t="str">
        <f>+'MRS LIST'!G6</f>
        <v>Hour</v>
      </c>
      <c r="E6" s="83">
        <f>+'MRS LIST'!H6</f>
        <v>1</v>
      </c>
      <c r="F6" s="84">
        <f>+'MRS LIST'!I6</f>
        <v>24</v>
      </c>
      <c r="G6" s="85">
        <f>+'MRS LIST'!J6</f>
        <v>24</v>
      </c>
      <c r="H6" s="86" t="str">
        <f>MRS!L6</f>
        <v>Monthly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218" t="str">
        <f>CONCATENATE(MRS!B7," ",MRS!D7)</f>
        <v xml:space="preserve">Iron Worker </v>
      </c>
      <c r="C7" s="219"/>
      <c r="D7" s="82" t="str">
        <f>+'MRS LIST'!G7</f>
        <v>Hour</v>
      </c>
      <c r="E7" s="83">
        <f>+'MRS LIST'!H7</f>
        <v>1</v>
      </c>
      <c r="F7" s="84">
        <f>+'MRS LIST'!I7</f>
        <v>18</v>
      </c>
      <c r="G7" s="85">
        <f>+'MRS LIST'!J7</f>
        <v>18</v>
      </c>
      <c r="H7" s="86" t="str">
        <f>MRS!L7</f>
        <v>"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202"/>
      <c r="C8" s="203"/>
      <c r="D8" s="90"/>
      <c r="E8" s="91"/>
      <c r="F8" s="92"/>
      <c r="G8" s="93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202"/>
      <c r="C9" s="203"/>
      <c r="D9" s="90"/>
      <c r="E9" s="91"/>
      <c r="F9" s="92"/>
      <c r="G9" s="93"/>
      <c r="H9" s="94"/>
    </row>
    <row r="10" spans="1:13" s="51" customFormat="1" ht="32.1" customHeight="1">
      <c r="A10" s="89">
        <f t="shared" si="0"/>
        <v>5</v>
      </c>
      <c r="B10" s="202"/>
      <c r="C10" s="203"/>
      <c r="D10" s="90"/>
      <c r="E10" s="91"/>
      <c r="F10" s="92"/>
      <c r="G10" s="93"/>
      <c r="H10" s="94"/>
    </row>
    <row r="11" spans="1:13" s="51" customFormat="1" ht="32.1" customHeight="1">
      <c r="A11" s="89">
        <f t="shared" si="0"/>
        <v>6</v>
      </c>
      <c r="B11" s="202"/>
      <c r="C11" s="203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02"/>
      <c r="C12" s="203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02"/>
      <c r="C13" s="203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02"/>
      <c r="C14" s="203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02"/>
      <c r="C15" s="203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02"/>
      <c r="C16" s="203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02"/>
      <c r="C17" s="203"/>
      <c r="D17" s="90"/>
      <c r="E17" s="91"/>
      <c r="F17" s="92"/>
      <c r="G17" s="93"/>
      <c r="H17" s="94"/>
    </row>
    <row r="18" spans="1:13" s="51" customFormat="1" ht="23.1" customHeight="1">
      <c r="A18" s="198" t="s">
        <v>78</v>
      </c>
      <c r="B18" s="199"/>
      <c r="C18" s="199"/>
      <c r="D18" s="199"/>
      <c r="E18" s="199"/>
      <c r="F18" s="199"/>
      <c r="G18" s="54">
        <f>SUM(G6:G17)</f>
        <v>42</v>
      </c>
      <c r="H18" s="55"/>
    </row>
    <row r="19" spans="1:13" s="51" customFormat="1" ht="23.1" customHeight="1">
      <c r="A19" s="198" t="s">
        <v>42</v>
      </c>
      <c r="B19" s="199"/>
      <c r="C19" s="199"/>
      <c r="D19" s="199"/>
      <c r="E19" s="199"/>
      <c r="F19" s="199"/>
      <c r="G19" s="54">
        <f>+G18*0.15</f>
        <v>6.3</v>
      </c>
      <c r="H19" s="55"/>
    </row>
    <row r="20" spans="1:13" s="51" customFormat="1" ht="24.95" customHeight="1" thickBot="1">
      <c r="A20" s="200" t="s">
        <v>79</v>
      </c>
      <c r="B20" s="201"/>
      <c r="C20" s="201"/>
      <c r="D20" s="201"/>
      <c r="E20" s="201"/>
      <c r="F20" s="201"/>
      <c r="G20" s="56">
        <f>G19+G18</f>
        <v>48.3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DSCE/HYU/Q-11197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80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81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2026-10-07T12:24:10Z</cp:lastPrinted>
  <dcterms:created xsi:type="dcterms:W3CDTF">2024-10-20T11:50:19Z</dcterms:created>
  <dcterms:modified xsi:type="dcterms:W3CDTF">2026-10-07T12:27:27Z</dcterms:modified>
</cp:coreProperties>
</file>