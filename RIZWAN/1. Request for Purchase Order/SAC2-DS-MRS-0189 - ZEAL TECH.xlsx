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D0A2C24-A0EF-402C-AD61-DE2EFC14612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<sst xmlns="http://schemas.openxmlformats.org/spreadsheetml/2006/main" count="175" uniqueCount="134">
  <si>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</si>
  <si>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</si>
  <si>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</si>
  <si>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</si>
  <si>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</si>
  <si>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</si>
  <si>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</si>
  <si>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</si>
  <si>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</si>
  <si>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</si>
  <si>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</si>
  <si>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</si>
  <si>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</si>
  <si>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</si>
  <si>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</si>
  <si>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</si>
  <si>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</si>
  <si>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</si>
  <si>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</si>
  <si>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</si>
  <si>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</si>
  <si>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</si>
  <si>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</si>
  <si>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</si>
  <si>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</si>
  <si>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</si>
  <si>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</si>
  <si>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</si>
  <si>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</si>
  <si>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</si>
  <si>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</si>
  <si>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</si>
  <si>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</si>
  <si>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</si>
  <si>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</si>
  <si>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</si>
  <si>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</si>
  <si>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</si>
  <si>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</si>
  <si>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</si>
  <si>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</si>
  <si>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</si>
  <si>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</si>
  <si>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</si>
  <si>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</si>
  <si>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</si>
  <si>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</si>
  <si>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</si>
  <si>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</si>
  <si>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</si>
  <si>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</si>
  <si>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</si>
  <si>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</si>
  <si>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</si>
  <si>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</si>
  <si>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</si>
  <si>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</si>
  <si>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</si>
  <si>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</si>
  <si>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</si>
  <si>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</si>
  <si>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</si>
  <si>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</si>
  <si>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</si>
  <si>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</si>
  <si>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</si>
  <si>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</si>
  <si>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</si>
  <si>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</si>
  <si>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</si>
  <si>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</si>
  <si>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</si>
  <si>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</si>
  <si>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</si>
  <si>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</si>
  <si>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</si>
  <si>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</si>
  <si>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</si>
  <si>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</si>
  <si>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</si>
  <si>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</si>
  <si>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</si>
  <si>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</si>
  <si>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</si>
  <si>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</si>
  <si>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</si>
  <si>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</si>
  <si>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</si>
  <si>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</si>
  <si>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</si>
  <si>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</si>
  <si>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</si>
  <si>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</si>
  <si>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</si>
  <si>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</si>
  <si>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</si>
  <si>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</si>
  <si>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</si>
  <si>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</si>
  <si>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</si>
  <si>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</si>
  <si>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</si>
  <si>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</si>
  <si>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</si>
  <si>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Monthly</t>
  </si>
  <si>
    <t>ZEAL TECH</t>
  </si>
  <si>
    <t>ZEAL (Zeal Tech Gen. Contracting Est.)</t>
  </si>
  <si>
    <t>2055130456</t>
  </si>
  <si>
    <t>Mohammed Riyaz</t>
  </si>
  <si>
    <t>Mobile No. +966 58 0089955 / email: info@zealtechksa.com</t>
  </si>
  <si>
    <t>Mobile: +966 58 0089955</t>
  </si>
  <si>
    <t>Al-Amir Naif Street - Jubail City Center, Al-Jubail 35514-6599 KSA</t>
  </si>
  <si>
    <t>Business Coordinator</t>
  </si>
  <si>
    <t>311083780900003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</si>
  <si>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</si>
  <si>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</si>
  <si>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</si>
  <si>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</si>
  <si>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</si>
  <si>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</si>
  <si>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</si>
  <si>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</si>
  <si>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</si>
  <si>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ZEAL TECH GEN. CONTRACTING EST.</t>
  </si>
  <si>
    <t>01400008660300</t>
  </si>
  <si>
    <t>SA8910000001400008660300</t>
  </si>
  <si>
    <t>THE 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</si>
  <si>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</si>
  <si>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-MRS-0189</t>
    </r>
  </si>
  <si>
    <t>Pickup</t>
  </si>
  <si>
    <t>EA</t>
  </si>
  <si>
    <t>ISUZU 4x4 Without Driver - 2025 (Diesel)</t>
  </si>
  <si>
    <t>ZT/QT/569-25</t>
  </si>
  <si>
    <t>Pickup ISUZU 4x4 Without Driver - 2025 (Diesel)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</si>
</sst>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6" sqref="I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7" t="s">
        <v>90</v>
      </c>
      <c r="K1" s="128"/>
      <c r="L1" s="129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30" t="s">
        <v>97</v>
      </c>
      <c r="K2" s="131"/>
      <c r="L2" s="132"/>
    </row>
    <row r="3" spans="1:19" ht="20.100000000000001" customHeight="1">
      <c r="A3" s="3" t="s">
        <v>128</v>
      </c>
      <c r="B3" s="100"/>
      <c r="C3" s="100"/>
      <c r="D3" s="100"/>
      <c r="E3" s="133">
        <f>+L3</f>
        <v>46012</v>
      </c>
      <c r="F3" s="133"/>
      <c r="G3" s="133"/>
      <c r="H3" s="133"/>
      <c r="I3" s="133"/>
      <c r="J3" s="100"/>
      <c r="K3" s="100"/>
      <c r="L3" s="121">
        <v>46012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94</v>
      </c>
      <c r="J4" s="134" t="s">
        <v>95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22.5" customHeight="1">
      <c r="A6" s="5">
        <f t="shared" ref="A6:A15" si="0">ROW(A1)</f>
        <v>1</v>
      </c>
      <c r="B6" s="146" t="s">
        <v>129</v>
      </c>
      <c r="C6" s="147"/>
      <c r="D6" s="148" t="s">
        <v>131</v>
      </c>
      <c r="E6" s="149"/>
      <c r="F6" s="150"/>
      <c r="G6" s="110" t="s">
        <v>130</v>
      </c>
      <c r="H6" s="111">
        <v>1</v>
      </c>
      <c r="I6" s="112">
        <v>4500</v>
      </c>
      <c r="J6" s="112">
        <f>I6*H6</f>
        <v>4500</v>
      </c>
      <c r="K6" s="113" t="s">
        <v>105</v>
      </c>
      <c r="L6" s="114" t="s">
        <v>104</v>
      </c>
      <c r="S6" s="105"/>
    </row>
    <row r="7" spans="1:19" ht="22.5" customHeight="1">
      <c r="A7" s="5">
        <f t="shared" si="0"/>
        <v>2</v>
      </c>
      <c r="B7" s="146"/>
      <c r="C7" s="147"/>
      <c r="D7" s="148"/>
      <c r="E7" s="149"/>
      <c r="F7" s="150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3" t="s">
        <v>8</v>
      </c>
      <c r="B16" s="154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4500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0" t="str">
        <f>+MRS!J2</f>
        <v>Subcontract name (SAC2-SC-IK-SMP-01)</v>
      </c>
      <c r="K2" s="132"/>
    </row>
    <row r="3" spans="1:18" ht="24.95" customHeight="1">
      <c r="A3" s="3" t="str">
        <f>+MRS!A3</f>
        <v xml:space="preserve">  MRS No : SAC2-DS-MRS-0189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46012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91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Pickup</v>
      </c>
      <c r="C6" s="164"/>
      <c r="D6" s="165" t="str">
        <f>MRS!D6</f>
        <v>ISUZU 4x4 Without Driver - 2025 (Diesel)</v>
      </c>
      <c r="E6" s="166"/>
      <c r="F6" s="167"/>
      <c r="G6" s="102" t="str">
        <f>MRS!G6</f>
        <v>EA</v>
      </c>
      <c r="H6" s="102">
        <f>MRS!H6</f>
        <v>1</v>
      </c>
      <c r="I6" s="103">
        <f>MRS!I6</f>
        <v>4500</v>
      </c>
      <c r="J6" s="103">
        <f>MRS!J6</f>
        <v>4500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3">
        <f>MRS!B7</f>
        <v>0</v>
      </c>
      <c r="C7" s="164"/>
      <c r="D7" s="165">
        <f>MRS!D7</f>
        <v>0</v>
      </c>
      <c r="E7" s="166"/>
      <c r="F7" s="167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3">
        <f>MRS!B8</f>
        <v>0</v>
      </c>
      <c r="C8" s="164"/>
      <c r="D8" s="165">
        <f>MRS!D8</f>
        <v>0</v>
      </c>
      <c r="E8" s="166"/>
      <c r="F8" s="167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3">
        <f>MRS!B9</f>
        <v>0</v>
      </c>
      <c r="C9" s="164"/>
      <c r="D9" s="165">
        <f>MRS!D9</f>
        <v>0</v>
      </c>
      <c r="E9" s="166"/>
      <c r="F9" s="167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3">
        <f>MRS!B10</f>
        <v>0</v>
      </c>
      <c r="C10" s="164"/>
      <c r="D10" s="165">
        <f>MRS!D10</f>
        <v>0</v>
      </c>
      <c r="E10" s="166"/>
      <c r="F10" s="167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3">
        <f>MRS!B11</f>
        <v>0</v>
      </c>
      <c r="C11" s="164"/>
      <c r="D11" s="165">
        <f>MRS!D11</f>
        <v>0</v>
      </c>
      <c r="E11" s="166"/>
      <c r="F11" s="167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106</v>
      </c>
      <c r="D9" s="38"/>
      <c r="E9" s="38"/>
    </row>
    <row r="10" spans="2:13" s="38" customFormat="1">
      <c r="B10" s="71"/>
      <c r="C10" s="38" t="s">
        <v>32</v>
      </c>
      <c r="D10" s="75" t="s">
        <v>107</v>
      </c>
      <c r="J10" s="38" t="s">
        <v>33</v>
      </c>
      <c r="K10" s="174">
        <f>MRS!L3</f>
        <v>46012</v>
      </c>
      <c r="L10" s="175"/>
      <c r="M10" s="175"/>
    </row>
    <row r="11" spans="2:13" s="38" customFormat="1">
      <c r="B11" s="71"/>
      <c r="C11" s="74" t="s">
        <v>34</v>
      </c>
      <c r="D11" s="75" t="s">
        <v>113</v>
      </c>
      <c r="J11" s="38" t="s">
        <v>35</v>
      </c>
      <c r="K11" s="176" t="str">
        <f>SUBSTITUTE(SUBSTITUTE(+MRS!A3,"  MRS No : ",""),"-MRS","-PO")</f>
        <v>SAC2-DS-PO-0189</v>
      </c>
      <c r="L11" s="176"/>
      <c r="M11" s="176"/>
    </row>
    <row r="12" spans="2:13" s="38" customFormat="1">
      <c r="B12" s="71"/>
      <c r="C12" s="74" t="s">
        <v>36</v>
      </c>
      <c r="D12" s="38" t="s">
        <v>108</v>
      </c>
      <c r="J12" s="38" t="s">
        <v>37</v>
      </c>
    </row>
    <row r="13" spans="2:13" s="38" customFormat="1">
      <c r="B13" s="71"/>
      <c r="C13" s="76"/>
      <c r="D13" s="75" t="s">
        <v>109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132</v>
      </c>
    </row>
    <row r="15" spans="2:13" s="38" customFormat="1">
      <c r="B15" s="71"/>
      <c r="C15" s="76" t="s">
        <v>110</v>
      </c>
      <c r="J15" s="38" t="s">
        <v>40</v>
      </c>
      <c r="K15" s="77">
        <v>45973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45</v>
      </c>
    </row>
    <row r="26" spans="2:13" s="38" customFormat="1" ht="12" customHeight="1">
      <c r="B26" s="72"/>
      <c r="C26" s="75" t="s">
        <v>133</v>
      </c>
      <c r="M26" s="78" t="s">
        <v>46</v>
      </c>
    </row>
    <row r="27" spans="2:13" ht="11.1" customHeight="1">
      <c r="B27" s="32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24" t="s">
        <v>104</v>
      </c>
      <c r="G29" s="124"/>
      <c r="H29" s="124"/>
      <c r="M29" s="33"/>
    </row>
    <row r="30" spans="2:13" ht="12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2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8" customFormat="1" ht="12" customHeight="1">
      <c r="B49" s="79" t="s">
        <v>65</v>
      </c>
      <c r="C49" s="80" t="s">
        <v>100</v>
      </c>
      <c r="P49" s="81"/>
    </row>
    <row r="50" spans="2:16" s="82" customFormat="1" ht="12" customHeight="1">
      <c r="B50" s="83" t="s">
        <v>65</v>
      </c>
      <c r="C50" s="80" t="s">
        <v>93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114</v>
      </c>
    </row>
    <row r="54" spans="2:16" ht="12" customHeight="1">
      <c r="B54" s="83" t="s">
        <v>65</v>
      </c>
      <c r="C54" s="125" t="s">
        <v>115</v>
      </c>
      <c r="F54" s="126" t="s">
        <v>123</v>
      </c>
      <c r="P54" s="26" t="str">
        <f>UPPER(F54)</f>
        <v>ZEAL TECH GEN. CONTRACTING EST.</v>
      </c>
    </row>
    <row r="55" spans="2:16" ht="12" customHeight="1">
      <c r="B55" s="83" t="s">
        <v>65</v>
      </c>
      <c r="C55" s="125" t="s">
        <v>116</v>
      </c>
      <c r="F55" s="126" t="s">
        <v>124</v>
      </c>
    </row>
    <row r="56" spans="2:16" ht="12" customHeight="1">
      <c r="B56" s="83" t="s">
        <v>65</v>
      </c>
      <c r="C56" s="125" t="s">
        <v>117</v>
      </c>
      <c r="F56" s="126" t="s">
        <v>125</v>
      </c>
    </row>
    <row r="57" spans="2:16" ht="12" customHeight="1">
      <c r="B57" s="83" t="s">
        <v>65</v>
      </c>
      <c r="C57" s="125" t="s">
        <v>118</v>
      </c>
      <c r="F57" s="26" t="s">
        <v>126</v>
      </c>
    </row>
    <row r="58" spans="2:16" ht="12" customHeight="1">
      <c r="B58" s="83" t="s">
        <v>65</v>
      </c>
      <c r="C58" s="125" t="s">
        <v>119</v>
      </c>
      <c r="F58" s="26" t="s">
        <v>127</v>
      </c>
    </row>
    <row r="59" spans="2:16" ht="12" customHeight="1">
      <c r="B59" s="83" t="s">
        <v>65</v>
      </c>
      <c r="C59" s="125" t="s">
        <v>120</v>
      </c>
      <c r="F59" s="26" t="s">
        <v>121</v>
      </c>
    </row>
    <row r="60" spans="2:16" ht="12" customHeight="1">
      <c r="B60" s="83"/>
      <c r="C60" s="125" t="s">
        <v>122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Riyaz</v>
      </c>
    </row>
    <row r="68" spans="1:13" ht="18" customHeight="1">
      <c r="B68" s="26" t="s">
        <v>71</v>
      </c>
      <c r="J68" s="26" t="s">
        <v>72</v>
      </c>
      <c r="K68" s="22" t="s">
        <v>112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102</v>
      </c>
      <c r="J70" s="181" t="str">
        <f>C9</f>
        <v>ZEAL (Zeal Tech Gen. Contracting Est.)</v>
      </c>
      <c r="K70" s="181"/>
      <c r="L70" s="181"/>
      <c r="M70" s="181"/>
    </row>
    <row r="71" spans="1:13" ht="27.95" customHeight="1">
      <c r="A71" s="173" t="s">
        <v>75</v>
      </c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SAC2-DS-PO-0189</v>
      </c>
      <c r="C2" s="184" t="s">
        <v>77</v>
      </c>
      <c r="D2" s="184"/>
      <c r="E2" s="184"/>
      <c r="F2" s="184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46012</v>
      </c>
      <c r="C3" s="50"/>
      <c r="D3" s="51"/>
      <c r="E3" s="185" t="s">
        <v>79</v>
      </c>
      <c r="F3" s="185"/>
      <c r="G3" s="185"/>
      <c r="H3" s="185"/>
      <c r="I3" s="52"/>
    </row>
    <row r="4" spans="1:13" s="54" customFormat="1" ht="28.5" customHeight="1" thickTop="1">
      <c r="A4" s="186" t="s">
        <v>80</v>
      </c>
      <c r="B4" s="188" t="s">
        <v>81</v>
      </c>
      <c r="C4" s="189"/>
      <c r="D4" s="192" t="s">
        <v>82</v>
      </c>
      <c r="E4" s="192" t="s">
        <v>83</v>
      </c>
      <c r="F4" s="194" t="str">
        <f>'PO 1st page'!C9</f>
        <v>ZEAL (Zeal Tech Gen. Contracting Est.)</v>
      </c>
      <c r="G4" s="195"/>
      <c r="H4" s="196" t="s">
        <v>84</v>
      </c>
      <c r="K4" s="55"/>
      <c r="L4" s="55"/>
      <c r="M4" s="55"/>
    </row>
    <row r="5" spans="1:13" s="54" customFormat="1" ht="21.95" customHeight="1">
      <c r="A5" s="187"/>
      <c r="B5" s="190"/>
      <c r="C5" s="191"/>
      <c r="D5" s="193"/>
      <c r="E5" s="193"/>
      <c r="F5" s="56" t="s">
        <v>85</v>
      </c>
      <c r="G5" s="56" t="s">
        <v>51</v>
      </c>
      <c r="H5" s="197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2" t="str">
        <f>CONCATENATE(MRS!B6," ",MRS!D6)</f>
        <v>Pickup ISUZU 4x4 Without Driver - 2025 (Diesel)</v>
      </c>
      <c r="C6" s="183"/>
      <c r="D6" s="85" t="str">
        <f>+'MRS LIST'!G6</f>
        <v>EA</v>
      </c>
      <c r="E6" s="86">
        <f>+'MRS LIST'!H6</f>
        <v>1</v>
      </c>
      <c r="F6" s="87">
        <f>+'MRS LIST'!I6</f>
        <v>4500</v>
      </c>
      <c r="G6" s="88">
        <f>+'MRS LIST'!J6</f>
        <v>4500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2"/>
      <c r="C7" s="183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2"/>
      <c r="C8" s="183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2"/>
      <c r="C9" s="183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2"/>
      <c r="C10" s="183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2"/>
      <c r="C11" s="183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2"/>
      <c r="C12" s="203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2"/>
      <c r="C13" s="203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2"/>
      <c r="C14" s="203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2"/>
      <c r="C15" s="203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2"/>
      <c r="C16" s="203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2"/>
      <c r="C17" s="203"/>
      <c r="D17" s="93"/>
      <c r="E17" s="94"/>
      <c r="F17" s="95"/>
      <c r="G17" s="96"/>
      <c r="H17" s="97"/>
    </row>
    <row r="18" spans="1:13" s="54" customFormat="1" ht="23.1" customHeight="1">
      <c r="A18" s="198" t="s">
        <v>86</v>
      </c>
      <c r="B18" s="199"/>
      <c r="C18" s="199"/>
      <c r="D18" s="199"/>
      <c r="E18" s="199"/>
      <c r="F18" s="199"/>
      <c r="G18" s="57">
        <f>SUM(G6:G17)</f>
        <v>4500</v>
      </c>
      <c r="H18" s="58"/>
    </row>
    <row r="19" spans="1:13" s="54" customFormat="1" ht="23.1" customHeight="1">
      <c r="A19" s="198" t="s">
        <v>50</v>
      </c>
      <c r="B19" s="199"/>
      <c r="C19" s="199"/>
      <c r="D19" s="199"/>
      <c r="E19" s="199"/>
      <c r="F19" s="199"/>
      <c r="G19" s="57">
        <f>+G18*0.15</f>
        <v>675</v>
      </c>
      <c r="H19" s="58"/>
    </row>
    <row r="20" spans="1:13" s="54" customFormat="1" ht="24.95" customHeight="1" thickBot="1">
      <c r="A20" s="200" t="s">
        <v>87</v>
      </c>
      <c r="B20" s="201"/>
      <c r="C20" s="201"/>
      <c r="D20" s="201"/>
      <c r="E20" s="201"/>
      <c r="F20" s="201"/>
      <c r="G20" s="59">
        <f>G19+G18</f>
        <v>5175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ZT/QT/569-25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2025-12-21T04:25:52Z</cp:lastPrinted>
  <dcterms:created xsi:type="dcterms:W3CDTF">2024-10-20T11:50:19Z</dcterms:created>
  <dcterms:modified xsi:type="dcterms:W3CDTF">2025-12-21T04:27:30Z</dcterms:modified>
</cp:coreProperties>
</file>