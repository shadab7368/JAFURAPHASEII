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092430B-2E65-463E-A6C4-95AD26C74B34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MRS!$A$1:$L$40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page'!$A$1:$H$36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E3" i="1"/>
  <c r="G30" i="4"/>
  <c r="G29" i="4"/>
  <c r="F29" i="4"/>
  <c r="E29" i="4"/>
  <c r="D29" i="4"/>
  <c r="G28" i="4"/>
  <c r="F28" i="4"/>
  <c r="E28" i="4"/>
  <c r="D28" i="4"/>
  <c r="G27" i="4"/>
  <c r="F27" i="4"/>
  <c r="E27" i="4"/>
  <c r="D27" i="4"/>
  <c r="G26" i="4"/>
  <c r="F26" i="4"/>
  <c r="E26" i="4"/>
  <c r="D26" i="4"/>
  <c r="G25" i="4"/>
  <c r="F25" i="4"/>
  <c r="E25" i="4"/>
  <c r="D25" i="4"/>
  <c r="G24" i="4"/>
  <c r="F24" i="4"/>
  <c r="E24" i="4"/>
  <c r="D24" i="4"/>
  <c r="G23" i="4"/>
  <c r="F23" i="4"/>
  <c r="E23" i="4"/>
  <c r="D23" i="4"/>
  <c r="G22" i="4"/>
  <c r="F22" i="4"/>
  <c r="E22" i="4"/>
  <c r="D22" i="4"/>
  <c r="G21" i="4"/>
  <c r="F21" i="4"/>
  <c r="E21" i="4"/>
  <c r="D21" i="4"/>
  <c r="G20" i="4"/>
  <c r="F20" i="4"/>
  <c r="E20" i="4"/>
  <c r="D20" i="4"/>
  <c r="G19" i="4"/>
  <c r="F19" i="4"/>
  <c r="E19" i="4"/>
  <c r="D19" i="4"/>
  <c r="G18" i="4"/>
  <c r="F18" i="4"/>
  <c r="E18" i="4"/>
  <c r="D18" i="4"/>
  <c r="G17" i="4"/>
  <c r="F17" i="4"/>
  <c r="E17" i="4"/>
  <c r="D17" i="4"/>
  <c r="G16" i="4"/>
  <c r="F16" i="4"/>
  <c r="E16" i="4"/>
  <c r="D16" i="4"/>
  <c r="G15" i="4"/>
  <c r="F15" i="4"/>
  <c r="E15" i="4"/>
  <c r="D15" i="4"/>
  <c r="G14" i="4"/>
  <c r="F14" i="4"/>
  <c r="E14" i="4"/>
  <c r="D14" i="4"/>
  <c r="G13" i="4"/>
  <c r="F13" i="4"/>
  <c r="E13" i="4"/>
  <c r="D13" i="4"/>
  <c r="G12" i="4"/>
  <c r="F12" i="4"/>
  <c r="E12" i="4"/>
  <c r="D12" i="4"/>
  <c r="G11" i="4"/>
  <c r="F11" i="4"/>
  <c r="E11" i="4"/>
  <c r="D11" i="4"/>
  <c r="G10" i="4"/>
  <c r="F10" i="4"/>
  <c r="E10" i="4"/>
  <c r="D10" i="4"/>
  <c r="G9" i="4"/>
  <c r="F9" i="4"/>
  <c r="E9" i="4"/>
  <c r="D9" i="4"/>
  <c r="G8" i="4"/>
  <c r="F8" i="4"/>
  <c r="E8" i="4"/>
  <c r="D8" i="4"/>
  <c r="G7" i="4"/>
  <c r="F7" i="4"/>
  <c r="E7" i="4"/>
  <c r="D7" i="4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B25" i="2"/>
  <c r="A25" i="2"/>
  <c r="B24" i="2"/>
  <c r="A24" i="2"/>
  <c r="B23" i="2"/>
  <c r="A23" i="2"/>
  <c r="B22" i="2"/>
  <c r="A22" i="2"/>
  <c r="A20" i="2"/>
  <c r="A19" i="2"/>
  <c r="A18" i="2"/>
  <c r="A17" i="2"/>
  <c r="A15" i="2"/>
  <c r="A14" i="2"/>
  <c r="B21" i="2"/>
  <c r="B20" i="2"/>
  <c r="B19" i="2"/>
  <c r="B18" i="2"/>
  <c r="B17" i="2"/>
  <c r="B16" i="2"/>
  <c r="B15" i="2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J29" i="1" l="1"/>
  <c r="A29" i="1"/>
  <c r="J28" i="1"/>
  <c r="A28" i="1"/>
  <c r="J27" i="1"/>
  <c r="A27" i="1"/>
  <c r="J26" i="1"/>
  <c r="A26" i="1"/>
  <c r="A26" i="2" s="1"/>
  <c r="J25" i="1"/>
  <c r="A25" i="1"/>
  <c r="J24" i="1"/>
  <c r="A24" i="1"/>
  <c r="J23" i="1"/>
  <c r="A23" i="1"/>
  <c r="J22" i="1"/>
  <c r="A22" i="1"/>
  <c r="J21" i="1"/>
  <c r="A21" i="1"/>
  <c r="A21" i="2" s="1"/>
  <c r="J20" i="1"/>
  <c r="A20" i="1"/>
  <c r="J19" i="1"/>
  <c r="A19" i="1"/>
  <c r="J18" i="1"/>
  <c r="A18" i="1"/>
  <c r="J17" i="1"/>
  <c r="A17" i="1"/>
  <c r="J16" i="1"/>
  <c r="A16" i="1"/>
  <c r="A16" i="2" s="1"/>
  <c r="J15" i="1"/>
  <c r="A15" i="1"/>
  <c r="P54" i="3"/>
  <c r="B14" i="4"/>
  <c r="B13" i="4"/>
  <c r="B12" i="4"/>
  <c r="B11" i="4"/>
  <c r="B10" i="4"/>
  <c r="B9" i="4"/>
  <c r="B8" i="4"/>
  <c r="B7" i="4"/>
  <c r="B6" i="4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4" i="2"/>
  <c r="D13" i="2"/>
  <c r="D12" i="2"/>
  <c r="D11" i="2"/>
  <c r="D10" i="2"/>
  <c r="D9" i="2"/>
  <c r="D8" i="2"/>
  <c r="D7" i="2"/>
  <c r="B14" i="2"/>
  <c r="B13" i="2"/>
  <c r="B12" i="2"/>
  <c r="B11" i="2"/>
  <c r="B10" i="2"/>
  <c r="B9" i="2"/>
  <c r="B8" i="2"/>
  <c r="B7" i="2"/>
  <c r="B6" i="2"/>
  <c r="E6" i="4"/>
  <c r="D6" i="4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J30" i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31" i="1" l="1"/>
  <c r="K67" i="3"/>
  <c r="K10" i="3" l="1"/>
  <c r="A33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F29" i="3" s="1"/>
  <c r="G31" i="4" l="1"/>
  <c r="F30" i="3" s="1"/>
  <c r="G32" i="4" l="1"/>
  <c r="F31" i="3" s="1"/>
</calcChain>
</file>

<file path=xl/sharedStrings.xml><?xml version="1.0" encoding="utf-8"?>
<sst xmlns="http://schemas.openxmlformats.org/spreadsheetml/2006/main" count="227" uniqueCount="162">
  <si>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</si>
  <si>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</si>
  <si>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</si>
  <si>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</si>
  <si>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</si>
  <si>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</si>
  <si>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</si>
  <si>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</si>
  <si>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</si>
  <si>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</si>
  <si>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</si>
  <si>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</si>
  <si>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</si>
  <si>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</si>
  <si>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</si>
  <si>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</si>
  <si>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</si>
  <si>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</si>
  <si>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</si>
  <si>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</si>
  <si>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</si>
  <si>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</si>
  <si>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</si>
  <si>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</si>
  <si>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</si>
  <si>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</si>
  <si>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</si>
  <si>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</si>
  <si>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</si>
  <si>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</si>
  <si>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</si>
  <si>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</si>
  <si>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</si>
  <si>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</si>
  <si>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</si>
  <si>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</si>
  <si>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</si>
  <si>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</si>
  <si>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</si>
  <si>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</si>
  <si>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</si>
  <si>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</si>
  <si>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</si>
  <si>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</si>
  <si>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</si>
  <si>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</si>
  <si>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</si>
  <si>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</si>
  <si>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</si>
  <si>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</si>
  <si>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</si>
  <si>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</si>
  <si>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</si>
  <si>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</si>
  <si>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</si>
  <si>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</si>
  <si>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</si>
  <si>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</si>
  <si>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</si>
  <si>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</si>
  <si>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</si>
  <si>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</si>
  <si>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</si>
  <si>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</si>
  <si>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</si>
  <si>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</si>
  <si>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</si>
  <si>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</si>
  <si>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</si>
  <si>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</si>
  <si>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</si>
  <si>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</si>
  <si>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</si>
  <si>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</si>
  <si>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</si>
  <si>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</si>
  <si>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</si>
  <si>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</si>
  <si>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</si>
  <si>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</si>
  <si>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</si>
  <si>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</si>
  <si>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</si>
  <si>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</si>
  <si>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</si>
  <si>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</si>
  <si>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</si>
  <si>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</si>
  <si>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</si>
  <si>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</si>
  <si>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</si>
  <si>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</si>
  <si>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</si>
  <si>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</si>
  <si>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</si>
  <si>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</si>
  <si>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</si>
  <si>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</si>
  <si>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</si>
  <si>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</si>
  <si>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</si>
  <si>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</si>
  <si>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</si>
  <si>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</si>
  <si>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</si>
  <si>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OSAZ</t>
  </si>
  <si>
    <t>EA</t>
  </si>
  <si>
    <t>SET</t>
  </si>
  <si>
    <t>Electrical Items</t>
  </si>
  <si>
    <t>2055009599</t>
  </si>
  <si>
    <t>300512826400003</t>
  </si>
  <si>
    <t>OSAZ(Omar Saleh Abdullah Al-Zahrani Electricals)</t>
  </si>
  <si>
    <t>Akhil</t>
  </si>
  <si>
    <t>Email; akhil@osazelectricals.sa</t>
  </si>
  <si>
    <t>Building No. 3350,King Fahad Street-8603,Al Dana Dist. Al Jubail 35514, KSA</t>
  </si>
  <si>
    <t xml:space="preserve">Mobile: </t>
  </si>
  <si>
    <t>95900001286307</t>
  </si>
  <si>
    <t>SA4510000095900001286307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</si>
  <si>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-MRS-0425</t>
    </r>
  </si>
  <si>
    <t>ROLL</t>
  </si>
  <si>
    <t xml:space="preserve"> 4MM 3A</t>
  </si>
  <si>
    <t xml:space="preserve"> 6MM 6A</t>
  </si>
  <si>
    <t xml:space="preserve"> 32A 1P</t>
  </si>
  <si>
    <t xml:space="preserve"> WHITE 2C X 1MM² 100YARD / ROLL</t>
  </si>
  <si>
    <t>6MM² X M6</t>
  </si>
  <si>
    <t xml:space="preserve"> 70MM² X M10</t>
  </si>
  <si>
    <t>50MM² X M10</t>
  </si>
  <si>
    <t>35MM² X M10</t>
  </si>
  <si>
    <t xml:space="preserve">16A/220V 3PIN </t>
  </si>
  <si>
    <t>WHITE 3C X 2.5MM² 100YARD / ROLL</t>
  </si>
  <si>
    <t>10MM² X M6</t>
  </si>
  <si>
    <t xml:space="preserve"> PVC 2" X 25M HD BLACK</t>
  </si>
  <si>
    <t>(380V x 32A x 3P : 10PCS, 220V x 32A x 1P :10 PCS)</t>
  </si>
  <si>
    <t>16A/220V 3PIN</t>
  </si>
  <si>
    <t xml:space="preserve"> 95MM² X M10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</si>
  <si>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</si>
  <si>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</si>
  <si>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</si>
  <si>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</si>
  <si>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</si>
  <si>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</si>
  <si>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</si>
  <si>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</si>
  <si>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</si>
  <si>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</si>
  <si>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</si>
  <si>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</si>
  <si>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</si>
  <si>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</si>
  <si>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Terminal Block/Strip</t>
  </si>
  <si>
    <t>Mcb</t>
  </si>
  <si>
    <t>Flexible Cable</t>
  </si>
  <si>
    <t xml:space="preserve">Cable Lug </t>
  </si>
  <si>
    <t>Cable Lug</t>
  </si>
  <si>
    <t>Mobile Plug Ip66/67</t>
  </si>
  <si>
    <t>Mobile Socket Ip66/67</t>
  </si>
  <si>
    <t xml:space="preserve">Flexible Cable </t>
  </si>
  <si>
    <t>Flexible Conduit</t>
  </si>
  <si>
    <t>Panel Board Fab</t>
  </si>
  <si>
    <t xml:space="preserve"> Mobile Plug Ip66/67</t>
  </si>
  <si>
    <t xml:space="preserve"> Mobile Socket Ip66/67</t>
  </si>
  <si>
    <t>OSAZ ELECTRICALS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</si>
</sst>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9" xfId="1" applyFill="1" applyBorder="1" applyAlignment="1">
      <alignment vertical="center"/>
    </xf>
    <xf numFmtId="0" fontId="2" fillId="2" borderId="9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6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6" xfId="6" applyFont="1" applyFill="1" applyBorder="1" applyAlignment="1">
      <alignment horizontal="center" vertical="center" wrapText="1"/>
    </xf>
    <xf numFmtId="43" fontId="12" fillId="0" borderId="16" xfId="6" quotePrefix="1" applyNumberFormat="1" applyFont="1" applyBorder="1" applyAlignment="1">
      <alignment vertical="center" wrapText="1"/>
    </xf>
    <xf numFmtId="0" fontId="7" fillId="0" borderId="30" xfId="6" applyFont="1" applyBorder="1"/>
    <xf numFmtId="170" fontId="9" fillId="0" borderId="37" xfId="6" applyNumberFormat="1" applyFont="1" applyBorder="1" applyAlignment="1">
      <alignment horizontal="center" vertical="center" wrapText="1"/>
    </xf>
    <xf numFmtId="0" fontId="7" fillId="0" borderId="38" xfId="6" applyFont="1" applyBorder="1"/>
    <xf numFmtId="0" fontId="9" fillId="0" borderId="0" xfId="6" applyFont="1" applyAlignment="1">
      <alignment vertical="center"/>
    </xf>
    <xf numFmtId="0" fontId="25" fillId="0" borderId="39" xfId="6" applyFont="1" applyBorder="1" applyAlignment="1">
      <alignment vertical="center"/>
    </xf>
    <xf numFmtId="0" fontId="25" fillId="0" borderId="39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1" xfId="6" quotePrefix="1" applyFont="1" applyBorder="1" applyAlignment="1">
      <alignment horizontal="center" vertical="center"/>
    </xf>
    <xf numFmtId="0" fontId="5" fillId="2" borderId="34" xfId="7" applyFont="1" applyFill="1" applyBorder="1" applyAlignment="1">
      <alignment horizontal="center" vertical="center" wrapText="1"/>
    </xf>
    <xf numFmtId="0" fontId="5" fillId="2" borderId="34" xfId="8" applyFont="1" applyFill="1" applyBorder="1" applyAlignment="1">
      <alignment horizontal="center" vertical="center"/>
    </xf>
    <xf numFmtId="43" fontId="5" fillId="0" borderId="34" xfId="9" quotePrefix="1" applyFont="1" applyFill="1" applyBorder="1" applyAlignment="1">
      <alignment vertical="center"/>
    </xf>
    <xf numFmtId="43" fontId="5" fillId="0" borderId="34" xfId="6" applyNumberFormat="1" applyFont="1" applyBorder="1" applyAlignment="1">
      <alignment vertical="center"/>
    </xf>
    <xf numFmtId="0" fontId="2" fillId="0" borderId="35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29" xfId="6" quotePrefix="1" applyFont="1" applyBorder="1" applyAlignment="1">
      <alignment horizontal="center" vertical="center"/>
    </xf>
    <xf numFmtId="0" fontId="2" fillId="0" borderId="30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6" xfId="0" applyFont="1" applyBorder="1" applyAlignment="1">
      <alignment horizontal="center" vertical="center"/>
    </xf>
    <xf numFmtId="172" fontId="41" fillId="0" borderId="16" xfId="10" applyNumberFormat="1" applyFont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0" borderId="8" xfId="0" quotePrefix="1" applyFont="1" applyBorder="1" applyAlignment="1">
      <alignment vertical="center" wrapText="1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8" xfId="1" applyFill="1" applyBorder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0" xfId="5" applyFont="1" applyFill="1" applyBorder="1"/>
    <xf numFmtId="0" fontId="17" fillId="3" borderId="40" xfId="5" applyFont="1" applyFill="1" applyBorder="1"/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vertical="center"/>
    </xf>
    <xf numFmtId="0" fontId="5" fillId="2" borderId="9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1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5" fillId="2" borderId="0" xfId="1" applyFont="1" applyFill="1" applyAlignment="1">
      <alignment vertical="center" wrapText="1"/>
    </xf>
    <xf numFmtId="0" fontId="5" fillId="2" borderId="8" xfId="1" applyFont="1" applyFill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7" fillId="2" borderId="8" xfId="1" quotePrefix="1" applyFont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8" xfId="1" applyFill="1" applyBorder="1" applyAlignment="1">
      <alignment vertical="center" wrapText="1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0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vertical="center" wrapText="1"/>
    </xf>
    <xf numFmtId="0" fontId="5" fillId="2" borderId="11" xfId="1" applyFont="1" applyFill="1" applyBorder="1" applyAlignment="1">
      <alignment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vertical="center" wrapText="1"/>
    </xf>
    <xf numFmtId="0" fontId="5" fillId="2" borderId="0" xfId="1" applyFont="1" applyFill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2" fillId="2" borderId="8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vertical="center"/>
    </xf>
    <xf numFmtId="0" fontId="5" fillId="2" borderId="11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41" fillId="0" borderId="17" xfId="0" applyFont="1" applyBorder="1" applyAlignment="1">
      <alignment horizontal="left" vertical="center" wrapText="1"/>
    </xf>
    <xf numFmtId="0" fontId="41" fillId="0" borderId="18" xfId="0" applyFont="1" applyBorder="1" applyAlignment="1">
      <alignment horizontal="left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14" fillId="2" borderId="16" xfId="1" applyFont="1" applyFill="1" applyBorder="1" applyAlignment="1">
      <alignment horizontal="center" vertical="center" wrapText="1"/>
    </xf>
    <xf numFmtId="0" fontId="14" fillId="2" borderId="16" xfId="1" applyFont="1" applyFill="1" applyBorder="1" applyAlignment="1">
      <alignment horizontal="center" vertical="center"/>
    </xf>
    <xf numFmtId="0" fontId="12" fillId="0" borderId="29" xfId="6" quotePrefix="1" applyFont="1" applyBorder="1" applyAlignment="1">
      <alignment horizontal="right" vertical="center"/>
    </xf>
    <xf numFmtId="0" fontId="12" fillId="0" borderId="16" xfId="6" quotePrefix="1" applyFont="1" applyBorder="1" applyAlignment="1">
      <alignment horizontal="right" vertical="center"/>
    </xf>
    <xf numFmtId="0" fontId="9" fillId="0" borderId="36" xfId="6" quotePrefix="1" applyFont="1" applyBorder="1" applyAlignment="1">
      <alignment horizontal="right" vertical="center"/>
    </xf>
    <xf numFmtId="0" fontId="9" fillId="0" borderId="37" xfId="6" quotePrefix="1" applyFont="1" applyBorder="1" applyAlignment="1">
      <alignment horizontal="right" vertical="center"/>
    </xf>
    <xf numFmtId="0" fontId="41" fillId="3" borderId="32" xfId="5" applyFont="1" applyFill="1" applyBorder="1" applyAlignment="1">
      <alignment horizontal="left" vertical="center" wrapText="1"/>
    </xf>
    <xf numFmtId="0" fontId="41" fillId="3" borderId="33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1" xfId="6" applyFont="1" applyBorder="1" applyAlignment="1">
      <alignment horizontal="right" vertical="center"/>
    </xf>
    <xf numFmtId="0" fontId="7" fillId="4" borderId="22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6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715879</xdr:colOff>
          <xdr:row>32</xdr:row>
          <xdr:rowOff>117308</xdr:rowOff>
        </xdr:from>
        <xdr:to>
          <xdr:col>11</xdr:col>
          <xdr:colOff>1563102</xdr:colOff>
          <xdr:row>39</xdr:row>
          <xdr:rowOff>145883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4DF08D5D-C2E4-7040-2857-CBAC4EFCC4C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5:$Y$41" spid="_x0000_s12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07958" y="9642308"/>
              <a:ext cx="8457197" cy="259531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1BB32867-E5B2-4F42-9423-1DDA5F62513D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34709591-7D5E-4424-89B2-90E7838EE109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67"/>
  <sheetViews>
    <sheetView showGridLines="0" tabSelected="1" view="pageBreakPreview" zoomScale="95" zoomScaleNormal="95" zoomScaleSheetLayoutView="95" workbookViewId="0">
      <selection activeCell="Q15" sqref="Q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5" width="13.5703125" style="1" customWidth="1"/>
    <col min="16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4" t="s">
        <v>147</v>
      </c>
      <c r="B1" s="115"/>
      <c r="C1" s="95"/>
      <c r="D1" s="95"/>
      <c r="E1" s="95"/>
      <c r="F1" s="95"/>
      <c r="G1" s="1"/>
      <c r="J1" s="146" t="s">
        <v>81</v>
      </c>
      <c r="K1" s="147"/>
      <c r="L1" s="148"/>
    </row>
    <row r="2" spans="1:18" ht="20.100000000000001" customHeight="1">
      <c r="A2" s="3" t="s">
        <v>1</v>
      </c>
      <c r="B2" s="89"/>
      <c r="C2" s="89"/>
      <c r="D2" s="3" t="s">
        <v>148</v>
      </c>
      <c r="E2" s="89"/>
      <c r="F2" s="89"/>
      <c r="G2" s="89"/>
      <c r="H2" s="89"/>
      <c r="I2" s="4"/>
      <c r="J2" s="149" t="s">
        <v>88</v>
      </c>
      <c r="K2" s="150"/>
      <c r="L2" s="151"/>
    </row>
    <row r="3" spans="1:18" ht="20.100000000000001" customHeight="1">
      <c r="A3" s="3" t="s">
        <v>118</v>
      </c>
      <c r="B3" s="89"/>
      <c r="C3" s="89"/>
      <c r="D3" s="89"/>
      <c r="E3" s="152">
        <f>+L3+3</f>
        <v>46253</v>
      </c>
      <c r="F3" s="152"/>
      <c r="G3" s="152"/>
      <c r="H3" s="152"/>
      <c r="I3" s="152"/>
      <c r="J3" s="89"/>
      <c r="K3" s="89"/>
      <c r="L3" s="116">
        <v>46250</v>
      </c>
      <c r="M3" s="4"/>
    </row>
    <row r="4" spans="1:18" ht="15.95" customHeight="1">
      <c r="A4" s="144" t="s">
        <v>2</v>
      </c>
      <c r="B4" s="145" t="s">
        <v>3</v>
      </c>
      <c r="C4" s="145"/>
      <c r="D4" s="144" t="s">
        <v>4</v>
      </c>
      <c r="E4" s="144"/>
      <c r="F4" s="144"/>
      <c r="G4" s="145" t="s">
        <v>5</v>
      </c>
      <c r="H4" s="144" t="s">
        <v>6</v>
      </c>
      <c r="I4" s="144" t="s">
        <v>85</v>
      </c>
      <c r="J4" s="144" t="s">
        <v>86</v>
      </c>
      <c r="K4" s="144" t="s">
        <v>0</v>
      </c>
      <c r="L4" s="145" t="s">
        <v>7</v>
      </c>
    </row>
    <row r="5" spans="1:18" ht="15.95" customHeight="1">
      <c r="A5" s="144"/>
      <c r="B5" s="145"/>
      <c r="C5" s="145"/>
      <c r="D5" s="144"/>
      <c r="E5" s="144"/>
      <c r="F5" s="144"/>
      <c r="G5" s="145"/>
      <c r="H5" s="144"/>
      <c r="I5" s="144"/>
      <c r="J5" s="144"/>
      <c r="K5" s="144"/>
      <c r="L5" s="145"/>
    </row>
    <row r="6" spans="1:18" ht="30" customHeight="1">
      <c r="A6" s="5">
        <f t="shared" ref="A6:A29" si="0">ROW(A1)</f>
        <v>1</v>
      </c>
      <c r="B6" s="143" t="s">
        <v>149</v>
      </c>
      <c r="C6" s="143"/>
      <c r="D6" s="142" t="s">
        <v>120</v>
      </c>
      <c r="E6" s="142"/>
      <c r="F6" s="142"/>
      <c r="G6" s="119" t="s">
        <v>106</v>
      </c>
      <c r="H6" s="119">
        <v>10</v>
      </c>
      <c r="I6" s="120">
        <v>1.5</v>
      </c>
      <c r="J6" s="121">
        <f>H6*I6</f>
        <v>15</v>
      </c>
      <c r="K6" s="122" t="s">
        <v>105</v>
      </c>
      <c r="L6" s="96" t="s">
        <v>91</v>
      </c>
      <c r="O6" s="1" t="str">
        <f>PROPER(B6)</f>
        <v>Terminal Block/Strip</v>
      </c>
      <c r="R6" s="94"/>
    </row>
    <row r="7" spans="1:18" ht="30" customHeight="1">
      <c r="A7" s="5">
        <f t="shared" si="0"/>
        <v>2</v>
      </c>
      <c r="B7" s="143" t="s">
        <v>149</v>
      </c>
      <c r="C7" s="143"/>
      <c r="D7" s="142" t="s">
        <v>121</v>
      </c>
      <c r="E7" s="142"/>
      <c r="F7" s="142"/>
      <c r="G7" s="119" t="s">
        <v>106</v>
      </c>
      <c r="H7" s="119">
        <v>10</v>
      </c>
      <c r="I7" s="120">
        <v>1.5</v>
      </c>
      <c r="J7" s="121">
        <f t="shared" ref="J7:J30" si="1">H7*I7</f>
        <v>15</v>
      </c>
      <c r="K7" s="122"/>
      <c r="L7" s="96"/>
      <c r="O7" s="1" t="str">
        <f t="shared" ref="O7:O29" si="2">PROPER(B7)</f>
        <v>Terminal Block/Strip</v>
      </c>
      <c r="R7" s="94"/>
    </row>
    <row r="8" spans="1:18" ht="23.25" customHeight="1">
      <c r="A8" s="5">
        <f t="shared" si="0"/>
        <v>3</v>
      </c>
      <c r="B8" s="143" t="s">
        <v>150</v>
      </c>
      <c r="C8" s="143"/>
      <c r="D8" s="142" t="s">
        <v>122</v>
      </c>
      <c r="E8" s="142"/>
      <c r="F8" s="142"/>
      <c r="G8" s="119" t="s">
        <v>106</v>
      </c>
      <c r="H8" s="119">
        <v>50</v>
      </c>
      <c r="I8" s="120">
        <v>11</v>
      </c>
      <c r="J8" s="121">
        <f t="shared" si="1"/>
        <v>550</v>
      </c>
      <c r="K8" s="122"/>
      <c r="L8" s="96"/>
      <c r="O8" s="1" t="str">
        <f t="shared" si="2"/>
        <v>Mcb</v>
      </c>
      <c r="R8" s="94"/>
    </row>
    <row r="9" spans="1:18" ht="23.25" customHeight="1">
      <c r="A9" s="5">
        <f t="shared" si="0"/>
        <v>4</v>
      </c>
      <c r="B9" s="143" t="s">
        <v>151</v>
      </c>
      <c r="C9" s="143"/>
      <c r="D9" s="142" t="s">
        <v>123</v>
      </c>
      <c r="E9" s="142"/>
      <c r="F9" s="142"/>
      <c r="G9" s="119" t="s">
        <v>119</v>
      </c>
      <c r="H9" s="119">
        <v>20</v>
      </c>
      <c r="I9" s="120">
        <v>135</v>
      </c>
      <c r="J9" s="121">
        <f t="shared" si="1"/>
        <v>2700</v>
      </c>
      <c r="K9" s="122"/>
      <c r="L9" s="96"/>
      <c r="O9" s="1" t="str">
        <f t="shared" si="2"/>
        <v>Flexible Cable</v>
      </c>
      <c r="R9" s="94"/>
    </row>
    <row r="10" spans="1:18" ht="23.25" customHeight="1">
      <c r="A10" s="5">
        <f t="shared" si="0"/>
        <v>5</v>
      </c>
      <c r="B10" s="143" t="s">
        <v>152</v>
      </c>
      <c r="C10" s="143"/>
      <c r="D10" s="142" t="s">
        <v>124</v>
      </c>
      <c r="E10" s="142"/>
      <c r="F10" s="142"/>
      <c r="G10" s="119" t="s">
        <v>106</v>
      </c>
      <c r="H10" s="119">
        <v>200</v>
      </c>
      <c r="I10" s="120">
        <v>0.4</v>
      </c>
      <c r="J10" s="121">
        <f t="shared" si="1"/>
        <v>80</v>
      </c>
      <c r="K10" s="122"/>
      <c r="L10" s="96"/>
      <c r="O10" s="1" t="str">
        <f t="shared" si="2"/>
        <v xml:space="preserve">Cable Lug </v>
      </c>
      <c r="R10" s="94"/>
    </row>
    <row r="11" spans="1:18" ht="23.25" customHeight="1">
      <c r="A11" s="5">
        <f t="shared" si="0"/>
        <v>6</v>
      </c>
      <c r="B11" s="143" t="s">
        <v>153</v>
      </c>
      <c r="C11" s="143"/>
      <c r="D11" s="142" t="s">
        <v>125</v>
      </c>
      <c r="E11" s="142"/>
      <c r="F11" s="142"/>
      <c r="G11" s="119" t="s">
        <v>106</v>
      </c>
      <c r="H11" s="119">
        <v>200</v>
      </c>
      <c r="I11" s="120">
        <v>3.7</v>
      </c>
      <c r="J11" s="121">
        <f t="shared" si="1"/>
        <v>740</v>
      </c>
      <c r="K11" s="122"/>
      <c r="L11" s="96"/>
      <c r="O11" s="1" t="str">
        <f t="shared" si="2"/>
        <v>Cable Lug</v>
      </c>
      <c r="R11" s="94"/>
    </row>
    <row r="12" spans="1:18" ht="23.25" customHeight="1">
      <c r="A12" s="5">
        <f t="shared" si="0"/>
        <v>7</v>
      </c>
      <c r="B12" s="143" t="s">
        <v>152</v>
      </c>
      <c r="C12" s="143"/>
      <c r="D12" s="142" t="s">
        <v>126</v>
      </c>
      <c r="E12" s="142"/>
      <c r="F12" s="142"/>
      <c r="G12" s="119" t="s">
        <v>106</v>
      </c>
      <c r="H12" s="119">
        <v>200</v>
      </c>
      <c r="I12" s="120">
        <v>2.1</v>
      </c>
      <c r="J12" s="121">
        <f t="shared" si="1"/>
        <v>420</v>
      </c>
      <c r="K12" s="122"/>
      <c r="L12" s="96"/>
      <c r="O12" s="1" t="str">
        <f t="shared" si="2"/>
        <v xml:space="preserve">Cable Lug </v>
      </c>
      <c r="R12" s="94"/>
    </row>
    <row r="13" spans="1:18" ht="23.25" customHeight="1">
      <c r="A13" s="5">
        <f t="shared" si="0"/>
        <v>8</v>
      </c>
      <c r="B13" s="143" t="s">
        <v>152</v>
      </c>
      <c r="C13" s="143"/>
      <c r="D13" s="142" t="s">
        <v>127</v>
      </c>
      <c r="E13" s="142"/>
      <c r="F13" s="142"/>
      <c r="G13" s="119" t="s">
        <v>106</v>
      </c>
      <c r="H13" s="119">
        <v>200</v>
      </c>
      <c r="I13" s="120">
        <v>1.75</v>
      </c>
      <c r="J13" s="121">
        <f t="shared" si="1"/>
        <v>350</v>
      </c>
      <c r="K13" s="122"/>
      <c r="L13" s="96"/>
      <c r="O13" s="1" t="str">
        <f t="shared" si="2"/>
        <v xml:space="preserve">Cable Lug </v>
      </c>
      <c r="R13" s="94"/>
    </row>
    <row r="14" spans="1:18" ht="23.25" customHeight="1">
      <c r="A14" s="5">
        <f t="shared" si="0"/>
        <v>9</v>
      </c>
      <c r="B14" s="143" t="s">
        <v>154</v>
      </c>
      <c r="C14" s="143"/>
      <c r="D14" s="142" t="s">
        <v>128</v>
      </c>
      <c r="E14" s="142"/>
      <c r="F14" s="142"/>
      <c r="G14" s="119" t="s">
        <v>106</v>
      </c>
      <c r="H14" s="119">
        <v>200</v>
      </c>
      <c r="I14" s="120">
        <v>20</v>
      </c>
      <c r="J14" s="121">
        <f t="shared" si="1"/>
        <v>4000</v>
      </c>
      <c r="K14" s="122"/>
      <c r="L14" s="96"/>
      <c r="O14" s="1" t="str">
        <f t="shared" si="2"/>
        <v>Mobile Plug Ip66/67</v>
      </c>
      <c r="R14" s="94"/>
    </row>
    <row r="15" spans="1:18" ht="23.25" customHeight="1">
      <c r="A15" s="5">
        <f t="shared" si="0"/>
        <v>10</v>
      </c>
      <c r="B15" s="143" t="s">
        <v>155</v>
      </c>
      <c r="C15" s="143"/>
      <c r="D15" s="142" t="s">
        <v>128</v>
      </c>
      <c r="E15" s="142"/>
      <c r="F15" s="142"/>
      <c r="G15" s="119" t="s">
        <v>106</v>
      </c>
      <c r="H15" s="119">
        <v>200</v>
      </c>
      <c r="I15" s="120">
        <v>32</v>
      </c>
      <c r="J15" s="121">
        <f t="shared" ref="J15:J29" si="3">H15*I15</f>
        <v>6400</v>
      </c>
      <c r="K15" s="122"/>
      <c r="L15" s="96"/>
      <c r="O15" s="1" t="str">
        <f t="shared" si="2"/>
        <v>Mobile Socket Ip66/67</v>
      </c>
      <c r="R15" s="94"/>
    </row>
    <row r="16" spans="1:18" ht="23.25" customHeight="1">
      <c r="A16" s="5">
        <f t="shared" si="0"/>
        <v>11</v>
      </c>
      <c r="B16" s="143" t="s">
        <v>156</v>
      </c>
      <c r="C16" s="143"/>
      <c r="D16" s="142" t="s">
        <v>129</v>
      </c>
      <c r="E16" s="142"/>
      <c r="F16" s="142"/>
      <c r="G16" s="119" t="s">
        <v>119</v>
      </c>
      <c r="H16" s="119">
        <v>3</v>
      </c>
      <c r="I16" s="120">
        <v>290</v>
      </c>
      <c r="J16" s="121">
        <f t="shared" si="3"/>
        <v>870</v>
      </c>
      <c r="K16" s="122"/>
      <c r="L16" s="96"/>
      <c r="O16" s="1" t="str">
        <f t="shared" si="2"/>
        <v xml:space="preserve">Flexible Cable </v>
      </c>
      <c r="R16" s="94"/>
    </row>
    <row r="17" spans="1:18" ht="23.25" customHeight="1">
      <c r="A17" s="5">
        <f t="shared" si="0"/>
        <v>12</v>
      </c>
      <c r="B17" s="143" t="s">
        <v>152</v>
      </c>
      <c r="C17" s="143"/>
      <c r="D17" s="142" t="s">
        <v>124</v>
      </c>
      <c r="E17" s="142"/>
      <c r="F17" s="142"/>
      <c r="G17" s="119" t="s">
        <v>106</v>
      </c>
      <c r="H17" s="119">
        <v>500</v>
      </c>
      <c r="I17" s="120">
        <v>0.4</v>
      </c>
      <c r="J17" s="121">
        <f t="shared" si="3"/>
        <v>200</v>
      </c>
      <c r="K17" s="122"/>
      <c r="L17" s="96"/>
      <c r="O17" s="1" t="str">
        <f t="shared" si="2"/>
        <v xml:space="preserve">Cable Lug </v>
      </c>
      <c r="R17" s="94"/>
    </row>
    <row r="18" spans="1:18" ht="23.25" customHeight="1">
      <c r="A18" s="5">
        <f t="shared" si="0"/>
        <v>13</v>
      </c>
      <c r="B18" s="143" t="s">
        <v>152</v>
      </c>
      <c r="C18" s="143"/>
      <c r="D18" s="142" t="s">
        <v>130</v>
      </c>
      <c r="E18" s="142"/>
      <c r="F18" s="142"/>
      <c r="G18" s="119" t="s">
        <v>106</v>
      </c>
      <c r="H18" s="119">
        <v>200</v>
      </c>
      <c r="I18" s="120">
        <v>0.48</v>
      </c>
      <c r="J18" s="121">
        <f t="shared" si="3"/>
        <v>96</v>
      </c>
      <c r="K18" s="122"/>
      <c r="L18" s="96"/>
      <c r="O18" s="1" t="str">
        <f t="shared" si="2"/>
        <v xml:space="preserve">Cable Lug </v>
      </c>
      <c r="R18" s="94"/>
    </row>
    <row r="19" spans="1:18" ht="23.25" customHeight="1">
      <c r="A19" s="5">
        <f t="shared" si="0"/>
        <v>14</v>
      </c>
      <c r="B19" s="143" t="s">
        <v>157</v>
      </c>
      <c r="C19" s="143"/>
      <c r="D19" s="142" t="s">
        <v>131</v>
      </c>
      <c r="E19" s="142"/>
      <c r="F19" s="142"/>
      <c r="G19" s="119" t="s">
        <v>119</v>
      </c>
      <c r="H19" s="119">
        <v>5</v>
      </c>
      <c r="I19" s="120">
        <v>160</v>
      </c>
      <c r="J19" s="121">
        <f t="shared" si="3"/>
        <v>800</v>
      </c>
      <c r="K19" s="122"/>
      <c r="L19" s="96"/>
      <c r="O19" s="1" t="str">
        <f t="shared" si="2"/>
        <v>Flexible Conduit</v>
      </c>
      <c r="R19" s="94"/>
    </row>
    <row r="20" spans="1:18" ht="23.25" customHeight="1">
      <c r="A20" s="5">
        <f t="shared" si="0"/>
        <v>15</v>
      </c>
      <c r="B20" s="143" t="s">
        <v>158</v>
      </c>
      <c r="C20" s="143"/>
      <c r="D20" s="142" t="s">
        <v>132</v>
      </c>
      <c r="E20" s="142"/>
      <c r="F20" s="142"/>
      <c r="G20" s="119" t="s">
        <v>107</v>
      </c>
      <c r="H20" s="119">
        <v>10</v>
      </c>
      <c r="I20" s="120">
        <v>8900</v>
      </c>
      <c r="J20" s="121">
        <f t="shared" si="3"/>
        <v>89000</v>
      </c>
      <c r="K20" s="122"/>
      <c r="L20" s="96"/>
      <c r="O20" s="1" t="str">
        <f t="shared" si="2"/>
        <v>Panel Board Fab</v>
      </c>
      <c r="R20" s="94"/>
    </row>
    <row r="21" spans="1:18" ht="23.25" customHeight="1">
      <c r="A21" s="5">
        <f t="shared" si="0"/>
        <v>16</v>
      </c>
      <c r="B21" s="143" t="s">
        <v>154</v>
      </c>
      <c r="C21" s="143"/>
      <c r="D21" s="142" t="s">
        <v>128</v>
      </c>
      <c r="E21" s="142"/>
      <c r="F21" s="142"/>
      <c r="G21" s="119" t="s">
        <v>106</v>
      </c>
      <c r="H21" s="119">
        <v>50</v>
      </c>
      <c r="I21" s="120">
        <v>20</v>
      </c>
      <c r="J21" s="121">
        <f t="shared" si="3"/>
        <v>1000</v>
      </c>
      <c r="K21" s="122"/>
      <c r="L21" s="96"/>
      <c r="O21" s="1" t="str">
        <f t="shared" si="2"/>
        <v>Mobile Plug Ip66/67</v>
      </c>
      <c r="R21" s="94"/>
    </row>
    <row r="22" spans="1:18" ht="23.25" customHeight="1">
      <c r="A22" s="5">
        <f t="shared" si="0"/>
        <v>17</v>
      </c>
      <c r="B22" s="143" t="s">
        <v>159</v>
      </c>
      <c r="C22" s="143"/>
      <c r="D22" s="142" t="s">
        <v>133</v>
      </c>
      <c r="E22" s="142"/>
      <c r="F22" s="142"/>
      <c r="G22" s="119" t="s">
        <v>106</v>
      </c>
      <c r="H22" s="119">
        <v>50</v>
      </c>
      <c r="I22" s="120">
        <v>20</v>
      </c>
      <c r="J22" s="121">
        <f t="shared" si="3"/>
        <v>1000</v>
      </c>
      <c r="K22" s="122"/>
      <c r="L22" s="96"/>
      <c r="O22" s="1" t="str">
        <f t="shared" si="2"/>
        <v xml:space="preserve"> Mobile Plug Ip66/67</v>
      </c>
      <c r="R22" s="94"/>
    </row>
    <row r="23" spans="1:18" ht="23.25" customHeight="1">
      <c r="A23" s="5">
        <f t="shared" si="0"/>
        <v>18</v>
      </c>
      <c r="B23" s="143" t="s">
        <v>160</v>
      </c>
      <c r="C23" s="143"/>
      <c r="D23" s="142" t="s">
        <v>133</v>
      </c>
      <c r="E23" s="142"/>
      <c r="F23" s="142"/>
      <c r="G23" s="119" t="s">
        <v>106</v>
      </c>
      <c r="H23" s="119">
        <v>50</v>
      </c>
      <c r="I23" s="120">
        <v>32</v>
      </c>
      <c r="J23" s="121">
        <f t="shared" si="3"/>
        <v>1600</v>
      </c>
      <c r="K23" s="122"/>
      <c r="L23" s="96"/>
      <c r="O23" s="1" t="str">
        <f t="shared" si="2"/>
        <v xml:space="preserve"> Mobile Socket Ip66/67</v>
      </c>
      <c r="R23" s="94"/>
    </row>
    <row r="24" spans="1:18" ht="23.25" customHeight="1">
      <c r="A24" s="5">
        <f t="shared" si="0"/>
        <v>19</v>
      </c>
      <c r="B24" s="143" t="s">
        <v>154</v>
      </c>
      <c r="C24" s="143"/>
      <c r="D24" s="142" t="s">
        <v>128</v>
      </c>
      <c r="E24" s="142"/>
      <c r="F24" s="142"/>
      <c r="G24" s="119" t="s">
        <v>106</v>
      </c>
      <c r="H24" s="119">
        <v>40</v>
      </c>
      <c r="I24" s="120">
        <v>20</v>
      </c>
      <c r="J24" s="121">
        <f t="shared" si="3"/>
        <v>800</v>
      </c>
      <c r="K24" s="122"/>
      <c r="L24" s="96"/>
      <c r="O24" s="1" t="str">
        <f t="shared" si="2"/>
        <v>Mobile Plug Ip66/67</v>
      </c>
      <c r="R24" s="94"/>
    </row>
    <row r="25" spans="1:18" ht="23.25" customHeight="1">
      <c r="A25" s="5">
        <f t="shared" si="0"/>
        <v>20</v>
      </c>
      <c r="B25" s="143" t="s">
        <v>155</v>
      </c>
      <c r="C25" s="143"/>
      <c r="D25" s="142" t="s">
        <v>128</v>
      </c>
      <c r="E25" s="142"/>
      <c r="F25" s="142"/>
      <c r="G25" s="119" t="s">
        <v>106</v>
      </c>
      <c r="H25" s="119">
        <v>40</v>
      </c>
      <c r="I25" s="120">
        <v>32</v>
      </c>
      <c r="J25" s="121">
        <f t="shared" si="3"/>
        <v>1280</v>
      </c>
      <c r="K25" s="122"/>
      <c r="L25" s="96"/>
      <c r="O25" s="1" t="str">
        <f t="shared" si="2"/>
        <v>Mobile Socket Ip66/67</v>
      </c>
      <c r="R25" s="94"/>
    </row>
    <row r="26" spans="1:18" ht="23.25" customHeight="1">
      <c r="A26" s="5">
        <f t="shared" si="0"/>
        <v>21</v>
      </c>
      <c r="B26" s="143" t="s">
        <v>153</v>
      </c>
      <c r="C26" s="143"/>
      <c r="D26" s="142" t="s">
        <v>134</v>
      </c>
      <c r="E26" s="142"/>
      <c r="F26" s="142"/>
      <c r="G26" s="119" t="s">
        <v>106</v>
      </c>
      <c r="H26" s="119">
        <v>20</v>
      </c>
      <c r="I26" s="120">
        <v>5.0999999999999996</v>
      </c>
      <c r="J26" s="121">
        <f t="shared" si="3"/>
        <v>102</v>
      </c>
      <c r="K26" s="122"/>
      <c r="L26" s="96"/>
      <c r="O26" s="1" t="str">
        <f t="shared" si="2"/>
        <v>Cable Lug</v>
      </c>
      <c r="R26" s="94"/>
    </row>
    <row r="27" spans="1:18" ht="23.25" customHeight="1">
      <c r="A27" s="5">
        <f t="shared" si="0"/>
        <v>22</v>
      </c>
      <c r="B27" s="143" t="s">
        <v>154</v>
      </c>
      <c r="C27" s="143"/>
      <c r="D27" s="142" t="s">
        <v>128</v>
      </c>
      <c r="E27" s="142"/>
      <c r="F27" s="142"/>
      <c r="G27" s="119" t="s">
        <v>106</v>
      </c>
      <c r="H27" s="119">
        <v>50</v>
      </c>
      <c r="I27" s="120">
        <v>20</v>
      </c>
      <c r="J27" s="121">
        <f t="shared" si="3"/>
        <v>1000</v>
      </c>
      <c r="K27" s="122"/>
      <c r="L27" s="96"/>
      <c r="O27" s="1" t="str">
        <f t="shared" si="2"/>
        <v>Mobile Plug Ip66/67</v>
      </c>
      <c r="R27" s="94"/>
    </row>
    <row r="28" spans="1:18" ht="23.25" customHeight="1">
      <c r="A28" s="5">
        <f t="shared" si="0"/>
        <v>23</v>
      </c>
      <c r="B28" s="143" t="s">
        <v>155</v>
      </c>
      <c r="C28" s="143"/>
      <c r="D28" s="142" t="s">
        <v>128</v>
      </c>
      <c r="E28" s="142"/>
      <c r="F28" s="142"/>
      <c r="G28" s="119" t="s">
        <v>106</v>
      </c>
      <c r="H28" s="119">
        <v>50</v>
      </c>
      <c r="I28" s="120">
        <v>32</v>
      </c>
      <c r="J28" s="121">
        <f t="shared" si="3"/>
        <v>1600</v>
      </c>
      <c r="K28" s="122"/>
      <c r="L28" s="96"/>
      <c r="O28" s="1" t="str">
        <f t="shared" si="2"/>
        <v>Mobile Socket Ip66/67</v>
      </c>
      <c r="R28" s="94"/>
    </row>
    <row r="29" spans="1:18" ht="23.25" customHeight="1">
      <c r="A29" s="5">
        <f t="shared" si="0"/>
        <v>24</v>
      </c>
      <c r="B29" s="143" t="s">
        <v>152</v>
      </c>
      <c r="C29" s="143"/>
      <c r="D29" s="142" t="s">
        <v>127</v>
      </c>
      <c r="E29" s="142"/>
      <c r="F29" s="142"/>
      <c r="G29" s="119" t="s">
        <v>106</v>
      </c>
      <c r="H29" s="119">
        <v>200</v>
      </c>
      <c r="I29" s="120">
        <v>1.75</v>
      </c>
      <c r="J29" s="121">
        <f t="shared" si="3"/>
        <v>350</v>
      </c>
      <c r="K29" s="122"/>
      <c r="L29" s="96"/>
      <c r="O29" s="1" t="str">
        <f t="shared" si="2"/>
        <v xml:space="preserve">Cable Lug </v>
      </c>
      <c r="R29" s="94"/>
    </row>
    <row r="30" spans="1:18" ht="23.25" customHeight="1">
      <c r="A30" s="5"/>
      <c r="B30" s="143"/>
      <c r="C30" s="143"/>
      <c r="D30" s="142"/>
      <c r="E30" s="142"/>
      <c r="F30" s="142"/>
      <c r="G30" s="119"/>
      <c r="H30" s="119"/>
      <c r="I30" s="120"/>
      <c r="J30" s="121">
        <f t="shared" si="1"/>
        <v>0</v>
      </c>
      <c r="K30" s="122"/>
      <c r="L30" s="96"/>
      <c r="R30" s="94"/>
    </row>
    <row r="31" spans="1:18" ht="23.25" customHeight="1">
      <c r="A31" s="157" t="s">
        <v>8</v>
      </c>
      <c r="B31" s="157"/>
      <c r="C31" s="123"/>
      <c r="D31" s="124"/>
      <c r="E31" s="124"/>
      <c r="F31" s="124"/>
      <c r="G31" s="125"/>
      <c r="H31" s="125"/>
      <c r="I31" s="100" t="s">
        <v>9</v>
      </c>
      <c r="J31" s="121">
        <f>SUM(J6:J30)</f>
        <v>114968</v>
      </c>
      <c r="K31" s="121"/>
      <c r="L31" s="97"/>
    </row>
    <row r="32" spans="1:18" ht="20.100000000000001" customHeight="1">
      <c r="A32" s="6" t="s">
        <v>10</v>
      </c>
      <c r="B32" s="7"/>
      <c r="C32" s="7"/>
      <c r="D32" s="7"/>
      <c r="E32" s="7"/>
      <c r="F32" s="7"/>
      <c r="G32" s="7"/>
      <c r="H32" s="7"/>
      <c r="I32" s="7"/>
      <c r="J32" s="7"/>
      <c r="K32" s="8"/>
      <c r="L32" s="9"/>
    </row>
    <row r="33" spans="1:26" ht="18" customHeight="1">
      <c r="A33" s="10"/>
      <c r="J33" s="1"/>
      <c r="K33" s="1"/>
      <c r="O33" s="117"/>
      <c r="P33" s="11"/>
      <c r="Q33" s="11"/>
      <c r="R33" s="11"/>
      <c r="S33" s="11"/>
      <c r="T33" s="11"/>
      <c r="U33" s="11"/>
      <c r="V33" s="11"/>
      <c r="W33" s="11"/>
      <c r="Y33" s="158"/>
      <c r="Z33" s="11"/>
    </row>
    <row r="34" spans="1:26" ht="50.1" customHeight="1">
      <c r="Y34" s="159"/>
    </row>
    <row r="35" spans="1:26" ht="15" customHeight="1">
      <c r="O35" s="153" t="s">
        <v>135</v>
      </c>
      <c r="P35" s="160"/>
      <c r="Q35" s="160"/>
      <c r="R35" s="154"/>
      <c r="S35" s="107"/>
      <c r="T35" s="153" t="s">
        <v>136</v>
      </c>
      <c r="U35" s="160"/>
      <c r="V35" s="160"/>
      <c r="W35" s="160"/>
      <c r="X35" s="160"/>
      <c r="Y35" s="154"/>
    </row>
    <row r="36" spans="1:26" ht="15" customHeight="1">
      <c r="O36" s="161" t="s">
        <v>137</v>
      </c>
      <c r="P36" s="135" t="s">
        <v>138</v>
      </c>
      <c r="Q36" s="163" t="s">
        <v>139</v>
      </c>
      <c r="R36" s="135" t="s">
        <v>140</v>
      </c>
      <c r="S36" s="107"/>
      <c r="T36" s="163" t="s">
        <v>141</v>
      </c>
      <c r="U36" s="135" t="s">
        <v>142</v>
      </c>
      <c r="V36" s="153" t="s">
        <v>143</v>
      </c>
      <c r="W36" s="160"/>
      <c r="X36" s="154"/>
      <c r="Y36" s="135" t="s">
        <v>144</v>
      </c>
    </row>
    <row r="37" spans="1:26" ht="18" customHeight="1">
      <c r="O37" s="162"/>
      <c r="P37" s="139"/>
      <c r="Q37" s="136"/>
      <c r="R37" s="139"/>
      <c r="S37" s="108"/>
      <c r="T37" s="136"/>
      <c r="U37" s="139"/>
      <c r="V37" s="13" t="s">
        <v>137</v>
      </c>
      <c r="W37" s="164" t="s">
        <v>145</v>
      </c>
      <c r="X37" s="165"/>
      <c r="Y37" s="139"/>
    </row>
    <row r="38" spans="1:26" ht="50.1" customHeight="1">
      <c r="O38" s="118"/>
      <c r="P38" s="14"/>
      <c r="Q38" s="14"/>
      <c r="R38" s="14"/>
      <c r="S38" s="107"/>
      <c r="T38" s="14"/>
      <c r="U38" s="14"/>
      <c r="V38" s="14"/>
      <c r="W38" s="153"/>
      <c r="X38" s="154"/>
      <c r="Y38" s="109"/>
    </row>
    <row r="39" spans="1:26" ht="36" customHeight="1">
      <c r="W39" s="110"/>
      <c r="X39" s="155" t="s">
        <v>146</v>
      </c>
      <c r="Y39" s="12" t="s">
        <v>144</v>
      </c>
    </row>
    <row r="40" spans="1:26" ht="50.1" customHeight="1">
      <c r="O40" s="111"/>
      <c r="P40" s="111"/>
      <c r="Q40" s="111"/>
      <c r="R40" s="111"/>
      <c r="S40" s="111"/>
      <c r="T40" s="111"/>
      <c r="U40" s="111"/>
      <c r="V40" s="111"/>
      <c r="W40" s="112"/>
      <c r="X40" s="156"/>
      <c r="Y40" s="113"/>
    </row>
    <row r="41" spans="1:26" ht="19.899999999999999" customHeight="1"/>
    <row r="42" spans="1:26" ht="17.45" customHeight="1">
      <c r="O42" s="140"/>
      <c r="P42" s="141"/>
    </row>
    <row r="43" spans="1:26" ht="19.899999999999999" customHeight="1">
      <c r="O43" s="140"/>
      <c r="P43" s="141"/>
    </row>
    <row r="44" spans="1:26" ht="14.25">
      <c r="O44" s="117"/>
      <c r="P44" s="11"/>
      <c r="Q44" s="11"/>
    </row>
    <row r="45" spans="1:26" ht="65.099999999999994" customHeight="1"/>
    <row r="46" spans="1:26" ht="14.25">
      <c r="O46" s="117"/>
      <c r="P46" s="11"/>
    </row>
    <row r="47" spans="1:26" ht="19.899999999999999" customHeight="1"/>
    <row r="48" spans="1:26" ht="14.25"/>
    <row r="49" spans="15:19" ht="19.899999999999999" customHeight="1"/>
    <row r="50" spans="15:19" ht="14.25"/>
    <row r="51" spans="15:19" ht="19.899999999999999" customHeight="1"/>
    <row r="52" spans="15:19" ht="19.899999999999999" customHeight="1"/>
    <row r="53" spans="15:19" ht="64.900000000000006" customHeight="1"/>
    <row r="55" spans="15:19" ht="19.899999999999999" customHeight="1"/>
    <row r="56" spans="15:19" ht="19.899999999999999" customHeight="1"/>
    <row r="57" spans="15:19" ht="64.900000000000006" customHeight="1"/>
    <row r="61" spans="15:19" ht="21" customHeight="1">
      <c r="O61" s="137" t="s">
        <v>12</v>
      </c>
      <c r="P61" s="135" t="s">
        <v>12</v>
      </c>
      <c r="S61" s="135" t="s">
        <v>11</v>
      </c>
    </row>
    <row r="62" spans="15:19" ht="21" customHeight="1">
      <c r="O62" s="138"/>
      <c r="P62" s="139"/>
      <c r="S62" s="136"/>
    </row>
    <row r="63" spans="15:19" ht="64.900000000000006" customHeight="1">
      <c r="O63" s="118"/>
      <c r="P63" s="14"/>
      <c r="S63" s="15"/>
    </row>
    <row r="64" spans="15:19" ht="7.15" customHeight="1"/>
    <row r="65" spans="15:19" ht="21" customHeight="1">
      <c r="O65" s="137" t="s">
        <v>12</v>
      </c>
      <c r="P65" s="135" t="s">
        <v>12</v>
      </c>
      <c r="S65" s="135" t="s">
        <v>13</v>
      </c>
    </row>
    <row r="66" spans="15:19" ht="21" customHeight="1">
      <c r="O66" s="138"/>
      <c r="P66" s="139"/>
      <c r="S66" s="136"/>
    </row>
    <row r="67" spans="15:19" ht="64.900000000000006" customHeight="1">
      <c r="O67" s="118"/>
      <c r="P67" s="14"/>
      <c r="S67" s="14"/>
    </row>
  </sheetData>
  <mergeCells count="85">
    <mergeCell ref="Y33:Y34"/>
    <mergeCell ref="O35:R35"/>
    <mergeCell ref="T35:Y35"/>
    <mergeCell ref="O36:O37"/>
    <mergeCell ref="Q36:Q37"/>
    <mergeCell ref="R36:R37"/>
    <mergeCell ref="T36:T37"/>
    <mergeCell ref="U36:U37"/>
    <mergeCell ref="V36:X36"/>
    <mergeCell ref="Y36:Y37"/>
    <mergeCell ref="W37:X37"/>
    <mergeCell ref="W38:X38"/>
    <mergeCell ref="X39:X40"/>
    <mergeCell ref="B27:C27"/>
    <mergeCell ref="D27:F27"/>
    <mergeCell ref="B28:C28"/>
    <mergeCell ref="D28:F28"/>
    <mergeCell ref="B29:C29"/>
    <mergeCell ref="D29:F29"/>
    <mergeCell ref="A31:B31"/>
    <mergeCell ref="P36:P37"/>
    <mergeCell ref="B30:C30"/>
    <mergeCell ref="D30:F30"/>
    <mergeCell ref="B24:C24"/>
    <mergeCell ref="D24:F24"/>
    <mergeCell ref="B25:C25"/>
    <mergeCell ref="D25:F25"/>
    <mergeCell ref="B26:C26"/>
    <mergeCell ref="D26:F26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15:C15"/>
    <mergeCell ref="D15:F15"/>
    <mergeCell ref="B16:C16"/>
    <mergeCell ref="D16:F16"/>
    <mergeCell ref="B17:C17"/>
    <mergeCell ref="D17:F17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  <mergeCell ref="D9:F9"/>
    <mergeCell ref="B13:C13"/>
    <mergeCell ref="D13:F13"/>
    <mergeCell ref="B14:C14"/>
    <mergeCell ref="D14:F14"/>
    <mergeCell ref="B10:C10"/>
    <mergeCell ref="D10:F10"/>
    <mergeCell ref="B11:C11"/>
    <mergeCell ref="D11:F11"/>
    <mergeCell ref="B12:C12"/>
    <mergeCell ref="D12:F12"/>
    <mergeCell ref="B9:C9"/>
    <mergeCell ref="S61:S62"/>
    <mergeCell ref="O65:O66"/>
    <mergeCell ref="P65:P66"/>
    <mergeCell ref="S65:S66"/>
    <mergeCell ref="O42:O43"/>
    <mergeCell ref="P42:P43"/>
    <mergeCell ref="O61:O62"/>
    <mergeCell ref="P61:P6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32"/>
  <sheetViews>
    <sheetView showGridLines="0" zoomScale="95" zoomScaleNormal="95" zoomScaleSheetLayoutView="70" workbookViewId="0">
      <pane ySplit="5" topLeftCell="A29" activePane="bottomLeft" state="frozen"/>
      <selection activeCell="D30" sqref="D30"/>
      <selection pane="bottomLeft" activeCell="I31" sqref="I3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8" t="s">
        <v>87</v>
      </c>
      <c r="B1" s="88"/>
      <c r="C1" s="88"/>
      <c r="D1" s="88"/>
      <c r="E1" s="88"/>
      <c r="F1" s="88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89"/>
      <c r="C2" s="89"/>
      <c r="D2" s="3" t="str">
        <f>+MRS!D2</f>
        <v>Division (In charge Name) : ADMIN MANAGER (Dong Chang Kim)</v>
      </c>
      <c r="E2" s="89"/>
      <c r="F2" s="89"/>
      <c r="G2" s="16"/>
      <c r="H2" s="16"/>
      <c r="I2" s="16"/>
      <c r="J2" s="149" t="str">
        <f>+MRS!J2</f>
        <v>Subcontract name (SAC2-SC-IK-SMP-01)</v>
      </c>
      <c r="K2" s="151"/>
    </row>
    <row r="3" spans="1:18" ht="24.95" customHeight="1">
      <c r="A3" s="3" t="str">
        <f>+MRS!A3</f>
        <v xml:space="preserve">  MRS No : SAC2-DS-MRS-0425</v>
      </c>
      <c r="B3" s="89"/>
      <c r="C3" s="89"/>
      <c r="D3" s="89"/>
      <c r="E3" s="89"/>
      <c r="F3" s="89"/>
      <c r="G3" s="89"/>
      <c r="H3" s="89"/>
      <c r="I3" s="89"/>
      <c r="J3" s="89"/>
      <c r="K3" s="90">
        <f>+MRS!L3</f>
        <v>46250</v>
      </c>
    </row>
    <row r="4" spans="1:18" ht="15.95" customHeight="1">
      <c r="A4" s="171" t="s">
        <v>2</v>
      </c>
      <c r="B4" s="172" t="s">
        <v>14</v>
      </c>
      <c r="C4" s="172"/>
      <c r="D4" s="171" t="s">
        <v>4</v>
      </c>
      <c r="E4" s="171"/>
      <c r="F4" s="171"/>
      <c r="G4" s="172" t="s">
        <v>5</v>
      </c>
      <c r="H4" s="171" t="s">
        <v>82</v>
      </c>
      <c r="I4" s="171" t="s">
        <v>15</v>
      </c>
      <c r="J4" s="171" t="s">
        <v>16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17">
        <f>+MRS!A6</f>
        <v>1</v>
      </c>
      <c r="B6" s="166" t="str">
        <f>MRS!B6</f>
        <v>Terminal Block/Strip</v>
      </c>
      <c r="C6" s="167"/>
      <c r="D6" s="168" t="str">
        <f>MRS!D6</f>
        <v xml:space="preserve"> 4MM 3A</v>
      </c>
      <c r="E6" s="169"/>
      <c r="F6" s="170"/>
      <c r="G6" s="91" t="str">
        <f>MRS!G6</f>
        <v>EA</v>
      </c>
      <c r="H6" s="91">
        <f>MRS!H6</f>
        <v>10</v>
      </c>
      <c r="I6" s="92">
        <f>MRS!I6</f>
        <v>1.5</v>
      </c>
      <c r="J6" s="92">
        <f>MRS!J6</f>
        <v>15</v>
      </c>
      <c r="K6" s="93"/>
      <c r="O6" s="94"/>
      <c r="P6" s="94"/>
      <c r="R6" s="94"/>
    </row>
    <row r="7" spans="1:18" ht="105" customHeight="1">
      <c r="A7" s="17">
        <f>+MRS!A7</f>
        <v>2</v>
      </c>
      <c r="B7" s="166" t="str">
        <f>MRS!B7</f>
        <v>Terminal Block/Strip</v>
      </c>
      <c r="C7" s="167"/>
      <c r="D7" s="168" t="str">
        <f>MRS!D7</f>
        <v xml:space="preserve"> 6MM 6A</v>
      </c>
      <c r="E7" s="169"/>
      <c r="F7" s="170"/>
      <c r="G7" s="91" t="str">
        <f>MRS!G7</f>
        <v>EA</v>
      </c>
      <c r="H7" s="91">
        <f>MRS!H7</f>
        <v>10</v>
      </c>
      <c r="I7" s="92">
        <f>MRS!I7</f>
        <v>1.5</v>
      </c>
      <c r="J7" s="92">
        <f>MRS!J7</f>
        <v>15</v>
      </c>
      <c r="K7" s="93"/>
      <c r="O7" s="94"/>
      <c r="P7" s="94"/>
      <c r="R7" s="94"/>
    </row>
    <row r="8" spans="1:18" ht="105" customHeight="1">
      <c r="A8" s="17">
        <f>+MRS!A8</f>
        <v>3</v>
      </c>
      <c r="B8" s="166" t="str">
        <f>MRS!B8</f>
        <v>Mcb</v>
      </c>
      <c r="C8" s="167"/>
      <c r="D8" s="168" t="str">
        <f>MRS!D8</f>
        <v xml:space="preserve"> 32A 1P</v>
      </c>
      <c r="E8" s="169"/>
      <c r="F8" s="170"/>
      <c r="G8" s="91" t="str">
        <f>MRS!G8</f>
        <v>EA</v>
      </c>
      <c r="H8" s="91">
        <f>MRS!H8</f>
        <v>50</v>
      </c>
      <c r="I8" s="92">
        <f>MRS!I8</f>
        <v>11</v>
      </c>
      <c r="J8" s="92">
        <f>MRS!J8</f>
        <v>550</v>
      </c>
      <c r="K8" s="93"/>
      <c r="O8" s="94"/>
      <c r="P8" s="94"/>
      <c r="R8" s="94"/>
    </row>
    <row r="9" spans="1:18" ht="105" customHeight="1">
      <c r="A9" s="17">
        <f>+MRS!A9</f>
        <v>4</v>
      </c>
      <c r="B9" s="166" t="str">
        <f>MRS!B9</f>
        <v>Flexible Cable</v>
      </c>
      <c r="C9" s="167"/>
      <c r="D9" s="168" t="str">
        <f>MRS!D9</f>
        <v xml:space="preserve"> WHITE 2C X 1MM² 100YARD / ROLL</v>
      </c>
      <c r="E9" s="169"/>
      <c r="F9" s="170"/>
      <c r="G9" s="91" t="str">
        <f>MRS!G9</f>
        <v>ROLL</v>
      </c>
      <c r="H9" s="91">
        <f>MRS!H9</f>
        <v>20</v>
      </c>
      <c r="I9" s="92">
        <f>MRS!I9</f>
        <v>135</v>
      </c>
      <c r="J9" s="92">
        <f>MRS!J9</f>
        <v>2700</v>
      </c>
      <c r="K9" s="93"/>
      <c r="O9" s="94"/>
      <c r="P9" s="94"/>
      <c r="R9" s="94"/>
    </row>
    <row r="10" spans="1:18" ht="105" customHeight="1">
      <c r="A10" s="17">
        <f>+MRS!A10</f>
        <v>5</v>
      </c>
      <c r="B10" s="166" t="str">
        <f>MRS!B10</f>
        <v xml:space="preserve">Cable Lug </v>
      </c>
      <c r="C10" s="167"/>
      <c r="D10" s="168" t="str">
        <f>MRS!D10</f>
        <v>6MM² X M6</v>
      </c>
      <c r="E10" s="169"/>
      <c r="F10" s="170"/>
      <c r="G10" s="91" t="str">
        <f>MRS!G10</f>
        <v>EA</v>
      </c>
      <c r="H10" s="91">
        <f>MRS!H10</f>
        <v>200</v>
      </c>
      <c r="I10" s="92">
        <f>MRS!I10</f>
        <v>0.4</v>
      </c>
      <c r="J10" s="92">
        <f>MRS!J10</f>
        <v>80</v>
      </c>
      <c r="K10" s="93"/>
      <c r="O10" s="94"/>
      <c r="P10" s="94"/>
      <c r="R10" s="94"/>
    </row>
    <row r="11" spans="1:18" ht="105" customHeight="1">
      <c r="A11" s="17">
        <f>+MRS!A11</f>
        <v>6</v>
      </c>
      <c r="B11" s="166" t="str">
        <f>MRS!B11</f>
        <v>Cable Lug</v>
      </c>
      <c r="C11" s="167"/>
      <c r="D11" s="168" t="str">
        <f>MRS!D11</f>
        <v xml:space="preserve"> 70MM² X M10</v>
      </c>
      <c r="E11" s="169"/>
      <c r="F11" s="170"/>
      <c r="G11" s="91" t="str">
        <f>MRS!G11</f>
        <v>EA</v>
      </c>
      <c r="H11" s="91">
        <f>MRS!H11</f>
        <v>200</v>
      </c>
      <c r="I11" s="92">
        <f>MRS!I11</f>
        <v>3.7</v>
      </c>
      <c r="J11" s="92">
        <f>MRS!J11</f>
        <v>740</v>
      </c>
      <c r="K11" s="93"/>
      <c r="O11" s="94"/>
      <c r="P11" s="94"/>
      <c r="R11" s="94"/>
    </row>
    <row r="12" spans="1:18" ht="105" customHeight="1">
      <c r="A12" s="17">
        <f>+MRS!A12</f>
        <v>7</v>
      </c>
      <c r="B12" s="166" t="str">
        <f>MRS!B12</f>
        <v xml:space="preserve">Cable Lug </v>
      </c>
      <c r="C12" s="167"/>
      <c r="D12" s="168" t="str">
        <f>MRS!D12</f>
        <v>50MM² X M10</v>
      </c>
      <c r="E12" s="169"/>
      <c r="F12" s="170"/>
      <c r="G12" s="91" t="str">
        <f>MRS!G12</f>
        <v>EA</v>
      </c>
      <c r="H12" s="91">
        <f>MRS!H12</f>
        <v>200</v>
      </c>
      <c r="I12" s="92">
        <f>MRS!I12</f>
        <v>2.1</v>
      </c>
      <c r="J12" s="92">
        <f>MRS!J12</f>
        <v>420</v>
      </c>
      <c r="K12" s="93"/>
      <c r="O12" s="94"/>
      <c r="P12" s="94"/>
      <c r="R12" s="94"/>
    </row>
    <row r="13" spans="1:18" ht="105" customHeight="1">
      <c r="A13" s="17">
        <f>+MRS!A13</f>
        <v>8</v>
      </c>
      <c r="B13" s="166" t="str">
        <f>MRS!B13</f>
        <v xml:space="preserve">Cable Lug </v>
      </c>
      <c r="C13" s="167"/>
      <c r="D13" s="168" t="str">
        <f>MRS!D13</f>
        <v>35MM² X M10</v>
      </c>
      <c r="E13" s="169"/>
      <c r="F13" s="170"/>
      <c r="G13" s="91" t="str">
        <f>MRS!G13</f>
        <v>EA</v>
      </c>
      <c r="H13" s="91">
        <f>MRS!H13</f>
        <v>200</v>
      </c>
      <c r="I13" s="92">
        <f>MRS!I13</f>
        <v>1.75</v>
      </c>
      <c r="J13" s="92">
        <f>MRS!J13</f>
        <v>350</v>
      </c>
      <c r="K13" s="93"/>
      <c r="O13" s="94"/>
      <c r="P13" s="94"/>
      <c r="R13" s="94"/>
    </row>
    <row r="14" spans="1:18" ht="105" customHeight="1">
      <c r="A14" s="17">
        <f>+MRS!A14</f>
        <v>9</v>
      </c>
      <c r="B14" s="166" t="str">
        <f>MRS!B14</f>
        <v>Mobile Plug Ip66/67</v>
      </c>
      <c r="C14" s="167"/>
      <c r="D14" s="168" t="str">
        <f>MRS!D14</f>
        <v xml:space="preserve">16A/220V 3PIN </v>
      </c>
      <c r="E14" s="169"/>
      <c r="F14" s="170"/>
      <c r="G14" s="91" t="str">
        <f>MRS!G14</f>
        <v>EA</v>
      </c>
      <c r="H14" s="91">
        <f>MRS!H14</f>
        <v>200</v>
      </c>
      <c r="I14" s="92">
        <f>MRS!I14</f>
        <v>20</v>
      </c>
      <c r="J14" s="92">
        <f>MRS!J14</f>
        <v>4000</v>
      </c>
      <c r="K14" s="93"/>
      <c r="O14" s="94"/>
      <c r="P14" s="94"/>
      <c r="R14" s="94"/>
    </row>
    <row r="15" spans="1:18" ht="105" customHeight="1">
      <c r="A15" s="17">
        <f>+MRS!A15</f>
        <v>10</v>
      </c>
      <c r="B15" s="166" t="str">
        <f>MRS!B15</f>
        <v>Mobile Socket Ip66/67</v>
      </c>
      <c r="C15" s="167"/>
      <c r="D15" s="168" t="str">
        <f>MRS!D15</f>
        <v xml:space="preserve">16A/220V 3PIN </v>
      </c>
      <c r="E15" s="169"/>
      <c r="F15" s="170"/>
      <c r="G15" s="91" t="str">
        <f>MRS!G15</f>
        <v>EA</v>
      </c>
      <c r="H15" s="91">
        <f>MRS!H15</f>
        <v>200</v>
      </c>
      <c r="I15" s="92">
        <f>MRS!I15</f>
        <v>32</v>
      </c>
      <c r="J15" s="92">
        <f>MRS!J15</f>
        <v>6400</v>
      </c>
      <c r="K15" s="93"/>
      <c r="O15" s="94"/>
      <c r="P15" s="94"/>
      <c r="R15" s="94"/>
    </row>
    <row r="16" spans="1:18" ht="105" customHeight="1">
      <c r="A16" s="17">
        <f>+MRS!A16</f>
        <v>11</v>
      </c>
      <c r="B16" s="166" t="str">
        <f>MRS!B16</f>
        <v xml:space="preserve">Flexible Cable </v>
      </c>
      <c r="C16" s="167"/>
      <c r="D16" s="168" t="str">
        <f>MRS!D16</f>
        <v>WHITE 3C X 2.5MM² 100YARD / ROLL</v>
      </c>
      <c r="E16" s="169"/>
      <c r="F16" s="170"/>
      <c r="G16" s="91" t="str">
        <f>MRS!G16</f>
        <v>ROLL</v>
      </c>
      <c r="H16" s="91">
        <f>MRS!H16</f>
        <v>3</v>
      </c>
      <c r="I16" s="92">
        <f>MRS!I16</f>
        <v>290</v>
      </c>
      <c r="J16" s="92">
        <f>MRS!J16</f>
        <v>870</v>
      </c>
      <c r="K16" s="93"/>
      <c r="O16" s="94"/>
      <c r="P16" s="94"/>
      <c r="R16" s="94"/>
    </row>
    <row r="17" spans="1:18" ht="105" customHeight="1">
      <c r="A17" s="17">
        <f>+MRS!A17</f>
        <v>12</v>
      </c>
      <c r="B17" s="166" t="str">
        <f>MRS!B17</f>
        <v xml:space="preserve">Cable Lug </v>
      </c>
      <c r="C17" s="167"/>
      <c r="D17" s="168" t="str">
        <f>MRS!D17</f>
        <v>6MM² X M6</v>
      </c>
      <c r="E17" s="169"/>
      <c r="F17" s="170"/>
      <c r="G17" s="91" t="str">
        <f>MRS!G17</f>
        <v>EA</v>
      </c>
      <c r="H17" s="91">
        <f>MRS!H17</f>
        <v>500</v>
      </c>
      <c r="I17" s="92">
        <f>MRS!I17</f>
        <v>0.4</v>
      </c>
      <c r="J17" s="92">
        <f>MRS!J17</f>
        <v>200</v>
      </c>
      <c r="K17" s="93"/>
      <c r="O17" s="94"/>
      <c r="P17" s="94"/>
      <c r="R17" s="94"/>
    </row>
    <row r="18" spans="1:18" ht="105" customHeight="1">
      <c r="A18" s="17">
        <f>+MRS!A18</f>
        <v>13</v>
      </c>
      <c r="B18" s="166" t="str">
        <f>MRS!B18</f>
        <v xml:space="preserve">Cable Lug </v>
      </c>
      <c r="C18" s="167"/>
      <c r="D18" s="168" t="str">
        <f>MRS!D18</f>
        <v>10MM² X M6</v>
      </c>
      <c r="E18" s="169"/>
      <c r="F18" s="170"/>
      <c r="G18" s="91" t="str">
        <f>MRS!G18</f>
        <v>EA</v>
      </c>
      <c r="H18" s="91">
        <f>MRS!H18</f>
        <v>200</v>
      </c>
      <c r="I18" s="92">
        <f>MRS!I18</f>
        <v>0.48</v>
      </c>
      <c r="J18" s="92">
        <f>MRS!J18</f>
        <v>96</v>
      </c>
      <c r="K18" s="93"/>
      <c r="O18" s="94"/>
      <c r="P18" s="94"/>
      <c r="R18" s="94"/>
    </row>
    <row r="19" spans="1:18" ht="105" customHeight="1">
      <c r="A19" s="17">
        <f>+MRS!A19</f>
        <v>14</v>
      </c>
      <c r="B19" s="166" t="str">
        <f>MRS!B19</f>
        <v>Flexible Conduit</v>
      </c>
      <c r="C19" s="167"/>
      <c r="D19" s="168" t="str">
        <f>MRS!D19</f>
        <v xml:space="preserve"> PVC 2" X 25M HD BLACK</v>
      </c>
      <c r="E19" s="169"/>
      <c r="F19" s="170"/>
      <c r="G19" s="91" t="str">
        <f>MRS!G19</f>
        <v>ROLL</v>
      </c>
      <c r="H19" s="91">
        <f>MRS!H19</f>
        <v>5</v>
      </c>
      <c r="I19" s="92">
        <f>MRS!I19</f>
        <v>160</v>
      </c>
      <c r="J19" s="92">
        <f>MRS!J19</f>
        <v>800</v>
      </c>
      <c r="K19" s="93"/>
      <c r="O19" s="94"/>
      <c r="P19" s="94"/>
      <c r="R19" s="94"/>
    </row>
    <row r="20" spans="1:18" ht="105" customHeight="1">
      <c r="A20" s="17">
        <f>+MRS!A20</f>
        <v>15</v>
      </c>
      <c r="B20" s="166" t="str">
        <f>MRS!B20</f>
        <v>Panel Board Fab</v>
      </c>
      <c r="C20" s="167"/>
      <c r="D20" s="168" t="str">
        <f>MRS!D20</f>
        <v>(380V x 32A x 3P : 10PCS, 220V x 32A x 1P :10 PCS)</v>
      </c>
      <c r="E20" s="169"/>
      <c r="F20" s="170"/>
      <c r="G20" s="91" t="str">
        <f>MRS!G20</f>
        <v>SET</v>
      </c>
      <c r="H20" s="91">
        <f>MRS!H20</f>
        <v>10</v>
      </c>
      <c r="I20" s="92">
        <f>MRS!I20</f>
        <v>8900</v>
      </c>
      <c r="J20" s="92">
        <f>MRS!J20</f>
        <v>89000</v>
      </c>
      <c r="K20" s="93"/>
      <c r="O20" s="94"/>
      <c r="P20" s="94"/>
      <c r="R20" s="94"/>
    </row>
    <row r="21" spans="1:18" ht="105" customHeight="1">
      <c r="A21" s="17">
        <f>+MRS!A21</f>
        <v>16</v>
      </c>
      <c r="B21" s="166" t="str">
        <f>MRS!B21</f>
        <v>Mobile Plug Ip66/67</v>
      </c>
      <c r="C21" s="167"/>
      <c r="D21" s="168" t="str">
        <f>MRS!D21</f>
        <v xml:space="preserve">16A/220V 3PIN </v>
      </c>
      <c r="E21" s="169"/>
      <c r="F21" s="170"/>
      <c r="G21" s="91" t="str">
        <f>MRS!G21</f>
        <v>EA</v>
      </c>
      <c r="H21" s="91">
        <f>MRS!H21</f>
        <v>50</v>
      </c>
      <c r="I21" s="92">
        <f>MRS!I21</f>
        <v>20</v>
      </c>
      <c r="J21" s="92">
        <f>MRS!J21</f>
        <v>1000</v>
      </c>
      <c r="K21" s="93"/>
      <c r="O21" s="94"/>
      <c r="P21" s="94"/>
      <c r="R21" s="94"/>
    </row>
    <row r="22" spans="1:18" ht="105" customHeight="1">
      <c r="A22" s="17">
        <f>+MRS!A22</f>
        <v>17</v>
      </c>
      <c r="B22" s="166" t="str">
        <f>MRS!B22</f>
        <v xml:space="preserve"> Mobile Plug Ip66/67</v>
      </c>
      <c r="C22" s="167"/>
      <c r="D22" s="168" t="str">
        <f>MRS!D22</f>
        <v>16A/220V 3PIN</v>
      </c>
      <c r="E22" s="169"/>
      <c r="F22" s="170"/>
      <c r="G22" s="91" t="str">
        <f>MRS!G22</f>
        <v>EA</v>
      </c>
      <c r="H22" s="91">
        <f>MRS!H22</f>
        <v>50</v>
      </c>
      <c r="I22" s="92">
        <f>MRS!I22</f>
        <v>20</v>
      </c>
      <c r="J22" s="92">
        <f>MRS!J22</f>
        <v>1000</v>
      </c>
      <c r="K22" s="93"/>
      <c r="O22" s="94"/>
      <c r="P22" s="94"/>
      <c r="R22" s="94"/>
    </row>
    <row r="23" spans="1:18" ht="105" customHeight="1">
      <c r="A23" s="17">
        <f>+MRS!A23</f>
        <v>18</v>
      </c>
      <c r="B23" s="166" t="str">
        <f>MRS!B23</f>
        <v xml:space="preserve"> Mobile Socket Ip66/67</v>
      </c>
      <c r="C23" s="167"/>
      <c r="D23" s="168" t="str">
        <f>MRS!D23</f>
        <v>16A/220V 3PIN</v>
      </c>
      <c r="E23" s="169"/>
      <c r="F23" s="170"/>
      <c r="G23" s="91" t="str">
        <f>MRS!G23</f>
        <v>EA</v>
      </c>
      <c r="H23" s="91">
        <f>MRS!H23</f>
        <v>50</v>
      </c>
      <c r="I23" s="92">
        <f>MRS!I23</f>
        <v>32</v>
      </c>
      <c r="J23" s="92">
        <f>MRS!J23</f>
        <v>1600</v>
      </c>
      <c r="K23" s="93"/>
      <c r="O23" s="94"/>
      <c r="P23" s="94"/>
      <c r="R23" s="94"/>
    </row>
    <row r="24" spans="1:18" ht="105" customHeight="1">
      <c r="A24" s="17">
        <f>+MRS!A24</f>
        <v>19</v>
      </c>
      <c r="B24" s="166" t="str">
        <f>MRS!B24</f>
        <v>Mobile Plug Ip66/67</v>
      </c>
      <c r="C24" s="167"/>
      <c r="D24" s="168" t="str">
        <f>MRS!D24</f>
        <v xml:space="preserve">16A/220V 3PIN </v>
      </c>
      <c r="E24" s="169"/>
      <c r="F24" s="170"/>
      <c r="G24" s="91" t="str">
        <f>MRS!G24</f>
        <v>EA</v>
      </c>
      <c r="H24" s="91">
        <f>MRS!H24</f>
        <v>40</v>
      </c>
      <c r="I24" s="92">
        <f>MRS!I24</f>
        <v>20</v>
      </c>
      <c r="J24" s="92">
        <f>MRS!J24</f>
        <v>800</v>
      </c>
      <c r="K24" s="93"/>
      <c r="O24" s="94"/>
      <c r="P24" s="94"/>
      <c r="R24" s="94"/>
    </row>
    <row r="25" spans="1:18" ht="105" customHeight="1">
      <c r="A25" s="17">
        <f>+MRS!A25</f>
        <v>20</v>
      </c>
      <c r="B25" s="166" t="str">
        <f>MRS!B25</f>
        <v>Mobile Socket Ip66/67</v>
      </c>
      <c r="C25" s="167"/>
      <c r="D25" s="168" t="str">
        <f>MRS!D25</f>
        <v xml:space="preserve">16A/220V 3PIN </v>
      </c>
      <c r="E25" s="169"/>
      <c r="F25" s="170"/>
      <c r="G25" s="91" t="str">
        <f>MRS!G25</f>
        <v>EA</v>
      </c>
      <c r="H25" s="91">
        <f>MRS!H25</f>
        <v>40</v>
      </c>
      <c r="I25" s="92">
        <f>MRS!I25</f>
        <v>32</v>
      </c>
      <c r="J25" s="92">
        <f>MRS!J25</f>
        <v>1280</v>
      </c>
      <c r="K25" s="93"/>
      <c r="O25" s="94"/>
      <c r="P25" s="94"/>
      <c r="R25" s="94"/>
    </row>
    <row r="26" spans="1:18" ht="105" customHeight="1">
      <c r="A26" s="17">
        <f>+MRS!A26</f>
        <v>21</v>
      </c>
      <c r="B26" s="166" t="str">
        <f>MRS!B26</f>
        <v>Cable Lug</v>
      </c>
      <c r="C26" s="167"/>
      <c r="D26" s="168" t="str">
        <f>MRS!D26</f>
        <v xml:space="preserve"> 95MM² X M10</v>
      </c>
      <c r="E26" s="169"/>
      <c r="F26" s="170"/>
      <c r="G26" s="91" t="str">
        <f>MRS!G26</f>
        <v>EA</v>
      </c>
      <c r="H26" s="91">
        <f>MRS!H26</f>
        <v>20</v>
      </c>
      <c r="I26" s="92">
        <f>MRS!I26</f>
        <v>5.0999999999999996</v>
      </c>
      <c r="J26" s="92">
        <f>MRS!J26</f>
        <v>102</v>
      </c>
      <c r="K26" s="93"/>
      <c r="O26" s="94"/>
      <c r="P26" s="94"/>
      <c r="R26" s="94"/>
    </row>
    <row r="27" spans="1:18" ht="105" customHeight="1">
      <c r="A27" s="17">
        <f>+MRS!A27</f>
        <v>22</v>
      </c>
      <c r="B27" s="166" t="str">
        <f>MRS!B27</f>
        <v>Mobile Plug Ip66/67</v>
      </c>
      <c r="C27" s="167"/>
      <c r="D27" s="168" t="str">
        <f>MRS!D27</f>
        <v xml:space="preserve">16A/220V 3PIN </v>
      </c>
      <c r="E27" s="169"/>
      <c r="F27" s="170"/>
      <c r="G27" s="91" t="str">
        <f>MRS!G27</f>
        <v>EA</v>
      </c>
      <c r="H27" s="91">
        <f>MRS!H27</f>
        <v>50</v>
      </c>
      <c r="I27" s="92">
        <f>MRS!I27</f>
        <v>20</v>
      </c>
      <c r="J27" s="92">
        <f>MRS!J27</f>
        <v>1000</v>
      </c>
      <c r="K27" s="93"/>
      <c r="O27" s="94"/>
      <c r="P27" s="94"/>
      <c r="R27" s="94"/>
    </row>
    <row r="28" spans="1:18" ht="105" customHeight="1">
      <c r="A28" s="17">
        <f>+MRS!A28</f>
        <v>23</v>
      </c>
      <c r="B28" s="166" t="str">
        <f>MRS!B28</f>
        <v>Mobile Socket Ip66/67</v>
      </c>
      <c r="C28" s="167"/>
      <c r="D28" s="168" t="str">
        <f>MRS!D28</f>
        <v xml:space="preserve">16A/220V 3PIN </v>
      </c>
      <c r="E28" s="169"/>
      <c r="F28" s="170"/>
      <c r="G28" s="91" t="str">
        <f>MRS!G28</f>
        <v>EA</v>
      </c>
      <c r="H28" s="91">
        <f>MRS!H28</f>
        <v>50</v>
      </c>
      <c r="I28" s="92">
        <f>MRS!I28</f>
        <v>32</v>
      </c>
      <c r="J28" s="92">
        <f>MRS!J28</f>
        <v>1600</v>
      </c>
      <c r="K28" s="93"/>
      <c r="O28" s="94"/>
      <c r="P28" s="94"/>
      <c r="R28" s="94"/>
    </row>
    <row r="29" spans="1:18" ht="105" customHeight="1">
      <c r="A29" s="17">
        <f>+MRS!A29</f>
        <v>24</v>
      </c>
      <c r="B29" s="166" t="str">
        <f>MRS!B29</f>
        <v xml:space="preserve">Cable Lug </v>
      </c>
      <c r="C29" s="167"/>
      <c r="D29" s="168" t="str">
        <f>MRS!D29</f>
        <v>35MM² X M10</v>
      </c>
      <c r="E29" s="169"/>
      <c r="F29" s="170"/>
      <c r="G29" s="91" t="str">
        <f>MRS!G29</f>
        <v>EA</v>
      </c>
      <c r="H29" s="91">
        <f>MRS!H29</f>
        <v>200</v>
      </c>
      <c r="I29" s="92">
        <f>MRS!I29</f>
        <v>1.75</v>
      </c>
      <c r="J29" s="92">
        <f>MRS!J29</f>
        <v>350</v>
      </c>
      <c r="K29" s="93"/>
      <c r="O29" s="94"/>
      <c r="P29" s="94"/>
      <c r="R29" s="94"/>
    </row>
    <row r="30" spans="1:18" ht="105" customHeight="1">
      <c r="A30" s="17">
        <f>+MRS!A30</f>
        <v>0</v>
      </c>
      <c r="B30" s="166">
        <f>MRS!B30</f>
        <v>0</v>
      </c>
      <c r="C30" s="167"/>
      <c r="D30" s="168"/>
      <c r="E30" s="169"/>
      <c r="F30" s="170"/>
      <c r="G30" s="91"/>
      <c r="H30" s="91"/>
      <c r="I30" s="92"/>
      <c r="J30" s="92"/>
      <c r="K30" s="93"/>
      <c r="O30" s="94"/>
      <c r="P30" s="94"/>
      <c r="R30" s="94"/>
    </row>
    <row r="31" spans="1:18" ht="105" customHeight="1">
      <c r="A31" s="17" t="str">
        <f>+MRS!A31</f>
        <v>Purpose</v>
      </c>
      <c r="B31" s="166">
        <f>MRS!B31</f>
        <v>0</v>
      </c>
      <c r="C31" s="167"/>
      <c r="D31" s="168"/>
      <c r="E31" s="169"/>
      <c r="F31" s="170"/>
      <c r="G31" s="91"/>
      <c r="H31" s="91"/>
      <c r="I31" s="92"/>
      <c r="J31" s="92"/>
      <c r="K31" s="93"/>
      <c r="O31" s="94"/>
      <c r="P31" s="94"/>
      <c r="R31" s="94"/>
    </row>
    <row r="32" spans="1:18" ht="105" customHeight="1">
      <c r="A32" s="17" t="str">
        <f>+MRS!A32</f>
        <v xml:space="preserve">  * There will be an additional administration expense and financial expense (Depend on contract) deduction of total provision cost price.</v>
      </c>
      <c r="B32" s="166">
        <f>MRS!B32</f>
        <v>0</v>
      </c>
      <c r="C32" s="167"/>
      <c r="D32" s="168"/>
      <c r="E32" s="169"/>
      <c r="F32" s="170"/>
      <c r="G32" s="91"/>
      <c r="H32" s="91"/>
      <c r="I32" s="92"/>
      <c r="J32" s="92"/>
      <c r="K32" s="93"/>
      <c r="O32" s="94"/>
      <c r="P32" s="94"/>
      <c r="R32" s="94"/>
    </row>
  </sheetData>
  <mergeCells count="64">
    <mergeCell ref="B31:C31"/>
    <mergeCell ref="D31:F31"/>
    <mergeCell ref="B32:C32"/>
    <mergeCell ref="D32:F32"/>
    <mergeCell ref="B28:C28"/>
    <mergeCell ref="D28:F28"/>
    <mergeCell ref="B29:C29"/>
    <mergeCell ref="D29:F29"/>
    <mergeCell ref="B30:C30"/>
    <mergeCell ref="D30:F30"/>
    <mergeCell ref="B25:C25"/>
    <mergeCell ref="D25:F25"/>
    <mergeCell ref="B26:C26"/>
    <mergeCell ref="D26:F26"/>
    <mergeCell ref="B27:C27"/>
    <mergeCell ref="D27:F27"/>
    <mergeCell ref="B22:C22"/>
    <mergeCell ref="B23:C23"/>
    <mergeCell ref="D22:F22"/>
    <mergeCell ref="D23:F23"/>
    <mergeCell ref="B24:C24"/>
    <mergeCell ref="D24:F24"/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3" zoomScale="130" zoomScaleNormal="100" zoomScaleSheetLayoutView="130" workbookViewId="0">
      <selection activeCell="R64" sqref="R64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111</v>
      </c>
      <c r="D9" s="34"/>
      <c r="E9" s="34"/>
    </row>
    <row r="10" spans="2:13" s="34" customFormat="1">
      <c r="B10" s="65"/>
      <c r="C10" s="34" t="s">
        <v>23</v>
      </c>
      <c r="D10" s="69" t="s">
        <v>109</v>
      </c>
      <c r="J10" s="34" t="s">
        <v>24</v>
      </c>
      <c r="K10" s="127">
        <f>MRS!L3</f>
        <v>46250</v>
      </c>
      <c r="L10" s="128"/>
      <c r="M10" s="128"/>
    </row>
    <row r="11" spans="2:13" s="34" customFormat="1">
      <c r="B11" s="65"/>
      <c r="C11" s="68" t="s">
        <v>25</v>
      </c>
      <c r="D11" s="69" t="s">
        <v>110</v>
      </c>
      <c r="J11" s="34" t="s">
        <v>26</v>
      </c>
      <c r="K11" s="129" t="str">
        <f>SUBSTITUTE(SUBSTITUTE(+MRS!A3,"  MRS No : ",""),"-MRS","-PO")</f>
        <v>SAC2-DS-PO-0425</v>
      </c>
      <c r="L11" s="129"/>
      <c r="M11" s="129"/>
    </row>
    <row r="12" spans="2:13" s="34" customFormat="1">
      <c r="B12" s="65"/>
      <c r="C12" s="68" t="s">
        <v>27</v>
      </c>
      <c r="D12" s="34" t="s">
        <v>112</v>
      </c>
      <c r="J12" s="34" t="s">
        <v>28</v>
      </c>
    </row>
    <row r="13" spans="2:13" s="34" customFormat="1">
      <c r="B13" s="65"/>
      <c r="C13" s="70"/>
      <c r="D13" s="69" t="s">
        <v>113</v>
      </c>
      <c r="J13" s="34" t="s">
        <v>29</v>
      </c>
    </row>
    <row r="14" spans="2:13" s="34" customFormat="1">
      <c r="B14" s="65"/>
      <c r="C14" s="101" t="s">
        <v>114</v>
      </c>
      <c r="J14" s="34" t="s">
        <v>30</v>
      </c>
      <c r="K14" s="34">
        <v>102116</v>
      </c>
    </row>
    <row r="15" spans="2:13" s="34" customFormat="1">
      <c r="B15" s="65"/>
      <c r="C15" s="68" t="s">
        <v>115</v>
      </c>
      <c r="J15" s="34" t="s">
        <v>31</v>
      </c>
      <c r="K15" s="71">
        <v>46245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30" t="s">
        <v>32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</row>
    <row r="19" spans="2:13" ht="12" customHeight="1"/>
    <row r="20" spans="2:13" s="27" customFormat="1" ht="12" customHeight="1">
      <c r="B20" s="131" t="s">
        <v>33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</row>
    <row r="21" spans="2:13" s="27" customFormat="1" ht="12" customHeight="1">
      <c r="B21" s="131" t="s">
        <v>34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</row>
    <row r="22" spans="2:13" s="27" customFormat="1" ht="12" customHeight="1">
      <c r="B22" s="131" t="s">
        <v>35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</row>
    <row r="23" spans="2:13" ht="3.75" customHeight="1"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</row>
    <row r="24" spans="2:13" ht="6.95" customHeight="1"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108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2">
        <f>'PO 2nd page'!G30</f>
        <v>114968</v>
      </c>
      <c r="G29" s="99"/>
      <c r="H29" s="99"/>
      <c r="M29" s="29"/>
    </row>
    <row r="30" spans="2:13" ht="15" customHeight="1">
      <c r="B30" s="28"/>
      <c r="C30" s="22" t="s">
        <v>41</v>
      </c>
      <c r="E30" s="22" t="s">
        <v>40</v>
      </c>
      <c r="F30" s="102">
        <f>'PO 2nd page'!G31</f>
        <v>17245.2</v>
      </c>
      <c r="G30" s="99"/>
      <c r="H30" s="99"/>
    </row>
    <row r="31" spans="2:13" ht="15" customHeight="1">
      <c r="B31" s="28"/>
      <c r="C31" s="22" t="s">
        <v>42</v>
      </c>
      <c r="D31" s="30"/>
      <c r="E31" s="22" t="s">
        <v>40</v>
      </c>
      <c r="F31" s="102">
        <f>'PO 2nd page'!G32</f>
        <v>132213.20000000001</v>
      </c>
      <c r="G31" s="99"/>
      <c r="H31" s="9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94</v>
      </c>
    </row>
    <row r="54" spans="2:16" ht="12" customHeight="1">
      <c r="B54" s="77" t="s">
        <v>56</v>
      </c>
      <c r="C54" s="103" t="s">
        <v>98</v>
      </c>
      <c r="F54" s="22" t="s">
        <v>161</v>
      </c>
      <c r="P54" s="22" t="str">
        <f>UPPER(F54)</f>
        <v>OSAZ ELECTRICALS</v>
      </c>
    </row>
    <row r="55" spans="2:16" ht="12" customHeight="1">
      <c r="B55" s="77" t="s">
        <v>56</v>
      </c>
      <c r="C55" s="103" t="s">
        <v>99</v>
      </c>
      <c r="F55" s="104" t="s">
        <v>116</v>
      </c>
    </row>
    <row r="56" spans="2:16" ht="12" customHeight="1">
      <c r="B56" s="77" t="s">
        <v>56</v>
      </c>
      <c r="C56" s="103" t="s">
        <v>100</v>
      </c>
      <c r="F56" s="22" t="s">
        <v>117</v>
      </c>
    </row>
    <row r="57" spans="2:16" ht="12" customHeight="1">
      <c r="B57" s="77" t="s">
        <v>56</v>
      </c>
      <c r="C57" s="103" t="s">
        <v>101</v>
      </c>
      <c r="F57" s="22" t="s">
        <v>95</v>
      </c>
    </row>
    <row r="58" spans="2:16" ht="12" customHeight="1">
      <c r="B58" s="77" t="s">
        <v>56</v>
      </c>
      <c r="C58" s="103" t="s">
        <v>102</v>
      </c>
      <c r="F58" s="22" t="s">
        <v>96</v>
      </c>
    </row>
    <row r="59" spans="2:16" ht="12" customHeight="1">
      <c r="B59" s="77" t="s">
        <v>56</v>
      </c>
      <c r="C59" s="103" t="s">
        <v>103</v>
      </c>
      <c r="F59" s="22" t="s">
        <v>97</v>
      </c>
    </row>
    <row r="60" spans="2:16" ht="12" customHeight="1">
      <c r="B60" s="77"/>
      <c r="C60" s="103" t="s">
        <v>104</v>
      </c>
    </row>
    <row r="61" spans="2:16" ht="6.75" customHeight="1">
      <c r="B61" s="77"/>
      <c r="C61" s="103"/>
    </row>
    <row r="62" spans="2:16" ht="6" customHeight="1">
      <c r="B62" s="105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Akhil</v>
      </c>
    </row>
    <row r="68" spans="1:13" ht="13.5" customHeight="1">
      <c r="B68" s="22" t="s">
        <v>62</v>
      </c>
      <c r="J68" s="22" t="s">
        <v>63</v>
      </c>
      <c r="K68" s="18" t="s">
        <v>90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92</v>
      </c>
      <c r="J70" s="134" t="str">
        <f>C9</f>
        <v>OSAZ(Omar Saleh Abdullah Al-Zahrani Electricals)</v>
      </c>
      <c r="K70" s="134"/>
      <c r="L70" s="134"/>
      <c r="M70" s="134"/>
    </row>
    <row r="71" spans="1:13" ht="27.95" customHeight="1">
      <c r="A71" s="126" t="s">
        <v>66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0"/>
  <sheetViews>
    <sheetView showGridLines="0" view="pageBreakPreview" topLeftCell="A15" zoomScaleSheetLayoutView="100" zoomScalePageLayoutView="55" workbookViewId="0">
      <selection activeCell="R20" sqref="R20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SAC2-DS-PO-0425</v>
      </c>
      <c r="C2" s="179" t="s">
        <v>68</v>
      </c>
      <c r="D2" s="179"/>
      <c r="E2" s="179"/>
      <c r="F2" s="179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46250</v>
      </c>
      <c r="C3" s="44"/>
      <c r="D3" s="45"/>
      <c r="E3" s="180" t="s">
        <v>70</v>
      </c>
      <c r="F3" s="180"/>
      <c r="G3" s="180"/>
      <c r="H3" s="180"/>
      <c r="I3" s="46"/>
    </row>
    <row r="4" spans="1:13" s="48" customFormat="1" ht="28.5" customHeight="1" thickTop="1">
      <c r="A4" s="181" t="s">
        <v>71</v>
      </c>
      <c r="B4" s="183" t="s">
        <v>72</v>
      </c>
      <c r="C4" s="184"/>
      <c r="D4" s="187" t="s">
        <v>73</v>
      </c>
      <c r="E4" s="187" t="s">
        <v>74</v>
      </c>
      <c r="F4" s="189" t="str">
        <f>'PO 1st page'!C9</f>
        <v>OSAZ(Omar Saleh Abdullah Al-Zahrani Electricals)</v>
      </c>
      <c r="G4" s="190"/>
      <c r="H4" s="191" t="s">
        <v>75</v>
      </c>
      <c r="K4" s="49"/>
      <c r="L4" s="49"/>
      <c r="M4" s="49"/>
    </row>
    <row r="5" spans="1:13" s="48" customFormat="1" ht="21.95" customHeight="1">
      <c r="A5" s="182"/>
      <c r="B5" s="185"/>
      <c r="C5" s="186"/>
      <c r="D5" s="188"/>
      <c r="E5" s="188"/>
      <c r="F5" s="50" t="s">
        <v>76</v>
      </c>
      <c r="G5" s="50" t="s">
        <v>42</v>
      </c>
      <c r="H5" s="192"/>
      <c r="K5" s="49"/>
      <c r="L5" s="49"/>
      <c r="M5" s="49"/>
    </row>
    <row r="6" spans="1:13" s="48" customFormat="1" ht="32.1" customHeight="1">
      <c r="A6" s="78">
        <f t="shared" ref="A6:A29" si="0">ROW(A1)</f>
        <v>1</v>
      </c>
      <c r="B6" s="177" t="str">
        <f>MRS!B6&amp;" "&amp;MRS!D6</f>
        <v>Terminal Block/Strip  4MM 3A</v>
      </c>
      <c r="C6" s="178"/>
      <c r="D6" s="79" t="str">
        <f>MRS!G6</f>
        <v>EA</v>
      </c>
      <c r="E6" s="80">
        <f>MRS!H6</f>
        <v>10</v>
      </c>
      <c r="F6" s="81">
        <f>+'MRS LIST'!I6</f>
        <v>1.5</v>
      </c>
      <c r="G6" s="82">
        <f>+'MRS LIST'!J6</f>
        <v>15</v>
      </c>
      <c r="H6" s="83" t="s">
        <v>91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77" t="str">
        <f>MRS!B7&amp;" "&amp;MRS!D7</f>
        <v>Terminal Block/Strip  6MM 6A</v>
      </c>
      <c r="C7" s="178"/>
      <c r="D7" s="79" t="str">
        <f>MRS!G7</f>
        <v>EA</v>
      </c>
      <c r="E7" s="80">
        <f>MRS!H7</f>
        <v>10</v>
      </c>
      <c r="F7" s="81">
        <f>+'MRS LIST'!I7</f>
        <v>1.5</v>
      </c>
      <c r="G7" s="82">
        <f>+'MRS LIST'!J7</f>
        <v>15</v>
      </c>
      <c r="H7" s="83"/>
      <c r="K7" s="84"/>
      <c r="L7" s="85"/>
      <c r="M7" s="49"/>
    </row>
    <row r="8" spans="1:13" s="48" customFormat="1" ht="32.1" customHeight="1">
      <c r="A8" s="86">
        <f t="shared" si="0"/>
        <v>3</v>
      </c>
      <c r="B8" s="177" t="str">
        <f>MRS!B8&amp;" "&amp;MRS!D8</f>
        <v>Mcb  32A 1P</v>
      </c>
      <c r="C8" s="178"/>
      <c r="D8" s="79" t="str">
        <f>MRS!G8</f>
        <v>EA</v>
      </c>
      <c r="E8" s="80">
        <f>MRS!H8</f>
        <v>50</v>
      </c>
      <c r="F8" s="81">
        <f>+'MRS LIST'!I8</f>
        <v>11</v>
      </c>
      <c r="G8" s="82">
        <f>+'MRS LIST'!J8</f>
        <v>550</v>
      </c>
      <c r="H8" s="83"/>
      <c r="K8" s="49"/>
      <c r="L8" s="49"/>
      <c r="M8" s="49"/>
    </row>
    <row r="9" spans="1:13" s="48" customFormat="1" ht="32.1" customHeight="1">
      <c r="A9" s="86">
        <f t="shared" si="0"/>
        <v>4</v>
      </c>
      <c r="B9" s="177" t="str">
        <f>MRS!B9&amp;" "&amp;MRS!D9</f>
        <v>Flexible Cable  WHITE 2C X 1MM² 100YARD / ROLL</v>
      </c>
      <c r="C9" s="178"/>
      <c r="D9" s="79" t="str">
        <f>MRS!G9</f>
        <v>ROLL</v>
      </c>
      <c r="E9" s="80">
        <f>MRS!H9</f>
        <v>20</v>
      </c>
      <c r="F9" s="81">
        <f>+'MRS LIST'!I9</f>
        <v>135</v>
      </c>
      <c r="G9" s="82">
        <f>+'MRS LIST'!J9</f>
        <v>2700</v>
      </c>
      <c r="H9" s="87"/>
    </row>
    <row r="10" spans="1:13" s="48" customFormat="1" ht="32.1" customHeight="1">
      <c r="A10" s="86">
        <f t="shared" si="0"/>
        <v>5</v>
      </c>
      <c r="B10" s="177" t="str">
        <f>MRS!B10&amp;" "&amp;MRS!D10</f>
        <v>Cable Lug  6MM² X M6</v>
      </c>
      <c r="C10" s="178"/>
      <c r="D10" s="79" t="str">
        <f>MRS!G10</f>
        <v>EA</v>
      </c>
      <c r="E10" s="80">
        <f>MRS!H10</f>
        <v>200</v>
      </c>
      <c r="F10" s="81">
        <f>+'MRS LIST'!I10</f>
        <v>0.4</v>
      </c>
      <c r="G10" s="82">
        <f>+'MRS LIST'!J10</f>
        <v>80</v>
      </c>
      <c r="H10" s="87"/>
    </row>
    <row r="11" spans="1:13" s="48" customFormat="1" ht="32.1" customHeight="1">
      <c r="A11" s="86">
        <f t="shared" si="0"/>
        <v>6</v>
      </c>
      <c r="B11" s="177" t="str">
        <f>MRS!B11&amp;" "&amp;MRS!D11</f>
        <v>Cable Lug  70MM² X M10</v>
      </c>
      <c r="C11" s="178"/>
      <c r="D11" s="79" t="str">
        <f>MRS!G11</f>
        <v>EA</v>
      </c>
      <c r="E11" s="80">
        <f>MRS!H11</f>
        <v>200</v>
      </c>
      <c r="F11" s="81">
        <f>+'MRS LIST'!I11</f>
        <v>3.7</v>
      </c>
      <c r="G11" s="82">
        <f>+'MRS LIST'!J11</f>
        <v>740</v>
      </c>
      <c r="H11" s="87"/>
    </row>
    <row r="12" spans="1:13" s="48" customFormat="1" ht="32.1" customHeight="1">
      <c r="A12" s="86">
        <f t="shared" si="0"/>
        <v>7</v>
      </c>
      <c r="B12" s="177" t="str">
        <f>MRS!B12&amp;" "&amp;MRS!D12</f>
        <v>Cable Lug  50MM² X M10</v>
      </c>
      <c r="C12" s="178"/>
      <c r="D12" s="79" t="str">
        <f>MRS!G12</f>
        <v>EA</v>
      </c>
      <c r="E12" s="80">
        <f>MRS!H12</f>
        <v>200</v>
      </c>
      <c r="F12" s="81">
        <f>+'MRS LIST'!I12</f>
        <v>2.1</v>
      </c>
      <c r="G12" s="82">
        <f>+'MRS LIST'!J12</f>
        <v>420</v>
      </c>
      <c r="H12" s="87"/>
    </row>
    <row r="13" spans="1:13" s="48" customFormat="1" ht="32.1" customHeight="1">
      <c r="A13" s="86">
        <f t="shared" si="0"/>
        <v>8</v>
      </c>
      <c r="B13" s="177" t="str">
        <f>MRS!B13&amp;" "&amp;MRS!D13</f>
        <v>Cable Lug  35MM² X M10</v>
      </c>
      <c r="C13" s="178"/>
      <c r="D13" s="79" t="str">
        <f>MRS!G13</f>
        <v>EA</v>
      </c>
      <c r="E13" s="80">
        <f>MRS!H13</f>
        <v>200</v>
      </c>
      <c r="F13" s="81">
        <f>+'MRS LIST'!I13</f>
        <v>1.75</v>
      </c>
      <c r="G13" s="82">
        <f>+'MRS LIST'!J13</f>
        <v>350</v>
      </c>
      <c r="H13" s="87"/>
    </row>
    <row r="14" spans="1:13" s="48" customFormat="1" ht="32.1" customHeight="1">
      <c r="A14" s="86">
        <f t="shared" si="0"/>
        <v>9</v>
      </c>
      <c r="B14" s="177" t="str">
        <f>MRS!B14&amp;" "&amp;MRS!D14</f>
        <v xml:space="preserve">Mobile Plug Ip66/67 16A/220V 3PIN </v>
      </c>
      <c r="C14" s="178"/>
      <c r="D14" s="79" t="str">
        <f>MRS!G14</f>
        <v>EA</v>
      </c>
      <c r="E14" s="80">
        <f>MRS!H14</f>
        <v>200</v>
      </c>
      <c r="F14" s="81">
        <f>+'MRS LIST'!I14</f>
        <v>20</v>
      </c>
      <c r="G14" s="82">
        <f>+'MRS LIST'!J14</f>
        <v>4000</v>
      </c>
      <c r="H14" s="87"/>
    </row>
    <row r="15" spans="1:13" s="48" customFormat="1" ht="32.1" customHeight="1">
      <c r="A15" s="86">
        <f t="shared" si="0"/>
        <v>10</v>
      </c>
      <c r="B15" s="177" t="str">
        <f>MRS!B15&amp;" "&amp;MRS!D15</f>
        <v xml:space="preserve">Mobile Socket Ip66/67 16A/220V 3PIN </v>
      </c>
      <c r="C15" s="178"/>
      <c r="D15" s="79" t="str">
        <f>MRS!G15</f>
        <v>EA</v>
      </c>
      <c r="E15" s="80">
        <f>MRS!H15</f>
        <v>200</v>
      </c>
      <c r="F15" s="81">
        <f>+'MRS LIST'!I15</f>
        <v>32</v>
      </c>
      <c r="G15" s="82">
        <f>+'MRS LIST'!J15</f>
        <v>6400</v>
      </c>
      <c r="H15" s="87"/>
    </row>
    <row r="16" spans="1:13" s="48" customFormat="1" ht="32.1" customHeight="1">
      <c r="A16" s="86">
        <f t="shared" si="0"/>
        <v>11</v>
      </c>
      <c r="B16" s="177" t="str">
        <f>MRS!B16&amp;" "&amp;MRS!D16</f>
        <v>Flexible Cable  WHITE 3C X 2.5MM² 100YARD / ROLL</v>
      </c>
      <c r="C16" s="178"/>
      <c r="D16" s="79" t="str">
        <f>MRS!G16</f>
        <v>ROLL</v>
      </c>
      <c r="E16" s="80">
        <f>MRS!H16</f>
        <v>3</v>
      </c>
      <c r="F16" s="81">
        <f>+'MRS LIST'!I16</f>
        <v>290</v>
      </c>
      <c r="G16" s="82">
        <f>+'MRS LIST'!J16</f>
        <v>870</v>
      </c>
      <c r="H16" s="87"/>
    </row>
    <row r="17" spans="1:8" s="48" customFormat="1" ht="32.1" customHeight="1">
      <c r="A17" s="86">
        <f t="shared" si="0"/>
        <v>12</v>
      </c>
      <c r="B17" s="177" t="str">
        <f>MRS!B17&amp;" "&amp;MRS!D17</f>
        <v>Cable Lug  6MM² X M6</v>
      </c>
      <c r="C17" s="178"/>
      <c r="D17" s="79" t="str">
        <f>MRS!G17</f>
        <v>EA</v>
      </c>
      <c r="E17" s="80">
        <f>MRS!H17</f>
        <v>500</v>
      </c>
      <c r="F17" s="81">
        <f>+'MRS LIST'!I17</f>
        <v>0.4</v>
      </c>
      <c r="G17" s="82">
        <f>+'MRS LIST'!J17</f>
        <v>200</v>
      </c>
      <c r="H17" s="87"/>
    </row>
    <row r="18" spans="1:8" s="48" customFormat="1" ht="32.1" customHeight="1">
      <c r="A18" s="86">
        <f t="shared" si="0"/>
        <v>13</v>
      </c>
      <c r="B18" s="177" t="str">
        <f>MRS!B18&amp;" "&amp;MRS!D18</f>
        <v>Cable Lug  10MM² X M6</v>
      </c>
      <c r="C18" s="178"/>
      <c r="D18" s="79" t="str">
        <f>MRS!G18</f>
        <v>EA</v>
      </c>
      <c r="E18" s="80">
        <f>MRS!H18</f>
        <v>200</v>
      </c>
      <c r="F18" s="81">
        <f>+'MRS LIST'!I18</f>
        <v>0.48</v>
      </c>
      <c r="G18" s="82">
        <f>+'MRS LIST'!J18</f>
        <v>96</v>
      </c>
      <c r="H18" s="87"/>
    </row>
    <row r="19" spans="1:8" s="48" customFormat="1" ht="32.1" customHeight="1">
      <c r="A19" s="86">
        <f t="shared" si="0"/>
        <v>14</v>
      </c>
      <c r="B19" s="177" t="str">
        <f>MRS!B19&amp;" "&amp;MRS!D19</f>
        <v>Flexible Conduit  PVC 2" X 25M HD BLACK</v>
      </c>
      <c r="C19" s="178"/>
      <c r="D19" s="79" t="str">
        <f>MRS!G19</f>
        <v>ROLL</v>
      </c>
      <c r="E19" s="80">
        <f>MRS!H19</f>
        <v>5</v>
      </c>
      <c r="F19" s="81">
        <f>+'MRS LIST'!I19</f>
        <v>160</v>
      </c>
      <c r="G19" s="82">
        <f>+'MRS LIST'!J19</f>
        <v>800</v>
      </c>
      <c r="H19" s="87"/>
    </row>
    <row r="20" spans="1:8" s="48" customFormat="1" ht="32.1" customHeight="1">
      <c r="A20" s="86">
        <f t="shared" si="0"/>
        <v>15</v>
      </c>
      <c r="B20" s="177" t="str">
        <f>MRS!B20&amp;" "&amp;MRS!D20</f>
        <v>Panel Board Fab (380V x 32A x 3P : 10PCS, 220V x 32A x 1P :10 PCS)</v>
      </c>
      <c r="C20" s="178"/>
      <c r="D20" s="79" t="str">
        <f>MRS!G20</f>
        <v>SET</v>
      </c>
      <c r="E20" s="80">
        <f>MRS!H20</f>
        <v>10</v>
      </c>
      <c r="F20" s="81">
        <f>+'MRS LIST'!I20</f>
        <v>8900</v>
      </c>
      <c r="G20" s="82">
        <f>+'MRS LIST'!J20</f>
        <v>89000</v>
      </c>
      <c r="H20" s="87"/>
    </row>
    <row r="21" spans="1:8" s="48" customFormat="1" ht="32.1" customHeight="1">
      <c r="A21" s="86">
        <f t="shared" si="0"/>
        <v>16</v>
      </c>
      <c r="B21" s="177" t="str">
        <f>MRS!B21&amp;" "&amp;MRS!D21</f>
        <v xml:space="preserve">Mobile Plug Ip66/67 16A/220V 3PIN </v>
      </c>
      <c r="C21" s="178"/>
      <c r="D21" s="79" t="str">
        <f>MRS!G21</f>
        <v>EA</v>
      </c>
      <c r="E21" s="80">
        <f>MRS!H21</f>
        <v>50</v>
      </c>
      <c r="F21" s="81">
        <f>+'MRS LIST'!I21</f>
        <v>20</v>
      </c>
      <c r="G21" s="82">
        <f>+'MRS LIST'!J21</f>
        <v>1000</v>
      </c>
      <c r="H21" s="87"/>
    </row>
    <row r="22" spans="1:8" s="48" customFormat="1" ht="32.1" customHeight="1">
      <c r="A22" s="86">
        <f t="shared" si="0"/>
        <v>17</v>
      </c>
      <c r="B22" s="177" t="str">
        <f>MRS!B22&amp;" "&amp;MRS!D22</f>
        <v xml:space="preserve"> Mobile Plug Ip66/67 16A/220V 3PIN</v>
      </c>
      <c r="C22" s="178"/>
      <c r="D22" s="79" t="str">
        <f>MRS!G22</f>
        <v>EA</v>
      </c>
      <c r="E22" s="80">
        <f>MRS!H22</f>
        <v>50</v>
      </c>
      <c r="F22" s="81">
        <f>+'MRS LIST'!I22</f>
        <v>20</v>
      </c>
      <c r="G22" s="82">
        <f>+'MRS LIST'!J22</f>
        <v>1000</v>
      </c>
      <c r="H22" s="87"/>
    </row>
    <row r="23" spans="1:8" s="48" customFormat="1" ht="32.1" customHeight="1">
      <c r="A23" s="86">
        <f t="shared" si="0"/>
        <v>18</v>
      </c>
      <c r="B23" s="177" t="str">
        <f>MRS!B23&amp;" "&amp;MRS!D23</f>
        <v xml:space="preserve"> Mobile Socket Ip66/67 16A/220V 3PIN</v>
      </c>
      <c r="C23" s="178"/>
      <c r="D23" s="79" t="str">
        <f>MRS!G23</f>
        <v>EA</v>
      </c>
      <c r="E23" s="80">
        <f>MRS!H23</f>
        <v>50</v>
      </c>
      <c r="F23" s="81">
        <f>+'MRS LIST'!I23</f>
        <v>32</v>
      </c>
      <c r="G23" s="82">
        <f>+'MRS LIST'!J23</f>
        <v>1600</v>
      </c>
      <c r="H23" s="87"/>
    </row>
    <row r="24" spans="1:8" s="48" customFormat="1" ht="32.1" customHeight="1">
      <c r="A24" s="86">
        <f t="shared" si="0"/>
        <v>19</v>
      </c>
      <c r="B24" s="177" t="str">
        <f>MRS!B24&amp;" "&amp;MRS!D24</f>
        <v xml:space="preserve">Mobile Plug Ip66/67 16A/220V 3PIN </v>
      </c>
      <c r="C24" s="178"/>
      <c r="D24" s="79" t="str">
        <f>MRS!G24</f>
        <v>EA</v>
      </c>
      <c r="E24" s="80">
        <f>MRS!H24</f>
        <v>40</v>
      </c>
      <c r="F24" s="81">
        <f>+'MRS LIST'!I24</f>
        <v>20</v>
      </c>
      <c r="G24" s="82">
        <f>+'MRS LIST'!J24</f>
        <v>800</v>
      </c>
      <c r="H24" s="87"/>
    </row>
    <row r="25" spans="1:8" s="48" customFormat="1" ht="32.1" customHeight="1">
      <c r="A25" s="86">
        <f t="shared" si="0"/>
        <v>20</v>
      </c>
      <c r="B25" s="177" t="str">
        <f>MRS!B25&amp;" "&amp;MRS!D25</f>
        <v xml:space="preserve">Mobile Socket Ip66/67 16A/220V 3PIN </v>
      </c>
      <c r="C25" s="178"/>
      <c r="D25" s="79" t="str">
        <f>MRS!G25</f>
        <v>EA</v>
      </c>
      <c r="E25" s="80">
        <f>MRS!H25</f>
        <v>40</v>
      </c>
      <c r="F25" s="81">
        <f>+'MRS LIST'!I25</f>
        <v>32</v>
      </c>
      <c r="G25" s="82">
        <f>+'MRS LIST'!J25</f>
        <v>1280</v>
      </c>
      <c r="H25" s="87"/>
    </row>
    <row r="26" spans="1:8" s="48" customFormat="1" ht="32.1" customHeight="1">
      <c r="A26" s="86">
        <f t="shared" si="0"/>
        <v>21</v>
      </c>
      <c r="B26" s="177" t="str">
        <f>MRS!B26&amp;" "&amp;MRS!D26</f>
        <v>Cable Lug  95MM² X M10</v>
      </c>
      <c r="C26" s="178"/>
      <c r="D26" s="79" t="str">
        <f>MRS!G26</f>
        <v>EA</v>
      </c>
      <c r="E26" s="80">
        <f>MRS!H26</f>
        <v>20</v>
      </c>
      <c r="F26" s="81">
        <f>+'MRS LIST'!I26</f>
        <v>5.0999999999999996</v>
      </c>
      <c r="G26" s="82">
        <f>+'MRS LIST'!J26</f>
        <v>102</v>
      </c>
      <c r="H26" s="87"/>
    </row>
    <row r="27" spans="1:8" s="48" customFormat="1" ht="32.1" customHeight="1">
      <c r="A27" s="86">
        <f t="shared" si="0"/>
        <v>22</v>
      </c>
      <c r="B27" s="177" t="str">
        <f>MRS!B27&amp;" "&amp;MRS!D27</f>
        <v xml:space="preserve">Mobile Plug Ip66/67 16A/220V 3PIN </v>
      </c>
      <c r="C27" s="178"/>
      <c r="D27" s="79" t="str">
        <f>MRS!G27</f>
        <v>EA</v>
      </c>
      <c r="E27" s="80">
        <f>MRS!H27</f>
        <v>50</v>
      </c>
      <c r="F27" s="81">
        <f>+'MRS LIST'!I27</f>
        <v>20</v>
      </c>
      <c r="G27" s="82">
        <f>+'MRS LIST'!J27</f>
        <v>1000</v>
      </c>
      <c r="H27" s="87"/>
    </row>
    <row r="28" spans="1:8" s="48" customFormat="1" ht="32.1" customHeight="1">
      <c r="A28" s="86">
        <f t="shared" si="0"/>
        <v>23</v>
      </c>
      <c r="B28" s="177" t="str">
        <f>MRS!B28&amp;" "&amp;MRS!D28</f>
        <v xml:space="preserve">Mobile Socket Ip66/67 16A/220V 3PIN </v>
      </c>
      <c r="C28" s="178"/>
      <c r="D28" s="79" t="str">
        <f>MRS!G28</f>
        <v>EA</v>
      </c>
      <c r="E28" s="80">
        <f>MRS!H28</f>
        <v>50</v>
      </c>
      <c r="F28" s="81">
        <f>+'MRS LIST'!I28</f>
        <v>32</v>
      </c>
      <c r="G28" s="82">
        <f>+'MRS LIST'!J28</f>
        <v>1600</v>
      </c>
      <c r="H28" s="87"/>
    </row>
    <row r="29" spans="1:8" s="48" customFormat="1" ht="32.1" customHeight="1">
      <c r="A29" s="86">
        <f t="shared" si="0"/>
        <v>24</v>
      </c>
      <c r="B29" s="177" t="str">
        <f>MRS!B29&amp;" "&amp;MRS!D29</f>
        <v>Cable Lug  35MM² X M10</v>
      </c>
      <c r="C29" s="178"/>
      <c r="D29" s="79" t="str">
        <f>MRS!G29</f>
        <v>EA</v>
      </c>
      <c r="E29" s="80">
        <f>MRS!H29</f>
        <v>200</v>
      </c>
      <c r="F29" s="81">
        <f>+'MRS LIST'!I29</f>
        <v>1.75</v>
      </c>
      <c r="G29" s="82">
        <f>+'MRS LIST'!J29</f>
        <v>350</v>
      </c>
      <c r="H29" s="87"/>
    </row>
    <row r="30" spans="1:8" s="48" customFormat="1" ht="23.1" customHeight="1">
      <c r="A30" s="173" t="s">
        <v>77</v>
      </c>
      <c r="B30" s="174"/>
      <c r="C30" s="174"/>
      <c r="D30" s="174"/>
      <c r="E30" s="174"/>
      <c r="F30" s="174"/>
      <c r="G30" s="51">
        <f>SUM(G6:G29)</f>
        <v>114968</v>
      </c>
      <c r="H30" s="52"/>
    </row>
    <row r="31" spans="1:8" s="48" customFormat="1" ht="23.1" customHeight="1">
      <c r="A31" s="173" t="s">
        <v>41</v>
      </c>
      <c r="B31" s="174"/>
      <c r="C31" s="174"/>
      <c r="D31" s="174"/>
      <c r="E31" s="174"/>
      <c r="F31" s="174"/>
      <c r="G31" s="51">
        <f>+G30*0.15</f>
        <v>17245.2</v>
      </c>
      <c r="H31" s="52"/>
    </row>
    <row r="32" spans="1:8" s="48" customFormat="1" ht="24.95" customHeight="1" thickBot="1">
      <c r="A32" s="175" t="s">
        <v>78</v>
      </c>
      <c r="B32" s="176"/>
      <c r="C32" s="176"/>
      <c r="D32" s="176"/>
      <c r="E32" s="176"/>
      <c r="F32" s="176"/>
      <c r="G32" s="53">
        <f>G31+G30</f>
        <v>132213.20000000001</v>
      </c>
      <c r="H32" s="54"/>
    </row>
    <row r="33" spans="1:13" ht="15.75" thickTop="1">
      <c r="A33" s="55" t="str">
        <f>" 1) Above Price are as per your quotation with ref "&amp;'PO 1st page'!K14</f>
        <v xml:space="preserve"> 1) Above Price are as per your quotation with ref 102116</v>
      </c>
      <c r="B33" s="56"/>
      <c r="C33" s="56"/>
      <c r="D33" s="57"/>
      <c r="E33" s="57"/>
      <c r="F33" s="57"/>
      <c r="G33" s="57"/>
      <c r="H33" s="57"/>
    </row>
    <row r="34" spans="1:13" ht="15">
      <c r="A34" s="58" t="s">
        <v>79</v>
      </c>
      <c r="B34" s="59"/>
      <c r="C34" s="59"/>
      <c r="D34" s="60"/>
      <c r="E34" s="60"/>
      <c r="F34" s="60"/>
      <c r="G34" s="60"/>
      <c r="H34" s="60"/>
      <c r="I34" s="61"/>
    </row>
    <row r="35" spans="1:13" ht="15.75">
      <c r="A35" s="62"/>
    </row>
    <row r="36" spans="1:13">
      <c r="A36" s="126" t="s">
        <v>80</v>
      </c>
      <c r="B36" s="126"/>
      <c r="C36" s="126"/>
      <c r="D36" s="126"/>
      <c r="E36" s="126"/>
      <c r="F36" s="126"/>
      <c r="G36" s="126"/>
      <c r="H36" s="126"/>
      <c r="I36" s="63"/>
      <c r="J36" s="63"/>
      <c r="K36" s="63"/>
      <c r="L36" s="63"/>
      <c r="M36" s="63"/>
    </row>
    <row r="37" spans="1:13" ht="15.75">
      <c r="A37" s="62"/>
      <c r="C37" s="64"/>
    </row>
    <row r="38" spans="1:13" ht="15.75">
      <c r="A38" s="62"/>
      <c r="C38" s="64"/>
    </row>
    <row r="40" spans="1:13" ht="12" customHeight="1"/>
  </sheetData>
  <mergeCells count="36">
    <mergeCell ref="B29:C29"/>
    <mergeCell ref="B24:C24"/>
    <mergeCell ref="B25:C25"/>
    <mergeCell ref="B26:C26"/>
    <mergeCell ref="B27:C27"/>
    <mergeCell ref="B28:C28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30:F30"/>
    <mergeCell ref="A31:F31"/>
    <mergeCell ref="A32:F32"/>
    <mergeCell ref="A36:H36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22:C22"/>
    <mergeCell ref="B23:C2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2026-08-18T05:25:05Z</cp:lastPrinted>
  <dcterms:created xsi:type="dcterms:W3CDTF">2024-10-20T11:50:19Z</dcterms:created>
  <dcterms:modified xsi:type="dcterms:W3CDTF">2026-08-19T04:25:29Z</dcterms:modified>
</cp:coreProperties>
</file>