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55300D3-C7FD-4FEE-8144-31302BB0364F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9" i="4"/>
  <c r="G8" i="4"/>
  <c r="G7" i="4"/>
  <c r="G6" i="4"/>
  <c r="F9" i="4"/>
  <c r="E9" i="4"/>
  <c r="D9" i="4"/>
  <c r="F8" i="4"/>
  <c r="E8" i="4"/>
  <c r="D8" i="4"/>
  <c r="F7" i="4"/>
  <c r="E7" i="4"/>
  <c r="D7" i="4"/>
  <c r="F6" i="4"/>
  <c r="E6" i="4"/>
  <c r="D6" i="4"/>
  <c r="J6" i="1"/>
  <c r="H6" i="4"/>
  <c r="F10" i="4"/>
  <c r="E10" i="4"/>
  <c r="D10" i="4"/>
  <c r="A17" i="4"/>
  <c r="B16" i="4"/>
  <c r="B17" i="4"/>
  <c r="J16" i="1"/>
  <c r="A14" i="4"/>
  <c r="A15" i="4"/>
  <c r="A16" i="4"/>
  <c r="B7" i="4"/>
  <c r="B8" i="4"/>
  <c r="B9" i="4"/>
  <c r="B10" i="4"/>
  <c r="B11" i="4"/>
  <c r="B12" i="4"/>
  <c r="B13" i="4"/>
  <c r="B14" i="4"/>
  <c r="B15" i="4"/>
  <c r="J7" i="1"/>
  <c r="J8" i="1"/>
  <c r="J9" i="1"/>
  <c r="J9" i="2" s="1"/>
  <c r="J10" i="1"/>
  <c r="J10" i="2" s="1"/>
  <c r="J11" i="2"/>
  <c r="J12" i="1"/>
  <c r="J13" i="1"/>
  <c r="J14" i="1"/>
  <c r="J15" i="1"/>
  <c r="J17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<sst xmlns="http://schemas.openxmlformats.org/spreadsheetml/2006/main" count="163" uniqueCount="134">
  <si>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</si>
  <si>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</si>
  <si>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</si>
  <si>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</si>
  <si>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</si>
  <si>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</si>
  <si>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</si>
  <si>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</si>
  <si>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</si>
  <si>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</si>
  <si>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</si>
  <si>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</si>
  <si>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</si>
  <si>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</si>
  <si>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</si>
  <si>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</si>
  <si>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</si>
  <si>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</si>
  <si>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</si>
  <si>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</si>
  <si>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</si>
  <si>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</si>
  <si>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</si>
  <si>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</si>
  <si>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</si>
  <si>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</si>
  <si>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</si>
  <si>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</si>
  <si>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</si>
  <si>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</si>
  <si>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</si>
  <si>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</si>
  <si>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</si>
  <si>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</si>
  <si>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</si>
  <si>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</si>
  <si>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</si>
  <si>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</si>
  <si>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</si>
  <si>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</si>
  <si>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</si>
  <si>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</si>
  <si>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</si>
  <si>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</si>
  <si>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</si>
  <si>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</si>
  <si>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</si>
  <si>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</si>
  <si>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</si>
  <si>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</si>
  <si>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</si>
  <si>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</si>
  <si>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</si>
  <si>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</si>
  <si>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</si>
  <si>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</si>
  <si>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</si>
  <si>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</si>
  <si>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</si>
  <si>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</si>
  <si>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</si>
  <si>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</si>
  <si>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</si>
  <si>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</si>
  <si>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</si>
  <si>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</si>
  <si>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</si>
  <si>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</si>
  <si>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</si>
  <si>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</si>
  <si>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</si>
  <si>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</si>
  <si>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</si>
  <si>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</si>
  <si>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</si>
  <si>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</si>
  <si>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</si>
  <si>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</si>
  <si>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</si>
  <si>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</si>
  <si>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</si>
  <si>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</si>
  <si>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</si>
  <si>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</si>
  <si>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</si>
  <si>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</si>
  <si>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</si>
  <si>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</si>
  <si>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</si>
  <si>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</si>
  <si>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</si>
  <si>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</si>
  <si>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</si>
  <si>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</si>
  <si>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</si>
  <si>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</si>
  <si>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</si>
  <si>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</si>
  <si>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</si>
  <si>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</si>
  <si>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</si>
  <si>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</si>
  <si>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</si>
  <si>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</si>
  <si>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</si>
  <si>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</si>
  <si>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</si>
  <si>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</si>
  <si>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</si>
  <si>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</si>
  <si>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</si>
  <si>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</si>
  <si>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</si>
  <si>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</si>
  <si>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</si>
  <si>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</si>
  <si>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</si>
  <si>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</si>
  <si>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</si>
  <si>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</si>
  <si>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</si>
  <si>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</si>
  <si>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SAMOO (Samoo Al Bahr Contracting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</si>
  <si>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-MRS-0332</t>
    </r>
  </si>
  <si>
    <t>PC</t>
  </si>
  <si>
    <t>One Time</t>
  </si>
  <si>
    <t>Third Party Inspection &amp; Certificate - Bow Shackle</t>
  </si>
  <si>
    <t>Third Party Inspection &amp; Certificate - Chain Elbow</t>
  </si>
  <si>
    <t>Third Party Inspection &amp; Certificate - Web Sling</t>
  </si>
  <si>
    <t>Third Party Inspection &amp; Certificate - Snatch Block</t>
  </si>
  <si>
    <t>Third Party Inspection &amp; Certificate -Poleyster Halter Starp</t>
  </si>
  <si>
    <t>SAMOO-DAESHIN-MT-42-2026</t>
  </si>
  <si>
    <t>Third Party Inspection &amp; Certification</t>
  </si>
  <si>
    <t>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</si>
</sst>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19</xdr:row>
          <xdr:rowOff>0</xdr:rowOff>
        </xdr:from>
        <xdr:to>
          <xdr:col>12</xdr:col>
          <xdr:colOff>502</xdr:colOff>
          <xdr:row>26</xdr:row>
          <xdr:rowOff>90239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2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view="pageBreakPreview" zoomScale="95" zoomScaleNormal="95" zoomScaleSheetLayoutView="95" workbookViewId="0">
      <selection activeCell="J18" sqref="J18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99</v>
      </c>
      <c r="B1" s="104"/>
      <c r="C1" s="104"/>
      <c r="D1" s="104"/>
      <c r="E1" s="104"/>
      <c r="F1" s="104"/>
      <c r="G1" s="1"/>
      <c r="J1" s="123" t="s">
        <v>89</v>
      </c>
      <c r="K1" s="124"/>
      <c r="L1" s="125"/>
    </row>
    <row r="2" spans="1:18" ht="20.100000000000001" customHeight="1">
      <c r="A2" s="3" t="s">
        <v>1</v>
      </c>
      <c r="B2" s="95"/>
      <c r="C2" s="95"/>
      <c r="D2" s="3" t="s">
        <v>100</v>
      </c>
      <c r="E2" s="95"/>
      <c r="F2" s="95"/>
      <c r="G2" s="95"/>
      <c r="H2" s="95"/>
      <c r="I2" s="4"/>
      <c r="J2" s="139" t="s">
        <v>101</v>
      </c>
      <c r="K2" s="140"/>
      <c r="L2" s="141"/>
    </row>
    <row r="3" spans="1:18" ht="20.100000000000001" customHeight="1">
      <c r="A3" s="3" t="s">
        <v>123</v>
      </c>
      <c r="B3" s="95"/>
      <c r="C3" s="95"/>
      <c r="D3" s="95"/>
      <c r="E3" s="126">
        <f>+L3</f>
        <v>46186</v>
      </c>
      <c r="F3" s="126"/>
      <c r="G3" s="126"/>
      <c r="H3" s="126"/>
      <c r="I3" s="126"/>
      <c r="J3" s="95"/>
      <c r="K3" s="95"/>
      <c r="L3" s="116">
        <v>46186</v>
      </c>
      <c r="M3" s="4"/>
    </row>
    <row r="4" spans="1:18" ht="15.95" customHeight="1">
      <c r="A4" s="127" t="s">
        <v>2</v>
      </c>
      <c r="B4" s="128" t="s">
        <v>3</v>
      </c>
      <c r="C4" s="128"/>
      <c r="D4" s="129" t="s">
        <v>4</v>
      </c>
      <c r="E4" s="130"/>
      <c r="F4" s="131"/>
      <c r="G4" s="135" t="s">
        <v>5</v>
      </c>
      <c r="H4" s="137" t="s">
        <v>6</v>
      </c>
      <c r="I4" s="137" t="s">
        <v>93</v>
      </c>
      <c r="J4" s="127" t="s">
        <v>94</v>
      </c>
      <c r="K4" s="137" t="s">
        <v>0</v>
      </c>
      <c r="L4" s="128" t="s">
        <v>7</v>
      </c>
    </row>
    <row r="5" spans="1:18" ht="15.9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18" ht="32.25" customHeight="1">
      <c r="A6" s="5">
        <v>1</v>
      </c>
      <c r="B6" s="142" t="s">
        <v>126</v>
      </c>
      <c r="C6" s="143"/>
      <c r="D6" s="144"/>
      <c r="E6" s="145"/>
      <c r="F6" s="146"/>
      <c r="G6" s="105" t="s">
        <v>124</v>
      </c>
      <c r="H6" s="106">
        <v>70</v>
      </c>
      <c r="I6" s="107">
        <v>38</v>
      </c>
      <c r="J6" s="107">
        <f t="shared" ref="J6:J17" si="0">H6*I6</f>
        <v>2660</v>
      </c>
      <c r="K6" s="108" t="s">
        <v>103</v>
      </c>
      <c r="L6" s="109" t="s">
        <v>125</v>
      </c>
      <c r="R6" s="100"/>
    </row>
    <row r="7" spans="1:18" ht="32.25" customHeight="1">
      <c r="A7" s="5">
        <v>2</v>
      </c>
      <c r="B7" s="142" t="s">
        <v>127</v>
      </c>
      <c r="C7" s="143"/>
      <c r="D7" s="147"/>
      <c r="E7" s="145"/>
      <c r="F7" s="146"/>
      <c r="G7" s="105" t="s">
        <v>124</v>
      </c>
      <c r="H7" s="106">
        <v>55</v>
      </c>
      <c r="I7" s="107">
        <v>50</v>
      </c>
      <c r="J7" s="107">
        <f t="shared" si="0"/>
        <v>2750</v>
      </c>
      <c r="K7" s="108"/>
      <c r="L7" s="109"/>
      <c r="R7" s="100"/>
    </row>
    <row r="8" spans="1:18" ht="32.25" customHeight="1">
      <c r="A8" s="5">
        <v>3</v>
      </c>
      <c r="B8" s="142" t="s">
        <v>128</v>
      </c>
      <c r="C8" s="143"/>
      <c r="D8" s="144"/>
      <c r="E8" s="145"/>
      <c r="F8" s="146"/>
      <c r="G8" s="105" t="s">
        <v>124</v>
      </c>
      <c r="H8" s="106">
        <v>179</v>
      </c>
      <c r="I8" s="107">
        <v>38</v>
      </c>
      <c r="J8" s="107">
        <f t="shared" si="0"/>
        <v>6802</v>
      </c>
      <c r="K8" s="108"/>
      <c r="L8" s="109"/>
      <c r="R8" s="100"/>
    </row>
    <row r="9" spans="1:18" ht="32.25" customHeight="1">
      <c r="A9" s="5">
        <v>4</v>
      </c>
      <c r="B9" s="142" t="s">
        <v>129</v>
      </c>
      <c r="C9" s="143"/>
      <c r="D9" s="144"/>
      <c r="E9" s="145"/>
      <c r="F9" s="146"/>
      <c r="G9" s="105" t="s">
        <v>124</v>
      </c>
      <c r="H9" s="106">
        <v>10</v>
      </c>
      <c r="I9" s="110">
        <v>60</v>
      </c>
      <c r="J9" s="107">
        <f t="shared" si="0"/>
        <v>600</v>
      </c>
      <c r="K9" s="108"/>
      <c r="L9" s="109"/>
      <c r="R9" s="100"/>
    </row>
    <row r="10" spans="1:18" ht="32.25" customHeight="1">
      <c r="A10" s="5">
        <v>5</v>
      </c>
      <c r="B10" s="142" t="s">
        <v>130</v>
      </c>
      <c r="C10" s="143"/>
      <c r="D10" s="148"/>
      <c r="E10" s="148"/>
      <c r="F10" s="148"/>
      <c r="G10" s="105" t="s">
        <v>124</v>
      </c>
      <c r="H10" s="106">
        <v>30</v>
      </c>
      <c r="I10" s="107">
        <v>50</v>
      </c>
      <c r="J10" s="107">
        <f t="shared" si="0"/>
        <v>1500</v>
      </c>
      <c r="K10" s="108"/>
      <c r="L10" s="105"/>
      <c r="R10" s="100"/>
    </row>
    <row r="11" spans="1:18" ht="21" customHeight="1">
      <c r="A11" s="5"/>
      <c r="B11" s="142"/>
      <c r="C11" s="143"/>
      <c r="D11" s="144"/>
      <c r="E11" s="145"/>
      <c r="F11" s="146"/>
      <c r="G11" s="105"/>
      <c r="H11" s="106"/>
      <c r="I11" s="107"/>
      <c r="J11" s="107"/>
      <c r="K11" s="108"/>
      <c r="L11" s="109"/>
      <c r="R11" s="100"/>
    </row>
    <row r="12" spans="1:18" ht="21" hidden="1" customHeight="1">
      <c r="A12" s="5"/>
      <c r="B12" s="142"/>
      <c r="C12" s="143"/>
      <c r="D12" s="148"/>
      <c r="E12" s="148"/>
      <c r="F12" s="148"/>
      <c r="G12" s="105"/>
      <c r="H12" s="106"/>
      <c r="I12" s="110"/>
      <c r="J12" s="107">
        <f t="shared" si="0"/>
        <v>0</v>
      </c>
      <c r="K12" s="108"/>
      <c r="L12" s="105"/>
      <c r="R12" s="100"/>
    </row>
    <row r="13" spans="1:18" ht="21" hidden="1" customHeight="1">
      <c r="A13" s="5"/>
      <c r="B13" s="142"/>
      <c r="C13" s="143"/>
      <c r="D13" s="144"/>
      <c r="E13" s="145"/>
      <c r="F13" s="146"/>
      <c r="G13" s="105"/>
      <c r="H13" s="106"/>
      <c r="I13" s="107"/>
      <c r="J13" s="107">
        <f t="shared" si="0"/>
        <v>0</v>
      </c>
      <c r="K13" s="108"/>
      <c r="L13" s="109"/>
      <c r="R13" s="100"/>
    </row>
    <row r="14" spans="1:18" ht="21" customHeight="1">
      <c r="A14" s="5"/>
      <c r="B14" s="142"/>
      <c r="C14" s="143"/>
      <c r="D14" s="144"/>
      <c r="E14" s="145"/>
      <c r="F14" s="146"/>
      <c r="G14" s="105"/>
      <c r="H14" s="106"/>
      <c r="I14" s="107"/>
      <c r="J14" s="107">
        <f t="shared" si="0"/>
        <v>0</v>
      </c>
      <c r="K14" s="108"/>
      <c r="L14" s="109"/>
      <c r="R14" s="100"/>
    </row>
    <row r="15" spans="1:18" ht="21" customHeight="1">
      <c r="A15" s="5"/>
      <c r="B15" s="142"/>
      <c r="C15" s="143"/>
      <c r="D15" s="144"/>
      <c r="E15" s="145"/>
      <c r="F15" s="146"/>
      <c r="G15" s="105"/>
      <c r="H15" s="106"/>
      <c r="I15" s="107"/>
      <c r="J15" s="107">
        <f t="shared" si="0"/>
        <v>0</v>
      </c>
      <c r="K15" s="108"/>
      <c r="L15" s="109"/>
      <c r="R15" s="100"/>
    </row>
    <row r="16" spans="1:18" ht="21" customHeight="1">
      <c r="A16" s="5"/>
      <c r="B16" s="142"/>
      <c r="C16" s="143"/>
      <c r="D16" s="144"/>
      <c r="E16" s="145"/>
      <c r="F16" s="146"/>
      <c r="G16" s="105"/>
      <c r="H16" s="106"/>
      <c r="I16" s="107"/>
      <c r="J16" s="107">
        <f t="shared" si="0"/>
        <v>0</v>
      </c>
      <c r="K16" s="108"/>
      <c r="R16" s="100"/>
    </row>
    <row r="17" spans="1:19" ht="21" customHeight="1">
      <c r="A17" s="5"/>
      <c r="B17" s="142"/>
      <c r="C17" s="143"/>
      <c r="D17" s="144"/>
      <c r="E17" s="145"/>
      <c r="F17" s="146"/>
      <c r="G17" s="105"/>
      <c r="H17" s="106"/>
      <c r="I17" s="107"/>
      <c r="J17" s="107">
        <f t="shared" si="0"/>
        <v>0</v>
      </c>
      <c r="K17" s="108"/>
      <c r="L17" s="109"/>
      <c r="R17" s="100"/>
    </row>
    <row r="18" spans="1:19" ht="22.5" customHeight="1">
      <c r="A18" s="155" t="s">
        <v>8</v>
      </c>
      <c r="B18" s="156"/>
      <c r="C18" s="111"/>
      <c r="D18" s="112"/>
      <c r="E18" s="112"/>
      <c r="F18" s="112"/>
      <c r="G18" s="113"/>
      <c r="H18" s="113"/>
      <c r="I18" s="114" t="s">
        <v>9</v>
      </c>
      <c r="J18" s="107">
        <f>SUM(J6:J17)</f>
        <v>14312</v>
      </c>
      <c r="K18" s="107"/>
      <c r="L18" s="115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49" t="s">
        <v>11</v>
      </c>
      <c r="S20" s="13" t="s">
        <v>12</v>
      </c>
    </row>
    <row r="21" spans="1:19" ht="42.75" customHeight="1">
      <c r="R21" s="150"/>
      <c r="S21" s="15"/>
    </row>
    <row r="22" spans="1:19" ht="17.100000000000001" customHeight="1">
      <c r="O22" s="11"/>
      <c r="P22" s="11"/>
      <c r="R22" s="151"/>
      <c r="S22" s="15" t="s">
        <v>13</v>
      </c>
    </row>
    <row r="23" spans="1:19" ht="15" customHeight="1">
      <c r="O23" s="17" t="s">
        <v>14</v>
      </c>
      <c r="P23" s="152" t="s">
        <v>15</v>
      </c>
    </row>
    <row r="24" spans="1:19" ht="18" customHeight="1">
      <c r="O24" s="18" t="s">
        <v>16</v>
      </c>
      <c r="P24" s="153"/>
      <c r="R24" s="149" t="s">
        <v>17</v>
      </c>
      <c r="S24" s="12" t="s">
        <v>12</v>
      </c>
    </row>
    <row r="25" spans="1:19" ht="50.1" customHeight="1">
      <c r="O25" s="14"/>
      <c r="P25" s="14"/>
      <c r="R25" s="150"/>
      <c r="S25" s="19"/>
    </row>
    <row r="26" spans="1:19" ht="17.100000000000001" customHeight="1">
      <c r="O26" s="16" t="s">
        <v>13</v>
      </c>
      <c r="P26" s="16" t="s">
        <v>13</v>
      </c>
      <c r="R26" s="151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54"/>
      <c r="P29" s="154"/>
    </row>
    <row r="30" spans="1:19" ht="19.899999999999999" customHeight="1">
      <c r="O30" s="154"/>
      <c r="P30" s="154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52" t="s">
        <v>18</v>
      </c>
      <c r="P48" s="152" t="s">
        <v>18</v>
      </c>
      <c r="S48" s="152" t="s">
        <v>12</v>
      </c>
    </row>
    <row r="49" spans="15:19" ht="21" customHeight="1">
      <c r="O49" s="153"/>
      <c r="P49" s="153"/>
      <c r="S49" s="151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52" t="s">
        <v>18</v>
      </c>
      <c r="P52" s="152" t="s">
        <v>18</v>
      </c>
      <c r="S52" s="152" t="s">
        <v>19</v>
      </c>
    </row>
    <row r="53" spans="15:19" ht="21" customHeight="1">
      <c r="O53" s="153"/>
      <c r="P53" s="153"/>
      <c r="S53" s="151"/>
    </row>
    <row r="54" spans="15:19" ht="64.900000000000006" customHeight="1">
      <c r="O54" s="14"/>
      <c r="P54" s="14"/>
      <c r="S54" s="14"/>
    </row>
  </sheetData>
  <mergeCells count="48">
    <mergeCell ref="P52:P53"/>
    <mergeCell ref="S52:S53"/>
    <mergeCell ref="O29:O30"/>
    <mergeCell ref="P29:P30"/>
    <mergeCell ref="O48:O49"/>
    <mergeCell ref="P48:P49"/>
    <mergeCell ref="S48:S49"/>
    <mergeCell ref="O52:O53"/>
    <mergeCell ref="R20:R22"/>
    <mergeCell ref="P23:P24"/>
    <mergeCell ref="R24:R26"/>
    <mergeCell ref="B12:C12"/>
    <mergeCell ref="D12:F12"/>
    <mergeCell ref="B13:C13"/>
    <mergeCell ref="D13:F13"/>
    <mergeCell ref="B14:C14"/>
    <mergeCell ref="D14:F14"/>
    <mergeCell ref="B16:C16"/>
    <mergeCell ref="D16:F16"/>
    <mergeCell ref="B15:C15"/>
    <mergeCell ref="D15:F15"/>
    <mergeCell ref="B17:C17"/>
    <mergeCell ref="D17:F17"/>
    <mergeCell ref="A18:B18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95</v>
      </c>
      <c r="B1" s="94"/>
      <c r="C1" s="94"/>
      <c r="D1" s="94"/>
      <c r="E1" s="94"/>
      <c r="F1" s="94"/>
      <c r="G1" s="1"/>
      <c r="J1" s="123" t="str">
        <f>+MRS!J1</f>
        <v>DAESHIN PLANT</v>
      </c>
      <c r="K1" s="125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39" t="str">
        <f>+MRS!J2</f>
        <v>Subcontract name (SAC2-SC-IK-SMP-01)</v>
      </c>
      <c r="K2" s="141"/>
    </row>
    <row r="3" spans="1:18" ht="24.95" customHeight="1">
      <c r="A3" s="3" t="str">
        <f>+MRS!A3</f>
        <v xml:space="preserve">  MRS No : SAC2-DS-MRS-0332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46186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90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9" t="str">
        <f>MRS!B6</f>
        <v>Third Party Inspection &amp; Certificate - Bow Shackle</v>
      </c>
      <c r="C6" s="160"/>
      <c r="D6" s="161">
        <f>MRS!D6</f>
        <v>0</v>
      </c>
      <c r="E6" s="162"/>
      <c r="F6" s="163"/>
      <c r="G6" s="97" t="str">
        <f>MRS!G6</f>
        <v>PC</v>
      </c>
      <c r="H6" s="97">
        <f>MRS!H6</f>
        <v>70</v>
      </c>
      <c r="I6" s="98">
        <f>MRS!I6</f>
        <v>38</v>
      </c>
      <c r="J6" s="98">
        <f>MRS!J6</f>
        <v>2660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59" t="str">
        <f>MRS!B7</f>
        <v>Third Party Inspection &amp; Certificate - Chain Elbow</v>
      </c>
      <c r="C7" s="160"/>
      <c r="D7" s="161">
        <f>MRS!D7</f>
        <v>0</v>
      </c>
      <c r="E7" s="162"/>
      <c r="F7" s="163"/>
      <c r="G7" s="97" t="str">
        <f>MRS!G7</f>
        <v>PC</v>
      </c>
      <c r="H7" s="97">
        <f>MRS!H7</f>
        <v>55</v>
      </c>
      <c r="I7" s="98">
        <f>MRS!I7</f>
        <v>50</v>
      </c>
      <c r="J7" s="98">
        <f>MRS!J7</f>
        <v>2750</v>
      </c>
      <c r="K7" s="99"/>
      <c r="O7" s="100"/>
      <c r="P7" s="100"/>
      <c r="R7" s="100"/>
    </row>
    <row r="8" spans="1:18" ht="105" customHeight="1">
      <c r="A8" s="21">
        <f>+MRS!A8</f>
        <v>3</v>
      </c>
      <c r="B8" s="159" t="str">
        <f>MRS!B8</f>
        <v>Third Party Inspection &amp; Certificate - Web Sling</v>
      </c>
      <c r="C8" s="160"/>
      <c r="D8" s="161">
        <f>MRS!D8</f>
        <v>0</v>
      </c>
      <c r="E8" s="162"/>
      <c r="F8" s="163"/>
      <c r="G8" s="97" t="str">
        <f>MRS!G8</f>
        <v>PC</v>
      </c>
      <c r="H8" s="97">
        <f>MRS!H8</f>
        <v>179</v>
      </c>
      <c r="I8" s="98">
        <f>MRS!I8</f>
        <v>38</v>
      </c>
      <c r="J8" s="98">
        <f>MRS!J8</f>
        <v>6802</v>
      </c>
      <c r="K8" s="99"/>
      <c r="O8" s="100"/>
      <c r="P8" s="100"/>
      <c r="R8" s="100"/>
    </row>
    <row r="9" spans="1:18" ht="105" customHeight="1">
      <c r="A9" s="21">
        <f>+MRS!A9</f>
        <v>4</v>
      </c>
      <c r="B9" s="159" t="str">
        <f>MRS!B9</f>
        <v>Third Party Inspection &amp; Certificate - Snatch Block</v>
      </c>
      <c r="C9" s="160"/>
      <c r="D9" s="161">
        <f>MRS!D9</f>
        <v>0</v>
      </c>
      <c r="E9" s="162"/>
      <c r="F9" s="163"/>
      <c r="G9" s="97" t="str">
        <f>MRS!G9</f>
        <v>PC</v>
      </c>
      <c r="H9" s="97">
        <f>MRS!H9</f>
        <v>10</v>
      </c>
      <c r="I9" s="98">
        <f>MRS!I9</f>
        <v>60</v>
      </c>
      <c r="J9" s="98">
        <f>MRS!J9</f>
        <v>600</v>
      </c>
      <c r="K9" s="99"/>
      <c r="O9" s="100"/>
      <c r="P9" s="100"/>
      <c r="R9" s="100"/>
    </row>
    <row r="10" spans="1:18" ht="105" customHeight="1">
      <c r="A10" s="21">
        <f>+MRS!A10</f>
        <v>5</v>
      </c>
      <c r="B10" s="159" t="str">
        <f>MRS!B10</f>
        <v>Third Party Inspection &amp; Certificate -Poleyster Halter Starp</v>
      </c>
      <c r="C10" s="160"/>
      <c r="D10" s="161">
        <f>MRS!D10</f>
        <v>0</v>
      </c>
      <c r="E10" s="162"/>
      <c r="F10" s="163"/>
      <c r="G10" s="97" t="str">
        <f>MRS!G10</f>
        <v>PC</v>
      </c>
      <c r="H10" s="97">
        <f>MRS!H10</f>
        <v>30</v>
      </c>
      <c r="I10" s="98">
        <f>MRS!I10</f>
        <v>50</v>
      </c>
      <c r="J10" s="98">
        <f>MRS!J10</f>
        <v>1500</v>
      </c>
      <c r="K10" s="99"/>
      <c r="O10" s="100"/>
      <c r="P10" s="100"/>
      <c r="R10" s="100"/>
    </row>
    <row r="11" spans="1:18" ht="105" customHeight="1">
      <c r="A11" s="21">
        <f>+MRS!A11</f>
        <v>0</v>
      </c>
      <c r="B11" s="159">
        <f>MRS!B11</f>
        <v>0</v>
      </c>
      <c r="C11" s="160"/>
      <c r="D11" s="161">
        <f>MRS!D11</f>
        <v>0</v>
      </c>
      <c r="E11" s="162"/>
      <c r="F11" s="163"/>
      <c r="G11" s="97">
        <f>MRS!G11</f>
        <v>0</v>
      </c>
      <c r="H11" s="97">
        <f>MRS!H11</f>
        <v>0</v>
      </c>
      <c r="I11" s="98">
        <f>MRS!I11</f>
        <v>0</v>
      </c>
      <c r="J11" s="98">
        <f>MRS!J11</f>
        <v>0</v>
      </c>
      <c r="K11" s="99"/>
      <c r="O11" s="100"/>
      <c r="P11" s="100"/>
      <c r="R11" s="100"/>
    </row>
    <row r="12" spans="1:18" ht="105" customHeight="1">
      <c r="A12" s="21">
        <f>+MRS!A12</f>
        <v>0</v>
      </c>
      <c r="B12" s="164"/>
      <c r="C12" s="165"/>
      <c r="D12" s="166"/>
      <c r="E12" s="167"/>
      <c r="F12" s="168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+MRS!A13</f>
        <v>0</v>
      </c>
      <c r="B13" s="164"/>
      <c r="C13" s="165"/>
      <c r="D13" s="166"/>
      <c r="E13" s="167"/>
      <c r="F13" s="168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+MRS!A14</f>
        <v>0</v>
      </c>
      <c r="B14" s="164"/>
      <c r="C14" s="165"/>
      <c r="D14" s="166"/>
      <c r="E14" s="167"/>
      <c r="F14" s="168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+MRS!A17</f>
        <v>0</v>
      </c>
      <c r="B15" s="164"/>
      <c r="C15" s="165"/>
      <c r="D15" s="166"/>
      <c r="E15" s="167"/>
      <c r="F15" s="168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15" zoomScale="130" zoomScaleNormal="100" zoomScaleSheetLayoutView="130" workbookViewId="0">
      <selection activeCell="R29" sqref="R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122</v>
      </c>
      <c r="D9" s="39"/>
      <c r="E9" s="39"/>
    </row>
    <row r="10" spans="2:13" s="39" customFormat="1">
      <c r="B10" s="72"/>
      <c r="C10" s="39" t="s">
        <v>30</v>
      </c>
      <c r="D10" s="76" t="s">
        <v>104</v>
      </c>
      <c r="J10" s="39" t="s">
        <v>31</v>
      </c>
      <c r="K10" s="170">
        <f>MRS!L3</f>
        <v>46186</v>
      </c>
      <c r="L10" s="171"/>
      <c r="M10" s="171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72" t="str">
        <f>SUBSTITUTE(SUBSTITUTE(+MRS!A3,"  MRS No : ",""),"-MRS","-PO")</f>
        <v>SAC2-DS-PO-0332</v>
      </c>
      <c r="L11" s="172"/>
      <c r="M11" s="172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106</v>
      </c>
      <c r="J13" s="39" t="s">
        <v>36</v>
      </c>
    </row>
    <row r="14" spans="2:13" s="39" customFormat="1">
      <c r="B14" s="72"/>
      <c r="C14" s="77" t="s">
        <v>107</v>
      </c>
      <c r="J14" s="39" t="s">
        <v>37</v>
      </c>
      <c r="K14" s="39" t="s">
        <v>131</v>
      </c>
    </row>
    <row r="15" spans="2:13" s="39" customFormat="1">
      <c r="B15" s="72"/>
      <c r="C15" s="77" t="s">
        <v>98</v>
      </c>
      <c r="J15" s="39" t="s">
        <v>38</v>
      </c>
      <c r="K15" s="78">
        <v>46184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3" t="s">
        <v>39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40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42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1" t="s">
        <v>132</v>
      </c>
      <c r="M26" s="122" t="s">
        <v>44</v>
      </c>
    </row>
    <row r="27" spans="2:13" ht="11.1" customHeight="1">
      <c r="B27" s="32"/>
      <c r="C27" s="26" t="s">
        <v>133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77">
        <f>'PO 2nd page'!G18</f>
        <v>14312</v>
      </c>
      <c r="G29" s="177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77">
        <f>'PO 2nd page'!G19</f>
        <v>2146.7999999999997</v>
      </c>
      <c r="G30" s="177"/>
    </row>
    <row r="31" spans="2:13" ht="12" customHeight="1">
      <c r="B31" s="32"/>
      <c r="C31" s="26" t="s">
        <v>49</v>
      </c>
      <c r="D31" s="35"/>
      <c r="E31" s="26" t="s">
        <v>47</v>
      </c>
      <c r="F31" s="177">
        <f>'PO 2nd page'!G20</f>
        <v>16458.8</v>
      </c>
      <c r="G31" s="17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108</v>
      </c>
    </row>
    <row r="54" spans="2:16" ht="12" customHeight="1">
      <c r="B54" s="83" t="s">
        <v>63</v>
      </c>
      <c r="C54" s="119" t="s">
        <v>109</v>
      </c>
      <c r="F54" s="26" t="s">
        <v>117</v>
      </c>
    </row>
    <row r="55" spans="2:16" ht="12" customHeight="1">
      <c r="B55" s="83" t="s">
        <v>63</v>
      </c>
      <c r="C55" s="119" t="s">
        <v>110</v>
      </c>
      <c r="F55" s="120" t="s">
        <v>118</v>
      </c>
    </row>
    <row r="56" spans="2:16" ht="12" customHeight="1">
      <c r="B56" s="83" t="s">
        <v>63</v>
      </c>
      <c r="C56" s="119" t="s">
        <v>111</v>
      </c>
      <c r="F56" s="26" t="s">
        <v>121</v>
      </c>
    </row>
    <row r="57" spans="2:16" ht="12" customHeight="1">
      <c r="B57" s="83" t="s">
        <v>63</v>
      </c>
      <c r="C57" s="119" t="s">
        <v>112</v>
      </c>
      <c r="F57" s="26" t="s">
        <v>119</v>
      </c>
    </row>
    <row r="58" spans="2:16" ht="12" customHeight="1">
      <c r="B58" s="83" t="s">
        <v>63</v>
      </c>
      <c r="C58" s="119" t="s">
        <v>113</v>
      </c>
      <c r="F58" s="26" t="s">
        <v>120</v>
      </c>
    </row>
    <row r="59" spans="2:16" ht="12" customHeight="1">
      <c r="B59" s="83" t="s">
        <v>63</v>
      </c>
      <c r="C59" s="119" t="s">
        <v>114</v>
      </c>
      <c r="F59" s="26" t="s">
        <v>115</v>
      </c>
    </row>
    <row r="60" spans="2:16" ht="12" customHeight="1">
      <c r="B60" s="83"/>
      <c r="C60" s="119" t="s">
        <v>116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78" t="str">
        <f>C9</f>
        <v>SAMOO (Samoo Al Bahr Contracting Est.)</v>
      </c>
      <c r="K71" s="178"/>
      <c r="L71" s="178"/>
      <c r="M71" s="178"/>
    </row>
    <row r="72" spans="1:13" ht="27.95" customHeight="1">
      <c r="A72" s="169" t="s">
        <v>74</v>
      </c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11" zoomScaleSheetLayoutView="100" zoomScalePageLayoutView="55" workbookViewId="0">
      <selection activeCell="K11" sqref="K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SAC2-DS-PO-0332</v>
      </c>
      <c r="C2" s="181" t="s">
        <v>76</v>
      </c>
      <c r="D2" s="181"/>
      <c r="E2" s="181"/>
      <c r="F2" s="18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46186</v>
      </c>
      <c r="C3" s="51"/>
      <c r="D3" s="52"/>
      <c r="E3" s="182" t="s">
        <v>78</v>
      </c>
      <c r="F3" s="182"/>
      <c r="G3" s="182"/>
      <c r="H3" s="182"/>
      <c r="I3" s="53"/>
    </row>
    <row r="4" spans="1:13" s="55" customFormat="1" ht="28.5" customHeight="1" thickTop="1">
      <c r="A4" s="183" t="s">
        <v>79</v>
      </c>
      <c r="B4" s="185" t="s">
        <v>80</v>
      </c>
      <c r="C4" s="186"/>
      <c r="D4" s="189" t="s">
        <v>81</v>
      </c>
      <c r="E4" s="189" t="s">
        <v>82</v>
      </c>
      <c r="F4" s="191" t="str">
        <f>'PO 1st page'!C9</f>
        <v>SAMOO (Samoo Al Bahr Contracting Est.)</v>
      </c>
      <c r="G4" s="192"/>
      <c r="H4" s="193" t="s">
        <v>83</v>
      </c>
      <c r="K4" s="56"/>
      <c r="L4" s="56"/>
      <c r="M4" s="56"/>
    </row>
    <row r="5" spans="1:13" s="55" customFormat="1" ht="21.95" customHeight="1">
      <c r="A5" s="184"/>
      <c r="B5" s="187"/>
      <c r="C5" s="188"/>
      <c r="D5" s="190"/>
      <c r="E5" s="190"/>
      <c r="F5" s="57" t="s">
        <v>84</v>
      </c>
      <c r="G5" s="57" t="s">
        <v>49</v>
      </c>
      <c r="H5" s="194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79" t="str">
        <f>CONCATENATE(MRS!B6," ",MRS!D6)</f>
        <v xml:space="preserve">Third Party Inspection &amp; Certificate - Bow Shackle </v>
      </c>
      <c r="C6" s="180"/>
      <c r="D6" s="85" t="str">
        <f>MRS!G6</f>
        <v>PC</v>
      </c>
      <c r="E6" s="86">
        <f>MRS!H6</f>
        <v>70</v>
      </c>
      <c r="F6" s="87">
        <f>MRS!I6</f>
        <v>38</v>
      </c>
      <c r="G6" s="88">
        <f>MRS!J6</f>
        <v>2660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79" t="str">
        <f>CONCATENATE(MRS!B7," ",MRS!D7)</f>
        <v xml:space="preserve">Third Party Inspection &amp; Certificate - Chain Elbow </v>
      </c>
      <c r="C7" s="180"/>
      <c r="D7" s="85" t="str">
        <f>MRS!G7</f>
        <v>PC</v>
      </c>
      <c r="E7" s="86">
        <f>MRS!H7</f>
        <v>55</v>
      </c>
      <c r="F7" s="87">
        <f>MRS!I7</f>
        <v>50</v>
      </c>
      <c r="G7" s="88">
        <f>MRS!J7</f>
        <v>2750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79" t="str">
        <f>CONCATENATE(MRS!B8," ",MRS!D8)</f>
        <v xml:space="preserve">Third Party Inspection &amp; Certificate - Web Sling </v>
      </c>
      <c r="C8" s="180"/>
      <c r="D8" s="85" t="str">
        <f>MRS!G8</f>
        <v>PC</v>
      </c>
      <c r="E8" s="86">
        <f>MRS!H8</f>
        <v>179</v>
      </c>
      <c r="F8" s="87">
        <f>MRS!I8</f>
        <v>38</v>
      </c>
      <c r="G8" s="88">
        <f>MRS!J8</f>
        <v>6802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79" t="str">
        <f>CONCATENATE(MRS!B9," ",MRS!D9)</f>
        <v xml:space="preserve">Third Party Inspection &amp; Certificate - Snatch Block </v>
      </c>
      <c r="C9" s="180"/>
      <c r="D9" s="85" t="str">
        <f>MRS!G9</f>
        <v>PC</v>
      </c>
      <c r="E9" s="86">
        <f>MRS!H9</f>
        <v>10</v>
      </c>
      <c r="F9" s="87">
        <f>MRS!I9</f>
        <v>60</v>
      </c>
      <c r="G9" s="88">
        <f>MRS!J9</f>
        <v>600</v>
      </c>
      <c r="H9" s="89"/>
    </row>
    <row r="10" spans="1:13" s="55" customFormat="1" ht="32.1" customHeight="1">
      <c r="A10" s="92">
        <f t="shared" si="0"/>
        <v>5</v>
      </c>
      <c r="B10" s="179" t="str">
        <f>CONCATENATE(MRS!B10," ",MRS!D10)</f>
        <v xml:space="preserve">Third Party Inspection &amp; Certificate -Poleyster Halter Starp </v>
      </c>
      <c r="C10" s="180"/>
      <c r="D10" s="85" t="str">
        <f>MRS!G10</f>
        <v>PC</v>
      </c>
      <c r="E10" s="86">
        <f>MRS!H10</f>
        <v>30</v>
      </c>
      <c r="F10" s="87">
        <f>MRS!I10</f>
        <v>50</v>
      </c>
      <c r="G10" s="88">
        <f>MRS!J10</f>
        <v>1500</v>
      </c>
      <c r="H10" s="93"/>
    </row>
    <row r="11" spans="1:13" s="55" customFormat="1" ht="32.1" customHeight="1">
      <c r="A11" s="92">
        <f t="shared" si="0"/>
        <v>6</v>
      </c>
      <c r="B11" s="179" t="str">
        <f>CONCATENATE(MRS!B11," ",MRS!D11)</f>
        <v xml:space="preserve"> </v>
      </c>
      <c r="C11" s="180"/>
      <c r="D11" s="85"/>
      <c r="E11" s="86"/>
      <c r="F11" s="87"/>
      <c r="G11" s="88"/>
      <c r="H11" s="93"/>
    </row>
    <row r="12" spans="1:13" s="55" customFormat="1" ht="32.1" customHeight="1">
      <c r="A12" s="92">
        <f t="shared" si="0"/>
        <v>7</v>
      </c>
      <c r="B12" s="179" t="str">
        <f>CONCATENATE(MRS!B12," ",MRS!D12)</f>
        <v xml:space="preserve"> </v>
      </c>
      <c r="C12" s="180"/>
      <c r="D12" s="85"/>
      <c r="E12" s="86"/>
      <c r="F12" s="87"/>
      <c r="G12" s="88"/>
      <c r="H12" s="93"/>
    </row>
    <row r="13" spans="1:13" s="55" customFormat="1" ht="32.1" customHeight="1">
      <c r="A13" s="92">
        <f t="shared" si="0"/>
        <v>8</v>
      </c>
      <c r="B13" s="179" t="str">
        <f>CONCATENATE(MRS!B13," ",MRS!D13)</f>
        <v xml:space="preserve"> </v>
      </c>
      <c r="C13" s="180"/>
      <c r="D13" s="85"/>
      <c r="E13" s="86"/>
      <c r="F13" s="87"/>
      <c r="G13" s="88"/>
      <c r="H13" s="93"/>
    </row>
    <row r="14" spans="1:13" s="55" customFormat="1" ht="32.1" customHeight="1">
      <c r="A14" s="92">
        <f t="shared" si="0"/>
        <v>9</v>
      </c>
      <c r="B14" s="179" t="str">
        <f>CONCATENATE(MRS!B14," ",MRS!D14)</f>
        <v xml:space="preserve"> </v>
      </c>
      <c r="C14" s="180"/>
      <c r="D14" s="85"/>
      <c r="E14" s="86"/>
      <c r="F14" s="87"/>
      <c r="G14" s="88"/>
      <c r="H14" s="93"/>
    </row>
    <row r="15" spans="1:13" s="55" customFormat="1" ht="32.1" customHeight="1">
      <c r="A15" s="92">
        <f t="shared" si="0"/>
        <v>10</v>
      </c>
      <c r="B15" s="179" t="str">
        <f>CONCATENATE(MRS!B15," ",MRS!D15)</f>
        <v xml:space="preserve"> </v>
      </c>
      <c r="C15" s="180"/>
      <c r="D15" s="85"/>
      <c r="E15" s="86"/>
      <c r="F15" s="87"/>
      <c r="G15" s="88"/>
      <c r="H15" s="93"/>
    </row>
    <row r="16" spans="1:13" s="55" customFormat="1" ht="32.1" customHeight="1">
      <c r="A16" s="92">
        <f t="shared" si="0"/>
        <v>11</v>
      </c>
      <c r="B16" s="179" t="str">
        <f>CONCATENATE(MRS!B16," ",MRS!D16)</f>
        <v xml:space="preserve"> </v>
      </c>
      <c r="C16" s="180"/>
      <c r="D16" s="85"/>
      <c r="E16" s="86"/>
      <c r="F16" s="87"/>
      <c r="G16" s="88"/>
      <c r="H16" s="93"/>
    </row>
    <row r="17" spans="1:13" s="55" customFormat="1" ht="32.1" customHeight="1">
      <c r="A17" s="92">
        <f t="shared" si="0"/>
        <v>12</v>
      </c>
      <c r="B17" s="179" t="str">
        <f>CONCATENATE(MRS!B17," ",MRS!D17)</f>
        <v xml:space="preserve"> </v>
      </c>
      <c r="C17" s="180"/>
      <c r="D17" s="85"/>
      <c r="E17" s="86"/>
      <c r="F17" s="87"/>
      <c r="G17" s="88"/>
      <c r="H17" s="93"/>
    </row>
    <row r="18" spans="1:13" s="55" customFormat="1" ht="23.1" customHeight="1">
      <c r="A18" s="195" t="s">
        <v>85</v>
      </c>
      <c r="B18" s="196"/>
      <c r="C18" s="196"/>
      <c r="D18" s="196"/>
      <c r="E18" s="196"/>
      <c r="F18" s="196"/>
      <c r="G18" s="58">
        <f>SUM(G6:G17)</f>
        <v>14312</v>
      </c>
      <c r="H18" s="59"/>
    </row>
    <row r="19" spans="1:13" s="55" customFormat="1" ht="23.1" customHeight="1">
      <c r="A19" s="195" t="s">
        <v>48</v>
      </c>
      <c r="B19" s="196"/>
      <c r="C19" s="196"/>
      <c r="D19" s="196"/>
      <c r="E19" s="196"/>
      <c r="F19" s="196"/>
      <c r="G19" s="58">
        <f>+G18*0.15</f>
        <v>2146.7999999999997</v>
      </c>
      <c r="H19" s="59"/>
    </row>
    <row r="20" spans="1:13" s="55" customFormat="1" ht="24.95" customHeight="1" thickBot="1">
      <c r="A20" s="197" t="s">
        <v>86</v>
      </c>
      <c r="B20" s="198"/>
      <c r="C20" s="198"/>
      <c r="D20" s="198"/>
      <c r="E20" s="198"/>
      <c r="F20" s="198"/>
      <c r="G20" s="60">
        <f>G19+G18</f>
        <v>16458.8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SAMOO-DAESHIN-MT-42-2026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69" t="s">
        <v>88</v>
      </c>
      <c r="B24" s="169"/>
      <c r="C24" s="169"/>
      <c r="D24" s="169"/>
      <c r="E24" s="169"/>
      <c r="F24" s="169"/>
      <c r="G24" s="169"/>
      <c r="H24" s="16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2026-06-13T04:39:48Z</cp:lastPrinted>
  <dcterms:created xsi:type="dcterms:W3CDTF">2024-10-20T11:50:19Z</dcterms:created>
  <dcterms:modified xsi:type="dcterms:W3CDTF">2026-06-13T04:41:57Z</dcterms:modified>
</cp:coreProperties>
</file>