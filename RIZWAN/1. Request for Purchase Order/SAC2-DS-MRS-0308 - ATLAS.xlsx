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7EA38A9-78D6-4234-BFF9-3100E0D83DE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7" i="4"/>
  <c r="B6" i="4"/>
  <c r="H6" i="4" l="1"/>
  <c r="K67" i="3"/>
  <c r="E3" i="1"/>
  <c r="J7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<sst xmlns="http://schemas.openxmlformats.org/spreadsheetml/2006/main" count="172" uniqueCount="131">
  <si>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</si>
  <si>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</si>
  <si>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</si>
  <si>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</si>
  <si>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</si>
  <si>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</si>
  <si>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</si>
  <si>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</si>
  <si>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</si>
  <si>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</si>
  <si>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</si>
  <si>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</si>
  <si>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</si>
  <si>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</si>
  <si>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</si>
  <si>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</si>
  <si>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</si>
  <si>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</si>
  <si>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</si>
  <si>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</si>
  <si>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</si>
  <si>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</si>
  <si>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</si>
  <si>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</si>
  <si>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</si>
  <si>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</si>
  <si>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</si>
  <si>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</si>
  <si>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</si>
  <si>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</si>
  <si>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</si>
  <si>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</si>
  <si>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</si>
  <si>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</si>
  <si>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</si>
  <si>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</si>
  <si>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</si>
  <si>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</si>
  <si>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</si>
  <si>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</si>
  <si>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</si>
  <si>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</si>
  <si>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</si>
  <si>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</si>
  <si>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</si>
  <si>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</si>
  <si>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</si>
  <si>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</si>
  <si>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</si>
  <si>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</si>
  <si>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</si>
  <si>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</si>
  <si>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</si>
  <si>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</si>
  <si>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</si>
  <si>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</si>
  <si>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</si>
  <si>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</si>
  <si>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</si>
  <si>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</si>
  <si>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</si>
  <si>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</si>
  <si>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</si>
  <si>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</si>
  <si>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</si>
  <si>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</si>
  <si>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</si>
  <si>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</si>
  <si>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</si>
  <si>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</si>
  <si>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</si>
  <si>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</si>
  <si>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</si>
  <si>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</si>
  <si>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</si>
  <si>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</si>
  <si>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</si>
  <si>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</si>
  <si>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</si>
  <si>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</si>
  <si>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</si>
  <si>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</si>
  <si>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</si>
  <si>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</si>
  <si>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</si>
  <si>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</si>
  <si>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</si>
  <si>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</si>
  <si>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</si>
  <si>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</si>
  <si>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</si>
  <si>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</si>
  <si>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</si>
  <si>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</si>
  <si>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</si>
  <si>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</si>
  <si>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</si>
  <si>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</si>
  <si>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</si>
  <si>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</si>
  <si>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</si>
  <si>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</si>
  <si>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</si>
  <si>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</si>
  <si>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EA</t>
  </si>
  <si>
    <t>AIEC</t>
  </si>
  <si>
    <t>2055009696</t>
  </si>
  <si>
    <t>301293282200003</t>
  </si>
  <si>
    <t>Muhammed Hidayat</t>
  </si>
  <si>
    <t>+966 56 638 6076 / Email:abdul.hidayat@atlascopco.com</t>
  </si>
  <si>
    <t>Senior Sales Engineer</t>
  </si>
  <si>
    <t>AIEC('Atlas Industrial Equipment Company)</t>
  </si>
  <si>
    <t>Industries-Road 116, 3549 area, 7783, Al Jubail 35724, KSA</t>
  </si>
  <si>
    <t>Mobile : +966 56 638 6076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</si>
  <si>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-MRS-0308</t>
    </r>
  </si>
  <si>
    <t>TE10 &amp; TE19 Manual Torquing Training</t>
  </si>
  <si>
    <t>00839833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</si>
  <si>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</si>
  <si>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</si>
  <si>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</si>
  <si>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</si>
  <si>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</si>
  <si>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</si>
  <si>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</si>
  <si>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</si>
  <si>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</si>
  <si>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ATLAS INDUSTRIAL EQUIPMENT CO.</t>
  </si>
  <si>
    <t>SA36 4500 0000 0211 4984 4002</t>
  </si>
  <si>
    <t>SABBSARI</t>
  </si>
  <si>
    <t>SAUDI AWWAL BANK</t>
  </si>
  <si>
    <t>021-149844-002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</si>
</sst>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54" fillId="3" borderId="0" xfId="5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55" fillId="3" borderId="0" xfId="5" applyFont="1" applyFill="1"/>
    <xf numFmtId="0" fontId="18" fillId="3" borderId="0" xfId="5" quotePrefix="1" applyFont="1" applyFill="1"/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4983079"/>
              <a:ext cx="3930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26</xdr:col>
      <xdr:colOff>4229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1658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H7" sqref="H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42" t="s">
        <v>92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102</v>
      </c>
      <c r="E2" s="101"/>
      <c r="F2" s="101"/>
      <c r="G2" s="101"/>
      <c r="H2" s="101"/>
      <c r="I2" s="4"/>
      <c r="J2" s="158" t="s">
        <v>100</v>
      </c>
      <c r="K2" s="159"/>
      <c r="L2" s="160"/>
    </row>
    <row r="3" spans="1:19" ht="20.100000000000001" customHeight="1">
      <c r="A3" s="3" t="s">
        <v>114</v>
      </c>
      <c r="B3" s="101"/>
      <c r="C3" s="101"/>
      <c r="D3" s="101"/>
      <c r="E3" s="145">
        <f>+L3</f>
        <v>46153</v>
      </c>
      <c r="F3" s="145"/>
      <c r="G3" s="145"/>
      <c r="H3" s="145"/>
      <c r="I3" s="145"/>
      <c r="J3" s="101"/>
      <c r="K3" s="101"/>
      <c r="L3" s="122">
        <v>46153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96</v>
      </c>
      <c r="J4" s="146" t="s">
        <v>97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29.25" customHeight="1">
      <c r="A6" s="5">
        <f t="shared" ref="A6:A15" si="0">ROW(A1)</f>
        <v>1</v>
      </c>
      <c r="B6" s="130" t="s">
        <v>115</v>
      </c>
      <c r="C6" s="131"/>
      <c r="D6" s="132"/>
      <c r="E6" s="133"/>
      <c r="F6" s="134"/>
      <c r="G6" s="111" t="s">
        <v>104</v>
      </c>
      <c r="H6" s="112">
        <v>1</v>
      </c>
      <c r="I6" s="113">
        <v>2000</v>
      </c>
      <c r="J6" s="113">
        <f>H6*I6</f>
        <v>2000</v>
      </c>
      <c r="K6" s="114" t="s">
        <v>105</v>
      </c>
      <c r="L6" s="115" t="s">
        <v>99</v>
      </c>
      <c r="S6" s="106"/>
    </row>
    <row r="7" spans="1:19" ht="22.5" customHeight="1">
      <c r="A7" s="5">
        <f t="shared" si="0"/>
        <v>2</v>
      </c>
      <c r="B7" s="130"/>
      <c r="C7" s="131"/>
      <c r="D7" s="141"/>
      <c r="E7" s="133"/>
      <c r="F7" s="134"/>
      <c r="G7" s="111"/>
      <c r="H7" s="112"/>
      <c r="I7" s="113"/>
      <c r="J7" s="113">
        <f>H7*I7</f>
        <v>0</v>
      </c>
      <c r="K7" s="114"/>
      <c r="L7" s="115"/>
      <c r="S7" s="106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SAC2-DS-MRS-0308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46153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93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TE10 &amp; TE19 Manual Torquing Training</v>
      </c>
      <c r="C6" s="167"/>
      <c r="D6" s="168">
        <f>MRS!D6</f>
        <v>0</v>
      </c>
      <c r="E6" s="169"/>
      <c r="F6" s="170"/>
      <c r="G6" s="103" t="str">
        <f>MRS!G6</f>
        <v>EA</v>
      </c>
      <c r="H6" s="103">
        <f>MRS!H6</f>
        <v>1</v>
      </c>
      <c r="I6" s="104">
        <f>MRS!I6</f>
        <v>2000</v>
      </c>
      <c r="J6" s="104">
        <f>MRS!J6</f>
        <v>2000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/>
      <c r="C7" s="167"/>
      <c r="D7" s="168"/>
      <c r="E7" s="169"/>
      <c r="F7" s="170"/>
      <c r="G7" s="103"/>
      <c r="H7" s="103"/>
      <c r="I7" s="104"/>
      <c r="J7" s="104"/>
      <c r="K7" s="105"/>
      <c r="O7" s="106"/>
      <c r="P7" s="106"/>
      <c r="R7" s="106"/>
    </row>
    <row r="8" spans="1:18" ht="105" customHeight="1">
      <c r="A8" s="21">
        <f>+MRS!A8</f>
        <v>3</v>
      </c>
      <c r="B8" s="161"/>
      <c r="C8" s="162"/>
      <c r="D8" s="163"/>
      <c r="E8" s="164"/>
      <c r="F8" s="165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D19" sqref="D1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3.285156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111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46153</v>
      </c>
      <c r="L10" s="175"/>
      <c r="M10" s="175"/>
    </row>
    <row r="11" spans="2:13" s="39" customFormat="1">
      <c r="B11" s="72"/>
      <c r="C11" s="75" t="s">
        <v>35</v>
      </c>
      <c r="D11" s="76" t="s">
        <v>107</v>
      </c>
      <c r="J11" s="39" t="s">
        <v>36</v>
      </c>
      <c r="K11" s="176" t="str">
        <f>SUBSTITUTE(SUBSTITUTE(+MRS!A3,"  MRS No : ",""),"-MRS","-PO")</f>
        <v>SAC2-DS-PO-0308</v>
      </c>
      <c r="L11" s="176"/>
      <c r="M11" s="176"/>
    </row>
    <row r="12" spans="2:13" s="39" customFormat="1">
      <c r="B12" s="72"/>
      <c r="C12" s="75" t="s">
        <v>37</v>
      </c>
      <c r="D12" s="39" t="s">
        <v>108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112</v>
      </c>
      <c r="J14" s="39" t="s">
        <v>40</v>
      </c>
      <c r="K14" s="76" t="s">
        <v>116</v>
      </c>
    </row>
    <row r="15" spans="2:13" s="39" customFormat="1">
      <c r="B15" s="72"/>
      <c r="C15" s="77" t="s">
        <v>113</v>
      </c>
      <c r="J15" s="39" t="s">
        <v>41</v>
      </c>
      <c r="K15" s="78">
        <v>46149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">
        <v>115</v>
      </c>
      <c r="M26" s="79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1" t="s">
        <v>99</v>
      </c>
      <c r="G29" s="181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1"/>
      <c r="G30" s="181"/>
    </row>
    <row r="31" spans="2:13" ht="12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103</v>
      </c>
      <c r="P49" s="82"/>
    </row>
    <row r="50" spans="2:16" s="83" customFormat="1" ht="12" customHeight="1">
      <c r="B50" s="84" t="s">
        <v>66</v>
      </c>
      <c r="C50" s="81" t="s">
        <v>95</v>
      </c>
    </row>
    <row r="51" spans="2:16" s="83" customFormat="1" ht="12" customHeight="1">
      <c r="B51" s="84" t="s">
        <v>66</v>
      </c>
      <c r="C51" s="81" t="s">
        <v>94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117</v>
      </c>
    </row>
    <row r="54" spans="2:16" ht="12" customHeight="1">
      <c r="B54" s="84" t="s">
        <v>66</v>
      </c>
      <c r="C54" s="204" t="s">
        <v>118</v>
      </c>
      <c r="F54" s="26" t="s">
        <v>126</v>
      </c>
      <c r="P54" s="26" t="str">
        <f>UPPER(F54)</f>
        <v>ATLAS INDUSTRIAL EQUIPMENT CO.</v>
      </c>
    </row>
    <row r="55" spans="2:16" ht="12" customHeight="1">
      <c r="B55" s="84" t="s">
        <v>66</v>
      </c>
      <c r="C55" s="204" t="s">
        <v>119</v>
      </c>
      <c r="F55" s="205" t="s">
        <v>130</v>
      </c>
    </row>
    <row r="56" spans="2:16" ht="12" customHeight="1">
      <c r="B56" s="84" t="s">
        <v>66</v>
      </c>
      <c r="C56" s="204" t="s">
        <v>120</v>
      </c>
      <c r="F56" s="26" t="s">
        <v>127</v>
      </c>
    </row>
    <row r="57" spans="2:16" ht="12" customHeight="1">
      <c r="B57" s="84" t="s">
        <v>66</v>
      </c>
      <c r="C57" s="204" t="s">
        <v>121</v>
      </c>
      <c r="F57" s="26" t="s">
        <v>129</v>
      </c>
    </row>
    <row r="58" spans="2:16" ht="12" customHeight="1">
      <c r="B58" s="84" t="s">
        <v>66</v>
      </c>
      <c r="C58" s="204" t="s">
        <v>122</v>
      </c>
      <c r="F58" s="26" t="s">
        <v>128</v>
      </c>
    </row>
    <row r="59" spans="2:16" ht="12" customHeight="1">
      <c r="B59" s="84" t="s">
        <v>66</v>
      </c>
      <c r="C59" s="204" t="s">
        <v>123</v>
      </c>
      <c r="F59" s="26" t="s">
        <v>124</v>
      </c>
    </row>
    <row r="60" spans="2:16" ht="12" customHeight="1">
      <c r="B60" s="84"/>
      <c r="C60" s="204" t="s">
        <v>125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6.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Hidayat</v>
      </c>
    </row>
    <row r="68" spans="1:13" ht="18" customHeight="1">
      <c r="B68" s="26" t="s">
        <v>72</v>
      </c>
      <c r="J68" s="26" t="s">
        <v>73</v>
      </c>
      <c r="K68" s="22" t="s">
        <v>110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25" t="str">
        <f>C9</f>
        <v>AIEC('Atlas Industrial Equipment Company)</v>
      </c>
    </row>
    <row r="71" spans="1:13" ht="14.25" customHeight="1">
      <c r="A71" s="173" t="s">
        <v>77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SAC2-DS-PO-0308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46153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AIEC('Atlas Industrial Equipment Company)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CONCATENATE(MRS!B6," ",MRS!D6)</f>
        <v xml:space="preserve">TE10 &amp; TE19 Manual Torquing Training </v>
      </c>
      <c r="C6" s="203"/>
      <c r="D6" s="86" t="str">
        <f>+'MRS LIST'!G6</f>
        <v>EA</v>
      </c>
      <c r="E6" s="87">
        <f>+'MRS LIST'!H6</f>
        <v>1</v>
      </c>
      <c r="F6" s="88">
        <f>+'MRS LIST'!I6</f>
        <v>2000</v>
      </c>
      <c r="G6" s="89">
        <f>+'MRS LIST'!J6</f>
        <v>2000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CONCATENATE(MRS!B7," ",MRS!D7)</f>
        <v xml:space="preserve"> </v>
      </c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2000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300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2300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00839833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2026-05-11T11:02:52Z</cp:lastPrinted>
  <dcterms:created xsi:type="dcterms:W3CDTF">2024-10-20T11:50:19Z</dcterms:created>
  <dcterms:modified xsi:type="dcterms:W3CDTF">2026-05-11T11:02:56Z</dcterms:modified>
</cp:coreProperties>
</file>