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ED54E5C-87E3-41FE-B4BA-5727D6FC71FD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J8" i="2" l="1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<sst xmlns="http://schemas.openxmlformats.org/spreadsheetml/2006/main" count="172" uniqueCount="131">
  <si>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</si>
  <si>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</si>
  <si>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</si>
  <si>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</si>
  <si>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</si>
  <si>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</si>
  <si>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</si>
  <si>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</si>
  <si>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</si>
  <si>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</si>
  <si>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</si>
  <si>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</si>
  <si>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</si>
  <si>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</si>
  <si>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</si>
  <si>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</si>
  <si>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</si>
  <si>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</si>
  <si>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</si>
  <si>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</si>
  <si>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</si>
  <si>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</si>
  <si>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</si>
  <si>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</si>
  <si>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</si>
  <si>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</si>
  <si>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</si>
  <si>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</si>
  <si>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</si>
  <si>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</si>
  <si>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</si>
  <si>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</si>
  <si>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</si>
  <si>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</si>
  <si>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</si>
  <si>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</si>
  <si>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</si>
  <si>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</si>
  <si>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</si>
  <si>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</si>
  <si>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</si>
  <si>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</si>
  <si>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</si>
  <si>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</si>
  <si>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</si>
  <si>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</si>
  <si>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</si>
  <si>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</si>
  <si>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</si>
  <si>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</si>
  <si>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</si>
  <si>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</si>
  <si>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</si>
  <si>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</si>
  <si>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</si>
  <si>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</si>
  <si>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</si>
  <si>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</si>
  <si>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</si>
  <si>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</si>
  <si>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</si>
  <si>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</si>
  <si>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</si>
  <si>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</si>
  <si>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</si>
  <si>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</si>
  <si>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</si>
  <si>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</si>
  <si>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</si>
  <si>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</si>
  <si>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</si>
  <si>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</si>
  <si>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</si>
  <si>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</si>
  <si>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</si>
  <si>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</si>
  <si>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</si>
  <si>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</si>
  <si>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</si>
  <si>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</si>
  <si>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</si>
  <si>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</si>
  <si>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</si>
  <si>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</si>
  <si>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</si>
  <si>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</si>
  <si>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</si>
  <si>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</si>
  <si>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</si>
  <si>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</si>
  <si>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</si>
  <si>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</si>
  <si>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</si>
  <si>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</si>
  <si>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</si>
  <si>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</si>
  <si>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</si>
  <si>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</si>
  <si>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</si>
  <si>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</si>
  <si>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</si>
  <si>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</si>
  <si>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</si>
  <si>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</si>
  <si>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</si>
  <si>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ALRWAD</t>
  </si>
  <si>
    <t>ALRWAD(Al Rwad Al Mohtarifeen Gen. Cont.Co.)</t>
  </si>
  <si>
    <t>2051058983</t>
  </si>
  <si>
    <t>310013749500003</t>
  </si>
  <si>
    <t>Murali Krishnan</t>
  </si>
  <si>
    <t>+966 (13) 8994996 / Email: info@rwad.org</t>
  </si>
  <si>
    <t>Building No. 6329, Al Shamaliyah Dist. 34429 Al Khobar, KSA</t>
  </si>
  <si>
    <t>Mobile :</t>
  </si>
  <si>
    <t>General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</si>
  <si>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-MRS-0217</t>
    </r>
  </si>
  <si>
    <t>SS Multi Welder</t>
  </si>
  <si>
    <t>HEC/QT/923819/Rev-02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</si>
  <si>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</si>
  <si>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</si>
  <si>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</si>
  <si>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</si>
  <si>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</si>
  <si>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</si>
  <si>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</si>
  <si>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</si>
  <si>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</si>
  <si>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 RWAD AL MOHTARIFEEN GEN. CONT.CO.</t>
  </si>
  <si>
    <t>95400006208400</t>
  </si>
  <si>
    <t>SA2910000095400006208400</t>
  </si>
  <si>
    <t>NCBKSAJE</t>
  </si>
  <si>
    <t>SAUDI NATIONAL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</si>
</sst>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44" t="s">
        <v>90</v>
      </c>
      <c r="K1" s="145"/>
      <c r="L1" s="146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47" t="s">
        <v>100</v>
      </c>
      <c r="K2" s="148"/>
      <c r="L2" s="149"/>
    </row>
    <row r="3" spans="1:19" ht="20.100000000000001" customHeight="1">
      <c r="A3" s="3" t="s">
        <v>114</v>
      </c>
      <c r="B3" s="101"/>
      <c r="C3" s="101"/>
      <c r="D3" s="101"/>
      <c r="E3" s="150">
        <f>+L3</f>
        <v>46060</v>
      </c>
      <c r="F3" s="150"/>
      <c r="G3" s="150"/>
      <c r="H3" s="150"/>
      <c r="I3" s="150"/>
      <c r="J3" s="101"/>
      <c r="K3" s="101"/>
      <c r="L3" s="122">
        <v>46060</v>
      </c>
      <c r="M3" s="4"/>
    </row>
    <row r="4" spans="1:19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95</v>
      </c>
      <c r="J4" s="151" t="s">
        <v>96</v>
      </c>
      <c r="K4" s="161" t="s">
        <v>0</v>
      </c>
      <c r="L4" s="152" t="s">
        <v>7</v>
      </c>
    </row>
    <row r="5" spans="1:19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9" ht="22.5" customHeight="1">
      <c r="A6" s="5">
        <f t="shared" ref="A6:A15" si="0">ROW(A1)</f>
        <v>1</v>
      </c>
      <c r="B6" s="133" t="s">
        <v>115</v>
      </c>
      <c r="C6" s="134"/>
      <c r="D6" s="135"/>
      <c r="E6" s="136"/>
      <c r="F6" s="137"/>
      <c r="G6" s="111" t="s">
        <v>99</v>
      </c>
      <c r="H6" s="112">
        <v>1</v>
      </c>
      <c r="I6" s="113">
        <v>52</v>
      </c>
      <c r="J6" s="113">
        <f>H6*I6</f>
        <v>52</v>
      </c>
      <c r="K6" s="114" t="s">
        <v>105</v>
      </c>
      <c r="L6" s="115" t="s">
        <v>102</v>
      </c>
      <c r="S6" s="106"/>
    </row>
    <row r="7" spans="1:19" ht="22.5" customHeight="1">
      <c r="A7" s="5">
        <f t="shared" si="0"/>
        <v>2</v>
      </c>
      <c r="B7" s="133"/>
      <c r="C7" s="134"/>
      <c r="D7" s="135"/>
      <c r="E7" s="136"/>
      <c r="F7" s="137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33"/>
      <c r="C8" s="134"/>
      <c r="D8" s="135"/>
      <c r="E8" s="136"/>
      <c r="F8" s="13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3"/>
      <c r="C9" s="134"/>
      <c r="D9" s="135"/>
      <c r="E9" s="136"/>
      <c r="F9" s="13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2"/>
      <c r="C10" s="142"/>
      <c r="D10" s="143"/>
      <c r="E10" s="143"/>
      <c r="F10" s="143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3"/>
      <c r="C11" s="134"/>
      <c r="D11" s="135"/>
      <c r="E11" s="136"/>
      <c r="F11" s="13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2"/>
      <c r="C12" s="142"/>
      <c r="D12" s="143"/>
      <c r="E12" s="143"/>
      <c r="F12" s="143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3"/>
      <c r="C13" s="134"/>
      <c r="D13" s="135"/>
      <c r="E13" s="136"/>
      <c r="F13" s="13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3"/>
      <c r="C14" s="134"/>
      <c r="D14" s="135"/>
      <c r="E14" s="136"/>
      <c r="F14" s="13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3"/>
      <c r="C15" s="134"/>
      <c r="D15" s="135"/>
      <c r="E15" s="136"/>
      <c r="F15" s="13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8" t="s">
        <v>8</v>
      </c>
      <c r="B16" s="139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52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0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1"/>
      <c r="T19" s="14"/>
      <c r="U19" s="15"/>
      <c r="V19" s="14"/>
    </row>
    <row r="20" spans="1:22" ht="17.100000000000001" customHeight="1">
      <c r="O20" s="11"/>
      <c r="P20" s="11"/>
      <c r="Q20" s="11"/>
      <c r="S20" s="130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9" t="s">
        <v>17</v>
      </c>
      <c r="Q21" s="129" t="s">
        <v>18</v>
      </c>
    </row>
    <row r="22" spans="1:22" ht="18" customHeight="1">
      <c r="O22" s="18" t="s">
        <v>19</v>
      </c>
      <c r="P22" s="131"/>
      <c r="Q22" s="131"/>
      <c r="S22" s="140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1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0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2"/>
      <c r="P27" s="132"/>
      <c r="Q27" s="132"/>
    </row>
    <row r="28" spans="1:22" ht="19.899999999999999" customHeight="1">
      <c r="O28" s="132"/>
      <c r="P28" s="132"/>
      <c r="Q28" s="13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9" t="s">
        <v>21</v>
      </c>
    </row>
    <row r="41" spans="15:22" ht="19.899999999999999" customHeight="1">
      <c r="T41" s="131"/>
    </row>
    <row r="42" spans="15:22" ht="64.900000000000006" customHeight="1">
      <c r="T42" s="14"/>
    </row>
    <row r="46" spans="15:22" ht="21" customHeight="1">
      <c r="O46" s="129" t="s">
        <v>21</v>
      </c>
      <c r="P46" s="129" t="s">
        <v>21</v>
      </c>
      <c r="Q46" s="129" t="s">
        <v>21</v>
      </c>
      <c r="T46" s="129" t="s">
        <v>22</v>
      </c>
      <c r="U46" s="129" t="s">
        <v>13</v>
      </c>
      <c r="V46" s="129" t="s">
        <v>21</v>
      </c>
    </row>
    <row r="47" spans="15:22" ht="21" customHeight="1">
      <c r="O47" s="131"/>
      <c r="P47" s="131"/>
      <c r="Q47" s="131"/>
      <c r="T47" s="130"/>
      <c r="U47" s="130"/>
      <c r="V47" s="13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9" t="s">
        <v>21</v>
      </c>
      <c r="P50" s="129" t="s">
        <v>21</v>
      </c>
      <c r="Q50" s="129" t="s">
        <v>21</v>
      </c>
      <c r="T50" s="129" t="s">
        <v>13</v>
      </c>
      <c r="U50" s="129" t="s">
        <v>22</v>
      </c>
      <c r="V50" s="129" t="s">
        <v>21</v>
      </c>
    </row>
    <row r="51" spans="15:22" ht="21" customHeight="1">
      <c r="O51" s="131"/>
      <c r="P51" s="131"/>
      <c r="Q51" s="131"/>
      <c r="T51" s="130"/>
      <c r="U51" s="130"/>
      <c r="V51" s="13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SAC2-DS-MRS-0217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46060</v>
      </c>
    </row>
    <row r="4" spans="1:18" ht="15.95" customHeight="1">
      <c r="A4" s="173" t="s">
        <v>2</v>
      </c>
      <c r="B4" s="174" t="s">
        <v>23</v>
      </c>
      <c r="C4" s="174"/>
      <c r="D4" s="173" t="s">
        <v>4</v>
      </c>
      <c r="E4" s="173"/>
      <c r="F4" s="173"/>
      <c r="G4" s="174" t="s">
        <v>5</v>
      </c>
      <c r="H4" s="173" t="s">
        <v>91</v>
      </c>
      <c r="I4" s="173" t="s">
        <v>24</v>
      </c>
      <c r="J4" s="173" t="s">
        <v>25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21">
        <f>+MRS!A6</f>
        <v>1</v>
      </c>
      <c r="B6" s="168" t="str">
        <f>MRS!B6</f>
        <v>SS Multi Welder</v>
      </c>
      <c r="C6" s="169"/>
      <c r="D6" s="170">
        <f>MRS!D6</f>
        <v>0</v>
      </c>
      <c r="E6" s="171"/>
      <c r="F6" s="172"/>
      <c r="G6" s="103" t="str">
        <f>MRS!G6</f>
        <v>Hour</v>
      </c>
      <c r="H6" s="103">
        <f>MRS!H6</f>
        <v>1</v>
      </c>
      <c r="I6" s="104">
        <f>MRS!I6</f>
        <v>52</v>
      </c>
      <c r="J6" s="104">
        <f>MRS!J6</f>
        <v>52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8">
        <f>MRS!B7</f>
        <v>0</v>
      </c>
      <c r="C7" s="169"/>
      <c r="D7" s="170">
        <f>MRS!D7</f>
        <v>0</v>
      </c>
      <c r="E7" s="171"/>
      <c r="F7" s="172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8">
        <f>MRS!B8</f>
        <v>0</v>
      </c>
      <c r="C8" s="169"/>
      <c r="D8" s="170">
        <f>MRS!D8</f>
        <v>0</v>
      </c>
      <c r="E8" s="171"/>
      <c r="F8" s="172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8">
        <f>MRS!B9</f>
        <v>0</v>
      </c>
      <c r="C9" s="169"/>
      <c r="D9" s="170">
        <f>MRS!D9</f>
        <v>0</v>
      </c>
      <c r="E9" s="171"/>
      <c r="F9" s="172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8">
        <f>MRS!B10</f>
        <v>0</v>
      </c>
      <c r="C10" s="169"/>
      <c r="D10" s="170">
        <f>MRS!D10</f>
        <v>0</v>
      </c>
      <c r="E10" s="171"/>
      <c r="F10" s="172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8">
        <f>MRS!B11</f>
        <v>0</v>
      </c>
      <c r="C11" s="169"/>
      <c r="D11" s="170">
        <f>MRS!D11</f>
        <v>0</v>
      </c>
      <c r="E11" s="171"/>
      <c r="F11" s="172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58" sqref="F5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106</v>
      </c>
      <c r="D9" s="39"/>
      <c r="E9" s="39"/>
    </row>
    <row r="10" spans="2:13" s="39" customFormat="1">
      <c r="B10" s="72"/>
      <c r="C10" s="39" t="s">
        <v>32</v>
      </c>
      <c r="D10" s="76" t="s">
        <v>107</v>
      </c>
      <c r="J10" s="39" t="s">
        <v>33</v>
      </c>
      <c r="K10" s="176">
        <f>MRS!L3</f>
        <v>46060</v>
      </c>
      <c r="L10" s="177"/>
      <c r="M10" s="177"/>
    </row>
    <row r="11" spans="2:13" s="39" customFormat="1">
      <c r="B11" s="72"/>
      <c r="C11" s="75" t="s">
        <v>34</v>
      </c>
      <c r="D11" s="76" t="s">
        <v>108</v>
      </c>
      <c r="J11" s="39" t="s">
        <v>35</v>
      </c>
      <c r="K11" s="178" t="str">
        <f>SUBSTITUTE(SUBSTITUTE(+MRS!A3,"  MRS No : ",""),"-MRS","-PO")</f>
        <v>SAC2-DS-PO-0217</v>
      </c>
      <c r="L11" s="178"/>
      <c r="M11" s="178"/>
    </row>
    <row r="12" spans="2:13" s="39" customFormat="1">
      <c r="B12" s="72"/>
      <c r="C12" s="75" t="s">
        <v>36</v>
      </c>
      <c r="D12" s="39" t="s">
        <v>109</v>
      </c>
      <c r="J12" s="39" t="s">
        <v>37</v>
      </c>
    </row>
    <row r="13" spans="2:13" s="39" customFormat="1">
      <c r="B13" s="72"/>
      <c r="C13" s="77"/>
      <c r="D13" s="76" t="s">
        <v>110</v>
      </c>
      <c r="J13" s="39" t="s">
        <v>38</v>
      </c>
    </row>
    <row r="14" spans="2:13" s="39" customFormat="1">
      <c r="B14" s="72"/>
      <c r="C14" s="77" t="s">
        <v>111</v>
      </c>
      <c r="J14" s="39" t="s">
        <v>39</v>
      </c>
      <c r="K14" s="39" t="s">
        <v>116</v>
      </c>
    </row>
    <row r="15" spans="2:13" s="39" customFormat="1">
      <c r="B15" s="72"/>
      <c r="C15" s="77" t="s">
        <v>112</v>
      </c>
      <c r="J15" s="39" t="s">
        <v>40</v>
      </c>
      <c r="K15" s="78">
        <v>46012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41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42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43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44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115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3" t="s">
        <v>102</v>
      </c>
      <c r="G29" s="183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3"/>
      <c r="G30" s="183"/>
    </row>
    <row r="31" spans="2:13" ht="12" customHeight="1">
      <c r="B31" s="32"/>
      <c r="C31" s="26" t="s">
        <v>51</v>
      </c>
      <c r="D31" s="35"/>
      <c r="E31" s="26" t="s">
        <v>49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4.5" customHeight="1">
      <c r="B51" s="84"/>
      <c r="C51" s="81"/>
    </row>
    <row r="52" spans="2:16" s="83" customFormat="1" ht="12" customHeight="1">
      <c r="B52" s="84" t="s">
        <v>65</v>
      </c>
      <c r="C52" s="81" t="s">
        <v>92</v>
      </c>
    </row>
    <row r="53" spans="2:16" ht="15" customHeight="1">
      <c r="B53" s="42">
        <v>7</v>
      </c>
      <c r="C53" s="32" t="s">
        <v>117</v>
      </c>
    </row>
    <row r="54" spans="2:16" ht="12" customHeight="1">
      <c r="B54" s="84" t="s">
        <v>65</v>
      </c>
      <c r="C54" s="126" t="s">
        <v>118</v>
      </c>
      <c r="F54" s="127" t="s">
        <v>126</v>
      </c>
      <c r="P54" s="26" t="str">
        <f>UPPER(F54)</f>
        <v>AL RWAD AL MOHTARIFEEN GEN. CONT.CO.</v>
      </c>
    </row>
    <row r="55" spans="2:16" ht="12" customHeight="1">
      <c r="B55" s="84" t="s">
        <v>65</v>
      </c>
      <c r="C55" s="126" t="s">
        <v>119</v>
      </c>
      <c r="F55" s="127" t="s">
        <v>127</v>
      </c>
    </row>
    <row r="56" spans="2:16" ht="12" customHeight="1">
      <c r="B56" s="84" t="s">
        <v>65</v>
      </c>
      <c r="C56" s="126" t="s">
        <v>120</v>
      </c>
      <c r="F56" s="127" t="s">
        <v>128</v>
      </c>
    </row>
    <row r="57" spans="2:16" ht="12" customHeight="1">
      <c r="B57" s="84" t="s">
        <v>65</v>
      </c>
      <c r="C57" s="126" t="s">
        <v>121</v>
      </c>
      <c r="F57" s="26" t="s">
        <v>130</v>
      </c>
    </row>
    <row r="58" spans="2:16" ht="12" customHeight="1">
      <c r="B58" s="84" t="s">
        <v>65</v>
      </c>
      <c r="C58" s="126" t="s">
        <v>122</v>
      </c>
      <c r="F58" s="26" t="s">
        <v>129</v>
      </c>
    </row>
    <row r="59" spans="2:16" ht="12" customHeight="1">
      <c r="B59" s="84" t="s">
        <v>65</v>
      </c>
      <c r="C59" s="126" t="s">
        <v>123</v>
      </c>
      <c r="F59" s="26" t="s">
        <v>124</v>
      </c>
    </row>
    <row r="60" spans="2:16" ht="12" customHeight="1">
      <c r="B60" s="84"/>
      <c r="C60" s="128" t="s">
        <v>125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Murali Krishnan</v>
      </c>
    </row>
    <row r="68" spans="1:13" ht="18" customHeight="1">
      <c r="B68" s="26" t="s">
        <v>71</v>
      </c>
      <c r="J68" s="26" t="s">
        <v>72</v>
      </c>
      <c r="K68" s="22" t="s">
        <v>113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84" t="str">
        <f>C9</f>
        <v>ALRWAD(Al Rwad Al Mohtarifeen Gen. Cont.Co.)</v>
      </c>
      <c r="K70" s="184"/>
      <c r="L70" s="184"/>
      <c r="M70" s="184"/>
    </row>
    <row r="71" spans="1:13" ht="27.95" customHeight="1">
      <c r="A71" s="175" t="s">
        <v>75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SAC2-DS-PO-0217</v>
      </c>
      <c r="C2" s="193" t="s">
        <v>77</v>
      </c>
      <c r="D2" s="193"/>
      <c r="E2" s="193"/>
      <c r="F2" s="193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46060</v>
      </c>
      <c r="C3" s="51"/>
      <c r="D3" s="52"/>
      <c r="E3" s="194" t="s">
        <v>79</v>
      </c>
      <c r="F3" s="194"/>
      <c r="G3" s="194"/>
      <c r="H3" s="194"/>
      <c r="I3" s="53"/>
    </row>
    <row r="4" spans="1:13" s="55" customFormat="1" ht="28.5" customHeight="1" thickTop="1">
      <c r="A4" s="195" t="s">
        <v>80</v>
      </c>
      <c r="B4" s="197" t="s">
        <v>81</v>
      </c>
      <c r="C4" s="198"/>
      <c r="D4" s="201" t="s">
        <v>82</v>
      </c>
      <c r="E4" s="201" t="s">
        <v>83</v>
      </c>
      <c r="F4" s="203" t="str">
        <f>'PO 1st page'!C9</f>
        <v>ALRWAD(Al Rwad Al Mohtarifeen Gen. Cont.Co.)</v>
      </c>
      <c r="G4" s="204"/>
      <c r="H4" s="205" t="s">
        <v>84</v>
      </c>
      <c r="K4" s="56"/>
      <c r="L4" s="56"/>
      <c r="M4" s="56"/>
    </row>
    <row r="5" spans="1:13" s="55" customFormat="1" ht="21.95" customHeight="1">
      <c r="A5" s="196"/>
      <c r="B5" s="199"/>
      <c r="C5" s="200"/>
      <c r="D5" s="202"/>
      <c r="E5" s="202"/>
      <c r="F5" s="57" t="s">
        <v>85</v>
      </c>
      <c r="G5" s="57" t="s">
        <v>51</v>
      </c>
      <c r="H5" s="20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1" t="str">
        <f>CONCATENATE(MRS!B6," ",MRS!D6)</f>
        <v xml:space="preserve">SS Multi Welder </v>
      </c>
      <c r="C6" s="192"/>
      <c r="D6" s="86" t="str">
        <f>+'MRS LIST'!G6</f>
        <v>Hour</v>
      </c>
      <c r="E6" s="87">
        <f>+'MRS LIST'!H6</f>
        <v>1</v>
      </c>
      <c r="F6" s="88">
        <f>+'MRS LIST'!I6</f>
        <v>52</v>
      </c>
      <c r="G6" s="89">
        <f>+'MRS LIST'!J6</f>
        <v>52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1"/>
      <c r="C7" s="19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1"/>
      <c r="C8" s="192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91"/>
      <c r="C9" s="192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91"/>
      <c r="C10" s="19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1"/>
      <c r="C11" s="19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86</v>
      </c>
      <c r="B18" s="186"/>
      <c r="C18" s="186"/>
      <c r="D18" s="186"/>
      <c r="E18" s="186"/>
      <c r="F18" s="186"/>
      <c r="G18" s="58">
        <f>SUM(G6:G17)</f>
        <v>52</v>
      </c>
      <c r="H18" s="59"/>
    </row>
    <row r="19" spans="1:13" s="55" customFormat="1" ht="23.1" customHeight="1">
      <c r="A19" s="185" t="s">
        <v>50</v>
      </c>
      <c r="B19" s="186"/>
      <c r="C19" s="186"/>
      <c r="D19" s="186"/>
      <c r="E19" s="186"/>
      <c r="F19" s="186"/>
      <c r="G19" s="58">
        <f>+G18*0.15</f>
        <v>7.8</v>
      </c>
      <c r="H19" s="59"/>
    </row>
    <row r="20" spans="1:13" s="55" customFormat="1" ht="24.95" customHeight="1" thickBot="1">
      <c r="A20" s="187" t="s">
        <v>87</v>
      </c>
      <c r="B20" s="188"/>
      <c r="C20" s="188"/>
      <c r="D20" s="188"/>
      <c r="E20" s="188"/>
      <c r="F20" s="188"/>
      <c r="G20" s="60">
        <f>G19+G18</f>
        <v>59.8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HEC/QT/923819/Rev-02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89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2026-02-07T11:44:40Z</cp:lastPrinted>
  <dcterms:created xsi:type="dcterms:W3CDTF">2024-10-20T11:50:19Z</dcterms:created>
  <dcterms:modified xsi:type="dcterms:W3CDTF">2026-02-07T12:06:26Z</dcterms:modified>
</cp:coreProperties>
</file>