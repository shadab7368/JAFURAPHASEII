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4FE5AC0-E6CB-4FA1-8E92-15D27C12E9D5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<sst xmlns="http://schemas.openxmlformats.org/spreadsheetml/2006/main" count="146" uniqueCount="112">
  <si>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</si>
  <si>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</si>
  <si>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</si>
  <si>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</si>
  <si>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</si>
  <si>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</si>
  <si>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</si>
  <si>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</si>
  <si>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</si>
  <si>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</si>
  <si>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</si>
  <si>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</si>
  <si>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</si>
  <si>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</si>
  <si>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</si>
  <si>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</si>
  <si>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</si>
  <si>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</si>
  <si>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</si>
  <si>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</si>
  <si>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</si>
  <si>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</si>
  <si>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</si>
  <si>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</si>
  <si>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</si>
  <si>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</si>
  <si>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</si>
  <si>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</si>
  <si>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</si>
  <si>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</si>
  <si>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</si>
  <si>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</si>
  <si>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</si>
  <si>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</si>
  <si>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</si>
  <si>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</si>
  <si>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</si>
  <si>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</si>
  <si>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</si>
  <si>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</si>
  <si>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</si>
  <si>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</si>
  <si>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</si>
  <si>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</si>
  <si>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</si>
  <si>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</si>
  <si>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</si>
  <si>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</si>
  <si>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</si>
  <si>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</si>
  <si>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</si>
  <si>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</si>
  <si>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</si>
  <si>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</si>
  <si>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</si>
  <si>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</si>
  <si>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</si>
  <si>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</si>
  <si>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</si>
  <si>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</si>
  <si>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</si>
  <si>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</si>
  <si>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</si>
  <si>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</si>
  <si>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</si>
  <si>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</si>
  <si>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</si>
  <si>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</si>
  <si>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</si>
  <si>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</si>
  <si>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</si>
  <si>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</si>
  <si>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</si>
  <si>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</si>
  <si>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</si>
  <si>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</si>
  <si>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</si>
  <si>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</si>
  <si>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</si>
  <si>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</si>
  <si>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</si>
  <si>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</si>
  <si>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</si>
  <si>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</si>
  <si>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</si>
  <si>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</si>
  <si>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</si>
  <si>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</si>
  <si>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</si>
  <si>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</si>
  <si>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</si>
  <si>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</si>
  <si>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</si>
  <si>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</si>
  <si>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</si>
  <si>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</si>
  <si>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</si>
  <si>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-MRS-0133</t>
    </r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</si>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</sst>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G19" sqref="G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27" t="s">
        <v>86</v>
      </c>
      <c r="K1" s="128"/>
      <c r="L1" s="129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30" t="s">
        <v>93</v>
      </c>
      <c r="K2" s="131"/>
      <c r="L2" s="132"/>
    </row>
    <row r="3" spans="1:19" ht="20.100000000000001" customHeight="1">
      <c r="A3" s="3" t="s">
        <v>97</v>
      </c>
      <c r="B3" s="100"/>
      <c r="C3" s="100"/>
      <c r="D3" s="100"/>
      <c r="E3" s="133">
        <f>+L3</f>
        <v>45929</v>
      </c>
      <c r="F3" s="133"/>
      <c r="G3" s="133"/>
      <c r="H3" s="133"/>
      <c r="I3" s="133"/>
      <c r="J3" s="100"/>
      <c r="K3" s="100"/>
      <c r="L3" s="121">
        <v>45929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101</v>
      </c>
      <c r="J4" s="134" t="s">
        <v>102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22.5" customHeight="1">
      <c r="A6" s="5">
        <f t="shared" ref="A6:A15" si="0">ROW(A1)</f>
        <v>1</v>
      </c>
      <c r="B6" s="146" t="s">
        <v>98</v>
      </c>
      <c r="C6" s="147"/>
      <c r="D6" s="148" t="s">
        <v>99</v>
      </c>
      <c r="E6" s="149"/>
      <c r="F6" s="150"/>
      <c r="G6" s="110" t="s">
        <v>100</v>
      </c>
      <c r="H6" s="111">
        <v>1</v>
      </c>
      <c r="I6" s="112">
        <v>5463</v>
      </c>
      <c r="J6" s="112">
        <f>H6*I6</f>
        <v>5463</v>
      </c>
      <c r="K6" s="113" t="s">
        <v>103</v>
      </c>
      <c r="L6" s="114" t="s">
        <v>104</v>
      </c>
      <c r="S6" s="105"/>
    </row>
    <row r="7" spans="1:19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111</v>
      </c>
      <c r="J16" s="126">
        <f>SUM(J6:J15)</f>
        <v>5463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9" t="s">
        <v>16</v>
      </c>
      <c r="Q21" s="159" t="s">
        <v>17</v>
      </c>
    </row>
    <row r="22" spans="1:22" ht="18" customHeight="1">
      <c r="O22" s="18" t="s">
        <v>18</v>
      </c>
      <c r="P22" s="160"/>
      <c r="Q22" s="160"/>
      <c r="S22" s="15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20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20</v>
      </c>
      <c r="P46" s="159" t="s">
        <v>20</v>
      </c>
      <c r="Q46" s="159" t="s">
        <v>20</v>
      </c>
      <c r="T46" s="159" t="s">
        <v>21</v>
      </c>
      <c r="U46" s="159" t="s">
        <v>12</v>
      </c>
      <c r="V46" s="159" t="s">
        <v>20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20</v>
      </c>
      <c r="P50" s="159" t="s">
        <v>20</v>
      </c>
      <c r="Q50" s="159" t="s">
        <v>20</v>
      </c>
      <c r="T50" s="159" t="s">
        <v>12</v>
      </c>
      <c r="U50" s="159" t="s">
        <v>21</v>
      </c>
      <c r="V50" s="159" t="s">
        <v>20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SAC2-DS-MRS-0133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45929</v>
      </c>
    </row>
    <row r="4" spans="1:18" ht="15.95" customHeight="1">
      <c r="A4" s="162" t="s">
        <v>2</v>
      </c>
      <c r="B4" s="163" t="s">
        <v>22</v>
      </c>
      <c r="C4" s="163"/>
      <c r="D4" s="162" t="s">
        <v>4</v>
      </c>
      <c r="E4" s="162"/>
      <c r="F4" s="162"/>
      <c r="G4" s="163" t="s">
        <v>5</v>
      </c>
      <c r="H4" s="162" t="s">
        <v>87</v>
      </c>
      <c r="I4" s="162" t="s">
        <v>23</v>
      </c>
      <c r="J4" s="162" t="s">
        <v>24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Recruitment Charges</v>
      </c>
      <c r="C6" s="165"/>
      <c r="D6" s="166" t="str">
        <f>MRS!D6</f>
        <v>Visa Fee, Mandatory Insurance, Agency Fee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5463</v>
      </c>
      <c r="J6" s="103">
        <f>MRS!J6</f>
        <v>5463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J31" sqref="J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106</v>
      </c>
      <c r="D9" s="39"/>
      <c r="E9" s="39"/>
    </row>
    <row r="10" spans="2:13" s="39" customFormat="1">
      <c r="B10" s="71"/>
      <c r="C10" s="39" t="s">
        <v>31</v>
      </c>
      <c r="D10" s="75" t="s">
        <v>107</v>
      </c>
      <c r="J10" s="39" t="s">
        <v>32</v>
      </c>
      <c r="K10" s="175">
        <f>MRS!L3</f>
        <v>45929</v>
      </c>
      <c r="L10" s="176"/>
      <c r="M10" s="176"/>
    </row>
    <row r="11" spans="2:13" s="39" customFormat="1">
      <c r="B11" s="71"/>
      <c r="C11" s="74" t="s">
        <v>33</v>
      </c>
      <c r="D11" s="75" t="s">
        <v>107</v>
      </c>
      <c r="J11" s="39" t="s">
        <v>34</v>
      </c>
      <c r="K11" s="177" t="str">
        <f>SUBSTITUTE(SUBSTITUTE(+MRS!A3,"  MRS No : ",""),"-MRS","-PO")</f>
        <v>SAC2-DS-PO-0133</v>
      </c>
      <c r="L11" s="177"/>
      <c r="M11" s="177"/>
    </row>
    <row r="12" spans="2:13" s="39" customFormat="1">
      <c r="B12" s="71"/>
      <c r="C12" s="74" t="s">
        <v>35</v>
      </c>
      <c r="D12" s="39" t="s">
        <v>108</v>
      </c>
      <c r="J12" s="39" t="s">
        <v>36</v>
      </c>
    </row>
    <row r="13" spans="2:13" s="39" customFormat="1">
      <c r="B13" s="71"/>
      <c r="C13" s="76"/>
      <c r="D13" s="75" t="s">
        <v>109</v>
      </c>
      <c r="J13" s="39" t="s">
        <v>37</v>
      </c>
    </row>
    <row r="14" spans="2:13" s="39" customFormat="1">
      <c r="B14" s="71"/>
      <c r="C14" s="76"/>
      <c r="D14" s="39" t="s">
        <v>110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40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41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42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43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98</v>
      </c>
      <c r="M26" s="78" t="s">
        <v>45</v>
      </c>
    </row>
    <row r="27" spans="2:13" ht="12" customHeight="1">
      <c r="B27" s="32"/>
      <c r="C27" s="124"/>
    </row>
    <row r="28" spans="2:13" ht="20.100000000000001" customHeight="1">
      <c r="B28" s="32">
        <v>2</v>
      </c>
      <c r="C28" s="32" t="s">
        <v>46</v>
      </c>
    </row>
    <row r="29" spans="2:13" ht="3.75" customHeight="1">
      <c r="B29" s="32"/>
      <c r="F29" s="182"/>
      <c r="G29" s="182"/>
      <c r="H29" s="33"/>
      <c r="M29" s="34"/>
    </row>
    <row r="30" spans="2:13" ht="3.75" customHeight="1">
      <c r="B30" s="32"/>
      <c r="F30" s="183"/>
      <c r="G30" s="183"/>
    </row>
    <row r="31" spans="2:13" ht="15" customHeight="1">
      <c r="B31" s="32"/>
      <c r="C31" s="26" t="s">
        <v>48</v>
      </c>
      <c r="D31" s="35"/>
      <c r="E31" s="26" t="s">
        <v>47</v>
      </c>
      <c r="F31" s="182">
        <v>5463</v>
      </c>
      <c r="G31" s="18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9" customFormat="1" ht="15" customHeight="1">
      <c r="B49" s="79" t="s">
        <v>62</v>
      </c>
      <c r="C49" s="80" t="s">
        <v>89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88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L.La-anan / M. Mecader</v>
      </c>
    </row>
    <row r="60" spans="1:16" ht="18" customHeight="1">
      <c r="B60" s="26" t="s">
        <v>68</v>
      </c>
      <c r="J60" s="26" t="s">
        <v>69</v>
      </c>
      <c r="K60" s="22"/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95</v>
      </c>
      <c r="J62" s="184" t="str">
        <f>C9</f>
        <v>Omanfil International Manpower Development Corporation</v>
      </c>
      <c r="K62" s="184"/>
      <c r="L62" s="184"/>
      <c r="M62" s="184"/>
    </row>
    <row r="63" spans="1:16" ht="27.95" customHeight="1">
      <c r="A63" s="174" t="s">
        <v>72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4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SAC2-DS-PO-0133</v>
      </c>
      <c r="C2" s="187" t="s">
        <v>74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45929</v>
      </c>
      <c r="C3" s="51"/>
      <c r="D3" s="52"/>
      <c r="E3" s="188" t="s">
        <v>76</v>
      </c>
      <c r="F3" s="188"/>
      <c r="G3" s="188"/>
      <c r="H3" s="188"/>
      <c r="I3" s="53"/>
    </row>
    <row r="4" spans="1:13" s="55" customFormat="1" ht="28.5" customHeight="1" thickTop="1">
      <c r="A4" s="189" t="s">
        <v>77</v>
      </c>
      <c r="B4" s="191" t="s">
        <v>78</v>
      </c>
      <c r="C4" s="192"/>
      <c r="D4" s="195" t="s">
        <v>79</v>
      </c>
      <c r="E4" s="195" t="s">
        <v>80</v>
      </c>
      <c r="F4" s="197" t="str">
        <f>'PO 1st page'!C9</f>
        <v>Omanfil International Manpower Development Corporation</v>
      </c>
      <c r="G4" s="198"/>
      <c r="H4" s="199" t="s">
        <v>81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82</v>
      </c>
      <c r="G5" s="57" t="s">
        <v>48</v>
      </c>
      <c r="H5" s="200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5" t="str">
        <f>CONCATENATE(MRS!B6," ",MRS!D6)</f>
        <v>Recruitment Charges Visa Fee, Mandatory Insurance, Agency Fee</v>
      </c>
      <c r="C6" s="186"/>
      <c r="D6" s="85" t="str">
        <f>+'MRS LIST'!G6</f>
        <v>EA</v>
      </c>
      <c r="E6" s="86">
        <f>+'MRS LIST'!H6</f>
        <v>1</v>
      </c>
      <c r="F6" s="87">
        <f>+'MRS LIST'!I6</f>
        <v>5463</v>
      </c>
      <c r="G6" s="88">
        <f>+'MRS LIST'!J6</f>
        <v>5463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5"/>
      <c r="C7" s="186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5"/>
      <c r="C8" s="186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85"/>
      <c r="C9" s="186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5"/>
      <c r="C10" s="186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5"/>
      <c r="C11" s="186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5"/>
      <c r="C12" s="206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5"/>
      <c r="C13" s="206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5"/>
      <c r="C14" s="206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5"/>
      <c r="C15" s="206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5"/>
      <c r="C16" s="206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5"/>
      <c r="C17" s="206"/>
      <c r="D17" s="93"/>
      <c r="E17" s="94"/>
      <c r="F17" s="95"/>
      <c r="G17" s="96"/>
      <c r="H17" s="97"/>
    </row>
    <row r="18" spans="1:13" s="55" customFormat="1" ht="23.1" customHeight="1">
      <c r="A18" s="201" t="s">
        <v>83</v>
      </c>
      <c r="B18" s="202"/>
      <c r="C18" s="202"/>
      <c r="D18" s="202"/>
      <c r="E18" s="202"/>
      <c r="F18" s="202"/>
      <c r="G18" s="58">
        <f>SUM(G6:G17)</f>
        <v>5463</v>
      </c>
      <c r="H18" s="59"/>
    </row>
    <row r="19" spans="1:13" s="55" customFormat="1" ht="23.1" customHeight="1">
      <c r="A19" s="201"/>
      <c r="B19" s="202"/>
      <c r="C19" s="202"/>
      <c r="D19" s="202"/>
      <c r="E19" s="202"/>
      <c r="F19" s="202"/>
      <c r="G19" s="58"/>
      <c r="H19" s="59"/>
    </row>
    <row r="20" spans="1:13" s="55" customFormat="1" ht="24.95" customHeight="1" thickBot="1">
      <c r="A20" s="203" t="s">
        <v>105</v>
      </c>
      <c r="B20" s="204"/>
      <c r="C20" s="204"/>
      <c r="D20" s="204"/>
      <c r="E20" s="204"/>
      <c r="F20" s="204"/>
      <c r="G20" s="125">
        <f>G19+G18</f>
        <v>5463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85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2025-09-30T03:59:57Z</cp:lastPrinted>
  <dcterms:created xsi:type="dcterms:W3CDTF">2024-10-20T11:50:19Z</dcterms:created>
  <dcterms:modified xsi:type="dcterms:W3CDTF">2025-09-30T04:00:01Z</dcterms:modified>
</cp:coreProperties>
</file>