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B468F1A9-F6F4-4AC2-AF64-DB39D0000017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4" l="1"/>
  <c r="B6" i="4"/>
  <c r="H7" i="4" l="1"/>
  <c r="H6" i="4"/>
  <c r="K59" i="3"/>
  <c r="E3" i="1"/>
  <c r="E7" i="4"/>
  <c r="H7" i="2"/>
  <c r="G7" i="2"/>
  <c r="D7" i="4" s="1"/>
  <c r="D7" i="2"/>
  <c r="B7" i="2"/>
  <c r="J7" i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<sst xmlns="http://schemas.openxmlformats.org/spreadsheetml/2006/main" count="158" uniqueCount="121">
  <si>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</si>
  <si>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</si>
  <si>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</si>
  <si>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</si>
  <si>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</si>
  <si>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</si>
  <si>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</si>
  <si>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</si>
  <si>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</si>
  <si>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</si>
  <si>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</si>
  <si>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</si>
  <si>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</si>
  <si>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</si>
  <si>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</si>
  <si>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</si>
  <si>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</si>
  <si>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</si>
  <si>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</si>
  <si>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</si>
  <si>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</si>
  <si>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</si>
  <si>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</si>
  <si>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</si>
  <si>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</si>
  <si>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</si>
  <si>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</si>
  <si>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</si>
  <si>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</si>
  <si>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</si>
  <si>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</si>
  <si>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</si>
  <si>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</si>
  <si>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</si>
  <si>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</si>
  <si>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</si>
  <si>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</si>
  <si>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</si>
  <si>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</si>
  <si>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</si>
  <si>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</si>
  <si>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</si>
  <si>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</si>
  <si>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</si>
  <si>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</si>
  <si>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</si>
  <si>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</si>
  <si>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</si>
  <si>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</si>
  <si>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</si>
  <si>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</si>
  <si>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</si>
  <si>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</si>
  <si>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</si>
  <si>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</si>
  <si>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</si>
  <si>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</si>
  <si>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</si>
  <si>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</si>
  <si>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</si>
  <si>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</si>
  <si>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</si>
  <si>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</si>
  <si>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</si>
  <si>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</si>
  <si>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</si>
  <si>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</si>
  <si>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</si>
  <si>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</si>
  <si>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</si>
  <si>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</si>
  <si>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</si>
  <si>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</si>
  <si>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</si>
  <si>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</si>
  <si>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</si>
  <si>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</si>
  <si>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</si>
  <si>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</si>
  <si>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</si>
  <si>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</si>
  <si>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</si>
  <si>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</si>
  <si>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</si>
  <si>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</si>
  <si>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</si>
  <si>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</si>
  <si>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</si>
  <si>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</si>
  <si>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</si>
  <si>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</si>
  <si>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</si>
  <si>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</si>
  <si>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</si>
  <si>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</si>
  <si>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</si>
  <si>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</si>
  <si>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</si>
  <si>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</si>
  <si>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</si>
  <si>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</si>
  <si>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</si>
  <si>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</si>
  <si>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</si>
  <si>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</si>
  <si>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-MRS-0124</t>
    </r>
  </si>
  <si>
    <t>IPAF Training</t>
  </si>
  <si>
    <t>New Operator</t>
  </si>
  <si>
    <t>Renwal</t>
  </si>
  <si>
    <t>EA</t>
  </si>
  <si>
    <t>KRC</t>
  </si>
  <si>
    <t>KRC-EQUO-2025-1691</t>
  </si>
  <si>
    <t>2055023032</t>
  </si>
  <si>
    <t>301143296200003</t>
  </si>
  <si>
    <t>Rapelo Dionisio</t>
  </si>
  <si>
    <t>+966 13 363 6566 / Email:infoksa@korearental.co.kr</t>
  </si>
  <si>
    <t>KRC('Korea Rental Corp.)</t>
  </si>
  <si>
    <t>101 Business Tower, P.O.Box 3140, Al Jubail 31985, KSA</t>
  </si>
  <si>
    <t>Mobile : +966 13 363 6566</t>
  </si>
  <si>
    <t>IPAF Training fro New Operator &amp; Renewal</t>
  </si>
  <si>
    <t>Admin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</si>
</sst>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54" fillId="3" borderId="0" xfId="5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4983079"/>
              <a:ext cx="3930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26</xdr:col>
      <xdr:colOff>4229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1658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D7" sqref="D7:F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101</v>
      </c>
      <c r="B1" s="110"/>
      <c r="C1" s="110"/>
      <c r="D1" s="110"/>
      <c r="E1" s="110"/>
      <c r="F1" s="110"/>
      <c r="G1" s="1"/>
      <c r="J1" s="142" t="s">
        <v>92</v>
      </c>
      <c r="K1" s="143"/>
      <c r="L1" s="144"/>
    </row>
    <row r="2" spans="1:19" ht="20.100000000000001" customHeight="1">
      <c r="A2" s="3" t="s">
        <v>1</v>
      </c>
      <c r="B2" s="101"/>
      <c r="C2" s="101"/>
      <c r="D2" s="3" t="s">
        <v>102</v>
      </c>
      <c r="E2" s="101"/>
      <c r="F2" s="101"/>
      <c r="G2" s="101"/>
      <c r="H2" s="101"/>
      <c r="I2" s="4"/>
      <c r="J2" s="158" t="s">
        <v>100</v>
      </c>
      <c r="K2" s="159"/>
      <c r="L2" s="160"/>
    </row>
    <row r="3" spans="1:19" ht="20.100000000000001" customHeight="1">
      <c r="A3" s="3" t="s">
        <v>105</v>
      </c>
      <c r="B3" s="101"/>
      <c r="C3" s="101"/>
      <c r="D3" s="101"/>
      <c r="E3" s="145">
        <f>+L3</f>
        <v>45916</v>
      </c>
      <c r="F3" s="145"/>
      <c r="G3" s="145"/>
      <c r="H3" s="145"/>
      <c r="I3" s="145"/>
      <c r="J3" s="101"/>
      <c r="K3" s="101"/>
      <c r="L3" s="122">
        <v>45916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96</v>
      </c>
      <c r="J4" s="146" t="s">
        <v>97</v>
      </c>
      <c r="K4" s="156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22.5" customHeight="1">
      <c r="A6" s="5">
        <f t="shared" ref="A6:A15" si="0">ROW(A1)</f>
        <v>1</v>
      </c>
      <c r="B6" s="130" t="s">
        <v>106</v>
      </c>
      <c r="C6" s="131"/>
      <c r="D6" s="132" t="s">
        <v>107</v>
      </c>
      <c r="E6" s="133"/>
      <c r="F6" s="134"/>
      <c r="G6" s="111" t="s">
        <v>109</v>
      </c>
      <c r="H6" s="112">
        <v>1</v>
      </c>
      <c r="I6" s="113">
        <v>1200</v>
      </c>
      <c r="J6" s="113">
        <f>H6*I6</f>
        <v>1200</v>
      </c>
      <c r="K6" s="114" t="s">
        <v>110</v>
      </c>
      <c r="L6" s="115" t="s">
        <v>99</v>
      </c>
      <c r="S6" s="106"/>
    </row>
    <row r="7" spans="1:19" ht="22.5" customHeight="1">
      <c r="A7" s="5">
        <f t="shared" si="0"/>
        <v>2</v>
      </c>
      <c r="B7" s="130" t="s">
        <v>106</v>
      </c>
      <c r="C7" s="131"/>
      <c r="D7" s="141" t="s">
        <v>108</v>
      </c>
      <c r="E7" s="133"/>
      <c r="F7" s="134"/>
      <c r="G7" s="111" t="s">
        <v>109</v>
      </c>
      <c r="H7" s="112">
        <v>1</v>
      </c>
      <c r="I7" s="113">
        <v>1000</v>
      </c>
      <c r="J7" s="113">
        <f>H7*I7</f>
        <v>1000</v>
      </c>
      <c r="K7" s="114" t="s">
        <v>104</v>
      </c>
      <c r="L7" s="115" t="s">
        <v>104</v>
      </c>
      <c r="S7" s="106"/>
    </row>
    <row r="8" spans="1:19" ht="22.5" customHeight="1">
      <c r="A8" s="5">
        <f t="shared" si="0"/>
        <v>3</v>
      </c>
      <c r="B8" s="130"/>
      <c r="C8" s="131"/>
      <c r="D8" s="132"/>
      <c r="E8" s="133"/>
      <c r="F8" s="134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0"/>
      <c r="C9" s="131"/>
      <c r="D9" s="132"/>
      <c r="E9" s="133"/>
      <c r="F9" s="134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9"/>
      <c r="C10" s="139"/>
      <c r="D10" s="140"/>
      <c r="E10" s="140"/>
      <c r="F10" s="14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9"/>
      <c r="C12" s="139"/>
      <c r="D12" s="140"/>
      <c r="E12" s="140"/>
      <c r="F12" s="14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5" t="s">
        <v>8</v>
      </c>
      <c r="B16" s="13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2200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SAC2-DS-MRS-0124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45916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93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IPAF Training</v>
      </c>
      <c r="C6" s="167"/>
      <c r="D6" s="168" t="str">
        <f>MRS!D6</f>
        <v>New Operator</v>
      </c>
      <c r="E6" s="169"/>
      <c r="F6" s="170"/>
      <c r="G6" s="103" t="str">
        <f>MRS!G6</f>
        <v>EA</v>
      </c>
      <c r="H6" s="103">
        <f>MRS!H6</f>
        <v>1</v>
      </c>
      <c r="I6" s="104">
        <f>MRS!I6</f>
        <v>1200</v>
      </c>
      <c r="J6" s="104">
        <f>MRS!J6</f>
        <v>1200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 t="str">
        <f>MRS!B7</f>
        <v>IPAF Training</v>
      </c>
      <c r="C7" s="167"/>
      <c r="D7" s="168" t="str">
        <f>MRS!D7</f>
        <v>Renwal</v>
      </c>
      <c r="E7" s="169"/>
      <c r="F7" s="170"/>
      <c r="G7" s="103" t="str">
        <f>MRS!G7</f>
        <v>EA</v>
      </c>
      <c r="H7" s="103">
        <f>MRS!H7</f>
        <v>1</v>
      </c>
      <c r="I7" s="104">
        <f>MRS!I7</f>
        <v>1000</v>
      </c>
      <c r="J7" s="104">
        <f>MRS!J7</f>
        <v>1000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1"/>
      <c r="C8" s="162"/>
      <c r="D8" s="163"/>
      <c r="E8" s="164"/>
      <c r="F8" s="165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1"/>
      <c r="C9" s="162"/>
      <c r="D9" s="163"/>
      <c r="E9" s="164"/>
      <c r="F9" s="165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1"/>
      <c r="C10" s="162"/>
      <c r="D10" s="163"/>
      <c r="E10" s="164"/>
      <c r="F10" s="165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1"/>
      <c r="C11" s="162"/>
      <c r="D11" s="163"/>
      <c r="E11" s="164"/>
      <c r="F11" s="165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F29" sqref="F29:G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3.285156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116</v>
      </c>
      <c r="D9" s="39"/>
      <c r="E9" s="39"/>
    </row>
    <row r="10" spans="2:13" s="39" customFormat="1">
      <c r="B10" s="72"/>
      <c r="C10" s="39" t="s">
        <v>33</v>
      </c>
      <c r="D10" s="76" t="s">
        <v>112</v>
      </c>
      <c r="J10" s="39" t="s">
        <v>34</v>
      </c>
      <c r="K10" s="174">
        <f>MRS!L3</f>
        <v>45916</v>
      </c>
      <c r="L10" s="175"/>
      <c r="M10" s="175"/>
    </row>
    <row r="11" spans="2:13" s="39" customFormat="1">
      <c r="B11" s="72"/>
      <c r="C11" s="75" t="s">
        <v>35</v>
      </c>
      <c r="D11" s="76" t="s">
        <v>113</v>
      </c>
      <c r="J11" s="39" t="s">
        <v>36</v>
      </c>
      <c r="K11" s="176" t="str">
        <f>SUBSTITUTE(SUBSTITUTE(+MRS!A3,"  MRS No : ",""),"-MRS","-PO")</f>
        <v>SAC2-DS-PO-0124</v>
      </c>
      <c r="L11" s="176"/>
      <c r="M11" s="176"/>
    </row>
    <row r="12" spans="2:13" s="39" customFormat="1">
      <c r="B12" s="72"/>
      <c r="C12" s="75" t="s">
        <v>37</v>
      </c>
      <c r="D12" s="39" t="s">
        <v>114</v>
      </c>
      <c r="J12" s="39" t="s">
        <v>38</v>
      </c>
    </row>
    <row r="13" spans="2:13" s="39" customFormat="1">
      <c r="B13" s="72"/>
      <c r="C13" s="77"/>
      <c r="D13" s="76" t="s">
        <v>115</v>
      </c>
      <c r="J13" s="39" t="s">
        <v>39</v>
      </c>
    </row>
    <row r="14" spans="2:13" s="39" customFormat="1">
      <c r="B14" s="72"/>
      <c r="C14" s="77" t="s">
        <v>117</v>
      </c>
      <c r="J14" s="39" t="s">
        <v>40</v>
      </c>
      <c r="K14" s="39" t="s">
        <v>111</v>
      </c>
    </row>
    <row r="15" spans="2:13" s="39" customFormat="1">
      <c r="B15" s="72"/>
      <c r="C15" s="77" t="s">
        <v>118</v>
      </c>
      <c r="J15" s="39" t="s">
        <v>41</v>
      </c>
      <c r="K15" s="78">
        <v>45910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119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1" t="s">
        <v>99</v>
      </c>
      <c r="G29" s="181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1"/>
      <c r="G30" s="181"/>
    </row>
    <row r="31" spans="2:13" ht="15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103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46.5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Rapelo Dionisio</v>
      </c>
    </row>
    <row r="60" spans="1:16" ht="18" customHeight="1">
      <c r="B60" s="26" t="s">
        <v>72</v>
      </c>
      <c r="J60" s="26" t="s">
        <v>73</v>
      </c>
      <c r="K60" s="22" t="s">
        <v>120</v>
      </c>
    </row>
    <row r="61" spans="1:16" ht="15" customHeight="1">
      <c r="B61" s="26" t="s">
        <v>74</v>
      </c>
      <c r="J61" s="26" t="s">
        <v>75</v>
      </c>
    </row>
    <row r="62" spans="1:16" s="28" customFormat="1" ht="15" customHeight="1">
      <c r="B62" s="25" t="s">
        <v>76</v>
      </c>
      <c r="J62" s="125" t="str">
        <f>C9</f>
        <v>KRC('Korea Rental Corp.)</v>
      </c>
    </row>
    <row r="63" spans="1:16" ht="14.25" customHeight="1">
      <c r="A63" s="173" t="s">
        <v>77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SAC2-DS-PO-0124</v>
      </c>
      <c r="C2" s="188" t="s">
        <v>79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45916</v>
      </c>
      <c r="C3" s="51"/>
      <c r="D3" s="52"/>
      <c r="E3" s="189" t="s">
        <v>81</v>
      </c>
      <c r="F3" s="189"/>
      <c r="G3" s="189"/>
      <c r="H3" s="189"/>
      <c r="I3" s="53"/>
    </row>
    <row r="4" spans="1:13" s="55" customFormat="1" ht="28.5" customHeight="1" thickTop="1">
      <c r="A4" s="190" t="s">
        <v>82</v>
      </c>
      <c r="B4" s="192" t="s">
        <v>83</v>
      </c>
      <c r="C4" s="193"/>
      <c r="D4" s="196" t="s">
        <v>84</v>
      </c>
      <c r="E4" s="196" t="s">
        <v>85</v>
      </c>
      <c r="F4" s="198" t="str">
        <f>'PO 1st page'!C9</f>
        <v>KRC('Korea Rental Corp.)</v>
      </c>
      <c r="G4" s="199"/>
      <c r="H4" s="200" t="s">
        <v>86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87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CONCATENATE(MRS!B6," ",MRS!D6)</f>
        <v>IPAF Training New Operator</v>
      </c>
      <c r="C6" s="203"/>
      <c r="D6" s="86" t="str">
        <f>+'MRS LIST'!G6</f>
        <v>EA</v>
      </c>
      <c r="E6" s="87">
        <f>+'MRS LIST'!H6</f>
        <v>1</v>
      </c>
      <c r="F6" s="88">
        <f>+'MRS LIST'!I6</f>
        <v>1200</v>
      </c>
      <c r="G6" s="89">
        <f>+'MRS LIST'!J6</f>
        <v>1200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 t="str">
        <f>CONCATENATE(MRS!B7," ",MRS!D7)</f>
        <v>IPAF Training Renwal</v>
      </c>
      <c r="C7" s="203"/>
      <c r="D7" s="86" t="str">
        <f>+'MRS LIST'!G7</f>
        <v>EA</v>
      </c>
      <c r="E7" s="87">
        <f>+'MRS LIST'!H7</f>
        <v>1</v>
      </c>
      <c r="F7" s="88">
        <f>+'MRS LIST'!I7</f>
        <v>1000</v>
      </c>
      <c r="G7" s="89">
        <f>+'MRS LIST'!J7</f>
        <v>1000</v>
      </c>
      <c r="H7" s="90" t="str">
        <f>MRS!L7</f>
        <v>"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88</v>
      </c>
      <c r="B18" s="183"/>
      <c r="C18" s="183"/>
      <c r="D18" s="183"/>
      <c r="E18" s="183"/>
      <c r="F18" s="183"/>
      <c r="G18" s="58">
        <f>SUM(G6:G17)</f>
        <v>2200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330</v>
      </c>
      <c r="H19" s="59"/>
    </row>
    <row r="20" spans="1:13" s="55" customFormat="1" ht="24.95" customHeight="1" thickBot="1">
      <c r="A20" s="184" t="s">
        <v>89</v>
      </c>
      <c r="B20" s="185"/>
      <c r="C20" s="185"/>
      <c r="D20" s="185"/>
      <c r="E20" s="185"/>
      <c r="F20" s="185"/>
      <c r="G20" s="60">
        <f>G19+G18</f>
        <v>2530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KRC-EQUO-2025-1691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2025-09-16T07:10:36Z</cp:lastPrinted>
  <dcterms:created xsi:type="dcterms:W3CDTF">2024-10-20T11:50:19Z</dcterms:created>
  <dcterms:modified xsi:type="dcterms:W3CDTF">2025-09-16T07:17:53Z</dcterms:modified>
</cp:coreProperties>
</file>