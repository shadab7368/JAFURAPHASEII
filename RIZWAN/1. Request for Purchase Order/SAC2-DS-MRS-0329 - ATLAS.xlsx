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897129B-37BE-4CAF-9C1D-72FEA3EB425A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MRS!$A$1:$L$29</definedName>
    <definedName name="_xlnm.Print_Area" localSheetId="1">'MRS LIST'!$A$1:$K$19</definedName>
    <definedName name="_xlnm.Print_Area" localSheetId="2">'PO 1st page'!$A$1:$N$70</definedName>
    <definedName name="_xlnm.Print_Area" localSheetId="3">'PO 2nd page'!$A$1:$H$27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4" l="1"/>
  <c r="H17" i="4"/>
  <c r="H16" i="4"/>
  <c r="H15" i="4"/>
  <c r="H14" i="4"/>
  <c r="H13" i="4"/>
  <c r="H12" i="4"/>
  <c r="H11" i="4"/>
  <c r="H10" i="4"/>
  <c r="H9" i="4"/>
  <c r="H8" i="4"/>
  <c r="H7" i="4"/>
  <c r="G19" i="4" l="1"/>
  <c r="G21" i="4" s="1"/>
  <c r="G22" i="4" s="1"/>
  <c r="G18" i="4"/>
  <c r="F18" i="4"/>
  <c r="E18" i="4"/>
  <c r="D18" i="4"/>
  <c r="B18" i="4"/>
  <c r="J18" i="2"/>
  <c r="I18" i="2"/>
  <c r="H18" i="2"/>
  <c r="G18" i="2"/>
  <c r="D18" i="2"/>
  <c r="B18" i="2"/>
  <c r="J17" i="2"/>
  <c r="G17" i="4" s="1"/>
  <c r="I17" i="2"/>
  <c r="F17" i="4" s="1"/>
  <c r="H17" i="2"/>
  <c r="E17" i="4" s="1"/>
  <c r="G17" i="2"/>
  <c r="D17" i="4" s="1"/>
  <c r="D17" i="2"/>
  <c r="B17" i="2"/>
  <c r="A18" i="2"/>
  <c r="A18" i="4"/>
  <c r="A15" i="2"/>
  <c r="A16" i="2"/>
  <c r="A17" i="2"/>
  <c r="J16" i="2"/>
  <c r="G16" i="4" s="1"/>
  <c r="I16" i="2"/>
  <c r="F16" i="4" s="1"/>
  <c r="H16" i="2"/>
  <c r="G16" i="2"/>
  <c r="D16" i="4" s="1"/>
  <c r="D16" i="2"/>
  <c r="B16" i="2"/>
  <c r="J15" i="2"/>
  <c r="I15" i="2"/>
  <c r="F15" i="4" s="1"/>
  <c r="H15" i="2"/>
  <c r="E15" i="4" s="1"/>
  <c r="G15" i="2"/>
  <c r="D15" i="4" s="1"/>
  <c r="D15" i="2"/>
  <c r="B15" i="2"/>
  <c r="J14" i="2"/>
  <c r="G14" i="4" s="1"/>
  <c r="I14" i="2"/>
  <c r="F14" i="4" s="1"/>
  <c r="H14" i="2"/>
  <c r="E14" i="4" s="1"/>
  <c r="G14" i="2"/>
  <c r="D14" i="4" s="1"/>
  <c r="D14" i="2"/>
  <c r="B14" i="2"/>
  <c r="J13" i="2"/>
  <c r="G13" i="4" s="1"/>
  <c r="I13" i="2"/>
  <c r="F13" i="4" s="1"/>
  <c r="H13" i="2"/>
  <c r="E13" i="4" s="1"/>
  <c r="G13" i="2"/>
  <c r="D13" i="2"/>
  <c r="B13" i="2"/>
  <c r="J12" i="2"/>
  <c r="G12" i="4" s="1"/>
  <c r="I12" i="2"/>
  <c r="F12" i="4" s="1"/>
  <c r="H12" i="2"/>
  <c r="E12" i="4" s="1"/>
  <c r="G12" i="2"/>
  <c r="D12" i="4" s="1"/>
  <c r="D12" i="2"/>
  <c r="B12" i="2"/>
  <c r="J11" i="2"/>
  <c r="I11" i="2"/>
  <c r="H11" i="2"/>
  <c r="E11" i="4" s="1"/>
  <c r="G11" i="2"/>
  <c r="D11" i="2"/>
  <c r="B11" i="2"/>
  <c r="J10" i="2"/>
  <c r="G10" i="4" s="1"/>
  <c r="I10" i="2"/>
  <c r="F10" i="4" s="1"/>
  <c r="H10" i="2"/>
  <c r="E10" i="4" s="1"/>
  <c r="G10" i="2"/>
  <c r="D10" i="4" s="1"/>
  <c r="D10" i="2"/>
  <c r="B10" i="2"/>
  <c r="J9" i="2"/>
  <c r="I9" i="2"/>
  <c r="F9" i="4" s="1"/>
  <c r="H9" i="2"/>
  <c r="E9" i="4" s="1"/>
  <c r="G9" i="2"/>
  <c r="D9" i="2"/>
  <c r="B9" i="2"/>
  <c r="J8" i="2"/>
  <c r="G8" i="4" s="1"/>
  <c r="I8" i="2"/>
  <c r="F8" i="4" s="1"/>
  <c r="H8" i="2"/>
  <c r="E8" i="4" s="1"/>
  <c r="G8" i="2"/>
  <c r="D8" i="4" s="1"/>
  <c r="D8" i="2"/>
  <c r="B8" i="2"/>
  <c r="J7" i="2"/>
  <c r="G7" i="4" s="1"/>
  <c r="I7" i="2"/>
  <c r="F7" i="4" s="1"/>
  <c r="H7" i="2"/>
  <c r="E7" i="4" s="1"/>
  <c r="G7" i="2"/>
  <c r="D7" i="4" s="1"/>
  <c r="D7" i="2"/>
  <c r="B7" i="2"/>
  <c r="B17" i="4"/>
  <c r="B16" i="4"/>
  <c r="B15" i="4"/>
  <c r="B14" i="4"/>
  <c r="B13" i="4"/>
  <c r="B12" i="4"/>
  <c r="B11" i="4"/>
  <c r="B10" i="4"/>
  <c r="B9" i="4"/>
  <c r="B8" i="4"/>
  <c r="E16" i="4"/>
  <c r="G15" i="4"/>
  <c r="D13" i="4"/>
  <c r="G11" i="4"/>
  <c r="F11" i="4"/>
  <c r="D11" i="4"/>
  <c r="G9" i="4"/>
  <c r="D9" i="4"/>
  <c r="J15" i="1"/>
  <c r="J20" i="1" s="1"/>
  <c r="J18" i="1"/>
  <c r="J17" i="1"/>
  <c r="J16" i="1"/>
  <c r="J14" i="1"/>
  <c r="J13" i="1"/>
  <c r="J12" i="1"/>
  <c r="J11" i="1"/>
  <c r="J10" i="1"/>
  <c r="J9" i="1"/>
  <c r="J8" i="1"/>
  <c r="P54" i="3"/>
  <c r="B7" i="4"/>
  <c r="B6" i="4"/>
  <c r="H6" i="4" l="1"/>
  <c r="K67" i="3"/>
  <c r="E3" i="1"/>
  <c r="J7" i="1"/>
  <c r="J6" i="1" l="1"/>
  <c r="K10" i="3"/>
  <c r="A24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23" i="4" l="1"/>
</calcChain>
</file>

<file path=xl/sharedStrings.xml><?xml version="1.0" encoding="utf-8"?>
<sst xmlns="http://schemas.openxmlformats.org/spreadsheetml/2006/main" count="213" uniqueCount="150">
  <si>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</si>
  <si>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</si>
  <si>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</si>
  <si>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</si>
  <si>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</si>
  <si>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</si>
  <si>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</si>
  <si>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</si>
  <si>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</si>
  <si>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</si>
  <si>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</si>
  <si>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</si>
  <si>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</si>
  <si>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</si>
  <si>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</si>
  <si>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</si>
  <si>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</si>
  <si>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</si>
  <si>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</si>
  <si>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</si>
  <si>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</si>
  <si>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</si>
  <si>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</si>
  <si>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</si>
  <si>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</si>
  <si>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</si>
  <si>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</si>
  <si>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</si>
  <si>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</si>
  <si>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</si>
  <si>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</si>
  <si>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</si>
  <si>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</si>
  <si>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</si>
  <si>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</si>
  <si>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</si>
  <si>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</si>
  <si>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</si>
  <si>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</si>
  <si>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</si>
  <si>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</si>
  <si>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</si>
  <si>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</si>
  <si>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</si>
  <si>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</si>
  <si>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</si>
  <si>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</si>
  <si>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</si>
  <si>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</si>
  <si>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</si>
  <si>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</si>
  <si>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</si>
  <si>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</si>
  <si>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</si>
  <si>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</si>
  <si>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</si>
  <si>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</si>
  <si>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</si>
  <si>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</si>
  <si>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</si>
  <si>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</si>
  <si>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</si>
  <si>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</si>
  <si>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</si>
  <si>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</si>
  <si>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</si>
  <si>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</si>
  <si>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</si>
  <si>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</si>
  <si>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</si>
  <si>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</si>
  <si>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</si>
  <si>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</si>
  <si>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</si>
  <si>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</si>
  <si>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</si>
  <si>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</si>
  <si>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</si>
  <si>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</si>
  <si>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</si>
  <si>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</si>
  <si>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</si>
  <si>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</si>
  <si>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</si>
  <si>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</si>
  <si>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</si>
  <si>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</si>
  <si>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</si>
  <si>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</si>
  <si>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</si>
  <si>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</si>
  <si>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</si>
  <si>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</si>
  <si>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</si>
  <si>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</si>
  <si>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</si>
  <si>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</si>
  <si>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</si>
  <si>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</si>
  <si>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</si>
  <si>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</si>
  <si>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</si>
  <si>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</si>
  <si>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EA</t>
  </si>
  <si>
    <t>AIEC</t>
  </si>
  <si>
    <t>2055009696</t>
  </si>
  <si>
    <t>301293282200003</t>
  </si>
  <si>
    <t>Muhammed Hidayat</t>
  </si>
  <si>
    <t>+966 56 638 6076 / Email:abdul.hidayat@atlascopco.com</t>
  </si>
  <si>
    <t>Senior Sales Engineer</t>
  </si>
  <si>
    <t>Industries-Road 116, 3549 area, 7783, Al Jubail 35724, KSA</t>
  </si>
  <si>
    <t>Mobile : +966 56 638 6076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</si>
  <si>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</si>
  <si>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</si>
  <si>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</si>
  <si>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</si>
  <si>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</si>
  <si>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</si>
  <si>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</si>
  <si>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</si>
  <si>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</si>
  <si>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ATLAS INDUSTRIAL EQUIPMENT CO.</t>
  </si>
  <si>
    <t>SA36 4500 0000 0211 4984 4002</t>
  </si>
  <si>
    <t>SABBSARI</t>
  </si>
  <si>
    <t>SAUDI AWWAL BANK</t>
  </si>
  <si>
    <t>021-149844-002</t>
  </si>
  <si>
    <t>AIEC(Atlas Industrial Equipment Company)</t>
  </si>
  <si>
    <t>00845200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</si>
  <si>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-MRS-0329</t>
    </r>
  </si>
  <si>
    <t>Atlas Copco Air Operated HydraulicTorque Pump model A380-3-4- FF, Max Pressure 700 Bar with Remote Pendant
Control</t>
  </si>
  <si>
    <t>4.5 M long hydraulic twin line hose,700 BAR</t>
  </si>
  <si>
    <t>Ratchet Link, TL02-110/41MM-1-5/8"</t>
  </si>
  <si>
    <t xml:space="preserve">Ratchet Link, TL02-113/46MM-1-13/16"            </t>
  </si>
  <si>
    <t>Ratchet Link, TL04-203/55MM-2-3/16"</t>
  </si>
  <si>
    <t>Socket with 3/4" Drive 1-5/8" AF std</t>
  </si>
  <si>
    <t xml:space="preserve">Socket with 3/4" Drive 1-13/16" AF std     </t>
  </si>
  <si>
    <t>Atlas Copco's Hydraulic Square Drive -1" model RT-03 with torque range of 657 NM to 4379 NM su    lied in a car   in   case</t>
  </si>
  <si>
    <t>Socket with 1" Drive 2" AF std</t>
  </si>
  <si>
    <t xml:space="preserve">Socket with 1" Drive 2-3/16" AF std </t>
  </si>
  <si>
    <t>Atlas Copco TFX series hydraulic torque wrench model TFX-02 Powerhead, with a Torque capacity of 348-2318 Nm, supplied with a safet   handle in a car   in   case</t>
  </si>
  <si>
    <t>Atlas Copco TFX series hydraulic torque wrench model TFX-04 Powerhead, with a Torque capacity of 784-5227 Nm, supplied with a safet   handle in a car   in   case</t>
  </si>
  <si>
    <t>Atlas Copco's Hydraulic Square Drive -3/4" model RT-01- with torque range of 283 NM to 1885 NM SU  lied in a carr  in   case</t>
  </si>
  <si>
    <t>Less Discount</t>
  </si>
  <si>
    <t>Total Net of Discount</t>
  </si>
  <si>
    <t>Discount</t>
  </si>
  <si>
    <t>50% Down Payment</t>
  </si>
  <si>
    <t>"</t>
  </si>
  <si>
    <t>Hydraulic Torquing Machine &amp; Tools</t>
  </si>
  <si>
    <t>16 32</t>
  </si>
  <si>
    <t>16 35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</si>
</sst>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1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7" fillId="3" borderId="0" xfId="5" applyNumberFormat="1" applyFont="1" applyFill="1"/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3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69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54" fillId="3" borderId="0" xfId="5" applyFont="1" applyFill="1"/>
    <xf numFmtId="0" fontId="55" fillId="3" borderId="0" xfId="5" applyFont="1" applyFill="1"/>
    <xf numFmtId="0" fontId="18" fillId="3" borderId="0" xfId="5" quotePrefix="1" applyFont="1" applyFill="1"/>
    <xf numFmtId="0" fontId="2" fillId="3" borderId="18" xfId="0" applyFont="1" applyFill="1" applyBorder="1" applyAlignment="1">
      <alignment horizontal="center" vertical="center" wrapText="1"/>
    </xf>
    <xf numFmtId="0" fontId="42" fillId="3" borderId="0" xfId="5" applyFont="1" applyFill="1" applyAlignment="1">
      <alignment horizontal="right" vertical="center" indent="1"/>
    </xf>
    <xf numFmtId="0" fontId="2" fillId="3" borderId="0" xfId="5" quotePrefix="1" applyFont="1" applyFill="1"/>
    <xf numFmtId="0" fontId="2" fillId="2" borderId="16" xfId="4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/>
    </xf>
    <xf numFmtId="167" fontId="2" fillId="0" borderId="18" xfId="0" applyNumberFormat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 wrapText="1"/>
    </xf>
    <xf numFmtId="0" fontId="56" fillId="0" borderId="8" xfId="0" quotePrefix="1" applyFont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69" fontId="33" fillId="3" borderId="0" xfId="5" quotePrefix="1" applyNumberFormat="1" applyFont="1" applyFill="1" applyAlignment="1">
      <alignment horizontal="left" vertical="center"/>
    </xf>
    <xf numFmtId="169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1" fontId="18" fillId="3" borderId="0" xfId="5" applyNumberFormat="1" applyFont="1" applyFill="1" applyAlignment="1">
      <alignment horizontal="center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21</xdr:row>
          <xdr:rowOff>0</xdr:rowOff>
        </xdr:from>
        <xdr:to>
          <xdr:col>12</xdr:col>
          <xdr:colOff>502</xdr:colOff>
          <xdr:row>28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2:$V$28" spid="_x0000_s122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4983079"/>
              <a:ext cx="3930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0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26</xdr:col>
      <xdr:colOff>4229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1658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C2461B3D-BFA2-4190-9BD8-9F87F637C83B}"/>
            </a:ext>
          </a:extLst>
        </xdr:cNvPr>
        <xdr:cNvSpPr>
          <a:spLocks noChangeAspect="1" noChangeArrowheads="1"/>
        </xdr:cNvSpPr>
      </xdr:nvSpPr>
      <xdr:spPr bwMode="auto">
        <a:xfrm>
          <a:off x="13253358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46A7F5B1-83FF-4861-A579-525D7E0A3A2C}"/>
            </a:ext>
          </a:extLst>
        </xdr:cNvPr>
        <xdr:cNvSpPr>
          <a:spLocks noChangeAspect="1" noChangeArrowheads="1"/>
        </xdr:cNvSpPr>
      </xdr:nvSpPr>
      <xdr:spPr bwMode="auto">
        <a:xfrm>
          <a:off x="13253358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6"/>
  <sheetViews>
    <sheetView showGridLines="0" view="pageBreakPreview" zoomScale="95" zoomScaleNormal="95" zoomScaleSheetLayoutView="95" workbookViewId="0">
      <selection activeCell="D15" sqref="D15:F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14" t="s">
        <v>100</v>
      </c>
      <c r="B1" s="100"/>
      <c r="C1" s="100"/>
      <c r="D1" s="100"/>
      <c r="E1" s="100"/>
      <c r="F1" s="100"/>
      <c r="G1" s="1"/>
      <c r="J1" s="151" t="s">
        <v>92</v>
      </c>
      <c r="K1" s="152"/>
      <c r="L1" s="153"/>
    </row>
    <row r="2" spans="1:19" ht="20.100000000000001" customHeight="1">
      <c r="A2" s="3" t="s">
        <v>1</v>
      </c>
      <c r="B2" s="94"/>
      <c r="C2" s="94"/>
      <c r="D2" s="3" t="s">
        <v>101</v>
      </c>
      <c r="E2" s="94"/>
      <c r="F2" s="94"/>
      <c r="G2" s="94"/>
      <c r="H2" s="94"/>
      <c r="I2" s="4"/>
      <c r="J2" s="167" t="s">
        <v>99</v>
      </c>
      <c r="K2" s="168"/>
      <c r="L2" s="169"/>
    </row>
    <row r="3" spans="1:19" ht="20.100000000000001" customHeight="1">
      <c r="A3" s="3" t="s">
        <v>128</v>
      </c>
      <c r="B3" s="94"/>
      <c r="C3" s="94"/>
      <c r="D3" s="94"/>
      <c r="E3" s="154">
        <f>+L3</f>
        <v>46184</v>
      </c>
      <c r="F3" s="154"/>
      <c r="G3" s="154"/>
      <c r="H3" s="154"/>
      <c r="I3" s="154"/>
      <c r="J3" s="94"/>
      <c r="K3" s="94"/>
      <c r="L3" s="112">
        <v>46184</v>
      </c>
      <c r="M3" s="4"/>
    </row>
    <row r="4" spans="1:19" ht="15.95" customHeight="1">
      <c r="A4" s="155" t="s">
        <v>2</v>
      </c>
      <c r="B4" s="156" t="s">
        <v>3</v>
      </c>
      <c r="C4" s="156"/>
      <c r="D4" s="157" t="s">
        <v>4</v>
      </c>
      <c r="E4" s="158"/>
      <c r="F4" s="159"/>
      <c r="G4" s="163" t="s">
        <v>5</v>
      </c>
      <c r="H4" s="165" t="s">
        <v>6</v>
      </c>
      <c r="I4" s="165" t="s">
        <v>96</v>
      </c>
      <c r="J4" s="155" t="s">
        <v>97</v>
      </c>
      <c r="K4" s="165" t="s">
        <v>0</v>
      </c>
      <c r="L4" s="156" t="s">
        <v>7</v>
      </c>
    </row>
    <row r="5" spans="1:19" ht="15.95" customHeight="1">
      <c r="A5" s="155"/>
      <c r="B5" s="156"/>
      <c r="C5" s="156"/>
      <c r="D5" s="160"/>
      <c r="E5" s="161"/>
      <c r="F5" s="162"/>
      <c r="G5" s="164"/>
      <c r="H5" s="166"/>
      <c r="I5" s="166"/>
      <c r="J5" s="155"/>
      <c r="K5" s="166"/>
      <c r="L5" s="156"/>
    </row>
    <row r="6" spans="1:19" ht="81" customHeight="1">
      <c r="A6" s="5">
        <f t="shared" ref="A6:A14" si="0">ROW(A1)</f>
        <v>1</v>
      </c>
      <c r="B6" s="149" t="s">
        <v>129</v>
      </c>
      <c r="C6" s="150"/>
      <c r="D6" s="170">
        <v>8434204023</v>
      </c>
      <c r="E6" s="171"/>
      <c r="F6" s="172"/>
      <c r="G6" s="101" t="s">
        <v>103</v>
      </c>
      <c r="H6" s="102">
        <v>1</v>
      </c>
      <c r="I6" s="103">
        <v>30860</v>
      </c>
      <c r="J6" s="103">
        <f>H6*I6</f>
        <v>30860</v>
      </c>
      <c r="K6" s="104" t="s">
        <v>104</v>
      </c>
      <c r="L6" s="126" t="s">
        <v>145</v>
      </c>
      <c r="S6" s="99"/>
    </row>
    <row r="7" spans="1:19" ht="33.75" customHeight="1">
      <c r="A7" s="5">
        <f t="shared" si="0"/>
        <v>2</v>
      </c>
      <c r="B7" s="149" t="s">
        <v>130</v>
      </c>
      <c r="C7" s="150"/>
      <c r="D7" s="173">
        <v>8434205008</v>
      </c>
      <c r="E7" s="171"/>
      <c r="F7" s="172"/>
      <c r="G7" s="101" t="s">
        <v>103</v>
      </c>
      <c r="H7" s="102">
        <v>2</v>
      </c>
      <c r="I7" s="103">
        <v>1625</v>
      </c>
      <c r="J7" s="103">
        <f>H7*I7</f>
        <v>3250</v>
      </c>
      <c r="K7" s="104"/>
      <c r="L7" s="127" t="s">
        <v>146</v>
      </c>
      <c r="S7" s="99"/>
    </row>
    <row r="8" spans="1:19" ht="90" customHeight="1">
      <c r="A8" s="5">
        <f t="shared" si="0"/>
        <v>3</v>
      </c>
      <c r="B8" s="149" t="s">
        <v>139</v>
      </c>
      <c r="C8" s="150"/>
      <c r="D8" s="170">
        <v>8434241975</v>
      </c>
      <c r="E8" s="171"/>
      <c r="F8" s="172"/>
      <c r="G8" s="101" t="s">
        <v>103</v>
      </c>
      <c r="H8" s="102">
        <v>1</v>
      </c>
      <c r="I8" s="103">
        <v>8724</v>
      </c>
      <c r="J8" s="103">
        <f t="shared" ref="J8:J18" si="1">H8*I8</f>
        <v>8724</v>
      </c>
      <c r="K8" s="104"/>
      <c r="L8" s="127" t="s">
        <v>146</v>
      </c>
      <c r="S8" s="99"/>
    </row>
    <row r="9" spans="1:19" ht="36.75" customHeight="1">
      <c r="A9" s="5">
        <f t="shared" si="0"/>
        <v>4</v>
      </c>
      <c r="B9" s="149" t="s">
        <v>131</v>
      </c>
      <c r="C9" s="150"/>
      <c r="D9" s="170">
        <v>8434241766</v>
      </c>
      <c r="E9" s="171"/>
      <c r="F9" s="172"/>
      <c r="G9" s="101" t="s">
        <v>103</v>
      </c>
      <c r="H9" s="102">
        <v>1</v>
      </c>
      <c r="I9" s="103">
        <v>6610</v>
      </c>
      <c r="J9" s="103">
        <f t="shared" si="1"/>
        <v>6610</v>
      </c>
      <c r="K9" s="104"/>
      <c r="L9" s="127" t="s">
        <v>146</v>
      </c>
      <c r="S9" s="99"/>
    </row>
    <row r="10" spans="1:19" ht="36.75" customHeight="1">
      <c r="A10" s="5">
        <f t="shared" si="0"/>
        <v>5</v>
      </c>
      <c r="B10" s="174" t="s">
        <v>132</v>
      </c>
      <c r="C10" s="174"/>
      <c r="D10" s="175">
        <v>8434241767</v>
      </c>
      <c r="E10" s="175"/>
      <c r="F10" s="175"/>
      <c r="G10" s="101" t="s">
        <v>103</v>
      </c>
      <c r="H10" s="102">
        <v>1</v>
      </c>
      <c r="I10" s="106">
        <v>6610</v>
      </c>
      <c r="J10" s="103">
        <f t="shared" si="1"/>
        <v>6610</v>
      </c>
      <c r="K10" s="104"/>
      <c r="L10" s="127" t="s">
        <v>146</v>
      </c>
      <c r="S10" s="99"/>
    </row>
    <row r="11" spans="1:19" ht="98.25" customHeight="1">
      <c r="A11" s="5">
        <f t="shared" si="0"/>
        <v>6</v>
      </c>
      <c r="B11" s="149" t="s">
        <v>140</v>
      </c>
      <c r="C11" s="150"/>
      <c r="D11" s="170">
        <v>8434241976</v>
      </c>
      <c r="E11" s="171"/>
      <c r="F11" s="172"/>
      <c r="G11" s="101" t="s">
        <v>103</v>
      </c>
      <c r="H11" s="102">
        <v>1</v>
      </c>
      <c r="I11" s="103">
        <v>11147</v>
      </c>
      <c r="J11" s="103">
        <f t="shared" si="1"/>
        <v>11147</v>
      </c>
      <c r="K11" s="104"/>
      <c r="L11" s="127" t="s">
        <v>146</v>
      </c>
      <c r="S11" s="99"/>
    </row>
    <row r="12" spans="1:19" ht="33" customHeight="1">
      <c r="A12" s="5">
        <f t="shared" si="0"/>
        <v>7</v>
      </c>
      <c r="B12" s="174" t="s">
        <v>133</v>
      </c>
      <c r="C12" s="174"/>
      <c r="D12" s="175">
        <v>8434241775</v>
      </c>
      <c r="E12" s="175"/>
      <c r="F12" s="175"/>
      <c r="G12" s="101" t="s">
        <v>103</v>
      </c>
      <c r="H12" s="102">
        <v>1</v>
      </c>
      <c r="I12" s="106">
        <v>9261</v>
      </c>
      <c r="J12" s="103">
        <f t="shared" si="1"/>
        <v>9261</v>
      </c>
      <c r="K12" s="104"/>
      <c r="L12" s="127" t="s">
        <v>146</v>
      </c>
      <c r="S12" s="99"/>
    </row>
    <row r="13" spans="1:19" ht="76.5" customHeight="1">
      <c r="A13" s="5">
        <f t="shared" si="0"/>
        <v>8</v>
      </c>
      <c r="B13" s="149" t="s">
        <v>141</v>
      </c>
      <c r="C13" s="150"/>
      <c r="D13" s="170">
        <v>8434201002</v>
      </c>
      <c r="E13" s="171"/>
      <c r="F13" s="172"/>
      <c r="G13" s="101" t="s">
        <v>103</v>
      </c>
      <c r="H13" s="102">
        <v>1</v>
      </c>
      <c r="I13" s="103">
        <v>14694</v>
      </c>
      <c r="J13" s="103">
        <f t="shared" si="1"/>
        <v>14694</v>
      </c>
      <c r="K13" s="104"/>
      <c r="L13" s="127" t="s">
        <v>146</v>
      </c>
      <c r="S13" s="99"/>
    </row>
    <row r="14" spans="1:19" ht="33" customHeight="1">
      <c r="A14" s="5">
        <f t="shared" si="0"/>
        <v>9</v>
      </c>
      <c r="B14" s="149" t="s">
        <v>134</v>
      </c>
      <c r="C14" s="150"/>
      <c r="D14" s="170">
        <v>1226</v>
      </c>
      <c r="E14" s="171"/>
      <c r="F14" s="172"/>
      <c r="G14" s="101" t="s">
        <v>103</v>
      </c>
      <c r="H14" s="102">
        <v>1</v>
      </c>
      <c r="I14" s="103">
        <v>128</v>
      </c>
      <c r="J14" s="103">
        <f t="shared" si="1"/>
        <v>128</v>
      </c>
      <c r="K14" s="104"/>
      <c r="L14" s="127" t="s">
        <v>146</v>
      </c>
      <c r="S14" s="99"/>
    </row>
    <row r="15" spans="1:19" ht="34.5" customHeight="1">
      <c r="A15" s="5">
        <v>10</v>
      </c>
      <c r="B15" s="149" t="s">
        <v>135</v>
      </c>
      <c r="C15" s="150"/>
      <c r="D15" s="170">
        <v>1229</v>
      </c>
      <c r="E15" s="171"/>
      <c r="F15" s="172"/>
      <c r="G15" s="101" t="s">
        <v>103</v>
      </c>
      <c r="H15" s="102">
        <v>1</v>
      </c>
      <c r="I15" s="103">
        <v>162</v>
      </c>
      <c r="J15" s="103">
        <f t="shared" si="1"/>
        <v>162</v>
      </c>
      <c r="K15" s="104"/>
      <c r="L15" s="127" t="s">
        <v>146</v>
      </c>
      <c r="S15" s="99"/>
    </row>
    <row r="16" spans="1:19" ht="67.5" customHeight="1">
      <c r="A16" s="5">
        <v>11</v>
      </c>
      <c r="B16" s="149" t="s">
        <v>136</v>
      </c>
      <c r="C16" s="150"/>
      <c r="D16" s="170">
        <v>8434201005</v>
      </c>
      <c r="E16" s="171"/>
      <c r="F16" s="172"/>
      <c r="G16" s="101" t="s">
        <v>103</v>
      </c>
      <c r="H16" s="102">
        <v>1</v>
      </c>
      <c r="I16" s="103">
        <v>17905</v>
      </c>
      <c r="J16" s="103">
        <f t="shared" si="1"/>
        <v>17905</v>
      </c>
      <c r="K16" s="104"/>
      <c r="L16" s="127" t="s">
        <v>146</v>
      </c>
      <c r="S16" s="99"/>
    </row>
    <row r="17" spans="1:22" ht="34.5" customHeight="1">
      <c r="A17" s="5">
        <v>12</v>
      </c>
      <c r="B17" s="149" t="s">
        <v>137</v>
      </c>
      <c r="C17" s="150"/>
      <c r="D17" s="170" t="s">
        <v>148</v>
      </c>
      <c r="E17" s="171"/>
      <c r="F17" s="172"/>
      <c r="G17" s="101" t="s">
        <v>103</v>
      </c>
      <c r="H17" s="102">
        <v>1</v>
      </c>
      <c r="I17" s="103">
        <v>242</v>
      </c>
      <c r="J17" s="103">
        <f t="shared" si="1"/>
        <v>242</v>
      </c>
      <c r="K17" s="104"/>
      <c r="L17" s="127" t="s">
        <v>146</v>
      </c>
      <c r="S17" s="99"/>
    </row>
    <row r="18" spans="1:22" ht="34.5" customHeight="1">
      <c r="A18" s="5">
        <v>13</v>
      </c>
      <c r="B18" s="149" t="s">
        <v>138</v>
      </c>
      <c r="C18" s="150"/>
      <c r="D18" s="170" t="s">
        <v>149</v>
      </c>
      <c r="E18" s="171"/>
      <c r="F18" s="172"/>
      <c r="G18" s="101" t="s">
        <v>103</v>
      </c>
      <c r="H18" s="102">
        <v>1</v>
      </c>
      <c r="I18" s="103">
        <v>280</v>
      </c>
      <c r="J18" s="103">
        <f t="shared" si="1"/>
        <v>280</v>
      </c>
      <c r="K18" s="104"/>
      <c r="L18" s="127" t="s">
        <v>146</v>
      </c>
      <c r="S18" s="99"/>
    </row>
    <row r="19" spans="1:22" ht="34.5" customHeight="1">
      <c r="A19" s="121"/>
      <c r="B19" s="122"/>
      <c r="C19" s="123"/>
      <c r="D19" s="118"/>
      <c r="E19" s="118"/>
      <c r="F19" s="118"/>
      <c r="G19" s="124"/>
      <c r="H19" s="125"/>
      <c r="I19" s="104" t="s">
        <v>144</v>
      </c>
      <c r="J19" s="103">
        <v>-5494</v>
      </c>
      <c r="K19" s="104"/>
      <c r="L19" s="105"/>
      <c r="S19" s="99"/>
    </row>
    <row r="20" spans="1:22" ht="22.5" customHeight="1">
      <c r="A20" s="176" t="s">
        <v>8</v>
      </c>
      <c r="B20" s="177"/>
      <c r="C20" s="107"/>
      <c r="D20" s="108"/>
      <c r="E20" s="108"/>
      <c r="F20" s="108"/>
      <c r="G20" s="109"/>
      <c r="H20" s="109"/>
      <c r="I20" s="110" t="s">
        <v>9</v>
      </c>
      <c r="J20" s="103">
        <f>SUM(J6:J19)</f>
        <v>104379</v>
      </c>
      <c r="K20" s="103"/>
      <c r="L20" s="111"/>
    </row>
    <row r="21" spans="1:22" ht="20.100000000000001" customHeight="1">
      <c r="A21" s="6" t="s">
        <v>10</v>
      </c>
      <c r="B21" s="7"/>
      <c r="C21" s="7"/>
      <c r="D21" s="7"/>
      <c r="E21" s="7"/>
      <c r="F21" s="7"/>
      <c r="G21" s="7"/>
      <c r="H21" s="7"/>
      <c r="I21" s="7"/>
      <c r="J21" s="7"/>
      <c r="K21" s="8"/>
      <c r="L21" s="9"/>
    </row>
    <row r="22" spans="1:22" ht="18" customHeight="1">
      <c r="A22" s="10"/>
      <c r="J22" s="1"/>
      <c r="K22" s="1"/>
      <c r="O22" s="11"/>
      <c r="P22" s="11"/>
      <c r="Q22" s="11"/>
      <c r="S22" s="178" t="s">
        <v>11</v>
      </c>
      <c r="T22" s="12" t="s">
        <v>12</v>
      </c>
      <c r="U22" s="13" t="s">
        <v>13</v>
      </c>
      <c r="V22" s="12" t="s">
        <v>14</v>
      </c>
    </row>
    <row r="23" spans="1:22" ht="50.1" customHeight="1">
      <c r="S23" s="179"/>
      <c r="T23" s="14"/>
      <c r="U23" s="15"/>
      <c r="V23" s="14"/>
    </row>
    <row r="24" spans="1:22" ht="17.100000000000001" customHeight="1">
      <c r="O24" s="11"/>
      <c r="P24" s="11"/>
      <c r="Q24" s="11"/>
      <c r="S24" s="180"/>
      <c r="T24" s="15" t="s">
        <v>15</v>
      </c>
      <c r="U24" s="15" t="s">
        <v>15</v>
      </c>
      <c r="V24" s="16" t="s">
        <v>15</v>
      </c>
    </row>
    <row r="25" spans="1:22" ht="15" customHeight="1">
      <c r="O25" s="17" t="s">
        <v>16</v>
      </c>
      <c r="P25" s="181" t="s">
        <v>17</v>
      </c>
      <c r="Q25" s="181" t="s">
        <v>18</v>
      </c>
    </row>
    <row r="26" spans="1:22" ht="18" customHeight="1">
      <c r="O26" s="18" t="s">
        <v>19</v>
      </c>
      <c r="P26" s="182"/>
      <c r="Q26" s="182"/>
      <c r="S26" s="178" t="s">
        <v>20</v>
      </c>
      <c r="T26" s="12" t="s">
        <v>12</v>
      </c>
      <c r="U26" s="12" t="s">
        <v>13</v>
      </c>
      <c r="V26" s="12" t="s">
        <v>14</v>
      </c>
    </row>
    <row r="27" spans="1:22" ht="50.1" customHeight="1">
      <c r="O27" s="14"/>
      <c r="P27" s="14"/>
      <c r="Q27" s="14"/>
      <c r="S27" s="179"/>
      <c r="T27" s="19"/>
      <c r="U27" s="19"/>
      <c r="V27" s="14"/>
    </row>
    <row r="28" spans="1:22" ht="17.100000000000001" customHeight="1">
      <c r="O28" s="16" t="s">
        <v>15</v>
      </c>
      <c r="P28" s="16" t="s">
        <v>15</v>
      </c>
      <c r="Q28" s="16" t="s">
        <v>15</v>
      </c>
      <c r="S28" s="180"/>
      <c r="T28" s="15" t="s">
        <v>15</v>
      </c>
      <c r="U28" s="15" t="s">
        <v>15</v>
      </c>
      <c r="V28" s="16" t="s">
        <v>15</v>
      </c>
    </row>
    <row r="29" spans="1:22" ht="9.9499999999999993" customHeight="1"/>
    <row r="30" spans="1:22" ht="19.899999999999999" customHeight="1"/>
    <row r="31" spans="1:22" ht="17.45" customHeight="1">
      <c r="O31" s="183"/>
      <c r="P31" s="183"/>
      <c r="Q31" s="183"/>
    </row>
    <row r="32" spans="1:22" ht="19.899999999999999" customHeight="1">
      <c r="O32" s="183"/>
      <c r="P32" s="183"/>
      <c r="Q32" s="183"/>
    </row>
    <row r="33" spans="15:20" ht="14.25">
      <c r="O33" s="11"/>
      <c r="P33" s="11"/>
      <c r="Q33" s="11"/>
    </row>
    <row r="34" spans="15:20" ht="65.099999999999994" customHeight="1"/>
    <row r="35" spans="15:20" ht="14.25">
      <c r="O35" s="11"/>
      <c r="P35" s="11"/>
      <c r="Q35" s="11"/>
    </row>
    <row r="36" spans="15:20" ht="19.899999999999999" customHeight="1"/>
    <row r="37" spans="15:20" ht="14.25"/>
    <row r="38" spans="15:20" ht="19.899999999999999" customHeight="1"/>
    <row r="39" spans="15:20" ht="14.25"/>
    <row r="40" spans="15:20" ht="19.899999999999999" customHeight="1"/>
    <row r="41" spans="15:20" ht="19.899999999999999" customHeight="1"/>
    <row r="42" spans="15:20" ht="64.900000000000006" customHeight="1"/>
    <row r="44" spans="15:20" ht="19.899999999999999" customHeight="1">
      <c r="T44" s="181" t="s">
        <v>21</v>
      </c>
    </row>
    <row r="45" spans="15:20" ht="19.899999999999999" customHeight="1">
      <c r="T45" s="182"/>
    </row>
    <row r="46" spans="15:20" ht="64.900000000000006" customHeight="1">
      <c r="T46" s="14"/>
    </row>
    <row r="50" spans="15:22" ht="21" customHeight="1">
      <c r="O50" s="181" t="s">
        <v>21</v>
      </c>
      <c r="P50" s="181" t="s">
        <v>21</v>
      </c>
      <c r="Q50" s="181" t="s">
        <v>21</v>
      </c>
      <c r="T50" s="181" t="s">
        <v>22</v>
      </c>
      <c r="U50" s="181" t="s">
        <v>13</v>
      </c>
      <c r="V50" s="181" t="s">
        <v>21</v>
      </c>
    </row>
    <row r="51" spans="15:22" ht="21" customHeight="1">
      <c r="O51" s="182"/>
      <c r="P51" s="182"/>
      <c r="Q51" s="182"/>
      <c r="T51" s="180"/>
      <c r="U51" s="180"/>
      <c r="V51" s="182"/>
    </row>
    <row r="52" spans="15:22" ht="64.900000000000006" customHeight="1">
      <c r="O52" s="14"/>
      <c r="P52" s="14"/>
      <c r="Q52" s="14"/>
      <c r="T52" s="14"/>
      <c r="U52" s="15"/>
      <c r="V52" s="14"/>
    </row>
    <row r="53" spans="15:22" ht="7.15" customHeight="1"/>
    <row r="54" spans="15:22" ht="21" customHeight="1">
      <c r="O54" s="181" t="s">
        <v>21</v>
      </c>
      <c r="P54" s="181" t="s">
        <v>21</v>
      </c>
      <c r="Q54" s="181" t="s">
        <v>21</v>
      </c>
      <c r="T54" s="181" t="s">
        <v>13</v>
      </c>
      <c r="U54" s="181" t="s">
        <v>22</v>
      </c>
      <c r="V54" s="181" t="s">
        <v>21</v>
      </c>
    </row>
    <row r="55" spans="15:22" ht="21" customHeight="1">
      <c r="O55" s="182"/>
      <c r="P55" s="182"/>
      <c r="Q55" s="182"/>
      <c r="T55" s="180"/>
      <c r="U55" s="180"/>
      <c r="V55" s="182"/>
    </row>
    <row r="56" spans="15:22" ht="64.900000000000006" customHeight="1">
      <c r="O56" s="14"/>
      <c r="P56" s="14"/>
      <c r="Q56" s="14"/>
      <c r="T56" s="15"/>
      <c r="U56" s="14"/>
      <c r="V56" s="14"/>
    </row>
  </sheetData>
  <mergeCells count="59">
    <mergeCell ref="U50:U51"/>
    <mergeCell ref="V50:V51"/>
    <mergeCell ref="O54:O55"/>
    <mergeCell ref="P54:P55"/>
    <mergeCell ref="Q54:Q55"/>
    <mergeCell ref="T54:T55"/>
    <mergeCell ref="U54:U55"/>
    <mergeCell ref="V54:V55"/>
    <mergeCell ref="O31:O32"/>
    <mergeCell ref="P31:P32"/>
    <mergeCell ref="Q31:Q32"/>
    <mergeCell ref="T44:T45"/>
    <mergeCell ref="O50:O51"/>
    <mergeCell ref="P50:P51"/>
    <mergeCell ref="Q50:Q51"/>
    <mergeCell ref="T50:T51"/>
    <mergeCell ref="B14:C14"/>
    <mergeCell ref="D14:F14"/>
    <mergeCell ref="A20:B20"/>
    <mergeCell ref="S22:S24"/>
    <mergeCell ref="P25:P26"/>
    <mergeCell ref="Q25:Q26"/>
    <mergeCell ref="S26:S28"/>
    <mergeCell ref="D16:F16"/>
    <mergeCell ref="D17:F17"/>
    <mergeCell ref="D18:F18"/>
    <mergeCell ref="D15:F15"/>
    <mergeCell ref="B11:C11"/>
    <mergeCell ref="D11:F11"/>
    <mergeCell ref="B12:C12"/>
    <mergeCell ref="D12:F12"/>
    <mergeCell ref="B13:C13"/>
    <mergeCell ref="D13:F13"/>
    <mergeCell ref="D8:F8"/>
    <mergeCell ref="B9:C9"/>
    <mergeCell ref="D9:F9"/>
    <mergeCell ref="B10:C10"/>
    <mergeCell ref="D10:F10"/>
    <mergeCell ref="A4:A5"/>
    <mergeCell ref="B4:C5"/>
    <mergeCell ref="D4:F5"/>
    <mergeCell ref="G4:G5"/>
    <mergeCell ref="H4:H5"/>
    <mergeCell ref="B15:C15"/>
    <mergeCell ref="B16:C16"/>
    <mergeCell ref="B17:C17"/>
    <mergeCell ref="B18:C18"/>
    <mergeCell ref="J1:L1"/>
    <mergeCell ref="E3:I3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8"/>
  <sheetViews>
    <sheetView showGridLines="0" view="pageBreakPreview" zoomScale="70" zoomScaleNormal="95" zoomScaleSheetLayoutView="70" workbookViewId="0">
      <pane ySplit="5" topLeftCell="A13" activePane="bottomLeft" state="frozen"/>
      <selection activeCell="D30" sqref="D30"/>
      <selection pane="bottomLeft" activeCell="H18" sqref="H18"/>
    </sheetView>
  </sheetViews>
  <sheetFormatPr defaultColWidth="9" defaultRowHeight="21" customHeight="1"/>
  <cols>
    <col min="1" max="1" width="7.4257812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3" t="s">
        <v>98</v>
      </c>
      <c r="B1" s="93"/>
      <c r="C1" s="93"/>
      <c r="D1" s="93"/>
      <c r="E1" s="93"/>
      <c r="F1" s="93"/>
      <c r="G1" s="1"/>
      <c r="J1" s="151" t="str">
        <f>+MRS!J1</f>
        <v>DAESHIN PLANT</v>
      </c>
      <c r="K1" s="153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20"/>
      <c r="H2" s="20"/>
      <c r="I2" s="20"/>
      <c r="J2" s="167" t="str">
        <f>+MRS!J2</f>
        <v>Subcontract name (SAC2-SC-IK-SMP-01)</v>
      </c>
      <c r="K2" s="169"/>
    </row>
    <row r="3" spans="1:18" ht="24.95" customHeight="1">
      <c r="A3" s="3" t="str">
        <f>+MRS!A3</f>
        <v xml:space="preserve">  MRS No : SAC2-DS-MRS-0329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46184</v>
      </c>
    </row>
    <row r="4" spans="1:18" ht="15.95" customHeight="1">
      <c r="A4" s="189" t="s">
        <v>2</v>
      </c>
      <c r="B4" s="190" t="s">
        <v>23</v>
      </c>
      <c r="C4" s="190"/>
      <c r="D4" s="189" t="s">
        <v>4</v>
      </c>
      <c r="E4" s="189"/>
      <c r="F4" s="189"/>
      <c r="G4" s="190" t="s">
        <v>5</v>
      </c>
      <c r="H4" s="189" t="s">
        <v>93</v>
      </c>
      <c r="I4" s="189" t="s">
        <v>24</v>
      </c>
      <c r="J4" s="189" t="s">
        <v>25</v>
      </c>
      <c r="K4" s="190" t="s">
        <v>7</v>
      </c>
    </row>
    <row r="5" spans="1:18" ht="15.95" customHeight="1">
      <c r="A5" s="189"/>
      <c r="B5" s="190"/>
      <c r="C5" s="190"/>
      <c r="D5" s="189"/>
      <c r="E5" s="189"/>
      <c r="F5" s="189"/>
      <c r="G5" s="190"/>
      <c r="H5" s="189"/>
      <c r="I5" s="189"/>
      <c r="J5" s="189"/>
      <c r="K5" s="190"/>
    </row>
    <row r="6" spans="1:18" ht="105" customHeight="1">
      <c r="A6" s="21">
        <f>+MRS!A6</f>
        <v>1</v>
      </c>
      <c r="B6" s="184" t="str">
        <f>MRS!B6</f>
        <v>Atlas Copco Air Operated HydraulicTorque Pump model A380-3-4- FF, Max Pressure 700 Bar with Remote Pendant
Control</v>
      </c>
      <c r="C6" s="185"/>
      <c r="D6" s="186">
        <f>MRS!D6</f>
        <v>8434204023</v>
      </c>
      <c r="E6" s="187"/>
      <c r="F6" s="188"/>
      <c r="G6" s="96" t="str">
        <f>MRS!G6</f>
        <v>EA</v>
      </c>
      <c r="H6" s="96">
        <f>MRS!H6</f>
        <v>1</v>
      </c>
      <c r="I6" s="97">
        <f>MRS!I6</f>
        <v>30860</v>
      </c>
      <c r="J6" s="97">
        <f>MRS!J6</f>
        <v>30860</v>
      </c>
      <c r="K6" s="98"/>
      <c r="O6" s="99"/>
      <c r="P6" s="99"/>
      <c r="R6" s="99"/>
    </row>
    <row r="7" spans="1:18" ht="105" customHeight="1">
      <c r="A7" s="21">
        <f>+MRS!A7</f>
        <v>2</v>
      </c>
      <c r="B7" s="184" t="str">
        <f>MRS!B7</f>
        <v>4.5 M long hydraulic twin line hose,700 BAR</v>
      </c>
      <c r="C7" s="185"/>
      <c r="D7" s="186">
        <f>MRS!D7</f>
        <v>8434205008</v>
      </c>
      <c r="E7" s="187"/>
      <c r="F7" s="188"/>
      <c r="G7" s="96" t="str">
        <f>MRS!G7</f>
        <v>EA</v>
      </c>
      <c r="H7" s="96">
        <f>MRS!H7</f>
        <v>2</v>
      </c>
      <c r="I7" s="97">
        <f>MRS!I7</f>
        <v>1625</v>
      </c>
      <c r="J7" s="97">
        <f>MRS!J7</f>
        <v>3250</v>
      </c>
      <c r="K7" s="98"/>
      <c r="O7" s="99"/>
      <c r="P7" s="99"/>
      <c r="R7" s="99"/>
    </row>
    <row r="8" spans="1:18" ht="105" customHeight="1">
      <c r="A8" s="21">
        <f>+MRS!A8</f>
        <v>3</v>
      </c>
      <c r="B8" s="184" t="str">
        <f>MRS!B8</f>
        <v>Atlas Copco TFX series hydraulic torque wrench model TFX-02 Powerhead, with a Torque capacity of 348-2318 Nm, supplied with a safet   handle in a car   in   case</v>
      </c>
      <c r="C8" s="185"/>
      <c r="D8" s="186">
        <f>MRS!D8</f>
        <v>8434241975</v>
      </c>
      <c r="E8" s="187"/>
      <c r="F8" s="188"/>
      <c r="G8" s="96" t="str">
        <f>MRS!G8</f>
        <v>EA</v>
      </c>
      <c r="H8" s="96">
        <f>MRS!H8</f>
        <v>1</v>
      </c>
      <c r="I8" s="97">
        <f>MRS!I8</f>
        <v>8724</v>
      </c>
      <c r="J8" s="97">
        <f>MRS!J8</f>
        <v>8724</v>
      </c>
      <c r="K8" s="98"/>
      <c r="O8" s="99"/>
      <c r="P8" s="99"/>
      <c r="R8" s="99"/>
    </row>
    <row r="9" spans="1:18" ht="105" customHeight="1">
      <c r="A9" s="21">
        <f>+MRS!A9</f>
        <v>4</v>
      </c>
      <c r="B9" s="184" t="str">
        <f>MRS!B9</f>
        <v>Ratchet Link, TL02-110/41MM-1-5/8"</v>
      </c>
      <c r="C9" s="185"/>
      <c r="D9" s="186">
        <f>MRS!D9</f>
        <v>8434241766</v>
      </c>
      <c r="E9" s="187"/>
      <c r="F9" s="188"/>
      <c r="G9" s="96" t="str">
        <f>MRS!G9</f>
        <v>EA</v>
      </c>
      <c r="H9" s="96">
        <f>MRS!H9</f>
        <v>1</v>
      </c>
      <c r="I9" s="97">
        <f>MRS!I9</f>
        <v>6610</v>
      </c>
      <c r="J9" s="97">
        <f>MRS!J9</f>
        <v>6610</v>
      </c>
      <c r="K9" s="98"/>
      <c r="O9" s="99"/>
      <c r="P9" s="99"/>
      <c r="R9" s="99"/>
    </row>
    <row r="10" spans="1:18" ht="105" customHeight="1">
      <c r="A10" s="21">
        <f>+MRS!A10</f>
        <v>5</v>
      </c>
      <c r="B10" s="184" t="str">
        <f>MRS!B10</f>
        <v xml:space="preserve">Ratchet Link, TL02-113/46MM-1-13/16"            </v>
      </c>
      <c r="C10" s="185"/>
      <c r="D10" s="186">
        <f>MRS!D10</f>
        <v>8434241767</v>
      </c>
      <c r="E10" s="187"/>
      <c r="F10" s="188"/>
      <c r="G10" s="96" t="str">
        <f>MRS!G10</f>
        <v>EA</v>
      </c>
      <c r="H10" s="96">
        <f>MRS!H10</f>
        <v>1</v>
      </c>
      <c r="I10" s="97">
        <f>MRS!I10</f>
        <v>6610</v>
      </c>
      <c r="J10" s="97">
        <f>MRS!J10</f>
        <v>6610</v>
      </c>
      <c r="K10" s="98"/>
      <c r="O10" s="99"/>
      <c r="P10" s="99"/>
      <c r="R10" s="99"/>
    </row>
    <row r="11" spans="1:18" ht="105" customHeight="1">
      <c r="A11" s="21">
        <f>+MRS!A11</f>
        <v>6</v>
      </c>
      <c r="B11" s="184" t="str">
        <f>MRS!B11</f>
        <v>Atlas Copco TFX series hydraulic torque wrench model TFX-04 Powerhead, with a Torque capacity of 784-5227 Nm, supplied with a safet   handle in a car   in   case</v>
      </c>
      <c r="C11" s="185"/>
      <c r="D11" s="186">
        <f>MRS!D11</f>
        <v>8434241976</v>
      </c>
      <c r="E11" s="187"/>
      <c r="F11" s="188"/>
      <c r="G11" s="96" t="str">
        <f>MRS!G11</f>
        <v>EA</v>
      </c>
      <c r="H11" s="96">
        <f>MRS!H11</f>
        <v>1</v>
      </c>
      <c r="I11" s="97">
        <f>MRS!I11</f>
        <v>11147</v>
      </c>
      <c r="J11" s="97">
        <f>MRS!J11</f>
        <v>11147</v>
      </c>
      <c r="K11" s="98"/>
      <c r="O11" s="99"/>
      <c r="P11" s="99"/>
      <c r="R11" s="99"/>
    </row>
    <row r="12" spans="1:18" ht="105" customHeight="1">
      <c r="A12" s="21">
        <f>+MRS!A12</f>
        <v>7</v>
      </c>
      <c r="B12" s="184" t="str">
        <f>MRS!B12</f>
        <v>Ratchet Link, TL04-203/55MM-2-3/16"</v>
      </c>
      <c r="C12" s="185"/>
      <c r="D12" s="186">
        <f>MRS!D12</f>
        <v>8434241775</v>
      </c>
      <c r="E12" s="187"/>
      <c r="F12" s="188"/>
      <c r="G12" s="96" t="str">
        <f>MRS!G12</f>
        <v>EA</v>
      </c>
      <c r="H12" s="96">
        <f>MRS!H12</f>
        <v>1</v>
      </c>
      <c r="I12" s="97">
        <f>MRS!I12</f>
        <v>9261</v>
      </c>
      <c r="J12" s="97">
        <f>MRS!J12</f>
        <v>9261</v>
      </c>
      <c r="K12" s="98"/>
      <c r="O12" s="99"/>
      <c r="P12" s="99"/>
      <c r="R12" s="99"/>
    </row>
    <row r="13" spans="1:18" ht="105" customHeight="1">
      <c r="A13" s="21">
        <f>+MRS!A13</f>
        <v>8</v>
      </c>
      <c r="B13" s="184" t="str">
        <f>MRS!B13</f>
        <v>Atlas Copco's Hydraulic Square Drive -3/4" model RT-01- with torque range of 283 NM to 1885 NM SU  lied in a carr  in   case</v>
      </c>
      <c r="C13" s="185"/>
      <c r="D13" s="186">
        <f>MRS!D13</f>
        <v>8434201002</v>
      </c>
      <c r="E13" s="187"/>
      <c r="F13" s="188"/>
      <c r="G13" s="96" t="str">
        <f>MRS!G13</f>
        <v>EA</v>
      </c>
      <c r="H13" s="96">
        <f>MRS!H13</f>
        <v>1</v>
      </c>
      <c r="I13" s="97">
        <f>MRS!I13</f>
        <v>14694</v>
      </c>
      <c r="J13" s="97">
        <f>MRS!J13</f>
        <v>14694</v>
      </c>
      <c r="K13" s="98"/>
      <c r="O13" s="99"/>
      <c r="P13" s="99"/>
      <c r="R13" s="99"/>
    </row>
    <row r="14" spans="1:18" ht="105" customHeight="1">
      <c r="A14" s="21">
        <f>+MRS!A14</f>
        <v>9</v>
      </c>
      <c r="B14" s="184" t="str">
        <f>MRS!B14</f>
        <v>Socket with 3/4" Drive 1-5/8" AF std</v>
      </c>
      <c r="C14" s="185"/>
      <c r="D14" s="186">
        <f>MRS!D14</f>
        <v>1226</v>
      </c>
      <c r="E14" s="187"/>
      <c r="F14" s="188"/>
      <c r="G14" s="96" t="str">
        <f>MRS!G14</f>
        <v>EA</v>
      </c>
      <c r="H14" s="96">
        <f>MRS!H14</f>
        <v>1</v>
      </c>
      <c r="I14" s="97">
        <f>MRS!I14</f>
        <v>128</v>
      </c>
      <c r="J14" s="97">
        <f>MRS!J14</f>
        <v>128</v>
      </c>
      <c r="K14" s="98"/>
      <c r="O14" s="99"/>
      <c r="P14" s="99"/>
      <c r="R14" s="99"/>
    </row>
    <row r="15" spans="1:18" ht="105" customHeight="1">
      <c r="A15" s="21">
        <f>+MRS!A15</f>
        <v>10</v>
      </c>
      <c r="B15" s="184" t="str">
        <f>MRS!B15</f>
        <v xml:space="preserve">Socket with 3/4" Drive 1-13/16" AF std     </v>
      </c>
      <c r="C15" s="185"/>
      <c r="D15" s="186">
        <f>MRS!D15</f>
        <v>1229</v>
      </c>
      <c r="E15" s="187"/>
      <c r="F15" s="188"/>
      <c r="G15" s="96" t="str">
        <f>MRS!G15</f>
        <v>EA</v>
      </c>
      <c r="H15" s="96">
        <f>MRS!H15</f>
        <v>1</v>
      </c>
      <c r="I15" s="97">
        <f>MRS!I15</f>
        <v>162</v>
      </c>
      <c r="J15" s="97">
        <f>MRS!J15</f>
        <v>162</v>
      </c>
      <c r="K15" s="98"/>
      <c r="O15" s="99"/>
      <c r="P15" s="99"/>
      <c r="R15" s="99"/>
    </row>
    <row r="16" spans="1:18" ht="105" customHeight="1">
      <c r="A16" s="21">
        <f>+MRS!A16</f>
        <v>11</v>
      </c>
      <c r="B16" s="184" t="str">
        <f>MRS!B16</f>
        <v>Atlas Copco's Hydraulic Square Drive -1" model RT-03 with torque range of 657 NM to 4379 NM su    lied in a car   in   case</v>
      </c>
      <c r="C16" s="185"/>
      <c r="D16" s="186">
        <f>MRS!D16</f>
        <v>8434201005</v>
      </c>
      <c r="E16" s="187"/>
      <c r="F16" s="188"/>
      <c r="G16" s="96" t="str">
        <f>MRS!G16</f>
        <v>EA</v>
      </c>
      <c r="H16" s="96">
        <f>MRS!H16</f>
        <v>1</v>
      </c>
      <c r="I16" s="97">
        <f>MRS!I16</f>
        <v>17905</v>
      </c>
      <c r="J16" s="97">
        <f>MRS!J16</f>
        <v>17905</v>
      </c>
      <c r="K16" s="98"/>
      <c r="O16" s="99"/>
      <c r="P16" s="99"/>
      <c r="R16" s="99"/>
    </row>
    <row r="17" spans="1:18" ht="105" customHeight="1">
      <c r="A17" s="21">
        <f>+MRS!A17</f>
        <v>12</v>
      </c>
      <c r="B17" s="184" t="str">
        <f>MRS!B17</f>
        <v>Socket with 1" Drive 2" AF std</v>
      </c>
      <c r="C17" s="185"/>
      <c r="D17" s="186" t="str">
        <f>MRS!D17</f>
        <v>16 32</v>
      </c>
      <c r="E17" s="187"/>
      <c r="F17" s="188"/>
      <c r="G17" s="96" t="str">
        <f>MRS!G17</f>
        <v>EA</v>
      </c>
      <c r="H17" s="96">
        <f>MRS!H17</f>
        <v>1</v>
      </c>
      <c r="I17" s="97">
        <f>MRS!I17</f>
        <v>242</v>
      </c>
      <c r="J17" s="97">
        <f>MRS!J17</f>
        <v>242</v>
      </c>
      <c r="K17" s="98"/>
      <c r="O17" s="99"/>
      <c r="P17" s="99"/>
      <c r="R17" s="99"/>
    </row>
    <row r="18" spans="1:18" ht="105" customHeight="1">
      <c r="A18" s="21">
        <f>+MRS!A18</f>
        <v>13</v>
      </c>
      <c r="B18" s="184" t="str">
        <f>MRS!B18</f>
        <v xml:space="preserve">Socket with 1" Drive 2-3/16" AF std </v>
      </c>
      <c r="C18" s="185"/>
      <c r="D18" s="186" t="str">
        <f>MRS!D18</f>
        <v>16 35</v>
      </c>
      <c r="E18" s="187"/>
      <c r="F18" s="188"/>
      <c r="G18" s="96" t="str">
        <f>MRS!G18</f>
        <v>EA</v>
      </c>
      <c r="H18" s="96">
        <f>MRS!H18</f>
        <v>1</v>
      </c>
      <c r="I18" s="97">
        <f>MRS!I18</f>
        <v>280</v>
      </c>
      <c r="J18" s="97">
        <f>MRS!J18</f>
        <v>280</v>
      </c>
      <c r="K18" s="98"/>
      <c r="O18" s="99"/>
      <c r="P18" s="99"/>
      <c r="R18" s="99"/>
    </row>
  </sheetData>
  <mergeCells count="36">
    <mergeCell ref="B17:C17"/>
    <mergeCell ref="D17:F17"/>
    <mergeCell ref="B14:C14"/>
    <mergeCell ref="D14:F14"/>
    <mergeCell ref="B15:C15"/>
    <mergeCell ref="D15:F15"/>
    <mergeCell ref="B16:C16"/>
    <mergeCell ref="D16:F16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18:C18"/>
    <mergeCell ref="D18:F1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14" zoomScale="130" zoomScaleSheetLayoutView="130" workbookViewId="0">
      <selection activeCell="Q40" sqref="Q4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3.285156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126</v>
      </c>
      <c r="D9" s="39"/>
      <c r="E9" s="39"/>
    </row>
    <row r="10" spans="2:13" s="39" customFormat="1">
      <c r="B10" s="72"/>
      <c r="C10" s="39" t="s">
        <v>33</v>
      </c>
      <c r="D10" s="76" t="s">
        <v>105</v>
      </c>
      <c r="J10" s="39" t="s">
        <v>34</v>
      </c>
      <c r="K10" s="191">
        <f>MRS!L3</f>
        <v>46184</v>
      </c>
      <c r="L10" s="192"/>
      <c r="M10" s="192"/>
    </row>
    <row r="11" spans="2:13" s="39" customFormat="1">
      <c r="B11" s="72"/>
      <c r="C11" s="75" t="s">
        <v>35</v>
      </c>
      <c r="D11" s="76" t="s">
        <v>106</v>
      </c>
      <c r="J11" s="39" t="s">
        <v>36</v>
      </c>
      <c r="K11" s="193" t="str">
        <f>SUBSTITUTE(SUBSTITUTE(+MRS!A3,"  MRS No : ",""),"-MRS","-PO")</f>
        <v>SAC2-DS-PO-0329</v>
      </c>
      <c r="L11" s="193"/>
      <c r="M11" s="193"/>
    </row>
    <row r="12" spans="2:13" s="39" customFormat="1">
      <c r="B12" s="72"/>
      <c r="C12" s="75" t="s">
        <v>37</v>
      </c>
      <c r="D12" s="39" t="s">
        <v>107</v>
      </c>
      <c r="J12" s="39" t="s">
        <v>38</v>
      </c>
    </row>
    <row r="13" spans="2:13" s="39" customFormat="1">
      <c r="B13" s="72"/>
      <c r="C13" s="77"/>
      <c r="D13" s="76" t="s">
        <v>108</v>
      </c>
      <c r="J13" s="39" t="s">
        <v>39</v>
      </c>
    </row>
    <row r="14" spans="2:13" s="39" customFormat="1">
      <c r="B14" s="72"/>
      <c r="C14" s="77" t="s">
        <v>110</v>
      </c>
      <c r="J14" s="39" t="s">
        <v>40</v>
      </c>
      <c r="K14" s="76" t="s">
        <v>127</v>
      </c>
    </row>
    <row r="15" spans="2:13" s="39" customFormat="1">
      <c r="B15" s="72"/>
      <c r="C15" s="77" t="s">
        <v>111</v>
      </c>
      <c r="J15" s="39" t="s">
        <v>41</v>
      </c>
      <c r="K15" s="78">
        <v>46157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94" t="s">
        <v>42</v>
      </c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</row>
    <row r="19" spans="2:13" ht="12" customHeight="1"/>
    <row r="20" spans="2:13" s="31" customFormat="1" ht="12" customHeight="1">
      <c r="B20" s="195" t="s">
        <v>43</v>
      </c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</row>
    <row r="21" spans="2:13" s="31" customFormat="1" ht="12" customHeight="1">
      <c r="B21" s="195" t="s">
        <v>44</v>
      </c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</row>
    <row r="22" spans="2:13" s="31" customFormat="1" ht="12" customHeight="1">
      <c r="B22" s="195" t="s">
        <v>45</v>
      </c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</row>
    <row r="23" spans="2:13" ht="6.95" customHeight="1"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</row>
    <row r="24" spans="2:13" ht="6.95" customHeight="1"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120" t="s">
        <v>147</v>
      </c>
      <c r="M26" s="119" t="s">
        <v>47</v>
      </c>
    </row>
    <row r="27" spans="2:13" ht="11.1" customHeight="1">
      <c r="B27" s="32"/>
      <c r="C27" s="22"/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98" t="s">
        <v>145</v>
      </c>
      <c r="G29" s="198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98"/>
      <c r="G30" s="198"/>
    </row>
    <row r="31" spans="2:13" ht="12" customHeight="1">
      <c r="B31" s="32"/>
      <c r="C31" s="26" t="s">
        <v>52</v>
      </c>
      <c r="D31" s="35"/>
      <c r="E31" s="26" t="s">
        <v>50</v>
      </c>
      <c r="F31" s="198"/>
      <c r="G31" s="198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11.1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11.1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79" t="s">
        <v>66</v>
      </c>
      <c r="C49" s="80" t="s">
        <v>102</v>
      </c>
      <c r="P49" s="81"/>
    </row>
    <row r="50" spans="2:16" s="82" customFormat="1" ht="12" customHeight="1">
      <c r="B50" s="83" t="s">
        <v>66</v>
      </c>
      <c r="C50" s="80" t="s">
        <v>95</v>
      </c>
    </row>
    <row r="51" spans="2:16" s="82" customFormat="1" ht="12" customHeight="1">
      <c r="B51" s="83" t="s">
        <v>66</v>
      </c>
      <c r="C51" s="80" t="s">
        <v>94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112</v>
      </c>
    </row>
    <row r="54" spans="2:16" ht="12" customHeight="1">
      <c r="B54" s="83" t="s">
        <v>66</v>
      </c>
      <c r="C54" s="116" t="s">
        <v>113</v>
      </c>
      <c r="F54" s="26" t="s">
        <v>121</v>
      </c>
      <c r="P54" s="26" t="str">
        <f>UPPER(F54)</f>
        <v>ATLAS INDUSTRIAL EQUIPMENT CO.</v>
      </c>
    </row>
    <row r="55" spans="2:16" ht="12" customHeight="1">
      <c r="B55" s="83" t="s">
        <v>66</v>
      </c>
      <c r="C55" s="116" t="s">
        <v>114</v>
      </c>
      <c r="F55" s="117" t="s">
        <v>125</v>
      </c>
    </row>
    <row r="56" spans="2:16" ht="12" customHeight="1">
      <c r="B56" s="83" t="s">
        <v>66</v>
      </c>
      <c r="C56" s="116" t="s">
        <v>115</v>
      </c>
      <c r="F56" s="26" t="s">
        <v>122</v>
      </c>
    </row>
    <row r="57" spans="2:16" ht="12" customHeight="1">
      <c r="B57" s="83" t="s">
        <v>66</v>
      </c>
      <c r="C57" s="116" t="s">
        <v>116</v>
      </c>
      <c r="F57" s="26" t="s">
        <v>124</v>
      </c>
    </row>
    <row r="58" spans="2:16" ht="12" customHeight="1">
      <c r="B58" s="83" t="s">
        <v>66</v>
      </c>
      <c r="C58" s="116" t="s">
        <v>117</v>
      </c>
      <c r="F58" s="26" t="s">
        <v>123</v>
      </c>
    </row>
    <row r="59" spans="2:16" ht="12" customHeight="1">
      <c r="B59" s="83" t="s">
        <v>66</v>
      </c>
      <c r="C59" s="116" t="s">
        <v>118</v>
      </c>
      <c r="F59" s="26" t="s">
        <v>119</v>
      </c>
    </row>
    <row r="60" spans="2:16" ht="12" customHeight="1">
      <c r="B60" s="83"/>
      <c r="C60" s="116" t="s">
        <v>120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46.5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Muhammed Hidayat</v>
      </c>
    </row>
    <row r="68" spans="1:13" ht="18" customHeight="1">
      <c r="B68" s="26" t="s">
        <v>72</v>
      </c>
      <c r="J68" s="26" t="s">
        <v>73</v>
      </c>
      <c r="K68" s="22" t="s">
        <v>109</v>
      </c>
    </row>
    <row r="69" spans="1:13" ht="15" customHeight="1">
      <c r="B69" s="26" t="s">
        <v>74</v>
      </c>
      <c r="J69" s="26" t="s">
        <v>75</v>
      </c>
    </row>
    <row r="70" spans="1:13" s="28" customFormat="1" ht="15" customHeight="1">
      <c r="B70" s="25" t="s">
        <v>76</v>
      </c>
      <c r="J70" s="115" t="str">
        <f>C9</f>
        <v>AIEC(Atlas Industrial Equipment Company)</v>
      </c>
    </row>
    <row r="71" spans="1:13" ht="14.25" customHeight="1">
      <c r="A71" s="148" t="s">
        <v>77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1"/>
  <sheetViews>
    <sheetView showGridLines="0" view="pageBreakPreview" topLeftCell="A11" zoomScaleSheetLayoutView="100" zoomScalePageLayoutView="55" workbookViewId="0">
      <selection activeCell="K21" sqref="K21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SAC2-DS-PO-0329</v>
      </c>
      <c r="C2" s="130" t="s">
        <v>79</v>
      </c>
      <c r="D2" s="130"/>
      <c r="E2" s="130"/>
      <c r="F2" s="130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46184</v>
      </c>
      <c r="C3" s="51"/>
      <c r="D3" s="52"/>
      <c r="E3" s="131" t="s">
        <v>81</v>
      </c>
      <c r="F3" s="131"/>
      <c r="G3" s="131"/>
      <c r="H3" s="131"/>
      <c r="I3" s="53"/>
    </row>
    <row r="4" spans="1:13" s="55" customFormat="1" ht="28.5" customHeight="1" thickTop="1">
      <c r="A4" s="132" t="s">
        <v>82</v>
      </c>
      <c r="B4" s="134" t="s">
        <v>83</v>
      </c>
      <c r="C4" s="135"/>
      <c r="D4" s="138" t="s">
        <v>84</v>
      </c>
      <c r="E4" s="138" t="s">
        <v>85</v>
      </c>
      <c r="F4" s="140" t="str">
        <f>'PO 1st page'!C9</f>
        <v>AIEC(Atlas Industrial Equipment Company)</v>
      </c>
      <c r="G4" s="141"/>
      <c r="H4" s="142" t="s">
        <v>86</v>
      </c>
      <c r="K4" s="56"/>
      <c r="L4" s="56"/>
      <c r="M4" s="56"/>
    </row>
    <row r="5" spans="1:13" s="55" customFormat="1" ht="21.95" customHeight="1">
      <c r="A5" s="133"/>
      <c r="B5" s="136"/>
      <c r="C5" s="137"/>
      <c r="D5" s="139"/>
      <c r="E5" s="139"/>
      <c r="F5" s="57" t="s">
        <v>87</v>
      </c>
      <c r="G5" s="57" t="s">
        <v>52</v>
      </c>
      <c r="H5" s="143"/>
      <c r="K5" s="56"/>
      <c r="L5" s="56"/>
      <c r="M5" s="56"/>
    </row>
    <row r="6" spans="1:13" s="55" customFormat="1" ht="75" customHeight="1">
      <c r="A6" s="84">
        <f t="shared" ref="A6:A18" si="0">ROW(A1)</f>
        <v>1</v>
      </c>
      <c r="B6" s="128" t="str">
        <f>CONCATENATE(MRS!B6," ",MRS!D6)</f>
        <v>Atlas Copco Air Operated HydraulicTorque Pump model A380-3-4- FF, Max Pressure 700 Bar with Remote Pendant
Control 8434204023</v>
      </c>
      <c r="C6" s="129"/>
      <c r="D6" s="85" t="str">
        <f>+'MRS LIST'!G6</f>
        <v>EA</v>
      </c>
      <c r="E6" s="86">
        <f>+'MRS LIST'!H6</f>
        <v>1</v>
      </c>
      <c r="F6" s="87">
        <f>+'MRS LIST'!I6</f>
        <v>30860</v>
      </c>
      <c r="G6" s="88">
        <f>+'MRS LIST'!J6</f>
        <v>30860</v>
      </c>
      <c r="H6" s="89" t="str">
        <f>MRS!L6</f>
        <v>50% Down Payment</v>
      </c>
      <c r="K6" s="90"/>
      <c r="L6" s="91"/>
      <c r="M6" s="56"/>
    </row>
    <row r="7" spans="1:13" s="55" customFormat="1" ht="36" customHeight="1">
      <c r="A7" s="84">
        <f t="shared" si="0"/>
        <v>2</v>
      </c>
      <c r="B7" s="128" t="str">
        <f>CONCATENATE(MRS!B7," ",MRS!D7)</f>
        <v>4.5 M long hydraulic twin line hose,700 BAR 8434205008</v>
      </c>
      <c r="C7" s="129"/>
      <c r="D7" s="85" t="str">
        <f>+'MRS LIST'!G7</f>
        <v>EA</v>
      </c>
      <c r="E7" s="86">
        <f>+'MRS LIST'!H7</f>
        <v>2</v>
      </c>
      <c r="F7" s="87">
        <f>+'MRS LIST'!I7</f>
        <v>1625</v>
      </c>
      <c r="G7" s="88">
        <f>+'MRS LIST'!J7</f>
        <v>3250</v>
      </c>
      <c r="H7" s="89" t="str">
        <f>MRS!L7</f>
        <v>"</v>
      </c>
      <c r="K7" s="90"/>
      <c r="L7" s="91"/>
      <c r="M7" s="56"/>
    </row>
    <row r="8" spans="1:13" s="55" customFormat="1" ht="72" customHeight="1">
      <c r="A8" s="92">
        <f t="shared" si="0"/>
        <v>3</v>
      </c>
      <c r="B8" s="128" t="str">
        <f>CONCATENATE(MRS!B8," ",MRS!D8)</f>
        <v>Atlas Copco TFX series hydraulic torque wrench model TFX-02 Powerhead, with a Torque capacity of 348-2318 Nm, supplied with a safet   handle in a car   in   case 8434241975</v>
      </c>
      <c r="C8" s="129"/>
      <c r="D8" s="85" t="str">
        <f>+'MRS LIST'!G8</f>
        <v>EA</v>
      </c>
      <c r="E8" s="86">
        <f>+'MRS LIST'!H8</f>
        <v>1</v>
      </c>
      <c r="F8" s="87">
        <f>+'MRS LIST'!I8</f>
        <v>8724</v>
      </c>
      <c r="G8" s="88">
        <f>+'MRS LIST'!J8</f>
        <v>8724</v>
      </c>
      <c r="H8" s="89" t="str">
        <f>MRS!L8</f>
        <v>"</v>
      </c>
      <c r="K8" s="56"/>
      <c r="L8" s="56"/>
      <c r="M8" s="56"/>
    </row>
    <row r="9" spans="1:13" s="55" customFormat="1" ht="42" customHeight="1">
      <c r="A9" s="92">
        <f t="shared" si="0"/>
        <v>4</v>
      </c>
      <c r="B9" s="128" t="str">
        <f>CONCATENATE(MRS!B9," ",MRS!D9)</f>
        <v>Ratchet Link, TL02-110/41MM-1-5/8" 8434241766</v>
      </c>
      <c r="C9" s="129"/>
      <c r="D9" s="85" t="str">
        <f>+'MRS LIST'!G9</f>
        <v>EA</v>
      </c>
      <c r="E9" s="86">
        <f>+'MRS LIST'!H9</f>
        <v>1</v>
      </c>
      <c r="F9" s="87">
        <f>+'MRS LIST'!I9</f>
        <v>6610</v>
      </c>
      <c r="G9" s="88">
        <f>+'MRS LIST'!J9</f>
        <v>6610</v>
      </c>
      <c r="H9" s="89" t="str">
        <f>MRS!L9</f>
        <v>"</v>
      </c>
    </row>
    <row r="10" spans="1:13" s="55" customFormat="1" ht="42" customHeight="1">
      <c r="A10" s="92">
        <f t="shared" si="0"/>
        <v>5</v>
      </c>
      <c r="B10" s="128" t="str">
        <f>CONCATENATE(MRS!B10," ",MRS!D10)</f>
        <v>Ratchet Link, TL02-113/46MM-1-13/16"             8434241767</v>
      </c>
      <c r="C10" s="129"/>
      <c r="D10" s="85" t="str">
        <f>+'MRS LIST'!G10</f>
        <v>EA</v>
      </c>
      <c r="E10" s="86">
        <f>+'MRS LIST'!H10</f>
        <v>1</v>
      </c>
      <c r="F10" s="87">
        <f>+'MRS LIST'!I10</f>
        <v>6610</v>
      </c>
      <c r="G10" s="88">
        <f>+'MRS LIST'!J10</f>
        <v>6610</v>
      </c>
      <c r="H10" s="89" t="str">
        <f>MRS!L10</f>
        <v>"</v>
      </c>
    </row>
    <row r="11" spans="1:13" s="55" customFormat="1" ht="71.25" customHeight="1">
      <c r="A11" s="92">
        <f t="shared" si="0"/>
        <v>6</v>
      </c>
      <c r="B11" s="128" t="str">
        <f>CONCATENATE(MRS!B11," ",MRS!D11)</f>
        <v>Atlas Copco TFX series hydraulic torque wrench model TFX-04 Powerhead, with a Torque capacity of 784-5227 Nm, supplied with a safet   handle in a car   in   case 8434241976</v>
      </c>
      <c r="C11" s="129"/>
      <c r="D11" s="85" t="str">
        <f>+'MRS LIST'!G11</f>
        <v>EA</v>
      </c>
      <c r="E11" s="86">
        <f>+'MRS LIST'!H11</f>
        <v>1</v>
      </c>
      <c r="F11" s="87">
        <f>+'MRS LIST'!I11</f>
        <v>11147</v>
      </c>
      <c r="G11" s="88">
        <f>+'MRS LIST'!J11</f>
        <v>11147</v>
      </c>
      <c r="H11" s="89" t="str">
        <f>MRS!L11</f>
        <v>"</v>
      </c>
    </row>
    <row r="12" spans="1:13" s="55" customFormat="1" ht="40.5" customHeight="1">
      <c r="A12" s="92">
        <f t="shared" si="0"/>
        <v>7</v>
      </c>
      <c r="B12" s="128" t="str">
        <f>CONCATENATE(MRS!B12," ",MRS!D12)</f>
        <v>Ratchet Link, TL04-203/55MM-2-3/16" 8434241775</v>
      </c>
      <c r="C12" s="129"/>
      <c r="D12" s="85" t="str">
        <f>+'MRS LIST'!G12</f>
        <v>EA</v>
      </c>
      <c r="E12" s="86">
        <f>+'MRS LIST'!H12</f>
        <v>1</v>
      </c>
      <c r="F12" s="87">
        <f>+'MRS LIST'!I12</f>
        <v>9261</v>
      </c>
      <c r="G12" s="88">
        <f>+'MRS LIST'!J12</f>
        <v>9261</v>
      </c>
      <c r="H12" s="89" t="str">
        <f>MRS!L12</f>
        <v>"</v>
      </c>
    </row>
    <row r="13" spans="1:13" s="55" customFormat="1" ht="59.25" customHeight="1">
      <c r="A13" s="92">
        <f t="shared" si="0"/>
        <v>8</v>
      </c>
      <c r="B13" s="128" t="str">
        <f>CONCATENATE(MRS!B13," ",MRS!D13)</f>
        <v>Atlas Copco's Hydraulic Square Drive -3/4" model RT-01- with torque range of 283 NM to 1885 NM SU  lied in a carr  in   case 8434201002</v>
      </c>
      <c r="C13" s="129"/>
      <c r="D13" s="85" t="str">
        <f>+'MRS LIST'!G13</f>
        <v>EA</v>
      </c>
      <c r="E13" s="86">
        <f>+'MRS LIST'!H13</f>
        <v>1</v>
      </c>
      <c r="F13" s="87">
        <f>+'MRS LIST'!I13</f>
        <v>14694</v>
      </c>
      <c r="G13" s="88">
        <f>+'MRS LIST'!J13</f>
        <v>14694</v>
      </c>
      <c r="H13" s="89" t="str">
        <f>MRS!L13</f>
        <v>"</v>
      </c>
    </row>
    <row r="14" spans="1:13" s="55" customFormat="1" ht="35.25" customHeight="1">
      <c r="A14" s="92">
        <f t="shared" si="0"/>
        <v>9</v>
      </c>
      <c r="B14" s="128" t="str">
        <f>CONCATENATE(MRS!B14," ",MRS!D14)</f>
        <v>Socket with 3/4" Drive 1-5/8" AF std 1226</v>
      </c>
      <c r="C14" s="129"/>
      <c r="D14" s="85" t="str">
        <f>+'MRS LIST'!G14</f>
        <v>EA</v>
      </c>
      <c r="E14" s="86">
        <f>+'MRS LIST'!H14</f>
        <v>1</v>
      </c>
      <c r="F14" s="87">
        <f>+'MRS LIST'!I14</f>
        <v>128</v>
      </c>
      <c r="G14" s="88">
        <f>+'MRS LIST'!J14</f>
        <v>128</v>
      </c>
      <c r="H14" s="89" t="str">
        <f>MRS!L14</f>
        <v>"</v>
      </c>
    </row>
    <row r="15" spans="1:13" s="55" customFormat="1" ht="35.25" customHeight="1">
      <c r="A15" s="92">
        <f t="shared" si="0"/>
        <v>10</v>
      </c>
      <c r="B15" s="128" t="str">
        <f>CONCATENATE(MRS!B15," ",MRS!D15)</f>
        <v>Socket with 3/4" Drive 1-13/16" AF std      1229</v>
      </c>
      <c r="C15" s="129"/>
      <c r="D15" s="85" t="str">
        <f>+'MRS LIST'!G15</f>
        <v>EA</v>
      </c>
      <c r="E15" s="86">
        <f>+'MRS LIST'!H15</f>
        <v>1</v>
      </c>
      <c r="F15" s="87">
        <f>+'MRS LIST'!I15</f>
        <v>162</v>
      </c>
      <c r="G15" s="88">
        <f>+'MRS LIST'!J15</f>
        <v>162</v>
      </c>
      <c r="H15" s="89" t="str">
        <f>MRS!L15</f>
        <v>"</v>
      </c>
    </row>
    <row r="16" spans="1:13" s="55" customFormat="1" ht="59.25" customHeight="1">
      <c r="A16" s="92">
        <f t="shared" si="0"/>
        <v>11</v>
      </c>
      <c r="B16" s="128" t="str">
        <f>CONCATENATE(MRS!B16," ",MRS!D16)</f>
        <v>Atlas Copco's Hydraulic Square Drive -1" model RT-03 with torque range of 657 NM to 4379 NM su    lied in a car   in   case 8434201005</v>
      </c>
      <c r="C16" s="129"/>
      <c r="D16" s="85" t="str">
        <f>+'MRS LIST'!G16</f>
        <v>EA</v>
      </c>
      <c r="E16" s="86">
        <f>+'MRS LIST'!H16</f>
        <v>1</v>
      </c>
      <c r="F16" s="87">
        <f>+'MRS LIST'!I16</f>
        <v>17905</v>
      </c>
      <c r="G16" s="88">
        <f>+'MRS LIST'!J16</f>
        <v>17905</v>
      </c>
      <c r="H16" s="89" t="str">
        <f>MRS!L16</f>
        <v>"</v>
      </c>
    </row>
    <row r="17" spans="1:13" s="55" customFormat="1" ht="35.25" customHeight="1">
      <c r="A17" s="92">
        <f t="shared" si="0"/>
        <v>12</v>
      </c>
      <c r="B17" s="128" t="str">
        <f>CONCATENATE(MRS!B17," ",MRS!D17)</f>
        <v>Socket with 1" Drive 2" AF std 16 32</v>
      </c>
      <c r="C17" s="129"/>
      <c r="D17" s="85" t="str">
        <f>+'MRS LIST'!G17</f>
        <v>EA</v>
      </c>
      <c r="E17" s="86">
        <f>+'MRS LIST'!H17</f>
        <v>1</v>
      </c>
      <c r="F17" s="87">
        <f>+'MRS LIST'!I17</f>
        <v>242</v>
      </c>
      <c r="G17" s="88">
        <f>+'MRS LIST'!J17</f>
        <v>242</v>
      </c>
      <c r="H17" s="89" t="str">
        <f>MRS!L17</f>
        <v>"</v>
      </c>
    </row>
    <row r="18" spans="1:13" s="55" customFormat="1" ht="35.25" customHeight="1">
      <c r="A18" s="92">
        <f t="shared" si="0"/>
        <v>13</v>
      </c>
      <c r="B18" s="128" t="str">
        <f>CONCATENATE(MRS!B18," ",MRS!D18)</f>
        <v>Socket with 1" Drive 2-3/16" AF std  16 35</v>
      </c>
      <c r="C18" s="129"/>
      <c r="D18" s="85" t="str">
        <f>+'MRS LIST'!G18</f>
        <v>EA</v>
      </c>
      <c r="E18" s="86">
        <f>+'MRS LIST'!H18</f>
        <v>1</v>
      </c>
      <c r="F18" s="87">
        <f>+'MRS LIST'!I18</f>
        <v>280</v>
      </c>
      <c r="G18" s="88">
        <f>+'MRS LIST'!J18</f>
        <v>280</v>
      </c>
      <c r="H18" s="89" t="str">
        <f>MRS!L18</f>
        <v>"</v>
      </c>
    </row>
    <row r="19" spans="1:13" s="55" customFormat="1" ht="23.1" customHeight="1">
      <c r="A19" s="144" t="s">
        <v>88</v>
      </c>
      <c r="B19" s="145"/>
      <c r="C19" s="145"/>
      <c r="D19" s="145"/>
      <c r="E19" s="145"/>
      <c r="F19" s="145"/>
      <c r="G19" s="58">
        <f>SUM(G6:G18)</f>
        <v>109873</v>
      </c>
      <c r="H19" s="59"/>
    </row>
    <row r="20" spans="1:13" s="55" customFormat="1" ht="23.1" customHeight="1">
      <c r="A20" s="144" t="s">
        <v>142</v>
      </c>
      <c r="B20" s="145"/>
      <c r="C20" s="145"/>
      <c r="D20" s="145"/>
      <c r="E20" s="145"/>
      <c r="F20" s="145"/>
      <c r="G20" s="58">
        <v>5494</v>
      </c>
      <c r="H20" s="59"/>
    </row>
    <row r="21" spans="1:13" s="55" customFormat="1" ht="23.1" customHeight="1">
      <c r="A21" s="144" t="s">
        <v>143</v>
      </c>
      <c r="B21" s="145"/>
      <c r="C21" s="145"/>
      <c r="D21" s="145"/>
      <c r="E21" s="145"/>
      <c r="F21" s="145"/>
      <c r="G21" s="58">
        <f>+G19-G20</f>
        <v>104379</v>
      </c>
      <c r="H21" s="59"/>
    </row>
    <row r="22" spans="1:13" s="55" customFormat="1" ht="23.1" customHeight="1">
      <c r="A22" s="144" t="s">
        <v>51</v>
      </c>
      <c r="B22" s="145"/>
      <c r="C22" s="145"/>
      <c r="D22" s="145"/>
      <c r="E22" s="145"/>
      <c r="F22" s="145"/>
      <c r="G22" s="58">
        <f>+G21*15%</f>
        <v>15656.849999999999</v>
      </c>
      <c r="H22" s="59"/>
    </row>
    <row r="23" spans="1:13" s="55" customFormat="1" ht="24.95" customHeight="1" thickBot="1">
      <c r="A23" s="146" t="s">
        <v>89</v>
      </c>
      <c r="B23" s="147"/>
      <c r="C23" s="147"/>
      <c r="D23" s="147"/>
      <c r="E23" s="147"/>
      <c r="F23" s="147"/>
      <c r="G23" s="60">
        <f>G22+G19</f>
        <v>125529.85</v>
      </c>
      <c r="H23" s="61"/>
    </row>
    <row r="24" spans="1:13" ht="15.75" thickTop="1">
      <c r="A24" s="62" t="str">
        <f>" 1) Above Price are as per your quotation with ref "&amp;'PO 1st page'!K14</f>
        <v xml:space="preserve"> 1) Above Price are as per your quotation with ref 00845200</v>
      </c>
      <c r="B24" s="63"/>
      <c r="C24" s="63"/>
      <c r="D24" s="64"/>
      <c r="E24" s="64"/>
      <c r="F24" s="64"/>
      <c r="G24" s="64"/>
      <c r="H24" s="64"/>
    </row>
    <row r="25" spans="1:13" ht="15">
      <c r="A25" s="65" t="s">
        <v>90</v>
      </c>
      <c r="B25" s="66"/>
      <c r="C25" s="66"/>
      <c r="D25" s="67"/>
      <c r="E25" s="67"/>
      <c r="F25" s="67"/>
      <c r="G25" s="67"/>
      <c r="H25" s="67"/>
      <c r="I25" s="68"/>
    </row>
    <row r="26" spans="1:13" ht="15.75">
      <c r="A26" s="69"/>
    </row>
    <row r="27" spans="1:13">
      <c r="A27" s="148" t="s">
        <v>91</v>
      </c>
      <c r="B27" s="148"/>
      <c r="C27" s="148"/>
      <c r="D27" s="148"/>
      <c r="E27" s="148"/>
      <c r="F27" s="148"/>
      <c r="G27" s="148"/>
      <c r="H27" s="148"/>
      <c r="I27" s="70"/>
      <c r="J27" s="70"/>
      <c r="K27" s="70"/>
      <c r="L27" s="70"/>
      <c r="M27" s="70"/>
    </row>
    <row r="28" spans="1:13" ht="15.75">
      <c r="A28" s="69"/>
      <c r="C28" s="71"/>
    </row>
    <row r="29" spans="1:13" ht="15.75">
      <c r="A29" s="69"/>
      <c r="C29" s="71"/>
    </row>
    <row r="31" spans="1:13" ht="12" customHeight="1"/>
  </sheetData>
  <mergeCells count="27">
    <mergeCell ref="A19:F19"/>
    <mergeCell ref="A22:F22"/>
    <mergeCell ref="A23:F23"/>
    <mergeCell ref="A27:H27"/>
    <mergeCell ref="B12:C12"/>
    <mergeCell ref="B13:C13"/>
    <mergeCell ref="B14:C14"/>
    <mergeCell ref="B15:C15"/>
    <mergeCell ref="B16:C16"/>
    <mergeCell ref="B17:C17"/>
    <mergeCell ref="B18:C18"/>
    <mergeCell ref="A20:F20"/>
    <mergeCell ref="A21:F21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2026-06-11T13:24:45Z</cp:lastPrinted>
  <dcterms:created xsi:type="dcterms:W3CDTF">2024-10-20T11:50:19Z</dcterms:created>
  <dcterms:modified xsi:type="dcterms:W3CDTF">2026-06-11T13:54:55Z</dcterms:modified>
</cp:coreProperties>
</file>