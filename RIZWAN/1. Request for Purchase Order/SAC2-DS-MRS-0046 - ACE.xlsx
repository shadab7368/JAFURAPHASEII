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1A5EB628-E7C4-45B1-A67E-6AB33FFEAB03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K59" i="3" l="1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<sst xmlns="http://schemas.openxmlformats.org/spreadsheetml/2006/main" count="152" uniqueCount="117">
  <si>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</si>
  <si>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</si>
  <si>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</si>
  <si>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</si>
  <si>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</si>
  <si>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</si>
  <si>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</si>
  <si>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</si>
  <si>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</si>
  <si>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</si>
  <si>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</si>
  <si>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</si>
  <si>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</si>
  <si>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</si>
  <si>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</si>
  <si>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</si>
  <si>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</si>
  <si>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</si>
  <si>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</si>
  <si>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</si>
  <si>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</si>
  <si>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</si>
  <si>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</si>
  <si>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</si>
  <si>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</si>
  <si>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</si>
  <si>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</si>
  <si>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</si>
  <si>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</si>
  <si>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</si>
  <si>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</si>
  <si>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</si>
  <si>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</si>
  <si>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</si>
  <si>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</si>
  <si>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</si>
  <si>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</si>
  <si>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</si>
  <si>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</si>
  <si>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</si>
  <si>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</si>
  <si>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</si>
  <si>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</si>
  <si>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</si>
  <si>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</si>
  <si>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</si>
  <si>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</si>
  <si>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</si>
  <si>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</si>
  <si>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</si>
  <si>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</si>
  <si>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</si>
  <si>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</si>
  <si>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</si>
  <si>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</si>
  <si>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</si>
  <si>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</si>
  <si>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</si>
  <si>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</si>
  <si>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</si>
  <si>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</si>
  <si>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</si>
  <si>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</si>
  <si>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</si>
  <si>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</si>
  <si>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</si>
  <si>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</si>
  <si>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</si>
  <si>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</si>
  <si>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</si>
  <si>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</si>
  <si>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</si>
  <si>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</si>
  <si>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</si>
  <si>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</si>
  <si>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</si>
  <si>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</si>
  <si>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</si>
  <si>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</si>
  <si>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</si>
  <si>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</si>
  <si>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</si>
  <si>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</si>
  <si>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</si>
  <si>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</si>
  <si>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</si>
  <si>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</si>
  <si>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</si>
  <si>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</si>
  <si>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</si>
  <si>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</si>
  <si>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</si>
  <si>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</si>
  <si>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</si>
  <si>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</si>
  <si>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</si>
  <si>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</si>
  <si>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</si>
  <si>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</si>
  <si>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()</t>
  </si>
  <si>
    <t>ACE</t>
  </si>
  <si>
    <t>Abhilash K.K.</t>
  </si>
  <si>
    <t>Operation Manager</t>
  </si>
  <si>
    <t>Bldg No . 4383 Prince Mishal Street, Dammam, KSA</t>
  </si>
  <si>
    <t>Landline: +966 138051540 / Mobile : +966 582136007</t>
  </si>
  <si>
    <t>EA</t>
  </si>
  <si>
    <t>Hourly Based</t>
  </si>
  <si>
    <t>+966 58 2136007 / Email:info@acesaudi.me</t>
  </si>
  <si>
    <t>ACE(Advanced Start Trading &amp; General Contracting Est.)</t>
  </si>
  <si>
    <t>2050122560</t>
  </si>
  <si>
    <t>300380116700003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</si>
  <si>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-MRS-0046</t>
    </r>
  </si>
  <si>
    <t>Civil QC Inspector</t>
  </si>
  <si>
    <t>QTN-MS-25-210</t>
  </si>
  <si>
    <t xml:space="preserve">Hourly Based </t>
  </si>
  <si>
    <t>Division (In charge Name) : ADMIN MANAGER (Dong Chang Kim)</t>
  </si>
  <si>
    <t xml:space="preserve">  Delivery &amp; Payment : Dong Chang Kim / Daeshin Admin. [ Mobile No. : +966 53 748 5762 / Email : kdchjs@daeshinplant.com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</si>
</sst>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42" fillId="3" borderId="0" xfId="0" applyFont="1" applyFill="1" applyAlignment="1"/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3318AC58-0842-40B2-9794-513543302AB9}"/>
    <cellStyle name="쉼표 [0] 2 2 3" xfId="12" xr:uid="{21975012-6124-4624-917D-D958A7236598}"/>
    <cellStyle name="쉼표 2" xfId="9" xr:uid="{F2A3A689-A30F-4FCA-9C51-F28F11796A46}"/>
    <cellStyle name="쉼표 2 2" xfId="18" xr:uid="{30965E5B-BD16-4761-8F2A-20B1A66EF638}"/>
    <cellStyle name="쉼표 2 3" xfId="14" xr:uid="{EBF854AA-1BBC-4B60-A393-EF216CD623B2}"/>
    <cellStyle name="표준 2 2" xfId="2" xr:uid="{12B761D3-4229-4E14-8168-D5975293A996}"/>
    <cellStyle name="표준 2 2 2" xfId="15" xr:uid="{23D9CF93-A0DE-4474-B204-3CFFB35C7239}"/>
    <cellStyle name="표준 2 2 3" xfId="11" xr:uid="{BF77E8BB-EBC2-4557-9D3A-E9B902F30C84}"/>
    <cellStyle name="표준 2 3 2 2" xfId="5" xr:uid="{BD51BFCC-3D36-446B-BE80-7856DF8371E9}"/>
    <cellStyle name="표준 2 3 2 2 2" xfId="17" xr:uid="{DC66ED9D-D108-4AD5-B820-79E2A38ED09D}"/>
    <cellStyle name="표준 2 3 2 2 3" xfId="13" xr:uid="{2FF1064B-F914-488F-91BF-8B194E779540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391027</xdr:colOff>
          <xdr:row>16</xdr:row>
          <xdr:rowOff>240630</xdr:rowOff>
        </xdr:from>
        <xdr:to>
          <xdr:col>11</xdr:col>
          <xdr:colOff>1694949</xdr:colOff>
          <xdr:row>23</xdr:row>
          <xdr:rowOff>200526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20027" y="4973051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19" sqref="D1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98</v>
      </c>
      <c r="B1" s="110"/>
      <c r="C1" s="110"/>
      <c r="D1" s="110"/>
      <c r="E1" s="110"/>
      <c r="F1" s="110"/>
      <c r="G1" s="1"/>
      <c r="J1" s="141" t="s">
        <v>92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115</v>
      </c>
      <c r="E2" s="101"/>
      <c r="F2" s="101"/>
      <c r="G2" s="101"/>
      <c r="H2" s="101"/>
      <c r="I2" s="4"/>
      <c r="J2" s="144" t="s">
        <v>99</v>
      </c>
      <c r="K2" s="145"/>
      <c r="L2" s="146"/>
    </row>
    <row r="3" spans="1:19" ht="20.100000000000001" customHeight="1">
      <c r="A3" s="3" t="s">
        <v>111</v>
      </c>
      <c r="B3" s="101"/>
      <c r="C3" s="101"/>
      <c r="D3" s="101"/>
      <c r="E3" s="147">
        <f>+L3</f>
        <v>45756</v>
      </c>
      <c r="F3" s="147"/>
      <c r="G3" s="147"/>
      <c r="H3" s="147"/>
      <c r="I3" s="147"/>
      <c r="J3" s="101"/>
      <c r="K3" s="101"/>
      <c r="L3" s="122">
        <v>45756</v>
      </c>
      <c r="M3" s="4"/>
    </row>
    <row r="4" spans="1:19" ht="15.95" customHeight="1">
      <c r="A4" s="148" t="s">
        <v>2</v>
      </c>
      <c r="B4" s="149" t="s">
        <v>3</v>
      </c>
      <c r="C4" s="149"/>
      <c r="D4" s="150" t="s">
        <v>4</v>
      </c>
      <c r="E4" s="151"/>
      <c r="F4" s="152"/>
      <c r="G4" s="156" t="s">
        <v>5</v>
      </c>
      <c r="H4" s="158" t="s">
        <v>6</v>
      </c>
      <c r="I4" s="158" t="s">
        <v>96</v>
      </c>
      <c r="J4" s="148" t="s">
        <v>97</v>
      </c>
      <c r="K4" s="158" t="s">
        <v>0</v>
      </c>
      <c r="L4" s="149" t="s">
        <v>7</v>
      </c>
    </row>
    <row r="5" spans="1:19" ht="15.95" customHeight="1">
      <c r="A5" s="148"/>
      <c r="B5" s="149"/>
      <c r="C5" s="149"/>
      <c r="D5" s="153"/>
      <c r="E5" s="154"/>
      <c r="F5" s="155"/>
      <c r="G5" s="157"/>
      <c r="H5" s="159"/>
      <c r="I5" s="159"/>
      <c r="J5" s="148"/>
      <c r="K5" s="159"/>
      <c r="L5" s="149"/>
    </row>
    <row r="6" spans="1:19" ht="22.5" customHeight="1">
      <c r="A6" s="5">
        <f t="shared" ref="A6:A15" si="0">ROW(A1)</f>
        <v>1</v>
      </c>
      <c r="B6" s="129" t="s">
        <v>112</v>
      </c>
      <c r="C6" s="130"/>
      <c r="D6" s="131"/>
      <c r="E6" s="132"/>
      <c r="F6" s="133"/>
      <c r="G6" s="111" t="s">
        <v>105</v>
      </c>
      <c r="H6" s="112">
        <v>1</v>
      </c>
      <c r="I6" s="113">
        <v>85</v>
      </c>
      <c r="J6" s="113">
        <f>H6*I6</f>
        <v>85</v>
      </c>
      <c r="K6" s="114" t="s">
        <v>100</v>
      </c>
      <c r="L6" s="115" t="s">
        <v>106</v>
      </c>
      <c r="S6" s="106"/>
    </row>
    <row r="7" spans="1:19" ht="22.5" customHeight="1">
      <c r="A7" s="5">
        <f t="shared" si="0"/>
        <v>2</v>
      </c>
      <c r="B7" s="129"/>
      <c r="C7" s="130"/>
      <c r="D7" s="140"/>
      <c r="E7" s="132"/>
      <c r="F7" s="133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85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T8" sqref="T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98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4" t="str">
        <f>+MRS!J2</f>
        <v>Subcontract name ()</v>
      </c>
      <c r="K2" s="146"/>
    </row>
    <row r="3" spans="1:18" ht="24.95" customHeight="1">
      <c r="A3" s="3" t="str">
        <f>+MRS!A3</f>
        <v xml:space="preserve">  MRS No : SAC2-DS-MRS-0046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45756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93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Civil QC Inspector</v>
      </c>
      <c r="C6" s="166"/>
      <c r="D6" s="167">
        <f>MRS!D6</f>
        <v>0</v>
      </c>
      <c r="E6" s="168"/>
      <c r="F6" s="169"/>
      <c r="G6" s="103" t="str">
        <f>MRS!G6</f>
        <v>EA</v>
      </c>
      <c r="H6" s="103">
        <f>MRS!H6</f>
        <v>1</v>
      </c>
      <c r="I6" s="104">
        <f>MRS!I6</f>
        <v>85</v>
      </c>
      <c r="J6" s="104">
        <f>MRS!J6</f>
        <v>85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3" zoomScale="130" zoomScaleNormal="100" zoomScaleSheetLayoutView="130" workbookViewId="0">
      <selection activeCell="P61" sqref="P6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108</v>
      </c>
      <c r="D9" s="39"/>
      <c r="E9" s="39"/>
    </row>
    <row r="10" spans="2:13" s="39" customFormat="1">
      <c r="B10" s="72"/>
      <c r="C10" s="39" t="s">
        <v>33</v>
      </c>
      <c r="D10" s="76" t="s">
        <v>109</v>
      </c>
      <c r="J10" s="39" t="s">
        <v>34</v>
      </c>
      <c r="K10" s="173">
        <f>MRS!L3</f>
        <v>45756</v>
      </c>
      <c r="L10" s="174"/>
      <c r="M10" s="174"/>
    </row>
    <row r="11" spans="2:13" s="39" customFormat="1">
      <c r="B11" s="72"/>
      <c r="C11" s="75" t="s">
        <v>35</v>
      </c>
      <c r="D11" s="76" t="s">
        <v>110</v>
      </c>
      <c r="J11" s="39" t="s">
        <v>36</v>
      </c>
      <c r="K11" s="175" t="str">
        <f>SUBSTITUTE(SUBSTITUTE(+MRS!A3,"  MRS No : ",""),"-MRS","-PO")</f>
        <v>SAC2-DS-PO-0046</v>
      </c>
      <c r="L11" s="175"/>
      <c r="M11" s="175"/>
    </row>
    <row r="12" spans="2:13" s="39" customFormat="1">
      <c r="B12" s="72"/>
      <c r="C12" s="75" t="s">
        <v>37</v>
      </c>
      <c r="D12" s="39" t="s">
        <v>101</v>
      </c>
      <c r="J12" s="39" t="s">
        <v>38</v>
      </c>
    </row>
    <row r="13" spans="2:13" s="39" customFormat="1">
      <c r="B13" s="72"/>
      <c r="C13" s="77"/>
      <c r="D13" s="76" t="s">
        <v>107</v>
      </c>
      <c r="J13" s="39" t="s">
        <v>39</v>
      </c>
    </row>
    <row r="14" spans="2:13" s="39" customFormat="1">
      <c r="B14" s="72"/>
      <c r="C14" s="77" t="s">
        <v>103</v>
      </c>
      <c r="J14" s="39" t="s">
        <v>40</v>
      </c>
      <c r="K14" s="39" t="s">
        <v>113</v>
      </c>
    </row>
    <row r="15" spans="2:13" s="39" customFormat="1">
      <c r="B15" s="72"/>
      <c r="C15" s="77" t="s">
        <v>104</v>
      </c>
      <c r="J15" s="39" t="s">
        <v>41</v>
      </c>
      <c r="K15" s="78">
        <v>45756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112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24" t="s">
        <v>114</v>
      </c>
      <c r="G29" s="124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204" t="s">
        <v>116</v>
      </c>
      <c r="P49" s="82"/>
    </row>
    <row r="50" spans="1:16" s="83" customFormat="1" ht="15" customHeight="1">
      <c r="B50" s="84" t="s">
        <v>66</v>
      </c>
      <c r="C50" s="81" t="s">
        <v>95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Abhilash K.K.</v>
      </c>
    </row>
    <row r="60" spans="1:16" ht="18" customHeight="1">
      <c r="B60" s="26" t="s">
        <v>72</v>
      </c>
      <c r="J60" s="26" t="s">
        <v>73</v>
      </c>
      <c r="K60" s="22" t="s">
        <v>102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ACE(Advanced Start Trading &amp; General Contracting Est.)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10" sqref="L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SAC2-DS-PO-0046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45756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ACE(Advanced Start Trading &amp; General Contracting Est.)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Civil QC Inspector</v>
      </c>
      <c r="C6" s="203"/>
      <c r="D6" s="86" t="str">
        <f>+'MRS LIST'!G6</f>
        <v>EA</v>
      </c>
      <c r="E6" s="87">
        <f>+'MRS LIST'!H6</f>
        <v>1</v>
      </c>
      <c r="F6" s="88">
        <f>+'MRS LIST'!I6</f>
        <v>85</v>
      </c>
      <c r="G6" s="89">
        <f>+'MRS LIST'!J6</f>
        <v>85</v>
      </c>
      <c r="H6" s="90" t="str">
        <f>MRS!L6</f>
        <v>Hourly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/>
      <c r="C7" s="20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85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12.75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97.75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QTN-MS-25-210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2025-04-10T04:29:51Z</cp:lastPrinted>
  <dcterms:created xsi:type="dcterms:W3CDTF">2024-10-20T11:50:19Z</dcterms:created>
  <dcterms:modified xsi:type="dcterms:W3CDTF">2025-04-10T04:36:21Z</dcterms:modified>
</cp:coreProperties>
</file>