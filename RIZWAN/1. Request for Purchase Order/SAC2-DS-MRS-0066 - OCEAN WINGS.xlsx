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equest foe Purchase Order\"/>
    </mc:Choice>
  </mc:AlternateContent>
  <xr:revisionPtr revIDLastSave="0" documentId="13_ncr:1_{FB28C0F6-58A3-4E1D-8A4F-EB592AAB4397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" l="1"/>
  <c r="B10" i="4"/>
  <c r="B9" i="4"/>
  <c r="B8" i="4"/>
  <c r="B7" i="4"/>
  <c r="B6" i="4"/>
  <c r="G11" i="4"/>
  <c r="F11" i="4"/>
  <c r="E11" i="4"/>
  <c r="D11" i="4"/>
  <c r="G10" i="4"/>
  <c r="F10" i="4"/>
  <c r="E10" i="4"/>
  <c r="D10" i="4"/>
  <c r="G9" i="4"/>
  <c r="F9" i="4"/>
  <c r="E9" i="4"/>
  <c r="D9" i="4"/>
  <c r="G8" i="4"/>
  <c r="F8" i="4"/>
  <c r="E8" i="4"/>
  <c r="D8" i="4"/>
  <c r="G7" i="4"/>
  <c r="F7" i="4"/>
  <c r="E7" i="4"/>
  <c r="D7" i="4"/>
  <c r="J11" i="1"/>
  <c r="J10" i="1"/>
  <c r="J9" i="1"/>
  <c r="J8" i="1"/>
  <c r="J7" i="1"/>
  <c r="J6" i="1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2"/>
  <c r="J10" i="2"/>
  <c r="J9" i="2"/>
  <c r="J8" i="2"/>
  <c r="K59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F29" i="3" s="1"/>
  <c r="G19" i="4" l="1"/>
  <c r="F30" i="3" s="1"/>
  <c r="G20" i="4" l="1"/>
  <c r="F31" i="3" s="1"/>
</calcChain>
</file>

<file path=xl/sharedStrings.xml><?xml version="1.0" encoding="utf-8"?>
<sst xmlns="http://schemas.openxmlformats.org/spreadsheetml/2006/main" count="168" uniqueCount="124">
  <si>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</si>
  <si>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</si>
  <si>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</si>
  <si>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</si>
  <si>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</si>
  <si>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</si>
  <si>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</si>
  <si>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</si>
  <si>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</si>
  <si>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</si>
  <si>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</si>
  <si>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</si>
  <si>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</si>
  <si>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</si>
  <si>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</si>
  <si>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</si>
  <si>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</si>
  <si>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</si>
  <si>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</si>
  <si>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</si>
  <si>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</si>
  <si>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</si>
  <si>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</si>
  <si>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</si>
  <si>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</si>
  <si>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</si>
  <si>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</si>
  <si>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</si>
  <si>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</si>
  <si>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</si>
  <si>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</si>
  <si>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</si>
  <si>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</si>
  <si>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</si>
  <si>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</si>
  <si>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</si>
  <si>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</si>
  <si>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</si>
  <si>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</si>
  <si>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</si>
  <si>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</si>
  <si>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</si>
  <si>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</si>
  <si>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</si>
  <si>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</si>
  <si>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</si>
  <si>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</si>
  <si>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</si>
  <si>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</si>
  <si>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</si>
  <si>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</si>
  <si>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</si>
  <si>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</si>
  <si>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</si>
  <si>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</si>
  <si>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</si>
  <si>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</si>
  <si>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</si>
  <si>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</si>
  <si>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</si>
  <si>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</si>
  <si>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</si>
  <si>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</si>
  <si>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</si>
  <si>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</si>
  <si>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</si>
  <si>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</si>
  <si>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</si>
  <si>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</si>
  <si>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</si>
  <si>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</si>
  <si>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</si>
  <si>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</si>
  <si>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</si>
  <si>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</si>
  <si>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</si>
  <si>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</si>
  <si>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</si>
  <si>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</si>
  <si>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</si>
  <si>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</si>
  <si>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</si>
  <si>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</si>
  <si>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</si>
  <si>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</si>
  <si>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</si>
  <si>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</si>
  <si>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</si>
  <si>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</si>
  <si>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</si>
  <si>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</si>
  <si>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</si>
  <si>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</si>
  <si>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</si>
  <si>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</si>
  <si>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</si>
  <si>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</si>
  <si>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</si>
  <si>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</si>
  <si>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</si>
  <si>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</si>
  <si>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</si>
  <si>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Hyundai Engineering and Const. Co., Ltd. (HDEC)</t>
  </si>
  <si>
    <t>HYUNDAI ENG. &amp; CONST. CO., LTD.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</si>
  <si>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-MRS-0066</t>
    </r>
  </si>
  <si>
    <t>Tig Wire</t>
  </si>
  <si>
    <t>GTAW, OK TIGROD 12.60,ER70S-3,2.4MM 5KG/PK</t>
  </si>
  <si>
    <t>KG</t>
  </si>
  <si>
    <t>OK 48.04 L, E7018, 3.2X350MM Brazil</t>
  </si>
  <si>
    <t>OK 48.04 L, E7018, 2.5X350MM Brazil</t>
  </si>
  <si>
    <t>GTAW, OK TIGROD 16.30,ER316L, 2.4 mm 5.0 kg</t>
  </si>
  <si>
    <t>Welding Electrodes</t>
  </si>
  <si>
    <t>SMAW OK 63.98, E316L-16. 2.5X300MM, 10.2 KG</t>
  </si>
  <si>
    <t>SMAW OK 63.98, E316L-16. 3.2X350MM, 4.1 KG</t>
  </si>
  <si>
    <t>OWTC</t>
  </si>
  <si>
    <t>OWTC(Ocean Wings Trading Co.)</t>
  </si>
  <si>
    <t>2055025122</t>
  </si>
  <si>
    <t>Rameez Abdul Khadar</t>
  </si>
  <si>
    <t>23002405</t>
  </si>
  <si>
    <t>310060487300003</t>
  </si>
  <si>
    <t>Sales Engineer</t>
  </si>
  <si>
    <t>Bldg No. 4087 Omar Ibn Abdullaziz Jubail</t>
  </si>
  <si>
    <t>Mobile No. +966 55 938 0672 / email: manaf.a@oceanwings.co</t>
  </si>
  <si>
    <t>Landline : +966 13 340 3073 / Mobile: +966 55 938 0672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</si>
</sst>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  <numFmt numFmtId="175" formatCode="#,##0.0;[Red]\-#,##0.0;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175" fontId="2" fillId="0" borderId="8" xfId="0" applyNumberFormat="1" applyFont="1" applyBorder="1" applyAlignment="1">
      <alignment horizontal="center"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5" fillId="3" borderId="38" xfId="5" applyFont="1" applyFill="1" applyBorder="1" applyAlignment="1">
      <alignment horizontal="left" vertical="center" wrapText="1"/>
    </xf>
    <xf numFmtId="0" fontId="5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6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26" t="s">
        <v>90</v>
      </c>
      <c r="K1" s="127"/>
      <c r="L1" s="128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29" t="s">
        <v>97</v>
      </c>
      <c r="K2" s="130"/>
      <c r="L2" s="131"/>
    </row>
    <row r="3" spans="1:19" ht="20.100000000000001" customHeight="1">
      <c r="A3" s="3" t="s">
        <v>104</v>
      </c>
      <c r="B3" s="100"/>
      <c r="C3" s="100"/>
      <c r="D3" s="100"/>
      <c r="E3" s="132">
        <f>+L3</f>
        <v>45782</v>
      </c>
      <c r="F3" s="132"/>
      <c r="G3" s="132"/>
      <c r="H3" s="132"/>
      <c r="I3" s="132"/>
      <c r="J3" s="100"/>
      <c r="K3" s="100"/>
      <c r="L3" s="121">
        <v>45782</v>
      </c>
      <c r="M3" s="4"/>
    </row>
    <row r="4" spans="1:19" ht="15.95" customHeight="1">
      <c r="A4" s="133" t="s">
        <v>2</v>
      </c>
      <c r="B4" s="134" t="s">
        <v>3</v>
      </c>
      <c r="C4" s="134"/>
      <c r="D4" s="135" t="s">
        <v>4</v>
      </c>
      <c r="E4" s="136"/>
      <c r="F4" s="137"/>
      <c r="G4" s="141" t="s">
        <v>5</v>
      </c>
      <c r="H4" s="143" t="s">
        <v>6</v>
      </c>
      <c r="I4" s="143" t="s">
        <v>94</v>
      </c>
      <c r="J4" s="133" t="s">
        <v>95</v>
      </c>
      <c r="K4" s="143" t="s">
        <v>0</v>
      </c>
      <c r="L4" s="134" t="s">
        <v>7</v>
      </c>
    </row>
    <row r="5" spans="1:19" ht="15.95" customHeight="1">
      <c r="A5" s="133"/>
      <c r="B5" s="134"/>
      <c r="C5" s="134"/>
      <c r="D5" s="138"/>
      <c r="E5" s="139"/>
      <c r="F5" s="140"/>
      <c r="G5" s="142"/>
      <c r="H5" s="144"/>
      <c r="I5" s="144"/>
      <c r="J5" s="133"/>
      <c r="K5" s="144"/>
      <c r="L5" s="134"/>
    </row>
    <row r="6" spans="1:19" ht="40.5" customHeight="1">
      <c r="A6" s="5">
        <f t="shared" ref="A6:A15" si="0">ROW(A1)</f>
        <v>1</v>
      </c>
      <c r="B6" s="145" t="s">
        <v>105</v>
      </c>
      <c r="C6" s="146"/>
      <c r="D6" s="147" t="s">
        <v>106</v>
      </c>
      <c r="E6" s="148"/>
      <c r="F6" s="149"/>
      <c r="G6" s="110" t="s">
        <v>107</v>
      </c>
      <c r="H6" s="111">
        <v>400</v>
      </c>
      <c r="I6" s="112">
        <v>17.45</v>
      </c>
      <c r="J6" s="112">
        <f>I6*H6</f>
        <v>6980</v>
      </c>
      <c r="K6" s="113" t="s">
        <v>114</v>
      </c>
      <c r="L6" s="114"/>
      <c r="S6" s="105"/>
    </row>
    <row r="7" spans="1:19" ht="40.5" customHeight="1">
      <c r="A7" s="5">
        <f t="shared" si="0"/>
        <v>2</v>
      </c>
      <c r="B7" s="145" t="s">
        <v>105</v>
      </c>
      <c r="C7" s="146"/>
      <c r="D7" s="150" t="s">
        <v>108</v>
      </c>
      <c r="E7" s="148"/>
      <c r="F7" s="149"/>
      <c r="G7" s="110" t="s">
        <v>107</v>
      </c>
      <c r="H7" s="111">
        <v>500</v>
      </c>
      <c r="I7" s="112">
        <v>17.8</v>
      </c>
      <c r="J7" s="112">
        <f t="shared" ref="J7:J11" si="1">I7*H7</f>
        <v>8900</v>
      </c>
      <c r="K7" s="113"/>
      <c r="L7" s="114"/>
      <c r="S7" s="105"/>
    </row>
    <row r="8" spans="1:19" ht="40.5" customHeight="1">
      <c r="A8" s="5">
        <f t="shared" si="0"/>
        <v>3</v>
      </c>
      <c r="B8" s="145" t="s">
        <v>105</v>
      </c>
      <c r="C8" s="146"/>
      <c r="D8" s="150" t="s">
        <v>109</v>
      </c>
      <c r="E8" s="148"/>
      <c r="F8" s="149"/>
      <c r="G8" s="110" t="s">
        <v>107</v>
      </c>
      <c r="H8" s="125">
        <v>499.5</v>
      </c>
      <c r="I8" s="112">
        <v>19.75</v>
      </c>
      <c r="J8" s="112">
        <f t="shared" si="1"/>
        <v>9865.125</v>
      </c>
      <c r="K8" s="113"/>
      <c r="L8" s="114"/>
      <c r="P8" s="2" t="s">
        <v>101</v>
      </c>
      <c r="S8" s="105"/>
    </row>
    <row r="9" spans="1:19" ht="40.5" customHeight="1">
      <c r="A9" s="5">
        <f t="shared" si="0"/>
        <v>4</v>
      </c>
      <c r="B9" s="145" t="s">
        <v>105</v>
      </c>
      <c r="C9" s="146"/>
      <c r="D9" s="147" t="s">
        <v>110</v>
      </c>
      <c r="E9" s="148"/>
      <c r="F9" s="149"/>
      <c r="G9" s="110" t="s">
        <v>107</v>
      </c>
      <c r="H9" s="111">
        <v>60</v>
      </c>
      <c r="I9" s="112">
        <v>87</v>
      </c>
      <c r="J9" s="112">
        <f t="shared" si="1"/>
        <v>5220</v>
      </c>
      <c r="K9" s="113"/>
      <c r="L9" s="114"/>
      <c r="S9" s="105"/>
    </row>
    <row r="10" spans="1:19" ht="40.5" customHeight="1">
      <c r="A10" s="5">
        <f t="shared" si="0"/>
        <v>5</v>
      </c>
      <c r="B10" s="151" t="s">
        <v>111</v>
      </c>
      <c r="C10" s="151"/>
      <c r="D10" s="152" t="s">
        <v>112</v>
      </c>
      <c r="E10" s="152"/>
      <c r="F10" s="152"/>
      <c r="G10" s="110" t="s">
        <v>107</v>
      </c>
      <c r="H10" s="111">
        <v>49.3</v>
      </c>
      <c r="I10" s="115">
        <v>88</v>
      </c>
      <c r="J10" s="112">
        <f t="shared" si="1"/>
        <v>4338.3999999999996</v>
      </c>
      <c r="K10" s="113"/>
      <c r="L10" s="110"/>
      <c r="S10" s="105"/>
    </row>
    <row r="11" spans="1:19" ht="40.5" customHeight="1">
      <c r="A11" s="5">
        <f t="shared" si="0"/>
        <v>6</v>
      </c>
      <c r="B11" s="151" t="s">
        <v>111</v>
      </c>
      <c r="C11" s="151"/>
      <c r="D11" s="152" t="s">
        <v>113</v>
      </c>
      <c r="E11" s="152"/>
      <c r="F11" s="152"/>
      <c r="G11" s="110" t="s">
        <v>107</v>
      </c>
      <c r="H11" s="125">
        <v>299.3</v>
      </c>
      <c r="I11" s="112">
        <v>87</v>
      </c>
      <c r="J11" s="112">
        <f t="shared" si="1"/>
        <v>26039.100000000002</v>
      </c>
      <c r="K11" s="113"/>
      <c r="L11" s="114"/>
      <c r="S11" s="105"/>
    </row>
    <row r="12" spans="1:19" ht="22.5" hidden="1" customHeight="1">
      <c r="A12" s="5">
        <f t="shared" si="0"/>
        <v>7</v>
      </c>
      <c r="B12" s="151"/>
      <c r="C12" s="151"/>
      <c r="D12" s="152"/>
      <c r="E12" s="152"/>
      <c r="F12" s="152"/>
      <c r="G12" s="110"/>
      <c r="H12" s="111"/>
      <c r="I12" s="115"/>
      <c r="J12" s="112"/>
      <c r="K12" s="113"/>
      <c r="L12" s="110"/>
      <c r="S12" s="105"/>
    </row>
    <row r="13" spans="1:19" ht="22.5" hidden="1" customHeight="1">
      <c r="A13" s="5">
        <f t="shared" si="0"/>
        <v>8</v>
      </c>
      <c r="B13" s="145"/>
      <c r="C13" s="146"/>
      <c r="D13" s="147"/>
      <c r="E13" s="148"/>
      <c r="F13" s="149"/>
      <c r="G13" s="110"/>
      <c r="H13" s="111"/>
      <c r="I13" s="112"/>
      <c r="J13" s="112"/>
      <c r="K13" s="113"/>
      <c r="L13" s="114"/>
      <c r="S13" s="105"/>
    </row>
    <row r="14" spans="1:19" ht="22.5" hidden="1" customHeight="1">
      <c r="A14" s="5">
        <f t="shared" si="0"/>
        <v>9</v>
      </c>
      <c r="B14" s="145"/>
      <c r="C14" s="146"/>
      <c r="D14" s="147"/>
      <c r="E14" s="148"/>
      <c r="F14" s="149"/>
      <c r="G14" s="110"/>
      <c r="H14" s="111"/>
      <c r="I14" s="112"/>
      <c r="J14" s="112"/>
      <c r="K14" s="113"/>
      <c r="L14" s="114"/>
      <c r="S14" s="105"/>
    </row>
    <row r="15" spans="1:19" ht="22.5" hidden="1" customHeight="1">
      <c r="A15" s="5">
        <f t="shared" si="0"/>
        <v>10</v>
      </c>
      <c r="B15" s="145"/>
      <c r="C15" s="146"/>
      <c r="D15" s="147"/>
      <c r="E15" s="148"/>
      <c r="F15" s="149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53" t="s">
        <v>8</v>
      </c>
      <c r="B16" s="154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61342.625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6"/>
      <c r="T19" s="14"/>
      <c r="U19" s="15"/>
      <c r="V19" s="14"/>
    </row>
    <row r="20" spans="1:22" ht="17.100000000000001" customHeight="1">
      <c r="O20" s="11"/>
      <c r="P20" s="11"/>
      <c r="Q20" s="11"/>
      <c r="S20" s="15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8" t="s">
        <v>17</v>
      </c>
      <c r="Q21" s="158" t="s">
        <v>18</v>
      </c>
    </row>
    <row r="22" spans="1:22" ht="18" customHeight="1">
      <c r="O22" s="18" t="s">
        <v>19</v>
      </c>
      <c r="P22" s="159"/>
      <c r="Q22" s="159"/>
      <c r="S22" s="15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0"/>
      <c r="P27" s="160"/>
      <c r="Q27" s="160"/>
    </row>
    <row r="28" spans="1:22" ht="19.899999999999999" customHeight="1">
      <c r="O28" s="160"/>
      <c r="P28" s="160"/>
      <c r="Q28" s="160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8" t="s">
        <v>21</v>
      </c>
    </row>
    <row r="41" spans="15:22" ht="19.899999999999999" customHeight="1">
      <c r="T41" s="159"/>
    </row>
    <row r="42" spans="15:22" ht="64.900000000000006" customHeight="1">
      <c r="T42" s="14"/>
    </row>
    <row r="46" spans="15:22" ht="21" customHeight="1">
      <c r="O46" s="158" t="s">
        <v>21</v>
      </c>
      <c r="P46" s="158" t="s">
        <v>21</v>
      </c>
      <c r="Q46" s="158" t="s">
        <v>21</v>
      </c>
      <c r="T46" s="158" t="s">
        <v>22</v>
      </c>
      <c r="U46" s="158" t="s">
        <v>13</v>
      </c>
      <c r="V46" s="158" t="s">
        <v>21</v>
      </c>
    </row>
    <row r="47" spans="15:22" ht="21" customHeight="1">
      <c r="O47" s="159"/>
      <c r="P47" s="159"/>
      <c r="Q47" s="159"/>
      <c r="T47" s="157"/>
      <c r="U47" s="157"/>
      <c r="V47" s="15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8" t="s">
        <v>21</v>
      </c>
      <c r="P50" s="158" t="s">
        <v>21</v>
      </c>
      <c r="Q50" s="158" t="s">
        <v>21</v>
      </c>
      <c r="T50" s="158" t="s">
        <v>13</v>
      </c>
      <c r="U50" s="158" t="s">
        <v>22</v>
      </c>
      <c r="V50" s="158" t="s">
        <v>21</v>
      </c>
    </row>
    <row r="51" spans="15:22" ht="21" customHeight="1">
      <c r="O51" s="159"/>
      <c r="P51" s="159"/>
      <c r="Q51" s="159"/>
      <c r="T51" s="157"/>
      <c r="U51" s="157"/>
      <c r="V51" s="15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29" t="str">
        <f>+MRS!J2</f>
        <v>Subcontract name (SAC2-SC-IK-SMP-01)</v>
      </c>
      <c r="K2" s="131"/>
    </row>
    <row r="3" spans="1:18" ht="24.95" customHeight="1">
      <c r="A3" s="3" t="str">
        <f>+MRS!A3</f>
        <v xml:space="preserve">  MRS No : SAC2-DS-MRS-0066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45782</v>
      </c>
    </row>
    <row r="4" spans="1:18" ht="15.95" customHeight="1">
      <c r="A4" s="161" t="s">
        <v>2</v>
      </c>
      <c r="B4" s="162" t="s">
        <v>23</v>
      </c>
      <c r="C4" s="162"/>
      <c r="D4" s="161" t="s">
        <v>4</v>
      </c>
      <c r="E4" s="161"/>
      <c r="F4" s="161"/>
      <c r="G4" s="162" t="s">
        <v>5</v>
      </c>
      <c r="H4" s="161" t="s">
        <v>91</v>
      </c>
      <c r="I4" s="161" t="s">
        <v>24</v>
      </c>
      <c r="J4" s="161" t="s">
        <v>25</v>
      </c>
      <c r="K4" s="162" t="s">
        <v>7</v>
      </c>
    </row>
    <row r="5" spans="1:18" ht="15.95" customHeight="1">
      <c r="A5" s="161"/>
      <c r="B5" s="162"/>
      <c r="C5" s="162"/>
      <c r="D5" s="161"/>
      <c r="E5" s="161"/>
      <c r="F5" s="161"/>
      <c r="G5" s="162"/>
      <c r="H5" s="161"/>
      <c r="I5" s="161"/>
      <c r="J5" s="161"/>
      <c r="K5" s="162"/>
    </row>
    <row r="6" spans="1:18" ht="105" customHeight="1">
      <c r="A6" s="21">
        <f>+MRS!A6</f>
        <v>1</v>
      </c>
      <c r="B6" s="163" t="str">
        <f>MRS!B6</f>
        <v>Tig Wire</v>
      </c>
      <c r="C6" s="164"/>
      <c r="D6" s="165" t="str">
        <f>MRS!D6</f>
        <v>GTAW, OK TIGROD 12.60,ER70S-3,2.4MM 5KG/PK</v>
      </c>
      <c r="E6" s="166"/>
      <c r="F6" s="167"/>
      <c r="G6" s="102" t="str">
        <f>MRS!G6</f>
        <v>KG</v>
      </c>
      <c r="H6" s="102">
        <f>MRS!H6</f>
        <v>400</v>
      </c>
      <c r="I6" s="103">
        <f>MRS!I6</f>
        <v>17.45</v>
      </c>
      <c r="J6" s="103">
        <f>MRS!J6</f>
        <v>6980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3" t="str">
        <f>MRS!B7</f>
        <v>Tig Wire</v>
      </c>
      <c r="C7" s="164"/>
      <c r="D7" s="165" t="str">
        <f>MRS!D7</f>
        <v>OK 48.04 L, E7018, 3.2X350MM Brazil</v>
      </c>
      <c r="E7" s="166"/>
      <c r="F7" s="167"/>
      <c r="G7" s="102" t="str">
        <f>MRS!G7</f>
        <v>KG</v>
      </c>
      <c r="H7" s="102">
        <f>MRS!H7</f>
        <v>500</v>
      </c>
      <c r="I7" s="103">
        <f>MRS!I7</f>
        <v>17.8</v>
      </c>
      <c r="J7" s="103">
        <f>MRS!J7</f>
        <v>8900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3" t="str">
        <f>MRS!B8</f>
        <v>Tig Wire</v>
      </c>
      <c r="C8" s="164"/>
      <c r="D8" s="165" t="str">
        <f>MRS!D8</f>
        <v>OK 48.04 L, E7018, 2.5X350MM Brazil</v>
      </c>
      <c r="E8" s="166"/>
      <c r="F8" s="167"/>
      <c r="G8" s="102" t="str">
        <f>MRS!G8</f>
        <v>KG</v>
      </c>
      <c r="H8" s="102">
        <f>MRS!H8</f>
        <v>499.5</v>
      </c>
      <c r="I8" s="103">
        <f>MRS!I8</f>
        <v>19.75</v>
      </c>
      <c r="J8" s="103">
        <f>MRS!J8</f>
        <v>9865.125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3" t="str">
        <f>MRS!B9</f>
        <v>Tig Wire</v>
      </c>
      <c r="C9" s="164"/>
      <c r="D9" s="165" t="str">
        <f>MRS!D9</f>
        <v>GTAW, OK TIGROD 16.30,ER316L, 2.4 mm 5.0 kg</v>
      </c>
      <c r="E9" s="166"/>
      <c r="F9" s="167"/>
      <c r="G9" s="102" t="str">
        <f>MRS!G9</f>
        <v>KG</v>
      </c>
      <c r="H9" s="102">
        <f>MRS!H9</f>
        <v>60</v>
      </c>
      <c r="I9" s="103">
        <f>MRS!I9</f>
        <v>87</v>
      </c>
      <c r="J9" s="103">
        <f>MRS!J9</f>
        <v>5220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3" t="str">
        <f>MRS!B10</f>
        <v>Welding Electrodes</v>
      </c>
      <c r="C10" s="164"/>
      <c r="D10" s="165" t="str">
        <f>MRS!D10</f>
        <v>SMAW OK 63.98, E316L-16. 2.5X300MM, 10.2 KG</v>
      </c>
      <c r="E10" s="166"/>
      <c r="F10" s="167"/>
      <c r="G10" s="102" t="str">
        <f>MRS!G10</f>
        <v>KG</v>
      </c>
      <c r="H10" s="102">
        <f>MRS!H10</f>
        <v>49.3</v>
      </c>
      <c r="I10" s="103">
        <f>MRS!I10</f>
        <v>88</v>
      </c>
      <c r="J10" s="103">
        <f>MRS!J10</f>
        <v>4338.3999999999996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3" t="str">
        <f>MRS!B11</f>
        <v>Welding Electrodes</v>
      </c>
      <c r="C11" s="164"/>
      <c r="D11" s="165" t="str">
        <f>MRS!D11</f>
        <v>SMAW OK 63.98, E316L-16. 3.2X350MM, 4.1 KG</v>
      </c>
      <c r="E11" s="166"/>
      <c r="F11" s="167"/>
      <c r="G11" s="102" t="str">
        <f>MRS!G11</f>
        <v>KG</v>
      </c>
      <c r="H11" s="102">
        <f>MRS!H11</f>
        <v>299.3</v>
      </c>
      <c r="I11" s="103">
        <f>MRS!I11</f>
        <v>87</v>
      </c>
      <c r="J11" s="103">
        <f>MRS!J11</f>
        <v>26039.100000000002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8"/>
      <c r="C12" s="169"/>
      <c r="D12" s="170"/>
      <c r="E12" s="171"/>
      <c r="F12" s="172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8"/>
      <c r="C13" s="169"/>
      <c r="D13" s="170"/>
      <c r="E13" s="171"/>
      <c r="F13" s="172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8"/>
      <c r="C14" s="169"/>
      <c r="D14" s="170"/>
      <c r="E14" s="171"/>
      <c r="F14" s="172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8"/>
      <c r="C15" s="169"/>
      <c r="D15" s="170"/>
      <c r="E15" s="171"/>
      <c r="F15" s="172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8"/>
      <c r="C16" s="169"/>
      <c r="D16" s="170"/>
      <c r="E16" s="171"/>
      <c r="F16" s="172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8"/>
      <c r="C17" s="169"/>
      <c r="D17" s="170"/>
      <c r="E17" s="171"/>
      <c r="F17" s="172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Q86"/>
  <sheetViews>
    <sheetView view="pageBreakPreview" topLeftCell="A29" zoomScale="130" zoomScaleNormal="100" zoomScaleSheetLayoutView="130" workbookViewId="0">
      <selection activeCell="Q27" sqref="Q2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103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115</v>
      </c>
      <c r="D9" s="38"/>
      <c r="E9" s="38"/>
    </row>
    <row r="10" spans="2:13" s="38" customFormat="1">
      <c r="B10" s="71"/>
      <c r="C10" s="38" t="s">
        <v>32</v>
      </c>
      <c r="D10" s="75" t="s">
        <v>116</v>
      </c>
      <c r="J10" s="38" t="s">
        <v>33</v>
      </c>
      <c r="K10" s="174">
        <f>MRS!L3</f>
        <v>45782</v>
      </c>
      <c r="L10" s="175"/>
      <c r="M10" s="175"/>
    </row>
    <row r="11" spans="2:13" s="38" customFormat="1">
      <c r="B11" s="71"/>
      <c r="C11" s="74" t="s">
        <v>34</v>
      </c>
      <c r="D11" s="75" t="s">
        <v>119</v>
      </c>
      <c r="J11" s="38" t="s">
        <v>35</v>
      </c>
      <c r="K11" s="176" t="str">
        <f>SUBSTITUTE(SUBSTITUTE(+MRS!A3,"  MRS No : ",""),"-MRS","-PO")</f>
        <v>SAC2-DS-PO-0066</v>
      </c>
      <c r="L11" s="176"/>
      <c r="M11" s="176"/>
    </row>
    <row r="12" spans="2:13" s="38" customFormat="1">
      <c r="B12" s="71"/>
      <c r="C12" s="74" t="s">
        <v>36</v>
      </c>
      <c r="D12" s="38" t="s">
        <v>117</v>
      </c>
      <c r="J12" s="38" t="s">
        <v>37</v>
      </c>
    </row>
    <row r="13" spans="2:13" s="38" customFormat="1">
      <c r="B13" s="71"/>
      <c r="C13" s="76"/>
      <c r="D13" s="75" t="s">
        <v>122</v>
      </c>
      <c r="J13" s="38" t="s">
        <v>38</v>
      </c>
    </row>
    <row r="14" spans="2:13" s="38" customFormat="1">
      <c r="B14" s="71"/>
      <c r="C14" s="76" t="s">
        <v>121</v>
      </c>
      <c r="J14" s="38" t="s">
        <v>39</v>
      </c>
      <c r="K14" s="75" t="s">
        <v>118</v>
      </c>
    </row>
    <row r="15" spans="2:13" s="38" customFormat="1">
      <c r="B15" s="71"/>
      <c r="C15" s="76" t="s">
        <v>123</v>
      </c>
      <c r="J15" s="38" t="s">
        <v>40</v>
      </c>
      <c r="K15" s="77">
        <v>45781</v>
      </c>
    </row>
    <row r="16" spans="2:13" s="38" customFormat="1">
      <c r="C16" s="76"/>
      <c r="K16" s="77"/>
    </row>
    <row r="17" spans="2:17" ht="6" customHeight="1">
      <c r="C17" s="29"/>
      <c r="K17" s="30"/>
    </row>
    <row r="18" spans="2:17" ht="20.25">
      <c r="B18" s="177" t="s">
        <v>41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7" ht="12" customHeight="1"/>
    <row r="20" spans="2:17" s="31" customFormat="1" ht="12" customHeight="1">
      <c r="B20" s="178" t="s">
        <v>42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Q20" s="31" t="s">
        <v>101</v>
      </c>
    </row>
    <row r="21" spans="2:17" s="31" customFormat="1" ht="12" customHeight="1">
      <c r="B21" s="178" t="s">
        <v>43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7" s="31" customFormat="1" ht="12" customHeight="1">
      <c r="B22" s="178" t="s">
        <v>44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7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7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7" s="32" customFormat="1" ht="20.100000000000001" customHeight="1">
      <c r="B25" s="32">
        <v>1</v>
      </c>
      <c r="C25" s="32" t="s">
        <v>45</v>
      </c>
    </row>
    <row r="26" spans="2:17" s="38" customFormat="1" ht="15" customHeight="1">
      <c r="B26" s="72"/>
      <c r="C26" s="75" t="s">
        <v>111</v>
      </c>
      <c r="M26" s="78" t="s">
        <v>46</v>
      </c>
    </row>
    <row r="27" spans="2:17" ht="11.1" customHeight="1">
      <c r="B27" s="32"/>
    </row>
    <row r="28" spans="2:17" ht="20.100000000000001" customHeight="1">
      <c r="B28" s="32">
        <v>2</v>
      </c>
      <c r="C28" s="32" t="s">
        <v>47</v>
      </c>
    </row>
    <row r="29" spans="2:17" ht="15" customHeight="1">
      <c r="B29" s="32"/>
      <c r="C29" s="26" t="s">
        <v>48</v>
      </c>
      <c r="E29" s="26" t="s">
        <v>49</v>
      </c>
      <c r="F29" s="124">
        <f>'PO 2nd page'!G18</f>
        <v>61342.625</v>
      </c>
      <c r="G29" s="124"/>
      <c r="H29" s="124"/>
      <c r="M29" s="33"/>
    </row>
    <row r="30" spans="2:17" ht="15" customHeight="1">
      <c r="B30" s="32"/>
      <c r="C30" s="26" t="s">
        <v>50</v>
      </c>
      <c r="E30" s="26" t="s">
        <v>49</v>
      </c>
      <c r="F30" s="124">
        <f>'PO 2nd page'!G19</f>
        <v>9201.3937499999993</v>
      </c>
      <c r="G30" s="124"/>
      <c r="H30" s="124"/>
    </row>
    <row r="31" spans="2:17" ht="15" customHeight="1">
      <c r="B31" s="32"/>
      <c r="C31" s="26" t="s">
        <v>51</v>
      </c>
      <c r="D31" s="34"/>
      <c r="E31" s="26" t="s">
        <v>49</v>
      </c>
      <c r="F31" s="124">
        <f>'PO 2nd page'!G20</f>
        <v>70544.018750000003</v>
      </c>
      <c r="G31" s="124"/>
      <c r="H31" s="124"/>
    </row>
    <row r="32" spans="2:17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8" customFormat="1" ht="15" customHeight="1">
      <c r="B49" s="79" t="s">
        <v>65</v>
      </c>
      <c r="C49" s="80" t="s">
        <v>100</v>
      </c>
      <c r="P49" s="81"/>
    </row>
    <row r="50" spans="1:16" s="82" customFormat="1" ht="15" customHeight="1">
      <c r="B50" s="83" t="s">
        <v>65</v>
      </c>
      <c r="C50" s="80" t="s">
        <v>93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Rameez Abdul Khadar</v>
      </c>
    </row>
    <row r="60" spans="1:16" ht="18" customHeight="1">
      <c r="B60" s="26" t="s">
        <v>71</v>
      </c>
      <c r="J60" s="26" t="s">
        <v>72</v>
      </c>
      <c r="K60" s="22" t="s">
        <v>120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102</v>
      </c>
      <c r="J62" s="181" t="str">
        <f>C9</f>
        <v>OWTC(Ocean Wings Trading Co.)</v>
      </c>
      <c r="K62" s="181"/>
      <c r="L62" s="181"/>
      <c r="M62" s="181"/>
    </row>
    <row r="63" spans="1:16" ht="27.95" customHeight="1">
      <c r="A63" s="173" t="s">
        <v>75</v>
      </c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L12" sqref="L12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SAC2-DS-PO-0066</v>
      </c>
      <c r="C2" s="184" t="s">
        <v>77</v>
      </c>
      <c r="D2" s="184"/>
      <c r="E2" s="184"/>
      <c r="F2" s="184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45782</v>
      </c>
      <c r="C3" s="50"/>
      <c r="D3" s="51"/>
      <c r="E3" s="185" t="s">
        <v>79</v>
      </c>
      <c r="F3" s="185"/>
      <c r="G3" s="185"/>
      <c r="H3" s="185"/>
      <c r="I3" s="52"/>
    </row>
    <row r="4" spans="1:13" s="54" customFormat="1" ht="28.5" customHeight="1" thickTop="1">
      <c r="A4" s="186" t="s">
        <v>80</v>
      </c>
      <c r="B4" s="188" t="s">
        <v>81</v>
      </c>
      <c r="C4" s="189"/>
      <c r="D4" s="192" t="s">
        <v>82</v>
      </c>
      <c r="E4" s="192" t="s">
        <v>83</v>
      </c>
      <c r="F4" s="194" t="str">
        <f>'PO 1st page'!C9</f>
        <v>OWTC(Ocean Wings Trading Co.)</v>
      </c>
      <c r="G4" s="195"/>
      <c r="H4" s="196" t="s">
        <v>84</v>
      </c>
      <c r="K4" s="55"/>
      <c r="L4" s="55"/>
      <c r="M4" s="55"/>
    </row>
    <row r="5" spans="1:13" s="54" customFormat="1" ht="21.95" customHeight="1">
      <c r="A5" s="187"/>
      <c r="B5" s="190"/>
      <c r="C5" s="191"/>
      <c r="D5" s="193"/>
      <c r="E5" s="193"/>
      <c r="F5" s="56" t="s">
        <v>85</v>
      </c>
      <c r="G5" s="56" t="s">
        <v>51</v>
      </c>
      <c r="H5" s="197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2" t="str">
        <f>MRS!B6&amp;" "&amp;MRS!D6</f>
        <v>Tig Wire GTAW, OK TIGROD 12.60,ER70S-3,2.4MM 5KG/PK</v>
      </c>
      <c r="C6" s="183"/>
      <c r="D6" s="85" t="str">
        <f>+'MRS LIST'!G6</f>
        <v>KG</v>
      </c>
      <c r="E6" s="86">
        <f>+'MRS LIST'!H6</f>
        <v>400</v>
      </c>
      <c r="F6" s="87">
        <f>+'MRS LIST'!I6</f>
        <v>17.45</v>
      </c>
      <c r="G6" s="88">
        <f>+'MRS LIST'!J6</f>
        <v>6980</v>
      </c>
      <c r="H6" s="89"/>
      <c r="K6" s="90"/>
      <c r="L6" s="91"/>
      <c r="M6" s="55"/>
    </row>
    <row r="7" spans="1:13" s="54" customFormat="1" ht="32.1" customHeight="1">
      <c r="A7" s="84">
        <f t="shared" si="0"/>
        <v>2</v>
      </c>
      <c r="B7" s="182" t="str">
        <f>MRS!B7&amp;" "&amp;MRS!D7</f>
        <v>Tig Wire OK 48.04 L, E7018, 3.2X350MM Brazil</v>
      </c>
      <c r="C7" s="183"/>
      <c r="D7" s="85" t="str">
        <f>+'MRS LIST'!G7</f>
        <v>KG</v>
      </c>
      <c r="E7" s="86">
        <f>+'MRS LIST'!H7</f>
        <v>500</v>
      </c>
      <c r="F7" s="87">
        <f>+'MRS LIST'!I7</f>
        <v>17.8</v>
      </c>
      <c r="G7" s="88">
        <f>+'MRS LIST'!J7</f>
        <v>8900</v>
      </c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2" t="str">
        <f>MRS!B8&amp;" "&amp;MRS!D8</f>
        <v>Tig Wire OK 48.04 L, E7018, 2.5X350MM Brazil</v>
      </c>
      <c r="C8" s="183"/>
      <c r="D8" s="85" t="str">
        <f>+'MRS LIST'!G8</f>
        <v>KG</v>
      </c>
      <c r="E8" s="86">
        <f>+'MRS LIST'!H8</f>
        <v>499.5</v>
      </c>
      <c r="F8" s="87">
        <f>+'MRS LIST'!I8</f>
        <v>19.75</v>
      </c>
      <c r="G8" s="88">
        <f>+'MRS LIST'!J8</f>
        <v>9865.125</v>
      </c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2" t="str">
        <f>MRS!B9&amp;" "&amp;MRS!D9</f>
        <v>Tig Wire GTAW, OK TIGROD 16.30,ER316L, 2.4 mm 5.0 kg</v>
      </c>
      <c r="C9" s="183"/>
      <c r="D9" s="85" t="str">
        <f>+'MRS LIST'!G9</f>
        <v>KG</v>
      </c>
      <c r="E9" s="86">
        <f>+'MRS LIST'!H9</f>
        <v>60</v>
      </c>
      <c r="F9" s="87">
        <f>+'MRS LIST'!I9</f>
        <v>87</v>
      </c>
      <c r="G9" s="88">
        <f>+'MRS LIST'!J9</f>
        <v>5220</v>
      </c>
      <c r="H9" s="97"/>
    </row>
    <row r="10" spans="1:13" s="54" customFormat="1" ht="32.1" customHeight="1">
      <c r="A10" s="92">
        <f t="shared" si="0"/>
        <v>5</v>
      </c>
      <c r="B10" s="182" t="str">
        <f>MRS!B10&amp;" "&amp;MRS!D10</f>
        <v>Welding Electrodes SMAW OK 63.98, E316L-16. 2.5X300MM, 10.2 KG</v>
      </c>
      <c r="C10" s="183"/>
      <c r="D10" s="85" t="str">
        <f>+'MRS LIST'!G10</f>
        <v>KG</v>
      </c>
      <c r="E10" s="86">
        <f>+'MRS LIST'!H10</f>
        <v>49.3</v>
      </c>
      <c r="F10" s="87">
        <f>+'MRS LIST'!I10</f>
        <v>88</v>
      </c>
      <c r="G10" s="88">
        <f>+'MRS LIST'!J10</f>
        <v>4338.3999999999996</v>
      </c>
      <c r="H10" s="97"/>
    </row>
    <row r="11" spans="1:13" s="54" customFormat="1" ht="32.1" customHeight="1">
      <c r="A11" s="92">
        <f t="shared" si="0"/>
        <v>6</v>
      </c>
      <c r="B11" s="182" t="str">
        <f>MRS!B11&amp;" "&amp;MRS!D11</f>
        <v>Welding Electrodes SMAW OK 63.98, E316L-16. 3.2X350MM, 4.1 KG</v>
      </c>
      <c r="C11" s="183"/>
      <c r="D11" s="85" t="str">
        <f>+'MRS LIST'!G11</f>
        <v>KG</v>
      </c>
      <c r="E11" s="86">
        <f>+'MRS LIST'!H11</f>
        <v>299.3</v>
      </c>
      <c r="F11" s="87">
        <f>+'MRS LIST'!I11</f>
        <v>87</v>
      </c>
      <c r="G11" s="88">
        <f>+'MRS LIST'!J11</f>
        <v>26039.100000000002</v>
      </c>
      <c r="H11" s="97"/>
    </row>
    <row r="12" spans="1:13" s="54" customFormat="1" ht="32.1" customHeight="1">
      <c r="A12" s="92">
        <f t="shared" si="0"/>
        <v>7</v>
      </c>
      <c r="B12" s="202"/>
      <c r="C12" s="203"/>
      <c r="D12" s="85"/>
      <c r="E12" s="86"/>
      <c r="F12" s="87"/>
      <c r="G12" s="88"/>
      <c r="H12" s="97"/>
    </row>
    <row r="13" spans="1:13" s="54" customFormat="1" ht="32.1" customHeight="1">
      <c r="A13" s="92">
        <f t="shared" si="0"/>
        <v>8</v>
      </c>
      <c r="B13" s="204"/>
      <c r="C13" s="205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204"/>
      <c r="C14" s="205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204"/>
      <c r="C15" s="205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204"/>
      <c r="C16" s="205"/>
      <c r="D16" s="93"/>
      <c r="E16" s="94"/>
      <c r="F16" s="95"/>
      <c r="G16" s="96"/>
      <c r="H16" s="97"/>
    </row>
    <row r="17" spans="1:13" s="54" customFormat="1" ht="32.1" customHeight="1">
      <c r="A17" s="92">
        <f t="shared" si="0"/>
        <v>12</v>
      </c>
      <c r="B17" s="204"/>
      <c r="C17" s="205"/>
      <c r="D17" s="93"/>
      <c r="E17" s="94"/>
      <c r="F17" s="95"/>
      <c r="G17" s="96"/>
      <c r="H17" s="97"/>
    </row>
    <row r="18" spans="1:13" s="54" customFormat="1" ht="23.1" customHeight="1">
      <c r="A18" s="198" t="s">
        <v>86</v>
      </c>
      <c r="B18" s="199"/>
      <c r="C18" s="199"/>
      <c r="D18" s="199"/>
      <c r="E18" s="199"/>
      <c r="F18" s="199"/>
      <c r="G18" s="57">
        <f>SUM(G6:G17)</f>
        <v>61342.625</v>
      </c>
      <c r="H18" s="58"/>
    </row>
    <row r="19" spans="1:13" s="54" customFormat="1" ht="23.1" customHeight="1">
      <c r="A19" s="198" t="s">
        <v>50</v>
      </c>
      <c r="B19" s="199"/>
      <c r="C19" s="199"/>
      <c r="D19" s="199"/>
      <c r="E19" s="199"/>
      <c r="F19" s="199"/>
      <c r="G19" s="57">
        <f>+G18*0.15</f>
        <v>9201.3937499999993</v>
      </c>
      <c r="H19" s="58"/>
    </row>
    <row r="20" spans="1:13" s="54" customFormat="1" ht="24.95" customHeight="1" thickBot="1">
      <c r="A20" s="200" t="s">
        <v>87</v>
      </c>
      <c r="B20" s="201"/>
      <c r="C20" s="201"/>
      <c r="D20" s="201"/>
      <c r="E20" s="201"/>
      <c r="F20" s="201"/>
      <c r="G20" s="59">
        <f>G19+G18</f>
        <v>70544.018750000003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23002405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88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3" t="s">
        <v>89</v>
      </c>
      <c r="B24" s="173"/>
      <c r="C24" s="173"/>
      <c r="D24" s="173"/>
      <c r="E24" s="173"/>
      <c r="F24" s="173"/>
      <c r="G24" s="173"/>
      <c r="H24" s="173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2025-05-05T04:12:41Z</cp:lastPrinted>
  <dcterms:created xsi:type="dcterms:W3CDTF">2024-10-20T11:50:19Z</dcterms:created>
  <dcterms:modified xsi:type="dcterms:W3CDTF">2025-05-05T04:13:25Z</dcterms:modified>
</cp:coreProperties>
</file>