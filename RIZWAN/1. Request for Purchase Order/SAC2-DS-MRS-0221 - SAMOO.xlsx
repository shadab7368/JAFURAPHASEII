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582FC96-23CD-42AE-A1B0-8ECC22BB46F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B7" i="4"/>
  <c r="J7" i="1"/>
  <c r="F30" i="3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E7" i="4" s="1"/>
  <c r="G7" i="2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<sst xmlns="http://schemas.openxmlformats.org/spreadsheetml/2006/main" count="157" uniqueCount="131">
  <si>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</si>
  <si>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</si>
  <si>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</si>
  <si>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</si>
  <si>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</si>
  <si>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</si>
  <si>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</si>
  <si>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</si>
  <si>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</si>
  <si>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</si>
  <si>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</si>
  <si>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</si>
  <si>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</si>
  <si>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</si>
  <si>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</si>
  <si>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</si>
  <si>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</si>
  <si>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</si>
  <si>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</si>
  <si>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</si>
  <si>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</si>
  <si>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</si>
  <si>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</si>
  <si>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</si>
  <si>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</si>
  <si>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</si>
  <si>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</si>
  <si>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</si>
  <si>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</si>
  <si>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</si>
  <si>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</si>
  <si>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</si>
  <si>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</si>
  <si>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</si>
  <si>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</si>
  <si>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</si>
  <si>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</si>
  <si>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</si>
  <si>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</si>
  <si>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</si>
  <si>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</si>
  <si>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</si>
  <si>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</si>
  <si>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</si>
  <si>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</si>
  <si>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</si>
  <si>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</si>
  <si>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</si>
  <si>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</si>
  <si>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</si>
  <si>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</si>
  <si>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</si>
  <si>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</si>
  <si>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</si>
  <si>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</si>
  <si>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</si>
  <si>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</si>
  <si>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</si>
  <si>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</si>
  <si>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</si>
  <si>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</si>
  <si>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</si>
  <si>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</si>
  <si>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</si>
  <si>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</si>
  <si>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</si>
  <si>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</si>
  <si>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</si>
  <si>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</si>
  <si>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</si>
  <si>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</si>
  <si>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</si>
  <si>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</si>
  <si>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</si>
  <si>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</si>
  <si>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</si>
  <si>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</si>
  <si>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</si>
  <si>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</si>
  <si>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</si>
  <si>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</si>
  <si>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</si>
  <si>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</si>
  <si>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</si>
  <si>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</si>
  <si>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</si>
  <si>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</si>
  <si>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</si>
  <si>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</si>
  <si>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</si>
  <si>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</si>
  <si>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</si>
  <si>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</si>
  <si>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</si>
  <si>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</si>
  <si>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</si>
  <si>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</si>
  <si>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</si>
  <si>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</si>
  <si>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</si>
  <si>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</si>
  <si>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</si>
  <si>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</si>
  <si>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</si>
  <si>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</si>
  <si>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</si>
  <si>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</si>
  <si>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</si>
  <si>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</si>
  <si>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</si>
  <si>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</si>
  <si>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</si>
  <si>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</si>
  <si>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</si>
  <si>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</si>
  <si>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</si>
  <si>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</si>
  <si>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</si>
  <si>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</si>
  <si>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</si>
  <si>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</si>
  <si>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</si>
  <si>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</si>
  <si>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</si>
  <si>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</si>
  <si>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-MRS-0221</t>
    </r>
  </si>
  <si>
    <t>Third Party Training and Certificate for Fall Arrestor</t>
  </si>
  <si>
    <t>Third Party Training and Certificate for Wire Rope Sling</t>
  </si>
  <si>
    <t>SAMOO-DAESHIN-MT-29-2026</t>
  </si>
  <si>
    <t>Third Party Inspection and Certificate for Fall Arrestor</t>
  </si>
  <si>
    <t>Third Party Inspection and Certificate for Wire Rope Sling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</si>
</sst>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45" t="s">
        <v>89</v>
      </c>
      <c r="K1" s="146"/>
      <c r="L1" s="147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61" t="s">
        <v>101</v>
      </c>
      <c r="K2" s="162"/>
      <c r="L2" s="163"/>
    </row>
    <row r="3" spans="1:18" ht="20.100000000000001" customHeight="1">
      <c r="A3" s="3" t="s">
        <v>125</v>
      </c>
      <c r="B3" s="100"/>
      <c r="C3" s="100"/>
      <c r="D3" s="100"/>
      <c r="E3" s="148">
        <f>+L3</f>
        <v>46061</v>
      </c>
      <c r="F3" s="148"/>
      <c r="G3" s="148"/>
      <c r="H3" s="148"/>
      <c r="I3" s="148"/>
      <c r="J3" s="100"/>
      <c r="K3" s="100"/>
      <c r="L3" s="121">
        <v>46061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93</v>
      </c>
      <c r="J4" s="149" t="s">
        <v>94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4" customHeight="1">
      <c r="A6" s="5">
        <f t="shared" ref="A6:A15" si="0">ROW(A1)</f>
        <v>1</v>
      </c>
      <c r="B6" s="133" t="s">
        <v>126</v>
      </c>
      <c r="C6" s="134"/>
      <c r="D6" s="135"/>
      <c r="E6" s="136"/>
      <c r="F6" s="137"/>
      <c r="G6" s="110" t="s">
        <v>109</v>
      </c>
      <c r="H6" s="111">
        <v>4</v>
      </c>
      <c r="I6" s="112">
        <v>55</v>
      </c>
      <c r="J6" s="112">
        <f>H6*I6</f>
        <v>220</v>
      </c>
      <c r="K6" s="113" t="s">
        <v>103</v>
      </c>
      <c r="L6" s="114" t="s">
        <v>110</v>
      </c>
      <c r="R6" s="105"/>
    </row>
    <row r="7" spans="1:18" ht="24" customHeight="1">
      <c r="A7" s="5">
        <f t="shared" si="0"/>
        <v>2</v>
      </c>
      <c r="B7" s="133" t="s">
        <v>127</v>
      </c>
      <c r="C7" s="134"/>
      <c r="D7" s="144"/>
      <c r="E7" s="136"/>
      <c r="F7" s="137"/>
      <c r="G7" s="110" t="s">
        <v>109</v>
      </c>
      <c r="H7" s="111">
        <v>11</v>
      </c>
      <c r="I7" s="112">
        <v>55</v>
      </c>
      <c r="J7" s="112">
        <f>H7*I7</f>
        <v>605</v>
      </c>
      <c r="K7" s="113"/>
      <c r="L7" s="114"/>
      <c r="R7" s="105"/>
    </row>
    <row r="8" spans="1:18" ht="22.5" customHeight="1">
      <c r="A8" s="5">
        <f t="shared" si="0"/>
        <v>3</v>
      </c>
      <c r="B8" s="133"/>
      <c r="C8" s="134"/>
      <c r="D8" s="135"/>
      <c r="E8" s="136"/>
      <c r="F8" s="137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3"/>
      <c r="C9" s="134"/>
      <c r="D9" s="135"/>
      <c r="E9" s="136"/>
      <c r="F9" s="137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42"/>
      <c r="C10" s="142"/>
      <c r="D10" s="143"/>
      <c r="E10" s="143"/>
      <c r="F10" s="14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3"/>
      <c r="C11" s="134"/>
      <c r="D11" s="135"/>
      <c r="E11" s="136"/>
      <c r="F11" s="137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42"/>
      <c r="C12" s="142"/>
      <c r="D12" s="143"/>
      <c r="E12" s="143"/>
      <c r="F12" s="14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3"/>
      <c r="C13" s="134"/>
      <c r="D13" s="135"/>
      <c r="E13" s="136"/>
      <c r="F13" s="137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3"/>
      <c r="C14" s="134"/>
      <c r="D14" s="135"/>
      <c r="E14" s="136"/>
      <c r="F14" s="137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3"/>
      <c r="C15" s="134"/>
      <c r="D15" s="135"/>
      <c r="E15" s="136"/>
      <c r="F15" s="137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8" t="s">
        <v>8</v>
      </c>
      <c r="B16" s="139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825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1"/>
      <c r="S20" s="15" t="s">
        <v>13</v>
      </c>
    </row>
    <row r="21" spans="1:19" ht="15" customHeight="1">
      <c r="O21" s="17" t="s">
        <v>14</v>
      </c>
      <c r="P21" s="129" t="s">
        <v>15</v>
      </c>
    </row>
    <row r="22" spans="1:19" ht="18" customHeight="1">
      <c r="O22" s="18" t="s">
        <v>16</v>
      </c>
      <c r="P22" s="130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2"/>
      <c r="P27" s="132"/>
    </row>
    <row r="28" spans="1:19" ht="19.899999999999999" customHeight="1">
      <c r="O28" s="132"/>
      <c r="P28" s="13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9" t="s">
        <v>18</v>
      </c>
      <c r="P46" s="129" t="s">
        <v>18</v>
      </c>
      <c r="S46" s="129" t="s">
        <v>12</v>
      </c>
    </row>
    <row r="47" spans="15:19" ht="21" customHeight="1">
      <c r="O47" s="130"/>
      <c r="P47" s="130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9" t="s">
        <v>18</v>
      </c>
      <c r="P50" s="129" t="s">
        <v>18</v>
      </c>
      <c r="S50" s="129" t="s">
        <v>19</v>
      </c>
    </row>
    <row r="51" spans="15:19" ht="21" customHeight="1">
      <c r="O51" s="130"/>
      <c r="P51" s="130"/>
      <c r="S51" s="131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SAC2-DS-MRS-0221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46061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90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Third Party Training and Certificate for Fall Arrestor</v>
      </c>
      <c r="C6" s="170"/>
      <c r="D6" s="171">
        <f>MRS!D6</f>
        <v>0</v>
      </c>
      <c r="E6" s="172"/>
      <c r="F6" s="173"/>
      <c r="G6" s="102" t="str">
        <f>MRS!G6</f>
        <v>EA</v>
      </c>
      <c r="H6" s="102">
        <f>MRS!H6</f>
        <v>4</v>
      </c>
      <c r="I6" s="103">
        <f>MRS!I6</f>
        <v>55</v>
      </c>
      <c r="J6" s="103">
        <f>MRS!J6</f>
        <v>220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9" t="str">
        <f>MRS!B7</f>
        <v>Third Party Training and Certificate for Wire Rope Sling</v>
      </c>
      <c r="C7" s="170"/>
      <c r="D7" s="171">
        <f>MRS!D7</f>
        <v>0</v>
      </c>
      <c r="E7" s="172"/>
      <c r="F7" s="173"/>
      <c r="G7" s="102" t="str">
        <f>MRS!G7</f>
        <v>EA</v>
      </c>
      <c r="H7" s="102">
        <f>MRS!H7</f>
        <v>11</v>
      </c>
      <c r="I7" s="103">
        <f>MRS!I7</f>
        <v>55</v>
      </c>
      <c r="J7" s="103">
        <f>MRS!J7</f>
        <v>605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9">
        <f>MRS!B9</f>
        <v>0</v>
      </c>
      <c r="C9" s="170"/>
      <c r="D9" s="171">
        <f>MRS!D9</f>
        <v>0</v>
      </c>
      <c r="E9" s="172"/>
      <c r="F9" s="173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7">
        <f>MRS!L3</f>
        <v>46061</v>
      </c>
      <c r="L10" s="178"/>
      <c r="M10" s="178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9" t="str">
        <f>SUBSTITUTE(SUBSTITUTE(+MRS!A3,"  MRS No : ",""),"-MRS","-PO")</f>
        <v>SAC2-DS-PO-0221</v>
      </c>
      <c r="L11" s="179"/>
      <c r="M11" s="17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128</v>
      </c>
    </row>
    <row r="15" spans="2:13" s="39" customFormat="1">
      <c r="B15" s="72"/>
      <c r="C15" s="77" t="s">
        <v>98</v>
      </c>
      <c r="J15" s="39" t="s">
        <v>38</v>
      </c>
      <c r="K15" s="78">
        <v>46061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129</v>
      </c>
      <c r="M26" s="127" t="s">
        <v>44</v>
      </c>
    </row>
    <row r="27" spans="2:13" ht="11.1" customHeight="1">
      <c r="B27" s="32"/>
      <c r="C27" s="26" t="s">
        <v>130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>
        <v>825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>
        <f>F29*15%</f>
        <v>123.75</v>
      </c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>
        <f>SUM(F29:G30)</f>
        <v>948.75</v>
      </c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4" t="s">
        <v>112</v>
      </c>
      <c r="F54" s="26" t="s">
        <v>120</v>
      </c>
    </row>
    <row r="55" spans="2:16" ht="12" customHeight="1">
      <c r="B55" s="83" t="s">
        <v>63</v>
      </c>
      <c r="C55" s="124" t="s">
        <v>113</v>
      </c>
      <c r="F55" s="125" t="s">
        <v>121</v>
      </c>
    </row>
    <row r="56" spans="2:16" ht="12" customHeight="1">
      <c r="B56" s="83" t="s">
        <v>63</v>
      </c>
      <c r="C56" s="124" t="s">
        <v>114</v>
      </c>
      <c r="F56" s="26" t="s">
        <v>124</v>
      </c>
    </row>
    <row r="57" spans="2:16" ht="12" customHeight="1">
      <c r="B57" s="83" t="s">
        <v>63</v>
      </c>
      <c r="C57" s="124" t="s">
        <v>115</v>
      </c>
      <c r="F57" s="26" t="s">
        <v>122</v>
      </c>
    </row>
    <row r="58" spans="2:16" ht="12" customHeight="1">
      <c r="B58" s="83" t="s">
        <v>63</v>
      </c>
      <c r="C58" s="124" t="s">
        <v>116</v>
      </c>
      <c r="F58" s="26" t="s">
        <v>123</v>
      </c>
    </row>
    <row r="59" spans="2:16" ht="12" customHeight="1">
      <c r="B59" s="83" t="s">
        <v>63</v>
      </c>
      <c r="C59" s="124" t="s">
        <v>117</v>
      </c>
      <c r="F59" s="26" t="s">
        <v>118</v>
      </c>
    </row>
    <row r="60" spans="2:16" ht="12" customHeight="1">
      <c r="B60" s="83"/>
      <c r="C60" s="128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SAMOO(Samoo Al Bahr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SAC2-DS-PO-0221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46061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SAMOO(Samoo Al Bahr Contracting Est.)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49</v>
      </c>
      <c r="H5" s="20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2" t="str">
        <f>CONCATENATE(MRS!B6," ",MRS!D6)</f>
        <v xml:space="preserve">Third Party Training and Certificate for Fall Arrestor </v>
      </c>
      <c r="C6" s="193"/>
      <c r="D6" s="85" t="str">
        <f>+'MRS LIST'!G6</f>
        <v>EA</v>
      </c>
      <c r="E6" s="86">
        <f>+'MRS LIST'!H6</f>
        <v>4</v>
      </c>
      <c r="F6" s="87">
        <f>+'MRS LIST'!I6</f>
        <v>55</v>
      </c>
      <c r="G6" s="88">
        <f>+'MRS LIST'!J6</f>
        <v>220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92" t="str">
        <f>CONCATENATE(MRS!B7," ",MRS!D7)</f>
        <v xml:space="preserve">Third Party Training and Certificate for Wire Rope Sling </v>
      </c>
      <c r="C7" s="193"/>
      <c r="D7" s="85" t="str">
        <f>+'MRS LIST'!G7</f>
        <v>EA</v>
      </c>
      <c r="E7" s="86">
        <f>+'MRS LIST'!H7</f>
        <v>11</v>
      </c>
      <c r="F7" s="87">
        <f>+'MRS LIST'!I7</f>
        <v>55</v>
      </c>
      <c r="G7" s="88">
        <f>+'MRS LIST'!J7</f>
        <v>605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92"/>
      <c r="C8" s="193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92"/>
      <c r="C9" s="193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92"/>
      <c r="C10" s="193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92"/>
      <c r="C11" s="193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90"/>
      <c r="C12" s="191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90"/>
      <c r="C13" s="191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90"/>
      <c r="C14" s="191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90"/>
      <c r="C15" s="191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90"/>
      <c r="C16" s="191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90"/>
      <c r="C17" s="191"/>
      <c r="D17" s="93"/>
      <c r="E17" s="94"/>
      <c r="F17" s="95"/>
      <c r="G17" s="96"/>
      <c r="H17" s="97"/>
    </row>
    <row r="18" spans="1:13" s="55" customFormat="1" ht="23.1" customHeight="1">
      <c r="A18" s="186" t="s">
        <v>85</v>
      </c>
      <c r="B18" s="187"/>
      <c r="C18" s="187"/>
      <c r="D18" s="187"/>
      <c r="E18" s="187"/>
      <c r="F18" s="187"/>
      <c r="G18" s="58">
        <f>SUM(G6:G17)</f>
        <v>825</v>
      </c>
      <c r="H18" s="59"/>
    </row>
    <row r="19" spans="1:13" s="55" customFormat="1" ht="23.1" customHeight="1">
      <c r="A19" s="186" t="s">
        <v>48</v>
      </c>
      <c r="B19" s="187"/>
      <c r="C19" s="187"/>
      <c r="D19" s="187"/>
      <c r="E19" s="187"/>
      <c r="F19" s="187"/>
      <c r="G19" s="58">
        <f>+G18*0.15</f>
        <v>123.75</v>
      </c>
      <c r="H19" s="59"/>
    </row>
    <row r="20" spans="1:13" s="55" customFormat="1" ht="24.95" customHeight="1" thickBot="1">
      <c r="A20" s="188" t="s">
        <v>86</v>
      </c>
      <c r="B20" s="189"/>
      <c r="C20" s="189"/>
      <c r="D20" s="189"/>
      <c r="E20" s="189"/>
      <c r="F20" s="189"/>
      <c r="G20" s="60">
        <f>G19+G18</f>
        <v>948.75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SAMOO-DAESHIN-MT-29-2026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2026-02-08T13:09:24Z</cp:lastPrinted>
  <dcterms:created xsi:type="dcterms:W3CDTF">2024-10-20T11:50:19Z</dcterms:created>
  <dcterms:modified xsi:type="dcterms:W3CDTF">2026-02-08T13:09:26Z</dcterms:modified>
</cp:coreProperties>
</file>