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0D615B6F-4AF5-4EFF-9CE1-FB779BA367E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<sst xmlns="http://schemas.openxmlformats.org/spreadsheetml/2006/main" count="155" uniqueCount="120">
  <si>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</si>
  <si>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</si>
  <si>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</si>
  <si>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</si>
  <si>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</si>
  <si>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</si>
  <si>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</si>
  <si>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</si>
  <si>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</si>
  <si>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</si>
  <si>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</si>
  <si>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</si>
  <si>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</si>
  <si>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</si>
  <si>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</si>
  <si>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</si>
  <si>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</si>
  <si>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</si>
  <si>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</si>
  <si>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</si>
  <si>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</si>
  <si>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</si>
  <si>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</si>
  <si>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</si>
  <si>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</si>
  <si>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</si>
  <si>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</si>
  <si>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</si>
  <si>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</si>
  <si>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</si>
  <si>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</si>
  <si>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</si>
  <si>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</si>
  <si>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</si>
  <si>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</si>
  <si>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</si>
  <si>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</si>
  <si>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</si>
  <si>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</si>
  <si>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</si>
  <si>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</si>
  <si>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</si>
  <si>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</si>
  <si>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</si>
  <si>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</si>
  <si>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</si>
  <si>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</si>
  <si>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</si>
  <si>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</si>
  <si>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</si>
  <si>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</si>
  <si>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</si>
  <si>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</si>
  <si>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</si>
  <si>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</si>
  <si>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</si>
  <si>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</si>
  <si>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</si>
  <si>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</si>
  <si>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</si>
  <si>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</si>
  <si>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</si>
  <si>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</si>
  <si>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</si>
  <si>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</si>
  <si>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</si>
  <si>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</si>
  <si>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</si>
  <si>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</si>
  <si>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</si>
  <si>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</si>
  <si>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</si>
  <si>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</si>
  <si>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</si>
  <si>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</si>
  <si>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</si>
  <si>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</si>
  <si>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</si>
  <si>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</si>
  <si>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</si>
  <si>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</si>
  <si>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</si>
  <si>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</si>
  <si>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</si>
  <si>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</si>
  <si>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</si>
  <si>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</si>
  <si>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</si>
  <si>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</si>
  <si>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</si>
  <si>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</si>
  <si>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</si>
  <si>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</si>
  <si>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</si>
  <si>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</si>
  <si>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</si>
  <si>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</si>
  <si>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</si>
  <si>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</si>
  <si>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</si>
  <si>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</si>
  <si>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</si>
  <si>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</si>
  <si>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</si>
  <si>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</t>
  </si>
  <si>
    <t>EA</t>
  </si>
  <si>
    <t>Monthly</t>
  </si>
  <si>
    <t>Ashok Leyland Bus with driver</t>
  </si>
  <si>
    <t>Ashok Leyland Bus with Driver</t>
  </si>
  <si>
    <t>HM</t>
  </si>
  <si>
    <t>HM-2740-25</t>
  </si>
  <si>
    <t>HM (Hani Ahmed Al-Menhali East. Contracting)</t>
  </si>
  <si>
    <t>2251049632</t>
  </si>
  <si>
    <t>300776977800003</t>
  </si>
  <si>
    <t>Vinay Kumar</t>
  </si>
  <si>
    <t>Mobile No. +966 53 9211148 / email: kumarsamsung198@gmail.com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</si>
  <si>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-MRS-0106</t>
    </r>
  </si>
  <si>
    <t>P.O. Box 3374 Al-Ahsa - Al-Hofuf - Riyadh st. KSA</t>
  </si>
  <si>
    <t>Mobile: +966 53 9211148</t>
  </si>
  <si>
    <t>Business Development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</si>
</sst>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9" ht="20.100000000000001" customHeight="1">
      <c r="A3" s="3" t="s">
        <v>116</v>
      </c>
      <c r="B3" s="100"/>
      <c r="C3" s="100"/>
      <c r="D3" s="100"/>
      <c r="E3" s="146">
        <f>+L3</f>
        <v>45890</v>
      </c>
      <c r="F3" s="146"/>
      <c r="G3" s="146"/>
      <c r="H3" s="146"/>
      <c r="I3" s="146"/>
      <c r="J3" s="100"/>
      <c r="K3" s="100"/>
      <c r="L3" s="121">
        <v>45890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104</v>
      </c>
      <c r="C6" s="130"/>
      <c r="D6" s="131" t="s">
        <v>107</v>
      </c>
      <c r="E6" s="132"/>
      <c r="F6" s="133"/>
      <c r="G6" s="110" t="s">
        <v>105</v>
      </c>
      <c r="H6" s="111">
        <v>1</v>
      </c>
      <c r="I6" s="112">
        <v>11500</v>
      </c>
      <c r="J6" s="112">
        <f>I6*H6</f>
        <v>11500</v>
      </c>
      <c r="K6" s="113" t="s">
        <v>109</v>
      </c>
      <c r="L6" s="114" t="s">
        <v>106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SAC2-DS-MRS-0106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45890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Bus</v>
      </c>
      <c r="C6" s="165"/>
      <c r="D6" s="166" t="str">
        <f>MRS!D6</f>
        <v>Ashok Leyland Bus with driver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11500</v>
      </c>
      <c r="J6" s="103">
        <f>MRS!J6</f>
        <v>11500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G6" sqref="G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111</v>
      </c>
      <c r="D9" s="38"/>
      <c r="E9" s="38"/>
    </row>
    <row r="10" spans="2:13" s="38" customFormat="1">
      <c r="B10" s="71"/>
      <c r="C10" s="38" t="s">
        <v>32</v>
      </c>
      <c r="D10" s="75" t="s">
        <v>112</v>
      </c>
      <c r="J10" s="38" t="s">
        <v>33</v>
      </c>
      <c r="K10" s="172">
        <f>MRS!L3</f>
        <v>45890</v>
      </c>
      <c r="L10" s="173"/>
      <c r="M10" s="173"/>
    </row>
    <row r="11" spans="2:13" s="38" customFormat="1">
      <c r="B11" s="71"/>
      <c r="C11" s="74" t="s">
        <v>34</v>
      </c>
      <c r="D11" s="75" t="s">
        <v>113</v>
      </c>
      <c r="J11" s="38" t="s">
        <v>35</v>
      </c>
      <c r="K11" s="174" t="str">
        <f>SUBSTITUTE(SUBSTITUTE(+MRS!A3,"  MRS No : ",""),"-MRS","-PO")</f>
        <v>SAC2-DS-PO-0106</v>
      </c>
      <c r="L11" s="174"/>
      <c r="M11" s="174"/>
    </row>
    <row r="12" spans="2:13" s="38" customFormat="1">
      <c r="B12" s="71"/>
      <c r="C12" s="74" t="s">
        <v>36</v>
      </c>
      <c r="D12" s="38" t="s">
        <v>114</v>
      </c>
      <c r="J12" s="38" t="s">
        <v>37</v>
      </c>
    </row>
    <row r="13" spans="2:13" s="38" customFormat="1">
      <c r="B13" s="71"/>
      <c r="C13" s="76"/>
      <c r="D13" s="75" t="s">
        <v>115</v>
      </c>
      <c r="J13" s="38" t="s">
        <v>38</v>
      </c>
    </row>
    <row r="14" spans="2:13" s="38" customFormat="1">
      <c r="B14" s="71"/>
      <c r="C14" s="76" t="s">
        <v>117</v>
      </c>
      <c r="J14" s="38" t="s">
        <v>39</v>
      </c>
      <c r="K14" s="38" t="s">
        <v>110</v>
      </c>
    </row>
    <row r="15" spans="2:13" s="38" customFormat="1">
      <c r="B15" s="71"/>
      <c r="C15" s="76" t="s">
        <v>118</v>
      </c>
      <c r="J15" s="38" t="s">
        <v>40</v>
      </c>
      <c r="K15" s="77">
        <v>45887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108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106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Vinay Kumar</v>
      </c>
    </row>
    <row r="60" spans="1:16" ht="18" customHeight="1">
      <c r="B60" s="26" t="s">
        <v>71</v>
      </c>
      <c r="J60" s="26" t="s">
        <v>72</v>
      </c>
      <c r="K60" s="22" t="s">
        <v>119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79" t="str">
        <f>C9</f>
        <v>HM (Hani Ahmed Al-Menhali East. Contracting)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SAC2-DS-PO-0106</v>
      </c>
      <c r="C2" s="188" t="s">
        <v>77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45890</v>
      </c>
      <c r="C3" s="50"/>
      <c r="D3" s="51"/>
      <c r="E3" s="189" t="s">
        <v>79</v>
      </c>
      <c r="F3" s="189"/>
      <c r="G3" s="189"/>
      <c r="H3" s="189"/>
      <c r="I3" s="52"/>
    </row>
    <row r="4" spans="1:13" s="54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HM (Hani Ahmed Al-Menhali East. Contracting)</v>
      </c>
      <c r="G4" s="199"/>
      <c r="H4" s="200" t="s">
        <v>84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85</v>
      </c>
      <c r="G5" s="56" t="s">
        <v>51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MRS!D6</f>
        <v>Ashok Leyland Bus with driver</v>
      </c>
      <c r="C6" s="187"/>
      <c r="D6" s="85" t="str">
        <f>+'MRS LIST'!G6</f>
        <v>EA</v>
      </c>
      <c r="E6" s="86">
        <f>+'MRS LIST'!H6</f>
        <v>1</v>
      </c>
      <c r="F6" s="87">
        <f>+'MRS LIST'!I6</f>
        <v>11500</v>
      </c>
      <c r="G6" s="88">
        <f>+'MRS LIST'!J6</f>
        <v>11500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86</v>
      </c>
      <c r="B18" s="181"/>
      <c r="C18" s="181"/>
      <c r="D18" s="181"/>
      <c r="E18" s="181"/>
      <c r="F18" s="181"/>
      <c r="G18" s="57">
        <f>SUM(G6:G17)</f>
        <v>11500</v>
      </c>
      <c r="H18" s="58"/>
    </row>
    <row r="19" spans="1:13" s="54" customFormat="1" ht="23.1" customHeight="1">
      <c r="A19" s="180" t="s">
        <v>50</v>
      </c>
      <c r="B19" s="181"/>
      <c r="C19" s="181"/>
      <c r="D19" s="181"/>
      <c r="E19" s="181"/>
      <c r="F19" s="181"/>
      <c r="G19" s="57">
        <f>+G18*0.15</f>
        <v>1725</v>
      </c>
      <c r="H19" s="58"/>
    </row>
    <row r="20" spans="1:13" s="54" customFormat="1" ht="24.95" customHeight="1" thickBot="1">
      <c r="A20" s="182" t="s">
        <v>87</v>
      </c>
      <c r="B20" s="183"/>
      <c r="C20" s="183"/>
      <c r="D20" s="183"/>
      <c r="E20" s="183"/>
      <c r="F20" s="183"/>
      <c r="G20" s="59">
        <f>G19+G18</f>
        <v>13225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HM-2740-25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2025-08-21T05:36:31Z</cp:lastPrinted>
  <dcterms:created xsi:type="dcterms:W3CDTF">2024-10-20T11:50:19Z</dcterms:created>
  <dcterms:modified xsi:type="dcterms:W3CDTF">2025-08-21T05:38:23Z</dcterms:modified>
</cp:coreProperties>
</file>