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DFA8EF6-A573-4B2B-A747-B1D5F16B4093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H10" i="4"/>
  <c r="H9" i="4"/>
  <c r="H8" i="4"/>
  <c r="G10" i="4"/>
  <c r="F10" i="4"/>
  <c r="E10" i="4"/>
  <c r="D10" i="4"/>
  <c r="G9" i="4"/>
  <c r="F9" i="4"/>
  <c r="E9" i="4"/>
  <c r="D9" i="4"/>
  <c r="G8" i="4"/>
  <c r="F8" i="4"/>
  <c r="E8" i="4"/>
  <c r="D8" i="4"/>
  <c r="B10" i="4"/>
  <c r="A10" i="4"/>
  <c r="A9" i="4"/>
  <c r="B9" i="4"/>
  <c r="B8" i="4"/>
  <c r="A8" i="4"/>
  <c r="J10" i="1"/>
  <c r="J9" i="1"/>
  <c r="J9" i="2" s="1"/>
  <c r="J8" i="1"/>
  <c r="E3" i="1"/>
  <c r="J10" i="2"/>
  <c r="H7" i="4"/>
  <c r="H6" i="4"/>
  <c r="D7" i="4"/>
  <c r="E7" i="4"/>
  <c r="F7" i="4"/>
  <c r="F6" i="4"/>
  <c r="E6" i="4"/>
  <c r="D6" i="4"/>
  <c r="B7" i="4"/>
  <c r="J7" i="1"/>
  <c r="G7" i="4" s="1"/>
  <c r="J11" i="1"/>
  <c r="J11" i="2" s="1"/>
  <c r="J12" i="1"/>
  <c r="J13" i="1"/>
  <c r="J14" i="1"/>
  <c r="J15" i="1"/>
  <c r="B6" i="4"/>
  <c r="A7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16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<sst xmlns="http://schemas.openxmlformats.org/spreadsheetml/2006/main" count="173" uniqueCount="140">
  <si>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</si>
  <si>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</si>
  <si>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</si>
  <si>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</si>
  <si>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</si>
  <si>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</si>
  <si>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</si>
  <si>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</si>
  <si>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</si>
  <si>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</si>
  <si>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</si>
  <si>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</si>
  <si>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</si>
  <si>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</si>
  <si>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</si>
  <si>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</si>
  <si>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</si>
  <si>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</si>
  <si>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</si>
  <si>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</si>
  <si>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</si>
  <si>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</si>
  <si>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</si>
  <si>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</si>
  <si>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</si>
  <si>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</si>
  <si>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</si>
  <si>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</si>
  <si>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</si>
  <si>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</si>
  <si>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</si>
  <si>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</si>
  <si>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</si>
  <si>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</si>
  <si>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</si>
  <si>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</si>
  <si>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</si>
  <si>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</si>
  <si>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</si>
  <si>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</si>
  <si>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</si>
  <si>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</si>
  <si>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</si>
  <si>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</si>
  <si>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</si>
  <si>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</si>
  <si>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</si>
  <si>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</si>
  <si>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</si>
  <si>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</si>
  <si>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</si>
  <si>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</si>
  <si>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</si>
  <si>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</si>
  <si>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</si>
  <si>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</si>
  <si>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</si>
  <si>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</si>
  <si>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</si>
  <si>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</si>
  <si>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</si>
  <si>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</si>
  <si>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</si>
  <si>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</si>
  <si>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</si>
  <si>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</si>
  <si>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</si>
  <si>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</si>
  <si>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</si>
  <si>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</si>
  <si>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</si>
  <si>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</si>
  <si>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</si>
  <si>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</si>
  <si>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</si>
  <si>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</si>
  <si>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</si>
  <si>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</si>
  <si>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</si>
  <si>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</si>
  <si>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</si>
  <si>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</si>
  <si>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</si>
  <si>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</si>
  <si>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</si>
  <si>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</si>
  <si>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</si>
  <si>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</si>
  <si>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</si>
  <si>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</si>
  <si>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</si>
  <si>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</si>
  <si>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</si>
  <si>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</si>
  <si>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</si>
  <si>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</si>
  <si>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</si>
  <si>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</si>
  <si>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</si>
  <si>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</si>
  <si>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</si>
  <si>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</si>
  <si>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</si>
  <si>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</si>
  <si>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</si>
  <si>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</si>
  <si>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</si>
  <si>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</si>
  <si>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</si>
  <si>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</si>
  <si>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</si>
  <si>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</si>
  <si>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</si>
  <si>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</si>
  <si>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</si>
  <si>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</si>
  <si>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t>"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</si>
  <si>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</si>
  <si>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</si>
  <si>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</si>
  <si>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</si>
  <si>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</si>
  <si>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</si>
  <si>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</si>
  <si>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</si>
  <si>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</si>
  <si>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</si>
  <si>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</si>
  <si>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</si>
  <si>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</si>
  <si>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</si>
  <si>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-MRS-0403</t>
    </r>
  </si>
  <si>
    <t>Third Party Inspection &amp; Certificate for Web Sling</t>
  </si>
  <si>
    <t>Third Party Inspection &amp; Certificate for Bow Shackle</t>
  </si>
  <si>
    <t>Third Party Inspection &amp; Certificate for Chain Block</t>
  </si>
  <si>
    <t>Third Party Inspection &amp; Certificate for Round Sling</t>
  </si>
  <si>
    <t>Third Party Inspection &amp; Certificate for D Shackle</t>
  </si>
  <si>
    <t>SAMOO-DAESHIN-TPI-51-2026</t>
  </si>
  <si>
    <t>Third Party Inspection &amp; Certificate for Materials</t>
  </si>
  <si>
    <t>SAMOO ALBHAR GEN CONT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</si>
</sst>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961524</xdr:colOff>
          <xdr:row>17</xdr:row>
          <xdr:rowOff>71688</xdr:rowOff>
        </xdr:from>
        <xdr:to>
          <xdr:col>11</xdr:col>
          <xdr:colOff>1637799</xdr:colOff>
          <xdr:row>23</xdr:row>
          <xdr:rowOff>309813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53603" y="537560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B19" sqref="B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117</v>
      </c>
      <c r="B1" s="122"/>
      <c r="C1" s="103"/>
      <c r="D1" s="103"/>
      <c r="E1" s="103"/>
      <c r="F1" s="103"/>
      <c r="G1" s="1"/>
      <c r="J1" s="154" t="s">
        <v>83</v>
      </c>
      <c r="K1" s="155"/>
      <c r="L1" s="156"/>
    </row>
    <row r="2" spans="1:18" ht="20.100000000000001" customHeight="1">
      <c r="A2" s="3" t="s">
        <v>1</v>
      </c>
      <c r="B2" s="94"/>
      <c r="C2" s="94"/>
      <c r="D2" s="3" t="s">
        <v>118</v>
      </c>
      <c r="E2" s="94"/>
      <c r="F2" s="94"/>
      <c r="G2" s="94"/>
      <c r="H2" s="94"/>
      <c r="I2" s="4"/>
      <c r="J2" s="170" t="s">
        <v>93</v>
      </c>
      <c r="K2" s="171"/>
      <c r="L2" s="172"/>
    </row>
    <row r="3" spans="1:18" ht="20.100000000000001" customHeight="1">
      <c r="A3" s="3" t="s">
        <v>131</v>
      </c>
      <c r="B3" s="94"/>
      <c r="C3" s="94"/>
      <c r="D3" s="94"/>
      <c r="E3" s="157">
        <f>+L3+3</f>
        <v>46243</v>
      </c>
      <c r="F3" s="157"/>
      <c r="G3" s="157"/>
      <c r="H3" s="157"/>
      <c r="I3" s="157"/>
      <c r="J3" s="94"/>
      <c r="K3" s="94"/>
      <c r="L3" s="123">
        <v>46240</v>
      </c>
      <c r="M3" s="4"/>
    </row>
    <row r="4" spans="1:18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68" t="s">
        <v>6</v>
      </c>
      <c r="I4" s="168" t="s">
        <v>87</v>
      </c>
      <c r="J4" s="158" t="s">
        <v>88</v>
      </c>
      <c r="K4" s="168" t="s">
        <v>0</v>
      </c>
      <c r="L4" s="159" t="s">
        <v>7</v>
      </c>
    </row>
    <row r="5" spans="1:18" ht="15.95" customHeight="1">
      <c r="A5" s="158"/>
      <c r="B5" s="159"/>
      <c r="C5" s="159"/>
      <c r="D5" s="163"/>
      <c r="E5" s="164"/>
      <c r="F5" s="165"/>
      <c r="G5" s="167"/>
      <c r="H5" s="169"/>
      <c r="I5" s="169"/>
      <c r="J5" s="158"/>
      <c r="K5" s="169"/>
      <c r="L5" s="159"/>
    </row>
    <row r="6" spans="1:18" ht="33.75" customHeight="1">
      <c r="A6" s="5">
        <f t="shared" ref="A6:A10" si="0">ROW(A1)</f>
        <v>1</v>
      </c>
      <c r="B6" s="145" t="s">
        <v>132</v>
      </c>
      <c r="C6" s="146"/>
      <c r="D6" s="147"/>
      <c r="E6" s="148"/>
      <c r="F6" s="149"/>
      <c r="G6" s="104" t="s">
        <v>101</v>
      </c>
      <c r="H6" s="105">
        <v>29</v>
      </c>
      <c r="I6" s="106">
        <v>38</v>
      </c>
      <c r="J6" s="106">
        <f>H6*I6</f>
        <v>1102</v>
      </c>
      <c r="K6" s="107" t="s">
        <v>95</v>
      </c>
      <c r="L6" s="130" t="s">
        <v>102</v>
      </c>
      <c r="R6" s="99"/>
    </row>
    <row r="7" spans="1:18" ht="33.75" customHeight="1">
      <c r="A7" s="5">
        <f t="shared" si="0"/>
        <v>2</v>
      </c>
      <c r="B7" s="145" t="s">
        <v>133</v>
      </c>
      <c r="C7" s="146"/>
      <c r="D7" s="153"/>
      <c r="E7" s="148"/>
      <c r="F7" s="149"/>
      <c r="G7" s="104" t="s">
        <v>101</v>
      </c>
      <c r="H7" s="105">
        <v>66</v>
      </c>
      <c r="I7" s="106">
        <v>38</v>
      </c>
      <c r="J7" s="106">
        <f t="shared" ref="J7:J15" si="1">H7*I7</f>
        <v>2508</v>
      </c>
      <c r="K7" s="107" t="s">
        <v>116</v>
      </c>
      <c r="L7" s="130" t="s">
        <v>116</v>
      </c>
      <c r="R7" s="99"/>
    </row>
    <row r="8" spans="1:18" ht="33.75" customHeight="1">
      <c r="A8" s="5">
        <f t="shared" si="0"/>
        <v>3</v>
      </c>
      <c r="B8" s="145" t="s">
        <v>134</v>
      </c>
      <c r="C8" s="146"/>
      <c r="D8" s="147"/>
      <c r="E8" s="148"/>
      <c r="F8" s="149"/>
      <c r="G8" s="104" t="s">
        <v>101</v>
      </c>
      <c r="H8" s="105">
        <v>8</v>
      </c>
      <c r="I8" s="106">
        <v>50</v>
      </c>
      <c r="J8" s="106">
        <f t="shared" si="1"/>
        <v>400</v>
      </c>
      <c r="K8" s="107" t="s">
        <v>116</v>
      </c>
      <c r="L8" s="130" t="s">
        <v>116</v>
      </c>
      <c r="R8" s="99"/>
    </row>
    <row r="9" spans="1:18" ht="33.75" customHeight="1">
      <c r="A9" s="5">
        <f t="shared" si="0"/>
        <v>4</v>
      </c>
      <c r="B9" s="145" t="s">
        <v>135</v>
      </c>
      <c r="C9" s="146"/>
      <c r="D9" s="147"/>
      <c r="E9" s="148"/>
      <c r="F9" s="149"/>
      <c r="G9" s="104" t="s">
        <v>101</v>
      </c>
      <c r="H9" s="105">
        <v>2</v>
      </c>
      <c r="I9" s="106">
        <v>55</v>
      </c>
      <c r="J9" s="106">
        <f t="shared" si="1"/>
        <v>110</v>
      </c>
      <c r="K9" s="107" t="s">
        <v>116</v>
      </c>
      <c r="L9" s="130" t="s">
        <v>116</v>
      </c>
      <c r="R9" s="99"/>
    </row>
    <row r="10" spans="1:18" ht="33.75" customHeight="1">
      <c r="A10" s="5">
        <f t="shared" si="0"/>
        <v>5</v>
      </c>
      <c r="B10" s="145" t="s">
        <v>136</v>
      </c>
      <c r="C10" s="146"/>
      <c r="D10" s="152"/>
      <c r="E10" s="152"/>
      <c r="F10" s="152"/>
      <c r="G10" s="104" t="s">
        <v>101</v>
      </c>
      <c r="H10" s="105">
        <v>9</v>
      </c>
      <c r="I10" s="109">
        <v>38</v>
      </c>
      <c r="J10" s="106">
        <f t="shared" si="1"/>
        <v>342</v>
      </c>
      <c r="K10" s="107" t="s">
        <v>116</v>
      </c>
      <c r="L10" s="130" t="s">
        <v>116</v>
      </c>
      <c r="R10" s="99"/>
    </row>
    <row r="11" spans="1:18" ht="22.5" customHeight="1">
      <c r="A11" s="5"/>
      <c r="B11" s="145"/>
      <c r="C11" s="146"/>
      <c r="D11" s="147"/>
      <c r="E11" s="148"/>
      <c r="F11" s="149"/>
      <c r="G11" s="104"/>
      <c r="H11" s="105"/>
      <c r="I11" s="106"/>
      <c r="J11" s="106">
        <f t="shared" si="1"/>
        <v>0</v>
      </c>
      <c r="K11" s="107"/>
      <c r="L11" s="108"/>
      <c r="R11" s="99"/>
    </row>
    <row r="12" spans="1:18" ht="22.5" customHeight="1">
      <c r="A12" s="5"/>
      <c r="B12" s="145"/>
      <c r="C12" s="146"/>
      <c r="D12" s="152"/>
      <c r="E12" s="152"/>
      <c r="F12" s="152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hidden="1" customHeight="1">
      <c r="A13" s="5"/>
      <c r="B13" s="145"/>
      <c r="C13" s="146"/>
      <c r="D13" s="147"/>
      <c r="E13" s="148"/>
      <c r="F13" s="149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hidden="1" customHeight="1">
      <c r="A14" s="5"/>
      <c r="B14" s="145"/>
      <c r="C14" s="146"/>
      <c r="D14" s="147"/>
      <c r="E14" s="148"/>
      <c r="F14" s="149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hidden="1" customHeight="1">
      <c r="A15" s="5"/>
      <c r="B15" s="145"/>
      <c r="C15" s="146"/>
      <c r="D15" s="147"/>
      <c r="E15" s="148"/>
      <c r="F15" s="149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50" t="s">
        <v>8</v>
      </c>
      <c r="B16" s="151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4462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7"/>
      <c r="Z18" s="11"/>
    </row>
    <row r="19" spans="1:26" ht="50.1" customHeight="1">
      <c r="Y19" s="178"/>
    </row>
    <row r="20" spans="1:26" ht="15" customHeight="1">
      <c r="O20" s="173" t="s">
        <v>119</v>
      </c>
      <c r="P20" s="179"/>
      <c r="Q20" s="179"/>
      <c r="R20" s="174"/>
      <c r="S20" s="120"/>
      <c r="T20" s="173" t="s">
        <v>120</v>
      </c>
      <c r="U20" s="179"/>
      <c r="V20" s="179"/>
      <c r="W20" s="179"/>
      <c r="X20" s="179"/>
      <c r="Y20" s="174"/>
    </row>
    <row r="21" spans="1:26" ht="15" customHeight="1">
      <c r="O21" s="180" t="s">
        <v>121</v>
      </c>
      <c r="P21" s="141" t="s">
        <v>122</v>
      </c>
      <c r="Q21" s="180" t="s">
        <v>123</v>
      </c>
      <c r="R21" s="141" t="s">
        <v>124</v>
      </c>
      <c r="S21" s="120"/>
      <c r="T21" s="180" t="s">
        <v>125</v>
      </c>
      <c r="U21" s="141" t="s">
        <v>126</v>
      </c>
      <c r="V21" s="173" t="s">
        <v>127</v>
      </c>
      <c r="W21" s="179"/>
      <c r="X21" s="174"/>
      <c r="Y21" s="141" t="s">
        <v>128</v>
      </c>
    </row>
    <row r="22" spans="1:26" ht="18" customHeight="1">
      <c r="O22" s="142"/>
      <c r="P22" s="144"/>
      <c r="Q22" s="142"/>
      <c r="R22" s="144"/>
      <c r="S22" s="124"/>
      <c r="T22" s="142"/>
      <c r="U22" s="144"/>
      <c r="V22" s="13" t="s">
        <v>121</v>
      </c>
      <c r="W22" s="181" t="s">
        <v>129</v>
      </c>
      <c r="X22" s="182"/>
      <c r="Y22" s="144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73"/>
      <c r="X23" s="174"/>
      <c r="Y23" s="125"/>
    </row>
    <row r="24" spans="1:26" ht="36" customHeight="1">
      <c r="W24" s="126"/>
      <c r="X24" s="175" t="s">
        <v>130</v>
      </c>
      <c r="Y24" s="12" t="s">
        <v>128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76"/>
      <c r="Y25" s="129"/>
    </row>
    <row r="26" spans="1:26" ht="19.899999999999999" customHeight="1"/>
    <row r="27" spans="1:26" ht="17.45" customHeight="1">
      <c r="O27" s="143"/>
      <c r="P27" s="143"/>
    </row>
    <row r="28" spans="1:26" ht="19.899999999999999" customHeight="1">
      <c r="O28" s="143"/>
      <c r="P28" s="143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1" t="s">
        <v>12</v>
      </c>
      <c r="P46" s="141" t="s">
        <v>12</v>
      </c>
      <c r="S46" s="141" t="s">
        <v>11</v>
      </c>
    </row>
    <row r="47" spans="15:19" ht="21" customHeight="1">
      <c r="O47" s="144"/>
      <c r="P47" s="144"/>
      <c r="S47" s="142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1" t="s">
        <v>12</v>
      </c>
      <c r="P50" s="141" t="s">
        <v>12</v>
      </c>
      <c r="S50" s="141" t="s">
        <v>13</v>
      </c>
    </row>
    <row r="51" spans="15:19" ht="21" customHeight="1">
      <c r="O51" s="144"/>
      <c r="P51" s="144"/>
      <c r="S51" s="142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54" t="str">
        <f>+MRS!J1</f>
        <v>DAESHIN PLANT</v>
      </c>
      <c r="K1" s="156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70" t="str">
        <f>+MRS!J2</f>
        <v>Subcontract name (SAC2-SC-IK-SMP-01)</v>
      </c>
      <c r="K2" s="172"/>
    </row>
    <row r="3" spans="1:18" ht="24.95" customHeight="1">
      <c r="A3" s="3" t="str">
        <f>+MRS!A3</f>
        <v xml:space="preserve">  MRS No : SAC2-DS-MRS-0403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46240</v>
      </c>
    </row>
    <row r="4" spans="1:18" ht="15.95" customHeight="1">
      <c r="A4" s="193" t="s">
        <v>2</v>
      </c>
      <c r="B4" s="194" t="s">
        <v>14</v>
      </c>
      <c r="C4" s="194"/>
      <c r="D4" s="193" t="s">
        <v>4</v>
      </c>
      <c r="E4" s="193"/>
      <c r="F4" s="193"/>
      <c r="G4" s="194" t="s">
        <v>5</v>
      </c>
      <c r="H4" s="193" t="s">
        <v>84</v>
      </c>
      <c r="I4" s="193" t="s">
        <v>15</v>
      </c>
      <c r="J4" s="193" t="s">
        <v>16</v>
      </c>
      <c r="K4" s="194" t="s">
        <v>7</v>
      </c>
    </row>
    <row r="5" spans="1:18" ht="15.95" customHeight="1">
      <c r="A5" s="193"/>
      <c r="B5" s="194"/>
      <c r="C5" s="194"/>
      <c r="D5" s="193"/>
      <c r="E5" s="193"/>
      <c r="F5" s="193"/>
      <c r="G5" s="194"/>
      <c r="H5" s="193"/>
      <c r="I5" s="193"/>
      <c r="J5" s="193"/>
      <c r="K5" s="194"/>
    </row>
    <row r="6" spans="1:18" ht="105" customHeight="1">
      <c r="A6" s="17">
        <f>+MRS!A6</f>
        <v>1</v>
      </c>
      <c r="B6" s="188" t="str">
        <f>MRS!B6</f>
        <v>Third Party Inspection &amp; Certificate for Web Sling</v>
      </c>
      <c r="C6" s="189"/>
      <c r="D6" s="190">
        <f>MRS!D6</f>
        <v>0</v>
      </c>
      <c r="E6" s="191"/>
      <c r="F6" s="192"/>
      <c r="G6" s="96" t="str">
        <f>MRS!G6</f>
        <v>EA</v>
      </c>
      <c r="H6" s="96">
        <f>MRS!H6</f>
        <v>29</v>
      </c>
      <c r="I6" s="97">
        <f>MRS!I6</f>
        <v>38</v>
      </c>
      <c r="J6" s="97">
        <f>MRS!J6</f>
        <v>1102</v>
      </c>
      <c r="K6" s="98"/>
      <c r="O6" s="99"/>
      <c r="P6" s="99"/>
      <c r="R6" s="99"/>
    </row>
    <row r="7" spans="1:18" ht="105" customHeight="1">
      <c r="A7" s="17">
        <f>+MRS!A7</f>
        <v>2</v>
      </c>
      <c r="B7" s="188" t="str">
        <f>MRS!B7</f>
        <v>Third Party Inspection &amp; Certificate for Bow Shackle</v>
      </c>
      <c r="C7" s="189"/>
      <c r="D7" s="190">
        <f>MRS!D7</f>
        <v>0</v>
      </c>
      <c r="E7" s="191"/>
      <c r="F7" s="192"/>
      <c r="G7" s="96" t="str">
        <f>MRS!G7</f>
        <v>EA</v>
      </c>
      <c r="H7" s="96">
        <f>MRS!H7</f>
        <v>66</v>
      </c>
      <c r="I7" s="97">
        <f>MRS!I7</f>
        <v>38</v>
      </c>
      <c r="J7" s="97">
        <f>MRS!J7</f>
        <v>2508</v>
      </c>
      <c r="K7" s="98"/>
      <c r="O7" s="99"/>
      <c r="P7" s="99"/>
      <c r="R7" s="99"/>
    </row>
    <row r="8" spans="1:18" ht="105" customHeight="1">
      <c r="A8" s="17">
        <f>+MRS!A8</f>
        <v>3</v>
      </c>
      <c r="B8" s="188" t="str">
        <f>MRS!B8</f>
        <v>Third Party Inspection &amp; Certificate for Chain Block</v>
      </c>
      <c r="C8" s="189"/>
      <c r="D8" s="190">
        <f>MRS!D8</f>
        <v>0</v>
      </c>
      <c r="E8" s="191"/>
      <c r="F8" s="192"/>
      <c r="G8" s="96" t="str">
        <f>MRS!G8</f>
        <v>EA</v>
      </c>
      <c r="H8" s="96">
        <f>MRS!H8</f>
        <v>8</v>
      </c>
      <c r="I8" s="97">
        <f>MRS!I8</f>
        <v>50</v>
      </c>
      <c r="J8" s="97">
        <f>MRS!J8</f>
        <v>400</v>
      </c>
      <c r="K8" s="98"/>
      <c r="O8" s="99"/>
      <c r="P8" s="99"/>
      <c r="R8" s="99"/>
    </row>
    <row r="9" spans="1:18" ht="105" customHeight="1">
      <c r="A9" s="17">
        <f>+MRS!A9</f>
        <v>4</v>
      </c>
      <c r="B9" s="188" t="str">
        <f>MRS!B9</f>
        <v>Third Party Inspection &amp; Certificate for Round Sling</v>
      </c>
      <c r="C9" s="189"/>
      <c r="D9" s="190">
        <f>MRS!D9</f>
        <v>0</v>
      </c>
      <c r="E9" s="191"/>
      <c r="F9" s="192"/>
      <c r="G9" s="96" t="str">
        <f>MRS!G9</f>
        <v>EA</v>
      </c>
      <c r="H9" s="96">
        <f>MRS!H9</f>
        <v>2</v>
      </c>
      <c r="I9" s="97">
        <f>MRS!I9</f>
        <v>55</v>
      </c>
      <c r="J9" s="97">
        <f>MRS!J9</f>
        <v>110</v>
      </c>
      <c r="K9" s="98"/>
      <c r="O9" s="99"/>
      <c r="P9" s="99"/>
      <c r="R9" s="99"/>
    </row>
    <row r="10" spans="1:18" ht="105" customHeight="1">
      <c r="A10" s="17">
        <f>+MRS!A10</f>
        <v>5</v>
      </c>
      <c r="B10" s="188" t="str">
        <f>MRS!B10</f>
        <v>Third Party Inspection &amp; Certificate for D Shackle</v>
      </c>
      <c r="C10" s="189"/>
      <c r="D10" s="190">
        <f>MRS!D10</f>
        <v>0</v>
      </c>
      <c r="E10" s="191"/>
      <c r="F10" s="192"/>
      <c r="G10" s="96" t="str">
        <f>MRS!G10</f>
        <v>EA</v>
      </c>
      <c r="H10" s="96">
        <f>MRS!H10</f>
        <v>9</v>
      </c>
      <c r="I10" s="97">
        <f>MRS!I10</f>
        <v>38</v>
      </c>
      <c r="J10" s="97">
        <f>MRS!J10</f>
        <v>342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88">
        <f>MRS!B11</f>
        <v>0</v>
      </c>
      <c r="C11" s="189"/>
      <c r="D11" s="190">
        <f>MRS!D11</f>
        <v>0</v>
      </c>
      <c r="E11" s="191"/>
      <c r="F11" s="192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83"/>
      <c r="C12" s="184"/>
      <c r="D12" s="185"/>
      <c r="E12" s="186"/>
      <c r="F12" s="187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83"/>
      <c r="C13" s="184"/>
      <c r="D13" s="185"/>
      <c r="E13" s="186"/>
      <c r="F13" s="187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83"/>
      <c r="C14" s="184"/>
      <c r="D14" s="185"/>
      <c r="E14" s="186"/>
      <c r="F14" s="187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0</v>
      </c>
      <c r="B15" s="183"/>
      <c r="C15" s="184"/>
      <c r="D15" s="185"/>
      <c r="E15" s="186"/>
      <c r="F15" s="187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21" zoomScale="130" zoomScaleNormal="100" zoomScaleSheetLayoutView="130" workbookViewId="0">
      <selection activeCell="Q56" sqref="Q5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32">
        <f>MRS!L3</f>
        <v>46240</v>
      </c>
      <c r="L10" s="133"/>
      <c r="M10" s="133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34" t="str">
        <f>SUBSTITUTE(SUBSTITUTE(+MRS!A3,"  MRS No : ",""),"-MRS","-PO")</f>
        <v>SAC2-DS-PO-0403</v>
      </c>
      <c r="L11" s="134"/>
      <c r="M11" s="134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137</v>
      </c>
    </row>
    <row r="15" spans="2:13" s="35" customFormat="1">
      <c r="B15" s="68"/>
      <c r="C15" s="73" t="s">
        <v>92</v>
      </c>
      <c r="J15" s="35" t="s">
        <v>32</v>
      </c>
      <c r="K15" s="74">
        <v>46238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35" t="s">
        <v>33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</row>
    <row r="19" spans="2:13" ht="12" customHeight="1"/>
    <row r="20" spans="2:13" s="27" customFormat="1" ht="12" customHeight="1">
      <c r="B20" s="136" t="s">
        <v>34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2:13" s="27" customFormat="1" ht="12" customHeight="1">
      <c r="B21" s="136" t="s">
        <v>35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2:13" s="27" customFormat="1" ht="12" customHeight="1">
      <c r="B22" s="136" t="s">
        <v>36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2:13" ht="6.95" customHeight="1"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2:13" ht="6.95" customHeight="1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">
        <v>138</v>
      </c>
      <c r="M26" s="119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39">
        <f>MRS!J16</f>
        <v>4462</v>
      </c>
      <c r="G29" s="139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39">
        <f>F29*15%</f>
        <v>669.3</v>
      </c>
      <c r="G30" s="139"/>
    </row>
    <row r="31" spans="2:13" ht="12" customHeight="1">
      <c r="B31" s="28"/>
      <c r="C31" s="22" t="s">
        <v>43</v>
      </c>
      <c r="D31" s="31"/>
      <c r="E31" s="22" t="s">
        <v>41</v>
      </c>
      <c r="F31" s="139">
        <f>SUM(F29:G30)</f>
        <v>5131.3</v>
      </c>
      <c r="G31" s="139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103</v>
      </c>
    </row>
    <row r="54" spans="2:16" ht="12" customHeight="1">
      <c r="B54" s="79" t="s">
        <v>57</v>
      </c>
      <c r="C54" s="116" t="s">
        <v>104</v>
      </c>
      <c r="F54" s="22" t="s">
        <v>139</v>
      </c>
    </row>
    <row r="55" spans="2:16" ht="12" customHeight="1">
      <c r="B55" s="79" t="s">
        <v>57</v>
      </c>
      <c r="C55" s="116" t="s">
        <v>105</v>
      </c>
      <c r="F55" s="117" t="s">
        <v>112</v>
      </c>
    </row>
    <row r="56" spans="2:16" ht="12" customHeight="1">
      <c r="B56" s="79" t="s">
        <v>57</v>
      </c>
      <c r="C56" s="116" t="s">
        <v>106</v>
      </c>
      <c r="F56" s="22" t="s">
        <v>115</v>
      </c>
    </row>
    <row r="57" spans="2:16" ht="12" customHeight="1">
      <c r="B57" s="79" t="s">
        <v>57</v>
      </c>
      <c r="C57" s="116" t="s">
        <v>107</v>
      </c>
      <c r="F57" s="22" t="s">
        <v>113</v>
      </c>
    </row>
    <row r="58" spans="2:16" ht="12" customHeight="1">
      <c r="B58" s="79" t="s">
        <v>57</v>
      </c>
      <c r="C58" s="116" t="s">
        <v>108</v>
      </c>
      <c r="F58" s="22" t="s">
        <v>114</v>
      </c>
    </row>
    <row r="59" spans="2:16" ht="12" customHeight="1">
      <c r="B59" s="79" t="s">
        <v>57</v>
      </c>
      <c r="C59" s="116" t="s">
        <v>109</v>
      </c>
      <c r="F59" s="22" t="s">
        <v>110</v>
      </c>
    </row>
    <row r="60" spans="2:16" ht="12" customHeight="1">
      <c r="B60" s="79"/>
      <c r="C60" s="116" t="s">
        <v>111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40" t="str">
        <f>C9</f>
        <v>SAMOO(Samoo Al Bahr Contracting Est.)</v>
      </c>
      <c r="K71" s="140"/>
      <c r="L71" s="140"/>
      <c r="M71" s="140"/>
    </row>
    <row r="72" spans="1:13" ht="27.95" customHeight="1">
      <c r="A72" s="131" t="s">
        <v>68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F13" sqref="F13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SAC2-DS-PO-0403</v>
      </c>
      <c r="C2" s="203" t="s">
        <v>70</v>
      </c>
      <c r="D2" s="203"/>
      <c r="E2" s="203"/>
      <c r="F2" s="203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46240</v>
      </c>
      <c r="C3" s="47"/>
      <c r="D3" s="48"/>
      <c r="E3" s="204" t="s">
        <v>72</v>
      </c>
      <c r="F3" s="204"/>
      <c r="G3" s="204"/>
      <c r="H3" s="204"/>
      <c r="I3" s="49"/>
    </row>
    <row r="4" spans="1:13" s="51" customFormat="1" ht="28.5" customHeight="1" thickTop="1">
      <c r="A4" s="205" t="s">
        <v>73</v>
      </c>
      <c r="B4" s="207" t="s">
        <v>74</v>
      </c>
      <c r="C4" s="208"/>
      <c r="D4" s="211" t="s">
        <v>75</v>
      </c>
      <c r="E4" s="211" t="s">
        <v>76</v>
      </c>
      <c r="F4" s="213" t="str">
        <f>'PO 1st page'!C9</f>
        <v>SAMOO(Samoo Al Bahr Contracting Est.)</v>
      </c>
      <c r="G4" s="214"/>
      <c r="H4" s="215" t="s">
        <v>77</v>
      </c>
      <c r="K4" s="52"/>
      <c r="L4" s="52"/>
      <c r="M4" s="52"/>
    </row>
    <row r="5" spans="1:13" s="51" customFormat="1" ht="21.95" customHeight="1">
      <c r="A5" s="206"/>
      <c r="B5" s="209"/>
      <c r="C5" s="210"/>
      <c r="D5" s="212"/>
      <c r="E5" s="212"/>
      <c r="F5" s="53" t="s">
        <v>78</v>
      </c>
      <c r="G5" s="53" t="s">
        <v>43</v>
      </c>
      <c r="H5" s="216"/>
      <c r="K5" s="52"/>
      <c r="L5" s="52"/>
      <c r="M5" s="52"/>
    </row>
    <row r="6" spans="1:13" s="51" customFormat="1" ht="32.1" customHeight="1">
      <c r="A6" s="80">
        <f t="shared" ref="A6:A10" si="0">ROW(A1)</f>
        <v>1</v>
      </c>
      <c r="B6" s="199" t="str">
        <f>CONCATENATE(MRS!B6," ",MRS!D6)</f>
        <v xml:space="preserve">Third Party Inspection &amp; Certificate for Web Sling </v>
      </c>
      <c r="C6" s="200"/>
      <c r="D6" s="81" t="str">
        <f>MRS!G6</f>
        <v>EA</v>
      </c>
      <c r="E6" s="82">
        <f>MRS!H6</f>
        <v>29</v>
      </c>
      <c r="F6" s="83">
        <f>MRS!I6</f>
        <v>38</v>
      </c>
      <c r="G6" s="84">
        <f>MRS!J6</f>
        <v>1102</v>
      </c>
      <c r="H6" s="92" t="str">
        <f>MRS!L6</f>
        <v>One time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199" t="str">
        <f>CONCATENATE(MRS!B7," ",MRS!D7)</f>
        <v xml:space="preserve">Third Party Inspection &amp; Certificate for Bow Shackle </v>
      </c>
      <c r="C7" s="200"/>
      <c r="D7" s="81" t="str">
        <f>MRS!G7</f>
        <v>EA</v>
      </c>
      <c r="E7" s="82">
        <f>MRS!H7</f>
        <v>66</v>
      </c>
      <c r="F7" s="83">
        <f>MRS!I7</f>
        <v>38</v>
      </c>
      <c r="G7" s="84">
        <f>MRS!J7</f>
        <v>2508</v>
      </c>
      <c r="H7" s="92" t="str">
        <f>MRS!L7</f>
        <v>"</v>
      </c>
      <c r="K7" s="85"/>
      <c r="L7" s="86"/>
      <c r="M7" s="52"/>
    </row>
    <row r="8" spans="1:13" s="51" customFormat="1" ht="32.1" customHeight="1">
      <c r="A8" s="80">
        <f t="shared" si="0"/>
        <v>3</v>
      </c>
      <c r="B8" s="199" t="str">
        <f>CONCATENATE(MRS!B8," ",MRS!D8)</f>
        <v xml:space="preserve">Third Party Inspection &amp; Certificate for Chain Block </v>
      </c>
      <c r="C8" s="200"/>
      <c r="D8" s="81" t="str">
        <f>MRS!G8</f>
        <v>EA</v>
      </c>
      <c r="E8" s="82">
        <f>MRS!H8</f>
        <v>8</v>
      </c>
      <c r="F8" s="83">
        <f>MRS!I8</f>
        <v>50</v>
      </c>
      <c r="G8" s="84">
        <f>MRS!J8</f>
        <v>400</v>
      </c>
      <c r="H8" s="92" t="str">
        <f>MRS!L8</f>
        <v>"</v>
      </c>
      <c r="K8" s="52"/>
      <c r="L8" s="52"/>
      <c r="M8" s="52"/>
    </row>
    <row r="9" spans="1:13" s="51" customFormat="1" ht="32.1" customHeight="1">
      <c r="A9" s="80">
        <f t="shared" si="0"/>
        <v>4</v>
      </c>
      <c r="B9" s="199" t="str">
        <f>CONCATENATE(MRS!B9," ",MRS!D9)</f>
        <v xml:space="preserve">Third Party Inspection &amp; Certificate for Round Sling </v>
      </c>
      <c r="C9" s="200"/>
      <c r="D9" s="81" t="str">
        <f>MRS!G9</f>
        <v>EA</v>
      </c>
      <c r="E9" s="82">
        <f>MRS!H9</f>
        <v>2</v>
      </c>
      <c r="F9" s="83">
        <f>MRS!I9</f>
        <v>55</v>
      </c>
      <c r="G9" s="84">
        <f>MRS!J9</f>
        <v>110</v>
      </c>
      <c r="H9" s="92" t="str">
        <f>MRS!L9</f>
        <v>"</v>
      </c>
    </row>
    <row r="10" spans="1:13" s="51" customFormat="1" ht="32.1" customHeight="1">
      <c r="A10" s="80">
        <f t="shared" si="0"/>
        <v>5</v>
      </c>
      <c r="B10" s="199" t="str">
        <f>CONCATENATE(MRS!B10," ",MRS!D10)</f>
        <v xml:space="preserve">Third Party Inspection &amp; Certificate for D Shackle </v>
      </c>
      <c r="C10" s="200"/>
      <c r="D10" s="81" t="str">
        <f>MRS!G10</f>
        <v>EA</v>
      </c>
      <c r="E10" s="82">
        <f>MRS!H10</f>
        <v>9</v>
      </c>
      <c r="F10" s="83">
        <f>MRS!I10</f>
        <v>38</v>
      </c>
      <c r="G10" s="84">
        <f>MRS!J10</f>
        <v>342</v>
      </c>
      <c r="H10" s="92" t="str">
        <f>MRS!L10</f>
        <v>"</v>
      </c>
    </row>
    <row r="11" spans="1:13" s="51" customFormat="1" ht="32.1" customHeight="1">
      <c r="A11" s="87"/>
      <c r="B11" s="199"/>
      <c r="C11" s="200"/>
      <c r="D11" s="81"/>
      <c r="E11" s="82"/>
      <c r="F11" s="83"/>
      <c r="G11" s="84"/>
      <c r="H11" s="92"/>
    </row>
    <row r="12" spans="1:13" s="51" customFormat="1" ht="32.1" customHeight="1">
      <c r="A12" s="87"/>
      <c r="B12" s="199"/>
      <c r="C12" s="200"/>
      <c r="D12" s="81"/>
      <c r="E12" s="82"/>
      <c r="F12" s="83"/>
      <c r="G12" s="84"/>
      <c r="H12" s="92"/>
    </row>
    <row r="13" spans="1:13" s="51" customFormat="1" ht="32.1" customHeight="1">
      <c r="A13" s="87"/>
      <c r="B13" s="199"/>
      <c r="C13" s="200"/>
      <c r="D13" s="81"/>
      <c r="E13" s="82"/>
      <c r="F13" s="83"/>
      <c r="G13" s="84"/>
      <c r="H13" s="92"/>
    </row>
    <row r="14" spans="1:13" s="51" customFormat="1" ht="32.1" customHeight="1">
      <c r="A14" s="87"/>
      <c r="B14" s="199"/>
      <c r="C14" s="200"/>
      <c r="D14" s="81"/>
      <c r="E14" s="82"/>
      <c r="F14" s="83"/>
      <c r="G14" s="84"/>
      <c r="H14" s="92"/>
    </row>
    <row r="15" spans="1:13" s="51" customFormat="1" ht="32.1" customHeight="1">
      <c r="A15" s="87"/>
      <c r="B15" s="199"/>
      <c r="C15" s="200"/>
      <c r="D15" s="81"/>
      <c r="E15" s="82"/>
      <c r="F15" s="83"/>
      <c r="G15" s="84"/>
      <c r="H15" s="92"/>
    </row>
    <row r="16" spans="1:13" s="51" customFormat="1" ht="32.1" customHeight="1">
      <c r="A16" s="87"/>
      <c r="B16" s="199"/>
      <c r="C16" s="200"/>
      <c r="D16" s="81"/>
      <c r="E16" s="82"/>
      <c r="F16" s="83"/>
      <c r="G16" s="84"/>
      <c r="H16" s="92"/>
    </row>
    <row r="17" spans="1:13" s="51" customFormat="1" ht="32.1" customHeight="1">
      <c r="A17" s="87"/>
      <c r="B17" s="201"/>
      <c r="C17" s="202"/>
      <c r="D17" s="88"/>
      <c r="E17" s="89"/>
      <c r="F17" s="90"/>
      <c r="G17" s="91"/>
      <c r="H17" s="92"/>
    </row>
    <row r="18" spans="1:13" s="51" customFormat="1" ht="23.1" customHeight="1">
      <c r="A18" s="195" t="s">
        <v>79</v>
      </c>
      <c r="B18" s="196"/>
      <c r="C18" s="196"/>
      <c r="D18" s="196"/>
      <c r="E18" s="196"/>
      <c r="F18" s="196"/>
      <c r="G18" s="54">
        <f>SUM(G6:G17)</f>
        <v>4462</v>
      </c>
      <c r="H18" s="55"/>
    </row>
    <row r="19" spans="1:13" s="51" customFormat="1" ht="23.1" customHeight="1">
      <c r="A19" s="195" t="s">
        <v>42</v>
      </c>
      <c r="B19" s="196"/>
      <c r="C19" s="196"/>
      <c r="D19" s="196"/>
      <c r="E19" s="196"/>
      <c r="F19" s="196"/>
      <c r="G19" s="54">
        <f>+G18*0.15</f>
        <v>669.3</v>
      </c>
      <c r="H19" s="55"/>
    </row>
    <row r="20" spans="1:13" s="51" customFormat="1" ht="24.95" customHeight="1" thickBot="1">
      <c r="A20" s="197" t="s">
        <v>80</v>
      </c>
      <c r="B20" s="198"/>
      <c r="C20" s="198"/>
      <c r="D20" s="198"/>
      <c r="E20" s="198"/>
      <c r="F20" s="198"/>
      <c r="G20" s="56">
        <f>G19+G18</f>
        <v>5131.3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SAMOO-DAESHIN-TPI-51-2026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1" t="s">
        <v>82</v>
      </c>
      <c r="B24" s="131"/>
      <c r="C24" s="131"/>
      <c r="D24" s="131"/>
      <c r="E24" s="131"/>
      <c r="F24" s="131"/>
      <c r="G24" s="131"/>
      <c r="H24" s="131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2026-08-11T06:46:42Z</cp:lastPrinted>
  <dcterms:created xsi:type="dcterms:W3CDTF">2024-10-20T11:50:19Z</dcterms:created>
  <dcterms:modified xsi:type="dcterms:W3CDTF">2026-08-24T03:37:06Z</dcterms:modified>
</cp:coreProperties>
</file>