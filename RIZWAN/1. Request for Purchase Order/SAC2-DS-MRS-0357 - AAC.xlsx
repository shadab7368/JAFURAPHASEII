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D1C8BEC-3530-49D6-9472-37BF641D229B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<sst xmlns="http://schemas.openxmlformats.org/spreadsheetml/2006/main" count="172" uniqueCount="131">
  <si>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</si>
  <si>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</si>
  <si>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</si>
  <si>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</si>
  <si>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</si>
  <si>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</si>
  <si>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</si>
  <si>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</si>
  <si>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</si>
  <si>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</si>
  <si>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</si>
  <si>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</si>
  <si>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</si>
  <si>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</si>
  <si>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</si>
  <si>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</si>
  <si>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</si>
  <si>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</si>
  <si>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</si>
  <si>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</si>
  <si>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</si>
  <si>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</si>
  <si>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</si>
  <si>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</si>
  <si>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</si>
  <si>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</si>
  <si>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</si>
  <si>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</si>
  <si>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</si>
  <si>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</si>
  <si>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</si>
  <si>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</si>
  <si>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</si>
  <si>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</si>
  <si>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</si>
  <si>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</si>
  <si>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</si>
  <si>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</si>
  <si>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</si>
  <si>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</si>
  <si>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</si>
  <si>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</si>
  <si>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</si>
  <si>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</si>
  <si>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</si>
  <si>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</si>
  <si>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</si>
  <si>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</si>
  <si>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</si>
  <si>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</si>
  <si>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</si>
  <si>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</si>
  <si>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</si>
  <si>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</si>
  <si>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</si>
  <si>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</si>
  <si>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</si>
  <si>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</si>
  <si>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</si>
  <si>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</si>
  <si>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</si>
  <si>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</si>
  <si>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</si>
  <si>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</si>
  <si>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</si>
  <si>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</si>
  <si>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</si>
  <si>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</si>
  <si>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</si>
  <si>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</si>
  <si>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</si>
  <si>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</si>
  <si>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</si>
  <si>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</si>
  <si>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</si>
  <si>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</si>
  <si>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</si>
  <si>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</si>
  <si>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</si>
  <si>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</si>
  <si>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</si>
  <si>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</si>
  <si>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</si>
  <si>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</si>
  <si>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</si>
  <si>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</si>
  <si>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</si>
  <si>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</si>
  <si>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</si>
  <si>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</si>
  <si>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</si>
  <si>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</si>
  <si>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</si>
  <si>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</si>
  <si>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</si>
  <si>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</si>
  <si>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</si>
  <si>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</si>
  <si>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</si>
  <si>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</si>
  <si>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</si>
  <si>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</si>
  <si>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</si>
  <si>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</si>
  <si>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</si>
  <si>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</si>
  <si>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</si>
  <si>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</si>
  <si>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</si>
  <si>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</si>
  <si>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</si>
  <si>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</si>
  <si>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</si>
  <si>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</si>
  <si>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</si>
  <si>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</si>
  <si>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</si>
  <si>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</si>
  <si>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</si>
  <si>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</si>
  <si>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</si>
  <si>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MOHAMMED HASSAN AL-ALWAN CONT. EST.</t>
  </si>
  <si>
    <t>SA56 5500 0000 0998 6650 0156</t>
  </si>
  <si>
    <t>BANQUE SAUDI FRANSI</t>
  </si>
  <si>
    <t>BSFRSARI</t>
  </si>
  <si>
    <t>99866500156</t>
  </si>
  <si>
    <t>AAC (Ali Mohammed Hassan Al-Alwan Cont.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</si>
  <si>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-MRS-0357</t>
    </r>
  </si>
  <si>
    <t>Piping QC Supervisor</t>
  </si>
  <si>
    <t>Aramco Approved</t>
  </si>
  <si>
    <t>AAC-3332/26 Rev.01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</si>
</sst>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15" fontId="26" fillId="3" borderId="0" xfId="5" applyNumberFormat="1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108</v>
      </c>
      <c r="B1" s="110"/>
      <c r="C1" s="110"/>
      <c r="D1" s="110"/>
      <c r="E1" s="110"/>
      <c r="F1" s="110"/>
      <c r="G1" s="1"/>
      <c r="J1" s="129" t="s">
        <v>90</v>
      </c>
      <c r="K1" s="130"/>
      <c r="L1" s="131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32" t="s">
        <v>100</v>
      </c>
      <c r="K2" s="133"/>
      <c r="L2" s="134"/>
    </row>
    <row r="3" spans="1:19" ht="20.100000000000001" customHeight="1">
      <c r="A3" s="3" t="s">
        <v>127</v>
      </c>
      <c r="B3" s="101"/>
      <c r="C3" s="101"/>
      <c r="D3" s="101"/>
      <c r="E3" s="135">
        <f>+L3</f>
        <v>46210</v>
      </c>
      <c r="F3" s="135"/>
      <c r="G3" s="135"/>
      <c r="H3" s="135"/>
      <c r="I3" s="135"/>
      <c r="J3" s="101"/>
      <c r="K3" s="101"/>
      <c r="L3" s="122">
        <v>46210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95</v>
      </c>
      <c r="J4" s="136" t="s">
        <v>96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128</v>
      </c>
      <c r="C6" s="149"/>
      <c r="D6" s="150" t="s">
        <v>129</v>
      </c>
      <c r="E6" s="151"/>
      <c r="F6" s="152"/>
      <c r="G6" s="111" t="s">
        <v>99</v>
      </c>
      <c r="H6" s="112">
        <v>1</v>
      </c>
      <c r="I6" s="113">
        <v>115</v>
      </c>
      <c r="J6" s="113">
        <f>H6*I6</f>
        <v>115</v>
      </c>
      <c r="K6" s="114" t="s">
        <v>101</v>
      </c>
      <c r="L6" s="115" t="s">
        <v>109</v>
      </c>
      <c r="S6" s="106"/>
    </row>
    <row r="7" spans="1:19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1" t="s">
        <v>17</v>
      </c>
      <c r="Q21" s="161" t="s">
        <v>18</v>
      </c>
    </row>
    <row r="22" spans="1:22" ht="18" customHeight="1">
      <c r="O22" s="18" t="s">
        <v>19</v>
      </c>
      <c r="P22" s="162"/>
      <c r="Q22" s="162"/>
      <c r="S22" s="15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21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21</v>
      </c>
      <c r="P46" s="161" t="s">
        <v>21</v>
      </c>
      <c r="Q46" s="161" t="s">
        <v>21</v>
      </c>
      <c r="T46" s="161" t="s">
        <v>22</v>
      </c>
      <c r="U46" s="161" t="s">
        <v>13</v>
      </c>
      <c r="V46" s="161" t="s">
        <v>21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21</v>
      </c>
      <c r="P50" s="161" t="s">
        <v>21</v>
      </c>
      <c r="Q50" s="161" t="s">
        <v>21</v>
      </c>
      <c r="T50" s="161" t="s">
        <v>13</v>
      </c>
      <c r="U50" s="161" t="s">
        <v>22</v>
      </c>
      <c r="V50" s="161" t="s">
        <v>21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SAC2-DS-MRS-0357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46210</v>
      </c>
    </row>
    <row r="4" spans="1:18" ht="15.95" customHeight="1">
      <c r="A4" s="164" t="s">
        <v>2</v>
      </c>
      <c r="B4" s="165" t="s">
        <v>23</v>
      </c>
      <c r="C4" s="165"/>
      <c r="D4" s="164" t="s">
        <v>4</v>
      </c>
      <c r="E4" s="164"/>
      <c r="F4" s="164"/>
      <c r="G4" s="165" t="s">
        <v>5</v>
      </c>
      <c r="H4" s="164" t="s">
        <v>91</v>
      </c>
      <c r="I4" s="164" t="s">
        <v>24</v>
      </c>
      <c r="J4" s="164" t="s">
        <v>25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Piping QC Supervisor</v>
      </c>
      <c r="C6" s="167"/>
      <c r="D6" s="168" t="str">
        <f>MRS!D6</f>
        <v>Aramco Approved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115</v>
      </c>
      <c r="J6" s="104">
        <f>MRS!J6</f>
        <v>115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28" zoomScale="130" zoomScaleNormal="100" zoomScaleSheetLayoutView="130" workbookViewId="0">
      <selection activeCell="G68" sqref="G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126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7">
        <f>MRS!L3</f>
        <v>46210</v>
      </c>
      <c r="L10" s="178"/>
      <c r="M10" s="178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79" t="str">
        <f>SUBSTITUTE(SUBSTITUTE(+MRS!A3,"  MRS No : ",""),"-MRS","-PO")</f>
        <v>SAC2-DS-PO-0357</v>
      </c>
      <c r="L11" s="179"/>
      <c r="M11" s="179"/>
    </row>
    <row r="12" spans="2:13" s="39" customFormat="1">
      <c r="B12" s="72"/>
      <c r="C12" s="75" t="s">
        <v>36</v>
      </c>
      <c r="D12" s="39" t="s">
        <v>104</v>
      </c>
      <c r="J12" s="39" t="s">
        <v>37</v>
      </c>
    </row>
    <row r="13" spans="2:13" s="39" customFormat="1">
      <c r="B13" s="72"/>
      <c r="C13" s="77"/>
      <c r="D13" s="76" t="s">
        <v>105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130</v>
      </c>
    </row>
    <row r="15" spans="2:13" s="39" customFormat="1">
      <c r="B15" s="72"/>
      <c r="C15" s="77" t="s">
        <v>107</v>
      </c>
      <c r="J15" s="39" t="s">
        <v>40</v>
      </c>
      <c r="K15" s="78">
        <v>46191</v>
      </c>
      <c r="L15" s="208"/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42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43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44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128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4" t="s">
        <v>109</v>
      </c>
      <c r="G29" s="184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4"/>
      <c r="G30" s="184"/>
    </row>
    <row r="31" spans="2:13" ht="12" customHeight="1">
      <c r="B31" s="32"/>
      <c r="C31" s="26" t="s">
        <v>51</v>
      </c>
      <c r="D31" s="35"/>
      <c r="E31" s="26" t="s">
        <v>49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65</v>
      </c>
      <c r="C54" s="126" t="s">
        <v>113</v>
      </c>
      <c r="F54" s="127" t="s">
        <v>121</v>
      </c>
      <c r="P54" s="26" t="str">
        <f>UPPER(F54)</f>
        <v>ALI MOHAMMED HASSAN AL-ALWAN CONT. EST.</v>
      </c>
    </row>
    <row r="55" spans="2:16" ht="12" customHeight="1">
      <c r="B55" s="84" t="s">
        <v>65</v>
      </c>
      <c r="C55" s="126" t="s">
        <v>114</v>
      </c>
      <c r="F55" s="127" t="s">
        <v>125</v>
      </c>
    </row>
    <row r="56" spans="2:16" ht="12" customHeight="1">
      <c r="B56" s="84" t="s">
        <v>65</v>
      </c>
      <c r="C56" s="126" t="s">
        <v>115</v>
      </c>
      <c r="F56" s="127" t="s">
        <v>122</v>
      </c>
    </row>
    <row r="57" spans="2:16" ht="12" customHeight="1">
      <c r="B57" s="84" t="s">
        <v>65</v>
      </c>
      <c r="C57" s="126" t="s">
        <v>116</v>
      </c>
      <c r="F57" s="26" t="s">
        <v>123</v>
      </c>
    </row>
    <row r="58" spans="2:16" ht="12" customHeight="1">
      <c r="B58" s="84" t="s">
        <v>65</v>
      </c>
      <c r="C58" s="126" t="s">
        <v>117</v>
      </c>
      <c r="F58" s="26" t="s">
        <v>124</v>
      </c>
    </row>
    <row r="59" spans="2:16" ht="12" customHeight="1">
      <c r="B59" s="84" t="s">
        <v>65</v>
      </c>
      <c r="C59" s="126" t="s">
        <v>118</v>
      </c>
      <c r="F59" s="26" t="s">
        <v>119</v>
      </c>
    </row>
    <row r="60" spans="2:16" ht="12" customHeight="1">
      <c r="B60" s="84"/>
      <c r="C60" s="128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Thouseef</v>
      </c>
    </row>
    <row r="68" spans="1:13" ht="18" customHeight="1">
      <c r="B68" s="26" t="s">
        <v>71</v>
      </c>
      <c r="J68" s="26" t="s">
        <v>72</v>
      </c>
      <c r="K68" s="22"/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110</v>
      </c>
      <c r="J70" s="185" t="str">
        <f>C9</f>
        <v>AAC (Ali Mohammed Hassan Al-Alwan Cont. Est.)</v>
      </c>
      <c r="K70" s="185"/>
      <c r="L70" s="185"/>
      <c r="M70" s="185"/>
    </row>
    <row r="71" spans="1:13" ht="27.95" customHeight="1">
      <c r="A71" s="176" t="s">
        <v>75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G13" sqref="G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SAC2-DS-PO-0357</v>
      </c>
      <c r="C2" s="188" t="s">
        <v>77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46210</v>
      </c>
      <c r="C3" s="51"/>
      <c r="D3" s="52"/>
      <c r="E3" s="189" t="s">
        <v>79</v>
      </c>
      <c r="F3" s="189"/>
      <c r="G3" s="189"/>
      <c r="H3" s="189"/>
      <c r="I3" s="53"/>
    </row>
    <row r="4" spans="1:13" s="55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AAC (Ali Mohammed Hassan Al-Alwan Cont. Est.)</v>
      </c>
      <c r="G4" s="199"/>
      <c r="H4" s="200" t="s">
        <v>84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85</v>
      </c>
      <c r="G5" s="57" t="s">
        <v>51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CONCATENATE(MRS!B6," ",MRS!D6)</f>
        <v>Piping QC Supervisor Aramco Approved</v>
      </c>
      <c r="C6" s="187"/>
      <c r="D6" s="86" t="str">
        <f>+'MRS LIST'!G6</f>
        <v>Hour</v>
      </c>
      <c r="E6" s="87">
        <f>+'MRS LIST'!H6</f>
        <v>1</v>
      </c>
      <c r="F6" s="88">
        <f>+'MRS LIST'!I6</f>
        <v>115</v>
      </c>
      <c r="G6" s="89">
        <f>+'MRS LIST'!J6</f>
        <v>115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CONCATENATE(MRS!B7," ",MRS!D7)</f>
        <v xml:space="preserve"> </v>
      </c>
      <c r="C7" s="18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 t="str">
        <f>CONCATENATE(MRS!B8," ",MRS!D8)</f>
        <v xml:space="preserve"> </v>
      </c>
      <c r="C8" s="18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6"/>
      <c r="C10" s="187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6"/>
      <c r="C12" s="20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6"/>
      <c r="C13" s="20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6"/>
      <c r="C14" s="20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6"/>
      <c r="C15" s="20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6"/>
      <c r="C16" s="20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6"/>
      <c r="C17" s="207"/>
      <c r="D17" s="94"/>
      <c r="E17" s="95"/>
      <c r="F17" s="96"/>
      <c r="G17" s="97"/>
      <c r="H17" s="98"/>
    </row>
    <row r="18" spans="1:13" s="55" customFormat="1" ht="23.1" customHeight="1">
      <c r="A18" s="202" t="s">
        <v>86</v>
      </c>
      <c r="B18" s="203"/>
      <c r="C18" s="203"/>
      <c r="D18" s="203"/>
      <c r="E18" s="203"/>
      <c r="F18" s="203"/>
      <c r="G18" s="58">
        <f>SUM(G6:G17)</f>
        <v>115</v>
      </c>
      <c r="H18" s="59"/>
    </row>
    <row r="19" spans="1:13" s="55" customFormat="1" ht="23.1" customHeight="1">
      <c r="A19" s="202" t="s">
        <v>50</v>
      </c>
      <c r="B19" s="203"/>
      <c r="C19" s="203"/>
      <c r="D19" s="203"/>
      <c r="E19" s="203"/>
      <c r="F19" s="203"/>
      <c r="G19" s="58">
        <f>+G18*0.15</f>
        <v>17.25</v>
      </c>
      <c r="H19" s="59"/>
    </row>
    <row r="20" spans="1:13" s="55" customFormat="1" ht="24.95" customHeight="1" thickBot="1">
      <c r="A20" s="204" t="s">
        <v>87</v>
      </c>
      <c r="B20" s="205"/>
      <c r="C20" s="205"/>
      <c r="D20" s="205"/>
      <c r="E20" s="205"/>
      <c r="F20" s="205"/>
      <c r="G20" s="60">
        <f>G19+G18</f>
        <v>132.25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AAC-3332/26 Rev.01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89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2026-07-07T14:44:14Z</cp:lastPrinted>
  <dcterms:created xsi:type="dcterms:W3CDTF">2024-10-20T11:50:19Z</dcterms:created>
  <dcterms:modified xsi:type="dcterms:W3CDTF">2026-07-07T14:48:14Z</dcterms:modified>
</cp:coreProperties>
</file>