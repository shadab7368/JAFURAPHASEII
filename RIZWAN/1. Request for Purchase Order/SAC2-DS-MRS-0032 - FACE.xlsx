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781C51CB-5CF2-4B3F-9E85-C00ACDC9D158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7" i="4" l="1"/>
  <c r="E7" i="4"/>
  <c r="J7" i="1"/>
  <c r="K59" i="3" l="1"/>
  <c r="H6" i="4"/>
  <c r="E3" i="1"/>
  <c r="H7" i="2"/>
  <c r="G7" i="2"/>
  <c r="D7" i="4" s="1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<sst xmlns="http://schemas.openxmlformats.org/spreadsheetml/2006/main" count="157" uniqueCount="123">
  <si>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</si>
  <si>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</si>
  <si>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</si>
  <si>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</si>
  <si>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</si>
  <si>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</si>
  <si>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</si>
  <si>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</si>
  <si>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</si>
  <si>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</si>
  <si>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</si>
  <si>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</si>
  <si>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</si>
  <si>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</si>
  <si>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</si>
  <si>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</si>
  <si>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</si>
  <si>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</si>
  <si>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</si>
  <si>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</si>
  <si>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</si>
  <si>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</si>
  <si>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</si>
  <si>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</si>
  <si>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</si>
  <si>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</si>
  <si>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</si>
  <si>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</si>
  <si>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</si>
  <si>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</si>
  <si>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</si>
  <si>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</si>
  <si>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</si>
  <si>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</si>
  <si>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</si>
  <si>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</si>
  <si>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</si>
  <si>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</si>
  <si>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</si>
  <si>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</si>
  <si>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</si>
  <si>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</si>
  <si>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</si>
  <si>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</si>
  <si>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</si>
  <si>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</si>
  <si>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</si>
  <si>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</si>
  <si>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</si>
  <si>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</si>
  <si>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</si>
  <si>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</si>
  <si>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</si>
  <si>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</si>
  <si>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</si>
  <si>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</si>
  <si>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</si>
  <si>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</si>
  <si>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</si>
  <si>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</si>
  <si>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</si>
  <si>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</si>
  <si>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</si>
  <si>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</si>
  <si>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</si>
  <si>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</si>
  <si>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</si>
  <si>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</si>
  <si>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</si>
  <si>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</si>
  <si>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</si>
  <si>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</si>
  <si>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</si>
  <si>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</si>
  <si>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</si>
  <si>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</si>
  <si>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6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</si>
  <si>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</si>
  <si>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</si>
  <si>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</si>
  <si>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</si>
  <si>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</si>
  <si>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</si>
  <si>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</si>
  <si>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</si>
  <si>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</si>
  <si>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</si>
  <si>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</si>
  <si>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</si>
  <si>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</si>
  <si>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</si>
  <si>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</si>
  <si>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</si>
  <si>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Month</t>
    <phoneticPr fontId="10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</si>
  <si>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</si>
  <si>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</si>
  <si>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</si>
  <si>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</si>
  <si>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</si>
  <si>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</si>
  <si>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Monthly based</t>
  </si>
  <si>
    <t>Monthly Based</t>
  </si>
  <si>
    <t>Subcontract name (SAC2-SC-IK-SMP-01)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</si>
  <si>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</si>
  <si>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</si>
  <si>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 xml:space="preserve">  Delivery &amp; Payment : Dong Chang Kim / Daeshin Admin. [ Mobile No. : +966 53 748 5762 / Email : kdchjs@daeshinplant.com ]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</si>
  <si>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-MRS-0032</t>
    </r>
  </si>
  <si>
    <t>Skip Bucket</t>
  </si>
  <si>
    <t>10 Yard</t>
  </si>
  <si>
    <t>Trip</t>
  </si>
  <si>
    <t>FACE</t>
  </si>
  <si>
    <t>Per Trip</t>
  </si>
  <si>
    <t>FACE(Faisal Fahad Hussain Al Kari Transportation Co.)</t>
  </si>
  <si>
    <t>310434457200003</t>
  </si>
  <si>
    <t>Aby K. Thomas</t>
  </si>
  <si>
    <t>+966 59 8236740 / Email:sales@faceindus.com</t>
  </si>
  <si>
    <t>Landline: +966 138309720 / Mobile : +966 598236740</t>
  </si>
  <si>
    <t>Sales Manager</t>
  </si>
  <si>
    <t>Head Office P.O. Box 1954, Khobar 31952 Eastern Province KSA</t>
  </si>
  <si>
    <t>FTC-24121261</t>
  </si>
  <si>
    <t xml:space="preserve">          non-Hazardous Waste Materials</t>
  </si>
  <si>
    <t>10 Yard Skip Bucket &amp; Removal of</t>
  </si>
  <si>
    <t>Removal of Non-Harardous Waste Materials from 10 Yard Skip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</si>
</sst>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5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9" fillId="0" borderId="0" applyBorder="0"/>
    <xf numFmtId="0" fontId="38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40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4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25" fillId="3" borderId="0" xfId="5" applyFont="1" applyFill="1"/>
    <xf numFmtId="0" fontId="18" fillId="3" borderId="0" xfId="5" applyFont="1" applyFill="1" applyAlignment="1">
      <alignment horizontal="right" vertical="center"/>
    </xf>
    <xf numFmtId="0" fontId="26" fillId="3" borderId="0" xfId="5" applyFont="1" applyFill="1"/>
    <xf numFmtId="0" fontId="27" fillId="3" borderId="0" xfId="5" applyFont="1" applyFill="1" applyAlignment="1">
      <alignment horizontal="left"/>
    </xf>
    <xf numFmtId="0" fontId="27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7" fillId="3" borderId="0" xfId="5" applyFont="1" applyFill="1"/>
    <xf numFmtId="0" fontId="27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30" fillId="0" borderId="0" xfId="6" applyFont="1"/>
    <xf numFmtId="0" fontId="30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2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3" fillId="0" borderId="0" xfId="6" quotePrefix="1" applyNumberFormat="1" applyFont="1" applyAlignment="1">
      <alignment vertical="center"/>
    </xf>
    <xf numFmtId="0" fontId="27" fillId="0" borderId="0" xfId="6" applyFont="1" applyAlignment="1">
      <alignment vertical="top"/>
    </xf>
    <xf numFmtId="0" fontId="34" fillId="0" borderId="0" xfId="6" applyFont="1" applyBorder="1" applyAlignment="1">
      <alignment vertical="center"/>
    </xf>
    <xf numFmtId="0" fontId="35" fillId="0" borderId="0" xfId="6" applyFont="1" applyAlignment="1">
      <alignment vertical="top"/>
    </xf>
    <xf numFmtId="0" fontId="37" fillId="0" borderId="0" xfId="6" applyFont="1"/>
    <xf numFmtId="0" fontId="37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7" fillId="0" borderId="45" xfId="6" applyFont="1" applyBorder="1" applyAlignment="1">
      <alignment vertical="center"/>
    </xf>
    <xf numFmtId="0" fontId="27" fillId="0" borderId="45" xfId="6" applyFont="1" applyBorder="1"/>
    <xf numFmtId="0" fontId="9" fillId="0" borderId="0" xfId="6" applyFont="1" applyBorder="1" applyAlignment="1">
      <alignment vertical="center"/>
    </xf>
    <xf numFmtId="0" fontId="27" fillId="0" borderId="0" xfId="6" applyFont="1" applyBorder="1" applyAlignment="1">
      <alignment vertical="center"/>
    </xf>
    <xf numFmtId="0" fontId="27" fillId="0" borderId="0" xfId="6" applyFont="1" applyBorder="1"/>
    <xf numFmtId="0" fontId="30" fillId="0" borderId="0" xfId="6" applyFont="1" applyBorder="1"/>
    <xf numFmtId="0" fontId="39" fillId="0" borderId="0" xfId="6" applyFont="1"/>
    <xf numFmtId="0" fontId="28" fillId="3" borderId="0" xfId="5" applyFont="1" applyFill="1"/>
    <xf numFmtId="0" fontId="39" fillId="0" borderId="0" xfId="6" applyFont="1" applyAlignment="1">
      <alignment vertical="center"/>
    </xf>
    <xf numFmtId="0" fontId="2" fillId="3" borderId="0" xfId="5" applyFont="1" applyFill="1"/>
    <xf numFmtId="0" fontId="33" fillId="3" borderId="0" xfId="5" applyFont="1" applyFill="1"/>
    <xf numFmtId="0" fontId="41" fillId="3" borderId="0" xfId="5" applyFont="1" applyFill="1"/>
    <xf numFmtId="0" fontId="2" fillId="3" borderId="0" xfId="5" applyFont="1" applyFill="1" applyAlignment="1">
      <alignment horizontal="left" vertical="center"/>
    </xf>
    <xf numFmtId="0" fontId="27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7" fillId="3" borderId="0" xfId="5" applyNumberFormat="1" applyFont="1" applyFill="1"/>
    <xf numFmtId="0" fontId="27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2" fillId="3" borderId="0" xfId="0" applyFont="1" applyFill="1" applyAlignment="1"/>
    <xf numFmtId="0" fontId="42" fillId="3" borderId="0" xfId="5" applyFont="1" applyFill="1"/>
    <xf numFmtId="0" fontId="27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3" fillId="3" borderId="0" xfId="5" applyFont="1" applyFill="1" applyAlignment="1">
      <alignment horizontal="left" vertical="center" wrapText="1"/>
    </xf>
    <xf numFmtId="0" fontId="43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3" fillId="0" borderId="22" xfId="0" applyFont="1" applyBorder="1" applyAlignment="1">
      <alignment horizontal="center" vertical="center"/>
    </xf>
    <xf numFmtId="174" fontId="43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4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3" fillId="0" borderId="23" xfId="0" applyFont="1" applyBorder="1" applyAlignment="1">
      <alignment horizontal="left" vertical="center" wrapText="1"/>
    </xf>
    <xf numFmtId="0" fontId="43" fillId="0" borderId="24" xfId="0" applyFont="1" applyBorder="1" applyAlignment="1">
      <alignment horizontal="left" vertical="center" wrapText="1"/>
    </xf>
    <xf numFmtId="0" fontId="43" fillId="3" borderId="23" xfId="0" applyFont="1" applyFill="1" applyBorder="1" applyAlignment="1">
      <alignment horizontal="center" vertical="center" wrapText="1"/>
    </xf>
    <xf numFmtId="0" fontId="43" fillId="3" borderId="25" xfId="0" applyFont="1" applyFill="1" applyBorder="1" applyAlignment="1">
      <alignment horizontal="center" vertical="center" wrapText="1"/>
    </xf>
    <xf numFmtId="0" fontId="43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8" fillId="3" borderId="0" xfId="5" applyFont="1" applyFill="1" applyAlignment="1">
      <alignment horizontal="center"/>
    </xf>
    <xf numFmtId="170" fontId="33" fillId="3" borderId="0" xfId="5" quotePrefix="1" applyNumberFormat="1" applyFont="1" applyFill="1" applyAlignment="1">
      <alignment horizontal="left" vertical="center"/>
    </xf>
    <xf numFmtId="170" fontId="33" fillId="3" borderId="0" xfId="5" applyNumberFormat="1" applyFont="1" applyFill="1" applyAlignment="1">
      <alignment horizontal="left" vertical="center"/>
    </xf>
    <xf numFmtId="0" fontId="33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172" fontId="18" fillId="3" borderId="0" xfId="5" applyNumberFormat="1" applyFont="1" applyFill="1" applyAlignment="1">
      <alignment horizontal="center"/>
    </xf>
    <xf numFmtId="0" fontId="17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3" fillId="3" borderId="23" xfId="5" applyFont="1" applyFill="1" applyBorder="1" applyAlignment="1">
      <alignment horizontal="left" vertical="center" wrapText="1"/>
    </xf>
    <xf numFmtId="0" fontId="43" fillId="3" borderId="24" xfId="5" applyFont="1" applyFill="1" applyBorder="1" applyAlignment="1">
      <alignment horizontal="left" vertical="center" wrapText="1"/>
    </xf>
    <xf numFmtId="0" fontId="31" fillId="0" borderId="0" xfId="6" applyFont="1" applyAlignment="1">
      <alignment horizontal="center" vertical="center"/>
    </xf>
    <xf numFmtId="0" fontId="34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43" fillId="3" borderId="38" xfId="5" applyFont="1" applyFill="1" applyBorder="1" applyAlignment="1">
      <alignment horizontal="left" vertical="center" wrapText="1"/>
    </xf>
    <xf numFmtId="0" fontId="43" fillId="3" borderId="39" xfId="5" applyFont="1" applyFill="1" applyBorder="1" applyAlignment="1">
      <alignment horizontal="left" vertical="center" wrapText="1"/>
    </xf>
  </cellXfs>
  <cellStyles count="15">
    <cellStyle name="Comma [0]" xfId="10" builtinId="6"/>
    <cellStyle name="Normal" xfId="0" builtinId="0"/>
    <cellStyle name="쉼표 [0] 2 2" xfId="4" xr:uid="{95D71F5C-65D6-4E85-84FE-774413508E1E}"/>
    <cellStyle name="쉼표 [0] 2 2 2" xfId="12" xr:uid="{0C2DA7B8-C881-403A-A3F4-E101D5689A48}"/>
    <cellStyle name="쉼표 2" xfId="9" xr:uid="{F2A3A689-A30F-4FCA-9C51-F28F11796A46}"/>
    <cellStyle name="쉼표 2 2" xfId="14" xr:uid="{0984986F-16BB-41D3-B527-1D1EA3E110EA}"/>
    <cellStyle name="표준 2 2" xfId="2" xr:uid="{12B761D3-4229-4E14-8168-D5975293A996}"/>
    <cellStyle name="표준 2 2 2" xfId="11" xr:uid="{4158E29D-49D4-4EBB-92E7-B73170844AF2}"/>
    <cellStyle name="표준 2 3 2 2" xfId="5" xr:uid="{BD51BFCC-3D36-446B-BE80-7856DF8371E9}"/>
    <cellStyle name="표준 2 3 2 2 2" xfId="13" xr:uid="{3FF0BFF6-7B9F-4FBC-804C-3BCCD0E05787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391027</xdr:colOff>
          <xdr:row>16</xdr:row>
          <xdr:rowOff>150395</xdr:rowOff>
        </xdr:from>
        <xdr:to>
          <xdr:col>11</xdr:col>
          <xdr:colOff>1694949</xdr:colOff>
          <xdr:row>23</xdr:row>
          <xdr:rowOff>110291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20027" y="5063290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43243</xdr:colOff>
      <xdr:row>6</xdr:row>
      <xdr:rowOff>117231</xdr:rowOff>
    </xdr:from>
    <xdr:to>
      <xdr:col>12</xdr:col>
      <xdr:colOff>575452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820" y="1091712"/>
          <a:ext cx="6620882" cy="771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C22" sqref="C2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4" t="s">
        <v>103</v>
      </c>
      <c r="B1" s="110"/>
      <c r="C1" s="110"/>
      <c r="D1" s="110"/>
      <c r="E1" s="110"/>
      <c r="F1" s="110"/>
      <c r="G1" s="1"/>
      <c r="J1" s="141" t="s">
        <v>92</v>
      </c>
      <c r="K1" s="142"/>
      <c r="L1" s="143"/>
    </row>
    <row r="2" spans="1:19" ht="20.100000000000001" customHeight="1">
      <c r="A2" s="3" t="s">
        <v>1</v>
      </c>
      <c r="B2" s="101"/>
      <c r="C2" s="101"/>
      <c r="D2" s="3" t="s">
        <v>104</v>
      </c>
      <c r="E2" s="101"/>
      <c r="F2" s="101"/>
      <c r="G2" s="101"/>
      <c r="H2" s="101"/>
      <c r="I2" s="4"/>
      <c r="J2" s="157" t="s">
        <v>102</v>
      </c>
      <c r="K2" s="158"/>
      <c r="L2" s="159"/>
    </row>
    <row r="3" spans="1:19" ht="20.100000000000001" customHeight="1">
      <c r="A3" s="3" t="s">
        <v>106</v>
      </c>
      <c r="B3" s="101"/>
      <c r="C3" s="101"/>
      <c r="D3" s="101"/>
      <c r="E3" s="144">
        <f>+L3</f>
        <v>45703</v>
      </c>
      <c r="F3" s="144"/>
      <c r="G3" s="144"/>
      <c r="H3" s="144"/>
      <c r="I3" s="144"/>
      <c r="J3" s="101"/>
      <c r="K3" s="101"/>
      <c r="L3" s="122">
        <v>45703</v>
      </c>
      <c r="M3" s="4"/>
    </row>
    <row r="4" spans="1:19" ht="15.95" customHeight="1">
      <c r="A4" s="145" t="s">
        <v>2</v>
      </c>
      <c r="B4" s="146" t="s">
        <v>3</v>
      </c>
      <c r="C4" s="146"/>
      <c r="D4" s="147" t="s">
        <v>4</v>
      </c>
      <c r="E4" s="148"/>
      <c r="F4" s="149"/>
      <c r="G4" s="153" t="s">
        <v>5</v>
      </c>
      <c r="H4" s="155" t="s">
        <v>6</v>
      </c>
      <c r="I4" s="155" t="s">
        <v>97</v>
      </c>
      <c r="J4" s="145" t="s">
        <v>98</v>
      </c>
      <c r="K4" s="155" t="s">
        <v>0</v>
      </c>
      <c r="L4" s="146" t="s">
        <v>7</v>
      </c>
    </row>
    <row r="5" spans="1:19" ht="15.95" customHeight="1">
      <c r="A5" s="145"/>
      <c r="B5" s="146"/>
      <c r="C5" s="146"/>
      <c r="D5" s="150"/>
      <c r="E5" s="151"/>
      <c r="F5" s="152"/>
      <c r="G5" s="154"/>
      <c r="H5" s="156"/>
      <c r="I5" s="156"/>
      <c r="J5" s="145"/>
      <c r="K5" s="156"/>
      <c r="L5" s="146"/>
    </row>
    <row r="6" spans="1:19" ht="22.5" customHeight="1">
      <c r="A6" s="5">
        <f t="shared" ref="A6:A15" si="0">ROW(A1)</f>
        <v>1</v>
      </c>
      <c r="B6" s="129" t="s">
        <v>107</v>
      </c>
      <c r="C6" s="130"/>
      <c r="D6" s="131" t="s">
        <v>108</v>
      </c>
      <c r="E6" s="132"/>
      <c r="F6" s="133"/>
      <c r="G6" s="111" t="s">
        <v>93</v>
      </c>
      <c r="H6" s="112">
        <v>1</v>
      </c>
      <c r="I6" s="113">
        <v>100</v>
      </c>
      <c r="J6" s="113">
        <f>H6*I6</f>
        <v>100</v>
      </c>
      <c r="K6" s="114" t="s">
        <v>110</v>
      </c>
      <c r="L6" s="115" t="s">
        <v>101</v>
      </c>
      <c r="S6" s="106"/>
    </row>
    <row r="7" spans="1:19" ht="36.75" customHeight="1">
      <c r="A7" s="5">
        <f t="shared" si="0"/>
        <v>2</v>
      </c>
      <c r="B7" s="129" t="s">
        <v>122</v>
      </c>
      <c r="C7" s="130"/>
      <c r="D7" s="140"/>
      <c r="E7" s="132"/>
      <c r="F7" s="133"/>
      <c r="G7" s="111" t="s">
        <v>109</v>
      </c>
      <c r="H7" s="112">
        <v>1</v>
      </c>
      <c r="I7" s="113">
        <v>300</v>
      </c>
      <c r="J7" s="113">
        <f>I7</f>
        <v>300</v>
      </c>
      <c r="K7" s="114" t="s">
        <v>110</v>
      </c>
      <c r="L7" s="115" t="s">
        <v>111</v>
      </c>
      <c r="S7" s="106"/>
    </row>
    <row r="8" spans="1:19" ht="22.5" customHeight="1">
      <c r="A8" s="5">
        <f t="shared" si="0"/>
        <v>3</v>
      </c>
      <c r="B8" s="129"/>
      <c r="C8" s="130"/>
      <c r="D8" s="131"/>
      <c r="E8" s="132"/>
      <c r="F8" s="133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29"/>
      <c r="C9" s="130"/>
      <c r="D9" s="131"/>
      <c r="E9" s="132"/>
      <c r="F9" s="133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38"/>
      <c r="C10" s="138"/>
      <c r="D10" s="139"/>
      <c r="E10" s="139"/>
      <c r="F10" s="139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29"/>
      <c r="C11" s="130"/>
      <c r="D11" s="131"/>
      <c r="E11" s="132"/>
      <c r="F11" s="133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38"/>
      <c r="C12" s="138"/>
      <c r="D12" s="139"/>
      <c r="E12" s="139"/>
      <c r="F12" s="139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9"/>
      <c r="C13" s="130"/>
      <c r="D13" s="131"/>
      <c r="E13" s="132"/>
      <c r="F13" s="133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9"/>
      <c r="C14" s="130"/>
      <c r="D14" s="131"/>
      <c r="E14" s="132"/>
      <c r="F14" s="133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9"/>
      <c r="C15" s="130"/>
      <c r="D15" s="131"/>
      <c r="E15" s="132"/>
      <c r="F15" s="133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4" t="s">
        <v>8</v>
      </c>
      <c r="B16" s="13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6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7"/>
      <c r="T19" s="14"/>
      <c r="U19" s="15"/>
      <c r="V19" s="14"/>
    </row>
    <row r="20" spans="1:22" ht="17.100000000000001" customHeight="1">
      <c r="O20" s="11"/>
      <c r="P20" s="11"/>
      <c r="Q20" s="11"/>
      <c r="S20" s="12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5" t="s">
        <v>17</v>
      </c>
      <c r="Q21" s="125" t="s">
        <v>18</v>
      </c>
    </row>
    <row r="22" spans="1:22" ht="18" customHeight="1">
      <c r="O22" s="18" t="s">
        <v>19</v>
      </c>
      <c r="P22" s="127"/>
      <c r="Q22" s="127"/>
      <c r="S22" s="136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7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8"/>
      <c r="P27" s="128"/>
      <c r="Q27" s="128"/>
    </row>
    <row r="28" spans="1:22" ht="19.899999999999999" customHeight="1">
      <c r="O28" s="128"/>
      <c r="P28" s="128"/>
      <c r="Q28" s="12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5" t="s">
        <v>21</v>
      </c>
    </row>
    <row r="41" spans="15:22" ht="19.899999999999999" customHeight="1">
      <c r="T41" s="127"/>
    </row>
    <row r="42" spans="15:22" ht="64.900000000000006" customHeight="1">
      <c r="T42" s="14"/>
    </row>
    <row r="46" spans="15:22" ht="21" customHeight="1">
      <c r="O46" s="125" t="s">
        <v>21</v>
      </c>
      <c r="P46" s="125" t="s">
        <v>21</v>
      </c>
      <c r="Q46" s="125" t="s">
        <v>21</v>
      </c>
      <c r="T46" s="125" t="s">
        <v>22</v>
      </c>
      <c r="U46" s="125" t="s">
        <v>13</v>
      </c>
      <c r="V46" s="125" t="s">
        <v>21</v>
      </c>
    </row>
    <row r="47" spans="15:22" ht="21" customHeight="1">
      <c r="O47" s="127"/>
      <c r="P47" s="127"/>
      <c r="Q47" s="127"/>
      <c r="T47" s="126"/>
      <c r="U47" s="126"/>
      <c r="V47" s="12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5" t="s">
        <v>21</v>
      </c>
      <c r="P50" s="125" t="s">
        <v>21</v>
      </c>
      <c r="Q50" s="125" t="s">
        <v>21</v>
      </c>
      <c r="T50" s="125" t="s">
        <v>13</v>
      </c>
      <c r="U50" s="125" t="s">
        <v>22</v>
      </c>
      <c r="V50" s="125" t="s">
        <v>21</v>
      </c>
    </row>
    <row r="51" spans="15:22" ht="21" customHeight="1">
      <c r="O51" s="127"/>
      <c r="P51" s="127"/>
      <c r="Q51" s="127"/>
      <c r="T51" s="126"/>
      <c r="U51" s="126"/>
      <c r="V51" s="12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7" sqref="B7:C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41" t="str">
        <f>+MRS!J1</f>
        <v>DAESHIN PLANT</v>
      </c>
      <c r="K1" s="143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57" t="str">
        <f>+MRS!J2</f>
        <v>Subcontract name (SAC2-SC-IK-SMP-01)</v>
      </c>
      <c r="K2" s="159"/>
    </row>
    <row r="3" spans="1:18" ht="24.95" customHeight="1">
      <c r="A3" s="3" t="str">
        <f>+MRS!A3</f>
        <v xml:space="preserve">  MRS No : SAC2-DS-MRS-0032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45703</v>
      </c>
    </row>
    <row r="4" spans="1:18" ht="15.95" customHeight="1">
      <c r="A4" s="170" t="s">
        <v>2</v>
      </c>
      <c r="B4" s="171" t="s">
        <v>23</v>
      </c>
      <c r="C4" s="171"/>
      <c r="D4" s="170" t="s">
        <v>4</v>
      </c>
      <c r="E4" s="170"/>
      <c r="F4" s="170"/>
      <c r="G4" s="171" t="s">
        <v>5</v>
      </c>
      <c r="H4" s="170" t="s">
        <v>94</v>
      </c>
      <c r="I4" s="170" t="s">
        <v>24</v>
      </c>
      <c r="J4" s="170" t="s">
        <v>25</v>
      </c>
      <c r="K4" s="171" t="s">
        <v>7</v>
      </c>
    </row>
    <row r="5" spans="1:18" ht="15.95" customHeight="1">
      <c r="A5" s="170"/>
      <c r="B5" s="171"/>
      <c r="C5" s="171"/>
      <c r="D5" s="170"/>
      <c r="E5" s="170"/>
      <c r="F5" s="170"/>
      <c r="G5" s="171"/>
      <c r="H5" s="170"/>
      <c r="I5" s="170"/>
      <c r="J5" s="170"/>
      <c r="K5" s="171"/>
    </row>
    <row r="6" spans="1:18" ht="105" customHeight="1">
      <c r="A6" s="21">
        <f>+MRS!A6</f>
        <v>1</v>
      </c>
      <c r="B6" s="165" t="str">
        <f>MRS!B6</f>
        <v>Skip Bucket</v>
      </c>
      <c r="C6" s="166"/>
      <c r="D6" s="167" t="str">
        <f>MRS!D6</f>
        <v>10 Yard</v>
      </c>
      <c r="E6" s="168"/>
      <c r="F6" s="169"/>
      <c r="G6" s="103" t="str">
        <f>MRS!G6</f>
        <v>Month</v>
      </c>
      <c r="H6" s="103">
        <f>MRS!H6</f>
        <v>1</v>
      </c>
      <c r="I6" s="104">
        <f>MRS!I6</f>
        <v>100</v>
      </c>
      <c r="J6" s="104">
        <f>MRS!J6</f>
        <v>100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5" t="str">
        <f>MRS!B7</f>
        <v>Removal of Non-Harardous Waste Materials from 10 Yard Skip Bucket</v>
      </c>
      <c r="C7" s="166"/>
      <c r="D7" s="167">
        <f>MRS!D7</f>
        <v>0</v>
      </c>
      <c r="E7" s="168"/>
      <c r="F7" s="169"/>
      <c r="G7" s="103" t="str">
        <f>MRS!G7</f>
        <v>Trip</v>
      </c>
      <c r="H7" s="103">
        <f>MRS!H7</f>
        <v>1</v>
      </c>
      <c r="I7" s="104">
        <f>MRS!I7</f>
        <v>300</v>
      </c>
      <c r="J7" s="104">
        <f>MRS!J7</f>
        <v>300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0"/>
      <c r="C8" s="161"/>
      <c r="D8" s="162"/>
      <c r="E8" s="163"/>
      <c r="F8" s="164"/>
      <c r="G8" s="107"/>
      <c r="H8" s="108"/>
      <c r="I8" s="109"/>
      <c r="J8" s="109"/>
      <c r="K8" s="105"/>
      <c r="O8" s="106"/>
      <c r="P8" s="106"/>
      <c r="R8" s="106"/>
    </row>
    <row r="9" spans="1:18" ht="105" customHeight="1">
      <c r="A9" s="21">
        <f>+MRS!A9</f>
        <v>4</v>
      </c>
      <c r="B9" s="160"/>
      <c r="C9" s="161"/>
      <c r="D9" s="162"/>
      <c r="E9" s="163"/>
      <c r="F9" s="164"/>
      <c r="G9" s="107"/>
      <c r="H9" s="108"/>
      <c r="I9" s="109"/>
      <c r="J9" s="109"/>
      <c r="K9" s="105"/>
      <c r="O9" s="106"/>
      <c r="P9" s="106"/>
      <c r="R9" s="106"/>
    </row>
    <row r="10" spans="1:18" ht="105" customHeight="1">
      <c r="A10" s="21">
        <f>+MRS!A10</f>
        <v>5</v>
      </c>
      <c r="B10" s="160"/>
      <c r="C10" s="161"/>
      <c r="D10" s="162"/>
      <c r="E10" s="163"/>
      <c r="F10" s="164"/>
      <c r="G10" s="107"/>
      <c r="H10" s="108"/>
      <c r="I10" s="109"/>
      <c r="J10" s="109"/>
      <c r="K10" s="105"/>
      <c r="O10" s="106"/>
      <c r="P10" s="106"/>
      <c r="R10" s="106"/>
    </row>
    <row r="11" spans="1:18" ht="105" customHeight="1">
      <c r="A11" s="21">
        <f>+MRS!A11</f>
        <v>6</v>
      </c>
      <c r="B11" s="160"/>
      <c r="C11" s="161"/>
      <c r="D11" s="162"/>
      <c r="E11" s="163"/>
      <c r="F11" s="164"/>
      <c r="G11" s="107"/>
      <c r="H11" s="108"/>
      <c r="I11" s="109"/>
      <c r="J11" s="109"/>
      <c r="K11" s="105"/>
      <c r="O11" s="106"/>
      <c r="P11" s="106"/>
      <c r="R11" s="106"/>
    </row>
    <row r="12" spans="1:18" ht="105" customHeight="1">
      <c r="A12" s="21">
        <f>+MRS!A12</f>
        <v>7</v>
      </c>
      <c r="B12" s="160"/>
      <c r="C12" s="161"/>
      <c r="D12" s="162"/>
      <c r="E12" s="163"/>
      <c r="F12" s="164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0"/>
      <c r="C13" s="161"/>
      <c r="D13" s="162"/>
      <c r="E13" s="163"/>
      <c r="F13" s="164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0"/>
      <c r="C14" s="161"/>
      <c r="D14" s="162"/>
      <c r="E14" s="163"/>
      <c r="F14" s="164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0"/>
      <c r="C15" s="161"/>
      <c r="D15" s="162"/>
      <c r="E15" s="163"/>
      <c r="F15" s="164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0"/>
      <c r="C16" s="161"/>
      <c r="D16" s="162"/>
      <c r="E16" s="163"/>
      <c r="F16" s="164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0"/>
      <c r="C17" s="161"/>
      <c r="D17" s="162"/>
      <c r="E17" s="163"/>
      <c r="F17" s="164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9" zoomScale="160" zoomScaleNormal="100" zoomScaleSheetLayoutView="160" workbookViewId="0">
      <selection activeCell="B20" sqref="B20:M2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112</v>
      </c>
      <c r="D9" s="39"/>
      <c r="E9" s="39"/>
    </row>
    <row r="10" spans="2:13" s="39" customFormat="1">
      <c r="B10" s="72"/>
      <c r="C10" s="39" t="s">
        <v>33</v>
      </c>
      <c r="D10" s="76">
        <v>2051224980</v>
      </c>
      <c r="J10" s="39" t="s">
        <v>34</v>
      </c>
      <c r="K10" s="173">
        <f>MRS!L3</f>
        <v>45703</v>
      </c>
      <c r="L10" s="174"/>
      <c r="M10" s="174"/>
    </row>
    <row r="11" spans="2:13" s="39" customFormat="1">
      <c r="B11" s="72"/>
      <c r="C11" s="75" t="s">
        <v>35</v>
      </c>
      <c r="D11" s="76" t="s">
        <v>113</v>
      </c>
      <c r="J11" s="39" t="s">
        <v>36</v>
      </c>
      <c r="K11" s="175" t="str">
        <f>SUBSTITUTE(SUBSTITUTE(+MRS!A3,"  MRS No : ",""),"-MRS","-PO")</f>
        <v>SAC2-DS-PO-0032</v>
      </c>
      <c r="L11" s="175"/>
      <c r="M11" s="175"/>
    </row>
    <row r="12" spans="2:13" s="39" customFormat="1">
      <c r="B12" s="72"/>
      <c r="C12" s="75" t="s">
        <v>37</v>
      </c>
      <c r="D12" s="39" t="s">
        <v>114</v>
      </c>
      <c r="J12" s="39" t="s">
        <v>38</v>
      </c>
    </row>
    <row r="13" spans="2:13" s="39" customFormat="1">
      <c r="B13" s="72"/>
      <c r="C13" s="77"/>
      <c r="D13" s="76" t="s">
        <v>115</v>
      </c>
      <c r="J13" s="39" t="s">
        <v>39</v>
      </c>
    </row>
    <row r="14" spans="2:13" s="39" customFormat="1">
      <c r="B14" s="72"/>
      <c r="C14" s="77" t="s">
        <v>118</v>
      </c>
      <c r="J14" s="39" t="s">
        <v>40</v>
      </c>
      <c r="K14" s="39" t="s">
        <v>119</v>
      </c>
    </row>
    <row r="15" spans="2:13" s="39" customFormat="1">
      <c r="B15" s="72"/>
      <c r="C15" s="77" t="s">
        <v>116</v>
      </c>
      <c r="J15" s="39" t="s">
        <v>41</v>
      </c>
      <c r="K15" s="78">
        <v>45679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6" t="s">
        <v>42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43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44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45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121</v>
      </c>
      <c r="M26" s="79" t="s">
        <v>47</v>
      </c>
    </row>
    <row r="27" spans="2:13" ht="11.1" customHeight="1">
      <c r="B27" s="32"/>
      <c r="C27" s="26" t="s">
        <v>120</v>
      </c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80" t="s">
        <v>100</v>
      </c>
      <c r="G29" s="180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80"/>
      <c r="G30" s="180"/>
    </row>
    <row r="31" spans="2:13" ht="15" customHeight="1">
      <c r="B31" s="32"/>
      <c r="C31" s="26" t="s">
        <v>52</v>
      </c>
      <c r="D31" s="35"/>
      <c r="E31" s="26" t="s">
        <v>50</v>
      </c>
      <c r="F31" s="180"/>
      <c r="G31" s="180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105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95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Aby K. Thomas</v>
      </c>
    </row>
    <row r="60" spans="1:16" ht="18" customHeight="1">
      <c r="B60" s="26" t="s">
        <v>72</v>
      </c>
      <c r="J60" s="26" t="s">
        <v>73</v>
      </c>
      <c r="K60" s="22" t="s">
        <v>117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1" t="str">
        <f>C9</f>
        <v>FACE(Faisal Fahad Hussain Al Kari Transportation Co.)</v>
      </c>
      <c r="K62" s="181"/>
      <c r="L62" s="181"/>
      <c r="M62" s="181"/>
    </row>
    <row r="63" spans="1:16" ht="27.95" customHeight="1">
      <c r="A63" s="172" t="s">
        <v>77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R13" sqref="R13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SAC2-DS-PO-0032</v>
      </c>
      <c r="C2" s="188" t="s">
        <v>79</v>
      </c>
      <c r="D2" s="188"/>
      <c r="E2" s="188"/>
      <c r="F2" s="188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45703</v>
      </c>
      <c r="C3" s="51"/>
      <c r="D3" s="52"/>
      <c r="E3" s="189" t="s">
        <v>81</v>
      </c>
      <c r="F3" s="189"/>
      <c r="G3" s="189"/>
      <c r="H3" s="189"/>
      <c r="I3" s="53"/>
    </row>
    <row r="4" spans="1:13" s="55" customFormat="1" ht="28.5" customHeight="1" thickTop="1">
      <c r="A4" s="190" t="s">
        <v>82</v>
      </c>
      <c r="B4" s="192" t="s">
        <v>83</v>
      </c>
      <c r="C4" s="193"/>
      <c r="D4" s="196" t="s">
        <v>84</v>
      </c>
      <c r="E4" s="196" t="s">
        <v>85</v>
      </c>
      <c r="F4" s="198" t="str">
        <f>'PO 1st page'!C9</f>
        <v>FACE(Faisal Fahad Hussain Al Kari Transportation Co.)</v>
      </c>
      <c r="G4" s="199"/>
      <c r="H4" s="200" t="s">
        <v>86</v>
      </c>
      <c r="K4" s="56"/>
      <c r="L4" s="56"/>
      <c r="M4" s="56"/>
    </row>
    <row r="5" spans="1:13" s="55" customFormat="1" ht="21.95" customHeight="1">
      <c r="A5" s="191"/>
      <c r="B5" s="194"/>
      <c r="C5" s="195"/>
      <c r="D5" s="197"/>
      <c r="E5" s="197"/>
      <c r="F5" s="57" t="s">
        <v>87</v>
      </c>
      <c r="G5" s="57" t="s">
        <v>52</v>
      </c>
      <c r="H5" s="201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202" t="str">
        <f>+'MRS LIST'!B6</f>
        <v>Skip Bucket</v>
      </c>
      <c r="C6" s="203"/>
      <c r="D6" s="86" t="str">
        <f>+'MRS LIST'!G6</f>
        <v>Month</v>
      </c>
      <c r="E6" s="87">
        <f>+'MRS LIST'!H6</f>
        <v>1</v>
      </c>
      <c r="F6" s="88">
        <f>+'MRS LIST'!I6</f>
        <v>100</v>
      </c>
      <c r="G6" s="89">
        <f>+'MRS LIST'!J6</f>
        <v>100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02" t="str">
        <f>+'MRS LIST'!B7</f>
        <v>Removal of Non-Harardous Waste Materials from 10 Yard Skip Bucket</v>
      </c>
      <c r="C7" s="203"/>
      <c r="D7" s="86" t="str">
        <f>+'MRS LIST'!G7</f>
        <v>Trip</v>
      </c>
      <c r="E7" s="87">
        <f>+'MRS LIST'!H7</f>
        <v>1</v>
      </c>
      <c r="F7" s="88">
        <f>+'MRS LIST'!I7</f>
        <v>300</v>
      </c>
      <c r="G7" s="89">
        <f>+'MRS LIST'!J7</f>
        <v>300</v>
      </c>
      <c r="H7" s="90" t="str">
        <f>MRS!L7</f>
        <v>Per Trip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186"/>
      <c r="C8" s="187"/>
      <c r="D8" s="94"/>
      <c r="E8" s="95"/>
      <c r="F8" s="96"/>
      <c r="G8" s="97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6"/>
      <c r="C9" s="187"/>
      <c r="D9" s="94"/>
      <c r="E9" s="95"/>
      <c r="F9" s="96"/>
      <c r="G9" s="97"/>
      <c r="H9" s="98"/>
    </row>
    <row r="10" spans="1:13" s="55" customFormat="1" ht="32.1" customHeight="1">
      <c r="A10" s="93">
        <f t="shared" si="0"/>
        <v>5</v>
      </c>
      <c r="B10" s="186"/>
      <c r="C10" s="187"/>
      <c r="D10" s="94"/>
      <c r="E10" s="95"/>
      <c r="F10" s="96"/>
      <c r="G10" s="97"/>
      <c r="H10" s="98"/>
    </row>
    <row r="11" spans="1:13" s="55" customFormat="1" ht="32.1" customHeight="1">
      <c r="A11" s="93">
        <f t="shared" si="0"/>
        <v>6</v>
      </c>
      <c r="B11" s="186"/>
      <c r="C11" s="187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86"/>
      <c r="C12" s="187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6"/>
      <c r="C13" s="187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6"/>
      <c r="C14" s="187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6"/>
      <c r="C15" s="187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6"/>
      <c r="C16" s="187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6"/>
      <c r="C17" s="187"/>
      <c r="D17" s="94"/>
      <c r="E17" s="95"/>
      <c r="F17" s="96"/>
      <c r="G17" s="97"/>
      <c r="H17" s="98"/>
    </row>
    <row r="18" spans="1:13" s="55" customFormat="1" ht="23.1" customHeight="1">
      <c r="A18" s="182" t="s">
        <v>88</v>
      </c>
      <c r="B18" s="183"/>
      <c r="C18" s="183"/>
      <c r="D18" s="183"/>
      <c r="E18" s="183"/>
      <c r="F18" s="183"/>
      <c r="G18" s="58">
        <f>SUM(G6:G17)</f>
        <v>400</v>
      </c>
      <c r="H18" s="59"/>
    </row>
    <row r="19" spans="1:13" s="55" customFormat="1" ht="23.1" customHeight="1">
      <c r="A19" s="182" t="s">
        <v>51</v>
      </c>
      <c r="B19" s="183"/>
      <c r="C19" s="183"/>
      <c r="D19" s="183"/>
      <c r="E19" s="183"/>
      <c r="F19" s="183"/>
      <c r="G19" s="58">
        <f>+G18*0.15</f>
        <v>60</v>
      </c>
      <c r="H19" s="59"/>
    </row>
    <row r="20" spans="1:13" s="55" customFormat="1" ht="24.95" customHeight="1" thickBot="1">
      <c r="A20" s="184" t="s">
        <v>89</v>
      </c>
      <c r="B20" s="185"/>
      <c r="C20" s="185"/>
      <c r="D20" s="185"/>
      <c r="E20" s="185"/>
      <c r="F20" s="185"/>
      <c r="G20" s="60">
        <f>G19+G18</f>
        <v>460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FTC-24121261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2" t="s">
        <v>91</v>
      </c>
      <c r="B24" s="172"/>
      <c r="C24" s="172"/>
      <c r="D24" s="172"/>
      <c r="E24" s="172"/>
      <c r="F24" s="172"/>
      <c r="G24" s="172"/>
      <c r="H24" s="172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2025-02-16T05:00:48Z</cp:lastPrinted>
  <dcterms:created xsi:type="dcterms:W3CDTF">2024-10-20T11:50:19Z</dcterms:created>
  <dcterms:modified xsi:type="dcterms:W3CDTF">2025-02-16T05:15:17Z</dcterms:modified>
</cp:coreProperties>
</file>