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5B3B1D8D-DF4C-4AED-A886-31E7C9221EF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LIST'!$A$1:$K$27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J13" i="2"/>
  <c r="J14" i="2"/>
  <c r="J12" i="2" l="1"/>
  <c r="A12" i="2"/>
  <c r="A13" i="2"/>
  <c r="A14" i="2"/>
  <c r="A15" i="2"/>
  <c r="A16" i="2"/>
  <c r="J10" i="2"/>
  <c r="J9" i="2"/>
  <c r="J8" i="2"/>
  <c r="J7" i="2"/>
  <c r="J11" i="2" l="1"/>
  <c r="K59" i="3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K3" i="2"/>
  <c r="A3" i="2"/>
  <c r="J2" i="2"/>
  <c r="D2" i="2"/>
  <c r="A2" i="2"/>
  <c r="J1" i="2"/>
  <c r="A11" i="2"/>
  <c r="A10" i="2"/>
  <c r="A9" i="2"/>
  <c r="A8" i="2"/>
  <c r="A7" i="2"/>
  <c r="A6" i="1"/>
  <c r="A6" i="2" s="1"/>
  <c r="J15" i="1" l="1"/>
  <c r="J6" i="2"/>
  <c r="G6" i="4" s="1"/>
  <c r="G18" i="4" l="1"/>
  <c r="G19" i="4" l="1"/>
  <c r="G20" i="4" s="1"/>
</calcChain>
</file>

<file path=xl/sharedStrings.xml><?xml version="1.0" encoding="utf-8"?>
<sst xmlns="http://schemas.openxmlformats.org/spreadsheetml/2006/main" count="152" uniqueCount="119">
  <si>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</si>
  <si>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</si>
  <si>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</si>
  <si>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</si>
  <si>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</si>
  <si>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</si>
  <si>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</si>
  <si>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</si>
  <si>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</si>
  <si>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</si>
  <si>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</si>
  <si>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</si>
  <si>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</si>
  <si>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</si>
  <si>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</si>
  <si>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</si>
  <si>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</si>
  <si>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</si>
  <si>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</si>
  <si>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</si>
  <si>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</si>
  <si>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</si>
  <si>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</si>
  <si>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</si>
  <si>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</si>
  <si>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</si>
  <si>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</si>
  <si>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</si>
  <si>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</si>
  <si>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</si>
  <si>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</si>
  <si>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</si>
  <si>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</si>
  <si>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</si>
  <si>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</si>
  <si>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</si>
  <si>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</si>
  <si>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</si>
  <si>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</si>
  <si>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</si>
  <si>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</si>
  <si>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</si>
  <si>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</si>
  <si>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</si>
  <si>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</si>
  <si>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</si>
  <si>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</si>
  <si>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</si>
  <si>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</si>
  <si>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</si>
  <si>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</si>
  <si>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</si>
  <si>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</si>
  <si>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</si>
  <si>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</si>
  <si>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</si>
  <si>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</si>
  <si>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</si>
  <si>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</si>
  <si>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</si>
  <si>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</si>
  <si>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</si>
  <si>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</si>
  <si>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</si>
  <si>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</si>
  <si>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</si>
  <si>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</si>
  <si>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</si>
  <si>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</si>
  <si>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</si>
  <si>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</si>
  <si>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</si>
  <si>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</si>
  <si>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</si>
  <si>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</si>
  <si>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</si>
  <si>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</si>
  <si>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</si>
  <si>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</si>
  <si>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</si>
  <si>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</si>
  <si>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</si>
  <si>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</si>
  <si>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</si>
  <si>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</si>
  <si>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</si>
  <si>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</si>
  <si>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</si>
  <si>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</si>
  <si>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</si>
  <si>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</si>
  <si>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</si>
  <si>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</si>
  <si>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</si>
  <si>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</si>
  <si>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</si>
  <si>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</si>
  <si>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</si>
  <si>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</si>
  <si>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</si>
  <si>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</si>
  <si>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</si>
  <si>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</si>
  <si>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</si>
  <si>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</si>
  <si>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</si>
  <si>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</si>
  <si>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</si>
  <si>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</si>
  <si>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</si>
  <si>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</si>
  <si>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</si>
  <si>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-MRS-0127</t>
    </r>
  </si>
  <si>
    <t>Rigger 3</t>
  </si>
  <si>
    <t>Aramco Approved</t>
  </si>
  <si>
    <t>Monthly Based</t>
  </si>
  <si>
    <t>Rigger 3 Aramco Approved</t>
  </si>
  <si>
    <t xml:space="preserve">Hourly Based </t>
  </si>
  <si>
    <t>QUO-MP-25170903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</si>
</sst>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1" fontId="18" fillId="3" borderId="0" xfId="5" applyNumberFormat="1" applyFont="1" applyFill="1"/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54" fillId="0" borderId="12" xfId="0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</xdr:row>
          <xdr:rowOff>0</xdr:rowOff>
        </xdr:from>
        <xdr:to>
          <xdr:col>12</xdr:col>
          <xdr:colOff>502</xdr:colOff>
          <xdr:row>23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20" t="s">
        <v>90</v>
      </c>
      <c r="K1" s="121"/>
      <c r="L1" s="122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23" t="s">
        <v>101</v>
      </c>
      <c r="K2" s="124"/>
      <c r="L2" s="125"/>
    </row>
    <row r="3" spans="1:19" ht="20.100000000000001" customHeight="1">
      <c r="A3" s="3" t="s">
        <v>112</v>
      </c>
      <c r="B3" s="92"/>
      <c r="C3" s="92"/>
      <c r="D3" s="92"/>
      <c r="E3" s="126">
        <f>+L3</f>
        <v>45918</v>
      </c>
      <c r="F3" s="126"/>
      <c r="G3" s="126"/>
      <c r="H3" s="126"/>
      <c r="I3" s="126"/>
      <c r="J3" s="92"/>
      <c r="K3" s="92"/>
      <c r="L3" s="104">
        <v>45918</v>
      </c>
      <c r="M3" s="4"/>
    </row>
    <row r="4" spans="1:19" ht="15.95" customHeight="1">
      <c r="A4" s="127" t="s">
        <v>2</v>
      </c>
      <c r="B4" s="128" t="s">
        <v>3</v>
      </c>
      <c r="C4" s="128"/>
      <c r="D4" s="127" t="s">
        <v>4</v>
      </c>
      <c r="E4" s="127"/>
      <c r="F4" s="127"/>
      <c r="G4" s="128" t="s">
        <v>5</v>
      </c>
      <c r="H4" s="127" t="s">
        <v>6</v>
      </c>
      <c r="I4" s="127" t="s">
        <v>94</v>
      </c>
      <c r="J4" s="127" t="s">
        <v>95</v>
      </c>
      <c r="K4" s="127" t="s">
        <v>0</v>
      </c>
      <c r="L4" s="128" t="s">
        <v>7</v>
      </c>
    </row>
    <row r="5" spans="1:19" ht="15.95" customHeight="1">
      <c r="A5" s="127"/>
      <c r="B5" s="128"/>
      <c r="C5" s="128"/>
      <c r="D5" s="127"/>
      <c r="E5" s="127"/>
      <c r="F5" s="127"/>
      <c r="G5" s="128"/>
      <c r="H5" s="127"/>
      <c r="I5" s="127"/>
      <c r="J5" s="127"/>
      <c r="K5" s="127"/>
      <c r="L5" s="128"/>
    </row>
    <row r="6" spans="1:19" ht="26.25" customHeight="1">
      <c r="A6" s="106">
        <f t="shared" ref="A6:A14" si="0">ROW(A1)</f>
        <v>1</v>
      </c>
      <c r="B6" s="172" t="s">
        <v>113</v>
      </c>
      <c r="C6" s="173"/>
      <c r="D6" s="174" t="s">
        <v>114</v>
      </c>
      <c r="E6" s="175"/>
      <c r="F6" s="176"/>
      <c r="G6" s="107" t="s">
        <v>97</v>
      </c>
      <c r="H6" s="108">
        <v>1</v>
      </c>
      <c r="I6" s="109">
        <v>65</v>
      </c>
      <c r="J6" s="109">
        <f>H6*I6</f>
        <v>65</v>
      </c>
      <c r="K6" s="110" t="s">
        <v>98</v>
      </c>
      <c r="L6" s="111" t="s">
        <v>115</v>
      </c>
      <c r="S6" s="97"/>
    </row>
    <row r="7" spans="1:19" ht="26.25" customHeight="1">
      <c r="A7" s="106"/>
      <c r="B7" s="118"/>
      <c r="C7" s="118"/>
      <c r="D7" s="119"/>
      <c r="E7" s="119"/>
      <c r="F7" s="119"/>
      <c r="G7" s="107"/>
      <c r="H7" s="108"/>
      <c r="I7" s="109"/>
      <c r="J7" s="109"/>
      <c r="K7" s="110"/>
      <c r="L7" s="111"/>
      <c r="S7" s="97"/>
    </row>
    <row r="8" spans="1:19" ht="26.25" customHeight="1">
      <c r="A8" s="106"/>
      <c r="B8" s="118"/>
      <c r="C8" s="118"/>
      <c r="D8" s="119"/>
      <c r="E8" s="119"/>
      <c r="F8" s="119"/>
      <c r="G8" s="107"/>
      <c r="H8" s="108"/>
      <c r="I8" s="109"/>
      <c r="J8" s="109"/>
      <c r="K8" s="110"/>
      <c r="L8" s="111"/>
      <c r="S8" s="97"/>
    </row>
    <row r="9" spans="1:19" ht="26.25" customHeight="1">
      <c r="A9" s="106"/>
      <c r="B9" s="118"/>
      <c r="C9" s="118"/>
      <c r="D9" s="119"/>
      <c r="E9" s="119"/>
      <c r="F9" s="119"/>
      <c r="G9" s="107"/>
      <c r="H9" s="108"/>
      <c r="I9" s="109"/>
      <c r="J9" s="109"/>
      <c r="K9" s="110"/>
      <c r="L9" s="111"/>
      <c r="S9" s="97"/>
    </row>
    <row r="10" spans="1:19" ht="26.25" customHeight="1">
      <c r="A10" s="106"/>
      <c r="B10" s="118"/>
      <c r="C10" s="118"/>
      <c r="D10" s="119"/>
      <c r="E10" s="119"/>
      <c r="F10" s="119"/>
      <c r="G10" s="107"/>
      <c r="H10" s="108"/>
      <c r="I10" s="109"/>
      <c r="J10" s="109"/>
      <c r="K10" s="110"/>
      <c r="L10" s="107"/>
      <c r="S10" s="97"/>
    </row>
    <row r="11" spans="1:19" ht="26.25" customHeight="1">
      <c r="A11" s="106"/>
      <c r="B11" s="118"/>
      <c r="C11" s="118"/>
      <c r="D11" s="119"/>
      <c r="E11" s="119"/>
      <c r="F11" s="119"/>
      <c r="G11" s="107"/>
      <c r="H11" s="108"/>
      <c r="I11" s="109"/>
      <c r="J11" s="109"/>
      <c r="K11" s="110"/>
      <c r="L11" s="111"/>
      <c r="S11" s="97"/>
    </row>
    <row r="12" spans="1:19" ht="26.25" customHeight="1">
      <c r="A12" s="106"/>
      <c r="B12" s="118"/>
      <c r="C12" s="118"/>
      <c r="D12" s="119"/>
      <c r="E12" s="119"/>
      <c r="F12" s="119"/>
      <c r="G12" s="107"/>
      <c r="H12" s="108"/>
      <c r="I12" s="109"/>
      <c r="J12" s="109"/>
      <c r="K12" s="110"/>
      <c r="L12" s="111"/>
      <c r="S12" s="97"/>
    </row>
    <row r="13" spans="1:19" ht="26.25" customHeight="1">
      <c r="A13" s="106"/>
      <c r="B13" s="118"/>
      <c r="C13" s="118"/>
      <c r="D13" s="119"/>
      <c r="E13" s="119"/>
      <c r="F13" s="119"/>
      <c r="G13" s="107"/>
      <c r="H13" s="108"/>
      <c r="I13" s="109"/>
      <c r="J13" s="109"/>
      <c r="K13" s="110"/>
      <c r="L13" s="111"/>
      <c r="S13" s="97"/>
    </row>
    <row r="14" spans="1:19" ht="26.25" customHeight="1">
      <c r="A14" s="106"/>
      <c r="B14" s="118"/>
      <c r="C14" s="118"/>
      <c r="D14" s="119"/>
      <c r="E14" s="119"/>
      <c r="F14" s="119"/>
      <c r="G14" s="107"/>
      <c r="H14" s="108"/>
      <c r="I14" s="109"/>
      <c r="J14" s="109"/>
      <c r="K14" s="110"/>
      <c r="L14" s="111"/>
      <c r="S14" s="97"/>
    </row>
    <row r="15" spans="1:19" ht="26.25" customHeight="1">
      <c r="A15" s="129" t="s">
        <v>8</v>
      </c>
      <c r="B15" s="129"/>
      <c r="C15" s="114"/>
      <c r="D15" s="115"/>
      <c r="E15" s="115"/>
      <c r="F15" s="115"/>
      <c r="G15" s="116"/>
      <c r="H15" s="117"/>
      <c r="I15" s="113" t="s">
        <v>9</v>
      </c>
      <c r="J15" s="109">
        <f>SUM(J6:J14)</f>
        <v>65</v>
      </c>
      <c r="K15" s="109"/>
      <c r="L15" s="112"/>
    </row>
    <row r="16" spans="1:19" ht="30" customHeight="1">
      <c r="A16" s="105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 spans="1:22" ht="18" customHeight="1">
      <c r="A17" s="7"/>
      <c r="J17" s="1"/>
      <c r="K17" s="1"/>
      <c r="O17" s="8"/>
      <c r="P17" s="8"/>
      <c r="Q17" s="8"/>
      <c r="S17" s="130" t="s">
        <v>11</v>
      </c>
      <c r="T17" s="9" t="s">
        <v>12</v>
      </c>
      <c r="U17" s="10" t="s">
        <v>13</v>
      </c>
      <c r="V17" s="9" t="s">
        <v>14</v>
      </c>
    </row>
    <row r="18" spans="1:22" ht="50.1" customHeight="1">
      <c r="S18" s="131"/>
      <c r="T18" s="11"/>
      <c r="U18" s="12"/>
      <c r="V18" s="11"/>
    </row>
    <row r="19" spans="1:22" ht="17.100000000000001" customHeight="1">
      <c r="O19" s="8"/>
      <c r="P19" s="8"/>
      <c r="Q19" s="8"/>
      <c r="S19" s="132"/>
      <c r="T19" s="12" t="s">
        <v>15</v>
      </c>
      <c r="U19" s="12" t="s">
        <v>15</v>
      </c>
      <c r="V19" s="13" t="s">
        <v>15</v>
      </c>
    </row>
    <row r="20" spans="1:22" ht="15" customHeight="1">
      <c r="O20" s="14" t="s">
        <v>16</v>
      </c>
      <c r="P20" s="133" t="s">
        <v>17</v>
      </c>
      <c r="Q20" s="133" t="s">
        <v>18</v>
      </c>
    </row>
    <row r="21" spans="1:22" ht="18" customHeight="1">
      <c r="O21" s="15" t="s">
        <v>19</v>
      </c>
      <c r="P21" s="134"/>
      <c r="Q21" s="134"/>
      <c r="S21" s="130" t="s">
        <v>20</v>
      </c>
      <c r="T21" s="9" t="s">
        <v>12</v>
      </c>
      <c r="U21" s="9" t="s">
        <v>13</v>
      </c>
      <c r="V21" s="9" t="s">
        <v>14</v>
      </c>
    </row>
    <row r="22" spans="1:22" ht="50.1" customHeight="1">
      <c r="O22" s="11"/>
      <c r="P22" s="11"/>
      <c r="Q22" s="11"/>
      <c r="S22" s="131"/>
      <c r="T22" s="16"/>
      <c r="U22" s="16"/>
      <c r="V22" s="11"/>
    </row>
    <row r="23" spans="1:22" ht="17.100000000000001" customHeight="1">
      <c r="O23" s="13" t="s">
        <v>15</v>
      </c>
      <c r="P23" s="13" t="s">
        <v>15</v>
      </c>
      <c r="Q23" s="13" t="s">
        <v>15</v>
      </c>
      <c r="S23" s="132"/>
      <c r="T23" s="12" t="s">
        <v>15</v>
      </c>
      <c r="U23" s="12" t="s">
        <v>15</v>
      </c>
      <c r="V23" s="13" t="s">
        <v>15</v>
      </c>
    </row>
    <row r="24" spans="1:22" ht="9.9499999999999993" customHeight="1"/>
    <row r="25" spans="1:22" ht="19.899999999999999" customHeight="1"/>
    <row r="26" spans="1:22" ht="17.45" customHeight="1">
      <c r="O26" s="135"/>
      <c r="P26" s="135"/>
      <c r="Q26" s="135"/>
    </row>
    <row r="27" spans="1:22" ht="19.899999999999999" customHeight="1">
      <c r="O27" s="135"/>
      <c r="P27" s="135"/>
      <c r="Q27" s="135"/>
    </row>
    <row r="28" spans="1:22" ht="14.25">
      <c r="O28" s="8"/>
      <c r="P28" s="8"/>
      <c r="Q28" s="8"/>
    </row>
    <row r="29" spans="1:22" ht="65.099999999999994" customHeight="1"/>
    <row r="30" spans="1:22" ht="14.25">
      <c r="O30" s="8"/>
      <c r="P30" s="8"/>
      <c r="Q30" s="8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33" t="s">
        <v>21</v>
      </c>
    </row>
    <row r="40" spans="15:22" ht="19.899999999999999" customHeight="1">
      <c r="T40" s="134"/>
    </row>
    <row r="41" spans="15:22" ht="64.900000000000006" customHeight="1">
      <c r="T41" s="11"/>
    </row>
    <row r="45" spans="15:22" ht="21" customHeight="1">
      <c r="O45" s="133" t="s">
        <v>21</v>
      </c>
      <c r="P45" s="133" t="s">
        <v>21</v>
      </c>
      <c r="Q45" s="133" t="s">
        <v>21</v>
      </c>
      <c r="T45" s="133" t="s">
        <v>22</v>
      </c>
      <c r="U45" s="133" t="s">
        <v>13</v>
      </c>
      <c r="V45" s="133" t="s">
        <v>21</v>
      </c>
    </row>
    <row r="46" spans="15:22" ht="21" customHeight="1">
      <c r="O46" s="134"/>
      <c r="P46" s="134"/>
      <c r="Q46" s="134"/>
      <c r="T46" s="132"/>
      <c r="U46" s="132"/>
      <c r="V46" s="134"/>
    </row>
    <row r="47" spans="15:22" ht="64.900000000000006" customHeight="1">
      <c r="O47" s="11"/>
      <c r="P47" s="11"/>
      <c r="Q47" s="11"/>
      <c r="T47" s="11"/>
      <c r="U47" s="12"/>
      <c r="V47" s="11"/>
    </row>
    <row r="48" spans="15:22" ht="7.15" customHeight="1"/>
    <row r="49" spans="15:22" ht="21" customHeight="1">
      <c r="O49" s="133" t="s">
        <v>21</v>
      </c>
      <c r="P49" s="133" t="s">
        <v>21</v>
      </c>
      <c r="Q49" s="133" t="s">
        <v>21</v>
      </c>
      <c r="T49" s="133" t="s">
        <v>13</v>
      </c>
      <c r="U49" s="133" t="s">
        <v>22</v>
      </c>
      <c r="V49" s="133" t="s">
        <v>21</v>
      </c>
    </row>
    <row r="50" spans="15:22" ht="21" customHeight="1">
      <c r="O50" s="134"/>
      <c r="P50" s="134"/>
      <c r="Q50" s="134"/>
      <c r="T50" s="132"/>
      <c r="U50" s="132"/>
      <c r="V50" s="134"/>
    </row>
    <row r="51" spans="15:22" ht="64.900000000000006" customHeight="1">
      <c r="O51" s="11"/>
      <c r="P51" s="11"/>
      <c r="Q51" s="11"/>
      <c r="T51" s="12"/>
      <c r="U51" s="11"/>
      <c r="V51" s="11"/>
    </row>
  </sheetData>
  <mergeCells count="51">
    <mergeCell ref="B12:C12"/>
    <mergeCell ref="B13:C13"/>
    <mergeCell ref="B14:C14"/>
    <mergeCell ref="D12:F12"/>
    <mergeCell ref="D13:F13"/>
    <mergeCell ref="D14:F14"/>
    <mergeCell ref="U45:U46"/>
    <mergeCell ref="V45:V46"/>
    <mergeCell ref="O49:O50"/>
    <mergeCell ref="P49:P50"/>
    <mergeCell ref="Q49:Q50"/>
    <mergeCell ref="T49:T50"/>
    <mergeCell ref="U49:U50"/>
    <mergeCell ref="V49:V50"/>
    <mergeCell ref="O26:O27"/>
    <mergeCell ref="P26:P27"/>
    <mergeCell ref="Q26:Q27"/>
    <mergeCell ref="T39:T40"/>
    <mergeCell ref="O45:O46"/>
    <mergeCell ref="P45:P46"/>
    <mergeCell ref="Q45:Q46"/>
    <mergeCell ref="T45:T46"/>
    <mergeCell ref="A15:B15"/>
    <mergeCell ref="S17:S19"/>
    <mergeCell ref="P20:P21"/>
    <mergeCell ref="Q20:Q21"/>
    <mergeCell ref="S21:S23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H6" sqref="H6:J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20" t="str">
        <f>+MRS!J1</f>
        <v>DAESHIN PLANT</v>
      </c>
      <c r="K1" s="122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23" t="str">
        <f>+MRS!J2</f>
        <v>Subcontract name (SAC2-SC-IK-SMP-01)</v>
      </c>
      <c r="K2" s="125"/>
    </row>
    <row r="3" spans="1:18" ht="24.95" customHeight="1">
      <c r="A3" s="3" t="str">
        <f>+MRS!A3</f>
        <v xml:space="preserve">  MRS No : SAC2-DS-MRS-0127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45918</v>
      </c>
    </row>
    <row r="4" spans="1:18" ht="15.95" customHeight="1">
      <c r="A4" s="141" t="s">
        <v>2</v>
      </c>
      <c r="B4" s="142" t="s">
        <v>23</v>
      </c>
      <c r="C4" s="142"/>
      <c r="D4" s="141" t="s">
        <v>4</v>
      </c>
      <c r="E4" s="141"/>
      <c r="F4" s="141"/>
      <c r="G4" s="142" t="s">
        <v>5</v>
      </c>
      <c r="H4" s="141" t="s">
        <v>91</v>
      </c>
      <c r="I4" s="141" t="s">
        <v>24</v>
      </c>
      <c r="J4" s="141" t="s">
        <v>25</v>
      </c>
      <c r="K4" s="142" t="s">
        <v>7</v>
      </c>
    </row>
    <row r="5" spans="1:18" ht="15.95" customHeight="1">
      <c r="A5" s="141"/>
      <c r="B5" s="142"/>
      <c r="C5" s="142"/>
      <c r="D5" s="141"/>
      <c r="E5" s="141"/>
      <c r="F5" s="141"/>
      <c r="G5" s="142"/>
      <c r="H5" s="141"/>
      <c r="I5" s="141"/>
      <c r="J5" s="141"/>
      <c r="K5" s="142"/>
    </row>
    <row r="6" spans="1:18" ht="74.25" customHeight="1">
      <c r="A6" s="18">
        <f>+MRS!A6</f>
        <v>1</v>
      </c>
      <c r="B6" s="136" t="str">
        <f>MRS!B6</f>
        <v>Rigger 3</v>
      </c>
      <c r="C6" s="137"/>
      <c r="D6" s="138" t="str">
        <f>MRS!D6</f>
        <v>Aramco Approved</v>
      </c>
      <c r="E6" s="139"/>
      <c r="F6" s="140"/>
      <c r="G6" s="94" t="str">
        <f>MRS!G6</f>
        <v>EA</v>
      </c>
      <c r="H6" s="94">
        <f>MRS!H6</f>
        <v>1</v>
      </c>
      <c r="I6" s="95">
        <f>MRS!I6</f>
        <v>65</v>
      </c>
      <c r="J6" s="95">
        <f>MRS!J6</f>
        <v>65</v>
      </c>
      <c r="K6" s="96"/>
      <c r="O6" s="97"/>
      <c r="P6" s="97"/>
      <c r="R6" s="97"/>
    </row>
    <row r="7" spans="1:18" ht="74.25" customHeight="1">
      <c r="A7" s="18">
        <f>+MRS!A7</f>
        <v>0</v>
      </c>
      <c r="B7" s="136">
        <f>MRS!B7</f>
        <v>0</v>
      </c>
      <c r="C7" s="137"/>
      <c r="D7" s="138">
        <f>MRS!D7</f>
        <v>0</v>
      </c>
      <c r="E7" s="139"/>
      <c r="F7" s="140"/>
      <c r="G7" s="94">
        <f>MRS!G7</f>
        <v>0</v>
      </c>
      <c r="H7" s="94">
        <f>MRS!H7</f>
        <v>0</v>
      </c>
      <c r="I7" s="95">
        <f>MRS!I7</f>
        <v>0</v>
      </c>
      <c r="J7" s="95">
        <f>MRS!J7</f>
        <v>0</v>
      </c>
      <c r="K7" s="96"/>
      <c r="O7" s="97"/>
      <c r="P7" s="97"/>
      <c r="R7" s="97"/>
    </row>
    <row r="8" spans="1:18" ht="74.25" customHeight="1">
      <c r="A8" s="18">
        <f>+MRS!A8</f>
        <v>0</v>
      </c>
      <c r="B8" s="136">
        <f>MRS!B8</f>
        <v>0</v>
      </c>
      <c r="C8" s="137"/>
      <c r="D8" s="138">
        <f>MRS!D8</f>
        <v>0</v>
      </c>
      <c r="E8" s="139"/>
      <c r="F8" s="140"/>
      <c r="G8" s="94">
        <f>MRS!G8</f>
        <v>0</v>
      </c>
      <c r="H8" s="94">
        <f>MRS!H8</f>
        <v>0</v>
      </c>
      <c r="I8" s="95">
        <f>MRS!I8</f>
        <v>0</v>
      </c>
      <c r="J8" s="95">
        <f>MRS!J8</f>
        <v>0</v>
      </c>
      <c r="K8" s="96"/>
      <c r="O8" s="97"/>
      <c r="P8" s="97"/>
      <c r="R8" s="97"/>
    </row>
    <row r="9" spans="1:18" ht="74.25" customHeight="1">
      <c r="A9" s="18">
        <f>+MRS!A9</f>
        <v>0</v>
      </c>
      <c r="B9" s="136">
        <f>MRS!B9</f>
        <v>0</v>
      </c>
      <c r="C9" s="137"/>
      <c r="D9" s="138">
        <f>MRS!D9</f>
        <v>0</v>
      </c>
      <c r="E9" s="139"/>
      <c r="F9" s="140"/>
      <c r="G9" s="94">
        <f>MRS!G9</f>
        <v>0</v>
      </c>
      <c r="H9" s="94">
        <f>MRS!H9</f>
        <v>0</v>
      </c>
      <c r="I9" s="95">
        <f>MRS!I9</f>
        <v>0</v>
      </c>
      <c r="J9" s="95">
        <f>MRS!J9</f>
        <v>0</v>
      </c>
      <c r="K9" s="96"/>
      <c r="O9" s="97"/>
      <c r="P9" s="97"/>
      <c r="R9" s="97"/>
    </row>
    <row r="10" spans="1:18" ht="74.25" customHeight="1">
      <c r="A10" s="18">
        <f>+MRS!A10</f>
        <v>0</v>
      </c>
      <c r="B10" s="136">
        <f>MRS!B10</f>
        <v>0</v>
      </c>
      <c r="C10" s="137"/>
      <c r="D10" s="138">
        <f>MRS!D10</f>
        <v>0</v>
      </c>
      <c r="E10" s="139"/>
      <c r="F10" s="140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74.25" customHeight="1">
      <c r="A11" s="18">
        <f>+MRS!A11</f>
        <v>0</v>
      </c>
      <c r="B11" s="136">
        <f>MRS!B11</f>
        <v>0</v>
      </c>
      <c r="C11" s="137"/>
      <c r="D11" s="138">
        <f>MRS!D11</f>
        <v>0</v>
      </c>
      <c r="E11" s="139"/>
      <c r="F11" s="140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74.25" customHeight="1">
      <c r="A12" s="18">
        <f>+MRS!A12</f>
        <v>0</v>
      </c>
      <c r="B12" s="136">
        <f>MRS!B12</f>
        <v>0</v>
      </c>
      <c r="C12" s="137"/>
      <c r="D12" s="138">
        <f>MRS!D12</f>
        <v>0</v>
      </c>
      <c r="E12" s="139"/>
      <c r="F12" s="140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74.25" customHeight="1">
      <c r="A13" s="18">
        <f>+MRS!A13</f>
        <v>0</v>
      </c>
      <c r="B13" s="136">
        <f>MRS!B13</f>
        <v>0</v>
      </c>
      <c r="C13" s="137"/>
      <c r="D13" s="138">
        <f>MRS!D13</f>
        <v>0</v>
      </c>
      <c r="E13" s="139"/>
      <c r="F13" s="140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74.25" customHeight="1">
      <c r="A14" s="18">
        <f>+MRS!A14</f>
        <v>0</v>
      </c>
      <c r="B14" s="136">
        <f>MRS!B14</f>
        <v>0</v>
      </c>
      <c r="C14" s="137"/>
      <c r="D14" s="138">
        <f>MRS!D14</f>
        <v>0</v>
      </c>
      <c r="E14" s="139"/>
      <c r="F14" s="140"/>
      <c r="G14" s="94">
        <f>MRS!G14</f>
        <v>0</v>
      </c>
      <c r="H14" s="94">
        <f>MRS!H14</f>
        <v>0</v>
      </c>
      <c r="I14" s="95">
        <f>MRS!I14</f>
        <v>0</v>
      </c>
      <c r="J14" s="95">
        <f>MRS!J14</f>
        <v>0</v>
      </c>
      <c r="K14" s="96"/>
      <c r="O14" s="97"/>
      <c r="P14" s="97"/>
      <c r="R14" s="97"/>
    </row>
    <row r="15" spans="1:18" ht="74.25" customHeight="1">
      <c r="A15" s="18" t="e">
        <f>+MRS!#REF!</f>
        <v>#REF!</v>
      </c>
      <c r="B15" s="136" t="e">
        <f>MRS!#REF!</f>
        <v>#REF!</v>
      </c>
      <c r="C15" s="137"/>
      <c r="D15" s="138" t="e">
        <f>MRS!#REF!</f>
        <v>#REF!</v>
      </c>
      <c r="E15" s="139"/>
      <c r="F15" s="140"/>
      <c r="G15" s="94" t="e">
        <f>MRS!#REF!</f>
        <v>#REF!</v>
      </c>
      <c r="H15" s="94" t="e">
        <f>MRS!#REF!</f>
        <v>#REF!</v>
      </c>
      <c r="I15" s="95" t="e">
        <f>MRS!#REF!</f>
        <v>#REF!</v>
      </c>
      <c r="J15" s="95" t="e">
        <f>MRS!#REF!</f>
        <v>#REF!</v>
      </c>
      <c r="K15" s="96"/>
      <c r="O15" s="97"/>
      <c r="P15" s="97"/>
      <c r="R15" s="97"/>
    </row>
    <row r="16" spans="1:18" ht="74.25" customHeight="1">
      <c r="A16" s="18" t="e">
        <f>+MRS!#REF!</f>
        <v>#REF!</v>
      </c>
      <c r="B16" s="136" t="e">
        <f>MRS!#REF!</f>
        <v>#REF!</v>
      </c>
      <c r="C16" s="137"/>
      <c r="D16" s="138" t="e">
        <f>MRS!#REF!</f>
        <v>#REF!</v>
      </c>
      <c r="E16" s="139"/>
      <c r="F16" s="140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74.25" customHeight="1">
      <c r="A17" s="18">
        <v>12</v>
      </c>
      <c r="B17" s="136" t="e">
        <f>MRS!#REF!</f>
        <v>#REF!</v>
      </c>
      <c r="C17" s="137"/>
      <c r="D17" s="138" t="e">
        <f>MRS!#REF!</f>
        <v>#REF!</v>
      </c>
      <c r="E17" s="139"/>
      <c r="F17" s="140"/>
      <c r="G17" s="94" t="e">
        <f>MRS!#REF!</f>
        <v>#REF!</v>
      </c>
      <c r="H17" s="94" t="e">
        <f>MRS!#REF!</f>
        <v>#REF!</v>
      </c>
      <c r="I17" s="95" t="e">
        <f>MRS!#REF!</f>
        <v>#REF!</v>
      </c>
      <c r="J17" s="95" t="e">
        <f>MRS!#REF!</f>
        <v>#REF!</v>
      </c>
      <c r="K17" s="96"/>
      <c r="O17" s="97"/>
      <c r="P17" s="97"/>
      <c r="R17" s="97"/>
    </row>
    <row r="18" spans="1:18" ht="74.25" customHeight="1">
      <c r="A18" s="18">
        <v>13</v>
      </c>
      <c r="B18" s="136" t="e">
        <f>MRS!#REF!</f>
        <v>#REF!</v>
      </c>
      <c r="C18" s="137"/>
      <c r="D18" s="138" t="e">
        <f>MRS!#REF!</f>
        <v>#REF!</v>
      </c>
      <c r="E18" s="139"/>
      <c r="F18" s="140"/>
      <c r="G18" s="94" t="e">
        <f>MRS!#REF!</f>
        <v>#REF!</v>
      </c>
      <c r="H18" s="94" t="e">
        <f>MRS!#REF!</f>
        <v>#REF!</v>
      </c>
      <c r="I18" s="95" t="e">
        <f>MRS!#REF!</f>
        <v>#REF!</v>
      </c>
      <c r="J18" s="95" t="e">
        <f>MRS!#REF!</f>
        <v>#REF!</v>
      </c>
      <c r="K18" s="96"/>
      <c r="O18" s="97"/>
      <c r="P18" s="97"/>
      <c r="R18" s="97"/>
    </row>
    <row r="19" spans="1:18" ht="74.25" customHeight="1">
      <c r="A19" s="18"/>
      <c r="B19" s="136" t="e">
        <f>MRS!#REF!</f>
        <v>#REF!</v>
      </c>
      <c r="C19" s="137"/>
      <c r="D19" s="138" t="e">
        <f>MRS!#REF!</f>
        <v>#REF!</v>
      </c>
      <c r="E19" s="139"/>
      <c r="F19" s="140"/>
      <c r="G19" s="94" t="e">
        <f>MRS!#REF!</f>
        <v>#REF!</v>
      </c>
      <c r="H19" s="94" t="e">
        <f>MRS!#REF!</f>
        <v>#REF!</v>
      </c>
      <c r="I19" s="95" t="e">
        <f>MRS!#REF!</f>
        <v>#REF!</v>
      </c>
      <c r="J19" s="95" t="e">
        <f>MRS!#REF!</f>
        <v>#REF!</v>
      </c>
      <c r="K19" s="96"/>
      <c r="O19" s="97"/>
      <c r="P19" s="97"/>
      <c r="R19" s="97"/>
    </row>
    <row r="20" spans="1:18" ht="74.25" customHeight="1">
      <c r="A20" s="18"/>
      <c r="B20" s="136" t="e">
        <f>MRS!#REF!</f>
        <v>#REF!</v>
      </c>
      <c r="C20" s="137"/>
      <c r="D20" s="138" t="e">
        <f>MRS!#REF!</f>
        <v>#REF!</v>
      </c>
      <c r="E20" s="139"/>
      <c r="F20" s="140"/>
      <c r="G20" s="94" t="e">
        <f>MRS!#REF!</f>
        <v>#REF!</v>
      </c>
      <c r="H20" s="94" t="e">
        <f>MRS!#REF!</f>
        <v>#REF!</v>
      </c>
      <c r="I20" s="95" t="e">
        <f>MRS!#REF!</f>
        <v>#REF!</v>
      </c>
      <c r="J20" s="95" t="e">
        <f>MRS!#REF!</f>
        <v>#REF!</v>
      </c>
      <c r="K20" s="96"/>
      <c r="O20" s="97"/>
      <c r="P20" s="97"/>
      <c r="R20" s="97"/>
    </row>
    <row r="21" spans="1:18" ht="74.25" customHeight="1">
      <c r="A21" s="18"/>
      <c r="B21" s="136" t="e">
        <f>MRS!#REF!</f>
        <v>#REF!</v>
      </c>
      <c r="C21" s="137"/>
      <c r="D21" s="138" t="e">
        <f>MRS!#REF!</f>
        <v>#REF!</v>
      </c>
      <c r="E21" s="139"/>
      <c r="F21" s="140"/>
      <c r="G21" s="94" t="e">
        <f>MRS!#REF!</f>
        <v>#REF!</v>
      </c>
      <c r="H21" s="94" t="e">
        <f>MRS!#REF!</f>
        <v>#REF!</v>
      </c>
      <c r="I21" s="95" t="e">
        <f>MRS!#REF!</f>
        <v>#REF!</v>
      </c>
      <c r="J21" s="95" t="e">
        <f>MRS!#REF!</f>
        <v>#REF!</v>
      </c>
      <c r="K21" s="96"/>
      <c r="O21" s="97"/>
      <c r="P21" s="97"/>
      <c r="R21" s="97"/>
    </row>
    <row r="22" spans="1:18" ht="74.25" customHeight="1">
      <c r="A22" s="18"/>
      <c r="B22" s="136" t="e">
        <f>MRS!#REF!</f>
        <v>#REF!</v>
      </c>
      <c r="C22" s="137"/>
      <c r="D22" s="138" t="e">
        <f>MRS!#REF!</f>
        <v>#REF!</v>
      </c>
      <c r="E22" s="139"/>
      <c r="F22" s="140"/>
      <c r="G22" s="94" t="e">
        <f>MRS!#REF!</f>
        <v>#REF!</v>
      </c>
      <c r="H22" s="94" t="e">
        <f>MRS!#REF!</f>
        <v>#REF!</v>
      </c>
      <c r="I22" s="95" t="e">
        <f>MRS!#REF!</f>
        <v>#REF!</v>
      </c>
      <c r="J22" s="95" t="e">
        <f>MRS!#REF!</f>
        <v>#REF!</v>
      </c>
      <c r="K22" s="96"/>
      <c r="O22" s="97"/>
      <c r="P22" s="97"/>
      <c r="R22" s="97"/>
    </row>
    <row r="23" spans="1:18" ht="74.25" customHeight="1">
      <c r="A23" s="18"/>
      <c r="B23" s="136" t="e">
        <f>MRS!#REF!</f>
        <v>#REF!</v>
      </c>
      <c r="C23" s="137"/>
      <c r="D23" s="138" t="e">
        <f>MRS!#REF!</f>
        <v>#REF!</v>
      </c>
      <c r="E23" s="139"/>
      <c r="F23" s="140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/>
      <c r="B24" s="136" t="e">
        <f>MRS!#REF!</f>
        <v>#REF!</v>
      </c>
      <c r="C24" s="137"/>
      <c r="D24" s="138" t="e">
        <f>MRS!#REF!</f>
        <v>#REF!</v>
      </c>
      <c r="E24" s="139"/>
      <c r="F24" s="140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/>
      <c r="B25" s="136" t="e">
        <f>MRS!#REF!</f>
        <v>#REF!</v>
      </c>
      <c r="C25" s="137"/>
      <c r="D25" s="138" t="e">
        <f>MRS!#REF!</f>
        <v>#REF!</v>
      </c>
      <c r="E25" s="139"/>
      <c r="F25" s="140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/>
      <c r="B26" s="136" t="e">
        <f>MRS!#REF!</f>
        <v>#REF!</v>
      </c>
      <c r="C26" s="137"/>
      <c r="D26" s="138" t="e">
        <f>MRS!#REF!</f>
        <v>#REF!</v>
      </c>
      <c r="E26" s="139"/>
      <c r="F26" s="140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/>
      <c r="B27" s="136" t="e">
        <f>MRS!#REF!</f>
        <v>#REF!</v>
      </c>
      <c r="C27" s="137"/>
      <c r="D27" s="138" t="e">
        <f>MRS!#REF!</f>
        <v>#REF!</v>
      </c>
      <c r="E27" s="139"/>
      <c r="F27" s="140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</sheetData>
  <mergeCells count="54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111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110</v>
      </c>
      <c r="D9" s="35"/>
      <c r="E9" s="35"/>
    </row>
    <row r="10" spans="2:13" s="35" customFormat="1">
      <c r="B10" s="68"/>
      <c r="C10" s="35" t="s">
        <v>32</v>
      </c>
      <c r="D10" s="72">
        <v>2053026325</v>
      </c>
      <c r="J10" s="35" t="s">
        <v>33</v>
      </c>
      <c r="K10" s="144">
        <f>MRS!L3</f>
        <v>45918</v>
      </c>
      <c r="L10" s="145"/>
      <c r="M10" s="145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46" t="str">
        <f>SUBSTITUTE(SUBSTITUTE(+MRS!A3,"  MRS No : ",""),"-MRS","-PO")</f>
        <v>SAC2-DS-PO-0127</v>
      </c>
      <c r="L11" s="146"/>
      <c r="M11" s="146"/>
    </row>
    <row r="12" spans="2:13" s="35" customFormat="1">
      <c r="B12" s="68"/>
      <c r="C12" s="71" t="s">
        <v>36</v>
      </c>
      <c r="D12" s="35" t="s">
        <v>105</v>
      </c>
      <c r="J12" s="35" t="s">
        <v>37</v>
      </c>
    </row>
    <row r="13" spans="2:13" s="35" customFormat="1">
      <c r="B13" s="68"/>
      <c r="C13" s="73"/>
      <c r="D13" s="72" t="s">
        <v>106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118</v>
      </c>
    </row>
    <row r="15" spans="2:13" s="35" customFormat="1">
      <c r="B15" s="68"/>
      <c r="C15" s="73" t="s">
        <v>107</v>
      </c>
      <c r="J15" s="35" t="s">
        <v>40</v>
      </c>
      <c r="K15" s="74">
        <v>45917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47" t="s">
        <v>41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</row>
    <row r="19" spans="2:13" ht="12" customHeight="1"/>
    <row r="20" spans="2:13" s="28" customFormat="1" ht="12" customHeight="1">
      <c r="B20" s="148" t="s">
        <v>42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</row>
    <row r="21" spans="2:13" s="28" customFormat="1" ht="12" customHeight="1">
      <c r="B21" s="148" t="s">
        <v>43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</row>
    <row r="22" spans="2:13" s="28" customFormat="1" ht="12" customHeight="1">
      <c r="B22" s="148" t="s">
        <v>44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</row>
    <row r="23" spans="2:13" ht="6.95" customHeight="1"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</row>
    <row r="24" spans="2:13" ht="6.95" customHeight="1"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</row>
    <row r="25" spans="2:13" s="29" customFormat="1" ht="20.100000000000001" customHeight="1">
      <c r="B25" s="29">
        <v>1</v>
      </c>
      <c r="C25" s="29" t="s">
        <v>45</v>
      </c>
    </row>
    <row r="26" spans="2:13" s="35" customFormat="1" ht="15" customHeight="1">
      <c r="B26" s="69"/>
      <c r="C26" s="72" t="s">
        <v>116</v>
      </c>
      <c r="M26" s="75" t="s">
        <v>46</v>
      </c>
    </row>
    <row r="27" spans="2:13" ht="11.1" customHeight="1">
      <c r="B27" s="29"/>
    </row>
    <row r="28" spans="2:13" ht="20.100000000000001" customHeight="1">
      <c r="B28" s="29">
        <v>2</v>
      </c>
      <c r="C28" s="29" t="s">
        <v>47</v>
      </c>
    </row>
    <row r="29" spans="2:13" ht="15" customHeight="1">
      <c r="B29" s="29"/>
      <c r="C29" s="23" t="s">
        <v>48</v>
      </c>
      <c r="E29" s="23" t="s">
        <v>49</v>
      </c>
      <c r="F29" s="101" t="s">
        <v>117</v>
      </c>
      <c r="G29" s="101"/>
      <c r="H29" s="101"/>
      <c r="M29" s="30"/>
    </row>
    <row r="30" spans="2:13" ht="15" customHeight="1">
      <c r="B30" s="29"/>
      <c r="C30" s="23" t="s">
        <v>50</v>
      </c>
      <c r="E30" s="23" t="s">
        <v>49</v>
      </c>
      <c r="F30" s="101"/>
      <c r="G30" s="101"/>
      <c r="H30" s="101"/>
    </row>
    <row r="31" spans="2:13" ht="15" customHeight="1">
      <c r="B31" s="29"/>
      <c r="C31" s="23" t="s">
        <v>51</v>
      </c>
      <c r="D31" s="31"/>
      <c r="E31" s="23" t="s">
        <v>49</v>
      </c>
      <c r="F31" s="101"/>
      <c r="G31" s="101"/>
      <c r="H31" s="101"/>
    </row>
    <row r="32" spans="2:13" ht="11.1" customHeight="1">
      <c r="B32" s="29"/>
    </row>
    <row r="33" spans="2:13" ht="20.100000000000001" customHeight="1">
      <c r="B33" s="29">
        <v>3</v>
      </c>
      <c r="C33" s="29" t="s">
        <v>52</v>
      </c>
    </row>
    <row r="34" spans="2:13" ht="15" customHeight="1">
      <c r="B34" s="29"/>
      <c r="C34" s="19" t="s">
        <v>53</v>
      </c>
    </row>
    <row r="35" spans="2:13" ht="15" customHeight="1">
      <c r="B35" s="29"/>
      <c r="C35" s="19" t="s">
        <v>54</v>
      </c>
    </row>
    <row r="36" spans="2:13" ht="15" customHeight="1">
      <c r="B36" s="29"/>
      <c r="C36" s="19" t="s">
        <v>55</v>
      </c>
    </row>
    <row r="37" spans="2:13" ht="6" customHeight="1">
      <c r="B37" s="29"/>
    </row>
    <row r="38" spans="2:13" ht="20.100000000000001" customHeight="1">
      <c r="B38" s="29">
        <v>4</v>
      </c>
      <c r="C38" s="29" t="s">
        <v>56</v>
      </c>
    </row>
    <row r="39" spans="2:13" ht="15" customHeight="1">
      <c r="B39" s="29"/>
      <c r="C39" s="23" t="s">
        <v>57</v>
      </c>
    </row>
    <row r="40" spans="2:13" ht="6" customHeight="1">
      <c r="B40" s="29"/>
    </row>
    <row r="41" spans="2:13" ht="20.100000000000001" customHeight="1">
      <c r="B41" s="29">
        <v>5</v>
      </c>
      <c r="C41" s="29" t="s">
        <v>58</v>
      </c>
    </row>
    <row r="42" spans="2:13" ht="15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5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5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5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5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20.100000000000001" customHeight="1">
      <c r="B48" s="29">
        <v>6</v>
      </c>
      <c r="C48" s="29" t="s">
        <v>64</v>
      </c>
    </row>
    <row r="49" spans="1:16" s="35" customFormat="1" ht="15" customHeight="1">
      <c r="B49" s="76" t="s">
        <v>65</v>
      </c>
      <c r="C49" s="77" t="s">
        <v>104</v>
      </c>
      <c r="P49" s="78"/>
    </row>
    <row r="50" spans="1:16" s="79" customFormat="1" ht="15" customHeight="1">
      <c r="B50" s="80" t="s">
        <v>65</v>
      </c>
      <c r="C50" s="77" t="s">
        <v>93</v>
      </c>
    </row>
    <row r="51" spans="1:16" s="79" customFormat="1" ht="15" customHeight="1">
      <c r="B51" s="80" t="s">
        <v>65</v>
      </c>
      <c r="C51" s="77" t="s">
        <v>92</v>
      </c>
    </row>
    <row r="52" spans="1:16" ht="11.1" customHeight="1">
      <c r="B52" s="38"/>
    </row>
    <row r="53" spans="1:16" ht="3" customHeight="1"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6" ht="3" customHeight="1">
      <c r="B54" s="29"/>
    </row>
    <row r="55" spans="1:16" ht="11.1" customHeight="1">
      <c r="B55" s="38"/>
    </row>
    <row r="56" spans="1:16">
      <c r="B56" s="29" t="s">
        <v>66</v>
      </c>
      <c r="J56" s="29" t="s">
        <v>67</v>
      </c>
    </row>
    <row r="57" spans="1:16" ht="50.1" customHeight="1"/>
    <row r="58" spans="1:16" ht="18" customHeight="1">
      <c r="B58" s="23" t="s">
        <v>68</v>
      </c>
      <c r="J58" s="23" t="s">
        <v>68</v>
      </c>
    </row>
    <row r="59" spans="1:16" ht="18" customHeight="1">
      <c r="B59" s="23" t="s">
        <v>69</v>
      </c>
      <c r="J59" s="23" t="s">
        <v>70</v>
      </c>
      <c r="K59" s="19" t="str">
        <f>D12</f>
        <v>Muhammed Rafi</v>
      </c>
    </row>
    <row r="60" spans="1:16" ht="18" customHeight="1">
      <c r="B60" s="23" t="s">
        <v>71</v>
      </c>
      <c r="J60" s="23" t="s">
        <v>72</v>
      </c>
      <c r="K60" s="19" t="s">
        <v>108</v>
      </c>
    </row>
    <row r="61" spans="1:16" ht="15" customHeight="1">
      <c r="B61" s="23" t="s">
        <v>73</v>
      </c>
      <c r="J61" s="23" t="s">
        <v>74</v>
      </c>
    </row>
    <row r="62" spans="1:16" s="25" customFormat="1" ht="24.75" customHeight="1">
      <c r="B62" s="22" t="s">
        <v>109</v>
      </c>
      <c r="J62" s="151" t="str">
        <f>C9</f>
        <v>ATGC(Alrmooz Technical for General Contracting Est.)</v>
      </c>
      <c r="K62" s="151"/>
      <c r="L62" s="151"/>
      <c r="M62" s="151"/>
    </row>
    <row r="63" spans="1:16" ht="27.95" customHeight="1">
      <c r="A63" s="143" t="s">
        <v>75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</row>
    <row r="70" spans="2:2">
      <c r="B70" s="29"/>
    </row>
    <row r="71" spans="2:2">
      <c r="B71" s="29"/>
    </row>
    <row r="72" spans="2:2">
      <c r="B72" s="29"/>
    </row>
    <row r="73" spans="2:2">
      <c r="B73" s="29"/>
    </row>
    <row r="74" spans="2:2">
      <c r="B74" s="29"/>
    </row>
    <row r="75" spans="2:2">
      <c r="B75" s="29"/>
    </row>
    <row r="76" spans="2:2">
      <c r="B76" s="29"/>
    </row>
    <row r="77" spans="2:2">
      <c r="B77" s="29"/>
    </row>
    <row r="78" spans="2:2">
      <c r="B78" s="29"/>
    </row>
    <row r="79" spans="2:2">
      <c r="B79" s="29"/>
    </row>
    <row r="80" spans="2:2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5" sqref="B15:C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SAC2-DS-PO-0127</v>
      </c>
      <c r="C2" s="154" t="s">
        <v>77</v>
      </c>
      <c r="D2" s="154"/>
      <c r="E2" s="154"/>
      <c r="F2" s="154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45918</v>
      </c>
      <c r="C3" s="47"/>
      <c r="D3" s="48"/>
      <c r="E3" s="155" t="s">
        <v>79</v>
      </c>
      <c r="F3" s="155"/>
      <c r="G3" s="155"/>
      <c r="H3" s="155"/>
      <c r="I3" s="49"/>
    </row>
    <row r="4" spans="1:13" s="51" customFormat="1" ht="28.5" customHeight="1" thickTop="1">
      <c r="A4" s="156" t="s">
        <v>80</v>
      </c>
      <c r="B4" s="158" t="s">
        <v>81</v>
      </c>
      <c r="C4" s="159"/>
      <c r="D4" s="162" t="s">
        <v>82</v>
      </c>
      <c r="E4" s="162" t="s">
        <v>83</v>
      </c>
      <c r="F4" s="164" t="str">
        <f>'PO 1st page'!C9</f>
        <v>ATGC(Alrmooz Technical for General Contracting Est.)</v>
      </c>
      <c r="G4" s="165"/>
      <c r="H4" s="166" t="s">
        <v>84</v>
      </c>
      <c r="K4" s="52"/>
      <c r="L4" s="52"/>
      <c r="M4" s="52"/>
    </row>
    <row r="5" spans="1:13" s="51" customFormat="1" ht="21.95" customHeight="1">
      <c r="A5" s="157"/>
      <c r="B5" s="160"/>
      <c r="C5" s="161"/>
      <c r="D5" s="163"/>
      <c r="E5" s="163"/>
      <c r="F5" s="53" t="s">
        <v>85</v>
      </c>
      <c r="G5" s="53" t="s">
        <v>51</v>
      </c>
      <c r="H5" s="167"/>
      <c r="K5" s="52"/>
      <c r="L5" s="52"/>
      <c r="M5" s="52"/>
    </row>
    <row r="6" spans="1:13" s="51" customFormat="1" ht="32.1" customHeight="1">
      <c r="A6" s="81">
        <f t="shared" ref="A6" si="0">ROW(A1)</f>
        <v>1</v>
      </c>
      <c r="B6" s="152" t="str">
        <f>+'MRS LIST'!B6</f>
        <v>Rigger 3</v>
      </c>
      <c r="C6" s="153"/>
      <c r="D6" s="82" t="str">
        <f>+'MRS LIST'!G6</f>
        <v>EA</v>
      </c>
      <c r="E6" s="83">
        <f>+'MRS LIST'!H6</f>
        <v>1</v>
      </c>
      <c r="F6" s="84">
        <f>+'MRS LIST'!I6</f>
        <v>65</v>
      </c>
      <c r="G6" s="85">
        <f>+'MRS LIST'!J6</f>
        <v>65</v>
      </c>
      <c r="H6" s="86"/>
      <c r="K6" s="87"/>
      <c r="L6" s="88"/>
      <c r="M6" s="52"/>
    </row>
    <row r="7" spans="1:13" s="51" customFormat="1" ht="32.1" customHeight="1">
      <c r="A7" s="81"/>
      <c r="B7" s="152"/>
      <c r="C7" s="153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/>
      <c r="B8" s="152"/>
      <c r="C8" s="153"/>
      <c r="D8" s="82"/>
      <c r="E8" s="83"/>
      <c r="F8" s="84"/>
      <c r="G8" s="85"/>
      <c r="H8" s="90"/>
      <c r="K8" s="52"/>
      <c r="L8" s="52"/>
      <c r="M8" s="52"/>
    </row>
    <row r="9" spans="1:13" s="51" customFormat="1" ht="32.1" customHeight="1">
      <c r="A9" s="89"/>
      <c r="B9" s="152"/>
      <c r="C9" s="153"/>
      <c r="D9" s="82"/>
      <c r="E9" s="83"/>
      <c r="F9" s="84"/>
      <c r="G9" s="85"/>
      <c r="H9" s="90"/>
    </row>
    <row r="10" spans="1:13" s="51" customFormat="1" ht="32.1" customHeight="1">
      <c r="A10" s="89"/>
      <c r="B10" s="102"/>
      <c r="C10" s="103"/>
      <c r="D10" s="82"/>
      <c r="E10" s="83"/>
      <c r="F10" s="84"/>
      <c r="G10" s="85"/>
      <c r="H10" s="90"/>
    </row>
    <row r="11" spans="1:13" s="51" customFormat="1" ht="32.1" customHeight="1">
      <c r="A11" s="89"/>
      <c r="B11" s="102"/>
      <c r="C11" s="103"/>
      <c r="D11" s="82"/>
      <c r="E11" s="83"/>
      <c r="F11" s="84"/>
      <c r="G11" s="85"/>
      <c r="H11" s="90"/>
    </row>
    <row r="12" spans="1:13" s="51" customFormat="1" ht="32.1" customHeight="1">
      <c r="A12" s="89"/>
      <c r="B12" s="152"/>
      <c r="C12" s="153"/>
      <c r="D12" s="82"/>
      <c r="E12" s="83"/>
      <c r="F12" s="84"/>
      <c r="G12" s="85"/>
      <c r="H12" s="90"/>
    </row>
    <row r="13" spans="1:13" s="51" customFormat="1" ht="32.1" customHeight="1">
      <c r="A13" s="89"/>
      <c r="B13" s="152"/>
      <c r="C13" s="153"/>
      <c r="D13" s="82"/>
      <c r="E13" s="83"/>
      <c r="F13" s="84"/>
      <c r="G13" s="85"/>
      <c r="H13" s="90"/>
    </row>
    <row r="14" spans="1:13" s="51" customFormat="1" ht="32.1" customHeight="1">
      <c r="A14" s="89"/>
      <c r="B14" s="152"/>
      <c r="C14" s="153"/>
      <c r="D14" s="82"/>
      <c r="E14" s="83"/>
      <c r="F14" s="84"/>
      <c r="G14" s="85"/>
      <c r="H14" s="90"/>
    </row>
    <row r="15" spans="1:13" s="51" customFormat="1" ht="32.1" customHeight="1">
      <c r="A15" s="89"/>
      <c r="B15" s="152"/>
      <c r="C15" s="153"/>
      <c r="D15" s="82"/>
      <c r="E15" s="83"/>
      <c r="F15" s="84"/>
      <c r="G15" s="85"/>
      <c r="H15" s="90"/>
    </row>
    <row r="16" spans="1:13" s="51" customFormat="1" ht="32.1" customHeight="1">
      <c r="A16" s="89"/>
      <c r="B16" s="102"/>
      <c r="C16" s="103"/>
      <c r="D16" s="82"/>
      <c r="E16" s="83"/>
      <c r="F16" s="84"/>
      <c r="G16" s="85"/>
      <c r="H16" s="90"/>
    </row>
    <row r="17" spans="1:13" s="51" customFormat="1" ht="32.1" customHeight="1">
      <c r="A17" s="89"/>
      <c r="B17" s="152"/>
      <c r="C17" s="153"/>
      <c r="D17" s="82"/>
      <c r="E17" s="83"/>
      <c r="F17" s="84"/>
      <c r="G17" s="85"/>
      <c r="H17" s="90"/>
    </row>
    <row r="18" spans="1:13" s="51" customFormat="1" ht="23.1" customHeight="1">
      <c r="A18" s="168" t="s">
        <v>86</v>
      </c>
      <c r="B18" s="169"/>
      <c r="C18" s="169"/>
      <c r="D18" s="169"/>
      <c r="E18" s="169"/>
      <c r="F18" s="169"/>
      <c r="G18" s="54">
        <f>SUM(G6:G17)</f>
        <v>65</v>
      </c>
      <c r="H18" s="55"/>
    </row>
    <row r="19" spans="1:13" s="51" customFormat="1" ht="23.1" customHeight="1">
      <c r="A19" s="168" t="s">
        <v>50</v>
      </c>
      <c r="B19" s="169"/>
      <c r="C19" s="169"/>
      <c r="D19" s="169"/>
      <c r="E19" s="169"/>
      <c r="F19" s="169"/>
      <c r="G19" s="54">
        <f>+G18*0.15</f>
        <v>9.75</v>
      </c>
      <c r="H19" s="55"/>
    </row>
    <row r="20" spans="1:13" s="51" customFormat="1" ht="24.95" customHeight="1" thickBot="1">
      <c r="A20" s="170" t="s">
        <v>87</v>
      </c>
      <c r="B20" s="171"/>
      <c r="C20" s="171"/>
      <c r="D20" s="171"/>
      <c r="E20" s="171"/>
      <c r="F20" s="171"/>
      <c r="G20" s="56">
        <f>G19+G18</f>
        <v>74.75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QUO-MP-25170903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43" t="s">
        <v>89</v>
      </c>
      <c r="B24" s="143"/>
      <c r="C24" s="143"/>
      <c r="D24" s="143"/>
      <c r="E24" s="143"/>
      <c r="F24" s="143"/>
      <c r="G24" s="143"/>
      <c r="H24" s="143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1">
    <mergeCell ref="A18:F18"/>
    <mergeCell ref="A19:F19"/>
    <mergeCell ref="A20:F20"/>
    <mergeCell ref="A24:H24"/>
    <mergeCell ref="B15:C15"/>
    <mergeCell ref="B17:C17"/>
    <mergeCell ref="B6:C6"/>
    <mergeCell ref="B7:C7"/>
    <mergeCell ref="B8:C8"/>
    <mergeCell ref="B9:C9"/>
    <mergeCell ref="B12:C12"/>
    <mergeCell ref="C2:F2"/>
    <mergeCell ref="E3:H3"/>
    <mergeCell ref="A4:A5"/>
    <mergeCell ref="B4:C5"/>
    <mergeCell ref="D4:D5"/>
    <mergeCell ref="E4:E5"/>
    <mergeCell ref="F4:G4"/>
    <mergeCell ref="H4:H5"/>
    <mergeCell ref="B13:C13"/>
    <mergeCell ref="B14:C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2025-09-18T03:16:54Z</cp:lastPrinted>
  <dcterms:created xsi:type="dcterms:W3CDTF">2024-10-20T11:50:19Z</dcterms:created>
  <dcterms:modified xsi:type="dcterms:W3CDTF">2025-09-18T03:16:58Z</dcterms:modified>
</cp:coreProperties>
</file>