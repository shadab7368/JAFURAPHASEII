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equest foe Purchase Order\"/>
    </mc:Choice>
  </mc:AlternateContent>
  <xr:revisionPtr revIDLastSave="0" documentId="13_ncr:1_{FCB4D11A-94FC-4F89-94B8-565C2E4EF756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4" l="1"/>
  <c r="J8" i="2"/>
  <c r="I8" i="2"/>
  <c r="H8" i="2"/>
  <c r="G8" i="2"/>
  <c r="J7" i="2"/>
  <c r="I7" i="2"/>
  <c r="H7" i="2"/>
  <c r="G7" i="2"/>
  <c r="D8" i="2"/>
  <c r="B8" i="2"/>
  <c r="D7" i="2"/>
  <c r="B7" i="2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59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<sst xmlns="http://schemas.openxmlformats.org/spreadsheetml/2006/main" count="152" uniqueCount="118">
  <si>
    <t>Vendor Name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</si>
  <si>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</si>
  <si>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</si>
  <si>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</si>
  <si>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</si>
  <si>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</si>
  <si>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</si>
  <si>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</si>
  <si>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</si>
  <si>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</si>
  <si>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</si>
  <si>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</si>
  <si>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</si>
  <si>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</si>
  <si>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</si>
  <si>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</si>
  <si>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</si>
  <si>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</si>
  <si>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</si>
  <si>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</si>
  <si>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</si>
  <si>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</si>
  <si>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</si>
  <si>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</si>
  <si>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</si>
  <si>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</si>
  <si>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</si>
  <si>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</si>
  <si>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</si>
  <si>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</si>
  <si>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</si>
  <si>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</si>
  <si>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</si>
  <si>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</si>
  <si>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</si>
  <si>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</si>
  <si>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</si>
  <si>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</si>
  <si>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</si>
  <si>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</si>
  <si>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</si>
  <si>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</si>
  <si>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</si>
  <si>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</si>
  <si>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</si>
  <si>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</si>
  <si>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</si>
  <si>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</si>
  <si>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</si>
  <si>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</si>
  <si>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</si>
  <si>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</si>
  <si>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</si>
  <si>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</si>
  <si>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</si>
  <si>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</si>
  <si>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</si>
  <si>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</si>
  <si>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</si>
  <si>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</si>
  <si>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</si>
  <si>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</si>
  <si>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</si>
  <si>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</si>
  <si>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</si>
  <si>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</si>
  <si>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</si>
  <si>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</si>
  <si>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</si>
  <si>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</si>
  <si>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</si>
  <si>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</si>
  <si>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</si>
  <si>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</si>
  <si>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</si>
  <si>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</si>
  <si>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</si>
  <si>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</si>
  <si>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</si>
  <si>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</si>
  <si>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</si>
  <si>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</si>
  <si>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</si>
  <si>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</si>
  <si>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</si>
  <si>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</si>
  <si>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</si>
  <si>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</si>
  <si>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</si>
  <si>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Month</t>
    <phoneticPr fontId="9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</si>
  <si>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</si>
  <si>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</si>
  <si>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</si>
  <si>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</si>
  <si>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</si>
  <si>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</si>
  <si>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t>FZCE</t>
  </si>
  <si>
    <t>310790022700003</t>
  </si>
  <si>
    <t>Shakeel Khader</t>
  </si>
  <si>
    <t xml:space="preserve">+966 55 87602885 /spkhader@fourzonecont.com </t>
  </si>
  <si>
    <t>Bldg No . 7766 Al Dana, Al Jubail 35514, Kingdom of Saudi Arabia</t>
  </si>
  <si>
    <t>Mobile : +966 55 87602885</t>
  </si>
  <si>
    <t>Business Development Manager</t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</si>
  <si>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</si>
  <si>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</si>
  <si>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6" type="noConversion"/>
  </si>
  <si>
    <t xml:space="preserve">  PJT :  SACE2           </t>
    <phoneticPr fontId="6" type="noConversion"/>
  </si>
  <si>
    <t>Division (In charge Name) : ADMIN MANAGER (Dong Chang Kim)</t>
  </si>
  <si>
    <t>Subcontract name (SAC2-SC-IK-SMP-01)</t>
  </si>
  <si>
    <t>FZCE(Four Zone Contracting Est.)</t>
  </si>
  <si>
    <t xml:space="preserve">  Delivery &amp; Payment : Dong Chang Kim / Daeshin Admin. [ Mobile No. : +966 53 748 5762 / Email : kdchjs@daeshinplant.com ]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</si>
  <si>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-MRS-0057</t>
    </r>
  </si>
  <si>
    <t>Flat Bed Trailer</t>
  </si>
  <si>
    <t>with Driver</t>
  </si>
  <si>
    <t>Flat Bed Trailer with Driver</t>
  </si>
  <si>
    <t>FZ-OFFR-2025-1649</t>
  </si>
  <si>
    <t>HYUNDAI ENG. &amp; CONST. CO., LTD.</t>
  </si>
  <si>
    <t>Hyundai Engineering and Const. Co., Ltd. (HDEC)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</si>
</sst>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7" fillId="2" borderId="0" xfId="1" applyFont="1" applyFill="1" applyAlignment="1">
      <alignment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51" fillId="2" borderId="1" xfId="1" applyFont="1" applyFill="1" applyBorder="1" applyAlignment="1">
      <alignment horizontal="center" vertical="center"/>
    </xf>
    <xf numFmtId="0" fontId="51" fillId="2" borderId="2" xfId="1" applyFont="1" applyFill="1" applyBorder="1" applyAlignment="1">
      <alignment horizontal="center" vertical="center"/>
    </xf>
    <xf numFmtId="0" fontId="51" fillId="2" borderId="3" xfId="1" applyFont="1" applyFill="1" applyBorder="1" applyAlignment="1">
      <alignment horizontal="center" vertical="center"/>
    </xf>
    <xf numFmtId="0" fontId="52" fillId="2" borderId="4" xfId="1" applyFont="1" applyFill="1" applyBorder="1" applyAlignment="1">
      <alignment horizontal="center" vertical="center"/>
    </xf>
    <xf numFmtId="0" fontId="52" fillId="2" borderId="5" xfId="1" applyFont="1" applyFill="1" applyBorder="1" applyAlignment="1">
      <alignment horizontal="center" vertical="center"/>
    </xf>
    <xf numFmtId="0" fontId="52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1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T6" sqref="T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104</v>
      </c>
      <c r="B1" s="111"/>
      <c r="C1" s="111"/>
      <c r="D1" s="111"/>
      <c r="E1" s="111"/>
      <c r="F1" s="111"/>
      <c r="G1" s="1"/>
      <c r="J1" s="141" t="s">
        <v>105</v>
      </c>
      <c r="K1" s="142"/>
      <c r="L1" s="143"/>
    </row>
    <row r="2" spans="1:19" ht="20.100000000000001" customHeight="1">
      <c r="A2" s="3" t="s">
        <v>106</v>
      </c>
      <c r="B2" s="102"/>
      <c r="C2" s="102"/>
      <c r="D2" s="3" t="s">
        <v>107</v>
      </c>
      <c r="E2" s="102"/>
      <c r="F2" s="102"/>
      <c r="G2" s="102"/>
      <c r="H2" s="102"/>
      <c r="I2" s="4"/>
      <c r="J2" s="144" t="s">
        <v>108</v>
      </c>
      <c r="K2" s="145"/>
      <c r="L2" s="146"/>
    </row>
    <row r="3" spans="1:19" ht="20.100000000000001" customHeight="1">
      <c r="A3" s="3" t="s">
        <v>111</v>
      </c>
      <c r="B3" s="102"/>
      <c r="C3" s="102"/>
      <c r="D3" s="102"/>
      <c r="E3" s="147">
        <f>+L3</f>
        <v>45780</v>
      </c>
      <c r="F3" s="147"/>
      <c r="G3" s="147"/>
      <c r="H3" s="147"/>
      <c r="I3" s="147"/>
      <c r="J3" s="102"/>
      <c r="K3" s="102"/>
      <c r="L3" s="123">
        <v>45780</v>
      </c>
      <c r="M3" s="4"/>
    </row>
    <row r="4" spans="1:19" ht="15.95" customHeight="1">
      <c r="A4" s="148" t="s">
        <v>1</v>
      </c>
      <c r="B4" s="149" t="s">
        <v>2</v>
      </c>
      <c r="C4" s="149"/>
      <c r="D4" s="150" t="s">
        <v>3</v>
      </c>
      <c r="E4" s="151"/>
      <c r="F4" s="152"/>
      <c r="G4" s="156" t="s">
        <v>4</v>
      </c>
      <c r="H4" s="158" t="s">
        <v>5</v>
      </c>
      <c r="I4" s="158" t="s">
        <v>94</v>
      </c>
      <c r="J4" s="148" t="s">
        <v>95</v>
      </c>
      <c r="K4" s="158" t="s">
        <v>0</v>
      </c>
      <c r="L4" s="149" t="s">
        <v>6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112</v>
      </c>
      <c r="C6" s="130"/>
      <c r="D6" s="131" t="s">
        <v>113</v>
      </c>
      <c r="E6" s="132"/>
      <c r="F6" s="133"/>
      <c r="G6" s="112" t="s">
        <v>89</v>
      </c>
      <c r="H6" s="113">
        <v>1</v>
      </c>
      <c r="I6" s="114">
        <v>15000</v>
      </c>
      <c r="J6" s="114">
        <f>H6*I6</f>
        <v>15000</v>
      </c>
      <c r="K6" s="115" t="s">
        <v>96</v>
      </c>
      <c r="L6" s="116" t="s">
        <v>103</v>
      </c>
      <c r="S6" s="107"/>
    </row>
    <row r="7" spans="1:19" ht="22.5" customHeight="1">
      <c r="A7" s="5">
        <f t="shared" si="0"/>
        <v>2</v>
      </c>
      <c r="B7" s="129"/>
      <c r="C7" s="130"/>
      <c r="D7" s="140"/>
      <c r="E7" s="132"/>
      <c r="F7" s="133"/>
      <c r="G7" s="112"/>
      <c r="H7" s="113"/>
      <c r="I7" s="114"/>
      <c r="J7" s="114"/>
      <c r="K7" s="115"/>
      <c r="L7" s="116"/>
      <c r="S7" s="107"/>
    </row>
    <row r="8" spans="1:19" ht="22.5" customHeight="1">
      <c r="A8" s="5">
        <f t="shared" si="0"/>
        <v>3</v>
      </c>
      <c r="B8" s="129"/>
      <c r="C8" s="130"/>
      <c r="D8" s="140"/>
      <c r="E8" s="132"/>
      <c r="F8" s="133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34" t="s">
        <v>7</v>
      </c>
      <c r="B16" s="135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15000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25" t="s">
        <v>16</v>
      </c>
      <c r="Q21" s="125" t="s">
        <v>17</v>
      </c>
    </row>
    <row r="22" spans="1:22" ht="18" customHeight="1">
      <c r="O22" s="18" t="s">
        <v>18</v>
      </c>
      <c r="P22" s="127"/>
      <c r="Q22" s="127"/>
      <c r="S22" s="136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26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20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20</v>
      </c>
      <c r="P46" s="125" t="s">
        <v>20</v>
      </c>
      <c r="Q46" s="125" t="s">
        <v>20</v>
      </c>
      <c r="T46" s="125" t="s">
        <v>21</v>
      </c>
      <c r="U46" s="125" t="s">
        <v>12</v>
      </c>
      <c r="V46" s="125" t="s">
        <v>20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20</v>
      </c>
      <c r="P50" s="125" t="s">
        <v>20</v>
      </c>
      <c r="Q50" s="125" t="s">
        <v>20</v>
      </c>
      <c r="T50" s="125" t="s">
        <v>12</v>
      </c>
      <c r="U50" s="125" t="s">
        <v>21</v>
      </c>
      <c r="V50" s="125" t="s">
        <v>20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G8" sqref="G8:J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93</v>
      </c>
      <c r="B1" s="101"/>
      <c r="C1" s="101"/>
      <c r="D1" s="101"/>
      <c r="E1" s="101"/>
      <c r="F1" s="101"/>
      <c r="G1" s="1"/>
      <c r="J1" s="170" t="str">
        <f>+MRS!J1</f>
        <v>DAESHIN PLANT</v>
      </c>
      <c r="K1" s="171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72" t="str">
        <f>+MRS!J2</f>
        <v>Subcontract name (SAC2-SC-IK-SMP-01)</v>
      </c>
      <c r="K2" s="173"/>
    </row>
    <row r="3" spans="1:18" ht="24.95" customHeight="1">
      <c r="A3" s="3" t="str">
        <f>+MRS!A3</f>
        <v xml:space="preserve">  MRS No : SAC2-DS-MRS-0057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45780</v>
      </c>
    </row>
    <row r="4" spans="1:18" ht="15.95" customHeight="1">
      <c r="A4" s="174" t="s">
        <v>1</v>
      </c>
      <c r="B4" s="175" t="s">
        <v>22</v>
      </c>
      <c r="C4" s="175"/>
      <c r="D4" s="174" t="s">
        <v>3</v>
      </c>
      <c r="E4" s="174"/>
      <c r="F4" s="174"/>
      <c r="G4" s="175" t="s">
        <v>4</v>
      </c>
      <c r="H4" s="174" t="s">
        <v>90</v>
      </c>
      <c r="I4" s="174" t="s">
        <v>23</v>
      </c>
      <c r="J4" s="174" t="s">
        <v>24</v>
      </c>
      <c r="K4" s="175" t="s">
        <v>6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21">
        <f>+MRS!A6</f>
        <v>1</v>
      </c>
      <c r="B6" s="165" t="str">
        <f>MRS!B6</f>
        <v>Flat Bed Trailer</v>
      </c>
      <c r="C6" s="166"/>
      <c r="D6" s="167" t="str">
        <f>MRS!D6</f>
        <v>with Driver</v>
      </c>
      <c r="E6" s="168"/>
      <c r="F6" s="169"/>
      <c r="G6" s="104" t="str">
        <f>MRS!G6</f>
        <v>Month</v>
      </c>
      <c r="H6" s="104">
        <f>MRS!H6</f>
        <v>1</v>
      </c>
      <c r="I6" s="105">
        <f>MRS!I6</f>
        <v>15000</v>
      </c>
      <c r="J6" s="105">
        <f>MRS!J6</f>
        <v>15000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4">
        <f>MRS!G7</f>
        <v>0</v>
      </c>
      <c r="H7" s="104">
        <f>MRS!H7</f>
        <v>0</v>
      </c>
      <c r="I7" s="105">
        <f>MRS!I7</f>
        <v>0</v>
      </c>
      <c r="J7" s="105">
        <f>MRS!J7</f>
        <v>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5">
        <f>MRS!B8</f>
        <v>0</v>
      </c>
      <c r="C8" s="166"/>
      <c r="D8" s="167">
        <f>MRS!D8</f>
        <v>0</v>
      </c>
      <c r="E8" s="168"/>
      <c r="F8" s="169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60"/>
      <c r="C9" s="161"/>
      <c r="D9" s="162"/>
      <c r="E9" s="163"/>
      <c r="F9" s="164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60"/>
      <c r="C10" s="161"/>
      <c r="D10" s="162"/>
      <c r="E10" s="163"/>
      <c r="F10" s="164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60"/>
      <c r="C11" s="161"/>
      <c r="D11" s="162"/>
      <c r="E11" s="163"/>
      <c r="F11" s="164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topLeftCell="A42" zoomScale="130" zoomScaleSheetLayoutView="130" workbookViewId="0">
      <selection activeCell="Q57" sqref="Q5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116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109</v>
      </c>
      <c r="D9" s="39"/>
      <c r="E9" s="39"/>
    </row>
    <row r="10" spans="2:13" s="39" customFormat="1">
      <c r="B10" s="72"/>
      <c r="C10" s="39" t="s">
        <v>31</v>
      </c>
      <c r="D10" s="39">
        <v>2055133627</v>
      </c>
      <c r="J10" s="39" t="s">
        <v>32</v>
      </c>
      <c r="K10" s="177">
        <f>MRS!L3</f>
        <v>45780</v>
      </c>
      <c r="L10" s="178"/>
      <c r="M10" s="178"/>
    </row>
    <row r="11" spans="2:13" s="39" customFormat="1">
      <c r="B11" s="72"/>
      <c r="C11" s="75" t="s">
        <v>33</v>
      </c>
      <c r="D11" s="76" t="s">
        <v>97</v>
      </c>
      <c r="J11" s="39" t="s">
        <v>34</v>
      </c>
      <c r="K11" s="179" t="str">
        <f>SUBSTITUTE(SUBSTITUTE(+MRS!A3,"  MRS No : ",""),"-MRS","-PO")</f>
        <v>SAC2-DS-PO-0057</v>
      </c>
      <c r="L11" s="179"/>
      <c r="M11" s="179"/>
    </row>
    <row r="12" spans="2:13" s="39" customFormat="1">
      <c r="B12" s="72"/>
      <c r="C12" s="75" t="s">
        <v>35</v>
      </c>
      <c r="D12" s="39" t="s">
        <v>98</v>
      </c>
      <c r="J12" s="39" t="s">
        <v>36</v>
      </c>
    </row>
    <row r="13" spans="2:13" s="39" customFormat="1">
      <c r="B13" s="72"/>
      <c r="C13" s="77"/>
      <c r="D13" s="76" t="s">
        <v>99</v>
      </c>
      <c r="J13" s="39" t="s">
        <v>37</v>
      </c>
    </row>
    <row r="14" spans="2:13" s="39" customFormat="1">
      <c r="B14" s="72"/>
      <c r="C14" s="77" t="s">
        <v>100</v>
      </c>
      <c r="J14" s="39" t="s">
        <v>38</v>
      </c>
      <c r="K14" s="39" t="s">
        <v>115</v>
      </c>
    </row>
    <row r="15" spans="2:13" s="39" customFormat="1">
      <c r="B15" s="72"/>
      <c r="C15" s="77" t="s">
        <v>101</v>
      </c>
      <c r="J15" s="39" t="s">
        <v>39</v>
      </c>
      <c r="K15" s="78">
        <v>45762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0" t="s">
        <v>40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41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42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43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20.100000000000001" customHeight="1">
      <c r="B25" s="32">
        <v>1</v>
      </c>
      <c r="C25" s="32" t="s">
        <v>44</v>
      </c>
    </row>
    <row r="26" spans="2:13" s="39" customFormat="1" ht="15" customHeight="1">
      <c r="B26" s="73"/>
      <c r="C26" s="76" t="s">
        <v>114</v>
      </c>
      <c r="M26" s="79" t="s">
        <v>45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46</v>
      </c>
    </row>
    <row r="29" spans="2:13" ht="15" customHeight="1">
      <c r="B29" s="32"/>
      <c r="C29" s="26" t="s">
        <v>47</v>
      </c>
      <c r="E29" s="26" t="s">
        <v>48</v>
      </c>
      <c r="F29" s="184" t="s">
        <v>103</v>
      </c>
      <c r="G29" s="184"/>
      <c r="H29" s="33"/>
      <c r="M29" s="34"/>
    </row>
    <row r="30" spans="2:13" ht="15" customHeight="1">
      <c r="B30" s="32"/>
      <c r="C30" s="26" t="s">
        <v>49</v>
      </c>
      <c r="E30" s="26" t="s">
        <v>48</v>
      </c>
      <c r="F30" s="184"/>
      <c r="G30" s="184"/>
    </row>
    <row r="31" spans="2:13" ht="15" customHeight="1">
      <c r="B31" s="32"/>
      <c r="C31" s="26" t="s">
        <v>50</v>
      </c>
      <c r="D31" s="35"/>
      <c r="E31" s="26" t="s">
        <v>48</v>
      </c>
      <c r="F31" s="184"/>
      <c r="G31" s="184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51</v>
      </c>
    </row>
    <row r="34" spans="2:13" ht="15" customHeight="1">
      <c r="B34" s="32"/>
      <c r="C34" s="22" t="s">
        <v>52</v>
      </c>
    </row>
    <row r="35" spans="2:13" ht="15" customHeight="1">
      <c r="B35" s="32"/>
      <c r="C35" s="22" t="s">
        <v>53</v>
      </c>
    </row>
    <row r="36" spans="2:13" ht="15" customHeight="1">
      <c r="B36" s="32"/>
      <c r="C36" s="22" t="s">
        <v>54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55</v>
      </c>
    </row>
    <row r="39" spans="2:13" ht="15" customHeight="1">
      <c r="B39" s="32"/>
      <c r="C39" s="26" t="s">
        <v>56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57</v>
      </c>
    </row>
    <row r="42" spans="2:13" ht="15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63</v>
      </c>
    </row>
    <row r="49" spans="1:16" s="39" customFormat="1" ht="15" customHeight="1">
      <c r="B49" s="80" t="s">
        <v>64</v>
      </c>
      <c r="C49" s="81" t="s">
        <v>110</v>
      </c>
      <c r="P49" s="82"/>
    </row>
    <row r="50" spans="1:16" s="83" customFormat="1" ht="15" customHeight="1">
      <c r="B50" s="84" t="s">
        <v>64</v>
      </c>
      <c r="C50" s="81" t="s">
        <v>92</v>
      </c>
    </row>
    <row r="51" spans="1:16" s="83" customFormat="1" ht="15" customHeight="1">
      <c r="B51" s="84" t="s">
        <v>64</v>
      </c>
      <c r="C51" s="81" t="s">
        <v>91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65</v>
      </c>
      <c r="J56" s="32" t="s">
        <v>66</v>
      </c>
    </row>
    <row r="57" spans="1:16" ht="50.1" customHeight="1"/>
    <row r="58" spans="1:16" ht="18" customHeight="1">
      <c r="B58" s="26" t="s">
        <v>67</v>
      </c>
      <c r="J58" s="26" t="s">
        <v>67</v>
      </c>
    </row>
    <row r="59" spans="1:16" ht="18" customHeight="1">
      <c r="B59" s="26" t="s">
        <v>68</v>
      </c>
      <c r="J59" s="26" t="s">
        <v>69</v>
      </c>
      <c r="K59" s="22" t="str">
        <f>UPPER(D12)</f>
        <v>SHAKEEL KHADER</v>
      </c>
    </row>
    <row r="60" spans="1:16" ht="18" customHeight="1">
      <c r="B60" s="26" t="s">
        <v>70</v>
      </c>
      <c r="J60" s="26" t="s">
        <v>71</v>
      </c>
      <c r="K60" s="22" t="s">
        <v>102</v>
      </c>
    </row>
    <row r="61" spans="1:16" ht="15" customHeight="1">
      <c r="B61" s="26" t="s">
        <v>72</v>
      </c>
      <c r="J61" s="26" t="s">
        <v>73</v>
      </c>
    </row>
    <row r="62" spans="1:16" s="28" customFormat="1" ht="15" customHeight="1">
      <c r="B62" s="25" t="s">
        <v>117</v>
      </c>
      <c r="J62" s="25" t="str">
        <f>C9</f>
        <v>FZCE(Four Zone Contracting Est.)</v>
      </c>
    </row>
    <row r="63" spans="1:16" ht="27.95" customHeight="1">
      <c r="A63" s="176" t="s">
        <v>74</v>
      </c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6" zoomScaleSheetLayoutView="100" zoomScalePageLayoutView="55" workbookViewId="0">
      <selection activeCell="K18" sqref="K18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SAC2-DS-PO-0057</v>
      </c>
      <c r="C2" s="191" t="s">
        <v>76</v>
      </c>
      <c r="D2" s="191"/>
      <c r="E2" s="191"/>
      <c r="F2" s="191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45780</v>
      </c>
      <c r="C3" s="51"/>
      <c r="D3" s="52"/>
      <c r="E3" s="192" t="s">
        <v>78</v>
      </c>
      <c r="F3" s="192"/>
      <c r="G3" s="192"/>
      <c r="H3" s="192"/>
      <c r="I3" s="53"/>
    </row>
    <row r="4" spans="1:13" s="55" customFormat="1" ht="28.5" customHeight="1" thickTop="1">
      <c r="A4" s="193" t="s">
        <v>79</v>
      </c>
      <c r="B4" s="195" t="s">
        <v>80</v>
      </c>
      <c r="C4" s="196"/>
      <c r="D4" s="199" t="s">
        <v>81</v>
      </c>
      <c r="E4" s="199" t="s">
        <v>82</v>
      </c>
      <c r="F4" s="201" t="str">
        <f>'PO 1st page'!C9</f>
        <v>FZCE(Four Zone Contracting Est.)</v>
      </c>
      <c r="G4" s="202"/>
      <c r="H4" s="203" t="s">
        <v>83</v>
      </c>
      <c r="K4" s="56"/>
      <c r="L4" s="56"/>
      <c r="M4" s="56"/>
    </row>
    <row r="5" spans="1:13" s="55" customFormat="1" ht="21.95" customHeight="1">
      <c r="A5" s="194"/>
      <c r="B5" s="197"/>
      <c r="C5" s="198"/>
      <c r="D5" s="200"/>
      <c r="E5" s="200"/>
      <c r="F5" s="57" t="s">
        <v>84</v>
      </c>
      <c r="G5" s="57" t="s">
        <v>50</v>
      </c>
      <c r="H5" s="204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5" t="str">
        <f>+'MRS LIST'!B6</f>
        <v>Flat Bed Trailer</v>
      </c>
      <c r="C6" s="206"/>
      <c r="D6" s="86" t="str">
        <f>+'MRS LIST'!G6</f>
        <v>Month</v>
      </c>
      <c r="E6" s="87">
        <f>+'MRS LIST'!H6</f>
        <v>1</v>
      </c>
      <c r="F6" s="88">
        <f>+'MRS LIST'!I6</f>
        <v>15000</v>
      </c>
      <c r="G6" s="89">
        <f>+'MRS LIST'!J6</f>
        <v>15000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5"/>
      <c r="C7" s="206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205"/>
      <c r="C8" s="206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9"/>
      <c r="C9" s="190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9"/>
      <c r="C10" s="190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9"/>
      <c r="C11" s="190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9"/>
      <c r="C12" s="190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9"/>
      <c r="C13" s="190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9"/>
      <c r="C14" s="190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9"/>
      <c r="C15" s="190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9"/>
      <c r="C16" s="190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9"/>
      <c r="C17" s="190"/>
      <c r="D17" s="94"/>
      <c r="E17" s="95"/>
      <c r="F17" s="96"/>
      <c r="G17" s="97"/>
      <c r="H17" s="98"/>
    </row>
    <row r="18" spans="1:13" s="55" customFormat="1" ht="23.1" customHeight="1">
      <c r="A18" s="185" t="s">
        <v>85</v>
      </c>
      <c r="B18" s="186"/>
      <c r="C18" s="186"/>
      <c r="D18" s="186"/>
      <c r="E18" s="186"/>
      <c r="F18" s="186"/>
      <c r="G18" s="58">
        <f>SUM(G6:G17)</f>
        <v>15000</v>
      </c>
      <c r="H18" s="59"/>
    </row>
    <row r="19" spans="1:13" s="55" customFormat="1" ht="23.1" customHeight="1">
      <c r="A19" s="185" t="s">
        <v>49</v>
      </c>
      <c r="B19" s="186"/>
      <c r="C19" s="186"/>
      <c r="D19" s="186"/>
      <c r="E19" s="186"/>
      <c r="F19" s="186"/>
      <c r="G19" s="58">
        <f>+G18*0.15</f>
        <v>2250</v>
      </c>
      <c r="H19" s="59"/>
    </row>
    <row r="20" spans="1:13" s="55" customFormat="1" ht="24.95" customHeight="1" thickBot="1">
      <c r="A20" s="187" t="s">
        <v>86</v>
      </c>
      <c r="B20" s="188"/>
      <c r="C20" s="188"/>
      <c r="D20" s="188"/>
      <c r="E20" s="188"/>
      <c r="F20" s="188"/>
      <c r="G20" s="60">
        <f>G19+G18</f>
        <v>17250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FZ-OFFR-2025-1649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88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2025-05-03T08:34:00Z</cp:lastPrinted>
  <dcterms:created xsi:type="dcterms:W3CDTF">2024-10-20T11:50:19Z</dcterms:created>
  <dcterms:modified xsi:type="dcterms:W3CDTF">2025-05-03T08:34:02Z</dcterms:modified>
</cp:coreProperties>
</file>