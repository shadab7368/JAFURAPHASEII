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AA59A50E-BC53-4E82-B76A-6B6716D581E9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/>
  <c r="F7" i="4"/>
  <c r="E7" i="4"/>
  <c r="D7" i="4"/>
  <c r="B7" i="4"/>
  <c r="J7" i="1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<sst xmlns="http://schemas.openxmlformats.org/spreadsheetml/2006/main" count="154" uniqueCount="120">
  <si>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</si>
  <si>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</si>
  <si>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</si>
  <si>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</si>
  <si>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</si>
  <si>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</si>
  <si>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</si>
  <si>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</si>
  <si>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</si>
  <si>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</si>
  <si>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</si>
  <si>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</si>
  <si>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</si>
  <si>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</si>
  <si>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</si>
  <si>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</si>
  <si>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</si>
  <si>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</si>
  <si>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</si>
  <si>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</si>
  <si>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</si>
  <si>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</si>
  <si>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</si>
  <si>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</si>
  <si>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</si>
  <si>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</si>
  <si>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</si>
  <si>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</si>
  <si>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</si>
  <si>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</si>
  <si>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</si>
  <si>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</si>
  <si>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</si>
  <si>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</si>
  <si>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</si>
  <si>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</si>
  <si>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</si>
  <si>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</si>
  <si>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</si>
  <si>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</si>
  <si>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</si>
  <si>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</si>
  <si>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</si>
  <si>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</si>
  <si>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</si>
  <si>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</si>
  <si>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</si>
  <si>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</si>
  <si>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</si>
  <si>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</si>
  <si>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</si>
  <si>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</si>
  <si>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</si>
  <si>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</si>
  <si>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</si>
  <si>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</si>
  <si>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</si>
  <si>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</si>
  <si>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</si>
  <si>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</si>
  <si>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</si>
  <si>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</si>
  <si>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</si>
  <si>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</si>
  <si>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</si>
  <si>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</si>
  <si>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</si>
  <si>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</si>
  <si>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</si>
  <si>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</si>
  <si>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</si>
  <si>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</si>
  <si>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</si>
  <si>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</si>
  <si>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</si>
  <si>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</si>
  <si>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</si>
  <si>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</si>
  <si>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</si>
  <si>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</si>
  <si>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</si>
  <si>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</si>
  <si>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</si>
  <si>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</si>
  <si>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</si>
  <si>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</si>
  <si>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</si>
  <si>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</si>
  <si>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</si>
  <si>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</si>
  <si>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</si>
  <si>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</si>
  <si>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</si>
  <si>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</si>
  <si>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</si>
  <si>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</si>
  <si>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</si>
  <si>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</si>
  <si>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</si>
  <si>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</si>
  <si>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</si>
  <si>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</si>
  <si>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</si>
  <si>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114SA 25KG</t>
  </si>
  <si>
    <t>FATC</t>
  </si>
  <si>
    <t>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</si>
  <si>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-MRS-0053</t>
    </r>
  </si>
  <si>
    <t>Visual Inspection of Webbing Sling</t>
  </si>
  <si>
    <t>Visual Inspection of Chain Block</t>
  </si>
  <si>
    <t>EA</t>
  </si>
  <si>
    <t>Visual Inspection of Materials</t>
  </si>
  <si>
    <t>ECI(Engineering Corner for Inspection Co. Ltd.)</t>
  </si>
  <si>
    <t>2066002674</t>
  </si>
  <si>
    <t>310237629500003</t>
  </si>
  <si>
    <t>Ahmad Salih</t>
  </si>
  <si>
    <t>Operation Manager</t>
  </si>
  <si>
    <t>Email:eci@eccgroupksa.com</t>
  </si>
  <si>
    <t>P.O. Box 235 Rastanura 31941 Kingdom of Saudi Arabia</t>
  </si>
  <si>
    <t>Landline : +99 13 667 6999 / 667 6895</t>
  </si>
  <si>
    <t>ECI-QT-00145/25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</si>
</sst>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P13" sqref="P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101</v>
      </c>
      <c r="B1" s="109"/>
      <c r="C1" s="109"/>
      <c r="D1" s="109"/>
      <c r="E1" s="109"/>
      <c r="F1" s="109"/>
      <c r="G1" s="1"/>
      <c r="J1" s="125" t="s">
        <v>92</v>
      </c>
      <c r="K1" s="126"/>
      <c r="L1" s="127"/>
    </row>
    <row r="2" spans="1:19" ht="20.100000000000001" customHeight="1">
      <c r="A2" s="3" t="s">
        <v>1</v>
      </c>
      <c r="B2" s="100"/>
      <c r="C2" s="100"/>
      <c r="D2" s="3" t="s">
        <v>100</v>
      </c>
      <c r="E2" s="100"/>
      <c r="F2" s="100"/>
      <c r="G2" s="100"/>
      <c r="H2" s="100"/>
      <c r="I2" s="4"/>
      <c r="J2" s="128" t="s">
        <v>99</v>
      </c>
      <c r="K2" s="129"/>
      <c r="L2" s="130"/>
    </row>
    <row r="3" spans="1:19" ht="20.100000000000001" customHeight="1">
      <c r="A3" s="3" t="s">
        <v>106</v>
      </c>
      <c r="B3" s="100"/>
      <c r="C3" s="100"/>
      <c r="D3" s="100"/>
      <c r="E3" s="131">
        <f>+L3</f>
        <v>45769</v>
      </c>
      <c r="F3" s="131"/>
      <c r="G3" s="131"/>
      <c r="H3" s="131"/>
      <c r="I3" s="131"/>
      <c r="J3" s="100"/>
      <c r="K3" s="100"/>
      <c r="L3" s="121">
        <v>45769</v>
      </c>
      <c r="M3" s="4"/>
    </row>
    <row r="4" spans="1:19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96</v>
      </c>
      <c r="J4" s="132" t="s">
        <v>97</v>
      </c>
      <c r="K4" s="142" t="s">
        <v>0</v>
      </c>
      <c r="L4" s="133" t="s">
        <v>7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107</v>
      </c>
      <c r="C6" s="145"/>
      <c r="D6" s="146" t="s">
        <v>103</v>
      </c>
      <c r="E6" s="147"/>
      <c r="F6" s="148"/>
      <c r="G6" s="110" t="s">
        <v>109</v>
      </c>
      <c r="H6" s="111">
        <v>22</v>
      </c>
      <c r="I6" s="112">
        <v>15</v>
      </c>
      <c r="J6" s="112">
        <f>H6*I6</f>
        <v>330</v>
      </c>
      <c r="K6" s="113" t="s">
        <v>104</v>
      </c>
      <c r="L6" s="114"/>
      <c r="S6" s="105"/>
    </row>
    <row r="7" spans="1:19" ht="22.5" customHeight="1">
      <c r="A7" s="5">
        <f t="shared" si="0"/>
        <v>2</v>
      </c>
      <c r="B7" s="144" t="s">
        <v>108</v>
      </c>
      <c r="C7" s="145"/>
      <c r="D7" s="149"/>
      <c r="E7" s="147"/>
      <c r="F7" s="148"/>
      <c r="G7" s="110" t="s">
        <v>109</v>
      </c>
      <c r="H7" s="111">
        <v>4</v>
      </c>
      <c r="I7" s="112">
        <v>40</v>
      </c>
      <c r="J7" s="112">
        <f>H7*I7</f>
        <v>160</v>
      </c>
      <c r="K7" s="113"/>
      <c r="L7" s="114"/>
      <c r="S7" s="105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0"/>
      <c r="H8" s="111"/>
      <c r="I8" s="112"/>
      <c r="J8" s="112"/>
      <c r="K8" s="113"/>
      <c r="L8" s="114"/>
      <c r="S8" s="105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2" t="s">
        <v>8</v>
      </c>
      <c r="B16" s="153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490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98</v>
      </c>
      <c r="B1" s="99"/>
      <c r="C1" s="99"/>
      <c r="D1" s="99"/>
      <c r="E1" s="99"/>
      <c r="F1" s="99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SAC2-DS-MRS-0053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45769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93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Visual Inspection of Webbing Sling</v>
      </c>
      <c r="C6" s="163"/>
      <c r="D6" s="164" t="str">
        <f>MRS!D6</f>
        <v>114SA 25KG</v>
      </c>
      <c r="E6" s="165"/>
      <c r="F6" s="166"/>
      <c r="G6" s="102" t="str">
        <f>MRS!G6</f>
        <v>EA</v>
      </c>
      <c r="H6" s="102">
        <f>MRS!H6</f>
        <v>22</v>
      </c>
      <c r="I6" s="103">
        <f>MRS!I6</f>
        <v>15</v>
      </c>
      <c r="J6" s="103">
        <f>MRS!J6</f>
        <v>330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2" t="str">
        <f>MRS!B7</f>
        <v>Visual Inspection of Chain Block</v>
      </c>
      <c r="C7" s="163"/>
      <c r="D7" s="164">
        <f>MRS!D7</f>
        <v>0</v>
      </c>
      <c r="E7" s="165"/>
      <c r="F7" s="166"/>
      <c r="G7" s="102" t="str">
        <f>MRS!G7</f>
        <v>EA</v>
      </c>
      <c r="H7" s="102">
        <f>MRS!H7</f>
        <v>4</v>
      </c>
      <c r="I7" s="103">
        <f>MRS!I7</f>
        <v>40</v>
      </c>
      <c r="J7" s="103">
        <f>MRS!J7</f>
        <v>160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2">
        <f>MRS!B8</f>
        <v>0</v>
      </c>
      <c r="C8" s="163"/>
      <c r="D8" s="164">
        <f>MRS!D8</f>
        <v>0</v>
      </c>
      <c r="E8" s="165"/>
      <c r="F8" s="166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2">
        <f>MRS!B9</f>
        <v>0</v>
      </c>
      <c r="C9" s="163"/>
      <c r="D9" s="164">
        <f>MRS!D9</f>
        <v>0</v>
      </c>
      <c r="E9" s="165"/>
      <c r="F9" s="166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38" zoomScale="130" zoomScaleNormal="100" zoomScaleSheetLayoutView="130" workbookViewId="0">
      <selection activeCell="I31" sqref="I3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3" customFormat="1" ht="13.5">
      <c r="B9" s="71" t="s">
        <v>32</v>
      </c>
      <c r="C9" s="72" t="s">
        <v>111</v>
      </c>
      <c r="D9" s="38"/>
      <c r="E9" s="38"/>
    </row>
    <row r="10" spans="2:13" s="38" customFormat="1">
      <c r="B10" s="71"/>
      <c r="C10" s="38" t="s">
        <v>33</v>
      </c>
      <c r="D10" s="75" t="s">
        <v>112</v>
      </c>
      <c r="J10" s="38" t="s">
        <v>34</v>
      </c>
      <c r="K10" s="173">
        <f>MRS!L3</f>
        <v>45769</v>
      </c>
      <c r="L10" s="174"/>
      <c r="M10" s="174"/>
    </row>
    <row r="11" spans="2:13" s="38" customFormat="1">
      <c r="B11" s="71"/>
      <c r="C11" s="74" t="s">
        <v>35</v>
      </c>
      <c r="D11" s="75" t="s">
        <v>113</v>
      </c>
      <c r="J11" s="38" t="s">
        <v>36</v>
      </c>
      <c r="K11" s="175" t="str">
        <f>SUBSTITUTE(SUBSTITUTE(+MRS!A3,"  MRS No : ",""),"-MRS","-PO")</f>
        <v>SAC2-DS-PO-0053</v>
      </c>
      <c r="L11" s="175"/>
      <c r="M11" s="175"/>
    </row>
    <row r="12" spans="2:13" s="38" customFormat="1">
      <c r="B12" s="71"/>
      <c r="C12" s="74" t="s">
        <v>37</v>
      </c>
      <c r="D12" s="38" t="s">
        <v>114</v>
      </c>
      <c r="J12" s="38" t="s">
        <v>38</v>
      </c>
    </row>
    <row r="13" spans="2:13" s="38" customFormat="1">
      <c r="B13" s="71"/>
      <c r="C13" s="76"/>
      <c r="D13" s="75" t="s">
        <v>116</v>
      </c>
      <c r="J13" s="38" t="s">
        <v>39</v>
      </c>
    </row>
    <row r="14" spans="2:13" s="38" customFormat="1">
      <c r="B14" s="71"/>
      <c r="C14" s="76" t="s">
        <v>117</v>
      </c>
      <c r="J14" s="38" t="s">
        <v>40</v>
      </c>
      <c r="K14" s="38" t="s">
        <v>119</v>
      </c>
    </row>
    <row r="15" spans="2:13" s="38" customFormat="1">
      <c r="B15" s="71"/>
      <c r="C15" s="76" t="s">
        <v>118</v>
      </c>
      <c r="J15" s="38" t="s">
        <v>41</v>
      </c>
      <c r="K15" s="77">
        <v>45757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8" customFormat="1" ht="15" customHeight="1">
      <c r="B26" s="72"/>
      <c r="C26" s="75" t="s">
        <v>110</v>
      </c>
      <c r="M26" s="78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24">
        <f>'PO 2nd page'!G18</f>
        <v>490</v>
      </c>
      <c r="G29" s="124"/>
      <c r="H29" s="124"/>
      <c r="M29" s="33"/>
    </row>
    <row r="30" spans="2:13" ht="15" customHeight="1">
      <c r="B30" s="32"/>
      <c r="C30" s="26" t="s">
        <v>51</v>
      </c>
      <c r="E30" s="26" t="s">
        <v>50</v>
      </c>
      <c r="F30" s="124">
        <f>'PO 2nd page'!G19</f>
        <v>73.5</v>
      </c>
      <c r="G30" s="124"/>
      <c r="H30" s="124"/>
    </row>
    <row r="31" spans="2:13" ht="15" customHeight="1">
      <c r="B31" s="32"/>
      <c r="C31" s="26" t="s">
        <v>52</v>
      </c>
      <c r="D31" s="34"/>
      <c r="E31" s="26" t="s">
        <v>50</v>
      </c>
      <c r="F31" s="124">
        <f>'PO 2nd page'!G20</f>
        <v>563.5</v>
      </c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5" t="s">
        <v>60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61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62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63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64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8" customFormat="1" ht="15" customHeight="1">
      <c r="B49" s="79" t="s">
        <v>66</v>
      </c>
      <c r="C49" s="80" t="s">
        <v>102</v>
      </c>
      <c r="P49" s="81"/>
    </row>
    <row r="50" spans="1:16" s="82" customFormat="1" ht="15" customHeight="1">
      <c r="B50" s="83" t="s">
        <v>66</v>
      </c>
      <c r="C50" s="80" t="s">
        <v>95</v>
      </c>
    </row>
    <row r="51" spans="1:16" s="82" customFormat="1" ht="15" customHeight="1">
      <c r="B51" s="83" t="s">
        <v>66</v>
      </c>
      <c r="C51" s="80" t="s">
        <v>94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Ahmad Salih</v>
      </c>
    </row>
    <row r="60" spans="1:16" ht="18" customHeight="1">
      <c r="B60" s="26" t="s">
        <v>72</v>
      </c>
      <c r="J60" s="26" t="s">
        <v>73</v>
      </c>
      <c r="K60" s="22" t="s">
        <v>115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0" t="str">
        <f>C9</f>
        <v>ECI(Engineering Corner for Inspection Co. Ltd.)</v>
      </c>
      <c r="K62" s="180"/>
      <c r="L62" s="180"/>
      <c r="M62" s="180"/>
    </row>
    <row r="63" spans="1:16" ht="27.95" customHeight="1">
      <c r="A63" s="172" t="s">
        <v>77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13" sqref="B13:C13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78</v>
      </c>
      <c r="B2" s="46" t="str">
        <f>+'PO 1st page'!K11</f>
        <v>SAC2-DS-PO-0053</v>
      </c>
      <c r="C2" s="183" t="s">
        <v>79</v>
      </c>
      <c r="D2" s="183"/>
      <c r="E2" s="183"/>
      <c r="F2" s="183"/>
      <c r="G2" s="47"/>
      <c r="H2" s="47"/>
    </row>
    <row r="3" spans="1:13" s="53" customFormat="1" ht="28.5" customHeight="1" thickBot="1">
      <c r="A3" s="48" t="s">
        <v>80</v>
      </c>
      <c r="B3" s="49">
        <f>+'PO 1st page'!K10</f>
        <v>45769</v>
      </c>
      <c r="C3" s="50"/>
      <c r="D3" s="51"/>
      <c r="E3" s="184" t="s">
        <v>81</v>
      </c>
      <c r="F3" s="184"/>
      <c r="G3" s="184"/>
      <c r="H3" s="184"/>
      <c r="I3" s="52"/>
    </row>
    <row r="4" spans="1:13" s="54" customFormat="1" ht="28.5" customHeight="1" thickTop="1">
      <c r="A4" s="185" t="s">
        <v>82</v>
      </c>
      <c r="B4" s="187" t="s">
        <v>83</v>
      </c>
      <c r="C4" s="188"/>
      <c r="D4" s="191" t="s">
        <v>84</v>
      </c>
      <c r="E4" s="191" t="s">
        <v>85</v>
      </c>
      <c r="F4" s="193" t="str">
        <f>'PO 1st page'!C9</f>
        <v>ECI(Engineering Corner for Inspection Co. Ltd.)</v>
      </c>
      <c r="G4" s="194"/>
      <c r="H4" s="195" t="s">
        <v>86</v>
      </c>
      <c r="K4" s="55"/>
      <c r="L4" s="55"/>
      <c r="M4" s="55"/>
    </row>
    <row r="5" spans="1:13" s="54" customFormat="1" ht="21.95" customHeight="1">
      <c r="A5" s="186"/>
      <c r="B5" s="189"/>
      <c r="C5" s="190"/>
      <c r="D5" s="192"/>
      <c r="E5" s="192"/>
      <c r="F5" s="56" t="s">
        <v>87</v>
      </c>
      <c r="G5" s="56" t="s">
        <v>52</v>
      </c>
      <c r="H5" s="196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1" t="str">
        <f>+'MRS LIST'!B6</f>
        <v>Visual Inspection of Webbing Sling</v>
      </c>
      <c r="C6" s="182"/>
      <c r="D6" s="85" t="str">
        <f>+'MRS LIST'!G6</f>
        <v>EA</v>
      </c>
      <c r="E6" s="86">
        <f>+'MRS LIST'!H6</f>
        <v>22</v>
      </c>
      <c r="F6" s="87">
        <f>+'MRS LIST'!I6</f>
        <v>15</v>
      </c>
      <c r="G6" s="88">
        <f>+'MRS LIST'!J6</f>
        <v>330</v>
      </c>
      <c r="H6" s="89"/>
      <c r="K6" s="90"/>
      <c r="L6" s="91"/>
      <c r="M6" s="55"/>
    </row>
    <row r="7" spans="1:13" s="54" customFormat="1" ht="32.1" customHeight="1">
      <c r="A7" s="84">
        <f t="shared" si="0"/>
        <v>2</v>
      </c>
      <c r="B7" s="181" t="str">
        <f>+'MRS LIST'!B7</f>
        <v>Visual Inspection of Chain Block</v>
      </c>
      <c r="C7" s="182"/>
      <c r="D7" s="85" t="str">
        <f>+'MRS LIST'!G7</f>
        <v>EA</v>
      </c>
      <c r="E7" s="86">
        <f>+'MRS LIST'!H7</f>
        <v>4</v>
      </c>
      <c r="F7" s="87">
        <f>+'MRS LIST'!I7</f>
        <v>40</v>
      </c>
      <c r="G7" s="88">
        <f>+'MRS LIST'!J7</f>
        <v>160</v>
      </c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1"/>
      <c r="C8" s="182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1"/>
      <c r="C9" s="182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1"/>
      <c r="C10" s="182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1"/>
      <c r="C11" s="182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1"/>
      <c r="C12" s="202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1"/>
      <c r="C13" s="202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1"/>
      <c r="C14" s="202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1"/>
      <c r="C15" s="202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1"/>
      <c r="C16" s="202"/>
      <c r="D16" s="93"/>
      <c r="E16" s="94"/>
      <c r="F16" s="95"/>
      <c r="G16" s="96"/>
      <c r="H16" s="97"/>
      <c r="J16" s="54" t="s">
        <v>105</v>
      </c>
    </row>
    <row r="17" spans="1:13" s="54" customFormat="1" ht="32.1" customHeight="1">
      <c r="A17" s="92">
        <f t="shared" si="0"/>
        <v>12</v>
      </c>
      <c r="B17" s="201"/>
      <c r="C17" s="202"/>
      <c r="D17" s="93"/>
      <c r="E17" s="94"/>
      <c r="F17" s="95"/>
      <c r="G17" s="96"/>
      <c r="H17" s="97"/>
    </row>
    <row r="18" spans="1:13" s="54" customFormat="1" ht="23.1" customHeight="1">
      <c r="A18" s="197" t="s">
        <v>88</v>
      </c>
      <c r="B18" s="198"/>
      <c r="C18" s="198"/>
      <c r="D18" s="198"/>
      <c r="E18" s="198"/>
      <c r="F18" s="198"/>
      <c r="G18" s="57">
        <f>SUM(G6:G17)</f>
        <v>490</v>
      </c>
      <c r="H18" s="58"/>
    </row>
    <row r="19" spans="1:13" s="54" customFormat="1" ht="23.1" customHeight="1">
      <c r="A19" s="197" t="s">
        <v>51</v>
      </c>
      <c r="B19" s="198"/>
      <c r="C19" s="198"/>
      <c r="D19" s="198"/>
      <c r="E19" s="198"/>
      <c r="F19" s="198"/>
      <c r="G19" s="57">
        <f>+G18*0.15</f>
        <v>73.5</v>
      </c>
      <c r="H19" s="58"/>
    </row>
    <row r="20" spans="1:13" s="54" customFormat="1" ht="24.95" customHeight="1" thickBot="1">
      <c r="A20" s="199" t="s">
        <v>89</v>
      </c>
      <c r="B20" s="200"/>
      <c r="C20" s="200"/>
      <c r="D20" s="200"/>
      <c r="E20" s="200"/>
      <c r="F20" s="200"/>
      <c r="G20" s="59">
        <f>G19+G18</f>
        <v>563.5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ECI-QT-00145/25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90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2" t="s">
        <v>91</v>
      </c>
      <c r="B24" s="172"/>
      <c r="C24" s="172"/>
      <c r="D24" s="172"/>
      <c r="E24" s="172"/>
      <c r="F24" s="172"/>
      <c r="G24" s="172"/>
      <c r="H24" s="172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2025-04-23T04:41:59Z</cp:lastPrinted>
  <dcterms:created xsi:type="dcterms:W3CDTF">2024-10-20T11:50:19Z</dcterms:created>
  <dcterms:modified xsi:type="dcterms:W3CDTF">2025-04-23T04:44:45Z</dcterms:modified>
</cp:coreProperties>
</file>