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FB8B5F40-84DA-404B-A479-145AE0BE44A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7" i="4" l="1"/>
  <c r="H6" i="4"/>
  <c r="K59" i="3"/>
  <c r="E3" i="1"/>
  <c r="E7" i="4"/>
  <c r="D7" i="4"/>
  <c r="H7" i="2"/>
  <c r="G7" i="2"/>
  <c r="D7" i="2"/>
  <c r="B7" i="2"/>
  <c r="B7" i="4" s="1"/>
  <c r="J7" i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<sst xmlns="http://schemas.openxmlformats.org/spreadsheetml/2006/main" count="158" uniqueCount="125">
  <si>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</si>
  <si>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</si>
  <si>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</si>
  <si>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</si>
  <si>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</si>
  <si>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</si>
  <si>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</si>
  <si>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</si>
  <si>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</si>
  <si>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</si>
  <si>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</si>
  <si>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</si>
  <si>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</si>
  <si>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</si>
  <si>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</si>
  <si>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</si>
  <si>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</si>
  <si>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</si>
  <si>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</si>
  <si>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</si>
  <si>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</si>
  <si>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</si>
  <si>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</si>
  <si>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</si>
  <si>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</si>
  <si>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</si>
  <si>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</si>
  <si>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</si>
  <si>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</si>
  <si>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</si>
  <si>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</si>
  <si>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</si>
  <si>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</si>
  <si>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</si>
  <si>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</si>
  <si>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</si>
  <si>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</si>
  <si>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</si>
  <si>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</si>
  <si>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</si>
  <si>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</si>
  <si>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</si>
  <si>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</si>
  <si>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</si>
  <si>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</si>
  <si>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</si>
  <si>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</si>
  <si>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</si>
  <si>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</si>
  <si>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</si>
  <si>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</si>
  <si>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</si>
  <si>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</si>
  <si>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</si>
  <si>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</si>
  <si>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</si>
  <si>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</si>
  <si>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</si>
  <si>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</si>
  <si>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</si>
  <si>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</si>
  <si>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</si>
  <si>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</si>
  <si>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</si>
  <si>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</si>
  <si>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</si>
  <si>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</si>
  <si>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</si>
  <si>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</si>
  <si>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</si>
  <si>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</si>
  <si>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</si>
  <si>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</si>
  <si>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</si>
  <si>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</si>
  <si>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</si>
  <si>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</si>
  <si>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</si>
  <si>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</si>
  <si>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</si>
  <si>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</si>
  <si>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</si>
  <si>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</si>
  <si>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</si>
  <si>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</si>
  <si>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</si>
  <si>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</si>
  <si>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</si>
  <si>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</si>
  <si>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</si>
  <si>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</si>
  <si>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</si>
  <si>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</si>
  <si>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</si>
  <si>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</si>
  <si>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</si>
  <si>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</si>
  <si>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</si>
  <si>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</si>
  <si>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t>Mob. &amp; De-Mob. / per unit - lump sum</t>
    <phoneticPr fontId="3" type="noConversion"/>
  </si>
  <si>
    <t>L / S</t>
    <phoneticPr fontId="10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</si>
  <si>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</si>
  <si>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</si>
  <si>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</si>
  <si>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One Time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</si>
  <si>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</si>
  <si>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</si>
  <si>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</si>
  <si>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</si>
  <si>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Manlift</t>
  </si>
  <si>
    <t>Manlift Mob &amp; De-Mob. Charge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</si>
  <si>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</si>
  <si>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-MRS-0122</t>
    </r>
  </si>
  <si>
    <t>43 Mtr Articulated Manlift with Operator</t>
  </si>
  <si>
    <t>SHAA</t>
  </si>
  <si>
    <t>QT-000781 R1</t>
  </si>
  <si>
    <t>SHAA('Sami Hassan Abdullah Al-Somali General Cont. Est.)</t>
  </si>
  <si>
    <t>2055023449</t>
  </si>
  <si>
    <t>301298195600003</t>
  </si>
  <si>
    <t>Equinz</t>
  </si>
  <si>
    <t>+966 55 338 7230 / Email:equinzsa.com</t>
  </si>
  <si>
    <t>Bldg No . 8681, P.O.Box 2749, Tebah District , Al Jubail 35513, KSA</t>
  </si>
  <si>
    <t>Mobile : +966 55 338 7230</t>
  </si>
  <si>
    <t>43 Mtr Atriculated Manlift with Operator</t>
  </si>
  <si>
    <t>Sales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</si>
</sst>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54" fillId="3" borderId="0" xfId="5" applyFont="1" applyFill="1"/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10026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26605" y="4983079"/>
              <a:ext cx="3780423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I8" sqref="I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106</v>
      </c>
      <c r="B1" s="110"/>
      <c r="C1" s="110"/>
      <c r="D1" s="110"/>
      <c r="E1" s="110"/>
      <c r="F1" s="110"/>
      <c r="G1" s="1"/>
      <c r="J1" s="125" t="s">
        <v>92</v>
      </c>
      <c r="K1" s="126"/>
      <c r="L1" s="127"/>
    </row>
    <row r="2" spans="1:19" ht="20.100000000000001" customHeight="1">
      <c r="A2" s="3" t="s">
        <v>1</v>
      </c>
      <c r="B2" s="101"/>
      <c r="C2" s="101"/>
      <c r="D2" s="3" t="s">
        <v>107</v>
      </c>
      <c r="E2" s="101"/>
      <c r="F2" s="101"/>
      <c r="G2" s="101"/>
      <c r="H2" s="101"/>
      <c r="I2" s="4"/>
      <c r="J2" s="141" t="s">
        <v>105</v>
      </c>
      <c r="K2" s="142"/>
      <c r="L2" s="143"/>
    </row>
    <row r="3" spans="1:19" ht="20.100000000000001" customHeight="1">
      <c r="A3" s="3" t="s">
        <v>112</v>
      </c>
      <c r="B3" s="101"/>
      <c r="C3" s="101"/>
      <c r="D3" s="101"/>
      <c r="E3" s="128">
        <f>+L3</f>
        <v>45906</v>
      </c>
      <c r="F3" s="128"/>
      <c r="G3" s="128"/>
      <c r="H3" s="128"/>
      <c r="I3" s="128"/>
      <c r="J3" s="101"/>
      <c r="K3" s="101"/>
      <c r="L3" s="122">
        <v>45906</v>
      </c>
      <c r="M3" s="4"/>
    </row>
    <row r="4" spans="1:19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97</v>
      </c>
      <c r="J4" s="129" t="s">
        <v>98</v>
      </c>
      <c r="K4" s="139" t="s">
        <v>0</v>
      </c>
      <c r="L4" s="130" t="s">
        <v>7</v>
      </c>
    </row>
    <row r="5" spans="1:19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19" ht="22.5" customHeight="1">
      <c r="A6" s="5">
        <f t="shared" ref="A6:A15" si="0">ROW(A1)</f>
        <v>1</v>
      </c>
      <c r="B6" s="144" t="s">
        <v>109</v>
      </c>
      <c r="C6" s="145"/>
      <c r="D6" s="146" t="s">
        <v>113</v>
      </c>
      <c r="E6" s="147"/>
      <c r="F6" s="148"/>
      <c r="G6" s="111" t="s">
        <v>93</v>
      </c>
      <c r="H6" s="112">
        <v>1</v>
      </c>
      <c r="I6" s="113">
        <v>32500</v>
      </c>
      <c r="J6" s="113">
        <f>H6*I6</f>
        <v>32500</v>
      </c>
      <c r="K6" s="114" t="s">
        <v>114</v>
      </c>
      <c r="L6" s="115" t="s">
        <v>103</v>
      </c>
      <c r="S6" s="106"/>
    </row>
    <row r="7" spans="1:19" ht="22.5" customHeight="1">
      <c r="A7" s="5">
        <f t="shared" si="0"/>
        <v>2</v>
      </c>
      <c r="B7" s="144" t="s">
        <v>110</v>
      </c>
      <c r="C7" s="145"/>
      <c r="D7" s="149" t="s">
        <v>99</v>
      </c>
      <c r="E7" s="147"/>
      <c r="F7" s="148"/>
      <c r="G7" s="111" t="s">
        <v>100</v>
      </c>
      <c r="H7" s="112">
        <v>1</v>
      </c>
      <c r="I7" s="113">
        <v>4000</v>
      </c>
      <c r="J7" s="113">
        <f>H7*I7</f>
        <v>4000</v>
      </c>
      <c r="K7" s="114" t="s">
        <v>111</v>
      </c>
      <c r="L7" s="115" t="s">
        <v>104</v>
      </c>
      <c r="S7" s="106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2" t="s">
        <v>8</v>
      </c>
      <c r="B16" s="153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36500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O9" sqref="O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101</v>
      </c>
      <c r="B1" s="100"/>
      <c r="C1" s="100"/>
      <c r="D1" s="100"/>
      <c r="E1" s="100"/>
      <c r="F1" s="100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1" t="str">
        <f>+MRS!J2</f>
        <v>Subcontract name (SAC2-SC-IK-SMP-01)</v>
      </c>
      <c r="K2" s="143"/>
    </row>
    <row r="3" spans="1:18" ht="24.95" customHeight="1">
      <c r="A3" s="3" t="str">
        <f>+MRS!A3</f>
        <v xml:space="preserve">  MRS No : SAC2-DS-MRS-0122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45906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94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Manlift</v>
      </c>
      <c r="C6" s="163"/>
      <c r="D6" s="164" t="str">
        <f>MRS!D6</f>
        <v>43 Mtr Articulated Manlift with Operator</v>
      </c>
      <c r="E6" s="165"/>
      <c r="F6" s="166"/>
      <c r="G6" s="103" t="str">
        <f>MRS!G6</f>
        <v>Month</v>
      </c>
      <c r="H6" s="103">
        <f>MRS!H6</f>
        <v>1</v>
      </c>
      <c r="I6" s="104">
        <f>MRS!I6</f>
        <v>32500</v>
      </c>
      <c r="J6" s="104">
        <f>MRS!J6</f>
        <v>32500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2" t="str">
        <f>MRS!B7</f>
        <v>Manlift Mob &amp; De-Mob. Charge</v>
      </c>
      <c r="C7" s="163"/>
      <c r="D7" s="164" t="str">
        <f>MRS!D7</f>
        <v>Mob. &amp; De-Mob. / per unit - lump sum</v>
      </c>
      <c r="E7" s="165"/>
      <c r="F7" s="166"/>
      <c r="G7" s="103" t="str">
        <f>MRS!G7</f>
        <v>L / S</v>
      </c>
      <c r="H7" s="103">
        <f>MRS!H7</f>
        <v>1</v>
      </c>
      <c r="I7" s="104">
        <f>MRS!I7</f>
        <v>4000</v>
      </c>
      <c r="J7" s="104">
        <f>MRS!J7</f>
        <v>4000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7"/>
      <c r="C8" s="168"/>
      <c r="D8" s="169"/>
      <c r="E8" s="170"/>
      <c r="F8" s="171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7"/>
      <c r="C9" s="168"/>
      <c r="D9" s="169"/>
      <c r="E9" s="170"/>
      <c r="F9" s="171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7"/>
      <c r="C10" s="168"/>
      <c r="D10" s="169"/>
      <c r="E10" s="170"/>
      <c r="F10" s="171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7"/>
      <c r="C11" s="168"/>
      <c r="D11" s="169"/>
      <c r="E11" s="170"/>
      <c r="F11" s="171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SheetLayoutView="130" workbookViewId="0">
      <selection activeCell="D16" sqref="D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3.285156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116</v>
      </c>
      <c r="D9" s="39"/>
      <c r="E9" s="39"/>
    </row>
    <row r="10" spans="2:13" s="39" customFormat="1">
      <c r="B10" s="72"/>
      <c r="C10" s="39" t="s">
        <v>33</v>
      </c>
      <c r="D10" s="76" t="s">
        <v>117</v>
      </c>
      <c r="J10" s="39" t="s">
        <v>34</v>
      </c>
      <c r="K10" s="173">
        <f>MRS!L3</f>
        <v>45906</v>
      </c>
      <c r="L10" s="174"/>
      <c r="M10" s="174"/>
    </row>
    <row r="11" spans="2:13" s="39" customFormat="1">
      <c r="B11" s="72"/>
      <c r="C11" s="75" t="s">
        <v>35</v>
      </c>
      <c r="D11" s="76" t="s">
        <v>118</v>
      </c>
      <c r="J11" s="39" t="s">
        <v>36</v>
      </c>
      <c r="K11" s="175" t="str">
        <f>SUBSTITUTE(SUBSTITUTE(+MRS!A3,"  MRS No : ",""),"-MRS","-PO")</f>
        <v>SAC2-DS-PO-0122</v>
      </c>
      <c r="L11" s="175"/>
      <c r="M11" s="175"/>
    </row>
    <row r="12" spans="2:13" s="39" customFormat="1">
      <c r="B12" s="72"/>
      <c r="C12" s="75" t="s">
        <v>37</v>
      </c>
      <c r="D12" s="39" t="s">
        <v>119</v>
      </c>
      <c r="J12" s="39" t="s">
        <v>38</v>
      </c>
    </row>
    <row r="13" spans="2:13" s="39" customFormat="1">
      <c r="B13" s="72"/>
      <c r="C13" s="77"/>
      <c r="D13" s="76" t="s">
        <v>120</v>
      </c>
      <c r="J13" s="39" t="s">
        <v>39</v>
      </c>
    </row>
    <row r="14" spans="2:13" s="39" customFormat="1">
      <c r="B14" s="72"/>
      <c r="C14" s="77" t="s">
        <v>121</v>
      </c>
      <c r="J14" s="39" t="s">
        <v>40</v>
      </c>
      <c r="K14" s="39" t="s">
        <v>115</v>
      </c>
    </row>
    <row r="15" spans="2:13" s="39" customFormat="1">
      <c r="B15" s="72"/>
      <c r="C15" s="77" t="s">
        <v>122</v>
      </c>
      <c r="J15" s="39" t="s">
        <v>41</v>
      </c>
      <c r="K15" s="78">
        <v>45902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123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102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108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46.5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Equinz</v>
      </c>
    </row>
    <row r="60" spans="1:16" ht="18" customHeight="1">
      <c r="B60" s="26" t="s">
        <v>72</v>
      </c>
      <c r="J60" s="26" t="s">
        <v>73</v>
      </c>
      <c r="K60" s="22" t="s">
        <v>124</v>
      </c>
    </row>
    <row r="61" spans="1:16" ht="15" customHeight="1">
      <c r="B61" s="26" t="s">
        <v>74</v>
      </c>
      <c r="J61" s="26" t="s">
        <v>75</v>
      </c>
    </row>
    <row r="62" spans="1:16" s="28" customFormat="1" ht="15" customHeight="1">
      <c r="B62" s="25" t="s">
        <v>76</v>
      </c>
      <c r="J62" s="203" t="str">
        <f>C9</f>
        <v>SHAA('Sami Hassan Abdullah Al-Somali General Cont. Est.)</v>
      </c>
    </row>
    <row r="63" spans="1:16" ht="14.2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A20" sqref="A20:F2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SAC2-DS-PO-0122</v>
      </c>
      <c r="C2" s="183" t="s">
        <v>79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45906</v>
      </c>
      <c r="C3" s="51"/>
      <c r="D3" s="52"/>
      <c r="E3" s="184" t="s">
        <v>81</v>
      </c>
      <c r="F3" s="184"/>
      <c r="G3" s="184"/>
      <c r="H3" s="184"/>
      <c r="I3" s="53"/>
    </row>
    <row r="4" spans="1:13" s="55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SHAA('Sami Hassan Abdullah Al-Somali General Cont. Est.)</v>
      </c>
      <c r="G4" s="194"/>
      <c r="H4" s="195" t="s">
        <v>86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87</v>
      </c>
      <c r="G5" s="57" t="s">
        <v>52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7" t="str">
        <f>CONCATENATE(MRS!B6," ",MRS!D6)</f>
        <v>Manlift 43 Mtr Articulated Manlift with Operator</v>
      </c>
      <c r="C6" s="198"/>
      <c r="D6" s="86" t="str">
        <f>+'MRS LIST'!G6</f>
        <v>Month</v>
      </c>
      <c r="E6" s="87">
        <f>+'MRS LIST'!H6</f>
        <v>1</v>
      </c>
      <c r="F6" s="88">
        <f>+'MRS LIST'!I6</f>
        <v>32500</v>
      </c>
      <c r="G6" s="89">
        <f>+'MRS LIST'!J6</f>
        <v>32500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7" t="str">
        <f>+'MRS LIST'!B7</f>
        <v>Manlift Mob &amp; De-Mob. Charge</v>
      </c>
      <c r="C7" s="198"/>
      <c r="D7" s="86" t="str">
        <f>+'MRS LIST'!G7</f>
        <v>L / S</v>
      </c>
      <c r="E7" s="87">
        <f>+'MRS LIST'!H7</f>
        <v>1</v>
      </c>
      <c r="F7" s="88">
        <f>+'MRS LIST'!I7</f>
        <v>4000</v>
      </c>
      <c r="G7" s="89">
        <f>+'MRS LIST'!J7</f>
        <v>4000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1"/>
      <c r="C10" s="182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1"/>
      <c r="C12" s="18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1"/>
      <c r="C13" s="18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1"/>
      <c r="C14" s="18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1"/>
      <c r="C15" s="18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1"/>
      <c r="C16" s="18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1"/>
      <c r="C17" s="182"/>
      <c r="D17" s="94"/>
      <c r="E17" s="95"/>
      <c r="F17" s="96"/>
      <c r="G17" s="97"/>
      <c r="H17" s="98"/>
    </row>
    <row r="18" spans="1:13" s="55" customFormat="1" ht="23.1" customHeight="1">
      <c r="A18" s="199" t="s">
        <v>88</v>
      </c>
      <c r="B18" s="200"/>
      <c r="C18" s="200"/>
      <c r="D18" s="200"/>
      <c r="E18" s="200"/>
      <c r="F18" s="200"/>
      <c r="G18" s="58">
        <f>SUM(G6:G17)</f>
        <v>36500</v>
      </c>
      <c r="H18" s="59"/>
    </row>
    <row r="19" spans="1:13" s="55" customFormat="1" ht="23.1" customHeight="1">
      <c r="A19" s="199" t="s">
        <v>51</v>
      </c>
      <c r="B19" s="200"/>
      <c r="C19" s="200"/>
      <c r="D19" s="200"/>
      <c r="E19" s="200"/>
      <c r="F19" s="200"/>
      <c r="G19" s="58">
        <f>+G18*0.15</f>
        <v>5475</v>
      </c>
      <c r="H19" s="59"/>
    </row>
    <row r="20" spans="1:13" s="55" customFormat="1" ht="24.95" customHeight="1" thickBot="1">
      <c r="A20" s="201" t="s">
        <v>89</v>
      </c>
      <c r="B20" s="202"/>
      <c r="C20" s="202"/>
      <c r="D20" s="202"/>
      <c r="E20" s="202"/>
      <c r="F20" s="202"/>
      <c r="G20" s="60">
        <f>G19+G18</f>
        <v>41975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QT-000781 R1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2025-09-06T05:44:11Z</cp:lastPrinted>
  <dcterms:created xsi:type="dcterms:W3CDTF">2024-10-20T11:50:19Z</dcterms:created>
  <dcterms:modified xsi:type="dcterms:W3CDTF">2025-09-06T05:52:38Z</dcterms:modified>
</cp:coreProperties>
</file>