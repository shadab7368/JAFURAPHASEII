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32DDBA5D-2337-4D25-BFCB-6497D4A892A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6" i="4"/>
  <c r="H6" i="4" l="1"/>
  <c r="K59" i="3"/>
  <c r="E3" i="1"/>
  <c r="J7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<sst xmlns="http://schemas.openxmlformats.org/spreadsheetml/2006/main" count="152" uniqueCount="117">
  <si>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</si>
  <si>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</si>
  <si>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</si>
  <si>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</si>
  <si>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</si>
  <si>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</si>
  <si>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</si>
  <si>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</si>
  <si>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</si>
  <si>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</si>
  <si>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</si>
  <si>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</si>
  <si>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</si>
  <si>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</si>
  <si>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</si>
  <si>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</si>
  <si>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</si>
  <si>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</si>
  <si>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</si>
  <si>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</si>
  <si>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</si>
  <si>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</si>
  <si>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</si>
  <si>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</si>
  <si>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</si>
  <si>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</si>
  <si>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</si>
  <si>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</si>
  <si>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</si>
  <si>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</si>
  <si>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</si>
  <si>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</si>
  <si>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</si>
  <si>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</si>
  <si>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</si>
  <si>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</si>
  <si>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</si>
  <si>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</si>
  <si>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</si>
  <si>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</si>
  <si>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</si>
  <si>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</si>
  <si>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</si>
  <si>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</si>
  <si>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</si>
  <si>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</si>
  <si>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</si>
  <si>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</si>
  <si>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</si>
  <si>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</si>
  <si>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</si>
  <si>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</si>
  <si>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</si>
  <si>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</si>
  <si>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</si>
  <si>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</si>
  <si>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</si>
  <si>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</si>
  <si>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</si>
  <si>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</si>
  <si>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</si>
  <si>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</si>
  <si>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</si>
  <si>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</si>
  <si>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</si>
  <si>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</si>
  <si>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</si>
  <si>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</si>
  <si>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</si>
  <si>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</si>
  <si>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</si>
  <si>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</si>
  <si>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</si>
  <si>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</si>
  <si>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</si>
  <si>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</si>
  <si>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</si>
  <si>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</si>
  <si>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</si>
  <si>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</si>
  <si>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</si>
  <si>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</si>
  <si>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</si>
  <si>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</si>
  <si>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</si>
  <si>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</si>
  <si>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</si>
  <si>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</si>
  <si>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</si>
  <si>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</si>
  <si>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</si>
  <si>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</si>
  <si>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</si>
  <si>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</si>
  <si>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</si>
  <si>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</si>
  <si>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</si>
  <si>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</si>
  <si>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</si>
  <si>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</si>
  <si>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</si>
  <si>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</si>
  <si>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</si>
  <si>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</si>
  <si>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</si>
  <si>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-MRS-0128</t>
    </r>
  </si>
  <si>
    <t>TE_10 Manual Torquing Training</t>
  </si>
  <si>
    <t>AIEC</t>
  </si>
  <si>
    <t>00706880</t>
  </si>
  <si>
    <t>2055009696</t>
  </si>
  <si>
    <t>301293282200003</t>
  </si>
  <si>
    <t>Muhammed Hidayat</t>
  </si>
  <si>
    <t>+966 56 638 6076 / Email:abdul.hidayat@atlascopco.com</t>
  </si>
  <si>
    <t>Senior Sales Engineer</t>
  </si>
  <si>
    <t>AIEC('Atlas Industrial Equipment Company)</t>
  </si>
  <si>
    <t>Industries-Road 116, 3549 area, 7783, Al Jubail 35724, KSA</t>
  </si>
  <si>
    <t>Mobile : +966 56 638 6076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</si>
</sst>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4" fillId="3" borderId="0" xfId="5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26" t="s">
        <v>92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102</v>
      </c>
      <c r="E2" s="101"/>
      <c r="F2" s="101"/>
      <c r="G2" s="101"/>
      <c r="H2" s="101"/>
      <c r="I2" s="4"/>
      <c r="J2" s="142" t="s">
        <v>100</v>
      </c>
      <c r="K2" s="143"/>
      <c r="L2" s="144"/>
    </row>
    <row r="3" spans="1:19" ht="20.100000000000001" customHeight="1">
      <c r="A3" s="3" t="s">
        <v>105</v>
      </c>
      <c r="B3" s="101"/>
      <c r="C3" s="101"/>
      <c r="D3" s="101"/>
      <c r="E3" s="129">
        <f>+L3</f>
        <v>45923</v>
      </c>
      <c r="F3" s="129"/>
      <c r="G3" s="129"/>
      <c r="H3" s="129"/>
      <c r="I3" s="129"/>
      <c r="J3" s="101"/>
      <c r="K3" s="101"/>
      <c r="L3" s="122">
        <v>45923</v>
      </c>
      <c r="M3" s="4"/>
    </row>
    <row r="4" spans="1:19" ht="15.95" customHeight="1">
      <c r="A4" s="130" t="s">
        <v>2</v>
      </c>
      <c r="B4" s="131" t="s">
        <v>3</v>
      </c>
      <c r="C4" s="131"/>
      <c r="D4" s="132" t="s">
        <v>4</v>
      </c>
      <c r="E4" s="133"/>
      <c r="F4" s="134"/>
      <c r="G4" s="138" t="s">
        <v>5</v>
      </c>
      <c r="H4" s="140" t="s">
        <v>6</v>
      </c>
      <c r="I4" s="140" t="s">
        <v>96</v>
      </c>
      <c r="J4" s="130" t="s">
        <v>97</v>
      </c>
      <c r="K4" s="140" t="s">
        <v>0</v>
      </c>
      <c r="L4" s="131" t="s">
        <v>7</v>
      </c>
    </row>
    <row r="5" spans="1:19" ht="15.95" customHeight="1">
      <c r="A5" s="130"/>
      <c r="B5" s="131"/>
      <c r="C5" s="131"/>
      <c r="D5" s="135"/>
      <c r="E5" s="136"/>
      <c r="F5" s="137"/>
      <c r="G5" s="139"/>
      <c r="H5" s="141"/>
      <c r="I5" s="141"/>
      <c r="J5" s="130"/>
      <c r="K5" s="141"/>
      <c r="L5" s="131"/>
    </row>
    <row r="6" spans="1:19" ht="22.5" customHeight="1">
      <c r="A6" s="5">
        <f t="shared" ref="A6:A15" si="0">ROW(A1)</f>
        <v>1</v>
      </c>
      <c r="B6" s="145" t="s">
        <v>106</v>
      </c>
      <c r="C6" s="146"/>
      <c r="D6" s="147"/>
      <c r="E6" s="148"/>
      <c r="F6" s="149"/>
      <c r="G6" s="111" t="s">
        <v>104</v>
      </c>
      <c r="H6" s="112">
        <v>15</v>
      </c>
      <c r="I6" s="113">
        <v>1500</v>
      </c>
      <c r="J6" s="113">
        <f>H6*I6</f>
        <v>22500</v>
      </c>
      <c r="K6" s="114" t="s">
        <v>107</v>
      </c>
      <c r="L6" s="115" t="s">
        <v>99</v>
      </c>
      <c r="S6" s="106"/>
    </row>
    <row r="7" spans="1:19" ht="22.5" customHeight="1">
      <c r="A7" s="5">
        <f t="shared" si="0"/>
        <v>2</v>
      </c>
      <c r="B7" s="145"/>
      <c r="C7" s="146"/>
      <c r="D7" s="150"/>
      <c r="E7" s="148"/>
      <c r="F7" s="149"/>
      <c r="G7" s="111"/>
      <c r="H7" s="112"/>
      <c r="I7" s="113"/>
      <c r="J7" s="113">
        <f>H7*I7</f>
        <v>0</v>
      </c>
      <c r="K7" s="114"/>
      <c r="L7" s="115"/>
      <c r="S7" s="106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22500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SAC2-DS-MRS-0128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45923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93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TE_10 Manual Torquing Training</v>
      </c>
      <c r="C6" s="164"/>
      <c r="D6" s="165">
        <f>MRS!D6</f>
        <v>0</v>
      </c>
      <c r="E6" s="166"/>
      <c r="F6" s="167"/>
      <c r="G6" s="103" t="str">
        <f>MRS!G6</f>
        <v>EA</v>
      </c>
      <c r="H6" s="103">
        <f>MRS!H6</f>
        <v>15</v>
      </c>
      <c r="I6" s="104">
        <f>MRS!I6</f>
        <v>1500</v>
      </c>
      <c r="J6" s="104">
        <f>MRS!J6</f>
        <v>22500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/>
      <c r="C7" s="164"/>
      <c r="D7" s="165"/>
      <c r="E7" s="166"/>
      <c r="F7" s="167"/>
      <c r="G7" s="103"/>
      <c r="H7" s="103"/>
      <c r="I7" s="104"/>
      <c r="J7" s="104"/>
      <c r="K7" s="105"/>
      <c r="O7" s="106"/>
      <c r="P7" s="106"/>
      <c r="R7" s="106"/>
    </row>
    <row r="8" spans="1:18" ht="105" customHeight="1">
      <c r="A8" s="21">
        <f>+MRS!A8</f>
        <v>3</v>
      </c>
      <c r="B8" s="168"/>
      <c r="C8" s="169"/>
      <c r="D8" s="170"/>
      <c r="E8" s="171"/>
      <c r="F8" s="172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8"/>
      <c r="C9" s="169"/>
      <c r="D9" s="170"/>
      <c r="E9" s="171"/>
      <c r="F9" s="172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8"/>
      <c r="C10" s="169"/>
      <c r="D10" s="170"/>
      <c r="E10" s="171"/>
      <c r="F10" s="172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8"/>
      <c r="C11" s="169"/>
      <c r="D11" s="170"/>
      <c r="E11" s="171"/>
      <c r="F11" s="172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C16" sqref="C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114</v>
      </c>
      <c r="D9" s="39"/>
      <c r="E9" s="39"/>
    </row>
    <row r="10" spans="2:13" s="39" customFormat="1">
      <c r="B10" s="72"/>
      <c r="C10" s="39" t="s">
        <v>33</v>
      </c>
      <c r="D10" s="76" t="s">
        <v>109</v>
      </c>
      <c r="J10" s="39" t="s">
        <v>34</v>
      </c>
      <c r="K10" s="174">
        <f>MRS!L3</f>
        <v>45923</v>
      </c>
      <c r="L10" s="175"/>
      <c r="M10" s="175"/>
    </row>
    <row r="11" spans="2:13" s="39" customFormat="1">
      <c r="B11" s="72"/>
      <c r="C11" s="75" t="s">
        <v>35</v>
      </c>
      <c r="D11" s="76" t="s">
        <v>110</v>
      </c>
      <c r="J11" s="39" t="s">
        <v>36</v>
      </c>
      <c r="K11" s="176" t="str">
        <f>SUBSTITUTE(SUBSTITUTE(+MRS!A3,"  MRS No : ",""),"-MRS","-PO")</f>
        <v>SAC2-DS-PO-0128</v>
      </c>
      <c r="L11" s="176"/>
      <c r="M11" s="176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115</v>
      </c>
      <c r="J14" s="39" t="s">
        <v>40</v>
      </c>
      <c r="K14" s="76" t="s">
        <v>108</v>
      </c>
    </row>
    <row r="15" spans="2:13" s="39" customFormat="1">
      <c r="B15" s="72"/>
      <c r="C15" s="77" t="s">
        <v>116</v>
      </c>
      <c r="J15" s="39" t="s">
        <v>41</v>
      </c>
      <c r="K15" s="78">
        <v>45911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106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99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103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46.5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Hidayat</v>
      </c>
    </row>
    <row r="60" spans="1:16" ht="18" customHeight="1">
      <c r="B60" s="26" t="s">
        <v>72</v>
      </c>
      <c r="J60" s="26" t="s">
        <v>73</v>
      </c>
      <c r="K60" s="22" t="s">
        <v>113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5" t="str">
        <f>C9</f>
        <v>AIEC('Atlas Industrial Equipment Company)</v>
      </c>
    </row>
    <row r="63" spans="1:16" ht="14.2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7" sqref="D7:H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SAC2-DS-PO-0128</v>
      </c>
      <c r="C2" s="184" t="s">
        <v>79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45923</v>
      </c>
      <c r="C3" s="51"/>
      <c r="D3" s="52"/>
      <c r="E3" s="185" t="s">
        <v>81</v>
      </c>
      <c r="F3" s="185"/>
      <c r="G3" s="185"/>
      <c r="H3" s="185"/>
      <c r="I3" s="53"/>
    </row>
    <row r="4" spans="1:13" s="55" customFormat="1" ht="28.5" customHeight="1" thickTop="1">
      <c r="A4" s="186" t="s">
        <v>82</v>
      </c>
      <c r="B4" s="188" t="s">
        <v>83</v>
      </c>
      <c r="C4" s="189"/>
      <c r="D4" s="192" t="s">
        <v>84</v>
      </c>
      <c r="E4" s="192" t="s">
        <v>85</v>
      </c>
      <c r="F4" s="194" t="str">
        <f>'PO 1st page'!C9</f>
        <v>AIEC('Atlas Industrial Equipment Company)</v>
      </c>
      <c r="G4" s="195"/>
      <c r="H4" s="196" t="s">
        <v>86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87</v>
      </c>
      <c r="G5" s="57" t="s">
        <v>52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8" t="str">
        <f>CONCATENATE(MRS!B6," ",MRS!D6)</f>
        <v xml:space="preserve">TE_10 Manual Torquing Training </v>
      </c>
      <c r="C6" s="199"/>
      <c r="D6" s="86" t="str">
        <f>+'MRS LIST'!G6</f>
        <v>EA</v>
      </c>
      <c r="E6" s="87">
        <f>+'MRS LIST'!H6</f>
        <v>15</v>
      </c>
      <c r="F6" s="88">
        <f>+'MRS LIST'!I6</f>
        <v>1500</v>
      </c>
      <c r="G6" s="89">
        <f>+'MRS LIST'!J6</f>
        <v>22500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8" t="str">
        <f>CONCATENATE(MRS!B7," ",MRS!D7)</f>
        <v xml:space="preserve"> </v>
      </c>
      <c r="C7" s="19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2"/>
      <c r="C10" s="183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2"/>
      <c r="C12" s="18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2"/>
      <c r="C13" s="18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2"/>
      <c r="C14" s="18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2"/>
      <c r="C15" s="18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2"/>
      <c r="C16" s="18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2"/>
      <c r="C17" s="183"/>
      <c r="D17" s="94"/>
      <c r="E17" s="95"/>
      <c r="F17" s="96"/>
      <c r="G17" s="97"/>
      <c r="H17" s="98"/>
    </row>
    <row r="18" spans="1:13" s="55" customFormat="1" ht="23.1" customHeight="1">
      <c r="A18" s="200" t="s">
        <v>88</v>
      </c>
      <c r="B18" s="201"/>
      <c r="C18" s="201"/>
      <c r="D18" s="201"/>
      <c r="E18" s="201"/>
      <c r="F18" s="201"/>
      <c r="G18" s="58">
        <f>SUM(G6:G17)</f>
        <v>22500</v>
      </c>
      <c r="H18" s="59"/>
    </row>
    <row r="19" spans="1:13" s="55" customFormat="1" ht="23.1" customHeight="1">
      <c r="A19" s="200" t="s">
        <v>51</v>
      </c>
      <c r="B19" s="201"/>
      <c r="C19" s="201"/>
      <c r="D19" s="201"/>
      <c r="E19" s="201"/>
      <c r="F19" s="201"/>
      <c r="G19" s="58">
        <f>+G18*0.15</f>
        <v>3375</v>
      </c>
      <c r="H19" s="59"/>
    </row>
    <row r="20" spans="1:13" s="55" customFormat="1" ht="24.95" customHeight="1" thickBot="1">
      <c r="A20" s="202" t="s">
        <v>89</v>
      </c>
      <c r="B20" s="203"/>
      <c r="C20" s="203"/>
      <c r="D20" s="203"/>
      <c r="E20" s="203"/>
      <c r="F20" s="203"/>
      <c r="G20" s="60">
        <f>G19+G18</f>
        <v>25875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00706880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2025-09-23T05:09:40Z</cp:lastPrinted>
  <dcterms:created xsi:type="dcterms:W3CDTF">2024-10-20T11:50:19Z</dcterms:created>
  <dcterms:modified xsi:type="dcterms:W3CDTF">2025-09-23T06:00:57Z</dcterms:modified>
</cp:coreProperties>
</file>