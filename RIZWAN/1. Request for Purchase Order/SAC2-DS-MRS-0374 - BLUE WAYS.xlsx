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8F57B26-F1EA-4C2C-A972-CA08167D8858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6" i="3"/>
  <c r="F6" i="4"/>
  <c r="E6" i="4"/>
  <c r="D6" i="4"/>
  <c r="B15" i="4"/>
  <c r="B14" i="4"/>
  <c r="B13" i="4"/>
  <c r="B12" i="4"/>
  <c r="B11" i="4"/>
  <c r="B10" i="4"/>
  <c r="B9" i="4"/>
  <c r="B8" i="4"/>
  <c r="B7" i="4"/>
  <c r="B6" i="4"/>
  <c r="A15" i="1"/>
  <c r="A14" i="1"/>
  <c r="A13" i="1"/>
  <c r="A12" i="1"/>
  <c r="A11" i="1"/>
  <c r="A10" i="1"/>
  <c r="A9" i="1"/>
  <c r="A8" i="1"/>
  <c r="I30" i="2" l="1"/>
  <c r="H30" i="2"/>
  <c r="G30" i="2"/>
  <c r="F30" i="2"/>
  <c r="C30" i="2"/>
  <c r="I29" i="2"/>
  <c r="H29" i="2"/>
  <c r="G29" i="2"/>
  <c r="F29" i="2"/>
  <c r="C29" i="2"/>
  <c r="I28" i="2"/>
  <c r="H28" i="2"/>
  <c r="G28" i="2"/>
  <c r="F28" i="2"/>
  <c r="C28" i="2"/>
  <c r="I27" i="2"/>
  <c r="H27" i="2"/>
  <c r="G27" i="2"/>
  <c r="F27" i="2"/>
  <c r="C27" i="2"/>
  <c r="I26" i="2"/>
  <c r="H26" i="2"/>
  <c r="G26" i="2"/>
  <c r="F26" i="2"/>
  <c r="C26" i="2"/>
  <c r="I25" i="2"/>
  <c r="H25" i="2"/>
  <c r="G25" i="2"/>
  <c r="F25" i="2"/>
  <c r="C25" i="2"/>
  <c r="I24" i="2"/>
  <c r="H24" i="2"/>
  <c r="G24" i="2"/>
  <c r="F24" i="2"/>
  <c r="C24" i="2"/>
  <c r="I23" i="2"/>
  <c r="H23" i="2"/>
  <c r="G23" i="2"/>
  <c r="F23" i="2"/>
  <c r="C23" i="2"/>
  <c r="I22" i="2"/>
  <c r="H22" i="2"/>
  <c r="G22" i="2"/>
  <c r="F22" i="2"/>
  <c r="C22" i="2"/>
  <c r="A22" i="2" l="1"/>
  <c r="A23" i="2"/>
  <c r="A24" i="2"/>
  <c r="A25" i="2"/>
  <c r="A26" i="2"/>
  <c r="A27" i="2"/>
  <c r="A28" i="2"/>
  <c r="A29" i="2"/>
  <c r="A30" i="2"/>
  <c r="J23" i="2"/>
  <c r="J24" i="2"/>
  <c r="J25" i="2"/>
  <c r="J26" i="2"/>
  <c r="J27" i="2"/>
  <c r="J28" i="2"/>
  <c r="J29" i="2"/>
  <c r="J30" i="2"/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13" i="2"/>
  <c r="H14" i="2"/>
  <c r="H15" i="2"/>
  <c r="H16" i="2"/>
  <c r="H17" i="2"/>
  <c r="H18" i="2"/>
  <c r="H19" i="2"/>
  <c r="H20" i="2"/>
  <c r="H21" i="2"/>
  <c r="G14" i="2"/>
  <c r="G15" i="2"/>
  <c r="G16" i="2"/>
  <c r="G17" i="2"/>
  <c r="G18" i="2"/>
  <c r="G19" i="2"/>
  <c r="G20" i="2"/>
  <c r="G21" i="2"/>
  <c r="D21" i="2"/>
  <c r="D19" i="2"/>
  <c r="D20" i="2"/>
  <c r="D18" i="2"/>
  <c r="D17" i="2"/>
  <c r="D16" i="2"/>
  <c r="B16" i="2"/>
  <c r="B17" i="2"/>
  <c r="B18" i="2"/>
  <c r="B19" i="2"/>
  <c r="B20" i="2"/>
  <c r="B21" i="2"/>
  <c r="P54" i="3"/>
  <c r="G6" i="4" l="1"/>
  <c r="G16" i="4" s="1"/>
  <c r="J22" i="2"/>
  <c r="J21" i="2"/>
  <c r="J20" i="2"/>
  <c r="J19" i="2"/>
  <c r="J18" i="2"/>
  <c r="J17" i="2"/>
  <c r="J16" i="2"/>
  <c r="A16" i="2"/>
  <c r="A17" i="2"/>
  <c r="A18" i="2"/>
  <c r="A19" i="2"/>
  <c r="A20" i="2"/>
  <c r="A21" i="2"/>
  <c r="A13" i="4"/>
  <c r="A14" i="4"/>
  <c r="A15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9" i="2"/>
  <c r="A10" i="2"/>
  <c r="A11" i="2"/>
  <c r="A12" i="2"/>
  <c r="A13" i="2"/>
  <c r="A14" i="2"/>
  <c r="A15" i="2"/>
  <c r="A12" i="4"/>
  <c r="J12" i="2"/>
  <c r="J13" i="2"/>
  <c r="J14" i="2"/>
  <c r="J15" i="2"/>
  <c r="J10" i="2" l="1"/>
  <c r="J9" i="2"/>
  <c r="J8" i="2"/>
  <c r="J7" i="2"/>
  <c r="J11" i="2" l="1"/>
  <c r="K67" i="3"/>
  <c r="J6" i="1" l="1"/>
  <c r="J16" i="1" s="1"/>
  <c r="K10" i="3"/>
  <c r="A19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6" i="2" l="1"/>
  <c r="G17" i="4" l="1"/>
  <c r="F30" i="3" s="1"/>
  <c r="F29" i="3"/>
  <c r="G18" i="4" l="1"/>
  <c r="F31" i="3" s="1"/>
</calcChain>
</file>

<file path=xl/sharedStrings.xml><?xml version="1.0" encoding="utf-8"?>
<sst xmlns="http://schemas.openxmlformats.org/spreadsheetml/2006/main" count="165" uniqueCount="135">
  <si>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</si>
  <si>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</si>
  <si>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</si>
  <si>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</si>
  <si>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</si>
  <si>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</si>
  <si>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</si>
  <si>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</si>
  <si>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</si>
  <si>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</si>
  <si>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</si>
  <si>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</si>
  <si>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</si>
  <si>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</si>
  <si>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</si>
  <si>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</si>
  <si>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</si>
  <si>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</si>
  <si>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</si>
  <si>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</si>
  <si>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</si>
  <si>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</si>
  <si>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</si>
  <si>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</si>
  <si>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</si>
  <si>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</si>
  <si>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</si>
  <si>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</si>
  <si>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</si>
  <si>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</si>
  <si>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</si>
  <si>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</si>
  <si>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</si>
  <si>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</si>
  <si>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</si>
  <si>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</si>
  <si>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</si>
  <si>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</si>
  <si>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</si>
  <si>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</si>
  <si>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</si>
  <si>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</si>
  <si>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</si>
  <si>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</si>
  <si>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</si>
  <si>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</si>
  <si>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</si>
  <si>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</si>
  <si>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</si>
  <si>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</si>
  <si>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</si>
  <si>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</si>
  <si>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</si>
  <si>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</si>
  <si>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</si>
  <si>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</si>
  <si>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</si>
  <si>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</si>
  <si>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</si>
  <si>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</si>
  <si>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</si>
  <si>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</si>
  <si>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</si>
  <si>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</si>
  <si>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</si>
  <si>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</si>
  <si>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</si>
  <si>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</si>
  <si>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</si>
  <si>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</si>
  <si>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</si>
  <si>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</si>
  <si>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</si>
  <si>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</si>
  <si>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</si>
  <si>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</si>
  <si>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</si>
  <si>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</si>
  <si>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</si>
  <si>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</si>
  <si>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</si>
  <si>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</si>
  <si>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</si>
  <si>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</si>
  <si>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</si>
  <si>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</si>
  <si>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</si>
  <si>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</si>
  <si>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</si>
  <si>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</si>
  <si>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</si>
  <si>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</si>
  <si>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Landline : +99 13 8022775. : Mobile : +966 583694645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</si>
  <si>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</si>
  <si>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</si>
  <si>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</si>
  <si>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</si>
  <si>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</si>
  <si>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</si>
  <si>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</si>
  <si>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</si>
  <si>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</si>
  <si>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</si>
  <si>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</si>
  <si>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</si>
  <si>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</si>
  <si>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</si>
  <si>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</si>
  <si>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</si>
  <si>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</si>
  <si>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</si>
  <si>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</si>
  <si>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</si>
  <si>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</si>
  <si>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</si>
  <si>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</si>
  <si>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Color Copier</t>
  </si>
  <si>
    <t>Canon 5560 (60CPM)</t>
  </si>
  <si>
    <t>BAWC</t>
  </si>
  <si>
    <t>BAWC(Blue Arabian Ways Co.)</t>
  </si>
  <si>
    <t>QT-BWC-2026-732</t>
  </si>
  <si>
    <t>BLUE ARABIA WAYS CO.</t>
  </si>
  <si>
    <t>3024097749940</t>
  </si>
  <si>
    <t>SA55 2000 0003 0240 9774 9940</t>
  </si>
  <si>
    <t>RIYAD BANK</t>
  </si>
  <si>
    <t>RIBLSARI</t>
  </si>
  <si>
    <t>Mustafa Abdul Hadi</t>
  </si>
  <si>
    <t>Mobile No: +966 531957882 / email: bluearabiaways@gmail.com</t>
  </si>
  <si>
    <t>28th Dammam Ash Sharqiyah 32426, 3792 Saudi Arabia</t>
  </si>
  <si>
    <t>Manager</t>
  </si>
  <si>
    <t>311461390400003</t>
  </si>
  <si>
    <t>2051242967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</si>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</sst>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0" fontId="25" fillId="3" borderId="0" xfId="5" quotePrefix="1" applyFont="1" applyFill="1" applyAlignment="1">
      <alignment horizontal="left"/>
    </xf>
    <xf numFmtId="171" fontId="52" fillId="3" borderId="0" xfId="5" applyNumberFormat="1" applyFont="1" applyFill="1"/>
    <xf numFmtId="0" fontId="53" fillId="0" borderId="14" xfId="0" applyFont="1" applyBorder="1" applyAlignment="1">
      <alignment vertical="center" wrapText="1"/>
    </xf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53" fillId="0" borderId="14" xfId="0" applyFont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0" xfId="0" applyFont="1" applyFill="1">
      <alignment vertical="center"/>
    </xf>
    <xf numFmtId="0" fontId="12" fillId="3" borderId="40" xfId="0" applyFont="1" applyFill="1" applyBorder="1">
      <alignment vertical="center"/>
    </xf>
    <xf numFmtId="0" fontId="12" fillId="3" borderId="10" xfId="0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65" fontId="47" fillId="2" borderId="7" xfId="1" applyNumberFormat="1" applyFont="1" applyFill="1" applyBorder="1" applyAlignment="1">
      <alignment horizontal="left" vertical="center"/>
    </xf>
    <xf numFmtId="14" fontId="58" fillId="0" borderId="7" xfId="3" applyNumberFormat="1" applyFont="1" applyBorder="1" applyAlignment="1">
      <alignment horizontal="right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982579</xdr:colOff>
          <xdr:row>17</xdr:row>
          <xdr:rowOff>72189</xdr:rowOff>
        </xdr:from>
        <xdr:to>
          <xdr:col>11</xdr:col>
          <xdr:colOff>1635292</xdr:colOff>
          <xdr:row>23</xdr:row>
          <xdr:rowOff>310314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8AEDADC-FCEA-5890-05FE-46B0F295179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4658" y="4844715"/>
              <a:ext cx="8924423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85546875" style="2" customWidth="1"/>
    <col min="20" max="22" width="13.5703125" style="2" customWidth="1"/>
    <col min="23" max="23" width="8.42578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87" t="s">
        <v>132</v>
      </c>
      <c r="B1" s="188"/>
      <c r="C1" s="188"/>
      <c r="D1" s="188"/>
      <c r="E1" s="94"/>
      <c r="F1" s="94"/>
      <c r="G1" s="1"/>
      <c r="J1" s="126" t="s">
        <v>81</v>
      </c>
      <c r="K1" s="127"/>
      <c r="L1" s="128"/>
    </row>
    <row r="2" spans="1:19" ht="20.100000000000001" customHeight="1">
      <c r="A2" s="3" t="s">
        <v>1</v>
      </c>
      <c r="B2" s="88"/>
      <c r="C2" s="88"/>
      <c r="D2" s="3" t="s">
        <v>133</v>
      </c>
      <c r="E2" s="88"/>
      <c r="F2" s="88"/>
      <c r="G2" s="88"/>
      <c r="H2" s="88"/>
      <c r="I2" s="4"/>
      <c r="J2" s="129" t="s">
        <v>89</v>
      </c>
      <c r="K2" s="130"/>
      <c r="L2" s="131"/>
    </row>
    <row r="3" spans="1:19" ht="20.100000000000001" customHeight="1">
      <c r="A3" s="3" t="s">
        <v>134</v>
      </c>
      <c r="B3" s="88"/>
      <c r="C3" s="88"/>
      <c r="D3" s="88"/>
      <c r="E3" s="189">
        <f>L3+3</f>
        <v>46241</v>
      </c>
      <c r="F3" s="189"/>
      <c r="G3" s="189"/>
      <c r="H3" s="189"/>
      <c r="I3" s="189"/>
      <c r="J3" s="88"/>
      <c r="K3" s="88"/>
      <c r="L3" s="190">
        <v>46238</v>
      </c>
      <c r="M3" s="4"/>
    </row>
    <row r="4" spans="1:19" ht="21.75" customHeight="1">
      <c r="A4" s="135" t="s">
        <v>2</v>
      </c>
      <c r="B4" s="125" t="s">
        <v>3</v>
      </c>
      <c r="C4" s="125"/>
      <c r="D4" s="135" t="s">
        <v>4</v>
      </c>
      <c r="E4" s="135"/>
      <c r="F4" s="135"/>
      <c r="G4" s="125" t="s">
        <v>5</v>
      </c>
      <c r="H4" s="135" t="s">
        <v>6</v>
      </c>
      <c r="I4" s="135" t="s">
        <v>85</v>
      </c>
      <c r="J4" s="135" t="s">
        <v>86</v>
      </c>
      <c r="K4" s="135" t="s">
        <v>0</v>
      </c>
      <c r="L4" s="125" t="s">
        <v>7</v>
      </c>
    </row>
    <row r="5" spans="1:19" ht="21.75" customHeight="1">
      <c r="A5" s="135"/>
      <c r="B5" s="125"/>
      <c r="C5" s="125"/>
      <c r="D5" s="135"/>
      <c r="E5" s="135"/>
      <c r="F5" s="135"/>
      <c r="G5" s="125"/>
      <c r="H5" s="135"/>
      <c r="I5" s="135"/>
      <c r="J5" s="135"/>
      <c r="K5" s="135"/>
      <c r="L5" s="125"/>
    </row>
    <row r="6" spans="1:19" ht="19.5" customHeight="1">
      <c r="A6" s="98">
        <f t="shared" ref="A6:A15" si="0">ROW(A1)</f>
        <v>1</v>
      </c>
      <c r="B6" s="115" t="s">
        <v>116</v>
      </c>
      <c r="C6" s="114"/>
      <c r="D6" s="132" t="s">
        <v>117</v>
      </c>
      <c r="E6" s="133"/>
      <c r="F6" s="134"/>
      <c r="G6" s="99" t="s">
        <v>88</v>
      </c>
      <c r="H6" s="100">
        <v>2</v>
      </c>
      <c r="I6" s="101">
        <v>15600</v>
      </c>
      <c r="J6" s="101">
        <f>H6*I6</f>
        <v>31200</v>
      </c>
      <c r="K6" s="102" t="s">
        <v>118</v>
      </c>
      <c r="L6" s="103" t="s">
        <v>91</v>
      </c>
      <c r="S6" s="93"/>
    </row>
    <row r="7" spans="1:19" ht="19.5" customHeight="1">
      <c r="A7" s="98">
        <f t="shared" si="0"/>
        <v>2</v>
      </c>
      <c r="B7" s="115"/>
      <c r="C7" s="116"/>
      <c r="D7" s="132"/>
      <c r="E7" s="133"/>
      <c r="F7" s="134"/>
      <c r="G7" s="99"/>
      <c r="H7" s="100"/>
      <c r="I7" s="101"/>
      <c r="J7" s="101"/>
      <c r="K7" s="102"/>
      <c r="L7" s="103"/>
      <c r="S7" s="93"/>
    </row>
    <row r="8" spans="1:19" ht="19.5" customHeight="1">
      <c r="A8" s="98">
        <f t="shared" si="0"/>
        <v>3</v>
      </c>
      <c r="B8" s="115"/>
      <c r="C8" s="116"/>
      <c r="D8" s="132"/>
      <c r="E8" s="133"/>
      <c r="F8" s="134"/>
      <c r="G8" s="99"/>
      <c r="H8" s="100"/>
      <c r="I8" s="101"/>
      <c r="J8" s="101"/>
      <c r="K8" s="102"/>
      <c r="L8" s="103"/>
      <c r="S8" s="93"/>
    </row>
    <row r="9" spans="1:19" ht="19.5" customHeight="1">
      <c r="A9" s="98">
        <f t="shared" si="0"/>
        <v>4</v>
      </c>
      <c r="B9" s="115"/>
      <c r="C9" s="116"/>
      <c r="D9" s="132"/>
      <c r="E9" s="133"/>
      <c r="F9" s="134"/>
      <c r="G9" s="99"/>
      <c r="H9" s="100"/>
      <c r="I9" s="101"/>
      <c r="J9" s="101"/>
      <c r="K9" s="102"/>
      <c r="L9" s="103"/>
      <c r="S9" s="93"/>
    </row>
    <row r="10" spans="1:19" ht="19.5" customHeight="1">
      <c r="A10" s="98">
        <f t="shared" si="0"/>
        <v>5</v>
      </c>
      <c r="B10" s="115"/>
      <c r="C10" s="116"/>
      <c r="D10" s="132"/>
      <c r="E10" s="133"/>
      <c r="F10" s="134"/>
      <c r="G10" s="99"/>
      <c r="H10" s="100"/>
      <c r="I10" s="101"/>
      <c r="J10" s="101"/>
      <c r="K10" s="102"/>
      <c r="L10" s="99"/>
      <c r="S10" s="93"/>
    </row>
    <row r="11" spans="1:19" ht="19.5" customHeight="1">
      <c r="A11" s="98">
        <f t="shared" si="0"/>
        <v>6</v>
      </c>
      <c r="B11" s="115"/>
      <c r="C11" s="116"/>
      <c r="D11" s="132"/>
      <c r="E11" s="133"/>
      <c r="F11" s="134"/>
      <c r="G11" s="99"/>
      <c r="H11" s="100"/>
      <c r="I11" s="101"/>
      <c r="J11" s="101"/>
      <c r="K11" s="102"/>
      <c r="L11" s="103"/>
      <c r="S11" s="93"/>
    </row>
    <row r="12" spans="1:19" ht="19.5" customHeight="1">
      <c r="A12" s="98">
        <f t="shared" si="0"/>
        <v>7</v>
      </c>
      <c r="B12" s="115"/>
      <c r="C12" s="116"/>
      <c r="D12" s="132"/>
      <c r="E12" s="133"/>
      <c r="F12" s="134"/>
      <c r="G12" s="99"/>
      <c r="H12" s="100"/>
      <c r="I12" s="101"/>
      <c r="J12" s="101"/>
      <c r="K12" s="102"/>
      <c r="L12" s="103"/>
      <c r="S12" s="93"/>
    </row>
    <row r="13" spans="1:19" ht="19.5" customHeight="1">
      <c r="A13" s="98">
        <f t="shared" si="0"/>
        <v>8</v>
      </c>
      <c r="B13" s="115"/>
      <c r="C13" s="116"/>
      <c r="D13" s="132"/>
      <c r="E13" s="133"/>
      <c r="F13" s="134"/>
      <c r="G13" s="99"/>
      <c r="H13" s="100"/>
      <c r="I13" s="101"/>
      <c r="J13" s="101"/>
      <c r="K13" s="102"/>
      <c r="L13" s="103"/>
      <c r="S13" s="93"/>
    </row>
    <row r="14" spans="1:19" ht="19.5" customHeight="1">
      <c r="A14" s="98">
        <f t="shared" si="0"/>
        <v>9</v>
      </c>
      <c r="B14" s="115"/>
      <c r="C14" s="116"/>
      <c r="D14" s="132"/>
      <c r="E14" s="133"/>
      <c r="F14" s="134"/>
      <c r="G14" s="99"/>
      <c r="H14" s="100"/>
      <c r="I14" s="101"/>
      <c r="J14" s="101"/>
      <c r="K14" s="102"/>
      <c r="L14" s="103"/>
      <c r="S14" s="93"/>
    </row>
    <row r="15" spans="1:19" ht="19.5" customHeight="1">
      <c r="A15" s="98">
        <f t="shared" si="0"/>
        <v>10</v>
      </c>
      <c r="B15" s="115"/>
      <c r="C15" s="116"/>
      <c r="D15" s="132"/>
      <c r="E15" s="133"/>
      <c r="F15" s="134"/>
      <c r="G15" s="99"/>
      <c r="H15" s="100"/>
      <c r="I15" s="101"/>
      <c r="J15" s="101"/>
      <c r="K15" s="102"/>
      <c r="L15" s="99"/>
      <c r="S15" s="93"/>
    </row>
    <row r="16" spans="1:19" ht="19.5" customHeight="1">
      <c r="A16" s="118" t="s">
        <v>8</v>
      </c>
      <c r="B16" s="119"/>
      <c r="C16" s="106"/>
      <c r="D16" s="107"/>
      <c r="E16" s="107"/>
      <c r="F16" s="107"/>
      <c r="G16" s="108"/>
      <c r="H16" s="109"/>
      <c r="I16" s="105" t="s">
        <v>9</v>
      </c>
      <c r="J16" s="101">
        <f>SUM(J6:J15)</f>
        <v>31200</v>
      </c>
      <c r="K16" s="101"/>
      <c r="L16" s="104"/>
    </row>
    <row r="17" spans="1:26" ht="25.5" customHeight="1">
      <c r="A17" s="97" t="s">
        <v>10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 spans="1:26" ht="18" customHeight="1">
      <c r="A18" s="7"/>
      <c r="J18" s="1"/>
      <c r="K18" s="1"/>
      <c r="O18" s="8"/>
      <c r="P18" s="8"/>
      <c r="Q18" s="8"/>
      <c r="R18" s="8"/>
      <c r="S18" s="8"/>
      <c r="T18" s="8"/>
      <c r="U18" s="8"/>
      <c r="V18" s="8"/>
      <c r="W18" s="8"/>
      <c r="Y18" s="172"/>
      <c r="Z18" s="8"/>
    </row>
    <row r="19" spans="1:26" ht="50.1" customHeight="1">
      <c r="Y19" s="173"/>
    </row>
    <row r="20" spans="1:26" ht="15" customHeight="1">
      <c r="O20" s="174" t="s">
        <v>104</v>
      </c>
      <c r="P20" s="175"/>
      <c r="Q20" s="175"/>
      <c r="R20" s="176"/>
      <c r="S20" s="117"/>
      <c r="T20" s="174" t="s">
        <v>105</v>
      </c>
      <c r="U20" s="175"/>
      <c r="V20" s="175"/>
      <c r="W20" s="175"/>
      <c r="X20" s="175"/>
      <c r="Y20" s="176"/>
    </row>
    <row r="21" spans="1:26" ht="15" customHeight="1">
      <c r="O21" s="124" t="s">
        <v>106</v>
      </c>
      <c r="P21" s="121" t="s">
        <v>107</v>
      </c>
      <c r="Q21" s="124" t="s">
        <v>108</v>
      </c>
      <c r="R21" s="121" t="s">
        <v>109</v>
      </c>
      <c r="S21" s="117"/>
      <c r="T21" s="124" t="s">
        <v>110</v>
      </c>
      <c r="U21" s="121" t="s">
        <v>111</v>
      </c>
      <c r="V21" s="174" t="s">
        <v>112</v>
      </c>
      <c r="W21" s="175"/>
      <c r="X21" s="176"/>
      <c r="Y21" s="121" t="s">
        <v>113</v>
      </c>
    </row>
    <row r="22" spans="1:26" ht="18" customHeight="1">
      <c r="O22" s="122"/>
      <c r="P22" s="123"/>
      <c r="Q22" s="122"/>
      <c r="R22" s="123"/>
      <c r="S22" s="177"/>
      <c r="T22" s="122"/>
      <c r="U22" s="123"/>
      <c r="V22" s="10" t="s">
        <v>106</v>
      </c>
      <c r="W22" s="178" t="s">
        <v>114</v>
      </c>
      <c r="X22" s="179"/>
      <c r="Y22" s="123"/>
    </row>
    <row r="23" spans="1:26" ht="50.1" customHeight="1">
      <c r="O23" s="11"/>
      <c r="P23" s="11"/>
      <c r="Q23" s="11"/>
      <c r="R23" s="11"/>
      <c r="S23" s="117"/>
      <c r="T23" s="11"/>
      <c r="U23" s="11"/>
      <c r="V23" s="11"/>
      <c r="W23" s="174"/>
      <c r="X23" s="176"/>
      <c r="Y23" s="180"/>
    </row>
    <row r="24" spans="1:26" ht="36" customHeight="1">
      <c r="W24" s="181"/>
      <c r="X24" s="182" t="s">
        <v>115</v>
      </c>
      <c r="Y24" s="9" t="s">
        <v>113</v>
      </c>
    </row>
    <row r="25" spans="1:26" ht="50.1" customHeight="1">
      <c r="O25" s="183"/>
      <c r="P25" s="183"/>
      <c r="Q25" s="183"/>
      <c r="R25" s="183"/>
      <c r="S25" s="183"/>
      <c r="T25" s="183"/>
      <c r="U25" s="183"/>
      <c r="V25" s="183"/>
      <c r="W25" s="184"/>
      <c r="X25" s="185"/>
      <c r="Y25" s="186"/>
    </row>
    <row r="26" spans="1:26" ht="19.899999999999999" customHeight="1"/>
    <row r="27" spans="1:26" ht="17.45" customHeight="1">
      <c r="O27" s="120"/>
      <c r="P27" s="120"/>
      <c r="Q27" s="120"/>
    </row>
    <row r="28" spans="1:26" ht="19.899999999999999" customHeight="1">
      <c r="O28" s="120"/>
      <c r="P28" s="120"/>
      <c r="Q28" s="120"/>
    </row>
    <row r="29" spans="1:26" ht="14.25">
      <c r="O29" s="8"/>
      <c r="P29" s="8"/>
      <c r="Q29" s="8"/>
    </row>
    <row r="30" spans="1:26" ht="65.099999999999994" customHeight="1"/>
    <row r="31" spans="1:26" ht="14.25">
      <c r="O31" s="8"/>
      <c r="P31" s="8"/>
      <c r="Q31" s="8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1" t="s">
        <v>12</v>
      </c>
    </row>
    <row r="41" spans="15:22" ht="19.899999999999999" customHeight="1">
      <c r="T41" s="123"/>
    </row>
    <row r="42" spans="15:22" ht="64.900000000000006" customHeight="1">
      <c r="T42" s="11"/>
    </row>
    <row r="46" spans="15:22" ht="21" customHeight="1">
      <c r="O46" s="121" t="s">
        <v>12</v>
      </c>
      <c r="P46" s="121" t="s">
        <v>12</v>
      </c>
      <c r="Q46" s="121" t="s">
        <v>12</v>
      </c>
      <c r="T46" s="121" t="s">
        <v>13</v>
      </c>
      <c r="U46" s="121" t="s">
        <v>11</v>
      </c>
      <c r="V46" s="121" t="s">
        <v>12</v>
      </c>
    </row>
    <row r="47" spans="15:22" ht="21" customHeight="1">
      <c r="O47" s="123"/>
      <c r="P47" s="123"/>
      <c r="Q47" s="123"/>
      <c r="T47" s="122"/>
      <c r="U47" s="122"/>
      <c r="V47" s="123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21" t="s">
        <v>12</v>
      </c>
      <c r="P50" s="121" t="s">
        <v>12</v>
      </c>
      <c r="Q50" s="121" t="s">
        <v>12</v>
      </c>
      <c r="T50" s="121" t="s">
        <v>11</v>
      </c>
      <c r="U50" s="121" t="s">
        <v>13</v>
      </c>
      <c r="V50" s="121" t="s">
        <v>12</v>
      </c>
    </row>
    <row r="51" spans="15:22" ht="21" customHeight="1">
      <c r="O51" s="123"/>
      <c r="P51" s="123"/>
      <c r="Q51" s="123"/>
      <c r="T51" s="122"/>
      <c r="U51" s="122"/>
      <c r="V51" s="123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5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D15:F15"/>
    <mergeCell ref="A4:A5"/>
    <mergeCell ref="B4:C5"/>
    <mergeCell ref="D4:F5"/>
    <mergeCell ref="D7:F7"/>
    <mergeCell ref="D8:F8"/>
    <mergeCell ref="D9:F9"/>
    <mergeCell ref="D10:F10"/>
    <mergeCell ref="D11:F11"/>
    <mergeCell ref="D12:F12"/>
    <mergeCell ref="D13:F13"/>
    <mergeCell ref="D14:F14"/>
    <mergeCell ref="L4:L5"/>
    <mergeCell ref="J1:L1"/>
    <mergeCell ref="J2:L2"/>
    <mergeCell ref="E3:I3"/>
    <mergeCell ref="D6:F6"/>
    <mergeCell ref="G4:G5"/>
    <mergeCell ref="H4:H5"/>
    <mergeCell ref="I4:I5"/>
    <mergeCell ref="J4:J5"/>
    <mergeCell ref="K4:K5"/>
    <mergeCell ref="V46:V47"/>
    <mergeCell ref="O50:O51"/>
    <mergeCell ref="P50:P51"/>
    <mergeCell ref="Q50:Q51"/>
    <mergeCell ref="T50:T51"/>
    <mergeCell ref="U50:U51"/>
    <mergeCell ref="V50:V51"/>
    <mergeCell ref="O46:O47"/>
    <mergeCell ref="P46:P47"/>
    <mergeCell ref="Q46:Q47"/>
    <mergeCell ref="T46:T47"/>
    <mergeCell ref="A16:B16"/>
    <mergeCell ref="P27:P28"/>
    <mergeCell ref="Q27:Q28"/>
    <mergeCell ref="O27:O28"/>
    <mergeCell ref="U46:U47"/>
    <mergeCell ref="T40:T41"/>
    <mergeCell ref="P21:P22"/>
    <mergeCell ref="Q21:Q22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22" activePane="bottomLeft" state="frozen"/>
      <selection activeCell="D30" sqref="D30"/>
      <selection pane="bottomLeft" activeCell="J27" sqref="J2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5" t="s">
        <v>87</v>
      </c>
      <c r="B1" s="87"/>
      <c r="C1" s="87"/>
      <c r="D1" s="87"/>
      <c r="E1" s="87"/>
      <c r="F1" s="87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3"/>
      <c r="H2" s="13"/>
      <c r="I2" s="13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SAC2-DS-MRS-0374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46238</v>
      </c>
    </row>
    <row r="4" spans="1:18" ht="15.95" customHeight="1">
      <c r="A4" s="141" t="s">
        <v>2</v>
      </c>
      <c r="B4" s="142" t="s">
        <v>14</v>
      </c>
      <c r="C4" s="142"/>
      <c r="D4" s="141" t="s">
        <v>4</v>
      </c>
      <c r="E4" s="141"/>
      <c r="F4" s="141"/>
      <c r="G4" s="142" t="s">
        <v>5</v>
      </c>
      <c r="H4" s="141" t="s">
        <v>82</v>
      </c>
      <c r="I4" s="141" t="s">
        <v>15</v>
      </c>
      <c r="J4" s="141" t="s">
        <v>16</v>
      </c>
      <c r="K4" s="142" t="s">
        <v>7</v>
      </c>
    </row>
    <row r="5" spans="1:18" ht="15.95" customHeight="1">
      <c r="A5" s="141"/>
      <c r="B5" s="142"/>
      <c r="C5" s="142"/>
      <c r="D5" s="141"/>
      <c r="E5" s="141"/>
      <c r="F5" s="141"/>
      <c r="G5" s="142"/>
      <c r="H5" s="141"/>
      <c r="I5" s="141"/>
      <c r="J5" s="141"/>
      <c r="K5" s="142"/>
    </row>
    <row r="6" spans="1:18" ht="74.25" customHeight="1">
      <c r="A6" s="14">
        <f>+MRS!A6</f>
        <v>1</v>
      </c>
      <c r="B6" s="136" t="str">
        <f>MRS!B6</f>
        <v>Color Copier</v>
      </c>
      <c r="C6" s="137"/>
      <c r="D6" s="138" t="str">
        <f>MRS!D6</f>
        <v>Canon 5560 (60CPM)</v>
      </c>
      <c r="E6" s="139"/>
      <c r="F6" s="140"/>
      <c r="G6" s="90" t="str">
        <f>MRS!G6</f>
        <v>EA</v>
      </c>
      <c r="H6" s="90">
        <f>MRS!H6</f>
        <v>2</v>
      </c>
      <c r="I6" s="91">
        <f>MRS!I6</f>
        <v>15600</v>
      </c>
      <c r="J6" s="91">
        <f>MRS!J6</f>
        <v>31200</v>
      </c>
      <c r="K6" s="92"/>
      <c r="O6" s="93"/>
      <c r="P6" s="93"/>
      <c r="R6" s="93"/>
    </row>
    <row r="7" spans="1:18" ht="74.25" customHeight="1">
      <c r="A7" s="14">
        <f>+MRS!A7</f>
        <v>2</v>
      </c>
      <c r="B7" s="136">
        <f>MRS!B7</f>
        <v>0</v>
      </c>
      <c r="C7" s="137"/>
      <c r="D7" s="138">
        <f>MRS!D7</f>
        <v>0</v>
      </c>
      <c r="E7" s="139"/>
      <c r="F7" s="140"/>
      <c r="G7" s="90">
        <f>MRS!G7</f>
        <v>0</v>
      </c>
      <c r="H7" s="90">
        <f>MRS!H7</f>
        <v>0</v>
      </c>
      <c r="I7" s="91">
        <f>MRS!I7</f>
        <v>0</v>
      </c>
      <c r="J7" s="91">
        <f>MRS!J7</f>
        <v>0</v>
      </c>
      <c r="K7" s="92"/>
      <c r="O7" s="93"/>
      <c r="P7" s="93"/>
      <c r="R7" s="93"/>
    </row>
    <row r="8" spans="1:18" ht="74.25" customHeight="1">
      <c r="A8" s="14">
        <f>+MRS!A8</f>
        <v>3</v>
      </c>
      <c r="B8" s="136">
        <f>MRS!B8</f>
        <v>0</v>
      </c>
      <c r="C8" s="137"/>
      <c r="D8" s="138">
        <f>MRS!D8</f>
        <v>0</v>
      </c>
      <c r="E8" s="139"/>
      <c r="F8" s="140"/>
      <c r="G8" s="90">
        <f>MRS!G8</f>
        <v>0</v>
      </c>
      <c r="H8" s="90">
        <f>MRS!H8</f>
        <v>0</v>
      </c>
      <c r="I8" s="91">
        <f>MRS!I8</f>
        <v>0</v>
      </c>
      <c r="J8" s="91">
        <f>MRS!J8</f>
        <v>0</v>
      </c>
      <c r="K8" s="92"/>
      <c r="O8" s="93"/>
      <c r="P8" s="93"/>
      <c r="R8" s="93"/>
    </row>
    <row r="9" spans="1:18" ht="74.25" customHeight="1">
      <c r="A9" s="14">
        <f>+MRS!A9</f>
        <v>4</v>
      </c>
      <c r="B9" s="136">
        <f>MRS!B9</f>
        <v>0</v>
      </c>
      <c r="C9" s="137"/>
      <c r="D9" s="138">
        <f>MRS!D9</f>
        <v>0</v>
      </c>
      <c r="E9" s="139"/>
      <c r="F9" s="140"/>
      <c r="G9" s="90">
        <f>MRS!G9</f>
        <v>0</v>
      </c>
      <c r="H9" s="90">
        <f>MRS!H9</f>
        <v>0</v>
      </c>
      <c r="I9" s="91">
        <f>MRS!I9</f>
        <v>0</v>
      </c>
      <c r="J9" s="91">
        <f>MRS!J9</f>
        <v>0</v>
      </c>
      <c r="K9" s="92"/>
      <c r="O9" s="93"/>
      <c r="P9" s="93"/>
      <c r="R9" s="93"/>
    </row>
    <row r="10" spans="1:18" ht="74.25" customHeight="1">
      <c r="A10" s="14">
        <f>+MRS!A10</f>
        <v>5</v>
      </c>
      <c r="B10" s="136">
        <f>MRS!B10</f>
        <v>0</v>
      </c>
      <c r="C10" s="137"/>
      <c r="D10" s="138">
        <f>MRS!D10</f>
        <v>0</v>
      </c>
      <c r="E10" s="139"/>
      <c r="F10" s="140"/>
      <c r="G10" s="90">
        <f>MRS!G10</f>
        <v>0</v>
      </c>
      <c r="H10" s="90">
        <f>MRS!H10</f>
        <v>0</v>
      </c>
      <c r="I10" s="91">
        <f>MRS!I10</f>
        <v>0</v>
      </c>
      <c r="J10" s="91">
        <f>MRS!J10</f>
        <v>0</v>
      </c>
      <c r="K10" s="92"/>
      <c r="O10" s="93"/>
      <c r="P10" s="93"/>
      <c r="R10" s="93"/>
    </row>
    <row r="11" spans="1:18" ht="74.25" customHeight="1">
      <c r="A11" s="14">
        <f>+MRS!A11</f>
        <v>6</v>
      </c>
      <c r="B11" s="136">
        <f>MRS!B11</f>
        <v>0</v>
      </c>
      <c r="C11" s="137"/>
      <c r="D11" s="138">
        <f>MRS!D11</f>
        <v>0</v>
      </c>
      <c r="E11" s="139"/>
      <c r="F11" s="140"/>
      <c r="G11" s="90">
        <f>MRS!G11</f>
        <v>0</v>
      </c>
      <c r="H11" s="90">
        <f>MRS!H11</f>
        <v>0</v>
      </c>
      <c r="I11" s="91">
        <f>MRS!I11</f>
        <v>0</v>
      </c>
      <c r="J11" s="91">
        <f>MRS!J11</f>
        <v>0</v>
      </c>
      <c r="K11" s="92"/>
      <c r="O11" s="93"/>
      <c r="P11" s="93"/>
      <c r="R11" s="93"/>
    </row>
    <row r="12" spans="1:18" ht="74.25" customHeight="1">
      <c r="A12" s="14">
        <f>+MRS!A12</f>
        <v>7</v>
      </c>
      <c r="B12" s="136">
        <f>MRS!B12</f>
        <v>0</v>
      </c>
      <c r="C12" s="137"/>
      <c r="D12" s="138">
        <f>MRS!D12</f>
        <v>0</v>
      </c>
      <c r="E12" s="139"/>
      <c r="F12" s="140"/>
      <c r="G12" s="90">
        <f>MRS!G12</f>
        <v>0</v>
      </c>
      <c r="H12" s="90">
        <f>MRS!H12</f>
        <v>0</v>
      </c>
      <c r="I12" s="91">
        <f>MRS!I12</f>
        <v>0</v>
      </c>
      <c r="J12" s="91">
        <f>MRS!J12</f>
        <v>0</v>
      </c>
      <c r="K12" s="92"/>
      <c r="O12" s="93"/>
      <c r="P12" s="93"/>
      <c r="R12" s="93"/>
    </row>
    <row r="13" spans="1:18" ht="74.25" customHeight="1">
      <c r="A13" s="14">
        <f>+MRS!A13</f>
        <v>8</v>
      </c>
      <c r="B13" s="136">
        <f>MRS!B13</f>
        <v>0</v>
      </c>
      <c r="C13" s="137"/>
      <c r="D13" s="138">
        <f>MRS!D13</f>
        <v>0</v>
      </c>
      <c r="E13" s="139"/>
      <c r="F13" s="140"/>
      <c r="G13" s="90">
        <f>MRS!G13</f>
        <v>0</v>
      </c>
      <c r="H13" s="90">
        <f>MRS!H13</f>
        <v>0</v>
      </c>
      <c r="I13" s="91">
        <f>MRS!I13</f>
        <v>0</v>
      </c>
      <c r="J13" s="91">
        <f>MRS!J13</f>
        <v>0</v>
      </c>
      <c r="K13" s="92"/>
      <c r="O13" s="93"/>
      <c r="P13" s="93"/>
      <c r="R13" s="93"/>
    </row>
    <row r="14" spans="1:18" ht="74.25" customHeight="1">
      <c r="A14" s="14">
        <f>+MRS!A14</f>
        <v>9</v>
      </c>
      <c r="B14" s="136">
        <f>MRS!B14</f>
        <v>0</v>
      </c>
      <c r="C14" s="137"/>
      <c r="D14" s="138">
        <f>MRS!D14</f>
        <v>0</v>
      </c>
      <c r="E14" s="139"/>
      <c r="F14" s="140"/>
      <c r="G14" s="90">
        <f>MRS!G14</f>
        <v>0</v>
      </c>
      <c r="H14" s="90">
        <f>MRS!H14</f>
        <v>0</v>
      </c>
      <c r="I14" s="91">
        <f>MRS!I14</f>
        <v>0</v>
      </c>
      <c r="J14" s="91">
        <f>MRS!J14</f>
        <v>0</v>
      </c>
      <c r="K14" s="92"/>
      <c r="O14" s="93"/>
      <c r="P14" s="93"/>
      <c r="R14" s="93"/>
    </row>
    <row r="15" spans="1:18" ht="74.25" customHeight="1">
      <c r="A15" s="14">
        <f>+MRS!A15</f>
        <v>10</v>
      </c>
      <c r="B15" s="136">
        <f>MRS!B15</f>
        <v>0</v>
      </c>
      <c r="C15" s="137"/>
      <c r="D15" s="138">
        <f>MRS!D15</f>
        <v>0</v>
      </c>
      <c r="E15" s="139"/>
      <c r="F15" s="140"/>
      <c r="G15" s="90">
        <f>MRS!G15</f>
        <v>0</v>
      </c>
      <c r="H15" s="90">
        <f>MRS!H15</f>
        <v>0</v>
      </c>
      <c r="I15" s="91">
        <f>MRS!I15</f>
        <v>0</v>
      </c>
      <c r="J15" s="91">
        <f>MRS!J15</f>
        <v>0</v>
      </c>
      <c r="K15" s="92"/>
      <c r="O15" s="93"/>
      <c r="P15" s="93"/>
      <c r="R15" s="93"/>
    </row>
    <row r="16" spans="1:18" ht="74.25" customHeight="1">
      <c r="A16" s="14" t="e">
        <f>+MRS!#REF!</f>
        <v>#REF!</v>
      </c>
      <c r="B16" s="136" t="e">
        <f>MRS!#REF!</f>
        <v>#REF!</v>
      </c>
      <c r="C16" s="137"/>
      <c r="D16" s="138" t="e">
        <f>MRS!#REF!</f>
        <v>#REF!</v>
      </c>
      <c r="E16" s="139"/>
      <c r="F16" s="140"/>
      <c r="G16" s="90" t="e">
        <f>MRS!#REF!</f>
        <v>#REF!</v>
      </c>
      <c r="H16" s="90" t="e">
        <f>MRS!#REF!</f>
        <v>#REF!</v>
      </c>
      <c r="I16" s="91" t="e">
        <f>MRS!#REF!</f>
        <v>#REF!</v>
      </c>
      <c r="J16" s="91" t="e">
        <f>MRS!#REF!</f>
        <v>#REF!</v>
      </c>
      <c r="K16" s="92"/>
      <c r="O16" s="93"/>
      <c r="P16" s="93"/>
      <c r="R16" s="93"/>
    </row>
    <row r="17" spans="1:18" ht="74.25" customHeight="1">
      <c r="A17" s="14" t="e">
        <f>+MRS!#REF!</f>
        <v>#REF!</v>
      </c>
      <c r="B17" s="136" t="e">
        <f>MRS!#REF!</f>
        <v>#REF!</v>
      </c>
      <c r="C17" s="137"/>
      <c r="D17" s="138" t="e">
        <f>MRS!#REF!</f>
        <v>#REF!</v>
      </c>
      <c r="E17" s="139"/>
      <c r="F17" s="140"/>
      <c r="G17" s="90" t="e">
        <f>MRS!#REF!</f>
        <v>#REF!</v>
      </c>
      <c r="H17" s="90" t="e">
        <f>MRS!#REF!</f>
        <v>#REF!</v>
      </c>
      <c r="I17" s="91" t="e">
        <f>MRS!#REF!</f>
        <v>#REF!</v>
      </c>
      <c r="J17" s="91" t="e">
        <f>MRS!#REF!</f>
        <v>#REF!</v>
      </c>
      <c r="K17" s="92"/>
      <c r="O17" s="93"/>
      <c r="P17" s="93"/>
      <c r="R17" s="93"/>
    </row>
    <row r="18" spans="1:18" ht="74.25" customHeight="1">
      <c r="A18" s="14" t="e">
        <f>+MRS!#REF!</f>
        <v>#REF!</v>
      </c>
      <c r="B18" s="136" t="e">
        <f>MRS!#REF!</f>
        <v>#REF!</v>
      </c>
      <c r="C18" s="137"/>
      <c r="D18" s="138" t="e">
        <f>MRS!#REF!</f>
        <v>#REF!</v>
      </c>
      <c r="E18" s="139"/>
      <c r="F18" s="140"/>
      <c r="G18" s="90" t="e">
        <f>MRS!#REF!</f>
        <v>#REF!</v>
      </c>
      <c r="H18" s="90" t="e">
        <f>MRS!#REF!</f>
        <v>#REF!</v>
      </c>
      <c r="I18" s="91" t="e">
        <f>MRS!#REF!</f>
        <v>#REF!</v>
      </c>
      <c r="J18" s="91" t="e">
        <f>MRS!#REF!</f>
        <v>#REF!</v>
      </c>
      <c r="K18" s="92"/>
      <c r="O18" s="93"/>
      <c r="P18" s="93"/>
      <c r="R18" s="93"/>
    </row>
    <row r="19" spans="1:18" ht="74.25" customHeight="1">
      <c r="A19" s="14" t="e">
        <f>+MRS!#REF!</f>
        <v>#REF!</v>
      </c>
      <c r="B19" s="136" t="e">
        <f>MRS!#REF!</f>
        <v>#REF!</v>
      </c>
      <c r="C19" s="137"/>
      <c r="D19" s="138" t="e">
        <f>MRS!#REF!</f>
        <v>#REF!</v>
      </c>
      <c r="E19" s="139"/>
      <c r="F19" s="140"/>
      <c r="G19" s="90" t="e">
        <f>MRS!#REF!</f>
        <v>#REF!</v>
      </c>
      <c r="H19" s="90" t="e">
        <f>MRS!#REF!</f>
        <v>#REF!</v>
      </c>
      <c r="I19" s="91" t="e">
        <f>MRS!#REF!</f>
        <v>#REF!</v>
      </c>
      <c r="J19" s="91" t="e">
        <f>MRS!#REF!</f>
        <v>#REF!</v>
      </c>
      <c r="K19" s="92"/>
      <c r="O19" s="93"/>
      <c r="P19" s="93"/>
      <c r="R19" s="93"/>
    </row>
    <row r="20" spans="1:18" ht="74.25" customHeight="1">
      <c r="A20" s="14" t="e">
        <f>+MRS!#REF!</f>
        <v>#REF!</v>
      </c>
      <c r="B20" s="136" t="e">
        <f>MRS!#REF!</f>
        <v>#REF!</v>
      </c>
      <c r="C20" s="137"/>
      <c r="D20" s="138" t="e">
        <f>MRS!#REF!</f>
        <v>#REF!</v>
      </c>
      <c r="E20" s="139"/>
      <c r="F20" s="140"/>
      <c r="G20" s="90" t="e">
        <f>MRS!#REF!</f>
        <v>#REF!</v>
      </c>
      <c r="H20" s="90" t="e">
        <f>MRS!#REF!</f>
        <v>#REF!</v>
      </c>
      <c r="I20" s="91" t="e">
        <f>MRS!#REF!</f>
        <v>#REF!</v>
      </c>
      <c r="J20" s="91" t="e">
        <f>MRS!#REF!</f>
        <v>#REF!</v>
      </c>
      <c r="K20" s="92"/>
      <c r="O20" s="93"/>
      <c r="P20" s="93"/>
      <c r="R20" s="93"/>
    </row>
    <row r="21" spans="1:18" ht="74.25" customHeight="1">
      <c r="A21" s="14" t="e">
        <f>+MRS!#REF!</f>
        <v>#REF!</v>
      </c>
      <c r="B21" s="136" t="e">
        <f>MRS!#REF!</f>
        <v>#REF!</v>
      </c>
      <c r="C21" s="137"/>
      <c r="D21" s="138" t="e">
        <f>MRS!#REF!</f>
        <v>#REF!</v>
      </c>
      <c r="E21" s="139"/>
      <c r="F21" s="140"/>
      <c r="G21" s="90" t="e">
        <f>MRS!#REF!</f>
        <v>#REF!</v>
      </c>
      <c r="H21" s="90" t="e">
        <f>MRS!#REF!</f>
        <v>#REF!</v>
      </c>
      <c r="I21" s="91" t="e">
        <f>MRS!#REF!</f>
        <v>#REF!</v>
      </c>
      <c r="J21" s="91" t="e">
        <f>MRS!#REF!</f>
        <v>#REF!</v>
      </c>
      <c r="K21" s="92"/>
      <c r="O21" s="93"/>
      <c r="P21" s="93"/>
      <c r="R21" s="93"/>
    </row>
    <row r="22" spans="1:18" ht="74.25" customHeight="1">
      <c r="A22" s="136" t="e">
        <f>MRS!#REF!</f>
        <v>#REF!</v>
      </c>
      <c r="B22" s="137"/>
      <c r="C22" s="138" t="e">
        <f>MRS!#REF!</f>
        <v>#REF!</v>
      </c>
      <c r="D22" s="139"/>
      <c r="E22" s="140"/>
      <c r="F22" s="90" t="e">
        <f>MRS!#REF!</f>
        <v>#REF!</v>
      </c>
      <c r="G22" s="90" t="e">
        <f>MRS!#REF!</f>
        <v>#REF!</v>
      </c>
      <c r="H22" s="91" t="e">
        <f>MRS!#REF!</f>
        <v>#REF!</v>
      </c>
      <c r="I22" s="91" t="e">
        <f>MRS!#REF!</f>
        <v>#REF!</v>
      </c>
      <c r="J22" s="91" t="e">
        <f>MRS!#REF!</f>
        <v>#REF!</v>
      </c>
      <c r="K22" s="92"/>
      <c r="O22" s="93"/>
      <c r="P22" s="93"/>
      <c r="R22" s="93"/>
    </row>
    <row r="23" spans="1:18" ht="74.25" customHeight="1">
      <c r="A23" s="136" t="e">
        <f>MRS!#REF!</f>
        <v>#REF!</v>
      </c>
      <c r="B23" s="137"/>
      <c r="C23" s="138" t="e">
        <f>MRS!#REF!</f>
        <v>#REF!</v>
      </c>
      <c r="D23" s="139"/>
      <c r="E23" s="140"/>
      <c r="F23" s="90" t="e">
        <f>MRS!#REF!</f>
        <v>#REF!</v>
      </c>
      <c r="G23" s="90" t="e">
        <f>MRS!#REF!</f>
        <v>#REF!</v>
      </c>
      <c r="H23" s="91" t="e">
        <f>MRS!#REF!</f>
        <v>#REF!</v>
      </c>
      <c r="I23" s="91" t="e">
        <f>MRS!#REF!</f>
        <v>#REF!</v>
      </c>
      <c r="J23" s="91" t="e">
        <f>MRS!#REF!</f>
        <v>#REF!</v>
      </c>
      <c r="K23" s="92"/>
      <c r="O23" s="93"/>
      <c r="P23" s="93"/>
      <c r="R23" s="93"/>
    </row>
    <row r="24" spans="1:18" ht="74.25" customHeight="1">
      <c r="A24" s="136" t="e">
        <f>MRS!#REF!</f>
        <v>#REF!</v>
      </c>
      <c r="B24" s="137"/>
      <c r="C24" s="138" t="e">
        <f>MRS!#REF!</f>
        <v>#REF!</v>
      </c>
      <c r="D24" s="139"/>
      <c r="E24" s="140"/>
      <c r="F24" s="90" t="e">
        <f>MRS!#REF!</f>
        <v>#REF!</v>
      </c>
      <c r="G24" s="90" t="e">
        <f>MRS!#REF!</f>
        <v>#REF!</v>
      </c>
      <c r="H24" s="91" t="e">
        <f>MRS!#REF!</f>
        <v>#REF!</v>
      </c>
      <c r="I24" s="91" t="e">
        <f>MRS!#REF!</f>
        <v>#REF!</v>
      </c>
      <c r="J24" s="91" t="e">
        <f>MRS!#REF!</f>
        <v>#REF!</v>
      </c>
      <c r="K24" s="92"/>
      <c r="O24" s="93"/>
      <c r="P24" s="93"/>
      <c r="R24" s="93"/>
    </row>
    <row r="25" spans="1:18" ht="74.25" customHeight="1">
      <c r="A25" s="136" t="e">
        <f>MRS!#REF!</f>
        <v>#REF!</v>
      </c>
      <c r="B25" s="137"/>
      <c r="C25" s="138" t="e">
        <f>MRS!#REF!</f>
        <v>#REF!</v>
      </c>
      <c r="D25" s="139"/>
      <c r="E25" s="140"/>
      <c r="F25" s="90" t="e">
        <f>MRS!#REF!</f>
        <v>#REF!</v>
      </c>
      <c r="G25" s="90" t="e">
        <f>MRS!#REF!</f>
        <v>#REF!</v>
      </c>
      <c r="H25" s="91" t="e">
        <f>MRS!#REF!</f>
        <v>#REF!</v>
      </c>
      <c r="I25" s="91" t="e">
        <f>MRS!#REF!</f>
        <v>#REF!</v>
      </c>
      <c r="J25" s="91" t="e">
        <f>MRS!#REF!</f>
        <v>#REF!</v>
      </c>
      <c r="K25" s="92"/>
      <c r="O25" s="93"/>
      <c r="P25" s="93"/>
      <c r="R25" s="93"/>
    </row>
    <row r="26" spans="1:18" ht="74.25" customHeight="1">
      <c r="A26" s="136" t="e">
        <f>MRS!#REF!</f>
        <v>#REF!</v>
      </c>
      <c r="B26" s="137"/>
      <c r="C26" s="138" t="e">
        <f>MRS!#REF!</f>
        <v>#REF!</v>
      </c>
      <c r="D26" s="139"/>
      <c r="E26" s="140"/>
      <c r="F26" s="90" t="e">
        <f>MRS!#REF!</f>
        <v>#REF!</v>
      </c>
      <c r="G26" s="90" t="e">
        <f>MRS!#REF!</f>
        <v>#REF!</v>
      </c>
      <c r="H26" s="91" t="e">
        <f>MRS!#REF!</f>
        <v>#REF!</v>
      </c>
      <c r="I26" s="91" t="e">
        <f>MRS!#REF!</f>
        <v>#REF!</v>
      </c>
      <c r="J26" s="91" t="e">
        <f>MRS!#REF!</f>
        <v>#REF!</v>
      </c>
      <c r="K26" s="92"/>
      <c r="O26" s="93"/>
      <c r="P26" s="93"/>
      <c r="R26" s="93"/>
    </row>
    <row r="27" spans="1:18" ht="74.25" customHeight="1">
      <c r="A27" s="136" t="e">
        <f>MRS!#REF!</f>
        <v>#REF!</v>
      </c>
      <c r="B27" s="137"/>
      <c r="C27" s="138" t="e">
        <f>MRS!#REF!</f>
        <v>#REF!</v>
      </c>
      <c r="D27" s="139"/>
      <c r="E27" s="140"/>
      <c r="F27" s="90" t="e">
        <f>MRS!#REF!</f>
        <v>#REF!</v>
      </c>
      <c r="G27" s="90" t="e">
        <f>MRS!#REF!</f>
        <v>#REF!</v>
      </c>
      <c r="H27" s="91" t="e">
        <f>MRS!#REF!</f>
        <v>#REF!</v>
      </c>
      <c r="I27" s="91" t="e">
        <f>MRS!#REF!</f>
        <v>#REF!</v>
      </c>
      <c r="J27" s="91" t="e">
        <f>MRS!#REF!</f>
        <v>#REF!</v>
      </c>
      <c r="K27" s="92"/>
      <c r="O27" s="93"/>
      <c r="P27" s="93"/>
      <c r="R27" s="93"/>
    </row>
    <row r="28" spans="1:18" ht="74.25" customHeight="1">
      <c r="A28" s="136" t="e">
        <f>MRS!#REF!</f>
        <v>#REF!</v>
      </c>
      <c r="B28" s="137"/>
      <c r="C28" s="138" t="e">
        <f>MRS!#REF!</f>
        <v>#REF!</v>
      </c>
      <c r="D28" s="139"/>
      <c r="E28" s="140"/>
      <c r="F28" s="90" t="e">
        <f>MRS!#REF!</f>
        <v>#REF!</v>
      </c>
      <c r="G28" s="90" t="e">
        <f>MRS!#REF!</f>
        <v>#REF!</v>
      </c>
      <c r="H28" s="91" t="e">
        <f>MRS!#REF!</f>
        <v>#REF!</v>
      </c>
      <c r="I28" s="91" t="e">
        <f>MRS!#REF!</f>
        <v>#REF!</v>
      </c>
      <c r="J28" s="91" t="e">
        <f>MRS!#REF!</f>
        <v>#REF!</v>
      </c>
      <c r="K28" s="92"/>
      <c r="O28" s="93"/>
      <c r="P28" s="93"/>
      <c r="R28" s="93"/>
    </row>
    <row r="29" spans="1:18" ht="74.25" customHeight="1">
      <c r="A29" s="136" t="e">
        <f>MRS!#REF!</f>
        <v>#REF!</v>
      </c>
      <c r="B29" s="137"/>
      <c r="C29" s="138" t="e">
        <f>MRS!#REF!</f>
        <v>#REF!</v>
      </c>
      <c r="D29" s="139"/>
      <c r="E29" s="140"/>
      <c r="F29" s="90" t="e">
        <f>MRS!#REF!</f>
        <v>#REF!</v>
      </c>
      <c r="G29" s="90" t="e">
        <f>MRS!#REF!</f>
        <v>#REF!</v>
      </c>
      <c r="H29" s="91" t="e">
        <f>MRS!#REF!</f>
        <v>#REF!</v>
      </c>
      <c r="I29" s="91" t="e">
        <f>MRS!#REF!</f>
        <v>#REF!</v>
      </c>
      <c r="J29" s="91" t="e">
        <f>MRS!#REF!</f>
        <v>#REF!</v>
      </c>
      <c r="K29" s="92"/>
      <c r="O29" s="93"/>
      <c r="P29" s="93"/>
      <c r="R29" s="93"/>
    </row>
    <row r="30" spans="1:18" ht="74.25" customHeight="1">
      <c r="A30" s="136" t="e">
        <f>MRS!#REF!</f>
        <v>#REF!</v>
      </c>
      <c r="B30" s="137"/>
      <c r="C30" s="138" t="e">
        <f>MRS!#REF!</f>
        <v>#REF!</v>
      </c>
      <c r="D30" s="139"/>
      <c r="E30" s="140"/>
      <c r="F30" s="90" t="e">
        <f>MRS!#REF!</f>
        <v>#REF!</v>
      </c>
      <c r="G30" s="90" t="e">
        <f>MRS!#REF!</f>
        <v>#REF!</v>
      </c>
      <c r="H30" s="91" t="e">
        <f>MRS!#REF!</f>
        <v>#REF!</v>
      </c>
      <c r="I30" s="91" t="e">
        <f>MRS!#REF!</f>
        <v>#REF!</v>
      </c>
      <c r="J30" s="91" t="e">
        <f>MRS!#REF!</f>
        <v>#REF!</v>
      </c>
      <c r="K30" s="92"/>
      <c r="O30" s="93"/>
      <c r="P30" s="93"/>
      <c r="R30" s="93"/>
    </row>
  </sheetData>
  <mergeCells count="60">
    <mergeCell ref="A30:B30"/>
    <mergeCell ref="C30:E30"/>
    <mergeCell ref="A27:B27"/>
    <mergeCell ref="C27:E27"/>
    <mergeCell ref="A28:B28"/>
    <mergeCell ref="C28:E28"/>
    <mergeCell ref="A29:B29"/>
    <mergeCell ref="C29:E29"/>
    <mergeCell ref="A25:B25"/>
    <mergeCell ref="C25:E25"/>
    <mergeCell ref="A26:B26"/>
    <mergeCell ref="C26:E26"/>
    <mergeCell ref="A22:B22"/>
    <mergeCell ref="C22:E22"/>
    <mergeCell ref="A23:B23"/>
    <mergeCell ref="C23:E23"/>
    <mergeCell ref="A24:B24"/>
    <mergeCell ref="C24:E24"/>
    <mergeCell ref="B19:C19"/>
    <mergeCell ref="D19:F19"/>
    <mergeCell ref="B20:C20"/>
    <mergeCell ref="D20:F20"/>
    <mergeCell ref="B21:C21"/>
    <mergeCell ref="D21:F21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C18"/>
    <mergeCell ref="D18:F18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P18" sqref="P18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94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119</v>
      </c>
      <c r="D9" s="31"/>
      <c r="E9" s="31"/>
    </row>
    <row r="10" spans="2:13" s="31" customFormat="1">
      <c r="B10" s="64"/>
      <c r="C10" s="31" t="s">
        <v>23</v>
      </c>
      <c r="D10" s="112" t="s">
        <v>131</v>
      </c>
      <c r="J10" s="31" t="s">
        <v>24</v>
      </c>
      <c r="K10" s="144">
        <f>MRS!L3</f>
        <v>46238</v>
      </c>
      <c r="L10" s="145"/>
      <c r="M10" s="145"/>
    </row>
    <row r="11" spans="2:13" s="31" customFormat="1">
      <c r="B11" s="64"/>
      <c r="C11" s="67" t="s">
        <v>25</v>
      </c>
      <c r="D11" s="68" t="s">
        <v>130</v>
      </c>
      <c r="J11" s="31" t="s">
        <v>26</v>
      </c>
      <c r="K11" s="146" t="str">
        <f>SUBSTITUTE(SUBSTITUTE(+MRS!A3,"  MRS No : ",""),"-MRS","-PO")</f>
        <v>SAC2-DS-PO-0374</v>
      </c>
      <c r="L11" s="146"/>
      <c r="M11" s="146"/>
    </row>
    <row r="12" spans="2:13" s="31" customFormat="1">
      <c r="B12" s="64"/>
      <c r="C12" s="67" t="s">
        <v>27</v>
      </c>
      <c r="D12" s="31" t="s">
        <v>126</v>
      </c>
      <c r="J12" s="31" t="s">
        <v>28</v>
      </c>
    </row>
    <row r="13" spans="2:13" s="31" customFormat="1">
      <c r="B13" s="64"/>
      <c r="C13" s="69"/>
      <c r="D13" s="68" t="s">
        <v>127</v>
      </c>
      <c r="J13" s="31" t="s">
        <v>29</v>
      </c>
    </row>
    <row r="14" spans="2:13" s="31" customFormat="1">
      <c r="B14" s="64"/>
      <c r="C14" s="69" t="s">
        <v>128</v>
      </c>
      <c r="J14" s="31" t="s">
        <v>30</v>
      </c>
      <c r="K14" s="31" t="s">
        <v>120</v>
      </c>
    </row>
    <row r="15" spans="2:13" s="31" customFormat="1">
      <c r="B15" s="64"/>
      <c r="C15" s="69" t="s">
        <v>92</v>
      </c>
      <c r="J15" s="31" t="s">
        <v>31</v>
      </c>
      <c r="K15" s="70">
        <v>46238</v>
      </c>
    </row>
    <row r="16" spans="2:13" s="31" customFormat="1">
      <c r="C16" s="69"/>
      <c r="K16" s="70"/>
    </row>
    <row r="17" spans="2:13" ht="6" customHeight="1">
      <c r="C17" s="22"/>
      <c r="K17" s="23"/>
    </row>
    <row r="18" spans="2:13" ht="20.25">
      <c r="B18" s="147" t="s">
        <v>32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</row>
    <row r="19" spans="2:13" ht="12" customHeight="1"/>
    <row r="20" spans="2:13" s="24" customFormat="1" ht="12" customHeight="1">
      <c r="B20" s="148" t="s">
        <v>33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</row>
    <row r="21" spans="2:13" s="24" customFormat="1" ht="12" customHeight="1">
      <c r="B21" s="148" t="s">
        <v>34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</row>
    <row r="22" spans="2:13" s="24" customFormat="1" ht="12" customHeight="1">
      <c r="B22" s="148" t="s">
        <v>35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</row>
    <row r="23" spans="2:13" ht="6.95" customHeight="1"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</row>
    <row r="24" spans="2:13" ht="6.95" customHeight="1"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68" t="str">
        <f>MRS!D6</f>
        <v>Canon 5560 (60CPM)</v>
      </c>
      <c r="M26" s="71" t="s">
        <v>37</v>
      </c>
    </row>
    <row r="27" spans="2:13" ht="11.1" customHeight="1">
      <c r="B27" s="25"/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13">
        <f>'PO 2nd page'!G16</f>
        <v>31200</v>
      </c>
      <c r="G29" s="96"/>
      <c r="H29" s="96"/>
      <c r="M29" s="26"/>
    </row>
    <row r="30" spans="2:13" ht="12" customHeight="1">
      <c r="B30" s="25"/>
      <c r="C30" s="19" t="s">
        <v>41</v>
      </c>
      <c r="E30" s="19" t="s">
        <v>40</v>
      </c>
      <c r="F30" s="113">
        <f>'PO 2nd page'!G17</f>
        <v>4680</v>
      </c>
      <c r="G30" s="96"/>
      <c r="H30" s="96"/>
    </row>
    <row r="31" spans="2:13" ht="12" customHeight="1">
      <c r="B31" s="25"/>
      <c r="C31" s="19" t="s">
        <v>42</v>
      </c>
      <c r="D31" s="27"/>
      <c r="E31" s="19" t="s">
        <v>40</v>
      </c>
      <c r="F31" s="113">
        <f>'PO 2nd page'!G18</f>
        <v>35880</v>
      </c>
      <c r="G31" s="96"/>
      <c r="H31" s="96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2" t="s">
        <v>56</v>
      </c>
      <c r="C49" s="73" t="s">
        <v>90</v>
      </c>
      <c r="P49" s="74"/>
    </row>
    <row r="50" spans="2:16" s="75" customFormat="1" ht="12" customHeight="1">
      <c r="B50" s="76" t="s">
        <v>56</v>
      </c>
      <c r="C50" s="73" t="s">
        <v>84</v>
      </c>
    </row>
    <row r="51" spans="2:16" s="75" customFormat="1" ht="12" customHeight="1">
      <c r="B51" s="76" t="s">
        <v>56</v>
      </c>
      <c r="C51" s="73" t="s">
        <v>83</v>
      </c>
    </row>
    <row r="52" spans="2:16" s="75" customFormat="1" ht="6" customHeight="1">
      <c r="B52" s="76"/>
      <c r="C52" s="73"/>
    </row>
    <row r="53" spans="2:16" ht="15" customHeight="1">
      <c r="B53" s="34">
        <v>7</v>
      </c>
      <c r="C53" s="25" t="s">
        <v>95</v>
      </c>
    </row>
    <row r="54" spans="2:16" ht="12" customHeight="1">
      <c r="B54" s="76" t="s">
        <v>56</v>
      </c>
      <c r="C54" s="110" t="s">
        <v>96</v>
      </c>
      <c r="F54" s="19" t="s">
        <v>121</v>
      </c>
      <c r="P54" s="19" t="str">
        <f>UPPER(F54)</f>
        <v>BLUE ARABIA WAYS CO.</v>
      </c>
    </row>
    <row r="55" spans="2:16" ht="12" customHeight="1">
      <c r="B55" s="76" t="s">
        <v>56</v>
      </c>
      <c r="C55" s="110" t="s">
        <v>97</v>
      </c>
      <c r="F55" s="111" t="s">
        <v>122</v>
      </c>
    </row>
    <row r="56" spans="2:16" ht="12" customHeight="1">
      <c r="B56" s="76" t="s">
        <v>56</v>
      </c>
      <c r="C56" s="110" t="s">
        <v>98</v>
      </c>
      <c r="F56" s="111" t="s">
        <v>123</v>
      </c>
    </row>
    <row r="57" spans="2:16" ht="12" customHeight="1">
      <c r="B57" s="76" t="s">
        <v>56</v>
      </c>
      <c r="C57" s="110" t="s">
        <v>99</v>
      </c>
      <c r="F57" s="19" t="s">
        <v>124</v>
      </c>
    </row>
    <row r="58" spans="2:16" ht="12" customHeight="1">
      <c r="B58" s="76" t="s">
        <v>56</v>
      </c>
      <c r="C58" s="110" t="s">
        <v>100</v>
      </c>
      <c r="F58" s="19" t="s">
        <v>125</v>
      </c>
    </row>
    <row r="59" spans="2:16" ht="12" customHeight="1">
      <c r="B59" s="76" t="s">
        <v>56</v>
      </c>
      <c r="C59" s="110" t="s">
        <v>101</v>
      </c>
      <c r="F59" s="19" t="s">
        <v>102</v>
      </c>
    </row>
    <row r="60" spans="2:16" ht="12" customHeight="1">
      <c r="B60" s="76"/>
      <c r="C60" s="110" t="s">
        <v>103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Mustafa Abdul Hadi</v>
      </c>
    </row>
    <row r="68" spans="1:13" ht="18" customHeight="1">
      <c r="B68" s="19" t="s">
        <v>62</v>
      </c>
      <c r="J68" s="19" t="s">
        <v>63</v>
      </c>
      <c r="K68" s="15" t="s">
        <v>129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93</v>
      </c>
      <c r="J70" s="151" t="str">
        <f>C9</f>
        <v>BAWC(Blue Arabian Ways Co.)</v>
      </c>
      <c r="K70" s="151"/>
      <c r="L70" s="151"/>
      <c r="M70" s="151"/>
    </row>
    <row r="71" spans="1:13" ht="27.95" customHeight="1">
      <c r="A71" s="143" t="s">
        <v>66</v>
      </c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tabSelected="1" view="pageBreakPreview" zoomScaleSheetLayoutView="100" zoomScalePageLayoutView="55" workbookViewId="0">
      <selection activeCell="M17" sqref="M17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30.42578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SAC2-DS-PO-0374</v>
      </c>
      <c r="C2" s="158" t="s">
        <v>68</v>
      </c>
      <c r="D2" s="158"/>
      <c r="E2" s="158"/>
      <c r="F2" s="158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46238</v>
      </c>
      <c r="C3" s="43"/>
      <c r="D3" s="44"/>
      <c r="E3" s="159" t="s">
        <v>70</v>
      </c>
      <c r="F3" s="159"/>
      <c r="G3" s="159"/>
      <c r="H3" s="159"/>
      <c r="I3" s="45"/>
    </row>
    <row r="4" spans="1:13" s="47" customFormat="1" ht="28.5" customHeight="1" thickTop="1">
      <c r="A4" s="160" t="s">
        <v>71</v>
      </c>
      <c r="B4" s="162" t="s">
        <v>72</v>
      </c>
      <c r="C4" s="163"/>
      <c r="D4" s="166" t="s">
        <v>73</v>
      </c>
      <c r="E4" s="166" t="s">
        <v>74</v>
      </c>
      <c r="F4" s="168" t="str">
        <f>'PO 1st page'!C9</f>
        <v>BAWC(Blue Arabian Ways Co.)</v>
      </c>
      <c r="G4" s="169"/>
      <c r="H4" s="170" t="s">
        <v>75</v>
      </c>
      <c r="K4" s="48"/>
      <c r="L4" s="48"/>
      <c r="M4" s="48"/>
    </row>
    <row r="5" spans="1:13" s="47" customFormat="1" ht="21.95" customHeight="1">
      <c r="A5" s="161"/>
      <c r="B5" s="164"/>
      <c r="C5" s="165"/>
      <c r="D5" s="167"/>
      <c r="E5" s="167"/>
      <c r="F5" s="49" t="s">
        <v>76</v>
      </c>
      <c r="G5" s="49" t="s">
        <v>42</v>
      </c>
      <c r="H5" s="171"/>
      <c r="K5" s="48"/>
      <c r="L5" s="48"/>
      <c r="M5" s="48"/>
    </row>
    <row r="6" spans="1:13" s="47" customFormat="1" ht="18.75" customHeight="1">
      <c r="A6" s="77">
        <f t="shared" ref="A6:A15" si="0">ROW(A1)</f>
        <v>1</v>
      </c>
      <c r="B6" s="156" t="str">
        <f>MRS!B6&amp;" "&amp;MRS!D6</f>
        <v>Color Copier Canon 5560 (60CPM)</v>
      </c>
      <c r="C6" s="157"/>
      <c r="D6" s="78" t="str">
        <f>MRS!G6</f>
        <v>EA</v>
      </c>
      <c r="E6" s="79">
        <f>MRS!H6</f>
        <v>2</v>
      </c>
      <c r="F6" s="80">
        <f>MRS!I6</f>
        <v>15600</v>
      </c>
      <c r="G6" s="81">
        <f>F6*E6</f>
        <v>31200</v>
      </c>
      <c r="H6" s="82" t="s">
        <v>91</v>
      </c>
      <c r="K6" s="83"/>
      <c r="L6" s="84"/>
      <c r="M6" s="48"/>
    </row>
    <row r="7" spans="1:13" s="47" customFormat="1" ht="18.75" customHeight="1">
      <c r="A7" s="77">
        <f t="shared" si="0"/>
        <v>2</v>
      </c>
      <c r="B7" s="156" t="str">
        <f>MRS!B7&amp;" "&amp;MRS!D7</f>
        <v xml:space="preserve"> </v>
      </c>
      <c r="C7" s="157"/>
      <c r="D7" s="78"/>
      <c r="E7" s="79"/>
      <c r="F7" s="80"/>
      <c r="G7" s="81"/>
      <c r="H7" s="82"/>
      <c r="K7" s="83"/>
      <c r="L7" s="84"/>
      <c r="M7" s="48"/>
    </row>
    <row r="8" spans="1:13" s="47" customFormat="1" ht="18.75" customHeight="1">
      <c r="A8" s="85">
        <f t="shared" si="0"/>
        <v>3</v>
      </c>
      <c r="B8" s="156" t="str">
        <f>MRS!B8&amp;" "&amp;MRS!D8</f>
        <v xml:space="preserve"> </v>
      </c>
      <c r="C8" s="157"/>
      <c r="D8" s="78"/>
      <c r="E8" s="79"/>
      <c r="F8" s="80"/>
      <c r="G8" s="81"/>
      <c r="H8" s="86"/>
      <c r="K8" s="48"/>
      <c r="L8" s="48"/>
      <c r="M8" s="48"/>
    </row>
    <row r="9" spans="1:13" s="47" customFormat="1" ht="18.75" customHeight="1">
      <c r="A9" s="85">
        <f t="shared" si="0"/>
        <v>4</v>
      </c>
      <c r="B9" s="156" t="str">
        <f>MRS!B9&amp;" "&amp;MRS!D9</f>
        <v xml:space="preserve"> </v>
      </c>
      <c r="C9" s="157"/>
      <c r="D9" s="78"/>
      <c r="E9" s="79"/>
      <c r="F9" s="80"/>
      <c r="G9" s="81"/>
      <c r="H9" s="86"/>
    </row>
    <row r="10" spans="1:13" s="47" customFormat="1" ht="18.75" customHeight="1">
      <c r="A10" s="85">
        <f t="shared" si="0"/>
        <v>5</v>
      </c>
      <c r="B10" s="156" t="str">
        <f>MRS!B10&amp;" "&amp;MRS!D10</f>
        <v xml:space="preserve"> </v>
      </c>
      <c r="C10" s="157"/>
      <c r="D10" s="78"/>
      <c r="E10" s="79"/>
      <c r="F10" s="80"/>
      <c r="G10" s="81"/>
      <c r="H10" s="86"/>
    </row>
    <row r="11" spans="1:13" s="47" customFormat="1" ht="18.75" customHeight="1">
      <c r="A11" s="85">
        <f t="shared" si="0"/>
        <v>6</v>
      </c>
      <c r="B11" s="156" t="str">
        <f>MRS!B11&amp;" "&amp;MRS!D11</f>
        <v xml:space="preserve"> </v>
      </c>
      <c r="C11" s="157"/>
      <c r="D11" s="78"/>
      <c r="E11" s="79"/>
      <c r="F11" s="80"/>
      <c r="G11" s="81"/>
      <c r="H11" s="86"/>
    </row>
    <row r="12" spans="1:13" s="47" customFormat="1" ht="18.75" customHeight="1">
      <c r="A12" s="85">
        <f t="shared" si="0"/>
        <v>7</v>
      </c>
      <c r="B12" s="156" t="str">
        <f>MRS!B12&amp;" "&amp;MRS!D12</f>
        <v xml:space="preserve"> </v>
      </c>
      <c r="C12" s="157"/>
      <c r="D12" s="78"/>
      <c r="E12" s="79"/>
      <c r="F12" s="80"/>
      <c r="G12" s="81"/>
      <c r="H12" s="86"/>
    </row>
    <row r="13" spans="1:13" s="47" customFormat="1" ht="18.75" customHeight="1">
      <c r="A13" s="85">
        <f t="shared" si="0"/>
        <v>8</v>
      </c>
      <c r="B13" s="156" t="str">
        <f>MRS!B13&amp;" "&amp;MRS!D13</f>
        <v xml:space="preserve"> </v>
      </c>
      <c r="C13" s="157"/>
      <c r="D13" s="78"/>
      <c r="E13" s="79"/>
      <c r="F13" s="80"/>
      <c r="G13" s="81"/>
      <c r="H13" s="86"/>
    </row>
    <row r="14" spans="1:13" s="47" customFormat="1" ht="18.75" customHeight="1">
      <c r="A14" s="85">
        <f t="shared" si="0"/>
        <v>9</v>
      </c>
      <c r="B14" s="156" t="str">
        <f>MRS!B14&amp;" "&amp;MRS!D14</f>
        <v xml:space="preserve"> </v>
      </c>
      <c r="C14" s="157"/>
      <c r="D14" s="78"/>
      <c r="E14" s="79"/>
      <c r="F14" s="80"/>
      <c r="G14" s="81"/>
      <c r="H14" s="86"/>
    </row>
    <row r="15" spans="1:13" s="47" customFormat="1" ht="18.75" customHeight="1">
      <c r="A15" s="85">
        <f t="shared" si="0"/>
        <v>10</v>
      </c>
      <c r="B15" s="156" t="str">
        <f>MRS!B15&amp;" "&amp;MRS!D15</f>
        <v xml:space="preserve"> </v>
      </c>
      <c r="C15" s="157"/>
      <c r="D15" s="78"/>
      <c r="E15" s="79"/>
      <c r="F15" s="80"/>
      <c r="G15" s="81"/>
      <c r="H15" s="86"/>
    </row>
    <row r="16" spans="1:13" s="47" customFormat="1" ht="23.1" customHeight="1">
      <c r="A16" s="152" t="s">
        <v>77</v>
      </c>
      <c r="B16" s="153"/>
      <c r="C16" s="153"/>
      <c r="D16" s="153"/>
      <c r="E16" s="153"/>
      <c r="F16" s="153"/>
      <c r="G16" s="50">
        <f>SUM(G6:G15)</f>
        <v>31200</v>
      </c>
      <c r="H16" s="51"/>
    </row>
    <row r="17" spans="1:13" s="47" customFormat="1" ht="23.1" customHeight="1">
      <c r="A17" s="152" t="s">
        <v>41</v>
      </c>
      <c r="B17" s="153"/>
      <c r="C17" s="153"/>
      <c r="D17" s="153"/>
      <c r="E17" s="153"/>
      <c r="F17" s="153"/>
      <c r="G17" s="50">
        <f>+G16*0.15</f>
        <v>4680</v>
      </c>
      <c r="H17" s="51"/>
    </row>
    <row r="18" spans="1:13" s="47" customFormat="1" ht="24.95" customHeight="1" thickBot="1">
      <c r="A18" s="154" t="s">
        <v>78</v>
      </c>
      <c r="B18" s="155"/>
      <c r="C18" s="155"/>
      <c r="D18" s="155"/>
      <c r="E18" s="155"/>
      <c r="F18" s="155"/>
      <c r="G18" s="52">
        <f>G17+G16</f>
        <v>35880</v>
      </c>
      <c r="H18" s="53"/>
    </row>
    <row r="19" spans="1:13" ht="15.75" thickTop="1">
      <c r="A19" s="54" t="str">
        <f>" 1) Above Price are as per your quotation with ref "&amp;'PO 1st page'!K14</f>
        <v xml:space="preserve"> 1) Above Price are as per your quotation with ref QT-BWC-2026-732</v>
      </c>
      <c r="B19" s="55"/>
      <c r="C19" s="55"/>
      <c r="D19" s="56"/>
      <c r="E19" s="56"/>
      <c r="F19" s="56"/>
      <c r="G19" s="56"/>
      <c r="H19" s="56"/>
    </row>
    <row r="20" spans="1:13" ht="15">
      <c r="A20" s="57" t="s">
        <v>79</v>
      </c>
      <c r="B20" s="58"/>
      <c r="C20" s="58"/>
      <c r="D20" s="59"/>
      <c r="E20" s="59"/>
      <c r="F20" s="59"/>
      <c r="G20" s="59"/>
      <c r="H20" s="59"/>
      <c r="I20" s="60"/>
    </row>
    <row r="21" spans="1:13" ht="15.75">
      <c r="A21" s="61"/>
    </row>
    <row r="22" spans="1:13">
      <c r="A22" s="143" t="s">
        <v>80</v>
      </c>
      <c r="B22" s="143"/>
      <c r="C22" s="143"/>
      <c r="D22" s="143"/>
      <c r="E22" s="143"/>
      <c r="F22" s="143"/>
      <c r="G22" s="143"/>
      <c r="H22" s="143"/>
      <c r="I22" s="62"/>
      <c r="J22" s="62"/>
      <c r="K22" s="62"/>
      <c r="L22" s="62"/>
      <c r="M22" s="62"/>
    </row>
    <row r="23" spans="1:13" ht="15.75">
      <c r="A23" s="61"/>
      <c r="C23" s="63"/>
    </row>
    <row r="24" spans="1:13" ht="15.75">
      <c r="A24" s="61"/>
      <c r="C24" s="63"/>
    </row>
    <row r="26" spans="1:13" ht="12" customHeight="1"/>
  </sheetData>
  <mergeCells count="22">
    <mergeCell ref="B11:C11"/>
    <mergeCell ref="B12:C12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6:F16"/>
    <mergeCell ref="A17:F17"/>
    <mergeCell ref="A18:F18"/>
    <mergeCell ref="A22:H22"/>
    <mergeCell ref="B13:C13"/>
    <mergeCell ref="B14:C14"/>
    <mergeCell ref="B15:C15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2026-08-04T13:33:24Z</cp:lastPrinted>
  <dcterms:created xsi:type="dcterms:W3CDTF">2024-10-20T11:50:19Z</dcterms:created>
  <dcterms:modified xsi:type="dcterms:W3CDTF">2026-08-04T13:35:14Z</dcterms:modified>
</cp:coreProperties>
</file>