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6BCBF4C2-FD04-48BD-896B-D4D028D7B9C2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page'!$A$1:$N$64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B7" i="4"/>
  <c r="I9" i="2"/>
  <c r="F7" i="4" s="1"/>
  <c r="G7" i="4" s="1"/>
  <c r="H9" i="2"/>
  <c r="G9" i="2"/>
  <c r="D9" i="2"/>
  <c r="B9" i="2"/>
  <c r="E7" i="4" l="1"/>
  <c r="D7" i="4"/>
  <c r="J8" i="2"/>
  <c r="I8" i="2"/>
  <c r="H8" i="2"/>
  <c r="G8" i="2"/>
  <c r="D8" i="2"/>
  <c r="B8" i="2"/>
  <c r="J9" i="1"/>
  <c r="J9" i="2" s="1"/>
  <c r="J8" i="1"/>
  <c r="J7" i="1"/>
  <c r="J7" i="2"/>
  <c r="I7" i="2"/>
  <c r="H7" i="2"/>
  <c r="G7" i="2"/>
  <c r="D7" i="2"/>
  <c r="B7" i="2"/>
  <c r="B6" i="4" l="1"/>
  <c r="A14" i="1" l="1"/>
  <c r="A13" i="1"/>
  <c r="A12" i="1"/>
  <c r="A13" i="2" s="1"/>
  <c r="A11" i="1"/>
  <c r="A12" i="2" s="1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3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3" i="3"/>
  <c r="K60" i="3"/>
  <c r="K11" i="3"/>
  <c r="B2" i="4" s="1"/>
  <c r="A17" i="2"/>
  <c r="K3" i="2"/>
  <c r="A3" i="2"/>
  <c r="J2" i="2"/>
  <c r="D2" i="2"/>
  <c r="A2" i="2"/>
  <c r="J1" i="2"/>
  <c r="A16" i="2"/>
  <c r="A15" i="2"/>
  <c r="A14" i="2"/>
  <c r="A10" i="1"/>
  <c r="A11" i="2" s="1"/>
  <c r="A9" i="1"/>
  <c r="A10" i="2" s="1"/>
  <c r="A8" i="1"/>
  <c r="A9" i="2" s="1"/>
  <c r="A7" i="1"/>
  <c r="A8" i="2" s="1"/>
  <c r="A7" i="2"/>
  <c r="A6" i="1"/>
  <c r="A6" i="2" s="1"/>
  <c r="J15" i="1" l="1"/>
  <c r="G18" i="4"/>
  <c r="F28" i="3" l="1"/>
  <c r="F29" i="3"/>
  <c r="G19" i="4"/>
  <c r="G22" i="4" s="1"/>
  <c r="F32" i="3" l="1"/>
</calcChain>
</file>

<file path=xl/sharedStrings.xml><?xml version="1.0" encoding="utf-8"?>
<sst xmlns="http://schemas.openxmlformats.org/spreadsheetml/2006/main" count="167" uniqueCount="124">
  <si>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</si>
  <si>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</si>
  <si>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</si>
  <si>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</si>
  <si>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</si>
  <si>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</si>
  <si>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</si>
  <si>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</si>
  <si>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</si>
  <si>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</si>
  <si>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</si>
  <si>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</si>
  <si>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</si>
  <si>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</si>
  <si>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</si>
  <si>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</si>
  <si>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</si>
  <si>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</si>
  <si>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</si>
  <si>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</si>
  <si>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</si>
  <si>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</si>
  <si>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</si>
  <si>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</si>
  <si>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</si>
  <si>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</si>
  <si>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</si>
  <si>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</si>
  <si>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</si>
  <si>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</si>
  <si>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</si>
  <si>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</si>
  <si>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</si>
  <si>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</si>
  <si>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</si>
  <si>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</si>
  <si>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</si>
  <si>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</si>
  <si>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</si>
  <si>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</si>
  <si>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</si>
  <si>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</si>
  <si>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</si>
  <si>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</si>
  <si>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</si>
  <si>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</si>
  <si>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</si>
  <si>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</si>
  <si>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</si>
  <si>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</si>
  <si>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</si>
  <si>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</si>
  <si>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</si>
  <si>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</si>
  <si>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</si>
  <si>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</si>
  <si>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</si>
  <si>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</si>
  <si>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</si>
  <si>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</si>
  <si>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</si>
  <si>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</si>
  <si>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</si>
  <si>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</si>
  <si>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</si>
  <si>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</si>
  <si>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</si>
  <si>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</si>
  <si>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</si>
  <si>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</si>
  <si>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</si>
  <si>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</si>
  <si>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</si>
  <si>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</si>
  <si>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</si>
  <si>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</si>
  <si>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</si>
  <si>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</si>
  <si>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</si>
  <si>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</si>
  <si>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</si>
  <si>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</si>
  <si>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</si>
  <si>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</si>
  <si>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</si>
  <si>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</si>
  <si>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</si>
  <si>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</si>
  <si>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</si>
  <si>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</si>
  <si>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</si>
  <si>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</si>
  <si>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</si>
  <si>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</si>
  <si>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</si>
  <si>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</si>
  <si>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</si>
  <si>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</si>
  <si>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</si>
  <si>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</si>
  <si>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</si>
  <si>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Sales Supervisor</t>
  </si>
  <si>
    <t>Registration Fee</t>
  </si>
  <si>
    <t>VAT not Applicable</t>
  </si>
  <si>
    <t>[VAT not applicable)</t>
  </si>
  <si>
    <t>VAT not applicable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</si>
  <si>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-MRS-0036</t>
    </r>
  </si>
  <si>
    <t>Subcontract name (SAC2-SC-IK-SMP-01)</t>
  </si>
  <si>
    <t>Pick-up</t>
  </si>
  <si>
    <t>L200 Diesel 2.4L GLX DC 4WD 6AT</t>
  </si>
  <si>
    <t>New Fuel Eficiency Tax</t>
  </si>
  <si>
    <t>Admin Fees</t>
  </si>
  <si>
    <t>Pick-up L200 Diesel 2.4L GLX DC 4WD 6AT</t>
  </si>
  <si>
    <t>New Fuel Efficiency Tax</t>
  </si>
  <si>
    <t>Taleb Mohammad Sadeq AlKhalefa</t>
  </si>
  <si>
    <t>LandLine : 012 6691232  Mobile : +966 541200290</t>
  </si>
  <si>
    <t xml:space="preserve">+966 54 1200290 / </t>
  </si>
  <si>
    <t>No. 3915 Jeddah Al Madina Road, P.O. Box : 1342 Jeddah 21431 - KSA</t>
  </si>
  <si>
    <t>300208467100003</t>
  </si>
  <si>
    <t>1001975695</t>
  </si>
  <si>
    <t xml:space="preserve">  Delivery &amp; Payment : Dong Chang Kim / Daeshin Admin. [ Mobile No. : +966 53 748 5762 / Email : kdchjs@daeshinplant.com ]</t>
  </si>
  <si>
    <t>Division (In charge Name) : ADMIN MANAGER (Dong Chang Kim))</t>
  </si>
  <si>
    <t>ATCC</t>
  </si>
  <si>
    <t>ATCC(Alesayi Motors)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</si>
</sst>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50" fillId="0" borderId="0" xfId="2" applyFont="1" applyAlignment="1">
      <alignment vertical="center"/>
    </xf>
    <xf numFmtId="0" fontId="51" fillId="2" borderId="0" xfId="1" applyFont="1" applyFill="1" applyAlignment="1">
      <alignment vertical="center"/>
    </xf>
    <xf numFmtId="43" fontId="12" fillId="0" borderId="46" xfId="6" quotePrefix="1" applyNumberFormat="1" applyFont="1" applyBorder="1" applyAlignment="1">
      <alignment vertical="center" wrapText="1"/>
    </xf>
    <xf numFmtId="0" fontId="56" fillId="0" borderId="47" xfId="6" applyFont="1" applyBorder="1" applyAlignment="1">
      <alignment horizontal="center" vertical="center"/>
    </xf>
    <xf numFmtId="0" fontId="27" fillId="3" borderId="0" xfId="17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71F6EE4F-F523-4F5C-AE7C-038B1255A9BD}"/>
    <cellStyle name="쉼표 [0] 2 2 2 2" xfId="24" xr:uid="{52A2553B-BE8E-486C-B9C2-83C6797C831B}"/>
    <cellStyle name="쉼표 [0] 2 2 3" xfId="20" xr:uid="{0B67F555-AAEF-4B3F-B75B-79E9079BCB7C}"/>
    <cellStyle name="쉼표 [0] 2 2 4" xfId="12" xr:uid="{A4971AFA-3F8F-433E-8C9E-B3D305C45649}"/>
    <cellStyle name="쉼표 2" xfId="9" xr:uid="{F2A3A689-A30F-4FCA-9C51-F28F11796A46}"/>
    <cellStyle name="쉼표 2 2" xfId="18" xr:uid="{D4DCE1FA-DE01-4AE2-A82E-265BF73EA210}"/>
    <cellStyle name="쉼표 2 2 2" xfId="26" xr:uid="{1EBF310C-8AC5-4F89-B00A-8C4A0B38A452}"/>
    <cellStyle name="쉼표 2 3" xfId="22" xr:uid="{438314A8-A85F-47A5-972B-45B972875950}"/>
    <cellStyle name="쉼표 2 4" xfId="14" xr:uid="{DB88DE7E-3823-4B9A-8093-6A8CD8D95990}"/>
    <cellStyle name="표준 2 2" xfId="2" xr:uid="{12B761D3-4229-4E14-8168-D5975293A996}"/>
    <cellStyle name="표준 2 2 2" xfId="15" xr:uid="{F34F66FB-1743-4AFD-999C-AC9BECA04E57}"/>
    <cellStyle name="표준 2 2 2 2" xfId="23" xr:uid="{AAAC4C9B-DE1B-41A9-A6CD-F1BF5B2F176B}"/>
    <cellStyle name="표준 2 2 3" xfId="19" xr:uid="{3BAB3FB3-7040-4748-AE26-589613572FEA}"/>
    <cellStyle name="표준 2 2 4" xfId="11" xr:uid="{4EB8EE14-EA15-4BD2-AE88-A0DC6BCAAEF9}"/>
    <cellStyle name="표준 2 3 2 2" xfId="5" xr:uid="{BD51BFCC-3D36-446B-BE80-7856DF8371E9}"/>
    <cellStyle name="표준 2 3 2 2 2" xfId="17" xr:uid="{90EE49BA-B8B4-429B-88AE-1A28E8312A58}"/>
    <cellStyle name="표준 2 3 2 2 2 2" xfId="25" xr:uid="{FCBEE7D4-1C69-4658-9AFB-1CED2D8A864C}"/>
    <cellStyle name="표준 2 3 2 2 3" xfId="21" xr:uid="{DCFA3855-3178-432C-B684-229F68C7DE54}"/>
    <cellStyle name="표준 2 3 2 2 4" xfId="13" xr:uid="{9D84494F-6FF4-48DD-810D-A7DB0B0A42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12</xdr:col>
          <xdr:colOff>502</xdr:colOff>
          <xdr:row>23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1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view="pageBreakPreview" zoomScale="95" zoomScaleNormal="95" zoomScaleSheetLayoutView="95" workbookViewId="0">
      <selection activeCell="D22" sqref="D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100</v>
      </c>
      <c r="B1" s="124"/>
      <c r="C1" s="111"/>
      <c r="D1" s="111"/>
      <c r="E1" s="111"/>
      <c r="F1" s="111"/>
      <c r="G1" s="1"/>
      <c r="J1" s="144" t="s">
        <v>93</v>
      </c>
      <c r="K1" s="145"/>
      <c r="L1" s="146"/>
    </row>
    <row r="2" spans="1:19" ht="20.100000000000001" customHeight="1">
      <c r="A2" s="3" t="s">
        <v>1</v>
      </c>
      <c r="B2" s="102"/>
      <c r="C2" s="102"/>
      <c r="D2" s="3" t="s">
        <v>121</v>
      </c>
      <c r="E2" s="102"/>
      <c r="F2" s="102"/>
      <c r="G2" s="102"/>
      <c r="H2" s="102"/>
      <c r="I2" s="4"/>
      <c r="J2" s="152" t="s">
        <v>107</v>
      </c>
      <c r="K2" s="153"/>
      <c r="L2" s="154"/>
    </row>
    <row r="3" spans="1:19" ht="20.100000000000001" customHeight="1">
      <c r="A3" s="3" t="s">
        <v>106</v>
      </c>
      <c r="B3" s="102"/>
      <c r="C3" s="102"/>
      <c r="D3" s="102"/>
      <c r="E3" s="147">
        <f>+L3</f>
        <v>45734</v>
      </c>
      <c r="F3" s="147"/>
      <c r="G3" s="147"/>
      <c r="H3" s="147"/>
      <c r="I3" s="147"/>
      <c r="J3" s="102"/>
      <c r="K3" s="102"/>
      <c r="L3" s="123">
        <v>45734</v>
      </c>
      <c r="M3" s="4"/>
    </row>
    <row r="4" spans="1:19" ht="15.95" customHeight="1">
      <c r="A4" s="150" t="s">
        <v>2</v>
      </c>
      <c r="B4" s="151" t="s">
        <v>3</v>
      </c>
      <c r="C4" s="151"/>
      <c r="D4" s="155" t="s">
        <v>4</v>
      </c>
      <c r="E4" s="156"/>
      <c r="F4" s="157"/>
      <c r="G4" s="161" t="s">
        <v>5</v>
      </c>
      <c r="H4" s="148" t="s">
        <v>6</v>
      </c>
      <c r="I4" s="148" t="s">
        <v>98</v>
      </c>
      <c r="J4" s="150" t="s">
        <v>99</v>
      </c>
      <c r="K4" s="148" t="s">
        <v>0</v>
      </c>
      <c r="L4" s="151" t="s">
        <v>7</v>
      </c>
    </row>
    <row r="5" spans="1:19" ht="15.95" customHeight="1">
      <c r="A5" s="150"/>
      <c r="B5" s="151"/>
      <c r="C5" s="151"/>
      <c r="D5" s="158"/>
      <c r="E5" s="159"/>
      <c r="F5" s="160"/>
      <c r="G5" s="162"/>
      <c r="H5" s="149"/>
      <c r="I5" s="149"/>
      <c r="J5" s="150"/>
      <c r="K5" s="149"/>
      <c r="L5" s="151"/>
    </row>
    <row r="6" spans="1:19" ht="39" customHeight="1">
      <c r="A6" s="5">
        <f t="shared" ref="A6" si="0">ROW(A1)</f>
        <v>1</v>
      </c>
      <c r="B6" s="133" t="s">
        <v>108</v>
      </c>
      <c r="C6" s="134"/>
      <c r="D6" s="135" t="s">
        <v>109</v>
      </c>
      <c r="E6" s="136"/>
      <c r="F6" s="137"/>
      <c r="G6" s="112">
        <v>1</v>
      </c>
      <c r="H6" s="113">
        <v>1</v>
      </c>
      <c r="I6" s="114">
        <f>100000-3000</f>
        <v>97000</v>
      </c>
      <c r="J6" s="114">
        <f>H6*I6</f>
        <v>97000</v>
      </c>
      <c r="K6" s="115" t="s">
        <v>122</v>
      </c>
      <c r="L6" s="116"/>
      <c r="S6" s="107"/>
    </row>
    <row r="7" spans="1:19" ht="22.5" customHeight="1">
      <c r="A7" s="5">
        <f>ROW(A3)</f>
        <v>3</v>
      </c>
      <c r="B7" s="133" t="s">
        <v>102</v>
      </c>
      <c r="C7" s="134"/>
      <c r="D7" s="135"/>
      <c r="E7" s="136"/>
      <c r="F7" s="137"/>
      <c r="G7" s="112">
        <v>1</v>
      </c>
      <c r="H7" s="113">
        <v>1</v>
      </c>
      <c r="I7" s="114">
        <v>700</v>
      </c>
      <c r="J7" s="114">
        <f t="shared" ref="J7:J9" si="1">H7*I7</f>
        <v>700</v>
      </c>
      <c r="K7" s="115" t="s">
        <v>122</v>
      </c>
      <c r="L7" s="116" t="s">
        <v>103</v>
      </c>
      <c r="S7" s="107"/>
    </row>
    <row r="8" spans="1:19" ht="22.5" customHeight="1">
      <c r="A8" s="5">
        <f>ROW(A4)</f>
        <v>4</v>
      </c>
      <c r="B8" s="133" t="s">
        <v>110</v>
      </c>
      <c r="C8" s="134"/>
      <c r="D8" s="135"/>
      <c r="E8" s="136"/>
      <c r="F8" s="137"/>
      <c r="G8" s="112">
        <v>1</v>
      </c>
      <c r="H8" s="113">
        <v>1</v>
      </c>
      <c r="I8" s="114">
        <v>255</v>
      </c>
      <c r="J8" s="114">
        <f t="shared" si="1"/>
        <v>255</v>
      </c>
      <c r="K8" s="115" t="s">
        <v>122</v>
      </c>
      <c r="L8" s="116" t="s">
        <v>103</v>
      </c>
      <c r="S8" s="107"/>
    </row>
    <row r="9" spans="1:19" ht="22.5" customHeight="1">
      <c r="A9" s="5">
        <f>ROW(A5)</f>
        <v>5</v>
      </c>
      <c r="B9" s="133" t="s">
        <v>111</v>
      </c>
      <c r="C9" s="134"/>
      <c r="D9" s="143"/>
      <c r="E9" s="143"/>
      <c r="F9" s="143"/>
      <c r="G9" s="112">
        <v>1</v>
      </c>
      <c r="H9" s="113">
        <v>1</v>
      </c>
      <c r="I9" s="117">
        <v>434.78</v>
      </c>
      <c r="J9" s="114">
        <f t="shared" si="1"/>
        <v>434.78</v>
      </c>
      <c r="K9" s="115" t="s">
        <v>122</v>
      </c>
      <c r="L9" s="112"/>
      <c r="S9" s="107"/>
    </row>
    <row r="10" spans="1:19" ht="22.5" customHeight="1">
      <c r="A10" s="5">
        <f>ROW(A6)</f>
        <v>6</v>
      </c>
      <c r="B10" s="133"/>
      <c r="C10" s="134"/>
      <c r="D10" s="135"/>
      <c r="E10" s="136"/>
      <c r="F10" s="137"/>
      <c r="G10" s="112"/>
      <c r="H10" s="113"/>
      <c r="I10" s="114"/>
      <c r="J10" s="114"/>
      <c r="K10" s="115"/>
      <c r="L10" s="116"/>
      <c r="S10" s="107"/>
    </row>
    <row r="11" spans="1:19" ht="22.5" customHeight="1">
      <c r="A11" s="5">
        <f t="shared" ref="A11:A14" si="2">ROW(A7)</f>
        <v>7</v>
      </c>
      <c r="B11" s="142"/>
      <c r="C11" s="142"/>
      <c r="D11" s="143"/>
      <c r="E11" s="143"/>
      <c r="F11" s="143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2"/>
        <v>8</v>
      </c>
      <c r="B12" s="133"/>
      <c r="C12" s="134"/>
      <c r="D12" s="135"/>
      <c r="E12" s="136"/>
      <c r="F12" s="137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f t="shared" si="2"/>
        <v>9</v>
      </c>
      <c r="B13" s="133"/>
      <c r="C13" s="134"/>
      <c r="D13" s="135"/>
      <c r="E13" s="136"/>
      <c r="F13" s="137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2"/>
        <v>10</v>
      </c>
      <c r="B14" s="133"/>
      <c r="C14" s="134"/>
      <c r="D14" s="135"/>
      <c r="E14" s="136"/>
      <c r="F14" s="137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138" t="s">
        <v>8</v>
      </c>
      <c r="B15" s="139"/>
      <c r="C15" s="118"/>
      <c r="D15" s="119"/>
      <c r="E15" s="119"/>
      <c r="F15" s="119"/>
      <c r="G15" s="120"/>
      <c r="H15" s="120"/>
      <c r="I15" s="121" t="s">
        <v>9</v>
      </c>
      <c r="J15" s="114">
        <f>SUM(J6:J14)</f>
        <v>98389.78</v>
      </c>
      <c r="K15" s="114"/>
      <c r="L15" s="122"/>
    </row>
    <row r="16" spans="1:19" ht="20.100000000000001" customHeight="1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2" ht="18" customHeight="1">
      <c r="A17" s="10"/>
      <c r="J17" s="1"/>
      <c r="K17" s="1"/>
      <c r="O17" s="11"/>
      <c r="P17" s="11"/>
      <c r="Q17" s="11"/>
      <c r="S17" s="140" t="s">
        <v>11</v>
      </c>
      <c r="T17" s="12" t="s">
        <v>12</v>
      </c>
      <c r="U17" s="13" t="s">
        <v>13</v>
      </c>
      <c r="V17" s="12" t="s">
        <v>14</v>
      </c>
    </row>
    <row r="18" spans="1:22" ht="50.1" customHeight="1">
      <c r="S18" s="141"/>
      <c r="T18" s="14"/>
      <c r="U18" s="15"/>
      <c r="V18" s="14"/>
    </row>
    <row r="19" spans="1:22" ht="17.100000000000001" customHeight="1">
      <c r="O19" s="11"/>
      <c r="P19" s="11"/>
      <c r="Q19" s="11"/>
      <c r="S19" s="130"/>
      <c r="T19" s="15" t="s">
        <v>15</v>
      </c>
      <c r="U19" s="15" t="s">
        <v>15</v>
      </c>
      <c r="V19" s="16" t="s">
        <v>15</v>
      </c>
    </row>
    <row r="20" spans="1:22" ht="15" customHeight="1">
      <c r="O20" s="17" t="s">
        <v>16</v>
      </c>
      <c r="P20" s="129" t="s">
        <v>17</v>
      </c>
      <c r="Q20" s="129" t="s">
        <v>18</v>
      </c>
    </row>
    <row r="21" spans="1:22" ht="18" customHeight="1">
      <c r="O21" s="18" t="s">
        <v>19</v>
      </c>
      <c r="P21" s="131"/>
      <c r="Q21" s="131"/>
      <c r="S21" s="140" t="s">
        <v>20</v>
      </c>
      <c r="T21" s="12" t="s">
        <v>12</v>
      </c>
      <c r="U21" s="12" t="s">
        <v>13</v>
      </c>
      <c r="V21" s="12" t="s">
        <v>14</v>
      </c>
    </row>
    <row r="22" spans="1:22" ht="50.1" customHeight="1">
      <c r="O22" s="14"/>
      <c r="P22" s="14"/>
      <c r="Q22" s="14"/>
      <c r="S22" s="141"/>
      <c r="T22" s="19"/>
      <c r="U22" s="19"/>
      <c r="V22" s="14"/>
    </row>
    <row r="23" spans="1:22" ht="17.100000000000001" customHeight="1">
      <c r="O23" s="16" t="s">
        <v>15</v>
      </c>
      <c r="P23" s="16" t="s">
        <v>15</v>
      </c>
      <c r="Q23" s="16" t="s">
        <v>15</v>
      </c>
      <c r="S23" s="130"/>
      <c r="T23" s="15" t="s">
        <v>15</v>
      </c>
      <c r="U23" s="15" t="s">
        <v>15</v>
      </c>
      <c r="V23" s="16" t="s">
        <v>15</v>
      </c>
    </row>
    <row r="24" spans="1:22" ht="9.9499999999999993" customHeight="1"/>
    <row r="25" spans="1:22" ht="19.899999999999999" customHeight="1"/>
    <row r="26" spans="1:22" ht="17.45" customHeight="1">
      <c r="O26" s="132"/>
      <c r="P26" s="132"/>
      <c r="Q26" s="132"/>
    </row>
    <row r="27" spans="1:22" ht="19.899999999999999" customHeight="1">
      <c r="O27" s="132"/>
      <c r="P27" s="132"/>
      <c r="Q27" s="132"/>
    </row>
    <row r="28" spans="1:22" ht="14.25">
      <c r="O28" s="11"/>
      <c r="P28" s="11"/>
      <c r="Q28" s="11"/>
    </row>
    <row r="29" spans="1:22" ht="65.099999999999994" customHeight="1"/>
    <row r="30" spans="1:22" ht="14.25">
      <c r="O30" s="11"/>
      <c r="P30" s="11"/>
      <c r="Q30" s="11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29" t="s">
        <v>21</v>
      </c>
    </row>
    <row r="40" spans="15:22" ht="19.899999999999999" customHeight="1">
      <c r="T40" s="131"/>
    </row>
    <row r="41" spans="15:22" ht="64.900000000000006" customHeight="1">
      <c r="T41" s="14"/>
    </row>
    <row r="45" spans="15:22" ht="21" customHeight="1">
      <c r="O45" s="129" t="s">
        <v>21</v>
      </c>
      <c r="P45" s="129" t="s">
        <v>21</v>
      </c>
      <c r="Q45" s="129" t="s">
        <v>21</v>
      </c>
      <c r="T45" s="129" t="s">
        <v>22</v>
      </c>
      <c r="U45" s="129" t="s">
        <v>13</v>
      </c>
      <c r="V45" s="129" t="s">
        <v>21</v>
      </c>
    </row>
    <row r="46" spans="15:22" ht="21" customHeight="1">
      <c r="O46" s="131"/>
      <c r="P46" s="131"/>
      <c r="Q46" s="131"/>
      <c r="T46" s="130"/>
      <c r="U46" s="130"/>
      <c r="V46" s="131"/>
    </row>
    <row r="47" spans="15:22" ht="64.900000000000006" customHeight="1">
      <c r="O47" s="14"/>
      <c r="P47" s="14"/>
      <c r="Q47" s="14"/>
      <c r="T47" s="14"/>
      <c r="U47" s="15"/>
      <c r="V47" s="14"/>
    </row>
    <row r="48" spans="15:22" ht="7.15" customHeight="1"/>
    <row r="49" spans="15:22" ht="21" customHeight="1">
      <c r="O49" s="129" t="s">
        <v>21</v>
      </c>
      <c r="P49" s="129" t="s">
        <v>21</v>
      </c>
      <c r="Q49" s="129" t="s">
        <v>21</v>
      </c>
      <c r="T49" s="129" t="s">
        <v>13</v>
      </c>
      <c r="U49" s="129" t="s">
        <v>22</v>
      </c>
      <c r="V49" s="129" t="s">
        <v>21</v>
      </c>
    </row>
    <row r="50" spans="15:22" ht="21" customHeight="1">
      <c r="O50" s="131"/>
      <c r="P50" s="131"/>
      <c r="Q50" s="131"/>
      <c r="T50" s="130"/>
      <c r="U50" s="130"/>
      <c r="V50" s="131"/>
    </row>
    <row r="51" spans="15:22" ht="64.900000000000006" customHeight="1">
      <c r="O51" s="14"/>
      <c r="P51" s="14"/>
      <c r="Q51" s="14"/>
      <c r="T51" s="15"/>
      <c r="U51" s="14"/>
      <c r="V51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E3:I3"/>
    <mergeCell ref="I4:I5"/>
    <mergeCell ref="J4:J5"/>
    <mergeCell ref="K4:K5"/>
    <mergeCell ref="L4:L5"/>
    <mergeCell ref="J2:L2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A15:B15"/>
    <mergeCell ref="S17:S19"/>
    <mergeCell ref="P20:P21"/>
    <mergeCell ref="Q20:Q21"/>
    <mergeCell ref="S21:S23"/>
    <mergeCell ref="O26:O27"/>
    <mergeCell ref="P26:P27"/>
    <mergeCell ref="Q26:Q27"/>
    <mergeCell ref="T39:T40"/>
    <mergeCell ref="O45:O46"/>
    <mergeCell ref="P45:P46"/>
    <mergeCell ref="Q45:Q46"/>
    <mergeCell ref="T45:T46"/>
    <mergeCell ref="U45:U46"/>
    <mergeCell ref="V45:V46"/>
    <mergeCell ref="O49:O50"/>
    <mergeCell ref="P49:P50"/>
    <mergeCell ref="Q49:Q50"/>
    <mergeCell ref="T49:T50"/>
    <mergeCell ref="U49:U50"/>
    <mergeCell ref="V49:V50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97</v>
      </c>
      <c r="B1" s="101"/>
      <c r="C1" s="101"/>
      <c r="D1" s="101"/>
      <c r="E1" s="101"/>
      <c r="F1" s="101"/>
      <c r="G1" s="1"/>
      <c r="J1" s="173" t="str">
        <f>+MRS!J1</f>
        <v>DAESHIN PLANT</v>
      </c>
      <c r="K1" s="17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Kim))</v>
      </c>
      <c r="E2" s="102"/>
      <c r="F2" s="102"/>
      <c r="G2" s="20"/>
      <c r="H2" s="20"/>
      <c r="I2" s="20"/>
      <c r="J2" s="175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SAC2-DS-MRS-0036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45734</v>
      </c>
    </row>
    <row r="4" spans="1:18" ht="15.95" customHeight="1">
      <c r="A4" s="177" t="s">
        <v>2</v>
      </c>
      <c r="B4" s="178" t="s">
        <v>23</v>
      </c>
      <c r="C4" s="178"/>
      <c r="D4" s="177" t="s">
        <v>4</v>
      </c>
      <c r="E4" s="177"/>
      <c r="F4" s="177"/>
      <c r="G4" s="178" t="s">
        <v>5</v>
      </c>
      <c r="H4" s="177" t="s">
        <v>94</v>
      </c>
      <c r="I4" s="177" t="s">
        <v>24</v>
      </c>
      <c r="J4" s="177" t="s">
        <v>25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68" t="str">
        <f>MRS!B6</f>
        <v>Pick-up</v>
      </c>
      <c r="C6" s="169"/>
      <c r="D6" s="170" t="str">
        <f>MRS!D6</f>
        <v>L200 Diesel 2.4L GLX DC 4WD 6AT</v>
      </c>
      <c r="E6" s="171"/>
      <c r="F6" s="172"/>
      <c r="G6" s="104">
        <f>MRS!G6</f>
        <v>1</v>
      </c>
      <c r="H6" s="104">
        <f>MRS!H6</f>
        <v>1</v>
      </c>
      <c r="I6" s="105">
        <f>MRS!I6</f>
        <v>97000</v>
      </c>
      <c r="J6" s="105">
        <f>MRS!J6</f>
        <v>97000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68" t="str">
        <f>MRS!B7</f>
        <v>Registration Fee</v>
      </c>
      <c r="C7" s="169"/>
      <c r="D7" s="170">
        <f>MRS!D7</f>
        <v>0</v>
      </c>
      <c r="E7" s="171"/>
      <c r="F7" s="172"/>
      <c r="G7" s="104">
        <f>MRS!G7</f>
        <v>1</v>
      </c>
      <c r="H7" s="104">
        <f>MRS!H7</f>
        <v>1</v>
      </c>
      <c r="I7" s="105">
        <f>MRS!I7</f>
        <v>700</v>
      </c>
      <c r="J7" s="105">
        <f>MRS!J7</f>
        <v>700</v>
      </c>
      <c r="K7" s="106"/>
      <c r="O7" s="107"/>
      <c r="P7" s="107"/>
      <c r="R7" s="107"/>
    </row>
    <row r="8" spans="1:18" ht="105" customHeight="1">
      <c r="A8" s="21">
        <f>+MRS!A7</f>
        <v>3</v>
      </c>
      <c r="B8" s="168" t="str">
        <f>MRS!B8</f>
        <v>New Fuel Eficiency Tax</v>
      </c>
      <c r="C8" s="169"/>
      <c r="D8" s="170">
        <f>MRS!D8</f>
        <v>0</v>
      </c>
      <c r="E8" s="171"/>
      <c r="F8" s="172"/>
      <c r="G8" s="104">
        <f>MRS!G8</f>
        <v>1</v>
      </c>
      <c r="H8" s="104">
        <f>MRS!H8</f>
        <v>1</v>
      </c>
      <c r="I8" s="105">
        <f>MRS!I8</f>
        <v>255</v>
      </c>
      <c r="J8" s="105">
        <f>MRS!J8</f>
        <v>255</v>
      </c>
      <c r="K8" s="106"/>
      <c r="O8" s="107"/>
      <c r="P8" s="107"/>
      <c r="R8" s="107"/>
    </row>
    <row r="9" spans="1:18" ht="105" customHeight="1">
      <c r="A9" s="21">
        <f>+MRS!A8</f>
        <v>4</v>
      </c>
      <c r="B9" s="168" t="str">
        <f>MRS!B9</f>
        <v>Admin Fees</v>
      </c>
      <c r="C9" s="169"/>
      <c r="D9" s="170">
        <f>MRS!D9</f>
        <v>0</v>
      </c>
      <c r="E9" s="171"/>
      <c r="F9" s="172"/>
      <c r="G9" s="104">
        <f>MRS!G9</f>
        <v>1</v>
      </c>
      <c r="H9" s="104">
        <f>MRS!H9</f>
        <v>1</v>
      </c>
      <c r="I9" s="105">
        <f>MRS!I9</f>
        <v>434.78</v>
      </c>
      <c r="J9" s="105">
        <f>MRS!J9</f>
        <v>434.78</v>
      </c>
      <c r="K9" s="106"/>
      <c r="O9" s="107"/>
      <c r="P9" s="107"/>
      <c r="R9" s="107"/>
    </row>
    <row r="10" spans="1:18" ht="105" customHeight="1">
      <c r="A10" s="21">
        <f>+MRS!A9</f>
        <v>5</v>
      </c>
      <c r="B10" s="163"/>
      <c r="C10" s="164"/>
      <c r="D10" s="165"/>
      <c r="E10" s="166"/>
      <c r="F10" s="167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+MRS!A10</f>
        <v>6</v>
      </c>
      <c r="B11" s="163"/>
      <c r="C11" s="164"/>
      <c r="D11" s="165"/>
      <c r="E11" s="166"/>
      <c r="F11" s="16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7</v>
      </c>
      <c r="B12" s="163"/>
      <c r="C12" s="164"/>
      <c r="D12" s="165"/>
      <c r="E12" s="166"/>
      <c r="F12" s="16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8</v>
      </c>
      <c r="B13" s="163"/>
      <c r="C13" s="164"/>
      <c r="D13" s="165"/>
      <c r="E13" s="166"/>
      <c r="F13" s="16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9</v>
      </c>
      <c r="B14" s="163"/>
      <c r="C14" s="164"/>
      <c r="D14" s="165"/>
      <c r="E14" s="166"/>
      <c r="F14" s="16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+MRS!A14</f>
        <v>10</v>
      </c>
      <c r="B15" s="163"/>
      <c r="C15" s="164"/>
      <c r="D15" s="165"/>
      <c r="E15" s="166"/>
      <c r="F15" s="16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7"/>
  <sheetViews>
    <sheetView tabSelected="1" view="pageBreakPreview" topLeftCell="A17" zoomScale="130" zoomScaleSheetLayoutView="130" workbookViewId="0">
      <selection activeCell="Q31" sqref="Q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123</v>
      </c>
      <c r="D9" s="39"/>
      <c r="E9" s="39"/>
    </row>
    <row r="10" spans="2:13" s="39" customFormat="1">
      <c r="B10" s="72"/>
      <c r="C10" s="39" t="s">
        <v>33</v>
      </c>
      <c r="D10" s="76" t="s">
        <v>119</v>
      </c>
      <c r="J10" s="39" t="s">
        <v>34</v>
      </c>
      <c r="K10" s="180">
        <f>MRS!L3</f>
        <v>45734</v>
      </c>
      <c r="L10" s="181"/>
      <c r="M10" s="181"/>
    </row>
    <row r="11" spans="2:13" s="39" customFormat="1">
      <c r="B11" s="72"/>
      <c r="C11" s="75" t="s">
        <v>35</v>
      </c>
      <c r="D11" s="76" t="s">
        <v>118</v>
      </c>
      <c r="J11" s="39" t="s">
        <v>36</v>
      </c>
      <c r="K11" s="182" t="str">
        <f>SUBSTITUTE(SUBSTITUTE(+MRS!A3,"  MRS No : ",""),"-MRS","-PO")</f>
        <v>SAC2-DS-PO-0036</v>
      </c>
      <c r="L11" s="182"/>
      <c r="M11" s="182"/>
    </row>
    <row r="12" spans="2:13" s="39" customFormat="1">
      <c r="B12" s="72"/>
      <c r="C12" s="75" t="s">
        <v>37</v>
      </c>
      <c r="D12" s="39" t="s">
        <v>114</v>
      </c>
      <c r="J12" s="39" t="s">
        <v>38</v>
      </c>
    </row>
    <row r="13" spans="2:13" s="39" customFormat="1">
      <c r="B13" s="72"/>
      <c r="C13" s="77"/>
      <c r="D13" s="76" t="s">
        <v>116</v>
      </c>
      <c r="J13" s="39" t="s">
        <v>39</v>
      </c>
    </row>
    <row r="14" spans="2:13" s="39" customFormat="1">
      <c r="B14" s="72"/>
      <c r="C14" s="77" t="s">
        <v>117</v>
      </c>
      <c r="J14" s="39" t="s">
        <v>40</v>
      </c>
      <c r="K14" s="39">
        <v>434139</v>
      </c>
    </row>
    <row r="15" spans="2:13" s="39" customFormat="1">
      <c r="C15" s="77" t="s">
        <v>115</v>
      </c>
      <c r="J15" s="39" t="s">
        <v>41</v>
      </c>
      <c r="K15" s="78">
        <v>45724</v>
      </c>
    </row>
    <row r="16" spans="2:13" ht="12" customHeight="1">
      <c r="C16" s="29"/>
      <c r="K16" s="30"/>
    </row>
    <row r="17" spans="2:13" ht="20.25">
      <c r="B17" s="183" t="s">
        <v>42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</row>
    <row r="18" spans="2:13" ht="12" customHeight="1"/>
    <row r="19" spans="2:13" s="31" customFormat="1" ht="12" customHeight="1">
      <c r="B19" s="184" t="s">
        <v>43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</row>
    <row r="20" spans="2:13" s="31" customFormat="1" ht="12" customHeight="1">
      <c r="B20" s="184" t="s">
        <v>44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45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ht="6.95" customHeight="1"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s="32" customFormat="1" ht="20.100000000000001" customHeight="1">
      <c r="B24" s="32">
        <v>1</v>
      </c>
      <c r="C24" s="32" t="s">
        <v>46</v>
      </c>
    </row>
    <row r="25" spans="2:13" s="39" customFormat="1" ht="15" customHeight="1">
      <c r="B25" s="73"/>
      <c r="C25" s="76" t="s">
        <v>112</v>
      </c>
      <c r="M25" s="79" t="s">
        <v>47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48</v>
      </c>
    </row>
    <row r="28" spans="2:13" ht="15" customHeight="1">
      <c r="B28" s="32"/>
      <c r="C28" s="26" t="s">
        <v>49</v>
      </c>
      <c r="E28" s="26" t="s">
        <v>50</v>
      </c>
      <c r="F28" s="187">
        <f>+'PO 2nd page'!G18</f>
        <v>97434.78</v>
      </c>
      <c r="G28" s="187"/>
      <c r="H28" s="33" t="s">
        <v>51</v>
      </c>
      <c r="M28" s="34"/>
    </row>
    <row r="29" spans="2:13" ht="15" customHeight="1">
      <c r="B29" s="32"/>
      <c r="C29" s="26" t="s">
        <v>52</v>
      </c>
      <c r="E29" s="26" t="s">
        <v>50</v>
      </c>
      <c r="F29" s="187">
        <f>+F28*0.15</f>
        <v>14615.216999999999</v>
      </c>
      <c r="G29" s="187"/>
    </row>
    <row r="30" spans="2:13" ht="15" customHeight="1">
      <c r="B30" s="32"/>
      <c r="C30" s="26" t="s">
        <v>102</v>
      </c>
      <c r="E30" s="26" t="s">
        <v>50</v>
      </c>
      <c r="F30" s="187">
        <v>700</v>
      </c>
      <c r="G30" s="187"/>
      <c r="H30" s="33" t="s">
        <v>104</v>
      </c>
    </row>
    <row r="31" spans="2:13" ht="15" customHeight="1">
      <c r="B31" s="32"/>
      <c r="C31" s="26" t="s">
        <v>113</v>
      </c>
      <c r="F31" s="187">
        <v>255</v>
      </c>
      <c r="G31" s="187"/>
      <c r="H31" s="33" t="s">
        <v>104</v>
      </c>
    </row>
    <row r="32" spans="2:13" ht="15" customHeight="1">
      <c r="B32" s="32"/>
      <c r="C32" s="26" t="s">
        <v>53</v>
      </c>
      <c r="D32" s="35"/>
      <c r="E32" s="26" t="s">
        <v>50</v>
      </c>
      <c r="F32" s="187">
        <f>F28+F29+F30+F31</f>
        <v>113004.997</v>
      </c>
      <c r="G32" s="187"/>
      <c r="H32" s="33"/>
    </row>
    <row r="33" spans="2:13" ht="11.1" customHeight="1">
      <c r="B33" s="32"/>
    </row>
    <row r="34" spans="2:13" ht="20.100000000000001" customHeight="1">
      <c r="B34" s="32">
        <v>3</v>
      </c>
      <c r="C34" s="3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5" customHeight="1">
      <c r="B37" s="32"/>
      <c r="C37" s="22" t="s">
        <v>57</v>
      </c>
    </row>
    <row r="38" spans="2:13" ht="11.1" customHeight="1">
      <c r="B38" s="32"/>
    </row>
    <row r="39" spans="2:13" ht="20.100000000000001" customHeight="1">
      <c r="B39" s="32">
        <v>4</v>
      </c>
      <c r="C39" s="32" t="s">
        <v>58</v>
      </c>
    </row>
    <row r="40" spans="2:13" ht="15" customHeight="1">
      <c r="B40" s="32"/>
      <c r="C40" s="26" t="s">
        <v>59</v>
      </c>
    </row>
    <row r="41" spans="2:13" ht="11.1" customHeight="1">
      <c r="B41" s="32"/>
    </row>
    <row r="42" spans="2:13" ht="20.100000000000001" customHeight="1">
      <c r="B42" s="32">
        <v>5</v>
      </c>
      <c r="C42" s="32" t="s">
        <v>60</v>
      </c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6" t="s">
        <v>64</v>
      </c>
      <c r="D46" s="37"/>
      <c r="E46" s="38"/>
      <c r="F46" s="38"/>
      <c r="G46" s="38"/>
      <c r="H46" s="38"/>
      <c r="I46" s="38"/>
      <c r="J46" s="38"/>
      <c r="K46" s="38"/>
      <c r="L46" s="38"/>
      <c r="M46" s="38"/>
    </row>
    <row r="47" spans="2:13" ht="15" customHeight="1">
      <c r="B47" s="32"/>
      <c r="C47" s="39" t="s">
        <v>65</v>
      </c>
      <c r="D47" s="40"/>
      <c r="E47" s="41"/>
      <c r="F47" s="41"/>
      <c r="G47" s="41"/>
      <c r="H47" s="41"/>
      <c r="I47" s="41"/>
      <c r="J47" s="41"/>
      <c r="K47" s="41"/>
      <c r="L47" s="41"/>
      <c r="M47" s="41"/>
    </row>
    <row r="48" spans="2:13" ht="11.1" customHeight="1">
      <c r="B48" s="32"/>
    </row>
    <row r="49" spans="1:16" ht="20.100000000000001" customHeight="1">
      <c r="B49" s="32">
        <v>6</v>
      </c>
      <c r="C49" s="32" t="s">
        <v>66</v>
      </c>
    </row>
    <row r="50" spans="1:16" s="39" customFormat="1" ht="15" customHeight="1">
      <c r="B50" s="80" t="s">
        <v>67</v>
      </c>
      <c r="C50" s="81" t="s">
        <v>120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P50" s="82"/>
    </row>
    <row r="51" spans="1:16" s="83" customFormat="1" ht="15" customHeight="1">
      <c r="B51" s="84" t="s">
        <v>67</v>
      </c>
      <c r="C51" s="81" t="s">
        <v>96</v>
      </c>
    </row>
    <row r="52" spans="1:16" s="83" customFormat="1" ht="15" customHeight="1">
      <c r="B52" s="84" t="s">
        <v>67</v>
      </c>
      <c r="C52" s="81" t="s">
        <v>95</v>
      </c>
    </row>
    <row r="53" spans="1:16" ht="11.1" customHeight="1">
      <c r="B53" s="42"/>
    </row>
    <row r="54" spans="1:16" ht="3" customHeight="1"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6" ht="3" customHeight="1">
      <c r="B55" s="32"/>
    </row>
    <row r="56" spans="1:16" ht="11.1" customHeight="1">
      <c r="B56" s="42"/>
    </row>
    <row r="57" spans="1:16">
      <c r="B57" s="32" t="s">
        <v>68</v>
      </c>
      <c r="J57" s="32" t="s">
        <v>69</v>
      </c>
    </row>
    <row r="58" spans="1:16" ht="50.1" customHeight="1"/>
    <row r="59" spans="1:16" ht="18" customHeight="1">
      <c r="B59" s="26" t="s">
        <v>70</v>
      </c>
      <c r="J59" s="26" t="s">
        <v>70</v>
      </c>
    </row>
    <row r="60" spans="1:16" ht="18" customHeight="1">
      <c r="B60" s="26" t="s">
        <v>71</v>
      </c>
      <c r="J60" s="26" t="s">
        <v>72</v>
      </c>
      <c r="K60" s="22" t="str">
        <f>UPPER(D12)</f>
        <v>TALEB MOHAMMAD SADEQ ALKHALEFA</v>
      </c>
    </row>
    <row r="61" spans="1:16" ht="18" customHeight="1">
      <c r="B61" s="26" t="s">
        <v>73</v>
      </c>
      <c r="J61" s="26" t="s">
        <v>74</v>
      </c>
      <c r="K61" s="22" t="s">
        <v>101</v>
      </c>
    </row>
    <row r="62" spans="1:16" ht="15" customHeight="1">
      <c r="B62" s="26" t="s">
        <v>75</v>
      </c>
      <c r="J62" s="26" t="s">
        <v>76</v>
      </c>
    </row>
    <row r="63" spans="1:16" s="28" customFormat="1" ht="15" customHeight="1">
      <c r="B63" s="25" t="s">
        <v>77</v>
      </c>
      <c r="J63" s="32" t="str">
        <f>C9</f>
        <v>ATCC(Alesayi Motors)</v>
      </c>
    </row>
    <row r="64" spans="1:16" ht="27.95" customHeight="1">
      <c r="A64" s="179" t="s">
        <v>78</v>
      </c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</sheetData>
  <mergeCells count="14">
    <mergeCell ref="A64:M64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2:G32"/>
    <mergeCell ref="F30:G30"/>
    <mergeCell ref="F31:G31"/>
  </mergeCells>
  <phoneticPr fontId="6" type="noConversion"/>
  <printOptions horizontalCentered="1"/>
  <pageMargins left="0.39370078740157499" right="0.39370078740157499" top="0.143700787" bottom="0.143700787" header="0" footer="0"/>
  <pageSetup paperSize="9" scale="91" fitToHeight="0" orientation="portrait" r:id="rId1"/>
  <rowBreaks count="1" manualBreakCount="1">
    <brk id="86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topLeftCell="A3" zoomScaleSheetLayoutView="100" zoomScalePageLayoutView="55" workbookViewId="0">
      <selection activeCell="F15" sqref="F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SAC2-DS-PO-0036</v>
      </c>
      <c r="C2" s="194" t="s">
        <v>80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45734</v>
      </c>
      <c r="C3" s="51"/>
      <c r="D3" s="52"/>
      <c r="E3" s="195" t="s">
        <v>82</v>
      </c>
      <c r="F3" s="195"/>
      <c r="G3" s="195"/>
      <c r="H3" s="195"/>
      <c r="I3" s="53"/>
    </row>
    <row r="4" spans="1:13" s="55" customFormat="1" ht="28.5" customHeight="1" thickTop="1">
      <c r="A4" s="196" t="s">
        <v>83</v>
      </c>
      <c r="B4" s="198" t="s">
        <v>84</v>
      </c>
      <c r="C4" s="199"/>
      <c r="D4" s="202" t="s">
        <v>85</v>
      </c>
      <c r="E4" s="202" t="s">
        <v>86</v>
      </c>
      <c r="F4" s="204" t="str">
        <f>'PO 1st page'!C9</f>
        <v>ATCC(Alesayi Motors)</v>
      </c>
      <c r="G4" s="205"/>
      <c r="H4" s="206" t="s">
        <v>87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88</v>
      </c>
      <c r="G5" s="57" t="s">
        <v>53</v>
      </c>
      <c r="H5" s="207"/>
      <c r="K5" s="56"/>
      <c r="L5" s="56"/>
      <c r="M5" s="56"/>
    </row>
    <row r="6" spans="1:13" s="55" customFormat="1" ht="32.25" customHeight="1">
      <c r="A6" s="85">
        <f t="shared" ref="A6:A17" si="0">ROW(A1)</f>
        <v>1</v>
      </c>
      <c r="B6" s="208" t="str">
        <f>MRS!B6</f>
        <v>Pick-up</v>
      </c>
      <c r="C6" s="209"/>
      <c r="D6" s="86">
        <f>+'MRS LIST'!G6</f>
        <v>1</v>
      </c>
      <c r="E6" s="87">
        <f>+'MRS LIST'!H6</f>
        <v>1</v>
      </c>
      <c r="F6" s="88">
        <f>+'MRS LIST'!I6</f>
        <v>97000</v>
      </c>
      <c r="G6" s="89">
        <f>+'MRS LIST'!J6</f>
        <v>97000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208" t="str">
        <f>'MRS LIST'!B9</f>
        <v>Admin Fees</v>
      </c>
      <c r="C7" s="209"/>
      <c r="D7" s="86">
        <f>+'MRS LIST'!G7</f>
        <v>1</v>
      </c>
      <c r="E7" s="87">
        <f>+'MRS LIST'!H7</f>
        <v>1</v>
      </c>
      <c r="F7" s="88">
        <f>'MRS LIST'!I9</f>
        <v>434.78</v>
      </c>
      <c r="G7" s="89">
        <f>F7</f>
        <v>434.78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8"/>
      <c r="C8" s="209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208"/>
      <c r="C9" s="209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2"/>
      <c r="C10" s="19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2"/>
      <c r="C12" s="19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2"/>
      <c r="C13" s="19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2"/>
      <c r="C14" s="19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2"/>
      <c r="C15" s="19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2"/>
      <c r="C16" s="19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2"/>
      <c r="C17" s="193"/>
      <c r="D17" s="94"/>
      <c r="E17" s="95"/>
      <c r="F17" s="96"/>
      <c r="G17" s="97"/>
      <c r="H17" s="98"/>
    </row>
    <row r="18" spans="1:13" s="55" customFormat="1" ht="23.1" customHeight="1">
      <c r="A18" s="188" t="s">
        <v>89</v>
      </c>
      <c r="B18" s="189"/>
      <c r="C18" s="189"/>
      <c r="D18" s="189"/>
      <c r="E18" s="189"/>
      <c r="F18" s="189"/>
      <c r="G18" s="58">
        <f>SUM(G6:G17)</f>
        <v>97434.78</v>
      </c>
      <c r="H18" s="59"/>
    </row>
    <row r="19" spans="1:13" s="55" customFormat="1" ht="23.1" customHeight="1">
      <c r="A19" s="188" t="s">
        <v>52</v>
      </c>
      <c r="B19" s="189"/>
      <c r="C19" s="189"/>
      <c r="D19" s="189"/>
      <c r="E19" s="189"/>
      <c r="F19" s="189"/>
      <c r="G19" s="58">
        <f>+G18*0.15</f>
        <v>14615.216999999999</v>
      </c>
      <c r="H19" s="59"/>
    </row>
    <row r="20" spans="1:13" s="55" customFormat="1" ht="23.1" customHeight="1">
      <c r="A20" s="188" t="s">
        <v>102</v>
      </c>
      <c r="B20" s="189"/>
      <c r="C20" s="189"/>
      <c r="D20" s="189"/>
      <c r="E20" s="189"/>
      <c r="F20" s="189"/>
      <c r="G20" s="126">
        <v>700</v>
      </c>
      <c r="H20" s="127" t="s">
        <v>105</v>
      </c>
    </row>
    <row r="21" spans="1:13" s="55" customFormat="1" ht="23.1" customHeight="1">
      <c r="A21" s="188" t="s">
        <v>113</v>
      </c>
      <c r="B21" s="189"/>
      <c r="C21" s="189"/>
      <c r="D21" s="189"/>
      <c r="E21" s="189"/>
      <c r="F21" s="189"/>
      <c r="G21" s="126">
        <v>255</v>
      </c>
      <c r="H21" s="127" t="s">
        <v>105</v>
      </c>
    </row>
    <row r="22" spans="1:13" s="55" customFormat="1" ht="24.95" customHeight="1" thickBot="1">
      <c r="A22" s="190" t="s">
        <v>90</v>
      </c>
      <c r="B22" s="191"/>
      <c r="C22" s="191"/>
      <c r="D22" s="191"/>
      <c r="E22" s="191"/>
      <c r="F22" s="191"/>
      <c r="G22" s="60">
        <f>SUM(G18:G21)</f>
        <v>113004.997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434139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91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79" t="s">
        <v>92</v>
      </c>
      <c r="B26" s="179"/>
      <c r="C26" s="179"/>
      <c r="D26" s="179"/>
      <c r="E26" s="179"/>
      <c r="F26" s="179"/>
      <c r="G26" s="179"/>
      <c r="H26" s="179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2:F22"/>
    <mergeCell ref="A26:H26"/>
    <mergeCell ref="B12:C12"/>
    <mergeCell ref="B13:C13"/>
    <mergeCell ref="B14:C14"/>
    <mergeCell ref="B15:C15"/>
    <mergeCell ref="B16:C16"/>
    <mergeCell ref="B17:C17"/>
    <mergeCell ref="A20:F20"/>
    <mergeCell ref="A21:F2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2025-03-18T04:50:44Z</cp:lastPrinted>
  <dcterms:created xsi:type="dcterms:W3CDTF">2024-10-20T11:50:19Z</dcterms:created>
  <dcterms:modified xsi:type="dcterms:W3CDTF">2025-03-27T02:47:44Z</dcterms:modified>
</cp:coreProperties>
</file>