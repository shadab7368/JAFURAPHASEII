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A830E12-E1DE-4831-95E1-796D7CA7BBF6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6" i="4" l="1"/>
  <c r="C26" i="3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<sst xmlns="http://schemas.openxmlformats.org/spreadsheetml/2006/main" count="159" uniqueCount="137">
  <si>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</si>
  <si>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</si>
  <si>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</si>
  <si>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</si>
  <si>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</si>
  <si>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</si>
  <si>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</si>
  <si>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</si>
  <si>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</si>
  <si>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</si>
  <si>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</si>
  <si>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</si>
  <si>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</si>
  <si>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</si>
  <si>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</si>
  <si>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</si>
  <si>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</si>
  <si>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</si>
  <si>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</si>
  <si>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</si>
  <si>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</si>
  <si>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</si>
  <si>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</si>
  <si>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</si>
  <si>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</si>
  <si>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</si>
  <si>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</si>
  <si>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</si>
  <si>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</si>
  <si>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</si>
  <si>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</si>
  <si>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</si>
  <si>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</si>
  <si>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</si>
  <si>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</si>
  <si>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</si>
  <si>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</si>
  <si>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</si>
  <si>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</si>
  <si>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</si>
  <si>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</si>
  <si>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</si>
  <si>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</si>
  <si>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</si>
  <si>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</si>
  <si>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</si>
  <si>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</si>
  <si>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</si>
  <si>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</si>
  <si>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</si>
  <si>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</si>
  <si>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</si>
  <si>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</si>
  <si>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</si>
  <si>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</si>
  <si>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</si>
  <si>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</si>
  <si>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</si>
  <si>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</si>
  <si>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</si>
  <si>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</si>
  <si>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</si>
  <si>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</si>
  <si>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</si>
  <si>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</si>
  <si>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</si>
  <si>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</si>
  <si>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</si>
  <si>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</si>
  <si>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</si>
  <si>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</si>
  <si>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</si>
  <si>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</si>
  <si>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</si>
  <si>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</si>
  <si>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</si>
  <si>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</si>
  <si>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</si>
  <si>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</si>
  <si>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</si>
  <si>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</si>
  <si>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</si>
  <si>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</si>
  <si>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</si>
  <si>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</si>
  <si>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</si>
  <si>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</si>
  <si>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</si>
  <si>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</si>
  <si>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</si>
  <si>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ENG. &amp; CONST. CO., LTD.</t>
  </si>
  <si>
    <t>Monthly Based</t>
  </si>
  <si>
    <t>Marketing Manager</t>
  </si>
  <si>
    <t>Branch of Hyundai Engineering and Const. Co., Ltd. (HDEC)</t>
  </si>
  <si>
    <t>7050683643</t>
  </si>
  <si>
    <t>313115935700003</t>
  </si>
  <si>
    <t>Mobile No. +966 56 588 8861 / email: info@trindusksa.com</t>
  </si>
  <si>
    <t>Building No. 7830, Al Jubail 35514, KSA</t>
  </si>
  <si>
    <t>Mobile: +966 56 588 8861</t>
  </si>
  <si>
    <t>Month</t>
  </si>
  <si>
    <t>TEC(Trindus Engineering Company)</t>
  </si>
  <si>
    <t>TEC</t>
  </si>
  <si>
    <t>Monthly</t>
  </si>
  <si>
    <t>Salem Mohammed S.Almarri</t>
  </si>
  <si>
    <t>Bank Account Details:</t>
  </si>
  <si>
    <t>SAR</t>
  </si>
  <si>
    <t>TRINDUS ENGINEERING COMPANY</t>
  </si>
  <si>
    <t>18300-001-0006080417557</t>
  </si>
  <si>
    <t>ALRAJHI BANK</t>
  </si>
  <si>
    <t>RJHISARI</t>
  </si>
  <si>
    <t xml:space="preserve">  Invoicing : Nehal Kauser / HDEC Purchase PIC [ Mobile No. : +966 50 610 2363 / Email : nehal_kauser@hdec.co.kr ]</t>
  </si>
  <si>
    <t xml:space="preserve">  ACCOUNT NAME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</si>
  <si>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</si>
  <si>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</si>
  <si>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</si>
  <si>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</si>
  <si>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</si>
  <si>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</si>
  <si>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SA89 8000 0183 6080 1041 7557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</si>
  <si>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-MRS-0344</t>
    </r>
  </si>
  <si>
    <t>Pick up</t>
  </si>
  <si>
    <t>4x4 without Driver</t>
  </si>
  <si>
    <t>TRE/DAESHIN/EQ-002-032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</si>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</sst>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0" fillId="3" borderId="0" xfId="5" applyFont="1" applyFill="1"/>
    <xf numFmtId="0" fontId="17" fillId="3" borderId="0" xfId="5" quotePrefix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12" fillId="3" borderId="15" xfId="0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65" fontId="47" fillId="2" borderId="7" xfId="1" applyNumberFormat="1" applyFont="1" applyFill="1" applyBorder="1" applyAlignment="1">
      <alignment horizontal="lef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770021</xdr:colOff>
          <xdr:row>17</xdr:row>
          <xdr:rowOff>48126</xdr:rowOff>
        </xdr:from>
        <xdr:to>
          <xdr:col>11</xdr:col>
          <xdr:colOff>1617746</xdr:colOff>
          <xdr:row>23</xdr:row>
          <xdr:rowOff>286251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85C7406-24B7-B230-479F-A86AC593BE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2100" y="5031205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214" t="s">
        <v>135</v>
      </c>
      <c r="B1" s="215"/>
      <c r="C1" s="105"/>
      <c r="D1" s="105"/>
      <c r="E1" s="105"/>
      <c r="F1" s="105"/>
      <c r="G1" s="1"/>
      <c r="J1" s="138" t="s">
        <v>81</v>
      </c>
      <c r="K1" s="139"/>
      <c r="L1" s="140"/>
    </row>
    <row r="2" spans="1:18" ht="20.100000000000001" customHeight="1">
      <c r="A2" s="3" t="s">
        <v>1</v>
      </c>
      <c r="B2" s="96"/>
      <c r="C2" s="96"/>
      <c r="D2" s="3" t="s">
        <v>136</v>
      </c>
      <c r="E2" s="96"/>
      <c r="F2" s="96"/>
      <c r="G2" s="96"/>
      <c r="H2" s="96"/>
      <c r="I2" s="4"/>
      <c r="J2" s="141" t="s">
        <v>87</v>
      </c>
      <c r="K2" s="142"/>
      <c r="L2" s="143"/>
    </row>
    <row r="3" spans="1:18" ht="20.100000000000001" customHeight="1">
      <c r="A3" s="3" t="s">
        <v>119</v>
      </c>
      <c r="B3" s="96"/>
      <c r="C3" s="96"/>
      <c r="D3" s="96"/>
      <c r="E3" s="216">
        <f>+L3+3</f>
        <v>46243</v>
      </c>
      <c r="F3" s="216"/>
      <c r="G3" s="216"/>
      <c r="H3" s="216"/>
      <c r="I3" s="216"/>
      <c r="J3" s="96"/>
      <c r="K3" s="96"/>
      <c r="L3" s="117">
        <v>46240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54" t="s">
        <v>6</v>
      </c>
      <c r="I4" s="154" t="s">
        <v>84</v>
      </c>
      <c r="J4" s="144" t="s">
        <v>85</v>
      </c>
      <c r="K4" s="154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55"/>
      <c r="I5" s="155"/>
      <c r="J5" s="144"/>
      <c r="K5" s="155"/>
      <c r="L5" s="145"/>
    </row>
    <row r="6" spans="1:18" ht="22.5" customHeight="1">
      <c r="A6" s="5">
        <f t="shared" ref="A6:A15" si="0">ROW(A1)</f>
        <v>1</v>
      </c>
      <c r="B6" s="127" t="s">
        <v>120</v>
      </c>
      <c r="C6" s="128"/>
      <c r="D6" s="129" t="s">
        <v>121</v>
      </c>
      <c r="E6" s="130"/>
      <c r="F6" s="131"/>
      <c r="G6" s="106" t="s">
        <v>99</v>
      </c>
      <c r="H6" s="107">
        <v>1</v>
      </c>
      <c r="I6" s="108">
        <v>4500</v>
      </c>
      <c r="J6" s="108">
        <f>I6*H6</f>
        <v>4500</v>
      </c>
      <c r="K6" s="109" t="s">
        <v>101</v>
      </c>
      <c r="L6" s="110" t="s">
        <v>102</v>
      </c>
      <c r="R6" s="101"/>
    </row>
    <row r="7" spans="1:18" ht="22.5" customHeight="1">
      <c r="A7" s="5">
        <f t="shared" si="0"/>
        <v>2</v>
      </c>
      <c r="B7" s="127"/>
      <c r="C7" s="128"/>
      <c r="D7" s="137"/>
      <c r="E7" s="130"/>
      <c r="F7" s="131"/>
      <c r="G7" s="106"/>
      <c r="H7" s="107"/>
      <c r="I7" s="108"/>
      <c r="J7" s="108"/>
      <c r="K7" s="109"/>
      <c r="L7" s="110"/>
      <c r="R7" s="101"/>
    </row>
    <row r="8" spans="1:18" ht="22.5" customHeight="1">
      <c r="A8" s="5">
        <f t="shared" si="0"/>
        <v>3</v>
      </c>
      <c r="B8" s="127"/>
      <c r="C8" s="128"/>
      <c r="D8" s="129"/>
      <c r="E8" s="130"/>
      <c r="F8" s="131"/>
      <c r="G8" s="106"/>
      <c r="H8" s="107"/>
      <c r="I8" s="108"/>
      <c r="J8" s="108"/>
      <c r="K8" s="109"/>
      <c r="L8" s="110"/>
      <c r="R8" s="101"/>
    </row>
    <row r="9" spans="1:18" ht="22.5" customHeight="1">
      <c r="A9" s="5">
        <f t="shared" si="0"/>
        <v>4</v>
      </c>
      <c r="B9" s="127"/>
      <c r="C9" s="128"/>
      <c r="D9" s="129"/>
      <c r="E9" s="130"/>
      <c r="F9" s="131"/>
      <c r="G9" s="106"/>
      <c r="H9" s="107"/>
      <c r="I9" s="108"/>
      <c r="J9" s="108"/>
      <c r="K9" s="109"/>
      <c r="L9" s="110"/>
      <c r="R9" s="101"/>
    </row>
    <row r="10" spans="1:18" ht="22.5" customHeight="1">
      <c r="A10" s="5">
        <f t="shared" si="0"/>
        <v>5</v>
      </c>
      <c r="B10" s="135"/>
      <c r="C10" s="135"/>
      <c r="D10" s="136"/>
      <c r="E10" s="136"/>
      <c r="F10" s="136"/>
      <c r="G10" s="106"/>
      <c r="H10" s="107"/>
      <c r="I10" s="111"/>
      <c r="J10" s="108"/>
      <c r="K10" s="109"/>
      <c r="L10" s="106"/>
      <c r="R10" s="101"/>
    </row>
    <row r="11" spans="1:18" ht="22.5" customHeight="1">
      <c r="A11" s="5">
        <f t="shared" si="0"/>
        <v>6</v>
      </c>
      <c r="B11" s="127"/>
      <c r="C11" s="128"/>
      <c r="D11" s="129"/>
      <c r="E11" s="130"/>
      <c r="F11" s="131"/>
      <c r="G11" s="106"/>
      <c r="H11" s="107"/>
      <c r="I11" s="108"/>
      <c r="J11" s="108">
        <f t="shared" ref="J11" si="1">H11*I11</f>
        <v>0</v>
      </c>
      <c r="K11" s="109"/>
      <c r="L11" s="110"/>
      <c r="R11" s="101"/>
    </row>
    <row r="12" spans="1:18" ht="22.5" customHeight="1">
      <c r="A12" s="5">
        <f t="shared" si="0"/>
        <v>7</v>
      </c>
      <c r="B12" s="135"/>
      <c r="C12" s="135"/>
      <c r="D12" s="136"/>
      <c r="E12" s="136"/>
      <c r="F12" s="136"/>
      <c r="G12" s="106"/>
      <c r="H12" s="107"/>
      <c r="I12" s="111"/>
      <c r="J12" s="108"/>
      <c r="K12" s="109"/>
      <c r="L12" s="106"/>
      <c r="R12" s="101"/>
    </row>
    <row r="13" spans="1:18" ht="22.5" customHeight="1">
      <c r="A13" s="5">
        <f t="shared" si="0"/>
        <v>8</v>
      </c>
      <c r="B13" s="127"/>
      <c r="C13" s="128"/>
      <c r="D13" s="129"/>
      <c r="E13" s="130"/>
      <c r="F13" s="131"/>
      <c r="G13" s="106"/>
      <c r="H13" s="107"/>
      <c r="I13" s="108"/>
      <c r="J13" s="108"/>
      <c r="K13" s="109"/>
      <c r="L13" s="110"/>
      <c r="R13" s="101"/>
    </row>
    <row r="14" spans="1:18" ht="22.5" customHeight="1">
      <c r="A14" s="5">
        <f t="shared" si="0"/>
        <v>9</v>
      </c>
      <c r="B14" s="127"/>
      <c r="C14" s="128"/>
      <c r="D14" s="129"/>
      <c r="E14" s="130"/>
      <c r="F14" s="131"/>
      <c r="G14" s="106"/>
      <c r="H14" s="107"/>
      <c r="I14" s="108"/>
      <c r="J14" s="108"/>
      <c r="K14" s="109"/>
      <c r="L14" s="110"/>
      <c r="R14" s="101"/>
    </row>
    <row r="15" spans="1:18" ht="22.5" customHeight="1">
      <c r="A15" s="5">
        <f t="shared" si="0"/>
        <v>10</v>
      </c>
      <c r="B15" s="127"/>
      <c r="C15" s="128"/>
      <c r="D15" s="129"/>
      <c r="E15" s="130"/>
      <c r="F15" s="131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32" t="s">
        <v>8</v>
      </c>
      <c r="B16" s="133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4500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99"/>
      <c r="Z18" s="11"/>
    </row>
    <row r="19" spans="1:26" ht="50.1" customHeight="1">
      <c r="Y19" s="200"/>
    </row>
    <row r="20" spans="1:26" ht="15" customHeight="1">
      <c r="O20" s="201" t="s">
        <v>123</v>
      </c>
      <c r="P20" s="202"/>
      <c r="Q20" s="202"/>
      <c r="R20" s="203"/>
      <c r="S20" s="122"/>
      <c r="T20" s="201" t="s">
        <v>124</v>
      </c>
      <c r="U20" s="202"/>
      <c r="V20" s="202"/>
      <c r="W20" s="202"/>
      <c r="X20" s="202"/>
      <c r="Y20" s="203"/>
    </row>
    <row r="21" spans="1:26" ht="15" customHeight="1">
      <c r="O21" s="134" t="s">
        <v>125</v>
      </c>
      <c r="P21" s="123" t="s">
        <v>126</v>
      </c>
      <c r="Q21" s="134" t="s">
        <v>127</v>
      </c>
      <c r="R21" s="123" t="s">
        <v>128</v>
      </c>
      <c r="S21" s="122"/>
      <c r="T21" s="134" t="s">
        <v>129</v>
      </c>
      <c r="U21" s="123" t="s">
        <v>130</v>
      </c>
      <c r="V21" s="201" t="s">
        <v>131</v>
      </c>
      <c r="W21" s="202"/>
      <c r="X21" s="203"/>
      <c r="Y21" s="123" t="s">
        <v>132</v>
      </c>
    </row>
    <row r="22" spans="1:26" ht="18" customHeight="1">
      <c r="O22" s="124"/>
      <c r="P22" s="125"/>
      <c r="Q22" s="124"/>
      <c r="R22" s="125"/>
      <c r="S22" s="204"/>
      <c r="T22" s="124"/>
      <c r="U22" s="125"/>
      <c r="V22" s="13" t="s">
        <v>125</v>
      </c>
      <c r="W22" s="205" t="s">
        <v>133</v>
      </c>
      <c r="X22" s="206"/>
      <c r="Y22" s="125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201"/>
      <c r="X23" s="203"/>
      <c r="Y23" s="207"/>
    </row>
    <row r="24" spans="1:26" ht="36" customHeight="1">
      <c r="W24" s="208"/>
      <c r="X24" s="209" t="s">
        <v>134</v>
      </c>
      <c r="Y24" s="12" t="s">
        <v>132</v>
      </c>
    </row>
    <row r="25" spans="1:26" ht="50.1" customHeight="1">
      <c r="O25" s="210"/>
      <c r="P25" s="210"/>
      <c r="Q25" s="210"/>
      <c r="R25" s="210"/>
      <c r="S25" s="210"/>
      <c r="T25" s="210"/>
      <c r="U25" s="210"/>
      <c r="V25" s="210"/>
      <c r="W25" s="211"/>
      <c r="X25" s="212"/>
      <c r="Y25" s="213"/>
    </row>
    <row r="26" spans="1:26" ht="19.899999999999999" customHeight="1"/>
    <row r="27" spans="1:26" ht="17.45" customHeight="1">
      <c r="O27" s="126"/>
      <c r="P27" s="126"/>
      <c r="Q27" s="126"/>
    </row>
    <row r="28" spans="1:26" ht="19.899999999999999" customHeight="1">
      <c r="O28" s="126"/>
      <c r="P28" s="126"/>
      <c r="Q28" s="126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3" t="s">
        <v>12</v>
      </c>
      <c r="P46" s="123" t="s">
        <v>12</v>
      </c>
      <c r="S46" s="123" t="s">
        <v>11</v>
      </c>
    </row>
    <row r="47" spans="15:19" ht="21" customHeight="1">
      <c r="O47" s="125"/>
      <c r="P47" s="125"/>
      <c r="S47" s="124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3" t="s">
        <v>12</v>
      </c>
      <c r="P50" s="123" t="s">
        <v>12</v>
      </c>
      <c r="S50" s="123" t="s">
        <v>13</v>
      </c>
    </row>
    <row r="51" spans="15:19" ht="21" customHeight="1">
      <c r="O51" s="125"/>
      <c r="P51" s="125"/>
      <c r="S51" s="124"/>
    </row>
    <row r="52" spans="15:19" ht="64.900000000000006" customHeight="1">
      <c r="O52" s="14"/>
      <c r="P52" s="14"/>
      <c r="S52" s="14"/>
    </row>
  </sheetData>
  <mergeCells count="56">
    <mergeCell ref="W23:X23"/>
    <mergeCell ref="X24:X25"/>
    <mergeCell ref="Q27:Q28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86</v>
      </c>
      <c r="B1" s="95"/>
      <c r="C1" s="95"/>
      <c r="D1" s="95"/>
      <c r="E1" s="95"/>
      <c r="F1" s="95"/>
      <c r="G1" s="1"/>
      <c r="J1" s="138" t="str">
        <f>+MRS!J1</f>
        <v>DAESHIN PLANT</v>
      </c>
      <c r="K1" s="140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SAC2-DS-MRS-0344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46240</v>
      </c>
    </row>
    <row r="4" spans="1:18" ht="15.95" customHeight="1">
      <c r="A4" s="166" t="s">
        <v>2</v>
      </c>
      <c r="B4" s="167" t="s">
        <v>14</v>
      </c>
      <c r="C4" s="167"/>
      <c r="D4" s="166" t="s">
        <v>4</v>
      </c>
      <c r="E4" s="166"/>
      <c r="F4" s="166"/>
      <c r="G4" s="167" t="s">
        <v>5</v>
      </c>
      <c r="H4" s="166" t="s">
        <v>82</v>
      </c>
      <c r="I4" s="166" t="s">
        <v>15</v>
      </c>
      <c r="J4" s="166" t="s">
        <v>16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17">
        <f>+MRS!A6</f>
        <v>1</v>
      </c>
      <c r="B6" s="161" t="str">
        <f>MRS!B6</f>
        <v>Pick up</v>
      </c>
      <c r="C6" s="162"/>
      <c r="D6" s="163" t="str">
        <f>MRS!D6</f>
        <v>4x4 without Driver</v>
      </c>
      <c r="E6" s="164"/>
      <c r="F6" s="165"/>
      <c r="G6" s="98" t="str">
        <f>MRS!G6</f>
        <v>Month</v>
      </c>
      <c r="H6" s="98">
        <f>MRS!H6</f>
        <v>1</v>
      </c>
      <c r="I6" s="99">
        <f>MRS!I6</f>
        <v>4500</v>
      </c>
      <c r="J6" s="99">
        <f>MRS!J6</f>
        <v>4500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56"/>
      <c r="C12" s="157"/>
      <c r="D12" s="158"/>
      <c r="E12" s="159"/>
      <c r="F12" s="160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56"/>
      <c r="C13" s="157"/>
      <c r="D13" s="158"/>
      <c r="E13" s="159"/>
      <c r="F13" s="160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56"/>
      <c r="C14" s="157"/>
      <c r="D14" s="158"/>
      <c r="E14" s="159"/>
      <c r="F14" s="160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56"/>
      <c r="C15" s="157"/>
      <c r="D15" s="158"/>
      <c r="E15" s="159"/>
      <c r="F15" s="160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56"/>
      <c r="C16" s="157"/>
      <c r="D16" s="158"/>
      <c r="E16" s="159"/>
      <c r="F16" s="160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56"/>
      <c r="C17" s="157"/>
      <c r="D17" s="158"/>
      <c r="E17" s="159"/>
      <c r="F17" s="160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P25" sqref="P2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100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169">
        <f>MRS!L3</f>
        <v>46240</v>
      </c>
      <c r="L10" s="170"/>
      <c r="M10" s="170"/>
    </row>
    <row r="11" spans="2:13" s="34" customFormat="1">
      <c r="B11" s="67"/>
      <c r="C11" s="70" t="s">
        <v>25</v>
      </c>
      <c r="D11" s="71" t="s">
        <v>95</v>
      </c>
      <c r="J11" s="34" t="s">
        <v>26</v>
      </c>
      <c r="K11" s="171" t="str">
        <f>SUBSTITUTE(SUBSTITUTE(+MRS!A3,"  MRS No : ",""),"-MRS","-PO")</f>
        <v>SAC2-DS-PO-0344</v>
      </c>
      <c r="L11" s="171"/>
      <c r="M11" s="171"/>
    </row>
    <row r="12" spans="2:13" s="34" customFormat="1">
      <c r="B12" s="67"/>
      <c r="C12" s="70" t="s">
        <v>27</v>
      </c>
      <c r="D12" s="34" t="s">
        <v>103</v>
      </c>
      <c r="J12" s="34" t="s">
        <v>28</v>
      </c>
    </row>
    <row r="13" spans="2:13" s="34" customFormat="1">
      <c r="B13" s="67"/>
      <c r="C13" s="72"/>
      <c r="D13" s="71" t="s">
        <v>96</v>
      </c>
      <c r="J13" s="34" t="s">
        <v>29</v>
      </c>
    </row>
    <row r="14" spans="2:13" s="34" customFormat="1">
      <c r="B14" s="67"/>
      <c r="C14" s="72" t="s">
        <v>97</v>
      </c>
      <c r="J14" s="34" t="s">
        <v>30</v>
      </c>
      <c r="K14" s="34" t="s">
        <v>122</v>
      </c>
    </row>
    <row r="15" spans="2:13" s="34" customFormat="1">
      <c r="B15" s="67"/>
      <c r="C15" s="72" t="s">
        <v>98</v>
      </c>
      <c r="J15" s="34" t="s">
        <v>31</v>
      </c>
      <c r="K15" s="73">
        <v>46188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72" t="s">
        <v>32</v>
      </c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</row>
    <row r="19" spans="2:13" ht="12" customHeight="1"/>
    <row r="20" spans="2:13" s="27" customFormat="1" ht="12" customHeight="1">
      <c r="B20" s="173" t="s">
        <v>33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</row>
    <row r="21" spans="2:13" s="27" customFormat="1" ht="12" customHeight="1">
      <c r="B21" s="173" t="s">
        <v>34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</row>
    <row r="22" spans="2:13" s="27" customFormat="1" ht="12" customHeight="1">
      <c r="B22" s="173" t="s">
        <v>35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</row>
    <row r="23" spans="2:13" ht="6.95" customHeight="1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2:13" ht="6.95" customHeight="1"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8"/>
      <c r="C26" s="71" t="str">
        <f>MRS!B6&amp;" "&amp;MRS!D6</f>
        <v>Pick up 4x4 without Driver</v>
      </c>
      <c r="M26" s="74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19" t="s">
        <v>91</v>
      </c>
      <c r="G29" s="119"/>
      <c r="H29" s="119"/>
      <c r="M29" s="29"/>
    </row>
    <row r="30" spans="2:13" ht="15" customHeight="1">
      <c r="B30" s="28"/>
      <c r="C30" s="22" t="s">
        <v>41</v>
      </c>
      <c r="E30" s="22" t="s">
        <v>40</v>
      </c>
      <c r="F30" s="119"/>
      <c r="G30" s="119"/>
      <c r="H30" s="119"/>
    </row>
    <row r="31" spans="2:13" ht="15" customHeight="1">
      <c r="B31" s="28"/>
      <c r="C31" s="22" t="s">
        <v>42</v>
      </c>
      <c r="D31" s="30"/>
      <c r="E31" s="22" t="s">
        <v>40</v>
      </c>
      <c r="F31" s="119"/>
      <c r="G31" s="119"/>
      <c r="H31" s="11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88</v>
      </c>
      <c r="P49" s="77"/>
    </row>
    <row r="50" spans="2:16" s="78" customFormat="1" ht="12" customHeight="1">
      <c r="B50" s="79" t="s">
        <v>56</v>
      </c>
      <c r="C50" s="76" t="s">
        <v>83</v>
      </c>
    </row>
    <row r="51" spans="2:16" s="78" customFormat="1" ht="12" customHeight="1">
      <c r="B51" s="79" t="s">
        <v>56</v>
      </c>
      <c r="C51" s="76" t="s">
        <v>110</v>
      </c>
    </row>
    <row r="52" spans="2:16" s="78" customFormat="1" ht="6" customHeight="1">
      <c r="B52" s="79"/>
      <c r="C52" s="76"/>
    </row>
    <row r="53" spans="2:16" ht="15" customHeight="1">
      <c r="B53" s="37">
        <v>7</v>
      </c>
      <c r="C53" s="28" t="s">
        <v>104</v>
      </c>
    </row>
    <row r="54" spans="2:16" ht="12" customHeight="1">
      <c r="B54" s="79" t="s">
        <v>56</v>
      </c>
      <c r="C54" s="120" t="s">
        <v>111</v>
      </c>
      <c r="F54" s="22" t="s">
        <v>106</v>
      </c>
    </row>
    <row r="55" spans="2:16" ht="12" customHeight="1">
      <c r="B55" s="79" t="s">
        <v>56</v>
      </c>
      <c r="C55" s="120" t="s">
        <v>112</v>
      </c>
      <c r="F55" s="121" t="s">
        <v>107</v>
      </c>
    </row>
    <row r="56" spans="2:16" ht="12" customHeight="1">
      <c r="B56" s="79" t="s">
        <v>56</v>
      </c>
      <c r="C56" s="120" t="s">
        <v>113</v>
      </c>
      <c r="F56" s="22" t="s">
        <v>118</v>
      </c>
    </row>
    <row r="57" spans="2:16" ht="12" customHeight="1">
      <c r="B57" s="79" t="s">
        <v>56</v>
      </c>
      <c r="C57" s="120" t="s">
        <v>114</v>
      </c>
      <c r="F57" s="22" t="s">
        <v>108</v>
      </c>
    </row>
    <row r="58" spans="2:16" ht="12" customHeight="1">
      <c r="B58" s="79" t="s">
        <v>56</v>
      </c>
      <c r="C58" s="120" t="s">
        <v>115</v>
      </c>
      <c r="F58" s="22" t="s">
        <v>109</v>
      </c>
    </row>
    <row r="59" spans="2:16" ht="12" customHeight="1">
      <c r="B59" s="79" t="s">
        <v>56</v>
      </c>
      <c r="C59" s="120" t="s">
        <v>116</v>
      </c>
      <c r="F59" s="22" t="s">
        <v>105</v>
      </c>
    </row>
    <row r="60" spans="2:16" ht="12" customHeight="1">
      <c r="B60" s="79"/>
      <c r="C60" s="120" t="s">
        <v>117</v>
      </c>
    </row>
    <row r="61" spans="2:16" ht="7.5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6.75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Salem Mohammed S.Almarri</v>
      </c>
    </row>
    <row r="68" spans="1:13" ht="18" customHeight="1">
      <c r="B68" s="22" t="s">
        <v>62</v>
      </c>
      <c r="J68" s="22" t="s">
        <v>63</v>
      </c>
      <c r="K68" s="18" t="s">
        <v>92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93</v>
      </c>
      <c r="J70" s="176" t="str">
        <f>C9</f>
        <v>TEC(Trindus Engineering Company)</v>
      </c>
      <c r="K70" s="176"/>
      <c r="L70" s="176"/>
      <c r="M70" s="176"/>
    </row>
    <row r="71" spans="1:13" ht="27.95" customHeight="1">
      <c r="A71" s="168" t="s">
        <v>66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SAC2-DS-PO-0344</v>
      </c>
      <c r="C2" s="185" t="s">
        <v>68</v>
      </c>
      <c r="D2" s="185"/>
      <c r="E2" s="185"/>
      <c r="F2" s="185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46240</v>
      </c>
      <c r="C3" s="46"/>
      <c r="D3" s="47"/>
      <c r="E3" s="186" t="s">
        <v>70</v>
      </c>
      <c r="F3" s="186"/>
      <c r="G3" s="186"/>
      <c r="H3" s="186"/>
      <c r="I3" s="48"/>
    </row>
    <row r="4" spans="1:13" s="50" customFormat="1" ht="28.5" customHeight="1" thickTop="1">
      <c r="A4" s="187" t="s">
        <v>71</v>
      </c>
      <c r="B4" s="189" t="s">
        <v>72</v>
      </c>
      <c r="C4" s="190"/>
      <c r="D4" s="193" t="s">
        <v>73</v>
      </c>
      <c r="E4" s="193" t="s">
        <v>74</v>
      </c>
      <c r="F4" s="195" t="str">
        <f>'PO 1st page'!C9</f>
        <v>TEC(Trindus Engineering Company)</v>
      </c>
      <c r="G4" s="196"/>
      <c r="H4" s="197" t="s">
        <v>75</v>
      </c>
      <c r="K4" s="51"/>
      <c r="L4" s="51"/>
      <c r="M4" s="51"/>
    </row>
    <row r="5" spans="1:13" s="50" customFormat="1" ht="21.95" customHeight="1">
      <c r="A5" s="188"/>
      <c r="B5" s="191"/>
      <c r="C5" s="192"/>
      <c r="D5" s="194"/>
      <c r="E5" s="194"/>
      <c r="F5" s="52" t="s">
        <v>76</v>
      </c>
      <c r="G5" s="52" t="s">
        <v>42</v>
      </c>
      <c r="H5" s="198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183" t="str">
        <f>MRS!B6&amp;" "&amp;MRS!D6</f>
        <v>Pick up 4x4 without Driver</v>
      </c>
      <c r="C6" s="184"/>
      <c r="D6" s="81" t="str">
        <f>+'MRS LIST'!G6</f>
        <v>Month</v>
      </c>
      <c r="E6" s="82">
        <f>+'MRS LIST'!H6</f>
        <v>1</v>
      </c>
      <c r="F6" s="83">
        <f>+'MRS LIST'!I6</f>
        <v>4500</v>
      </c>
      <c r="G6" s="84">
        <f>+'MRS LIST'!J6</f>
        <v>4500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183"/>
      <c r="C7" s="184"/>
      <c r="D7" s="81"/>
      <c r="E7" s="82"/>
      <c r="F7" s="83"/>
      <c r="G7" s="84"/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183"/>
      <c r="C8" s="184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183"/>
      <c r="C9" s="184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183"/>
      <c r="C10" s="184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183"/>
      <c r="C11" s="184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181"/>
      <c r="C12" s="182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181"/>
      <c r="C13" s="182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181"/>
      <c r="C14" s="182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181"/>
      <c r="C15" s="182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181"/>
      <c r="C16" s="182"/>
      <c r="D16" s="89"/>
      <c r="E16" s="90"/>
      <c r="F16" s="91"/>
      <c r="G16" s="92"/>
      <c r="H16" s="93"/>
      <c r="J16" s="50" t="s">
        <v>89</v>
      </c>
    </row>
    <row r="17" spans="1:13" s="50" customFormat="1" ht="32.1" customHeight="1">
      <c r="A17" s="88">
        <f t="shared" si="0"/>
        <v>12</v>
      </c>
      <c r="B17" s="181"/>
      <c r="C17" s="182"/>
      <c r="D17" s="89"/>
      <c r="E17" s="90"/>
      <c r="F17" s="91"/>
      <c r="G17" s="92"/>
      <c r="H17" s="93"/>
    </row>
    <row r="18" spans="1:13" s="50" customFormat="1" ht="23.1" customHeight="1">
      <c r="A18" s="177" t="s">
        <v>77</v>
      </c>
      <c r="B18" s="178"/>
      <c r="C18" s="178"/>
      <c r="D18" s="178"/>
      <c r="E18" s="178"/>
      <c r="F18" s="178"/>
      <c r="G18" s="53">
        <f>SUM(G6:G17)</f>
        <v>4500</v>
      </c>
      <c r="H18" s="54"/>
    </row>
    <row r="19" spans="1:13" s="50" customFormat="1" ht="23.1" customHeight="1">
      <c r="A19" s="177" t="s">
        <v>41</v>
      </c>
      <c r="B19" s="178"/>
      <c r="C19" s="178"/>
      <c r="D19" s="178"/>
      <c r="E19" s="178"/>
      <c r="F19" s="178"/>
      <c r="G19" s="53">
        <f>+G18*0.15</f>
        <v>675</v>
      </c>
      <c r="H19" s="54"/>
    </row>
    <row r="20" spans="1:13" s="50" customFormat="1" ht="24.95" customHeight="1" thickBot="1">
      <c r="A20" s="179" t="s">
        <v>78</v>
      </c>
      <c r="B20" s="180"/>
      <c r="C20" s="180"/>
      <c r="D20" s="180"/>
      <c r="E20" s="180"/>
      <c r="F20" s="180"/>
      <c r="G20" s="55">
        <f>G19+G18</f>
        <v>5175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TRE/DAESHIN/EQ-002-032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68" t="s">
        <v>80</v>
      </c>
      <c r="B24" s="168"/>
      <c r="C24" s="168"/>
      <c r="D24" s="168"/>
      <c r="E24" s="168"/>
      <c r="F24" s="168"/>
      <c r="G24" s="168"/>
      <c r="H24" s="168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2026-08-07T04:00:40Z</cp:lastPrinted>
  <dcterms:created xsi:type="dcterms:W3CDTF">2024-10-20T11:50:19Z</dcterms:created>
  <dcterms:modified xsi:type="dcterms:W3CDTF">2026-08-07T04:04:18Z</dcterms:modified>
</cp:coreProperties>
</file>