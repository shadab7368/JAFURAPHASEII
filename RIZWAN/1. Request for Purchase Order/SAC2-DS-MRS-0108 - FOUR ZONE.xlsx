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e Purchase Order\"/>
    </mc:Choice>
  </mc:AlternateContent>
  <xr:revisionPtr revIDLastSave="0" documentId="13_ncr:1_{60BA58DF-5C9C-4ADB-AC08-FEA00EDB8A90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H7" i="4"/>
  <c r="E7" i="4"/>
  <c r="D7" i="4"/>
  <c r="J7" i="1"/>
  <c r="J7" i="2" s="1"/>
  <c r="G7" i="4" s="1"/>
  <c r="H6" i="4"/>
  <c r="J8" i="2"/>
  <c r="I8" i="2"/>
  <c r="H8" i="2"/>
  <c r="G8" i="2"/>
  <c r="I7" i="2"/>
  <c r="F7" i="4" s="1"/>
  <c r="H7" i="2"/>
  <c r="G7" i="2"/>
  <c r="D8" i="2"/>
  <c r="B8" i="2"/>
  <c r="D7" i="2"/>
  <c r="B7" i="2"/>
  <c r="B7" i="4" s="1"/>
  <c r="E3" i="1"/>
  <c r="J6" i="1" l="1"/>
  <c r="K10" i="3"/>
  <c r="A21" i="4" l="1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59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<sst xmlns="http://schemas.openxmlformats.org/spreadsheetml/2006/main" count="156" uniqueCount="122">
  <si>
    <t>Vendor Name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</si>
  <si>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</si>
  <si>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</si>
  <si>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</si>
  <si>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</si>
  <si>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</si>
  <si>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</si>
  <si>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</si>
  <si>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</si>
  <si>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</si>
  <si>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</si>
  <si>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</si>
  <si>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</si>
  <si>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</si>
  <si>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</si>
  <si>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</si>
  <si>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</si>
  <si>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</si>
  <si>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</si>
  <si>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</si>
  <si>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</si>
  <si>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</si>
  <si>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</si>
  <si>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</si>
  <si>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</si>
  <si>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</si>
  <si>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</si>
  <si>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</si>
  <si>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</si>
  <si>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</si>
  <si>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</si>
  <si>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</si>
  <si>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</si>
  <si>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</si>
  <si>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</si>
  <si>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</si>
  <si>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</si>
  <si>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</si>
  <si>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</si>
  <si>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</si>
  <si>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</si>
  <si>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</si>
  <si>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</si>
  <si>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</si>
  <si>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</si>
  <si>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</si>
  <si>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</si>
  <si>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</si>
  <si>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</si>
  <si>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</si>
  <si>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</si>
  <si>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</si>
  <si>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</si>
  <si>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</si>
  <si>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</si>
  <si>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</si>
  <si>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</si>
  <si>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</si>
  <si>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</si>
  <si>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</si>
  <si>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</si>
  <si>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</si>
  <si>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</si>
  <si>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</si>
  <si>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</si>
  <si>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</si>
  <si>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</si>
  <si>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</si>
  <si>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</si>
  <si>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</si>
  <si>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</si>
  <si>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</si>
  <si>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</si>
  <si>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</si>
  <si>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</si>
  <si>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</si>
  <si>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</si>
  <si>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</si>
  <si>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</si>
  <si>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</si>
  <si>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</si>
  <si>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</si>
  <si>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</si>
  <si>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</si>
  <si>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</si>
  <si>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</si>
  <si>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</si>
  <si>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</si>
  <si>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</si>
  <si>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</si>
  <si>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</si>
  <si>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</si>
  <si>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</si>
  <si>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3" type="noConversion"/>
  </si>
  <si>
    <t>Unit Price (SAR)
(Exclude VAT)</t>
    <phoneticPr fontId="6" type="noConversion"/>
  </si>
  <si>
    <t>Total Price (SAR)
(Exclude VAT)</t>
    <phoneticPr fontId="6" type="noConversion"/>
  </si>
  <si>
    <t>FZCE</t>
  </si>
  <si>
    <t>310790022700003</t>
  </si>
  <si>
    <t>Shakeel Khader</t>
  </si>
  <si>
    <t xml:space="preserve">+966 55 87602885 /spkhader@fourzonecont.com </t>
  </si>
  <si>
    <t>Bldg No . 7766 Al Dana, Al Jubail 35514, Kingdom of Saudi Arabia</t>
  </si>
  <si>
    <t>Mobile : +966 55 87602885</t>
  </si>
  <si>
    <t>Business Development Manager</t>
  </si>
  <si>
    <t>Monthly Based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</si>
  <si>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</si>
  <si>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7" type="noConversion"/>
  </si>
  <si>
    <t xml:space="preserve">  PJT :  SACE2           </t>
    <phoneticPr fontId="7" type="noConversion"/>
  </si>
  <si>
    <t>Division (In charge Name) : ADMIN MANAGER (Dong Chang Kim)</t>
  </si>
  <si>
    <t>Subcontract name (SAC2-SC-IK-SMP-01)</t>
  </si>
  <si>
    <t>FZCE(Four Zone Contracting Est.)</t>
  </si>
  <si>
    <t xml:space="preserve">  Delivery &amp; Payment : Dong Chang Kim / Daeshin Admin. [ Mobile No. : +966 53 748 5762 / Email : kdchjs@daeshinplant.com ]</t>
  </si>
  <si>
    <t>Mob. &amp; De-Mob. / per unit - lump sum</t>
  </si>
  <si>
    <t>L / S</t>
  </si>
  <si>
    <t>One time</t>
  </si>
  <si>
    <t>Manlift</t>
  </si>
  <si>
    <t>Manlift Mob &amp; De-Mob. Charge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</si>
  <si>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-MRS-0108</t>
    </r>
  </si>
  <si>
    <t>26 Mtr Articulated</t>
  </si>
  <si>
    <t>FZ-OFFR-2025-1729</t>
  </si>
  <si>
    <t>26 Mtr Articulated Manlift with Operator</t>
  </si>
  <si>
    <t>Branch of Hyundai Engineering and Const. Co., Ltd. (HDEC)</t>
  </si>
  <si>
    <t>BRANCH OF HYUNDAI ENG. &amp; CONST. CO.,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</si>
</sst>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9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7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44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8" fillId="2" borderId="0" xfId="1" applyFont="1" applyFill="1" applyAlignment="1">
      <alignment vertical="center"/>
    </xf>
    <xf numFmtId="0" fontId="52" fillId="2" borderId="1" xfId="1" applyFont="1" applyFill="1" applyBorder="1" applyAlignment="1">
      <alignment horizontal="center" vertical="center"/>
    </xf>
    <xf numFmtId="0" fontId="52" fillId="2" borderId="2" xfId="1" applyFont="1" applyFill="1" applyBorder="1" applyAlignment="1">
      <alignment horizontal="center" vertical="center"/>
    </xf>
    <xf numFmtId="0" fontId="52" fillId="2" borderId="3" xfId="1" applyFont="1" applyFill="1" applyBorder="1" applyAlignment="1">
      <alignment horizontal="center" vertical="center"/>
    </xf>
    <xf numFmtId="0" fontId="53" fillId="2" borderId="4" xfId="1" applyFont="1" applyFill="1" applyBorder="1" applyAlignment="1">
      <alignment horizontal="center" vertical="center"/>
    </xf>
    <xf numFmtId="0" fontId="53" fillId="2" borderId="5" xfId="1" applyFont="1" applyFill="1" applyBorder="1" applyAlignment="1">
      <alignment horizontal="center" vertical="center"/>
    </xf>
    <xf numFmtId="0" fontId="53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0" fontId="15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19">
    <cellStyle name="Comma [0]" xfId="10" builtinId="6"/>
    <cellStyle name="Normal" xfId="0" builtinId="0"/>
    <cellStyle name="쉼표 [0] 2 2" xfId="4" xr:uid="{95D71F5C-65D6-4E85-84FE-774413508E1E}"/>
    <cellStyle name="쉼표 [0] 2 2 2" xfId="16" xr:uid="{D691371C-1C9A-42CD-AD9B-E938750C3D7D}"/>
    <cellStyle name="쉼표 [0] 2 2 3" xfId="12" xr:uid="{9961464D-49CC-42FF-A79A-4236B21516A7}"/>
    <cellStyle name="쉼표 2" xfId="9" xr:uid="{F2A3A689-A30F-4FCA-9C51-F28F11796A46}"/>
    <cellStyle name="쉼표 2 2" xfId="18" xr:uid="{3B61A4FC-7502-4F0B-BBCD-9289E590F517}"/>
    <cellStyle name="쉼표 2 3" xfId="14" xr:uid="{AD8851D0-F386-454F-9F4F-643E5BD4A6A6}"/>
    <cellStyle name="표준 2 2" xfId="2" xr:uid="{12B761D3-4229-4E14-8168-D5975293A996}"/>
    <cellStyle name="표준 2 2 2" xfId="15" xr:uid="{F337407C-0FD2-46A6-95DF-C1E2DED6E687}"/>
    <cellStyle name="표준 2 2 3" xfId="11" xr:uid="{3AC3C823-B896-40EF-A224-30F2537C37BB}"/>
    <cellStyle name="표준 2 3 2 2" xfId="5" xr:uid="{BD51BFCC-3D36-446B-BE80-7856DF8371E9}"/>
    <cellStyle name="표준 2 3 2 2 2" xfId="17" xr:uid="{B9B2D054-D5A8-450E-A1C1-80807A9BB7D4}"/>
    <cellStyle name="표준 2 3 2 2 3" xfId="13" xr:uid="{0947CE48-AB5D-4908-90F6-CDE2EB84A24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571499</xdr:colOff>
          <xdr:row>17</xdr:row>
          <xdr:rowOff>70184</xdr:rowOff>
        </xdr:from>
        <xdr:to>
          <xdr:col>12</xdr:col>
          <xdr:colOff>501</xdr:colOff>
          <xdr:row>24</xdr:row>
          <xdr:rowOff>70185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35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845341" y="5053263"/>
              <a:ext cx="426168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131166</xdr:colOff>
      <xdr:row>6</xdr:row>
      <xdr:rowOff>95250</xdr:rowOff>
    </xdr:from>
    <xdr:to>
      <xdr:col>13</xdr:col>
      <xdr:colOff>55240</xdr:colOff>
      <xdr:row>7</xdr:row>
      <xdr:rowOff>11179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43" y="1069731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E20" sqref="E2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104</v>
      </c>
      <c r="B1" s="111"/>
      <c r="C1" s="111"/>
      <c r="D1" s="111"/>
      <c r="E1" s="111"/>
      <c r="F1" s="111"/>
      <c r="G1" s="1"/>
      <c r="J1" s="125" t="s">
        <v>105</v>
      </c>
      <c r="K1" s="126"/>
      <c r="L1" s="127"/>
    </row>
    <row r="2" spans="1:19" ht="20.100000000000001" customHeight="1">
      <c r="A2" s="3" t="s">
        <v>106</v>
      </c>
      <c r="B2" s="102"/>
      <c r="C2" s="102"/>
      <c r="D2" s="3" t="s">
        <v>107</v>
      </c>
      <c r="E2" s="102"/>
      <c r="F2" s="102"/>
      <c r="G2" s="102"/>
      <c r="H2" s="102"/>
      <c r="I2" s="4"/>
      <c r="J2" s="128" t="s">
        <v>108</v>
      </c>
      <c r="K2" s="129"/>
      <c r="L2" s="130"/>
    </row>
    <row r="3" spans="1:19" ht="20.100000000000001" customHeight="1">
      <c r="A3" s="3" t="s">
        <v>116</v>
      </c>
      <c r="B3" s="102"/>
      <c r="C3" s="102"/>
      <c r="D3" s="102"/>
      <c r="E3" s="131">
        <f>+L3</f>
        <v>45890</v>
      </c>
      <c r="F3" s="131"/>
      <c r="G3" s="131"/>
      <c r="H3" s="131"/>
      <c r="I3" s="131"/>
      <c r="J3" s="102"/>
      <c r="K3" s="102"/>
      <c r="L3" s="123">
        <v>45890</v>
      </c>
      <c r="M3" s="4"/>
    </row>
    <row r="4" spans="1:19" ht="15.95" customHeight="1">
      <c r="A4" s="132" t="s">
        <v>1</v>
      </c>
      <c r="B4" s="133" t="s">
        <v>2</v>
      </c>
      <c r="C4" s="133"/>
      <c r="D4" s="134" t="s">
        <v>3</v>
      </c>
      <c r="E4" s="135"/>
      <c r="F4" s="136"/>
      <c r="G4" s="140" t="s">
        <v>4</v>
      </c>
      <c r="H4" s="142" t="s">
        <v>5</v>
      </c>
      <c r="I4" s="142" t="s">
        <v>94</v>
      </c>
      <c r="J4" s="132" t="s">
        <v>95</v>
      </c>
      <c r="K4" s="142" t="s">
        <v>0</v>
      </c>
      <c r="L4" s="133" t="s">
        <v>6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114</v>
      </c>
      <c r="C6" s="145"/>
      <c r="D6" s="146" t="s">
        <v>117</v>
      </c>
      <c r="E6" s="147"/>
      <c r="F6" s="148"/>
      <c r="G6" s="112" t="s">
        <v>89</v>
      </c>
      <c r="H6" s="113">
        <v>1</v>
      </c>
      <c r="I6" s="114">
        <v>19000</v>
      </c>
      <c r="J6" s="114">
        <f>H6*I6</f>
        <v>19000</v>
      </c>
      <c r="K6" s="115" t="s">
        <v>96</v>
      </c>
      <c r="L6" s="116" t="s">
        <v>103</v>
      </c>
      <c r="S6" s="107"/>
    </row>
    <row r="7" spans="1:19" ht="22.5" customHeight="1">
      <c r="A7" s="5">
        <f t="shared" si="0"/>
        <v>2</v>
      </c>
      <c r="B7" s="144" t="s">
        <v>115</v>
      </c>
      <c r="C7" s="145"/>
      <c r="D7" s="149" t="s">
        <v>111</v>
      </c>
      <c r="E7" s="147"/>
      <c r="F7" s="148"/>
      <c r="G7" s="112" t="s">
        <v>112</v>
      </c>
      <c r="H7" s="113">
        <v>1</v>
      </c>
      <c r="I7" s="114">
        <v>4000</v>
      </c>
      <c r="J7" s="114">
        <f>H7*I7</f>
        <v>4000</v>
      </c>
      <c r="K7" s="115"/>
      <c r="L7" s="116" t="s">
        <v>113</v>
      </c>
      <c r="S7" s="107"/>
    </row>
    <row r="8" spans="1:19" ht="22.5" customHeight="1">
      <c r="A8" s="5">
        <f t="shared" si="0"/>
        <v>3</v>
      </c>
      <c r="B8" s="144"/>
      <c r="C8" s="145"/>
      <c r="D8" s="149"/>
      <c r="E8" s="147"/>
      <c r="F8" s="148"/>
      <c r="G8" s="112"/>
      <c r="H8" s="113"/>
      <c r="I8" s="114"/>
      <c r="J8" s="114"/>
      <c r="K8" s="115"/>
      <c r="L8" s="116"/>
      <c r="S8" s="107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2"/>
      <c r="H9" s="113"/>
      <c r="I9" s="114"/>
      <c r="J9" s="114"/>
      <c r="K9" s="115"/>
      <c r="L9" s="116"/>
      <c r="S9" s="107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2"/>
      <c r="H10" s="113"/>
      <c r="I10" s="117"/>
      <c r="J10" s="114"/>
      <c r="K10" s="115"/>
      <c r="L10" s="112"/>
      <c r="S10" s="107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2"/>
      <c r="H11" s="113"/>
      <c r="I11" s="114"/>
      <c r="J11" s="114"/>
      <c r="K11" s="115"/>
      <c r="L11" s="116"/>
      <c r="S11" s="107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2"/>
      <c r="H12" s="113"/>
      <c r="I12" s="117"/>
      <c r="J12" s="114"/>
      <c r="K12" s="115"/>
      <c r="L12" s="112"/>
      <c r="S12" s="107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2"/>
      <c r="H13" s="113"/>
      <c r="I13" s="114"/>
      <c r="J13" s="114"/>
      <c r="K13" s="115"/>
      <c r="L13" s="116"/>
      <c r="S13" s="107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2"/>
      <c r="H14" s="113"/>
      <c r="I14" s="114"/>
      <c r="J14" s="114"/>
      <c r="K14" s="115"/>
      <c r="L14" s="116"/>
      <c r="S14" s="107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2"/>
      <c r="H15" s="113"/>
      <c r="I15" s="114"/>
      <c r="J15" s="114"/>
      <c r="K15" s="115"/>
      <c r="L15" s="116"/>
      <c r="S15" s="107"/>
    </row>
    <row r="16" spans="1:19" ht="22.5" customHeight="1">
      <c r="A16" s="152" t="s">
        <v>7</v>
      </c>
      <c r="B16" s="153"/>
      <c r="C16" s="118"/>
      <c r="D16" s="119"/>
      <c r="E16" s="119"/>
      <c r="F16" s="119"/>
      <c r="G16" s="120"/>
      <c r="H16" s="120"/>
      <c r="I16" s="121" t="s">
        <v>8</v>
      </c>
      <c r="J16" s="114">
        <f>SUM(J6:J15)</f>
        <v>23000</v>
      </c>
      <c r="K16" s="114"/>
      <c r="L16" s="122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57" t="s">
        <v>16</v>
      </c>
      <c r="Q21" s="157" t="s">
        <v>17</v>
      </c>
    </row>
    <row r="22" spans="1:22" ht="18" customHeight="1">
      <c r="O22" s="18" t="s">
        <v>18</v>
      </c>
      <c r="P22" s="158"/>
      <c r="Q22" s="158"/>
      <c r="S22" s="154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56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20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20</v>
      </c>
      <c r="P46" s="157" t="s">
        <v>20</v>
      </c>
      <c r="Q46" s="157" t="s">
        <v>20</v>
      </c>
      <c r="T46" s="157" t="s">
        <v>21</v>
      </c>
      <c r="U46" s="157" t="s">
        <v>12</v>
      </c>
      <c r="V46" s="157" t="s">
        <v>20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20</v>
      </c>
      <c r="P50" s="157" t="s">
        <v>20</v>
      </c>
      <c r="Q50" s="157" t="s">
        <v>20</v>
      </c>
      <c r="T50" s="157" t="s">
        <v>12</v>
      </c>
      <c r="U50" s="157" t="s">
        <v>21</v>
      </c>
      <c r="V50" s="157" t="s">
        <v>20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8:C8"/>
    <mergeCell ref="D8:F8"/>
    <mergeCell ref="B7:C7"/>
    <mergeCell ref="D7:F7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M10" sqref="M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93</v>
      </c>
      <c r="B1" s="101"/>
      <c r="C1" s="101"/>
      <c r="D1" s="101"/>
      <c r="E1" s="101"/>
      <c r="F1" s="101"/>
      <c r="G1" s="1"/>
      <c r="J1" s="160" t="str">
        <f>+MRS!J1</f>
        <v>DAESHIN PLANT</v>
      </c>
      <c r="K1" s="161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62" t="str">
        <f>+MRS!J2</f>
        <v>Subcontract name (SAC2-SC-IK-SMP-01)</v>
      </c>
      <c r="K2" s="163"/>
    </row>
    <row r="3" spans="1:18" ht="24.95" customHeight="1">
      <c r="A3" s="3" t="str">
        <f>+MRS!A3</f>
        <v xml:space="preserve">  MRS No : SAC2-DS-MRS-0108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45890</v>
      </c>
    </row>
    <row r="4" spans="1:18" ht="15.95" customHeight="1">
      <c r="A4" s="164" t="s">
        <v>1</v>
      </c>
      <c r="B4" s="165" t="s">
        <v>22</v>
      </c>
      <c r="C4" s="165"/>
      <c r="D4" s="164" t="s">
        <v>3</v>
      </c>
      <c r="E4" s="164"/>
      <c r="F4" s="164"/>
      <c r="G4" s="165" t="s">
        <v>4</v>
      </c>
      <c r="H4" s="164" t="s">
        <v>90</v>
      </c>
      <c r="I4" s="164" t="s">
        <v>23</v>
      </c>
      <c r="J4" s="164" t="s">
        <v>24</v>
      </c>
      <c r="K4" s="165" t="s">
        <v>6</v>
      </c>
    </row>
    <row r="5" spans="1:18" ht="15.95" customHeight="1">
      <c r="A5" s="164"/>
      <c r="B5" s="165"/>
      <c r="C5" s="165"/>
      <c r="D5" s="164"/>
      <c r="E5" s="164"/>
      <c r="F5" s="164"/>
      <c r="G5" s="165"/>
      <c r="H5" s="164"/>
      <c r="I5" s="164"/>
      <c r="J5" s="164"/>
      <c r="K5" s="165"/>
    </row>
    <row r="6" spans="1:18" ht="105" customHeight="1">
      <c r="A6" s="21">
        <f>+MRS!A6</f>
        <v>1</v>
      </c>
      <c r="B6" s="166" t="str">
        <f>MRS!B6</f>
        <v>Manlift</v>
      </c>
      <c r="C6" s="167"/>
      <c r="D6" s="168" t="str">
        <f>MRS!D6</f>
        <v>26 Mtr Articulated</v>
      </c>
      <c r="E6" s="169"/>
      <c r="F6" s="170"/>
      <c r="G6" s="104" t="str">
        <f>MRS!G6</f>
        <v>Month</v>
      </c>
      <c r="H6" s="104">
        <f>MRS!H6</f>
        <v>1</v>
      </c>
      <c r="I6" s="105">
        <f>MRS!I6</f>
        <v>19000</v>
      </c>
      <c r="J6" s="105">
        <f>MRS!J6</f>
        <v>19000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66" t="str">
        <f>MRS!B7</f>
        <v>Manlift Mob &amp; De-Mob. Charge</v>
      </c>
      <c r="C7" s="167"/>
      <c r="D7" s="168" t="str">
        <f>MRS!D7</f>
        <v>Mob. &amp; De-Mob. / per unit - lump sum</v>
      </c>
      <c r="E7" s="169"/>
      <c r="F7" s="170"/>
      <c r="G7" s="104" t="str">
        <f>MRS!G7</f>
        <v>L / S</v>
      </c>
      <c r="H7" s="104">
        <f>MRS!H7</f>
        <v>1</v>
      </c>
      <c r="I7" s="105">
        <f>MRS!I7</f>
        <v>4000</v>
      </c>
      <c r="J7" s="105">
        <f>MRS!J7</f>
        <v>4000</v>
      </c>
      <c r="K7" s="106"/>
      <c r="O7" s="107"/>
      <c r="P7" s="107"/>
      <c r="R7" s="107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+MRS!A9</f>
        <v>4</v>
      </c>
      <c r="B9" s="171"/>
      <c r="C9" s="172"/>
      <c r="D9" s="173"/>
      <c r="E9" s="174"/>
      <c r="F9" s="175"/>
      <c r="G9" s="108"/>
      <c r="H9" s="109"/>
      <c r="I9" s="110"/>
      <c r="J9" s="110"/>
      <c r="K9" s="106"/>
      <c r="O9" s="107"/>
      <c r="P9" s="107"/>
      <c r="R9" s="107"/>
    </row>
    <row r="10" spans="1:18" ht="105" customHeight="1">
      <c r="A10" s="21">
        <f>+MRS!A10</f>
        <v>5</v>
      </c>
      <c r="B10" s="171"/>
      <c r="C10" s="172"/>
      <c r="D10" s="173"/>
      <c r="E10" s="174"/>
      <c r="F10" s="175"/>
      <c r="G10" s="108"/>
      <c r="H10" s="109"/>
      <c r="I10" s="110"/>
      <c r="J10" s="110"/>
      <c r="K10" s="106"/>
      <c r="O10" s="107"/>
      <c r="P10" s="107"/>
      <c r="R10" s="107"/>
    </row>
    <row r="11" spans="1:18" ht="105" customHeight="1">
      <c r="A11" s="21">
        <f>+MRS!A11</f>
        <v>6</v>
      </c>
      <c r="B11" s="171"/>
      <c r="C11" s="172"/>
      <c r="D11" s="173"/>
      <c r="E11" s="174"/>
      <c r="F11" s="175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+MRS!A12</f>
        <v>7</v>
      </c>
      <c r="B12" s="171"/>
      <c r="C12" s="172"/>
      <c r="D12" s="173"/>
      <c r="E12" s="174"/>
      <c r="F12" s="175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+MRS!A13</f>
        <v>8</v>
      </c>
      <c r="B13" s="171"/>
      <c r="C13" s="172"/>
      <c r="D13" s="173"/>
      <c r="E13" s="174"/>
      <c r="F13" s="175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+MRS!A14</f>
        <v>9</v>
      </c>
      <c r="B14" s="171"/>
      <c r="C14" s="172"/>
      <c r="D14" s="173"/>
      <c r="E14" s="174"/>
      <c r="F14" s="175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>
        <f>+MRS!A15</f>
        <v>10</v>
      </c>
      <c r="B15" s="171"/>
      <c r="C15" s="172"/>
      <c r="D15" s="173"/>
      <c r="E15" s="174"/>
      <c r="F15" s="175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SheetLayoutView="130" workbookViewId="0">
      <selection activeCell="M3" sqref="M3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121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4" customFormat="1" ht="13.5">
      <c r="B9" s="72" t="s">
        <v>30</v>
      </c>
      <c r="C9" s="73" t="s">
        <v>109</v>
      </c>
      <c r="D9" s="39"/>
      <c r="E9" s="39"/>
    </row>
    <row r="10" spans="2:13" s="39" customFormat="1">
      <c r="B10" s="72"/>
      <c r="C10" s="39" t="s">
        <v>31</v>
      </c>
      <c r="D10" s="39">
        <v>2055133627</v>
      </c>
      <c r="J10" s="39" t="s">
        <v>32</v>
      </c>
      <c r="K10" s="177">
        <f>MRS!L3</f>
        <v>45890</v>
      </c>
      <c r="L10" s="178"/>
      <c r="M10" s="178"/>
    </row>
    <row r="11" spans="2:13" s="39" customFormat="1">
      <c r="B11" s="72"/>
      <c r="C11" s="75" t="s">
        <v>33</v>
      </c>
      <c r="D11" s="76" t="s">
        <v>97</v>
      </c>
      <c r="J11" s="39" t="s">
        <v>34</v>
      </c>
      <c r="K11" s="179" t="str">
        <f>SUBSTITUTE(SUBSTITUTE(+MRS!A3,"  MRS No : ",""),"-MRS","-PO")</f>
        <v>SAC2-DS-PO-0108</v>
      </c>
      <c r="L11" s="179"/>
      <c r="M11" s="179"/>
    </row>
    <row r="12" spans="2:13" s="39" customFormat="1">
      <c r="B12" s="72"/>
      <c r="C12" s="75" t="s">
        <v>35</v>
      </c>
      <c r="D12" s="39" t="s">
        <v>98</v>
      </c>
      <c r="J12" s="39" t="s">
        <v>36</v>
      </c>
    </row>
    <row r="13" spans="2:13" s="39" customFormat="1">
      <c r="B13" s="72"/>
      <c r="C13" s="77"/>
      <c r="D13" s="76" t="s">
        <v>99</v>
      </c>
      <c r="J13" s="39" t="s">
        <v>37</v>
      </c>
    </row>
    <row r="14" spans="2:13" s="39" customFormat="1">
      <c r="B14" s="72"/>
      <c r="C14" s="77" t="s">
        <v>100</v>
      </c>
      <c r="J14" s="39" t="s">
        <v>38</v>
      </c>
      <c r="K14" s="39" t="s">
        <v>118</v>
      </c>
    </row>
    <row r="15" spans="2:13" s="39" customFormat="1">
      <c r="B15" s="72"/>
      <c r="C15" s="77" t="s">
        <v>101</v>
      </c>
      <c r="J15" s="39" t="s">
        <v>39</v>
      </c>
      <c r="K15" s="78">
        <v>45888</v>
      </c>
    </row>
    <row r="16" spans="2:13" s="39" customFormat="1">
      <c r="C16" s="77"/>
      <c r="K16" s="78"/>
    </row>
    <row r="17" spans="2:13" ht="12" customHeight="1">
      <c r="C17" s="29"/>
      <c r="K17" s="30"/>
    </row>
    <row r="18" spans="2:13" ht="20.25">
      <c r="B18" s="180" t="s">
        <v>40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41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42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43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20.100000000000001" customHeight="1">
      <c r="B25" s="32">
        <v>1</v>
      </c>
      <c r="C25" s="32" t="s">
        <v>44</v>
      </c>
    </row>
    <row r="26" spans="2:13" s="39" customFormat="1" ht="15" customHeight="1">
      <c r="B26" s="73"/>
      <c r="C26" s="76" t="s">
        <v>119</v>
      </c>
      <c r="M26" s="79" t="s">
        <v>45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46</v>
      </c>
    </row>
    <row r="29" spans="2:13" ht="15" customHeight="1">
      <c r="B29" s="32"/>
      <c r="C29" s="26" t="s">
        <v>47</v>
      </c>
      <c r="E29" s="26" t="s">
        <v>48</v>
      </c>
      <c r="F29" s="184" t="s">
        <v>103</v>
      </c>
      <c r="G29" s="184"/>
      <c r="H29" s="33"/>
      <c r="M29" s="34"/>
    </row>
    <row r="30" spans="2:13" ht="15" customHeight="1">
      <c r="B30" s="32"/>
      <c r="C30" s="26" t="s">
        <v>49</v>
      </c>
      <c r="E30" s="26" t="s">
        <v>48</v>
      </c>
      <c r="F30" s="184"/>
      <c r="G30" s="184"/>
    </row>
    <row r="31" spans="2:13" ht="15" customHeight="1">
      <c r="B31" s="32"/>
      <c r="C31" s="26" t="s">
        <v>50</v>
      </c>
      <c r="D31" s="35"/>
      <c r="E31" s="26" t="s">
        <v>48</v>
      </c>
      <c r="F31" s="184"/>
      <c r="G31" s="184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51</v>
      </c>
    </row>
    <row r="34" spans="2:13" ht="15" customHeight="1">
      <c r="B34" s="32"/>
      <c r="C34" s="22" t="s">
        <v>52</v>
      </c>
    </row>
    <row r="35" spans="2:13" ht="15" customHeight="1">
      <c r="B35" s="32"/>
      <c r="C35" s="22" t="s">
        <v>53</v>
      </c>
    </row>
    <row r="36" spans="2:13" ht="15" customHeight="1">
      <c r="B36" s="32"/>
      <c r="C36" s="22" t="s">
        <v>54</v>
      </c>
    </row>
    <row r="37" spans="2:13" ht="11.1" customHeight="1">
      <c r="B37" s="32"/>
    </row>
    <row r="38" spans="2:13" ht="20.100000000000001" customHeight="1">
      <c r="B38" s="32">
        <v>4</v>
      </c>
      <c r="C38" s="32" t="s">
        <v>55</v>
      </c>
    </row>
    <row r="39" spans="2:13" ht="15" customHeight="1">
      <c r="B39" s="32"/>
      <c r="C39" s="26" t="s">
        <v>56</v>
      </c>
    </row>
    <row r="40" spans="2:13" ht="11.1" customHeight="1">
      <c r="B40" s="32"/>
    </row>
    <row r="41" spans="2:13" ht="20.100000000000001" customHeight="1">
      <c r="B41" s="32">
        <v>5</v>
      </c>
      <c r="C41" s="32" t="s">
        <v>57</v>
      </c>
    </row>
    <row r="42" spans="2:13" ht="15" customHeight="1">
      <c r="B42" s="32"/>
      <c r="C42" s="36" t="s">
        <v>58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59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60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61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62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11.1" customHeight="1">
      <c r="B47" s="32"/>
    </row>
    <row r="48" spans="2:13" ht="20.100000000000001" customHeight="1">
      <c r="B48" s="32">
        <v>6</v>
      </c>
      <c r="C48" s="32" t="s">
        <v>63</v>
      </c>
    </row>
    <row r="49" spans="1:16" s="39" customFormat="1" ht="15" customHeight="1">
      <c r="B49" s="80" t="s">
        <v>64</v>
      </c>
      <c r="C49" s="81" t="s">
        <v>110</v>
      </c>
      <c r="P49" s="82"/>
    </row>
    <row r="50" spans="1:16" s="83" customFormat="1" ht="15" customHeight="1">
      <c r="B50" s="84" t="s">
        <v>64</v>
      </c>
      <c r="C50" s="81" t="s">
        <v>92</v>
      </c>
    </row>
    <row r="51" spans="1:16" s="83" customFormat="1" ht="15" customHeight="1">
      <c r="B51" s="84" t="s">
        <v>64</v>
      </c>
      <c r="C51" s="81" t="s">
        <v>91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65</v>
      </c>
      <c r="J56" s="32" t="s">
        <v>66</v>
      </c>
    </row>
    <row r="57" spans="1:16" ht="50.1" customHeight="1"/>
    <row r="58" spans="1:16" ht="18" customHeight="1">
      <c r="B58" s="26" t="s">
        <v>67</v>
      </c>
      <c r="J58" s="26" t="s">
        <v>67</v>
      </c>
    </row>
    <row r="59" spans="1:16" ht="18" customHeight="1">
      <c r="B59" s="26" t="s">
        <v>68</v>
      </c>
      <c r="J59" s="26" t="s">
        <v>69</v>
      </c>
      <c r="K59" s="22" t="str">
        <f>UPPER(D12)</f>
        <v>SHAKEEL KHADER</v>
      </c>
    </row>
    <row r="60" spans="1:16" ht="18" customHeight="1">
      <c r="B60" s="26" t="s">
        <v>70</v>
      </c>
      <c r="J60" s="26" t="s">
        <v>71</v>
      </c>
      <c r="K60" s="22" t="s">
        <v>102</v>
      </c>
    </row>
    <row r="61" spans="1:16" ht="15" customHeight="1">
      <c r="B61" s="26" t="s">
        <v>72</v>
      </c>
      <c r="J61" s="26" t="s">
        <v>73</v>
      </c>
    </row>
    <row r="62" spans="1:16" s="28" customFormat="1" ht="15" customHeight="1">
      <c r="B62" s="25" t="s">
        <v>120</v>
      </c>
      <c r="J62" s="25" t="str">
        <f>C9</f>
        <v>FZCE(Four Zone Contracting Est.)</v>
      </c>
    </row>
    <row r="63" spans="1:16" ht="27.95" customHeight="1">
      <c r="A63" s="176" t="s">
        <v>74</v>
      </c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2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SAC2-DS-PO-0108</v>
      </c>
      <c r="C2" s="187" t="s">
        <v>76</v>
      </c>
      <c r="D2" s="187"/>
      <c r="E2" s="187"/>
      <c r="F2" s="187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45890</v>
      </c>
      <c r="C3" s="51"/>
      <c r="D3" s="52"/>
      <c r="E3" s="188" t="s">
        <v>78</v>
      </c>
      <c r="F3" s="188"/>
      <c r="G3" s="188"/>
      <c r="H3" s="188"/>
      <c r="I3" s="53"/>
    </row>
    <row r="4" spans="1:13" s="55" customFormat="1" ht="28.5" customHeight="1" thickTop="1">
      <c r="A4" s="189" t="s">
        <v>79</v>
      </c>
      <c r="B4" s="191" t="s">
        <v>80</v>
      </c>
      <c r="C4" s="192"/>
      <c r="D4" s="195" t="s">
        <v>81</v>
      </c>
      <c r="E4" s="195" t="s">
        <v>82</v>
      </c>
      <c r="F4" s="197" t="str">
        <f>'PO 1st page'!C9</f>
        <v>FZCE(Four Zone Contracting Est.)</v>
      </c>
      <c r="G4" s="198"/>
      <c r="H4" s="199" t="s">
        <v>83</v>
      </c>
      <c r="K4" s="56"/>
      <c r="L4" s="56"/>
      <c r="M4" s="56"/>
    </row>
    <row r="5" spans="1:13" s="55" customFormat="1" ht="21.95" customHeight="1">
      <c r="A5" s="190"/>
      <c r="B5" s="193"/>
      <c r="C5" s="194"/>
      <c r="D5" s="196"/>
      <c r="E5" s="196"/>
      <c r="F5" s="57" t="s">
        <v>84</v>
      </c>
      <c r="G5" s="57" t="s">
        <v>50</v>
      </c>
      <c r="H5" s="200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1" t="str">
        <f>CONCATENATE(MRS!B6," ",MRS!D6)</f>
        <v>Manlift 26 Mtr Articulated</v>
      </c>
      <c r="C6" s="202"/>
      <c r="D6" s="86" t="str">
        <f>+'MRS LIST'!G6</f>
        <v>Month</v>
      </c>
      <c r="E6" s="87">
        <f>+'MRS LIST'!H6</f>
        <v>1</v>
      </c>
      <c r="F6" s="88">
        <f>+'MRS LIST'!I6</f>
        <v>19000</v>
      </c>
      <c r="G6" s="89">
        <f>+'MRS LIST'!J6</f>
        <v>19000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1" t="str">
        <f>+'MRS LIST'!B7</f>
        <v>Manlift Mob &amp; De-Mob. Charge</v>
      </c>
      <c r="C7" s="202"/>
      <c r="D7" s="86" t="str">
        <f>+'MRS LIST'!G7</f>
        <v>L / S</v>
      </c>
      <c r="E7" s="87">
        <f>+'MRS LIST'!H7</f>
        <v>1</v>
      </c>
      <c r="F7" s="88">
        <f>+'MRS LIST'!I7</f>
        <v>4000</v>
      </c>
      <c r="G7" s="89">
        <f>+'MRS LIST'!J7</f>
        <v>4000</v>
      </c>
      <c r="H7" s="90" t="str">
        <f>MRS!L7</f>
        <v>One time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201"/>
      <c r="C8" s="202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5"/>
      <c r="C9" s="186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5"/>
      <c r="C10" s="186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5"/>
      <c r="C11" s="186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5"/>
      <c r="C12" s="18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5"/>
      <c r="C13" s="18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5"/>
      <c r="C14" s="18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5"/>
      <c r="C15" s="18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5"/>
      <c r="C16" s="18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5"/>
      <c r="C17" s="186"/>
      <c r="D17" s="94"/>
      <c r="E17" s="95"/>
      <c r="F17" s="96"/>
      <c r="G17" s="97"/>
      <c r="H17" s="98"/>
    </row>
    <row r="18" spans="1:13" s="55" customFormat="1" ht="23.1" customHeight="1">
      <c r="A18" s="203" t="s">
        <v>85</v>
      </c>
      <c r="B18" s="204"/>
      <c r="C18" s="204"/>
      <c r="D18" s="204"/>
      <c r="E18" s="204"/>
      <c r="F18" s="204"/>
      <c r="G18" s="58">
        <f>SUM(G6:G17)</f>
        <v>23000</v>
      </c>
      <c r="H18" s="59"/>
    </row>
    <row r="19" spans="1:13" s="55" customFormat="1" ht="23.1" customHeight="1">
      <c r="A19" s="203" t="s">
        <v>49</v>
      </c>
      <c r="B19" s="204"/>
      <c r="C19" s="204"/>
      <c r="D19" s="204"/>
      <c r="E19" s="204"/>
      <c r="F19" s="204"/>
      <c r="G19" s="58">
        <f>+G18*0.15</f>
        <v>3450</v>
      </c>
      <c r="H19" s="59"/>
    </row>
    <row r="20" spans="1:13" s="55" customFormat="1" ht="24.95" customHeight="1" thickBot="1">
      <c r="A20" s="205" t="s">
        <v>86</v>
      </c>
      <c r="B20" s="206"/>
      <c r="C20" s="206"/>
      <c r="D20" s="206"/>
      <c r="E20" s="206"/>
      <c r="F20" s="206"/>
      <c r="G20" s="60">
        <f>G19+G18</f>
        <v>26450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FZ-OFFR-2025-1729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88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2025-08-21T12:47:15Z</cp:lastPrinted>
  <dcterms:created xsi:type="dcterms:W3CDTF">2024-10-20T11:50:19Z</dcterms:created>
  <dcterms:modified xsi:type="dcterms:W3CDTF">2025-08-21T12:47:19Z</dcterms:modified>
</cp:coreProperties>
</file>