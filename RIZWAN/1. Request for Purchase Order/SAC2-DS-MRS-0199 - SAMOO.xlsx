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012D3B1-032B-4D14-8005-549AB17609F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<sst xmlns="http://schemas.openxmlformats.org/spreadsheetml/2006/main" count="154" uniqueCount="128">
  <si>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</si>
  <si>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</si>
  <si>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</si>
  <si>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</si>
  <si>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</si>
  <si>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</si>
  <si>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</si>
  <si>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</si>
  <si>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</si>
  <si>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</si>
  <si>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</si>
  <si>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</si>
  <si>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</si>
  <si>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</si>
  <si>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</si>
  <si>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</si>
  <si>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</si>
  <si>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</si>
  <si>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</si>
  <si>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</si>
  <si>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</si>
  <si>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</si>
  <si>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</si>
  <si>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</si>
  <si>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</si>
  <si>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</si>
  <si>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</si>
  <si>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</si>
  <si>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</si>
  <si>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</si>
  <si>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</si>
  <si>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</si>
  <si>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</si>
  <si>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</si>
  <si>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</si>
  <si>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</si>
  <si>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</si>
  <si>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</si>
  <si>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</si>
  <si>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</si>
  <si>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</si>
  <si>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</si>
  <si>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</si>
  <si>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</si>
  <si>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</si>
  <si>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</si>
  <si>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</si>
  <si>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</si>
  <si>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</si>
  <si>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</si>
  <si>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</si>
  <si>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</si>
  <si>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</si>
  <si>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</si>
  <si>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</si>
  <si>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</si>
  <si>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</si>
  <si>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</si>
  <si>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</si>
  <si>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</si>
  <si>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</si>
  <si>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</si>
  <si>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</si>
  <si>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</si>
  <si>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</si>
  <si>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</si>
  <si>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</si>
  <si>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</si>
  <si>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</si>
  <si>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</si>
  <si>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</si>
  <si>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</si>
  <si>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</si>
  <si>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</si>
  <si>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</si>
  <si>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</si>
  <si>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</si>
  <si>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</si>
  <si>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</si>
  <si>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</si>
  <si>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</si>
  <si>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</si>
  <si>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</si>
  <si>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</si>
  <si>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</si>
  <si>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</si>
  <si>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</si>
  <si>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</si>
  <si>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</si>
  <si>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</si>
  <si>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</si>
  <si>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</si>
  <si>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</si>
  <si>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</si>
  <si>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</si>
  <si>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</si>
  <si>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</si>
  <si>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</si>
  <si>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</si>
  <si>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</si>
  <si>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</si>
  <si>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</si>
  <si>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</si>
  <si>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</si>
  <si>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</si>
  <si>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</si>
  <si>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</si>
  <si>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</si>
  <si>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</si>
  <si>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</si>
  <si>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</si>
  <si>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</si>
  <si>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</si>
  <si>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</si>
  <si>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</si>
  <si>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</si>
  <si>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</si>
  <si>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</si>
  <si>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</si>
  <si>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</si>
  <si>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</si>
  <si>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</si>
  <si>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</si>
  <si>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</si>
  <si>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</si>
  <si>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-MRS-0199</t>
    </r>
  </si>
  <si>
    <t>Third Party Inspection and Certification for Lifting Frame</t>
  </si>
  <si>
    <t>SAMOO-DAESHIN-MT-22-2025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</si>
</sst>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58" t="s">
        <v>101</v>
      </c>
      <c r="K2" s="159"/>
      <c r="L2" s="160"/>
    </row>
    <row r="3" spans="1:18" ht="20.100000000000001" customHeight="1">
      <c r="A3" s="3" t="s">
        <v>125</v>
      </c>
      <c r="B3" s="100"/>
      <c r="C3" s="100"/>
      <c r="D3" s="100"/>
      <c r="E3" s="145">
        <f>+L3</f>
        <v>46028</v>
      </c>
      <c r="F3" s="145"/>
      <c r="G3" s="145"/>
      <c r="H3" s="145"/>
      <c r="I3" s="145"/>
      <c r="J3" s="100"/>
      <c r="K3" s="100"/>
      <c r="L3" s="121">
        <v>46028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93</v>
      </c>
      <c r="J4" s="146" t="s">
        <v>94</v>
      </c>
      <c r="K4" s="156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8" ht="22.5" customHeight="1">
      <c r="A6" s="5">
        <f t="shared" ref="A6:A15" si="0">ROW(A1)</f>
        <v>1</v>
      </c>
      <c r="B6" s="130" t="s">
        <v>126</v>
      </c>
      <c r="C6" s="131"/>
      <c r="D6" s="132"/>
      <c r="E6" s="133"/>
      <c r="F6" s="134"/>
      <c r="G6" s="110" t="s">
        <v>109</v>
      </c>
      <c r="H6" s="111">
        <v>1</v>
      </c>
      <c r="I6" s="112">
        <v>700</v>
      </c>
      <c r="J6" s="112">
        <f>H6*I6</f>
        <v>700</v>
      </c>
      <c r="K6" s="113" t="s">
        <v>103</v>
      </c>
      <c r="L6" s="114" t="s">
        <v>110</v>
      </c>
      <c r="R6" s="105"/>
    </row>
    <row r="7" spans="1:18" ht="22.5" customHeight="1">
      <c r="A7" s="5">
        <f t="shared" si="0"/>
        <v>2</v>
      </c>
      <c r="B7" s="130"/>
      <c r="C7" s="131"/>
      <c r="D7" s="141"/>
      <c r="E7" s="133"/>
      <c r="F7" s="134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30"/>
      <c r="C8" s="131"/>
      <c r="D8" s="132"/>
      <c r="E8" s="133"/>
      <c r="F8" s="134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0"/>
      <c r="C9" s="131"/>
      <c r="D9" s="132"/>
      <c r="E9" s="133"/>
      <c r="F9" s="134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39"/>
      <c r="C10" s="139"/>
      <c r="D10" s="140"/>
      <c r="E10" s="140"/>
      <c r="F10" s="140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0"/>
      <c r="C11" s="131"/>
      <c r="D11" s="132"/>
      <c r="E11" s="133"/>
      <c r="F11" s="134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39"/>
      <c r="C12" s="139"/>
      <c r="D12" s="140"/>
      <c r="E12" s="140"/>
      <c r="F12" s="140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0"/>
      <c r="C13" s="131"/>
      <c r="D13" s="132"/>
      <c r="E13" s="133"/>
      <c r="F13" s="134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0"/>
      <c r="C14" s="131"/>
      <c r="D14" s="132"/>
      <c r="E14" s="133"/>
      <c r="F14" s="134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700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7" t="s">
        <v>11</v>
      </c>
      <c r="S18" s="13" t="s">
        <v>12</v>
      </c>
    </row>
    <row r="19" spans="1:19" ht="50.1" customHeight="1">
      <c r="R19" s="138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6" t="s">
        <v>15</v>
      </c>
    </row>
    <row r="22" spans="1:19" ht="18" customHeight="1">
      <c r="O22" s="18" t="s">
        <v>16</v>
      </c>
      <c r="P22" s="127"/>
      <c r="R22" s="137" t="s">
        <v>17</v>
      </c>
      <c r="S22" s="12" t="s">
        <v>12</v>
      </c>
    </row>
    <row r="23" spans="1:19" ht="50.1" customHeight="1">
      <c r="O23" s="14"/>
      <c r="P23" s="14"/>
      <c r="R23" s="138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9"/>
      <c r="P27" s="129"/>
    </row>
    <row r="28" spans="1:19" ht="19.899999999999999" customHeight="1">
      <c r="O28" s="129"/>
      <c r="P28" s="12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6" t="s">
        <v>18</v>
      </c>
      <c r="P46" s="126" t="s">
        <v>18</v>
      </c>
      <c r="S46" s="126" t="s">
        <v>12</v>
      </c>
    </row>
    <row r="47" spans="15:19" ht="21" customHeight="1">
      <c r="O47" s="127"/>
      <c r="P47" s="127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6" t="s">
        <v>18</v>
      </c>
      <c r="P50" s="126" t="s">
        <v>18</v>
      </c>
      <c r="S50" s="126" t="s">
        <v>19</v>
      </c>
    </row>
    <row r="51" spans="15:19" ht="21" customHeight="1">
      <c r="O51" s="127"/>
      <c r="P51" s="127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SAC2-DS-MRS-0199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46028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Third Party Inspection and Certification for Lifting Frame</v>
      </c>
      <c r="C6" s="167"/>
      <c r="D6" s="168">
        <f>MRS!D6</f>
        <v>0</v>
      </c>
      <c r="E6" s="169"/>
      <c r="F6" s="170"/>
      <c r="G6" s="102" t="str">
        <f>MRS!G6</f>
        <v>EA</v>
      </c>
      <c r="H6" s="102">
        <f>MRS!H6</f>
        <v>1</v>
      </c>
      <c r="I6" s="103">
        <f>MRS!I6</f>
        <v>700</v>
      </c>
      <c r="J6" s="103">
        <f>MRS!J6</f>
        <v>700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46028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SAC2-DS-PO-0199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46019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205" t="s">
        <v>126</v>
      </c>
      <c r="M26" s="206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v>700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105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805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4" t="s">
        <v>112</v>
      </c>
      <c r="F54" s="26" t="s">
        <v>120</v>
      </c>
    </row>
    <row r="55" spans="2:16" ht="12" customHeight="1">
      <c r="B55" s="83" t="s">
        <v>63</v>
      </c>
      <c r="C55" s="124" t="s">
        <v>113</v>
      </c>
      <c r="F55" s="125" t="s">
        <v>121</v>
      </c>
    </row>
    <row r="56" spans="2:16" ht="12" customHeight="1">
      <c r="B56" s="83" t="s">
        <v>63</v>
      </c>
      <c r="C56" s="124" t="s">
        <v>114</v>
      </c>
      <c r="F56" s="26" t="s">
        <v>122</v>
      </c>
    </row>
    <row r="57" spans="2:16" ht="12" customHeight="1">
      <c r="B57" s="83" t="s">
        <v>63</v>
      </c>
      <c r="C57" s="124" t="s">
        <v>115</v>
      </c>
      <c r="F57" s="26" t="s">
        <v>123</v>
      </c>
    </row>
    <row r="58" spans="2:16" ht="12" customHeight="1">
      <c r="B58" s="83" t="s">
        <v>63</v>
      </c>
      <c r="C58" s="124" t="s">
        <v>116</v>
      </c>
      <c r="F58" s="26" t="s">
        <v>124</v>
      </c>
    </row>
    <row r="59" spans="2:16" ht="12" customHeight="1">
      <c r="B59" s="83" t="s">
        <v>63</v>
      </c>
      <c r="C59" s="124" t="s">
        <v>117</v>
      </c>
      <c r="F59" s="26" t="s">
        <v>118</v>
      </c>
    </row>
    <row r="60" spans="2:16" ht="12" customHeight="1">
      <c r="B60" s="83"/>
      <c r="C60" s="124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SAC2-DS-PO-0199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46028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SAMOO(Samoo Al Bahr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9" t="str">
        <f>CONCATENATE(MRS!B6," ",MRS!D6)</f>
        <v xml:space="preserve">Third Party Inspection and Certification for Lifting Frame </v>
      </c>
      <c r="C6" s="190"/>
      <c r="D6" s="85" t="str">
        <f>+'MRS LIST'!G6</f>
        <v>EA</v>
      </c>
      <c r="E6" s="86">
        <f>+'MRS LIST'!H6</f>
        <v>1</v>
      </c>
      <c r="F6" s="87">
        <f>+'MRS LIST'!I6</f>
        <v>700</v>
      </c>
      <c r="G6" s="88">
        <f>+'MRS LIST'!J6</f>
        <v>700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9"/>
      <c r="C7" s="190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9"/>
      <c r="C8" s="190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9"/>
      <c r="C9" s="190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9"/>
      <c r="C10" s="190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9"/>
      <c r="C11" s="190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700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105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805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SAMOO-DAESHIN-MT-22-2025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2026-01-06T04:59:37Z</cp:lastPrinted>
  <dcterms:created xsi:type="dcterms:W3CDTF">2024-10-20T11:50:19Z</dcterms:created>
  <dcterms:modified xsi:type="dcterms:W3CDTF">2026-01-06T04:59:41Z</dcterms:modified>
</cp:coreProperties>
</file>