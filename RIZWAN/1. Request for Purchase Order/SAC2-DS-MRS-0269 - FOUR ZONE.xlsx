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C34162D-1DEE-4406-AF6B-D4FF1CFB51C9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<sst xmlns="http://schemas.openxmlformats.org/spreadsheetml/2006/main" count="172" uniqueCount="132">
  <si>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</si>
  <si>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</si>
  <si>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</si>
  <si>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</si>
  <si>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</si>
  <si>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</si>
  <si>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</si>
  <si>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</si>
  <si>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</si>
  <si>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</si>
  <si>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</si>
  <si>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</si>
  <si>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</si>
  <si>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</si>
  <si>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</si>
  <si>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</si>
  <si>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</si>
  <si>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</si>
  <si>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</si>
  <si>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</si>
  <si>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</si>
  <si>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</si>
  <si>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</si>
  <si>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</si>
  <si>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</si>
  <si>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</si>
  <si>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</si>
  <si>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</si>
  <si>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</si>
  <si>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</si>
  <si>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</si>
  <si>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</si>
  <si>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</si>
  <si>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</si>
  <si>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</si>
  <si>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</si>
  <si>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</si>
  <si>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</si>
  <si>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</si>
  <si>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</si>
  <si>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</si>
  <si>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</si>
  <si>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</si>
  <si>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</si>
  <si>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</si>
  <si>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</si>
  <si>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</si>
  <si>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</si>
  <si>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</si>
  <si>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</si>
  <si>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</si>
  <si>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</si>
  <si>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</si>
  <si>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</si>
  <si>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</si>
  <si>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</si>
  <si>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</si>
  <si>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</si>
  <si>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</si>
  <si>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</si>
  <si>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</si>
  <si>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</si>
  <si>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</si>
  <si>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</si>
  <si>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</si>
  <si>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</si>
  <si>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</si>
  <si>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</si>
  <si>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</si>
  <si>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</si>
  <si>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</si>
  <si>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</si>
  <si>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</si>
  <si>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</si>
  <si>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</si>
  <si>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</si>
  <si>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</si>
  <si>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</si>
  <si>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</si>
  <si>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</si>
  <si>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</si>
  <si>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</si>
  <si>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</si>
  <si>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</si>
  <si>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</si>
  <si>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</si>
  <si>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</si>
  <si>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</si>
  <si>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</si>
  <si>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</si>
  <si>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</si>
  <si>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</si>
  <si>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</si>
  <si>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</si>
  <si>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</si>
  <si>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</si>
  <si>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</si>
  <si>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</si>
  <si>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</si>
  <si>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</si>
  <si>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</si>
  <si>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</si>
  <si>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</si>
  <si>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</si>
  <si>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</si>
  <si>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</si>
  <si>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</si>
  <si>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</si>
  <si>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</si>
  <si>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</si>
  <si>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</si>
  <si>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</si>
  <si>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</si>
  <si>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</si>
  <si>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</si>
  <si>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</si>
  <si>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</si>
  <si>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</si>
  <si>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</si>
  <si>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</si>
  <si>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</si>
  <si>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</si>
  <si>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</si>
  <si>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</si>
  <si>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</si>
  <si>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01400013788710</t>
  </si>
  <si>
    <t>SA34 1000 0001 4000 1378 8710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</si>
  <si>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-MRS-0269</t>
    </r>
  </si>
  <si>
    <t>Flatbed Trailer</t>
  </si>
  <si>
    <t>with Driver</t>
  </si>
  <si>
    <t>FZ-OFFR-2026-1800</t>
  </si>
  <si>
    <t>Flatbed Trailer with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</si>
</sst>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43" t="s">
        <v>101</v>
      </c>
      <c r="K1" s="144"/>
      <c r="L1" s="145"/>
    </row>
    <row r="2" spans="1:19" ht="20.100000000000001" customHeight="1">
      <c r="A2" s="3" t="s">
        <v>102</v>
      </c>
      <c r="B2" s="101"/>
      <c r="C2" s="101"/>
      <c r="D2" s="3" t="s">
        <v>103</v>
      </c>
      <c r="E2" s="101"/>
      <c r="F2" s="101"/>
      <c r="G2" s="101"/>
      <c r="H2" s="101"/>
      <c r="I2" s="4"/>
      <c r="J2" s="146" t="s">
        <v>104</v>
      </c>
      <c r="K2" s="147"/>
      <c r="L2" s="148"/>
    </row>
    <row r="3" spans="1:19" ht="20.100000000000001" customHeight="1">
      <c r="A3" s="3" t="s">
        <v>127</v>
      </c>
      <c r="B3" s="101"/>
      <c r="C3" s="101"/>
      <c r="D3" s="101"/>
      <c r="E3" s="149">
        <f>+L3</f>
        <v>46109</v>
      </c>
      <c r="F3" s="149"/>
      <c r="G3" s="149"/>
      <c r="H3" s="149"/>
      <c r="I3" s="149"/>
      <c r="J3" s="101"/>
      <c r="K3" s="101"/>
      <c r="L3" s="122">
        <v>46109</v>
      </c>
      <c r="M3" s="4"/>
    </row>
    <row r="4" spans="1:19" ht="15.95" customHeight="1">
      <c r="A4" s="150" t="s">
        <v>1</v>
      </c>
      <c r="B4" s="151" t="s">
        <v>2</v>
      </c>
      <c r="C4" s="151"/>
      <c r="D4" s="152" t="s">
        <v>3</v>
      </c>
      <c r="E4" s="153"/>
      <c r="F4" s="154"/>
      <c r="G4" s="158" t="s">
        <v>4</v>
      </c>
      <c r="H4" s="160" t="s">
        <v>5</v>
      </c>
      <c r="I4" s="160" t="s">
        <v>94</v>
      </c>
      <c r="J4" s="150" t="s">
        <v>95</v>
      </c>
      <c r="K4" s="160" t="s">
        <v>0</v>
      </c>
      <c r="L4" s="151" t="s">
        <v>6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15" si="0">ROW(A1)</f>
        <v>1</v>
      </c>
      <c r="B6" s="131" t="s">
        <v>128</v>
      </c>
      <c r="C6" s="132"/>
      <c r="D6" s="133" t="s">
        <v>129</v>
      </c>
      <c r="E6" s="134"/>
      <c r="F6" s="135"/>
      <c r="G6" s="111" t="s">
        <v>89</v>
      </c>
      <c r="H6" s="112">
        <v>1</v>
      </c>
      <c r="I6" s="113">
        <v>14500</v>
      </c>
      <c r="J6" s="113">
        <f>H6*I6</f>
        <v>14500</v>
      </c>
      <c r="K6" s="114" t="s">
        <v>96</v>
      </c>
      <c r="L6" s="115" t="s">
        <v>99</v>
      </c>
      <c r="S6" s="106"/>
    </row>
    <row r="7" spans="1:19" ht="22.5" customHeight="1">
      <c r="A7" s="5">
        <f t="shared" si="0"/>
        <v>2</v>
      </c>
      <c r="B7" s="131"/>
      <c r="C7" s="132"/>
      <c r="D7" s="142"/>
      <c r="E7" s="134"/>
      <c r="F7" s="135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1"/>
      <c r="C9" s="132"/>
      <c r="D9" s="142"/>
      <c r="E9" s="134"/>
      <c r="F9" s="135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6" t="s">
        <v>7</v>
      </c>
      <c r="B16" s="137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14500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7" t="s">
        <v>16</v>
      </c>
      <c r="Q21" s="127" t="s">
        <v>17</v>
      </c>
    </row>
    <row r="22" spans="1:22" ht="18" customHeight="1">
      <c r="O22" s="18" t="s">
        <v>18</v>
      </c>
      <c r="P22" s="129"/>
      <c r="Q22" s="129"/>
      <c r="S22" s="13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20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20</v>
      </c>
      <c r="P46" s="127" t="s">
        <v>20</v>
      </c>
      <c r="Q46" s="127" t="s">
        <v>20</v>
      </c>
      <c r="T46" s="127" t="s">
        <v>21</v>
      </c>
      <c r="U46" s="127" t="s">
        <v>12</v>
      </c>
      <c r="V46" s="127" t="s">
        <v>20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20</v>
      </c>
      <c r="P50" s="127" t="s">
        <v>20</v>
      </c>
      <c r="Q50" s="127" t="s">
        <v>20</v>
      </c>
      <c r="T50" s="127" t="s">
        <v>12</v>
      </c>
      <c r="U50" s="127" t="s">
        <v>21</v>
      </c>
      <c r="V50" s="127" t="s">
        <v>20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93</v>
      </c>
      <c r="B1" s="100"/>
      <c r="C1" s="100"/>
      <c r="D1" s="100"/>
      <c r="E1" s="100"/>
      <c r="F1" s="100"/>
      <c r="G1" s="1"/>
      <c r="J1" s="172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74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SAC2-DS-MRS-0269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46109</v>
      </c>
    </row>
    <row r="4" spans="1:18" ht="15.95" customHeight="1">
      <c r="A4" s="176" t="s">
        <v>1</v>
      </c>
      <c r="B4" s="177" t="s">
        <v>22</v>
      </c>
      <c r="C4" s="177"/>
      <c r="D4" s="176" t="s">
        <v>3</v>
      </c>
      <c r="E4" s="176"/>
      <c r="F4" s="176"/>
      <c r="G4" s="177" t="s">
        <v>4</v>
      </c>
      <c r="H4" s="176" t="s">
        <v>90</v>
      </c>
      <c r="I4" s="176" t="s">
        <v>23</v>
      </c>
      <c r="J4" s="176" t="s">
        <v>24</v>
      </c>
      <c r="K4" s="177" t="s">
        <v>6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67" t="str">
        <f>MRS!B6</f>
        <v>Flatbed Trailer</v>
      </c>
      <c r="C6" s="168"/>
      <c r="D6" s="169" t="str">
        <f>MRS!D6</f>
        <v>with Driver</v>
      </c>
      <c r="E6" s="170"/>
      <c r="F6" s="171"/>
      <c r="G6" s="103" t="str">
        <f>MRS!G6</f>
        <v>Month</v>
      </c>
      <c r="H6" s="103">
        <f>MRS!H6</f>
        <v>1</v>
      </c>
      <c r="I6" s="104">
        <f>MRS!I6</f>
        <v>14500</v>
      </c>
      <c r="J6" s="104">
        <f>MRS!J6</f>
        <v>14500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/>
      <c r="C9" s="163"/>
      <c r="D9" s="164"/>
      <c r="E9" s="165"/>
      <c r="F9" s="166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2"/>
      <c r="C10" s="163"/>
      <c r="D10" s="164"/>
      <c r="E10" s="165"/>
      <c r="F10" s="166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2"/>
      <c r="C11" s="163"/>
      <c r="D11" s="164"/>
      <c r="E11" s="165"/>
      <c r="F11" s="166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H9" sqref="H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79">
        <f>MRS!L3</f>
        <v>46109</v>
      </c>
      <c r="L10" s="180"/>
      <c r="M10" s="180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1" t="str">
        <f>SUBSTITUTE(SUBSTITUTE(+MRS!A3,"  MRS No : ",""),"-MRS","-PO")</f>
        <v>SAC2-DS-PO-0269</v>
      </c>
      <c r="L11" s="181"/>
      <c r="M11" s="181"/>
    </row>
    <row r="12" spans="2:13" s="39" customFormat="1">
      <c r="B12" s="72"/>
      <c r="C12" s="75" t="s">
        <v>35</v>
      </c>
      <c r="D12" s="39" t="s">
        <v>109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130</v>
      </c>
    </row>
    <row r="15" spans="2:13" s="39" customFormat="1">
      <c r="B15" s="72"/>
      <c r="C15" s="77" t="s">
        <v>111</v>
      </c>
      <c r="J15" s="39" t="s">
        <v>39</v>
      </c>
      <c r="K15" s="78">
        <v>46106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2" t="s">
        <v>40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41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42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43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4" t="s">
        <v>131</v>
      </c>
      <c r="M26" s="79" t="s">
        <v>45</v>
      </c>
    </row>
    <row r="27" spans="2:13" ht="11.1" customHeight="1">
      <c r="B27" s="32"/>
      <c r="C27" s="126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6" t="s">
        <v>99</v>
      </c>
      <c r="G29" s="186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6"/>
      <c r="G30" s="186"/>
    </row>
    <row r="31" spans="2:13" ht="12" customHeight="1">
      <c r="B31" s="32"/>
      <c r="C31" s="26" t="s">
        <v>50</v>
      </c>
      <c r="D31" s="35"/>
      <c r="E31" s="26" t="s">
        <v>48</v>
      </c>
      <c r="F31" s="186"/>
      <c r="G31" s="18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64</v>
      </c>
      <c r="C54" s="125" t="s">
        <v>113</v>
      </c>
      <c r="F54" s="26" t="s">
        <v>121</v>
      </c>
      <c r="P54" s="26" t="str">
        <f>UPPER(F54)</f>
        <v>FOUR ZONE CONTRACTING EST.</v>
      </c>
    </row>
    <row r="55" spans="2:16" ht="12" customHeight="1">
      <c r="B55" s="84" t="s">
        <v>64</v>
      </c>
      <c r="C55" s="125" t="s">
        <v>114</v>
      </c>
      <c r="F55" s="126" t="s">
        <v>125</v>
      </c>
    </row>
    <row r="56" spans="2:16" ht="12" customHeight="1">
      <c r="B56" s="84" t="s">
        <v>64</v>
      </c>
      <c r="C56" s="125" t="s">
        <v>115</v>
      </c>
      <c r="F56" s="126" t="s">
        <v>126</v>
      </c>
    </row>
    <row r="57" spans="2:16" ht="12" customHeight="1">
      <c r="B57" s="84" t="s">
        <v>64</v>
      </c>
      <c r="C57" s="125" t="s">
        <v>116</v>
      </c>
      <c r="F57" s="26" t="s">
        <v>122</v>
      </c>
    </row>
    <row r="58" spans="2:16" ht="12" customHeight="1">
      <c r="B58" s="84" t="s">
        <v>64</v>
      </c>
      <c r="C58" s="125" t="s">
        <v>117</v>
      </c>
      <c r="F58" s="26" t="s">
        <v>123</v>
      </c>
    </row>
    <row r="59" spans="2:16" ht="12" customHeight="1">
      <c r="B59" s="84" t="s">
        <v>64</v>
      </c>
      <c r="C59" s="125" t="s">
        <v>118</v>
      </c>
      <c r="F59" s="26" t="s">
        <v>119</v>
      </c>
    </row>
    <row r="60" spans="2:16" ht="12" customHeight="1">
      <c r="B60" s="84"/>
      <c r="C60" s="125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124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107</v>
      </c>
      <c r="J70" s="25" t="str">
        <f>C9</f>
        <v>FZCE(Four Zone Contracting Est.)</v>
      </c>
    </row>
    <row r="71" spans="1:13" ht="27.95" customHeight="1">
      <c r="A71" s="178" t="s">
        <v>74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SAC2-DS-PO-0269</v>
      </c>
      <c r="C2" s="193" t="s">
        <v>76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46109</v>
      </c>
      <c r="C3" s="51"/>
      <c r="D3" s="52"/>
      <c r="E3" s="194" t="s">
        <v>78</v>
      </c>
      <c r="F3" s="194"/>
      <c r="G3" s="194"/>
      <c r="H3" s="194"/>
      <c r="I3" s="53"/>
    </row>
    <row r="4" spans="1:13" s="55" customFormat="1" ht="28.5" customHeight="1" thickTop="1">
      <c r="A4" s="195" t="s">
        <v>79</v>
      </c>
      <c r="B4" s="197" t="s">
        <v>80</v>
      </c>
      <c r="C4" s="198"/>
      <c r="D4" s="201" t="s">
        <v>81</v>
      </c>
      <c r="E4" s="201" t="s">
        <v>82</v>
      </c>
      <c r="F4" s="203" t="str">
        <f>'PO 1st page'!C9</f>
        <v>FZCE(Four Zone Contracting Est.)</v>
      </c>
      <c r="G4" s="204"/>
      <c r="H4" s="205" t="s">
        <v>83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84</v>
      </c>
      <c r="G5" s="57" t="s">
        <v>50</v>
      </c>
      <c r="H5" s="20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7" t="str">
        <f>CONCATENATE(MRS!B6," ",MRS!D6)</f>
        <v>Flatbed Trailer with Driver</v>
      </c>
      <c r="C6" s="208"/>
      <c r="D6" s="86" t="str">
        <f>MRS!G6</f>
        <v>Month</v>
      </c>
      <c r="E6" s="86">
        <f>MRS!H6</f>
        <v>1</v>
      </c>
      <c r="F6" s="87">
        <f>MRS!I6</f>
        <v>14500</v>
      </c>
      <c r="G6" s="88">
        <f>MRS!J6</f>
        <v>14500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7"/>
      <c r="C7" s="208"/>
      <c r="D7" s="86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207"/>
      <c r="C8" s="208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207"/>
      <c r="C9" s="208"/>
      <c r="D9" s="86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91"/>
      <c r="C10" s="192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91"/>
      <c r="C11" s="192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91"/>
      <c r="C12" s="192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1"/>
      <c r="C13" s="192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1"/>
      <c r="C14" s="192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1"/>
      <c r="C15" s="192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1"/>
      <c r="C16" s="192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1"/>
      <c r="C17" s="192"/>
      <c r="D17" s="93"/>
      <c r="E17" s="94"/>
      <c r="F17" s="95"/>
      <c r="G17" s="96"/>
      <c r="H17" s="97"/>
    </row>
    <row r="18" spans="1:13" s="55" customFormat="1" ht="23.1" customHeight="1">
      <c r="A18" s="187" t="s">
        <v>85</v>
      </c>
      <c r="B18" s="188"/>
      <c r="C18" s="188"/>
      <c r="D18" s="188"/>
      <c r="E18" s="188"/>
      <c r="F18" s="188"/>
      <c r="G18" s="58">
        <f>SUM(G6:G17)</f>
        <v>14500</v>
      </c>
      <c r="H18" s="59"/>
    </row>
    <row r="19" spans="1:13" s="55" customFormat="1" ht="23.1" customHeight="1">
      <c r="A19" s="187" t="s">
        <v>49</v>
      </c>
      <c r="B19" s="188"/>
      <c r="C19" s="188"/>
      <c r="D19" s="188"/>
      <c r="E19" s="188"/>
      <c r="F19" s="188"/>
      <c r="G19" s="58">
        <f>+G18*0.15</f>
        <v>2175</v>
      </c>
      <c r="H19" s="59"/>
    </row>
    <row r="20" spans="1:13" s="55" customFormat="1" ht="24.95" customHeight="1" thickBot="1">
      <c r="A20" s="189" t="s">
        <v>86</v>
      </c>
      <c r="B20" s="190"/>
      <c r="C20" s="190"/>
      <c r="D20" s="190"/>
      <c r="E20" s="190"/>
      <c r="F20" s="190"/>
      <c r="G20" s="60">
        <f>G19+G18</f>
        <v>16675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FZ-OFFR-2026-1800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8" t="s">
        <v>88</v>
      </c>
      <c r="B24" s="178"/>
      <c r="C24" s="178"/>
      <c r="D24" s="178"/>
      <c r="E24" s="178"/>
      <c r="F24" s="178"/>
      <c r="G24" s="178"/>
      <c r="H24" s="17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2026-03-28T11:46:06Z</cp:lastPrinted>
  <dcterms:created xsi:type="dcterms:W3CDTF">2024-10-20T11:50:19Z</dcterms:created>
  <dcterms:modified xsi:type="dcterms:W3CDTF">2026-03-28T11:46:58Z</dcterms:modified>
</cp:coreProperties>
</file>