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DE88B1F-326C-4A9F-9E81-D302F5411253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page'!$A$1:$H$22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G7" i="4"/>
  <c r="F7" i="4"/>
  <c r="E7" i="4"/>
  <c r="D7" i="4"/>
  <c r="B8" i="4"/>
  <c r="J8" i="1"/>
  <c r="H6" i="4" l="1"/>
  <c r="B7" i="4"/>
  <c r="B6" i="4"/>
  <c r="J7" i="1"/>
  <c r="J6" i="1"/>
  <c r="E3" i="1"/>
  <c r="P54" i="3" l="1"/>
  <c r="J9" i="2" l="1"/>
  <c r="J8" i="2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E6" i="4" s="1"/>
  <c r="G7" i="2"/>
  <c r="D6" i="4" s="1"/>
  <c r="D7" i="2"/>
  <c r="B7" i="2"/>
  <c r="K10" i="3" l="1"/>
  <c r="A19" i="4" l="1"/>
  <c r="J7" i="2"/>
  <c r="G6" i="4" s="1"/>
  <c r="I7" i="2"/>
  <c r="F6" i="4" s="1"/>
  <c r="I6" i="2"/>
  <c r="H6" i="2"/>
  <c r="G6" i="2"/>
  <c r="D6" i="2"/>
  <c r="B6" i="2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16" i="1" l="1"/>
  <c r="J6" i="2"/>
  <c r="G16" i="4" l="1"/>
  <c r="G17" i="4" s="1"/>
  <c r="G18" i="4" s="1"/>
</calcChain>
</file>

<file path=xl/sharedStrings.xml><?xml version="1.0" encoding="utf-8"?>
<sst xmlns="http://schemas.openxmlformats.org/spreadsheetml/2006/main" count="162" uniqueCount="137">
  <si>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</si>
  <si>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</si>
  <si>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</si>
  <si>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</si>
  <si>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</si>
  <si>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</si>
  <si>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</si>
  <si>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</si>
  <si>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</si>
  <si>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</si>
  <si>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</si>
  <si>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</si>
  <si>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</si>
  <si>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</si>
  <si>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</si>
  <si>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</si>
  <si>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</si>
  <si>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</si>
  <si>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</si>
  <si>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</si>
  <si>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</si>
  <si>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</si>
  <si>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</si>
  <si>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</si>
  <si>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</si>
  <si>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</si>
  <si>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</si>
  <si>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</si>
  <si>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</si>
  <si>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</si>
  <si>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</si>
  <si>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</si>
  <si>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</si>
  <si>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</si>
  <si>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</si>
  <si>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</si>
  <si>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</si>
  <si>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</si>
  <si>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</si>
  <si>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</si>
  <si>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</si>
  <si>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</si>
  <si>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</si>
  <si>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</si>
  <si>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</si>
  <si>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</si>
  <si>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</si>
  <si>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</si>
  <si>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</si>
  <si>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</si>
  <si>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</si>
  <si>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</si>
  <si>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</si>
  <si>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</si>
  <si>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</si>
  <si>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</si>
  <si>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</si>
  <si>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</si>
  <si>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</si>
  <si>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</si>
  <si>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</si>
  <si>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</si>
  <si>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</si>
  <si>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</si>
  <si>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</si>
  <si>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</si>
  <si>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</si>
  <si>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</si>
  <si>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</si>
  <si>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</si>
  <si>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</si>
  <si>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</si>
  <si>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</si>
  <si>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</si>
  <si>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</si>
  <si>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</si>
  <si>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</si>
  <si>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</si>
  <si>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</si>
  <si>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</si>
  <si>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</si>
  <si>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</si>
  <si>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</si>
  <si>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</si>
  <si>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</si>
  <si>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</si>
  <si>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</si>
  <si>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</si>
  <si>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</si>
  <si>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</si>
  <si>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</si>
  <si>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</si>
  <si>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</si>
  <si>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</si>
  <si>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</si>
  <si>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</si>
  <si>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</si>
  <si>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</si>
  <si>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</si>
  <si>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</si>
  <si>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</si>
  <si>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BRC (Basmat Rose Contracting Co.)</t>
  </si>
  <si>
    <t>2055160805</t>
  </si>
  <si>
    <t>312830898400003</t>
  </si>
  <si>
    <t>Raj Hussain Ansari</t>
  </si>
  <si>
    <t>+966 56 265 7314 / Email:info@brccksa.com</t>
  </si>
  <si>
    <t>P.O. Box 4381, Al Jubail 35514, KSA</t>
  </si>
  <si>
    <t>Mobile : +966 56 265 7314</t>
  </si>
  <si>
    <t>BASMAT ROSE CONTRACTING CO.</t>
  </si>
  <si>
    <t>SA68 1000 0040 9000 0053 0200</t>
  </si>
  <si>
    <t>SAUDI NATIONAL BANK</t>
  </si>
  <si>
    <t>NCBKSAJE</t>
  </si>
  <si>
    <t>Marketing Executive</t>
  </si>
  <si>
    <t>BRC</t>
  </si>
  <si>
    <t>40900000530200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</si>
  <si>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</si>
  <si>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</si>
  <si>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</si>
  <si>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</si>
  <si>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</si>
  <si>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</si>
  <si>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</si>
  <si>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</si>
  <si>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</si>
  <si>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</si>
  <si>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</si>
  <si>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</si>
  <si>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</si>
  <si>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</si>
  <si>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</si>
  <si>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</si>
  <si>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-MRS-0393</t>
    </r>
  </si>
  <si>
    <t>Electricain</t>
  </si>
  <si>
    <t>Helper</t>
  </si>
  <si>
    <t>Pipe Fitter</t>
  </si>
  <si>
    <t>BRC-QT-0020260508</t>
  </si>
  <si>
    <t>Manpower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</si>
</sst>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/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928437</xdr:colOff>
          <xdr:row>17</xdr:row>
          <xdr:rowOff>85725</xdr:rowOff>
        </xdr:from>
        <xdr:to>
          <xdr:col>11</xdr:col>
          <xdr:colOff>1528512</xdr:colOff>
          <xdr:row>23</xdr:row>
          <xdr:rowOff>323850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64217C-2CAE-55BA-D133-F852B18069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20516" y="5068804"/>
              <a:ext cx="845068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3" sqref="P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140625" style="2" customWidth="1"/>
    <col min="10" max="10" width="17.710937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4" t="s">
        <v>115</v>
      </c>
      <c r="B1" s="125"/>
      <c r="C1" s="106"/>
      <c r="D1" s="106"/>
      <c r="E1" s="106"/>
      <c r="F1" s="106"/>
      <c r="G1" s="1"/>
      <c r="J1" s="152" t="s">
        <v>81</v>
      </c>
      <c r="K1" s="153"/>
      <c r="L1" s="154"/>
    </row>
    <row r="2" spans="1:18" ht="20.100000000000001" customHeight="1">
      <c r="A2" s="3" t="s">
        <v>1</v>
      </c>
      <c r="B2" s="97"/>
      <c r="C2" s="97"/>
      <c r="D2" s="3" t="s">
        <v>116</v>
      </c>
      <c r="E2" s="97"/>
      <c r="F2" s="97"/>
      <c r="G2" s="97"/>
      <c r="H2" s="97"/>
      <c r="I2" s="4"/>
      <c r="J2" s="168" t="s">
        <v>86</v>
      </c>
      <c r="K2" s="169"/>
      <c r="L2" s="170"/>
    </row>
    <row r="3" spans="1:18" ht="20.100000000000001" customHeight="1">
      <c r="A3" s="3" t="s">
        <v>131</v>
      </c>
      <c r="B3" s="97"/>
      <c r="C3" s="97"/>
      <c r="D3" s="97"/>
      <c r="E3" s="155">
        <f>+L3+3</f>
        <v>46274</v>
      </c>
      <c r="F3" s="155"/>
      <c r="G3" s="155"/>
      <c r="H3" s="155"/>
      <c r="I3" s="155"/>
      <c r="J3" s="97"/>
      <c r="K3" s="97"/>
      <c r="L3" s="126">
        <v>46271</v>
      </c>
      <c r="M3" s="4"/>
    </row>
    <row r="4" spans="1:18" ht="15.95" customHeight="1">
      <c r="A4" s="156" t="s">
        <v>2</v>
      </c>
      <c r="B4" s="157" t="s">
        <v>3</v>
      </c>
      <c r="C4" s="157"/>
      <c r="D4" s="158" t="s">
        <v>4</v>
      </c>
      <c r="E4" s="159"/>
      <c r="F4" s="160"/>
      <c r="G4" s="164" t="s">
        <v>5</v>
      </c>
      <c r="H4" s="166" t="s">
        <v>6</v>
      </c>
      <c r="I4" s="166" t="s">
        <v>117</v>
      </c>
      <c r="J4" s="156" t="s">
        <v>118</v>
      </c>
      <c r="K4" s="166" t="s">
        <v>0</v>
      </c>
      <c r="L4" s="157" t="s">
        <v>7</v>
      </c>
    </row>
    <row r="5" spans="1:18" ht="15.95" customHeight="1">
      <c r="A5" s="156"/>
      <c r="B5" s="157"/>
      <c r="C5" s="157"/>
      <c r="D5" s="161"/>
      <c r="E5" s="162"/>
      <c r="F5" s="163"/>
      <c r="G5" s="165"/>
      <c r="H5" s="167"/>
      <c r="I5" s="167"/>
      <c r="J5" s="156"/>
      <c r="K5" s="167"/>
      <c r="L5" s="157"/>
    </row>
    <row r="6" spans="1:18" ht="22.5" customHeight="1">
      <c r="A6" s="5">
        <v>1</v>
      </c>
      <c r="B6" s="142" t="s">
        <v>134</v>
      </c>
      <c r="C6" s="143"/>
      <c r="D6" s="151"/>
      <c r="E6" s="145"/>
      <c r="F6" s="146"/>
      <c r="G6" s="107" t="s">
        <v>88</v>
      </c>
      <c r="H6" s="108">
        <v>1</v>
      </c>
      <c r="I6" s="109">
        <v>17</v>
      </c>
      <c r="J6" s="109">
        <f t="shared" ref="J6:J8" si="0">H6*I6</f>
        <v>17</v>
      </c>
      <c r="K6" s="110" t="s">
        <v>113</v>
      </c>
      <c r="L6" s="111" t="s">
        <v>100</v>
      </c>
      <c r="R6" s="102"/>
    </row>
    <row r="7" spans="1:18" ht="22.5" customHeight="1">
      <c r="A7" s="5">
        <v>2</v>
      </c>
      <c r="B7" s="142" t="s">
        <v>132</v>
      </c>
      <c r="C7" s="143"/>
      <c r="D7" s="144"/>
      <c r="E7" s="145"/>
      <c r="F7" s="146"/>
      <c r="G7" s="107" t="s">
        <v>88</v>
      </c>
      <c r="H7" s="108">
        <v>1</v>
      </c>
      <c r="I7" s="109">
        <v>20</v>
      </c>
      <c r="J7" s="109">
        <f t="shared" si="0"/>
        <v>20</v>
      </c>
      <c r="K7" s="110"/>
      <c r="L7" s="111"/>
      <c r="R7" s="102"/>
    </row>
    <row r="8" spans="1:18" ht="22.5" customHeight="1">
      <c r="A8" s="5">
        <v>3</v>
      </c>
      <c r="B8" s="133" t="s">
        <v>133</v>
      </c>
      <c r="C8" s="134"/>
      <c r="D8" s="144"/>
      <c r="E8" s="145"/>
      <c r="F8" s="146"/>
      <c r="G8" s="107" t="s">
        <v>88</v>
      </c>
      <c r="H8" s="108">
        <v>1</v>
      </c>
      <c r="I8" s="109">
        <v>13</v>
      </c>
      <c r="J8" s="109">
        <f t="shared" si="0"/>
        <v>13</v>
      </c>
      <c r="K8" s="110"/>
      <c r="L8" s="111"/>
      <c r="R8" s="102"/>
    </row>
    <row r="9" spans="1:18" ht="22.5" customHeight="1">
      <c r="A9" s="5">
        <v>4</v>
      </c>
      <c r="B9" s="149"/>
      <c r="C9" s="149"/>
      <c r="D9" s="150"/>
      <c r="E9" s="150"/>
      <c r="F9" s="150"/>
      <c r="G9" s="107"/>
      <c r="H9" s="108"/>
      <c r="I9" s="112"/>
      <c r="J9" s="109"/>
      <c r="K9" s="110"/>
      <c r="L9" s="107"/>
      <c r="R9" s="102"/>
    </row>
    <row r="10" spans="1:18" ht="22.5" customHeight="1">
      <c r="A10" s="5">
        <v>5</v>
      </c>
      <c r="B10" s="133"/>
      <c r="C10" s="134"/>
      <c r="D10" s="135"/>
      <c r="E10" s="136"/>
      <c r="F10" s="137"/>
      <c r="G10" s="107"/>
      <c r="H10" s="108"/>
      <c r="I10" s="109"/>
      <c r="J10" s="109"/>
      <c r="K10" s="110"/>
      <c r="L10" s="107"/>
      <c r="R10" s="102"/>
    </row>
    <row r="11" spans="1:18" ht="22.5" customHeight="1">
      <c r="A11" s="5">
        <v>6</v>
      </c>
      <c r="B11" s="142"/>
      <c r="C11" s="143"/>
      <c r="D11" s="144"/>
      <c r="E11" s="145"/>
      <c r="F11" s="146"/>
      <c r="G11" s="107"/>
      <c r="H11" s="108"/>
      <c r="I11" s="109"/>
      <c r="J11" s="109"/>
      <c r="K11" s="110"/>
      <c r="L11" s="111"/>
      <c r="R11" s="102"/>
    </row>
    <row r="12" spans="1:18" ht="22.5" customHeight="1">
      <c r="A12" s="5">
        <v>7</v>
      </c>
      <c r="B12" s="149"/>
      <c r="C12" s="149"/>
      <c r="D12" s="150"/>
      <c r="E12" s="150"/>
      <c r="F12" s="150"/>
      <c r="G12" s="107"/>
      <c r="H12" s="108"/>
      <c r="I12" s="112"/>
      <c r="J12" s="109"/>
      <c r="K12" s="110"/>
      <c r="L12" s="107"/>
      <c r="R12" s="102"/>
    </row>
    <row r="13" spans="1:18" ht="22.5" customHeight="1">
      <c r="A13" s="5">
        <v>8</v>
      </c>
      <c r="B13" s="142"/>
      <c r="C13" s="143"/>
      <c r="D13" s="144"/>
      <c r="E13" s="145"/>
      <c r="F13" s="146"/>
      <c r="G13" s="107"/>
      <c r="H13" s="108"/>
      <c r="I13" s="109"/>
      <c r="J13" s="109"/>
      <c r="K13" s="110"/>
      <c r="L13" s="111"/>
      <c r="R13" s="102"/>
    </row>
    <row r="14" spans="1:18" ht="22.5" customHeight="1">
      <c r="A14" s="5">
        <v>9</v>
      </c>
      <c r="B14" s="142"/>
      <c r="C14" s="143"/>
      <c r="D14" s="144"/>
      <c r="E14" s="145"/>
      <c r="F14" s="146"/>
      <c r="G14" s="107"/>
      <c r="H14" s="108"/>
      <c r="I14" s="109"/>
      <c r="J14" s="109"/>
      <c r="K14" s="110"/>
      <c r="L14" s="111"/>
      <c r="R14" s="102"/>
    </row>
    <row r="15" spans="1:18" ht="22.5" customHeight="1">
      <c r="A15" s="5">
        <v>10</v>
      </c>
      <c r="B15" s="142"/>
      <c r="C15" s="143"/>
      <c r="D15" s="144"/>
      <c r="E15" s="145"/>
      <c r="F15" s="146"/>
      <c r="G15" s="107"/>
      <c r="H15" s="108"/>
      <c r="I15" s="109"/>
      <c r="J15" s="109"/>
      <c r="K15" s="110"/>
      <c r="L15" s="111"/>
      <c r="R15" s="102"/>
    </row>
    <row r="16" spans="1:18" ht="22.5" customHeight="1">
      <c r="A16" s="147" t="s">
        <v>8</v>
      </c>
      <c r="B16" s="148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50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5"/>
      <c r="Z18" s="11"/>
    </row>
    <row r="19" spans="1:26" ht="50.1" customHeight="1">
      <c r="Y19" s="176"/>
    </row>
    <row r="20" spans="1:26" ht="15" customHeight="1">
      <c r="O20" s="171" t="s">
        <v>119</v>
      </c>
      <c r="P20" s="177"/>
      <c r="Q20" s="177"/>
      <c r="R20" s="172"/>
      <c r="S20" s="123"/>
      <c r="T20" s="171" t="s">
        <v>120</v>
      </c>
      <c r="U20" s="177"/>
      <c r="V20" s="177"/>
      <c r="W20" s="177"/>
      <c r="X20" s="177"/>
      <c r="Y20" s="172"/>
    </row>
    <row r="21" spans="1:26" ht="15" customHeight="1">
      <c r="O21" s="178" t="s">
        <v>121</v>
      </c>
      <c r="P21" s="138" t="s">
        <v>122</v>
      </c>
      <c r="Q21" s="178" t="s">
        <v>123</v>
      </c>
      <c r="R21" s="138" t="s">
        <v>124</v>
      </c>
      <c r="S21" s="123"/>
      <c r="T21" s="178" t="s">
        <v>125</v>
      </c>
      <c r="U21" s="138" t="s">
        <v>126</v>
      </c>
      <c r="V21" s="171" t="s">
        <v>127</v>
      </c>
      <c r="W21" s="177"/>
      <c r="X21" s="172"/>
      <c r="Y21" s="138" t="s">
        <v>128</v>
      </c>
    </row>
    <row r="22" spans="1:26" ht="18" customHeight="1">
      <c r="O22" s="140"/>
      <c r="P22" s="139"/>
      <c r="Q22" s="140"/>
      <c r="R22" s="139"/>
      <c r="S22" s="127"/>
      <c r="T22" s="140"/>
      <c r="U22" s="139"/>
      <c r="V22" s="13" t="s">
        <v>121</v>
      </c>
      <c r="W22" s="179" t="s">
        <v>129</v>
      </c>
      <c r="X22" s="180"/>
      <c r="Y22" s="139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71"/>
      <c r="X23" s="172"/>
      <c r="Y23" s="128"/>
    </row>
    <row r="24" spans="1:26" ht="36" customHeight="1">
      <c r="W24" s="129"/>
      <c r="X24" s="173" t="s">
        <v>130</v>
      </c>
      <c r="Y24" s="12" t="s">
        <v>128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74"/>
      <c r="Y25" s="132"/>
    </row>
    <row r="26" spans="1:26" ht="19.899999999999999" customHeight="1"/>
    <row r="27" spans="1:26" ht="17.45" customHeight="1">
      <c r="O27" s="141"/>
      <c r="P27" s="141"/>
    </row>
    <row r="28" spans="1:26" ht="19.899999999999999" customHeight="1">
      <c r="O28" s="141"/>
      <c r="P28" s="141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8" t="s">
        <v>12</v>
      </c>
      <c r="P46" s="138" t="s">
        <v>12</v>
      </c>
      <c r="S46" s="138" t="s">
        <v>11</v>
      </c>
    </row>
    <row r="47" spans="15:19" ht="21" customHeight="1">
      <c r="O47" s="139"/>
      <c r="P47" s="139"/>
      <c r="S47" s="14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8" t="s">
        <v>12</v>
      </c>
      <c r="P50" s="138" t="s">
        <v>12</v>
      </c>
      <c r="S50" s="138" t="s">
        <v>13</v>
      </c>
    </row>
    <row r="51" spans="15:19" ht="21" customHeight="1">
      <c r="O51" s="139"/>
      <c r="P51" s="139"/>
      <c r="S51" s="140"/>
    </row>
    <row r="52" spans="15:19" ht="64.900000000000006" customHeight="1">
      <c r="O52" s="14"/>
      <c r="P52" s="14"/>
      <c r="S52" s="14"/>
    </row>
  </sheetData>
  <mergeCells count="52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E3:I3"/>
    <mergeCell ref="I4:I5"/>
    <mergeCell ref="J4:J5"/>
    <mergeCell ref="K4:K5"/>
    <mergeCell ref="L4:L5"/>
    <mergeCell ref="J2:L2"/>
    <mergeCell ref="D8:F8"/>
    <mergeCell ref="B9:C9"/>
    <mergeCell ref="D9:F9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85</v>
      </c>
      <c r="B1" s="96"/>
      <c r="C1" s="96"/>
      <c r="D1" s="96"/>
      <c r="E1" s="96"/>
      <c r="F1" s="96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8" t="str">
        <f>+MRS!J2</f>
        <v>Subcontract name (SAC2-SC-IK-SMP-01)</v>
      </c>
      <c r="K2" s="170"/>
    </row>
    <row r="3" spans="1:18" ht="24.95" customHeight="1">
      <c r="A3" s="3" t="str">
        <f>+MRS!A3</f>
        <v xml:space="preserve">  MRS No : SAC2-DS-MRS-0393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46271</v>
      </c>
    </row>
    <row r="4" spans="1:18" ht="15.95" customHeight="1">
      <c r="A4" s="191" t="s">
        <v>2</v>
      </c>
      <c r="B4" s="192" t="s">
        <v>14</v>
      </c>
      <c r="C4" s="192"/>
      <c r="D4" s="191" t="s">
        <v>4</v>
      </c>
      <c r="E4" s="191"/>
      <c r="F4" s="191"/>
      <c r="G4" s="192" t="s">
        <v>5</v>
      </c>
      <c r="H4" s="191" t="s">
        <v>82</v>
      </c>
      <c r="I4" s="191" t="s">
        <v>15</v>
      </c>
      <c r="J4" s="191" t="s">
        <v>16</v>
      </c>
      <c r="K4" s="192" t="s">
        <v>7</v>
      </c>
    </row>
    <row r="5" spans="1:18" ht="15.95" customHeight="1">
      <c r="A5" s="191"/>
      <c r="B5" s="192"/>
      <c r="C5" s="192"/>
      <c r="D5" s="191"/>
      <c r="E5" s="191"/>
      <c r="F5" s="191"/>
      <c r="G5" s="192"/>
      <c r="H5" s="191"/>
      <c r="I5" s="191"/>
      <c r="J5" s="191"/>
      <c r="K5" s="192"/>
    </row>
    <row r="6" spans="1:18" ht="105" customHeight="1">
      <c r="A6" s="17" t="e">
        <f>+MRS!#REF!</f>
        <v>#REF!</v>
      </c>
      <c r="B6" s="186" t="e">
        <f>MRS!#REF!</f>
        <v>#REF!</v>
      </c>
      <c r="C6" s="187"/>
      <c r="D6" s="188" t="e">
        <f>MRS!#REF!</f>
        <v>#REF!</v>
      </c>
      <c r="E6" s="189"/>
      <c r="F6" s="190"/>
      <c r="G6" s="99" t="e">
        <f>MRS!#REF!</f>
        <v>#REF!</v>
      </c>
      <c r="H6" s="99" t="e">
        <f>MRS!#REF!</f>
        <v>#REF!</v>
      </c>
      <c r="I6" s="100" t="e">
        <f>MRS!#REF!</f>
        <v>#REF!</v>
      </c>
      <c r="J6" s="100" t="e">
        <f>MRS!#REF!</f>
        <v>#REF!</v>
      </c>
      <c r="K6" s="101"/>
      <c r="O6" s="102"/>
      <c r="P6" s="102"/>
      <c r="R6" s="102"/>
    </row>
    <row r="7" spans="1:18" ht="105" customHeight="1">
      <c r="A7" s="17">
        <f>+MRS!A6</f>
        <v>1</v>
      </c>
      <c r="B7" s="186" t="str">
        <f>MRS!B6</f>
        <v>Pipe Fitter</v>
      </c>
      <c r="C7" s="187"/>
      <c r="D7" s="188">
        <f>MRS!D6</f>
        <v>0</v>
      </c>
      <c r="E7" s="189"/>
      <c r="F7" s="190"/>
      <c r="G7" s="99" t="str">
        <f>MRS!G6</f>
        <v>Hour</v>
      </c>
      <c r="H7" s="99">
        <f>MRS!H6</f>
        <v>1</v>
      </c>
      <c r="I7" s="100">
        <f>MRS!I6</f>
        <v>17</v>
      </c>
      <c r="J7" s="100">
        <f>MRS!J6</f>
        <v>17</v>
      </c>
      <c r="K7" s="101"/>
      <c r="O7" s="102"/>
      <c r="P7" s="102"/>
      <c r="R7" s="102"/>
    </row>
    <row r="8" spans="1:18" ht="105" customHeight="1">
      <c r="A8" s="17">
        <f>+MRS!A7</f>
        <v>2</v>
      </c>
      <c r="B8" s="186" t="str">
        <f>MRS!B7</f>
        <v>Electricain</v>
      </c>
      <c r="C8" s="187"/>
      <c r="D8" s="188">
        <f>MRS!D7</f>
        <v>0</v>
      </c>
      <c r="E8" s="189"/>
      <c r="F8" s="190"/>
      <c r="G8" s="99" t="str">
        <f>MRS!G7</f>
        <v>Hour</v>
      </c>
      <c r="H8" s="99">
        <f>MRS!H7</f>
        <v>1</v>
      </c>
      <c r="I8" s="100">
        <f>MRS!I7</f>
        <v>20</v>
      </c>
      <c r="J8" s="100">
        <f>MRS!J7</f>
        <v>20</v>
      </c>
      <c r="K8" s="101"/>
      <c r="O8" s="102"/>
      <c r="P8" s="102"/>
      <c r="R8" s="102"/>
    </row>
    <row r="9" spans="1:18" ht="105" customHeight="1">
      <c r="A9" s="17">
        <f>+MRS!A8</f>
        <v>3</v>
      </c>
      <c r="B9" s="186" t="str">
        <f>MRS!B8</f>
        <v>Helper</v>
      </c>
      <c r="C9" s="187"/>
      <c r="D9" s="188">
        <f>MRS!D8</f>
        <v>0</v>
      </c>
      <c r="E9" s="189"/>
      <c r="F9" s="190"/>
      <c r="G9" s="99" t="str">
        <f>MRS!G8</f>
        <v>Hour</v>
      </c>
      <c r="H9" s="99">
        <f>MRS!H8</f>
        <v>1</v>
      </c>
      <c r="I9" s="100">
        <f>MRS!I8</f>
        <v>13</v>
      </c>
      <c r="J9" s="100">
        <f>MRS!J8</f>
        <v>13</v>
      </c>
      <c r="K9" s="101"/>
      <c r="O9" s="102"/>
      <c r="P9" s="102"/>
      <c r="R9" s="102"/>
    </row>
    <row r="10" spans="1:18" ht="105" customHeight="1">
      <c r="A10" s="17">
        <f>+MRS!A9</f>
        <v>4</v>
      </c>
      <c r="B10" s="186">
        <f>MRS!B9</f>
        <v>0</v>
      </c>
      <c r="C10" s="187"/>
      <c r="D10" s="188">
        <f>MRS!D9</f>
        <v>0</v>
      </c>
      <c r="E10" s="189"/>
      <c r="F10" s="190"/>
      <c r="G10" s="99">
        <f>MRS!G9</f>
        <v>0</v>
      </c>
      <c r="H10" s="99">
        <f>MRS!H9</f>
        <v>0</v>
      </c>
      <c r="I10" s="100">
        <f>MRS!I9</f>
        <v>0</v>
      </c>
      <c r="J10" s="100">
        <f>MRS!J9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86">
        <f>MRS!B11</f>
        <v>0</v>
      </c>
      <c r="C11" s="187"/>
      <c r="D11" s="188">
        <f>MRS!D11</f>
        <v>0</v>
      </c>
      <c r="E11" s="189"/>
      <c r="F11" s="190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1"/>
      <c r="C12" s="182"/>
      <c r="D12" s="183"/>
      <c r="E12" s="184"/>
      <c r="F12" s="185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1"/>
      <c r="C13" s="182"/>
      <c r="D13" s="183"/>
      <c r="E13" s="184"/>
      <c r="F13" s="185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1"/>
      <c r="C14" s="182"/>
      <c r="D14" s="183"/>
      <c r="E14" s="184"/>
      <c r="F14" s="185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1"/>
      <c r="C15" s="182"/>
      <c r="D15" s="183"/>
      <c r="E15" s="184"/>
      <c r="F15" s="185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1"/>
      <c r="C16" s="182"/>
      <c r="D16" s="183"/>
      <c r="E16" s="184"/>
      <c r="F16" s="185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1"/>
      <c r="C17" s="182"/>
      <c r="D17" s="183"/>
      <c r="E17" s="184"/>
      <c r="F17" s="185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Q21" sqref="Q2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9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101</v>
      </c>
      <c r="D9" s="35"/>
      <c r="E9" s="35"/>
    </row>
    <row r="10" spans="2:13" s="35" customFormat="1">
      <c r="B10" s="68"/>
      <c r="C10" s="35" t="s">
        <v>23</v>
      </c>
      <c r="D10" s="72" t="s">
        <v>102</v>
      </c>
      <c r="J10" s="35" t="s">
        <v>24</v>
      </c>
      <c r="K10" s="194">
        <f>MRS!L3</f>
        <v>46271</v>
      </c>
      <c r="L10" s="195"/>
      <c r="M10" s="195"/>
    </row>
    <row r="11" spans="2:13" s="35" customFormat="1">
      <c r="B11" s="68"/>
      <c r="C11" s="71" t="s">
        <v>25</v>
      </c>
      <c r="D11" s="72" t="s">
        <v>103</v>
      </c>
      <c r="J11" s="35" t="s">
        <v>26</v>
      </c>
      <c r="K11" s="196" t="str">
        <f>SUBSTITUTE(SUBSTITUTE(+MRS!A3,"  MRS No : ",""),"-MRS","-PO")</f>
        <v>SAC2-DS-PO-0393</v>
      </c>
      <c r="L11" s="196"/>
      <c r="M11" s="196"/>
    </row>
    <row r="12" spans="2:13" s="35" customFormat="1">
      <c r="B12" s="68"/>
      <c r="C12" s="71" t="s">
        <v>27</v>
      </c>
      <c r="D12" s="35" t="s">
        <v>104</v>
      </c>
      <c r="J12" s="35" t="s">
        <v>28</v>
      </c>
    </row>
    <row r="13" spans="2:13" s="35" customFormat="1">
      <c r="B13" s="68"/>
      <c r="C13" s="73"/>
      <c r="D13" s="72" t="s">
        <v>105</v>
      </c>
      <c r="J13" s="35" t="s">
        <v>29</v>
      </c>
    </row>
    <row r="14" spans="2:13" s="35" customFormat="1">
      <c r="B14" s="68"/>
      <c r="C14" s="73" t="s">
        <v>106</v>
      </c>
      <c r="J14" s="35" t="s">
        <v>30</v>
      </c>
      <c r="K14" s="35" t="s">
        <v>135</v>
      </c>
    </row>
    <row r="15" spans="2:13" s="35" customFormat="1">
      <c r="B15" s="68"/>
      <c r="C15" s="73" t="s">
        <v>107</v>
      </c>
      <c r="J15" s="35" t="s">
        <v>31</v>
      </c>
      <c r="K15" s="74">
        <v>46239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7" t="s">
        <v>32</v>
      </c>
      <c r="C18" s="197"/>
      <c r="D18" s="197"/>
      <c r="E18" s="197"/>
      <c r="F18" s="197"/>
      <c r="G18" s="197"/>
      <c r="H18" s="197"/>
      <c r="I18" s="197"/>
      <c r="J18" s="197"/>
      <c r="K18" s="197"/>
      <c r="L18" s="197"/>
      <c r="M18" s="197"/>
    </row>
    <row r="19" spans="2:13" ht="12" customHeight="1"/>
    <row r="20" spans="2:13" s="27" customFormat="1" ht="12" customHeight="1">
      <c r="B20" s="198" t="s">
        <v>33</v>
      </c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</row>
    <row r="21" spans="2:13" s="27" customFormat="1" ht="12" customHeight="1">
      <c r="B21" s="198" t="s">
        <v>34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</row>
    <row r="22" spans="2:13" s="27" customFormat="1" ht="12" customHeight="1">
      <c r="B22" s="198" t="s">
        <v>35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</row>
    <row r="23" spans="2:13" ht="6.95" customHeight="1"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</row>
    <row r="24" spans="2:13" ht="6.95" customHeight="1"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">
        <v>136</v>
      </c>
      <c r="M26" s="75" t="s">
        <v>37</v>
      </c>
    </row>
    <row r="27" spans="2:13" ht="11.1" customHeight="1">
      <c r="B27" s="28"/>
      <c r="C27" s="121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01" t="s">
        <v>100</v>
      </c>
      <c r="G29" s="201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01"/>
      <c r="G30" s="201"/>
    </row>
    <row r="31" spans="2:13" ht="12" customHeight="1">
      <c r="B31" s="28"/>
      <c r="C31" s="22" t="s">
        <v>42</v>
      </c>
      <c r="D31" s="31"/>
      <c r="E31" s="22" t="s">
        <v>40</v>
      </c>
      <c r="F31" s="201"/>
      <c r="G31" s="201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87</v>
      </c>
      <c r="P49" s="78"/>
    </row>
    <row r="50" spans="2:16" s="79" customFormat="1" ht="12" customHeight="1">
      <c r="B50" s="80" t="s">
        <v>56</v>
      </c>
      <c r="C50" s="77" t="s">
        <v>84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89</v>
      </c>
    </row>
    <row r="54" spans="2:16" ht="12" customHeight="1">
      <c r="B54" s="80" t="s">
        <v>56</v>
      </c>
      <c r="C54" s="119" t="s">
        <v>90</v>
      </c>
      <c r="F54" s="120" t="s">
        <v>108</v>
      </c>
      <c r="P54" s="22" t="str">
        <f>UPPER(F54)</f>
        <v>BASMAT ROSE CONTRACTING CO.</v>
      </c>
    </row>
    <row r="55" spans="2:16" ht="12" customHeight="1">
      <c r="B55" s="80" t="s">
        <v>56</v>
      </c>
      <c r="C55" s="119" t="s">
        <v>91</v>
      </c>
      <c r="F55" s="120" t="s">
        <v>114</v>
      </c>
    </row>
    <row r="56" spans="2:16" ht="12" customHeight="1">
      <c r="B56" s="80" t="s">
        <v>56</v>
      </c>
      <c r="C56" s="119" t="s">
        <v>92</v>
      </c>
      <c r="F56" s="120" t="s">
        <v>109</v>
      </c>
    </row>
    <row r="57" spans="2:16" ht="12" customHeight="1">
      <c r="B57" s="80" t="s">
        <v>56</v>
      </c>
      <c r="C57" s="119" t="s">
        <v>93</v>
      </c>
      <c r="F57" s="22" t="s">
        <v>110</v>
      </c>
    </row>
    <row r="58" spans="2:16" ht="12" customHeight="1">
      <c r="B58" s="80" t="s">
        <v>56</v>
      </c>
      <c r="C58" s="119" t="s">
        <v>94</v>
      </c>
      <c r="F58" s="22" t="s">
        <v>111</v>
      </c>
    </row>
    <row r="59" spans="2:16" ht="12" customHeight="1">
      <c r="B59" s="80" t="s">
        <v>56</v>
      </c>
      <c r="C59" s="119" t="s">
        <v>95</v>
      </c>
      <c r="F59" s="22" t="s">
        <v>96</v>
      </c>
    </row>
    <row r="60" spans="2:16" ht="12" customHeight="1">
      <c r="B60" s="80"/>
      <c r="C60" s="122" t="s">
        <v>97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Raj Hussain Ansari</v>
      </c>
    </row>
    <row r="68" spans="1:13" ht="18" customHeight="1">
      <c r="B68" s="22" t="s">
        <v>62</v>
      </c>
      <c r="J68" s="22" t="s">
        <v>63</v>
      </c>
      <c r="K68" s="18" t="s">
        <v>112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98</v>
      </c>
      <c r="J70" s="202" t="str">
        <f>C9</f>
        <v>BRC (Basmat Rose Contracting Co.)</v>
      </c>
      <c r="K70" s="202"/>
      <c r="L70" s="202"/>
      <c r="M70" s="202"/>
    </row>
    <row r="71" spans="1:13" ht="27.95" customHeight="1">
      <c r="A71" s="193" t="s">
        <v>66</v>
      </c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H14" sqref="H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SAC2-DS-PO-0393</v>
      </c>
      <c r="C2" s="211" t="s">
        <v>68</v>
      </c>
      <c r="D2" s="211"/>
      <c r="E2" s="211"/>
      <c r="F2" s="211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46271</v>
      </c>
      <c r="C3" s="47"/>
      <c r="D3" s="48"/>
      <c r="E3" s="212" t="s">
        <v>70</v>
      </c>
      <c r="F3" s="212"/>
      <c r="G3" s="212"/>
      <c r="H3" s="212"/>
      <c r="I3" s="49"/>
    </row>
    <row r="4" spans="1:13" s="51" customFormat="1" ht="28.5" customHeight="1" thickTop="1">
      <c r="A4" s="213" t="s">
        <v>71</v>
      </c>
      <c r="B4" s="215" t="s">
        <v>72</v>
      </c>
      <c r="C4" s="216"/>
      <c r="D4" s="219" t="s">
        <v>73</v>
      </c>
      <c r="E4" s="219" t="s">
        <v>74</v>
      </c>
      <c r="F4" s="221" t="str">
        <f>'PO 1st page'!C9</f>
        <v>BRC (Basmat Rose Contracting Co.)</v>
      </c>
      <c r="G4" s="222"/>
      <c r="H4" s="223" t="s">
        <v>75</v>
      </c>
      <c r="K4" s="52"/>
      <c r="L4" s="52"/>
      <c r="M4" s="52"/>
    </row>
    <row r="5" spans="1:13" s="51" customFormat="1" ht="21.95" customHeight="1">
      <c r="A5" s="214"/>
      <c r="B5" s="217"/>
      <c r="C5" s="218"/>
      <c r="D5" s="220"/>
      <c r="E5" s="220"/>
      <c r="F5" s="53" t="s">
        <v>76</v>
      </c>
      <c r="G5" s="53" t="s">
        <v>42</v>
      </c>
      <c r="H5" s="224"/>
      <c r="K5" s="52"/>
      <c r="L5" s="52"/>
      <c r="M5" s="52"/>
    </row>
    <row r="6" spans="1:13" s="51" customFormat="1" ht="32.1" customHeight="1">
      <c r="A6" s="81">
        <v>1</v>
      </c>
      <c r="B6" s="209" t="str">
        <f>MRS!B6</f>
        <v>Pipe Fitter</v>
      </c>
      <c r="C6" s="210"/>
      <c r="D6" s="82" t="str">
        <f>+'MRS LIST'!G7</f>
        <v>Hour</v>
      </c>
      <c r="E6" s="83">
        <f>+'MRS LIST'!H7</f>
        <v>1</v>
      </c>
      <c r="F6" s="84">
        <f>+'MRS LIST'!I7</f>
        <v>17</v>
      </c>
      <c r="G6" s="85">
        <f>+'MRS LIST'!J7</f>
        <v>17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9">
        <v>2</v>
      </c>
      <c r="B7" s="209" t="str">
        <f>MRS!B7</f>
        <v>Electricain</v>
      </c>
      <c r="C7" s="210"/>
      <c r="D7" s="82" t="str">
        <f>+'MRS LIST'!G8</f>
        <v>Hour</v>
      </c>
      <c r="E7" s="83">
        <f>+'MRS LIST'!H8</f>
        <v>1</v>
      </c>
      <c r="F7" s="84">
        <f>+'MRS LIST'!I8</f>
        <v>20</v>
      </c>
      <c r="G7" s="85">
        <f>+'MRS LIST'!J8</f>
        <v>20</v>
      </c>
      <c r="H7" s="86"/>
      <c r="K7" s="52"/>
      <c r="L7" s="52"/>
      <c r="M7" s="52"/>
    </row>
    <row r="8" spans="1:13" s="51" customFormat="1" ht="32.1" customHeight="1">
      <c r="A8" s="81">
        <v>3</v>
      </c>
      <c r="B8" s="209" t="str">
        <f>MRS!B8</f>
        <v>Helper</v>
      </c>
      <c r="C8" s="210"/>
      <c r="D8" s="82" t="str">
        <f>+'MRS LIST'!G9</f>
        <v>Hour</v>
      </c>
      <c r="E8" s="83">
        <f>+'MRS LIST'!H9</f>
        <v>1</v>
      </c>
      <c r="F8" s="84">
        <f>+'MRS LIST'!I9</f>
        <v>13</v>
      </c>
      <c r="G8" s="85">
        <f>+'MRS LIST'!J9</f>
        <v>13</v>
      </c>
      <c r="H8" s="86"/>
    </row>
    <row r="9" spans="1:13" s="51" customFormat="1" ht="32.1" customHeight="1">
      <c r="A9" s="89">
        <v>4</v>
      </c>
      <c r="B9" s="209"/>
      <c r="C9" s="210"/>
      <c r="D9" s="82"/>
      <c r="E9" s="83"/>
      <c r="F9" s="84"/>
      <c r="G9" s="85"/>
      <c r="H9" s="94"/>
    </row>
    <row r="10" spans="1:13" s="51" customFormat="1" ht="32.1" customHeight="1">
      <c r="A10" s="81">
        <v>5</v>
      </c>
      <c r="B10" s="209"/>
      <c r="C10" s="210"/>
      <c r="D10" s="82"/>
      <c r="E10" s="83"/>
      <c r="F10" s="84"/>
      <c r="G10" s="85"/>
      <c r="H10" s="94"/>
    </row>
    <row r="11" spans="1:13" s="51" customFormat="1" ht="32.1" customHeight="1">
      <c r="A11" s="89">
        <v>6</v>
      </c>
      <c r="B11" s="207"/>
      <c r="C11" s="208"/>
      <c r="D11" s="90"/>
      <c r="E11" s="91"/>
      <c r="F11" s="92"/>
      <c r="G11" s="93"/>
      <c r="H11" s="94"/>
    </row>
    <row r="12" spans="1:13" s="51" customFormat="1" ht="32.1" customHeight="1">
      <c r="A12" s="81">
        <v>7</v>
      </c>
      <c r="B12" s="207"/>
      <c r="C12" s="208"/>
      <c r="D12" s="90"/>
      <c r="E12" s="91"/>
      <c r="F12" s="92"/>
      <c r="G12" s="93"/>
      <c r="H12" s="94"/>
    </row>
    <row r="13" spans="1:13" s="51" customFormat="1" ht="32.1" customHeight="1">
      <c r="A13" s="89">
        <v>8</v>
      </c>
      <c r="B13" s="207"/>
      <c r="C13" s="208"/>
      <c r="D13" s="90"/>
      <c r="E13" s="91"/>
      <c r="F13" s="95"/>
      <c r="G13" s="93"/>
      <c r="H13" s="94"/>
    </row>
    <row r="14" spans="1:13" s="51" customFormat="1" ht="32.1" customHeight="1">
      <c r="A14" s="81">
        <v>9</v>
      </c>
      <c r="B14" s="207"/>
      <c r="C14" s="208"/>
      <c r="D14" s="90"/>
      <c r="E14" s="91"/>
      <c r="F14" s="95"/>
      <c r="G14" s="93"/>
      <c r="H14" s="94"/>
    </row>
    <row r="15" spans="1:13" s="51" customFormat="1" ht="32.1" customHeight="1">
      <c r="A15" s="89">
        <v>10</v>
      </c>
      <c r="B15" s="207"/>
      <c r="C15" s="208"/>
      <c r="D15" s="90"/>
      <c r="E15" s="91"/>
      <c r="F15" s="92"/>
      <c r="G15" s="93"/>
      <c r="H15" s="94"/>
    </row>
    <row r="16" spans="1:13" s="51" customFormat="1" ht="23.1" customHeight="1">
      <c r="A16" s="203" t="s">
        <v>77</v>
      </c>
      <c r="B16" s="204"/>
      <c r="C16" s="204"/>
      <c r="D16" s="204"/>
      <c r="E16" s="204"/>
      <c r="F16" s="204"/>
      <c r="G16" s="54">
        <f>SUM(G6:G15)</f>
        <v>50</v>
      </c>
      <c r="H16" s="55"/>
    </row>
    <row r="17" spans="1:13" s="51" customFormat="1" ht="23.1" customHeight="1">
      <c r="A17" s="203" t="s">
        <v>41</v>
      </c>
      <c r="B17" s="204"/>
      <c r="C17" s="204"/>
      <c r="D17" s="204"/>
      <c r="E17" s="204"/>
      <c r="F17" s="204"/>
      <c r="G17" s="54">
        <f>+G16*0.15</f>
        <v>7.5</v>
      </c>
      <c r="H17" s="55"/>
    </row>
    <row r="18" spans="1:13" s="51" customFormat="1" ht="24.95" customHeight="1" thickBot="1">
      <c r="A18" s="205" t="s">
        <v>78</v>
      </c>
      <c r="B18" s="206"/>
      <c r="C18" s="206"/>
      <c r="D18" s="206"/>
      <c r="E18" s="206"/>
      <c r="F18" s="206"/>
      <c r="G18" s="56">
        <f>G17+G16</f>
        <v>57.5</v>
      </c>
      <c r="H18" s="57"/>
    </row>
    <row r="19" spans="1:13" ht="15.75" thickTop="1">
      <c r="A19" s="58" t="str">
        <f>" 1) Above Price are as per your quotation with ref "&amp;'PO 1st page'!K14</f>
        <v xml:space="preserve"> 1) Above Price are as per your quotation with ref BRC-QT-0020260508</v>
      </c>
      <c r="B19" s="59"/>
      <c r="C19" s="59"/>
      <c r="D19" s="60"/>
      <c r="E19" s="60"/>
      <c r="F19" s="60"/>
      <c r="G19" s="60"/>
      <c r="H19" s="60"/>
    </row>
    <row r="20" spans="1:13" ht="15">
      <c r="A20" s="61" t="s">
        <v>79</v>
      </c>
      <c r="B20" s="62"/>
      <c r="C20" s="62"/>
      <c r="D20" s="63"/>
      <c r="E20" s="63"/>
      <c r="F20" s="63"/>
      <c r="G20" s="63"/>
      <c r="H20" s="63"/>
      <c r="I20" s="64"/>
    </row>
    <row r="21" spans="1:13" ht="15.75">
      <c r="A21" s="65"/>
    </row>
    <row r="22" spans="1:13">
      <c r="A22" s="193" t="s">
        <v>80</v>
      </c>
      <c r="B22" s="193"/>
      <c r="C22" s="193"/>
      <c r="D22" s="193"/>
      <c r="E22" s="193"/>
      <c r="F22" s="193"/>
      <c r="G22" s="193"/>
      <c r="H22" s="193"/>
      <c r="I22" s="66"/>
      <c r="J22" s="66"/>
      <c r="K22" s="66"/>
      <c r="L22" s="66"/>
      <c r="M22" s="66"/>
    </row>
    <row r="23" spans="1:13" ht="15.75">
      <c r="A23" s="65"/>
      <c r="C23" s="67"/>
    </row>
    <row r="24" spans="1:13" ht="15.75">
      <c r="A24" s="65"/>
      <c r="C24" s="67"/>
    </row>
    <row r="26" spans="1:13" ht="12" customHeight="1"/>
  </sheetData>
  <mergeCells count="22"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A16:F16"/>
    <mergeCell ref="A17:F17"/>
    <mergeCell ref="A18:F18"/>
    <mergeCell ref="A22:H22"/>
    <mergeCell ref="B11:C11"/>
    <mergeCell ref="B12:C12"/>
    <mergeCell ref="B13:C13"/>
    <mergeCell ref="B14:C14"/>
    <mergeCell ref="B15:C1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2026-09-07T12:47:34Z</cp:lastPrinted>
  <dcterms:created xsi:type="dcterms:W3CDTF">2024-10-20T11:50:19Z</dcterms:created>
  <dcterms:modified xsi:type="dcterms:W3CDTF">2026-09-07T15:29:07Z</dcterms:modified>
</cp:coreProperties>
</file>