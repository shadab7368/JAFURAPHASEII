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DB90E2A-C2F7-47B4-8C83-686AB110EA8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H7" i="4"/>
  <c r="D8" i="4"/>
  <c r="E8" i="4"/>
  <c r="F8" i="4"/>
  <c r="G8" i="4"/>
  <c r="H8" i="4"/>
  <c r="D9" i="4"/>
  <c r="E9" i="4"/>
  <c r="F9" i="4"/>
  <c r="G9" i="4"/>
  <c r="H9" i="4"/>
  <c r="B9" i="4"/>
  <c r="J9" i="1"/>
  <c r="J8" i="1" l="1"/>
  <c r="J7" i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<sst xmlns="http://schemas.openxmlformats.org/spreadsheetml/2006/main" count="190" uniqueCount="140">
  <si>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</si>
  <si>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</si>
  <si>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</si>
  <si>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</si>
  <si>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</si>
  <si>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</si>
  <si>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</si>
  <si>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</si>
  <si>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</si>
  <si>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</si>
  <si>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</si>
  <si>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</si>
  <si>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</si>
  <si>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</si>
  <si>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</si>
  <si>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</si>
  <si>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</si>
  <si>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</si>
  <si>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</si>
  <si>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</si>
  <si>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</si>
  <si>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</si>
  <si>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</si>
  <si>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</si>
  <si>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</si>
  <si>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</si>
  <si>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</si>
  <si>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</si>
  <si>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</si>
  <si>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</si>
  <si>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</si>
  <si>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</si>
  <si>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</si>
  <si>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</si>
  <si>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</si>
  <si>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</si>
  <si>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</si>
  <si>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</si>
  <si>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</si>
  <si>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</si>
  <si>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</si>
  <si>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</si>
  <si>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</si>
  <si>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</si>
  <si>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</si>
  <si>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</si>
  <si>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</si>
  <si>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</si>
  <si>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</si>
  <si>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</si>
  <si>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</si>
  <si>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</si>
  <si>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</si>
  <si>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</si>
  <si>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</si>
  <si>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</si>
  <si>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</si>
  <si>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</si>
  <si>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</si>
  <si>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</si>
  <si>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</si>
  <si>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</si>
  <si>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</si>
  <si>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</si>
  <si>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</si>
  <si>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</si>
  <si>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</si>
  <si>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</si>
  <si>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</si>
  <si>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</si>
  <si>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</si>
  <si>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</si>
  <si>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</si>
  <si>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</si>
  <si>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</si>
  <si>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</si>
  <si>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</si>
  <si>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</si>
  <si>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</si>
  <si>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</si>
  <si>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</si>
  <si>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</si>
  <si>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</si>
  <si>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</si>
  <si>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</si>
  <si>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</si>
  <si>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</si>
  <si>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</si>
  <si>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</si>
  <si>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</si>
  <si>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</si>
  <si>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</si>
  <si>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</si>
  <si>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</si>
  <si>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</si>
  <si>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</si>
  <si>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</si>
  <si>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</si>
  <si>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</si>
  <si>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</si>
  <si>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</si>
  <si>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</si>
  <si>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</si>
  <si>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</si>
  <si>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</si>
  <si>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</si>
  <si>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</si>
  <si>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</si>
  <si>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</si>
  <si>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</si>
  <si>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</si>
  <si>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</si>
  <si>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</si>
  <si>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</si>
  <si>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</si>
  <si>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-MRS-0278</t>
    </r>
  </si>
  <si>
    <t>Rigger Level 3</t>
  </si>
  <si>
    <t>Welding QC</t>
  </si>
  <si>
    <t>With CBT</t>
  </si>
  <si>
    <t>KCCC</t>
  </si>
  <si>
    <t>"</t>
  </si>
  <si>
    <t>Piping QC</t>
  </si>
  <si>
    <t>KCCC (Kayada Chark Contracting Company)</t>
  </si>
  <si>
    <t>2050181117</t>
  </si>
  <si>
    <t>312009841900003</t>
  </si>
  <si>
    <t>Mohammed Shahif</t>
  </si>
  <si>
    <t>+966 56 905 7633 / Email: shahif@unitecharabia.com</t>
  </si>
  <si>
    <t>Jabal Street, Al Jubail, KSA</t>
  </si>
  <si>
    <t>Mobile : +966 56 905 7633</t>
  </si>
  <si>
    <t>3/29/2026 &amp; 4/2/2026</t>
  </si>
  <si>
    <t>UTA-2758 &amp; UTA-2759</t>
  </si>
  <si>
    <t>Scaffolding Supervisor</t>
  </si>
  <si>
    <t>Rigger Level 3, Welding QC, Piping QC &amp;</t>
  </si>
  <si>
    <t>Scaffolding Supervisor (Aramco Approved)</t>
  </si>
  <si>
    <t>KAYADA CHARK CONTRACTING COMPANY</t>
  </si>
  <si>
    <t>04100001370110</t>
  </si>
  <si>
    <t>SA47 1000 0004 1000 0137 0110</t>
  </si>
  <si>
    <t>NCBKSAJE</t>
  </si>
  <si>
    <t>SAUDI NATIONAL BANK</t>
  </si>
  <si>
    <t>Business Development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</si>
</sst>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9" sqref="B9:C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28" t="s">
        <v>90</v>
      </c>
      <c r="K1" s="129"/>
      <c r="L1" s="130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31" t="s">
        <v>100</v>
      </c>
      <c r="K2" s="132"/>
      <c r="L2" s="133"/>
    </row>
    <row r="3" spans="1:19" ht="20.100000000000001" customHeight="1">
      <c r="A3" s="3" t="s">
        <v>115</v>
      </c>
      <c r="B3" s="100"/>
      <c r="C3" s="100"/>
      <c r="D3" s="100"/>
      <c r="E3" s="134">
        <f>+L3</f>
        <v>46116</v>
      </c>
      <c r="F3" s="134"/>
      <c r="G3" s="134"/>
      <c r="H3" s="134"/>
      <c r="I3" s="134"/>
      <c r="J3" s="100"/>
      <c r="K3" s="100"/>
      <c r="L3" s="121">
        <v>46116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95</v>
      </c>
      <c r="J4" s="135" t="s">
        <v>96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116</v>
      </c>
      <c r="C6" s="148"/>
      <c r="D6" s="149" t="s">
        <v>105</v>
      </c>
      <c r="E6" s="150"/>
      <c r="F6" s="151"/>
      <c r="G6" s="110" t="s">
        <v>99</v>
      </c>
      <c r="H6" s="111">
        <v>1</v>
      </c>
      <c r="I6" s="112">
        <v>65</v>
      </c>
      <c r="J6" s="112">
        <f>H6*I6</f>
        <v>65</v>
      </c>
      <c r="K6" s="113" t="s">
        <v>119</v>
      </c>
      <c r="L6" s="114" t="s">
        <v>102</v>
      </c>
      <c r="S6" s="105"/>
    </row>
    <row r="7" spans="1:19" ht="22.5" customHeight="1">
      <c r="A7" s="5">
        <f t="shared" si="0"/>
        <v>2</v>
      </c>
      <c r="B7" s="147" t="s">
        <v>117</v>
      </c>
      <c r="C7" s="148"/>
      <c r="D7" s="149" t="s">
        <v>118</v>
      </c>
      <c r="E7" s="150"/>
      <c r="F7" s="151"/>
      <c r="G7" s="110" t="s">
        <v>99</v>
      </c>
      <c r="H7" s="111">
        <v>1</v>
      </c>
      <c r="I7" s="112">
        <v>90</v>
      </c>
      <c r="J7" s="112">
        <f>H7*I7</f>
        <v>90</v>
      </c>
      <c r="K7" s="113" t="s">
        <v>120</v>
      </c>
      <c r="L7" s="114" t="s">
        <v>120</v>
      </c>
      <c r="S7" s="105"/>
    </row>
    <row r="8" spans="1:19" ht="22.5" customHeight="1">
      <c r="A8" s="5">
        <f t="shared" si="0"/>
        <v>3</v>
      </c>
      <c r="B8" s="147" t="s">
        <v>121</v>
      </c>
      <c r="C8" s="148"/>
      <c r="D8" s="149" t="s">
        <v>118</v>
      </c>
      <c r="E8" s="150"/>
      <c r="F8" s="151"/>
      <c r="G8" s="110" t="s">
        <v>99</v>
      </c>
      <c r="H8" s="111">
        <v>1</v>
      </c>
      <c r="I8" s="112">
        <v>88</v>
      </c>
      <c r="J8" s="112">
        <f>H8*I8</f>
        <v>88</v>
      </c>
      <c r="K8" s="113" t="s">
        <v>120</v>
      </c>
      <c r="L8" s="114" t="s">
        <v>120</v>
      </c>
      <c r="S8" s="105"/>
    </row>
    <row r="9" spans="1:19" ht="22.5" customHeight="1">
      <c r="A9" s="5">
        <f t="shared" si="0"/>
        <v>4</v>
      </c>
      <c r="B9" s="147" t="s">
        <v>131</v>
      </c>
      <c r="C9" s="148"/>
      <c r="D9" s="149" t="s">
        <v>105</v>
      </c>
      <c r="E9" s="150"/>
      <c r="F9" s="151"/>
      <c r="G9" s="110" t="s">
        <v>99</v>
      </c>
      <c r="H9" s="111">
        <v>1</v>
      </c>
      <c r="I9" s="112">
        <v>135</v>
      </c>
      <c r="J9" s="112">
        <f>H9*I9</f>
        <v>135</v>
      </c>
      <c r="K9" s="113" t="s">
        <v>120</v>
      </c>
      <c r="L9" s="114" t="s">
        <v>120</v>
      </c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378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SAC2-DS-MRS-0278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46116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91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Rigger Level 3</v>
      </c>
      <c r="C6" s="165"/>
      <c r="D6" s="166" t="str">
        <f>MRS!D6</f>
        <v>Aramco Approved</v>
      </c>
      <c r="E6" s="167"/>
      <c r="F6" s="168"/>
      <c r="G6" s="102" t="str">
        <f>MRS!G6</f>
        <v>Hour</v>
      </c>
      <c r="H6" s="102">
        <f>MRS!H6</f>
        <v>1</v>
      </c>
      <c r="I6" s="103">
        <f>MRS!I6</f>
        <v>65</v>
      </c>
      <c r="J6" s="103">
        <f>MRS!J6</f>
        <v>65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Welding QC</v>
      </c>
      <c r="C7" s="165"/>
      <c r="D7" s="166" t="str">
        <f>MRS!D7</f>
        <v>With CBT</v>
      </c>
      <c r="E7" s="167"/>
      <c r="F7" s="168"/>
      <c r="G7" s="102" t="str">
        <f>MRS!G7</f>
        <v>Hour</v>
      </c>
      <c r="H7" s="102">
        <f>MRS!H7</f>
        <v>1</v>
      </c>
      <c r="I7" s="103">
        <f>MRS!I7</f>
        <v>90</v>
      </c>
      <c r="J7" s="103">
        <f>MRS!J7</f>
        <v>90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 t="str">
        <f>MRS!B8</f>
        <v>Piping QC</v>
      </c>
      <c r="C8" s="165"/>
      <c r="D8" s="166" t="str">
        <f>MRS!D8</f>
        <v>With CBT</v>
      </c>
      <c r="E8" s="167"/>
      <c r="F8" s="168"/>
      <c r="G8" s="102" t="str">
        <f>MRS!G8</f>
        <v>Hour</v>
      </c>
      <c r="H8" s="102">
        <f>MRS!H8</f>
        <v>1</v>
      </c>
      <c r="I8" s="103">
        <f>MRS!I8</f>
        <v>88</v>
      </c>
      <c r="J8" s="103">
        <f>MRS!J8</f>
        <v>88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 t="str">
        <f>MRS!B9</f>
        <v>Scaffolding Supervisor</v>
      </c>
      <c r="C9" s="165"/>
      <c r="D9" s="166" t="str">
        <f>MRS!D9</f>
        <v>Aramco Approved</v>
      </c>
      <c r="E9" s="167"/>
      <c r="F9" s="168"/>
      <c r="G9" s="102" t="str">
        <f>MRS!G9</f>
        <v>Hour</v>
      </c>
      <c r="H9" s="102">
        <f>MRS!H9</f>
        <v>1</v>
      </c>
      <c r="I9" s="103">
        <f>MRS!I9</f>
        <v>135</v>
      </c>
      <c r="J9" s="103">
        <f>MRS!J9</f>
        <v>135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9" sqref="C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122</v>
      </c>
      <c r="D9" s="39"/>
      <c r="E9" s="39"/>
    </row>
    <row r="10" spans="2:13" s="39" customFormat="1">
      <c r="B10" s="72"/>
      <c r="C10" s="39" t="s">
        <v>32</v>
      </c>
      <c r="D10" s="76" t="s">
        <v>123</v>
      </c>
      <c r="J10" s="39" t="s">
        <v>33</v>
      </c>
      <c r="K10" s="175">
        <f>MRS!L3</f>
        <v>46116</v>
      </c>
      <c r="L10" s="176"/>
      <c r="M10" s="176"/>
    </row>
    <row r="11" spans="2:13" s="39" customFormat="1">
      <c r="B11" s="72"/>
      <c r="C11" s="75" t="s">
        <v>34</v>
      </c>
      <c r="D11" s="76" t="s">
        <v>124</v>
      </c>
      <c r="J11" s="39" t="s">
        <v>35</v>
      </c>
      <c r="K11" s="177" t="str">
        <f>SUBSTITUTE(SUBSTITUTE(+MRS!A3,"  MRS No : ",""),"-MRS","-PO")</f>
        <v>SAC2-DS-PO-0278</v>
      </c>
      <c r="L11" s="177"/>
      <c r="M11" s="177"/>
    </row>
    <row r="12" spans="2:13" s="39" customFormat="1">
      <c r="B12" s="72"/>
      <c r="C12" s="75" t="s">
        <v>36</v>
      </c>
      <c r="D12" s="39" t="s">
        <v>125</v>
      </c>
      <c r="J12" s="39" t="s">
        <v>37</v>
      </c>
    </row>
    <row r="13" spans="2:13" s="39" customFormat="1">
      <c r="B13" s="72"/>
      <c r="C13" s="77"/>
      <c r="D13" s="76" t="s">
        <v>126</v>
      </c>
      <c r="J13" s="39" t="s">
        <v>38</v>
      </c>
    </row>
    <row r="14" spans="2:13" s="39" customFormat="1">
      <c r="B14" s="72"/>
      <c r="C14" s="77" t="s">
        <v>127</v>
      </c>
      <c r="J14" s="39" t="s">
        <v>39</v>
      </c>
      <c r="K14" s="76" t="s">
        <v>130</v>
      </c>
    </row>
    <row r="15" spans="2:13" s="39" customFormat="1">
      <c r="B15" s="72"/>
      <c r="C15" s="77" t="s">
        <v>128</v>
      </c>
      <c r="D15" s="76"/>
      <c r="J15" s="39" t="s">
        <v>40</v>
      </c>
      <c r="K15" s="78" t="s">
        <v>129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178" t="s">
        <v>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42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43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44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206" t="s">
        <v>132</v>
      </c>
      <c r="M26" s="207" t="s">
        <v>46</v>
      </c>
    </row>
    <row r="27" spans="2:13" ht="12" customHeight="1">
      <c r="B27" s="32"/>
      <c r="C27" s="124" t="s">
        <v>133</v>
      </c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2" t="s">
        <v>102</v>
      </c>
      <c r="G29" s="182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2"/>
      <c r="G30" s="182"/>
    </row>
    <row r="31" spans="2:13" ht="12" customHeight="1">
      <c r="B31" s="32"/>
      <c r="C31" s="26" t="s">
        <v>51</v>
      </c>
      <c r="D31" s="35"/>
      <c r="E31" s="26" t="s">
        <v>49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106</v>
      </c>
    </row>
    <row r="54" spans="2:16" ht="12" customHeight="1">
      <c r="B54" s="83" t="s">
        <v>65</v>
      </c>
      <c r="C54" s="125" t="s">
        <v>107</v>
      </c>
      <c r="F54" s="26" t="s">
        <v>134</v>
      </c>
      <c r="P54" s="26" t="str">
        <f>UPPER(F54)</f>
        <v>KAYADA CHARK CONTRACTING COMPANY</v>
      </c>
    </row>
    <row r="55" spans="2:16" ht="12" customHeight="1">
      <c r="B55" s="83" t="s">
        <v>65</v>
      </c>
      <c r="C55" s="125" t="s">
        <v>108</v>
      </c>
      <c r="F55" s="126" t="s">
        <v>135</v>
      </c>
    </row>
    <row r="56" spans="2:16" ht="12" customHeight="1">
      <c r="B56" s="83" t="s">
        <v>65</v>
      </c>
      <c r="C56" s="125" t="s">
        <v>109</v>
      </c>
      <c r="F56" s="26" t="s">
        <v>136</v>
      </c>
    </row>
    <row r="57" spans="2:16" ht="12" customHeight="1">
      <c r="B57" s="83" t="s">
        <v>65</v>
      </c>
      <c r="C57" s="125" t="s">
        <v>110</v>
      </c>
      <c r="F57" s="26" t="s">
        <v>138</v>
      </c>
    </row>
    <row r="58" spans="2:16" ht="12" customHeight="1">
      <c r="B58" s="83" t="s">
        <v>65</v>
      </c>
      <c r="C58" s="125" t="s">
        <v>111</v>
      </c>
      <c r="F58" s="26" t="s">
        <v>137</v>
      </c>
    </row>
    <row r="59" spans="2:16" ht="12" customHeight="1">
      <c r="B59" s="83" t="s">
        <v>65</v>
      </c>
      <c r="C59" s="125" t="s">
        <v>112</v>
      </c>
      <c r="F59" s="26" t="s">
        <v>113</v>
      </c>
    </row>
    <row r="60" spans="2:16" ht="12" customHeight="1">
      <c r="B60" s="83"/>
      <c r="C60" s="127" t="s">
        <v>114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Shahif</v>
      </c>
    </row>
    <row r="68" spans="1:13" ht="18" customHeight="1">
      <c r="B68" s="26" t="s">
        <v>71</v>
      </c>
      <c r="J68" s="26" t="s">
        <v>72</v>
      </c>
      <c r="K68" s="22" t="s">
        <v>139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83" t="str">
        <f>C9</f>
        <v>KCCC (Kayada Chark Contracting Company)</v>
      </c>
      <c r="K70" s="183"/>
      <c r="L70" s="183"/>
      <c r="M70" s="183"/>
    </row>
    <row r="71" spans="1:13" ht="27.95" customHeight="1">
      <c r="A71" s="174" t="s">
        <v>75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D6" sqref="D6:H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SAC2-DS-PO-0278</v>
      </c>
      <c r="C2" s="186" t="s">
        <v>77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46116</v>
      </c>
      <c r="C3" s="51"/>
      <c r="D3" s="52"/>
      <c r="E3" s="187" t="s">
        <v>79</v>
      </c>
      <c r="F3" s="187"/>
      <c r="G3" s="187"/>
      <c r="H3" s="187"/>
      <c r="I3" s="53"/>
    </row>
    <row r="4" spans="1:13" s="55" customFormat="1" ht="28.5" customHeight="1" thickTop="1">
      <c r="A4" s="188" t="s">
        <v>80</v>
      </c>
      <c r="B4" s="190" t="s">
        <v>81</v>
      </c>
      <c r="C4" s="191"/>
      <c r="D4" s="194" t="s">
        <v>82</v>
      </c>
      <c r="E4" s="194" t="s">
        <v>83</v>
      </c>
      <c r="F4" s="196" t="str">
        <f>'PO 1st page'!C9</f>
        <v>KCCC (Kayada Chark Contracting Company)</v>
      </c>
      <c r="G4" s="197"/>
      <c r="H4" s="198" t="s">
        <v>84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85</v>
      </c>
      <c r="G5" s="57" t="s">
        <v>51</v>
      </c>
      <c r="H5" s="199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4" t="str">
        <f>CONCATENATE(MRS!B6," ",MRS!D6)</f>
        <v>Rigger Level 3 Aramco Approved</v>
      </c>
      <c r="C6" s="185"/>
      <c r="D6" s="85" t="str">
        <f>+'MRS LIST'!G6</f>
        <v>Hour</v>
      </c>
      <c r="E6" s="86">
        <f>+'MRS LIST'!H6</f>
        <v>1</v>
      </c>
      <c r="F6" s="87">
        <f>+'MRS LIST'!I6</f>
        <v>65</v>
      </c>
      <c r="G6" s="88">
        <f>+'MRS LIST'!J6</f>
        <v>65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4" t="str">
        <f>CONCATENATE(MRS!B7," ",MRS!D7)</f>
        <v>Welding QC With CBT</v>
      </c>
      <c r="C7" s="185"/>
      <c r="D7" s="85" t="str">
        <f>+'MRS LIST'!G7</f>
        <v>Hour</v>
      </c>
      <c r="E7" s="86">
        <f>+'MRS LIST'!H7</f>
        <v>1</v>
      </c>
      <c r="F7" s="87">
        <f>+'MRS LIST'!I7</f>
        <v>90</v>
      </c>
      <c r="G7" s="88">
        <f>+'MRS LIST'!J7</f>
        <v>90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4" t="str">
        <f>CONCATENATE(MRS!B8," ",MRS!D8)</f>
        <v>Piping QC With CBT</v>
      </c>
      <c r="C8" s="185"/>
      <c r="D8" s="85" t="str">
        <f>+'MRS LIST'!G8</f>
        <v>Hour</v>
      </c>
      <c r="E8" s="86">
        <f>+'MRS LIST'!H8</f>
        <v>1</v>
      </c>
      <c r="F8" s="87">
        <f>+'MRS LIST'!I8</f>
        <v>88</v>
      </c>
      <c r="G8" s="88">
        <f>+'MRS LIST'!J8</f>
        <v>88</v>
      </c>
      <c r="H8" s="89" t="str">
        <f>MRS!L8</f>
        <v>"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4" t="str">
        <f>CONCATENATE(MRS!B9," ",MRS!D9)</f>
        <v>Scaffolding Supervisor Aramco Approved</v>
      </c>
      <c r="C9" s="185"/>
      <c r="D9" s="85" t="str">
        <f>+'MRS LIST'!G9</f>
        <v>Hour</v>
      </c>
      <c r="E9" s="86">
        <f>+'MRS LIST'!H9</f>
        <v>1</v>
      </c>
      <c r="F9" s="87">
        <f>+'MRS LIST'!I9</f>
        <v>135</v>
      </c>
      <c r="G9" s="88">
        <f>+'MRS LIST'!J9</f>
        <v>135</v>
      </c>
      <c r="H9" s="89" t="str">
        <f>MRS!L9</f>
        <v>"</v>
      </c>
    </row>
    <row r="10" spans="1:13" s="55" customFormat="1" ht="32.1" customHeight="1">
      <c r="A10" s="92">
        <f t="shared" si="0"/>
        <v>5</v>
      </c>
      <c r="B10" s="184"/>
      <c r="C10" s="185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4"/>
      <c r="C11" s="185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5" customFormat="1" ht="23.1" customHeight="1">
      <c r="A18" s="200" t="s">
        <v>86</v>
      </c>
      <c r="B18" s="201"/>
      <c r="C18" s="201"/>
      <c r="D18" s="201"/>
      <c r="E18" s="201"/>
      <c r="F18" s="201"/>
      <c r="G18" s="58">
        <f>SUM(G6:G17)</f>
        <v>378</v>
      </c>
      <c r="H18" s="59"/>
    </row>
    <row r="19" spans="1:13" s="55" customFormat="1" ht="23.1" customHeight="1">
      <c r="A19" s="200" t="s">
        <v>50</v>
      </c>
      <c r="B19" s="201"/>
      <c r="C19" s="201"/>
      <c r="D19" s="201"/>
      <c r="E19" s="201"/>
      <c r="F19" s="201"/>
      <c r="G19" s="58">
        <f>+G18*0.15</f>
        <v>56.699999999999996</v>
      </c>
      <c r="H19" s="59"/>
    </row>
    <row r="20" spans="1:13" s="55" customFormat="1" ht="24.95" customHeight="1" thickBot="1">
      <c r="A20" s="202" t="s">
        <v>87</v>
      </c>
      <c r="B20" s="203"/>
      <c r="C20" s="203"/>
      <c r="D20" s="203"/>
      <c r="E20" s="203"/>
      <c r="F20" s="203"/>
      <c r="G20" s="60">
        <f>G19+G18</f>
        <v>434.7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UTA-2758 &amp; UTA-2759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89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2026-04-04T05:06:42Z</cp:lastPrinted>
  <dcterms:created xsi:type="dcterms:W3CDTF">2024-10-20T11:50:19Z</dcterms:created>
  <dcterms:modified xsi:type="dcterms:W3CDTF">2026-04-04T05:06:45Z</dcterms:modified>
</cp:coreProperties>
</file>