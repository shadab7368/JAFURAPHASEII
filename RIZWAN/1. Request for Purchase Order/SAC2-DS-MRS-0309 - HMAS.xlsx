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4C155DD7-8C4B-4C13-B3B8-2D0A42330628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B9" i="4"/>
  <c r="J9" i="1"/>
  <c r="J8" i="1" l="1"/>
  <c r="J7" i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<sst xmlns="http://schemas.openxmlformats.org/spreadsheetml/2006/main" count="176" uniqueCount="134">
  <si>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</si>
  <si>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</si>
  <si>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</si>
  <si>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</si>
  <si>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</si>
  <si>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</si>
  <si>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</si>
  <si>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</si>
  <si>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</si>
  <si>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</si>
  <si>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</si>
  <si>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</si>
  <si>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</si>
  <si>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</si>
  <si>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</si>
  <si>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</si>
  <si>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</si>
  <si>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</si>
  <si>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</si>
  <si>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</si>
  <si>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</si>
  <si>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</si>
  <si>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</si>
  <si>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</si>
  <si>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</si>
  <si>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</si>
  <si>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</si>
  <si>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</si>
  <si>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</si>
  <si>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</si>
  <si>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</si>
  <si>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</si>
  <si>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</si>
  <si>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</si>
  <si>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</si>
  <si>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</si>
  <si>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</si>
  <si>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</si>
  <si>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</si>
  <si>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</si>
  <si>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</si>
  <si>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</si>
  <si>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</si>
  <si>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</si>
  <si>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</si>
  <si>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</si>
  <si>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</si>
  <si>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</si>
  <si>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</si>
  <si>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</si>
  <si>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</si>
  <si>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</si>
  <si>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</si>
  <si>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</si>
  <si>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</si>
  <si>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</si>
  <si>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</si>
  <si>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</si>
  <si>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</si>
  <si>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</si>
  <si>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</si>
  <si>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</si>
  <si>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</si>
  <si>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</si>
  <si>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</si>
  <si>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</si>
  <si>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</si>
  <si>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</si>
  <si>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</si>
  <si>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</si>
  <si>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</si>
  <si>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</si>
  <si>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</si>
  <si>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</si>
  <si>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</si>
  <si>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</si>
  <si>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</si>
  <si>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</si>
  <si>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</si>
  <si>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</si>
  <si>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</si>
  <si>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</si>
  <si>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</si>
  <si>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</si>
  <si>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</si>
  <si>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</si>
  <si>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</si>
  <si>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</si>
  <si>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</si>
  <si>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</si>
  <si>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</si>
  <si>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</si>
  <si>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</si>
  <si>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</si>
  <si>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</si>
  <si>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</si>
  <si>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</si>
  <si>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</si>
  <si>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</si>
  <si>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</si>
  <si>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</si>
  <si>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</si>
  <si>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</si>
  <si>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</si>
  <si>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</si>
  <si>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</si>
  <si>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</si>
  <si>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</si>
  <si>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</si>
  <si>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</si>
  <si>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</si>
  <si>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</si>
  <si>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</si>
  <si>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</si>
  <si>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"</t>
  </si>
  <si>
    <t>NCBKSAJE</t>
  </si>
  <si>
    <t>SAUDI NATIONAL BANK</t>
  </si>
  <si>
    <t>Business Development Executive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</si>
  <si>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-MRS-0309</t>
    </r>
  </si>
  <si>
    <t>Welding QCI</t>
  </si>
  <si>
    <t>Piping QCI</t>
  </si>
  <si>
    <t>HMAS</t>
  </si>
  <si>
    <t>2053020130</t>
  </si>
  <si>
    <t>Welding QCI &amp; Piping QCI</t>
  </si>
  <si>
    <t>QUOTE-MP-00000001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</si>
  <si>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</si>
  <si>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</si>
  <si>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</si>
  <si>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</si>
  <si>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</si>
  <si>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</si>
  <si>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</si>
  <si>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t>HMAS (Hassan Mohammad Al Sobity General Contracting Est.)</t>
  </si>
  <si>
    <t>HASSAN MOHAMMAD AL SOBITY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</si>
</sst>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3" t="s">
        <v>100</v>
      </c>
      <c r="K2" s="144"/>
      <c r="L2" s="145"/>
    </row>
    <row r="3" spans="1:19" ht="20.100000000000001" customHeight="1">
      <c r="A3" s="3" t="s">
        <v>118</v>
      </c>
      <c r="B3" s="100"/>
      <c r="C3" s="100"/>
      <c r="D3" s="100"/>
      <c r="E3" s="146">
        <f>+L3</f>
        <v>46153</v>
      </c>
      <c r="F3" s="146"/>
      <c r="G3" s="146"/>
      <c r="H3" s="146"/>
      <c r="I3" s="146"/>
      <c r="J3" s="100"/>
      <c r="K3" s="100"/>
      <c r="L3" s="121">
        <v>46153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95</v>
      </c>
      <c r="J4" s="147" t="s">
        <v>96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59" t="s">
        <v>119</v>
      </c>
      <c r="C6" s="160"/>
      <c r="D6" s="161"/>
      <c r="E6" s="162"/>
      <c r="F6" s="163"/>
      <c r="G6" s="110" t="s">
        <v>99</v>
      </c>
      <c r="H6" s="111">
        <v>1</v>
      </c>
      <c r="I6" s="112">
        <v>90</v>
      </c>
      <c r="J6" s="112">
        <f>H6*I6</f>
        <v>90</v>
      </c>
      <c r="K6" s="113" t="s">
        <v>121</v>
      </c>
      <c r="L6" s="114" t="s">
        <v>102</v>
      </c>
      <c r="S6" s="105"/>
    </row>
    <row r="7" spans="1:19" ht="22.5" customHeight="1">
      <c r="A7" s="5">
        <f t="shared" si="0"/>
        <v>2</v>
      </c>
      <c r="B7" s="159" t="s">
        <v>120</v>
      </c>
      <c r="C7" s="160"/>
      <c r="D7" s="161"/>
      <c r="E7" s="162"/>
      <c r="F7" s="163"/>
      <c r="G7" s="110" t="s">
        <v>99</v>
      </c>
      <c r="H7" s="111">
        <v>1</v>
      </c>
      <c r="I7" s="112">
        <v>88</v>
      </c>
      <c r="J7" s="112">
        <f>H7*I7</f>
        <v>88</v>
      </c>
      <c r="K7" s="113" t="s">
        <v>114</v>
      </c>
      <c r="L7" s="114" t="s">
        <v>114</v>
      </c>
      <c r="S7" s="105"/>
    </row>
    <row r="8" spans="1:19" ht="22.5" customHeight="1">
      <c r="A8" s="5">
        <f t="shared" si="0"/>
        <v>3</v>
      </c>
      <c r="B8" s="159"/>
      <c r="C8" s="160"/>
      <c r="D8" s="161"/>
      <c r="E8" s="162"/>
      <c r="F8" s="163"/>
      <c r="G8" s="110"/>
      <c r="H8" s="111"/>
      <c r="I8" s="112"/>
      <c r="J8" s="112">
        <f>H8*I8</f>
        <v>0</v>
      </c>
      <c r="K8" s="113"/>
      <c r="L8" s="114"/>
      <c r="S8" s="105"/>
    </row>
    <row r="9" spans="1:19" ht="22.5" customHeight="1">
      <c r="A9" s="5">
        <f t="shared" si="0"/>
        <v>4</v>
      </c>
      <c r="B9" s="159"/>
      <c r="C9" s="160"/>
      <c r="D9" s="161"/>
      <c r="E9" s="162"/>
      <c r="F9" s="163"/>
      <c r="G9" s="110"/>
      <c r="H9" s="111"/>
      <c r="I9" s="112"/>
      <c r="J9" s="112">
        <f>H9*I9</f>
        <v>0</v>
      </c>
      <c r="K9" s="113"/>
      <c r="L9" s="114"/>
      <c r="S9" s="105"/>
    </row>
    <row r="10" spans="1:19" ht="22.5" customHeight="1">
      <c r="A10" s="5">
        <f t="shared" si="0"/>
        <v>5</v>
      </c>
      <c r="B10" s="164"/>
      <c r="C10" s="164"/>
      <c r="D10" s="165"/>
      <c r="E10" s="165"/>
      <c r="F10" s="165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59"/>
      <c r="C11" s="160"/>
      <c r="D11" s="161"/>
      <c r="E11" s="162"/>
      <c r="F11" s="163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64"/>
      <c r="C12" s="164"/>
      <c r="D12" s="165"/>
      <c r="E12" s="165"/>
      <c r="F12" s="165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59"/>
      <c r="C13" s="160"/>
      <c r="D13" s="161"/>
      <c r="E13" s="162"/>
      <c r="F13" s="16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59"/>
      <c r="C14" s="160"/>
      <c r="D14" s="161"/>
      <c r="E14" s="162"/>
      <c r="F14" s="16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59"/>
      <c r="C15" s="160"/>
      <c r="D15" s="161"/>
      <c r="E15" s="162"/>
      <c r="F15" s="16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66" t="s">
        <v>8</v>
      </c>
      <c r="B16" s="16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178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9"/>
      <c r="T19" s="14"/>
      <c r="U19" s="15"/>
      <c r="V19" s="14"/>
    </row>
    <row r="20" spans="1:22" ht="17.100000000000001" customHeight="1">
      <c r="O20" s="11"/>
      <c r="P20" s="11"/>
      <c r="Q20" s="11"/>
      <c r="S20" s="17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71" t="s">
        <v>17</v>
      </c>
      <c r="Q21" s="171" t="s">
        <v>18</v>
      </c>
    </row>
    <row r="22" spans="1:22" ht="18" customHeight="1">
      <c r="O22" s="18" t="s">
        <v>19</v>
      </c>
      <c r="P22" s="172"/>
      <c r="Q22" s="172"/>
      <c r="S22" s="16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7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3"/>
      <c r="P27" s="173"/>
      <c r="Q27" s="173"/>
    </row>
    <row r="28" spans="1:22" ht="19.899999999999999" customHeight="1">
      <c r="O28" s="173"/>
      <c r="P28" s="173"/>
      <c r="Q28" s="17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1" t="s">
        <v>21</v>
      </c>
    </row>
    <row r="41" spans="15:22" ht="19.899999999999999" customHeight="1">
      <c r="T41" s="172"/>
    </row>
    <row r="42" spans="15:22" ht="64.900000000000006" customHeight="1">
      <c r="T42" s="14"/>
    </row>
    <row r="46" spans="15:22" ht="21" customHeight="1">
      <c r="O46" s="171" t="s">
        <v>21</v>
      </c>
      <c r="P46" s="171" t="s">
        <v>21</v>
      </c>
      <c r="Q46" s="171" t="s">
        <v>21</v>
      </c>
      <c r="T46" s="171" t="s">
        <v>22</v>
      </c>
      <c r="U46" s="171" t="s">
        <v>13</v>
      </c>
      <c r="V46" s="171" t="s">
        <v>21</v>
      </c>
    </row>
    <row r="47" spans="15:22" ht="21" customHeight="1">
      <c r="O47" s="172"/>
      <c r="P47" s="172"/>
      <c r="Q47" s="172"/>
      <c r="T47" s="170"/>
      <c r="U47" s="170"/>
      <c r="V47" s="17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1" t="s">
        <v>21</v>
      </c>
      <c r="P50" s="171" t="s">
        <v>21</v>
      </c>
      <c r="Q50" s="171" t="s">
        <v>21</v>
      </c>
      <c r="T50" s="171" t="s">
        <v>13</v>
      </c>
      <c r="U50" s="171" t="s">
        <v>22</v>
      </c>
      <c r="V50" s="171" t="s">
        <v>21</v>
      </c>
    </row>
    <row r="51" spans="15:22" ht="21" customHeight="1">
      <c r="O51" s="172"/>
      <c r="P51" s="172"/>
      <c r="Q51" s="172"/>
      <c r="T51" s="170"/>
      <c r="U51" s="170"/>
      <c r="V51" s="17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97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SAC2-DS-MRS-0309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46153</v>
      </c>
    </row>
    <row r="4" spans="1:18" ht="15.95" customHeight="1">
      <c r="A4" s="174" t="s">
        <v>2</v>
      </c>
      <c r="B4" s="175" t="s">
        <v>23</v>
      </c>
      <c r="C4" s="175"/>
      <c r="D4" s="174" t="s">
        <v>4</v>
      </c>
      <c r="E4" s="174"/>
      <c r="F4" s="174"/>
      <c r="G4" s="175" t="s">
        <v>5</v>
      </c>
      <c r="H4" s="174" t="s">
        <v>91</v>
      </c>
      <c r="I4" s="174" t="s">
        <v>24</v>
      </c>
      <c r="J4" s="174" t="s">
        <v>25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76" t="str">
        <f>MRS!B6</f>
        <v>Welding QCI</v>
      </c>
      <c r="C6" s="177"/>
      <c r="D6" s="178">
        <f>MRS!D6</f>
        <v>0</v>
      </c>
      <c r="E6" s="179"/>
      <c r="F6" s="180"/>
      <c r="G6" s="102" t="str">
        <f>MRS!G6</f>
        <v>Hour</v>
      </c>
      <c r="H6" s="102">
        <f>MRS!H6</f>
        <v>1</v>
      </c>
      <c r="I6" s="103">
        <f>MRS!I6</f>
        <v>90</v>
      </c>
      <c r="J6" s="103">
        <f>MRS!J6</f>
        <v>90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6" t="str">
        <f>MRS!B7</f>
        <v>Piping QCI</v>
      </c>
      <c r="C7" s="177"/>
      <c r="D7" s="178">
        <f>MRS!D7</f>
        <v>0</v>
      </c>
      <c r="E7" s="179"/>
      <c r="F7" s="180"/>
      <c r="G7" s="102" t="str">
        <f>MRS!G7</f>
        <v>Hour</v>
      </c>
      <c r="H7" s="102">
        <f>MRS!H7</f>
        <v>1</v>
      </c>
      <c r="I7" s="103">
        <f>MRS!I7</f>
        <v>88</v>
      </c>
      <c r="J7" s="103">
        <f>MRS!J7</f>
        <v>88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6">
        <f>MRS!B8</f>
        <v>0</v>
      </c>
      <c r="C8" s="177"/>
      <c r="D8" s="178">
        <f>MRS!D8</f>
        <v>0</v>
      </c>
      <c r="E8" s="179"/>
      <c r="F8" s="18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6">
        <f>MRS!B9</f>
        <v>0</v>
      </c>
      <c r="C9" s="177"/>
      <c r="D9" s="178">
        <f>MRS!D9</f>
        <v>0</v>
      </c>
      <c r="E9" s="179"/>
      <c r="F9" s="18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6">
        <f>MRS!B10</f>
        <v>0</v>
      </c>
      <c r="C10" s="177"/>
      <c r="D10" s="178">
        <f>MRS!D10</f>
        <v>0</v>
      </c>
      <c r="E10" s="179"/>
      <c r="F10" s="18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6">
        <f>MRS!B11</f>
        <v>0</v>
      </c>
      <c r="C11" s="177"/>
      <c r="D11" s="178">
        <f>MRS!D11</f>
        <v>0</v>
      </c>
      <c r="E11" s="179"/>
      <c r="F11" s="18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81"/>
      <c r="C12" s="182"/>
      <c r="D12" s="183"/>
      <c r="E12" s="184"/>
      <c r="F12" s="18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81"/>
      <c r="C13" s="182"/>
      <c r="D13" s="183"/>
      <c r="E13" s="184"/>
      <c r="F13" s="18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81"/>
      <c r="C14" s="182"/>
      <c r="D14" s="183"/>
      <c r="E14" s="184"/>
      <c r="F14" s="18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1"/>
      <c r="C15" s="182"/>
      <c r="D15" s="183"/>
      <c r="E15" s="184"/>
      <c r="F15" s="18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1"/>
      <c r="C16" s="182"/>
      <c r="D16" s="183"/>
      <c r="E16" s="184"/>
      <c r="F16" s="18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1"/>
      <c r="C17" s="182"/>
      <c r="D17" s="183"/>
      <c r="E17" s="184"/>
      <c r="F17" s="18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132</v>
      </c>
      <c r="D9" s="39"/>
      <c r="E9" s="39"/>
    </row>
    <row r="10" spans="2:13" s="39" customFormat="1">
      <c r="B10" s="72"/>
      <c r="C10" s="39" t="s">
        <v>32</v>
      </c>
      <c r="D10" s="76" t="s">
        <v>122</v>
      </c>
      <c r="J10" s="39" t="s">
        <v>33</v>
      </c>
      <c r="K10" s="131">
        <f>MRS!L3</f>
        <v>46153</v>
      </c>
      <c r="L10" s="132"/>
      <c r="M10" s="132"/>
    </row>
    <row r="11" spans="2:13" s="39" customFormat="1">
      <c r="B11" s="72"/>
      <c r="C11" s="75" t="s">
        <v>34</v>
      </c>
      <c r="D11" s="76" t="s">
        <v>131</v>
      </c>
      <c r="J11" s="39" t="s">
        <v>35</v>
      </c>
      <c r="K11" s="133" t="str">
        <f>SUBSTITUTE(SUBSTITUTE(+MRS!A3,"  MRS No : ",""),"-MRS","-PO")</f>
        <v>SAC2-DS-PO-0309</v>
      </c>
      <c r="L11" s="133"/>
      <c r="M11" s="133"/>
    </row>
    <row r="12" spans="2:13" s="39" customFormat="1">
      <c r="B12" s="72"/>
      <c r="C12" s="75" t="s">
        <v>36</v>
      </c>
      <c r="D12" s="39" t="s">
        <v>125</v>
      </c>
      <c r="J12" s="39" t="s">
        <v>37</v>
      </c>
    </row>
    <row r="13" spans="2:13" s="39" customFormat="1">
      <c r="B13" s="72"/>
      <c r="C13" s="77"/>
      <c r="D13" s="76" t="s">
        <v>126</v>
      </c>
      <c r="J13" s="39" t="s">
        <v>38</v>
      </c>
    </row>
    <row r="14" spans="2:13" s="39" customFormat="1">
      <c r="B14" s="72"/>
      <c r="C14" s="77" t="s">
        <v>128</v>
      </c>
      <c r="J14" s="39" t="s">
        <v>39</v>
      </c>
      <c r="K14" s="76" t="s">
        <v>124</v>
      </c>
    </row>
    <row r="15" spans="2:13" s="39" customFormat="1">
      <c r="B15" s="72"/>
      <c r="C15" s="77" t="s">
        <v>127</v>
      </c>
      <c r="D15" s="76"/>
      <c r="J15" s="39" t="s">
        <v>40</v>
      </c>
      <c r="K15" s="78">
        <v>46149</v>
      </c>
    </row>
    <row r="16" spans="2:13" s="39" customFormat="1">
      <c r="C16" s="77"/>
      <c r="D16" s="76"/>
      <c r="K16" s="78"/>
    </row>
    <row r="17" spans="2:13" ht="6" customHeight="1">
      <c r="C17" s="29"/>
      <c r="K17" s="30"/>
    </row>
    <row r="18" spans="2:13" ht="20.25">
      <c r="B18" s="134" t="s">
        <v>41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</row>
    <row r="19" spans="2:13" ht="12" customHeight="1"/>
    <row r="20" spans="2:13" s="31" customFormat="1" ht="12" customHeight="1">
      <c r="B20" s="135" t="s">
        <v>42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</row>
    <row r="21" spans="2:13" s="31" customFormat="1" ht="12" customHeight="1">
      <c r="B21" s="135" t="s">
        <v>43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</row>
    <row r="22" spans="2:13" s="31" customFormat="1" ht="12" customHeight="1">
      <c r="B22" s="135" t="s">
        <v>44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</row>
    <row r="23" spans="2:13" ht="6.95" customHeight="1"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2:13" ht="6.95" customHeight="1"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128" t="s">
        <v>123</v>
      </c>
      <c r="M26" s="129" t="s">
        <v>46</v>
      </c>
    </row>
    <row r="27" spans="2:13" ht="12" customHeight="1">
      <c r="B27" s="32"/>
      <c r="C27" s="124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38" t="s">
        <v>102</v>
      </c>
      <c r="G29" s="138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38"/>
      <c r="G30" s="138"/>
    </row>
    <row r="31" spans="2:13" ht="12" customHeight="1">
      <c r="B31" s="32"/>
      <c r="C31" s="26" t="s">
        <v>51</v>
      </c>
      <c r="D31" s="35"/>
      <c r="E31" s="26" t="s">
        <v>49</v>
      </c>
      <c r="F31" s="138"/>
      <c r="G31" s="13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79" t="s">
        <v>65</v>
      </c>
      <c r="C49" s="80" t="s">
        <v>93</v>
      </c>
      <c r="P49" s="81"/>
    </row>
    <row r="50" spans="2:16" s="82" customFormat="1" ht="12" customHeight="1">
      <c r="B50" s="83" t="s">
        <v>65</v>
      </c>
      <c r="C50" s="80" t="s">
        <v>94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105</v>
      </c>
    </row>
    <row r="54" spans="2:16" ht="12" customHeight="1">
      <c r="B54" s="83" t="s">
        <v>65</v>
      </c>
      <c r="C54" s="125" t="s">
        <v>106</v>
      </c>
      <c r="F54" s="26" t="s">
        <v>133</v>
      </c>
      <c r="P54" s="26" t="str">
        <f>UPPER(F54)</f>
        <v>HASSAN MOHAMMAD AL SOBITY GENERAL CONTRACTING EST.</v>
      </c>
    </row>
    <row r="55" spans="2:16" ht="12" customHeight="1">
      <c r="B55" s="83" t="s">
        <v>65</v>
      </c>
      <c r="C55" s="125" t="s">
        <v>107</v>
      </c>
      <c r="F55" s="126" t="s">
        <v>129</v>
      </c>
    </row>
    <row r="56" spans="2:16" ht="12" customHeight="1">
      <c r="B56" s="83" t="s">
        <v>65</v>
      </c>
      <c r="C56" s="125" t="s">
        <v>108</v>
      </c>
      <c r="F56" s="26" t="s">
        <v>130</v>
      </c>
    </row>
    <row r="57" spans="2:16" ht="12" customHeight="1">
      <c r="B57" s="83" t="s">
        <v>65</v>
      </c>
      <c r="C57" s="125" t="s">
        <v>109</v>
      </c>
      <c r="F57" s="26" t="s">
        <v>116</v>
      </c>
    </row>
    <row r="58" spans="2:16" ht="12" customHeight="1">
      <c r="B58" s="83" t="s">
        <v>65</v>
      </c>
      <c r="C58" s="125" t="s">
        <v>110</v>
      </c>
      <c r="F58" s="26" t="s">
        <v>115</v>
      </c>
    </row>
    <row r="59" spans="2:16" ht="12" customHeight="1">
      <c r="B59" s="83" t="s">
        <v>65</v>
      </c>
      <c r="C59" s="125" t="s">
        <v>111</v>
      </c>
      <c r="F59" s="26" t="s">
        <v>112</v>
      </c>
    </row>
    <row r="60" spans="2:16" ht="12" customHeight="1">
      <c r="B60" s="83"/>
      <c r="C60" s="127" t="s">
        <v>113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Faruq Jodder</v>
      </c>
    </row>
    <row r="68" spans="1:13" ht="18" customHeight="1">
      <c r="B68" s="26" t="s">
        <v>71</v>
      </c>
      <c r="J68" s="26" t="s">
        <v>72</v>
      </c>
      <c r="K68" s="22" t="s">
        <v>117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39" t="str">
        <f>C9</f>
        <v>HMAS (Hassan Mohammad Al Sobity General Contracting Est.)</v>
      </c>
      <c r="K70" s="139"/>
      <c r="L70" s="139"/>
      <c r="M70" s="139"/>
    </row>
    <row r="71" spans="1:13" ht="27.95" customHeight="1">
      <c r="A71" s="130" t="s">
        <v>75</v>
      </c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SAC2-DS-PO-0309</v>
      </c>
      <c r="C2" s="188" t="s">
        <v>77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46153</v>
      </c>
      <c r="C3" s="51"/>
      <c r="D3" s="52"/>
      <c r="E3" s="189" t="s">
        <v>79</v>
      </c>
      <c r="F3" s="189"/>
      <c r="G3" s="189"/>
      <c r="H3" s="189"/>
      <c r="I3" s="53"/>
    </row>
    <row r="4" spans="1:13" s="55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HMAS (Hassan Mohammad Al Sobity General Contracting Est.)</v>
      </c>
      <c r="G4" s="199"/>
      <c r="H4" s="200" t="s">
        <v>84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85</v>
      </c>
      <c r="G5" s="57" t="s">
        <v>51</v>
      </c>
      <c r="H5" s="201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6" t="str">
        <f>CONCATENATE(MRS!B6," ",MRS!D6)</f>
        <v xml:space="preserve">Welding QCI </v>
      </c>
      <c r="C6" s="187"/>
      <c r="D6" s="85" t="str">
        <f>+'MRS LIST'!G6</f>
        <v>Hour</v>
      </c>
      <c r="E6" s="86">
        <f>+'MRS LIST'!H6</f>
        <v>1</v>
      </c>
      <c r="F6" s="87">
        <f>+'MRS LIST'!I6</f>
        <v>90</v>
      </c>
      <c r="G6" s="88">
        <f>+'MRS LIST'!J6</f>
        <v>90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6" t="str">
        <f>CONCATENATE(MRS!B7," ",MRS!D7)</f>
        <v xml:space="preserve">Piping QCI </v>
      </c>
      <c r="C7" s="187"/>
      <c r="D7" s="85" t="str">
        <f>+'MRS LIST'!G7</f>
        <v>Hour</v>
      </c>
      <c r="E7" s="86">
        <f>+'MRS LIST'!H7</f>
        <v>1</v>
      </c>
      <c r="F7" s="87">
        <f>+'MRS LIST'!I7</f>
        <v>88</v>
      </c>
      <c r="G7" s="88">
        <f>+'MRS LIST'!J7</f>
        <v>88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86" t="str">
        <f>CONCATENATE(MRS!B8," ",MRS!D8)</f>
        <v xml:space="preserve"> </v>
      </c>
      <c r="C8" s="187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6" t="str">
        <f>CONCATENATE(MRS!B9," ",MRS!D9)</f>
        <v xml:space="preserve"> </v>
      </c>
      <c r="C9" s="187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6"/>
      <c r="C12" s="207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6"/>
      <c r="C13" s="207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6"/>
      <c r="C14" s="207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6"/>
      <c r="C15" s="207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6"/>
      <c r="C16" s="207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6"/>
      <c r="C17" s="207"/>
      <c r="D17" s="93"/>
      <c r="E17" s="94"/>
      <c r="F17" s="95"/>
      <c r="G17" s="96"/>
      <c r="H17" s="97"/>
    </row>
    <row r="18" spans="1:13" s="55" customFormat="1" ht="23.1" customHeight="1">
      <c r="A18" s="202" t="s">
        <v>86</v>
      </c>
      <c r="B18" s="203"/>
      <c r="C18" s="203"/>
      <c r="D18" s="203"/>
      <c r="E18" s="203"/>
      <c r="F18" s="203"/>
      <c r="G18" s="58">
        <f>SUM(G6:G17)</f>
        <v>178</v>
      </c>
      <c r="H18" s="59"/>
    </row>
    <row r="19" spans="1:13" s="55" customFormat="1" ht="23.1" customHeight="1">
      <c r="A19" s="202" t="s">
        <v>50</v>
      </c>
      <c r="B19" s="203"/>
      <c r="C19" s="203"/>
      <c r="D19" s="203"/>
      <c r="E19" s="203"/>
      <c r="F19" s="203"/>
      <c r="G19" s="58">
        <f>+G18*0.15</f>
        <v>26.7</v>
      </c>
      <c r="H19" s="59"/>
    </row>
    <row r="20" spans="1:13" s="55" customFormat="1" ht="24.95" customHeight="1" thickBot="1">
      <c r="A20" s="204" t="s">
        <v>87</v>
      </c>
      <c r="B20" s="205"/>
      <c r="C20" s="205"/>
      <c r="D20" s="205"/>
      <c r="E20" s="205"/>
      <c r="F20" s="205"/>
      <c r="G20" s="60">
        <f>G19+G18</f>
        <v>204.7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QUOTE-MP-00000001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30" t="s">
        <v>89</v>
      </c>
      <c r="B24" s="130"/>
      <c r="C24" s="130"/>
      <c r="D24" s="130"/>
      <c r="E24" s="130"/>
      <c r="F24" s="130"/>
      <c r="G24" s="130"/>
      <c r="H24" s="13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2026-09-20T11:12:01Z</cp:lastPrinted>
  <dcterms:created xsi:type="dcterms:W3CDTF">2024-10-20T11:50:19Z</dcterms:created>
  <dcterms:modified xsi:type="dcterms:W3CDTF">2026-09-20T11:14:47Z</dcterms:modified>
</cp:coreProperties>
</file>