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530E0B47-525B-42B4-85BA-1C1102C9E7B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LIST'!$A$1:$K$18</definedName>
    <definedName name="_xlnm.Print_Area" localSheetId="2">'PO 1st page'!$A$1:$N$63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4" l="1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B12" i="4"/>
  <c r="B13" i="4"/>
  <c r="B14" i="4"/>
  <c r="B15" i="4"/>
  <c r="B16" i="4"/>
  <c r="B17" i="4"/>
  <c r="B18" i="4"/>
  <c r="A12" i="4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D7" i="2"/>
  <c r="D8" i="2"/>
  <c r="D9" i="2"/>
  <c r="D10" i="2"/>
  <c r="D11" i="2"/>
  <c r="D12" i="2"/>
  <c r="D13" i="2"/>
  <c r="D14" i="2"/>
  <c r="D15" i="2"/>
  <c r="D16" i="2"/>
  <c r="D17" i="2"/>
  <c r="D18" i="2"/>
  <c r="B18" i="2"/>
  <c r="B17" i="2"/>
  <c r="B16" i="2"/>
  <c r="B15" i="2"/>
  <c r="B14" i="2"/>
  <c r="B13" i="2"/>
  <c r="B12" i="2"/>
  <c r="B11" i="2"/>
  <c r="B10" i="2"/>
  <c r="B9" i="2"/>
  <c r="B8" i="2"/>
  <c r="B7" i="2"/>
  <c r="A8" i="2"/>
  <c r="A9" i="2"/>
  <c r="A10" i="2"/>
  <c r="A11" i="2"/>
  <c r="A12" i="2"/>
  <c r="A13" i="2"/>
  <c r="A14" i="2"/>
  <c r="A15" i="2"/>
  <c r="A16" i="2"/>
  <c r="J12" i="1"/>
  <c r="J13" i="1"/>
  <c r="J14" i="1"/>
  <c r="J15" i="1"/>
  <c r="J16" i="1"/>
  <c r="J17" i="1"/>
  <c r="J18" i="1"/>
  <c r="A12" i="1" l="1"/>
  <c r="A13" i="1"/>
  <c r="A14" i="1"/>
  <c r="A15" i="1"/>
  <c r="A16" i="1"/>
  <c r="A17" i="1"/>
  <c r="A18" i="1"/>
  <c r="J10" i="1"/>
  <c r="J9" i="1"/>
  <c r="J8" i="1"/>
  <c r="J7" i="1"/>
  <c r="F11" i="4" l="1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J11" i="1"/>
  <c r="G11" i="4" s="1"/>
  <c r="G10" i="4"/>
  <c r="G9" i="4"/>
  <c r="G8" i="4"/>
  <c r="K59" i="3"/>
  <c r="E3" i="1"/>
  <c r="E7" i="4"/>
  <c r="D7" i="4"/>
  <c r="B7" i="4"/>
  <c r="J6" i="1" l="1"/>
  <c r="K10" i="3"/>
  <c r="A22" i="4" l="1"/>
  <c r="G7" i="4"/>
  <c r="F7" i="4"/>
  <c r="I6" i="2"/>
  <c r="F6" i="4" s="1"/>
  <c r="H6" i="2"/>
  <c r="E6" i="4" s="1"/>
  <c r="G6" i="2"/>
  <c r="D6" i="4" s="1"/>
  <c r="D6" i="2"/>
  <c r="B6" i="2"/>
  <c r="B6" i="4" s="1"/>
  <c r="A18" i="4"/>
  <c r="A17" i="4"/>
  <c r="A16" i="4"/>
  <c r="A15" i="4"/>
  <c r="A14" i="4"/>
  <c r="A13" i="4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11" i="1"/>
  <c r="A10" i="1"/>
  <c r="A9" i="1"/>
  <c r="A8" i="1"/>
  <c r="A7" i="1"/>
  <c r="A7" i="2" s="1"/>
  <c r="A6" i="1"/>
  <c r="A6" i="2" s="1"/>
  <c r="J19" i="1" l="1"/>
  <c r="J6" i="2"/>
  <c r="G6" i="4" s="1"/>
  <c r="G19" i="4" s="1"/>
  <c r="F29" i="3" s="1"/>
  <c r="G20" i="4" l="1"/>
  <c r="G21" i="4" l="1"/>
  <c r="F31" i="3" s="1"/>
  <c r="F30" i="3"/>
</calcChain>
</file>

<file path=xl/sharedStrings.xml><?xml version="1.0" encoding="utf-8"?>
<sst xmlns="http://schemas.openxmlformats.org/spreadsheetml/2006/main" count="226" uniqueCount="142">
  <si>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</si>
  <si>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</si>
  <si>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</si>
  <si>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</si>
  <si>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</si>
  <si>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</si>
  <si>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</si>
  <si>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</si>
  <si>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</si>
  <si>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</si>
  <si>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</si>
  <si>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</si>
  <si>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</si>
  <si>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</si>
  <si>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</si>
  <si>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</si>
  <si>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</si>
  <si>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</si>
  <si>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</si>
  <si>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</si>
  <si>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</si>
  <si>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</si>
  <si>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</si>
  <si>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</si>
  <si>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</si>
  <si>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</si>
  <si>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</si>
  <si>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</si>
  <si>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</si>
  <si>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</si>
  <si>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</si>
  <si>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</si>
  <si>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</si>
  <si>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</si>
  <si>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</si>
  <si>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</si>
  <si>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</si>
  <si>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</si>
  <si>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</si>
  <si>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</si>
  <si>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</si>
  <si>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</si>
  <si>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</si>
  <si>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</si>
  <si>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</si>
  <si>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</si>
  <si>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</si>
  <si>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</si>
  <si>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</si>
  <si>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</si>
  <si>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</si>
  <si>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</si>
  <si>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</si>
  <si>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</si>
  <si>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</si>
  <si>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</si>
  <si>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</si>
  <si>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</si>
  <si>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</si>
  <si>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</si>
  <si>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</si>
  <si>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</si>
  <si>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</si>
  <si>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</si>
  <si>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</si>
  <si>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</si>
  <si>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</si>
  <si>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</si>
  <si>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</si>
  <si>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</si>
  <si>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</si>
  <si>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</si>
  <si>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</si>
  <si>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</si>
  <si>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</si>
  <si>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</si>
  <si>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</si>
  <si>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</si>
  <si>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</si>
  <si>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</si>
  <si>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</si>
  <si>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</si>
  <si>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</si>
  <si>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</si>
  <si>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</si>
  <si>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</si>
  <si>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</si>
  <si>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</si>
  <si>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</si>
  <si>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</si>
  <si>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</si>
  <si>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</si>
  <si>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</si>
  <si>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</si>
  <si>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</si>
  <si>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</si>
  <si>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</si>
  <si>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</si>
  <si>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</si>
  <si>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</si>
  <si>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</si>
  <si>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</si>
  <si>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</si>
  <si>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</si>
  <si>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</si>
  <si>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-MRS-0103</t>
    </r>
  </si>
  <si>
    <t>White Envelope</t>
  </si>
  <si>
    <t>Mop</t>
  </si>
  <si>
    <t>Dust Bin</t>
  </si>
  <si>
    <t>Safety Shoes</t>
  </si>
  <si>
    <t>Fire Watcher Vest</t>
  </si>
  <si>
    <t>Safety Vest With Logo</t>
  </si>
  <si>
    <t>Energy Drink</t>
  </si>
  <si>
    <t>Stamp</t>
  </si>
  <si>
    <t>Water Bottle</t>
  </si>
  <si>
    <t>Safety Googles</t>
  </si>
  <si>
    <t>Safety Helmet</t>
  </si>
  <si>
    <t>Folding Chair</t>
  </si>
  <si>
    <t>80GSM 115*225MM 500/BOX</t>
  </si>
  <si>
    <t>50LTR</t>
  </si>
  <si>
    <t>SIZE 42-50/44-20</t>
  </si>
  <si>
    <t>RED</t>
  </si>
  <si>
    <t>m-100/l-100/xl-100</t>
  </si>
  <si>
    <t>GATORADE</t>
  </si>
  <si>
    <t>1050ML HI-TEX</t>
  </si>
  <si>
    <t>CLEAR-500/DARK-500</t>
  </si>
  <si>
    <t>3M,WHITE</t>
  </si>
  <si>
    <t>3M,YELLOW</t>
  </si>
  <si>
    <t>BOX</t>
  </si>
  <si>
    <t>PAIR</t>
  </si>
  <si>
    <t>"</t>
  </si>
  <si>
    <t>One time</t>
  </si>
  <si>
    <t>M-100/l-100/XL-100</t>
  </si>
  <si>
    <t>QUO-MAT-2508131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</si>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</sst>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13" fillId="0" borderId="9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54" fillId="0" borderId="46" xfId="0" applyFont="1" applyBorder="1" applyAlignment="1">
      <alignment horizontal="center" vertical="center" wrapText="1"/>
    </xf>
    <xf numFmtId="0" fontId="54" fillId="0" borderId="47" xfId="0" applyFont="1" applyBorder="1" applyAlignment="1">
      <alignment horizontal="center" vertical="center" wrapText="1"/>
    </xf>
    <xf numFmtId="0" fontId="54" fillId="0" borderId="48" xfId="0" applyFont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12</xdr:col>
          <xdr:colOff>502</xdr:colOff>
          <xdr:row>27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1:$V$27" spid="_x0000_s12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5"/>
  <sheetViews>
    <sheetView showGridLines="0" tabSelected="1" view="pageBreakPreview" zoomScale="95" zoomScaleNormal="95" zoomScaleSheetLayoutView="95" workbookViewId="0">
      <selection activeCell="D12" sqref="D12:F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5" t="s">
        <v>103</v>
      </c>
      <c r="B1" s="101"/>
      <c r="C1" s="101"/>
      <c r="D1" s="101"/>
      <c r="E1" s="101"/>
      <c r="F1" s="101"/>
      <c r="G1" s="1"/>
      <c r="J1" s="117" t="s">
        <v>90</v>
      </c>
      <c r="K1" s="118"/>
      <c r="L1" s="119"/>
    </row>
    <row r="2" spans="1:19" ht="20.100000000000001" customHeight="1">
      <c r="A2" s="3" t="s">
        <v>1</v>
      </c>
      <c r="B2" s="95"/>
      <c r="C2" s="95"/>
      <c r="D2" s="3" t="s">
        <v>102</v>
      </c>
      <c r="E2" s="95"/>
      <c r="F2" s="95"/>
      <c r="G2" s="95"/>
      <c r="H2" s="95"/>
      <c r="I2" s="4"/>
      <c r="J2" s="120" t="s">
        <v>101</v>
      </c>
      <c r="K2" s="121"/>
      <c r="L2" s="122"/>
    </row>
    <row r="3" spans="1:19" ht="20.100000000000001" customHeight="1">
      <c r="A3" s="3" t="s">
        <v>105</v>
      </c>
      <c r="B3" s="95"/>
      <c r="C3" s="95"/>
      <c r="D3" s="95"/>
      <c r="E3" s="123">
        <f>+L3</f>
        <v>45885</v>
      </c>
      <c r="F3" s="123"/>
      <c r="G3" s="123"/>
      <c r="H3" s="123"/>
      <c r="I3" s="123"/>
      <c r="J3" s="95"/>
      <c r="K3" s="95"/>
      <c r="L3" s="113">
        <v>45885</v>
      </c>
      <c r="M3" s="4"/>
    </row>
    <row r="4" spans="1:19" ht="15.95" customHeight="1">
      <c r="A4" s="124" t="s">
        <v>2</v>
      </c>
      <c r="B4" s="125" t="s">
        <v>3</v>
      </c>
      <c r="C4" s="125"/>
      <c r="D4" s="126" t="s">
        <v>4</v>
      </c>
      <c r="E4" s="127"/>
      <c r="F4" s="128"/>
      <c r="G4" s="132" t="s">
        <v>5</v>
      </c>
      <c r="H4" s="134" t="s">
        <v>6</v>
      </c>
      <c r="I4" s="134" t="s">
        <v>94</v>
      </c>
      <c r="J4" s="124" t="s">
        <v>95</v>
      </c>
      <c r="K4" s="134" t="s">
        <v>0</v>
      </c>
      <c r="L4" s="125" t="s">
        <v>7</v>
      </c>
    </row>
    <row r="5" spans="1:19" ht="15.95" customHeight="1">
      <c r="A5" s="124"/>
      <c r="B5" s="125"/>
      <c r="C5" s="125"/>
      <c r="D5" s="129"/>
      <c r="E5" s="130"/>
      <c r="F5" s="131"/>
      <c r="G5" s="133"/>
      <c r="H5" s="135"/>
      <c r="I5" s="135"/>
      <c r="J5" s="124"/>
      <c r="K5" s="135"/>
      <c r="L5" s="125"/>
    </row>
    <row r="6" spans="1:19" ht="20.25" customHeight="1">
      <c r="A6" s="5">
        <f t="shared" ref="A6:A18" si="0">ROW(A1)</f>
        <v>1</v>
      </c>
      <c r="B6" s="183" t="s">
        <v>106</v>
      </c>
      <c r="C6" s="184"/>
      <c r="D6" s="185" t="s">
        <v>118</v>
      </c>
      <c r="E6" s="186"/>
      <c r="F6" s="187"/>
      <c r="G6" s="102" t="s">
        <v>128</v>
      </c>
      <c r="H6" s="103">
        <v>1</v>
      </c>
      <c r="I6" s="104">
        <v>50</v>
      </c>
      <c r="J6" s="104">
        <f>H6*I6</f>
        <v>50</v>
      </c>
      <c r="K6" s="105" t="s">
        <v>98</v>
      </c>
      <c r="L6" s="106" t="s">
        <v>131</v>
      </c>
      <c r="S6" s="100"/>
    </row>
    <row r="7" spans="1:19" ht="20.25" customHeight="1">
      <c r="A7" s="5">
        <f t="shared" si="0"/>
        <v>2</v>
      </c>
      <c r="B7" s="183" t="s">
        <v>107</v>
      </c>
      <c r="C7" s="184" t="s">
        <v>107</v>
      </c>
      <c r="D7" s="185"/>
      <c r="E7" s="186"/>
      <c r="F7" s="187"/>
      <c r="G7" s="102" t="s">
        <v>97</v>
      </c>
      <c r="H7" s="103">
        <v>1</v>
      </c>
      <c r="I7" s="104">
        <v>35</v>
      </c>
      <c r="J7" s="104">
        <f t="shared" ref="J7:J10" si="1">H7*I7</f>
        <v>35</v>
      </c>
      <c r="K7" s="105" t="s">
        <v>130</v>
      </c>
      <c r="L7" s="106"/>
      <c r="S7" s="100"/>
    </row>
    <row r="8" spans="1:19" ht="20.25" customHeight="1">
      <c r="A8" s="5">
        <f t="shared" si="0"/>
        <v>3</v>
      </c>
      <c r="B8" s="183" t="s">
        <v>108</v>
      </c>
      <c r="C8" s="184" t="s">
        <v>108</v>
      </c>
      <c r="D8" s="185" t="s">
        <v>119</v>
      </c>
      <c r="E8" s="186" t="s">
        <v>119</v>
      </c>
      <c r="F8" s="187" t="s">
        <v>119</v>
      </c>
      <c r="G8" s="102" t="s">
        <v>97</v>
      </c>
      <c r="H8" s="103">
        <v>1</v>
      </c>
      <c r="I8" s="104">
        <v>67</v>
      </c>
      <c r="J8" s="104">
        <f t="shared" si="1"/>
        <v>67</v>
      </c>
      <c r="K8" s="105" t="s">
        <v>130</v>
      </c>
      <c r="L8" s="106"/>
      <c r="S8" s="100"/>
    </row>
    <row r="9" spans="1:19" ht="20.25" customHeight="1">
      <c r="A9" s="5">
        <f t="shared" si="0"/>
        <v>4</v>
      </c>
      <c r="B9" s="183" t="s">
        <v>109</v>
      </c>
      <c r="C9" s="184" t="s">
        <v>109</v>
      </c>
      <c r="D9" s="185" t="s">
        <v>120</v>
      </c>
      <c r="E9" s="186" t="s">
        <v>120</v>
      </c>
      <c r="F9" s="187" t="s">
        <v>120</v>
      </c>
      <c r="G9" s="102" t="s">
        <v>129</v>
      </c>
      <c r="H9" s="103">
        <v>210</v>
      </c>
      <c r="I9" s="104">
        <v>63.5</v>
      </c>
      <c r="J9" s="104">
        <f t="shared" si="1"/>
        <v>13335</v>
      </c>
      <c r="K9" s="105" t="s">
        <v>130</v>
      </c>
      <c r="L9" s="106"/>
      <c r="S9" s="100"/>
    </row>
    <row r="10" spans="1:19" ht="20.25" customHeight="1">
      <c r="A10" s="5">
        <f t="shared" si="0"/>
        <v>5</v>
      </c>
      <c r="B10" s="183" t="s">
        <v>110</v>
      </c>
      <c r="C10" s="184" t="s">
        <v>110</v>
      </c>
      <c r="D10" s="185" t="s">
        <v>121</v>
      </c>
      <c r="E10" s="186" t="s">
        <v>121</v>
      </c>
      <c r="F10" s="187" t="s">
        <v>121</v>
      </c>
      <c r="G10" s="102" t="s">
        <v>97</v>
      </c>
      <c r="H10" s="103">
        <v>100</v>
      </c>
      <c r="I10" s="104">
        <v>12.5</v>
      </c>
      <c r="J10" s="104">
        <f t="shared" si="1"/>
        <v>1250</v>
      </c>
      <c r="K10" s="105" t="s">
        <v>130</v>
      </c>
      <c r="L10" s="102"/>
      <c r="S10" s="100"/>
    </row>
    <row r="11" spans="1:19" ht="20.25" customHeight="1">
      <c r="A11" s="5">
        <f t="shared" si="0"/>
        <v>6</v>
      </c>
      <c r="B11" s="183" t="s">
        <v>111</v>
      </c>
      <c r="C11" s="184" t="s">
        <v>111</v>
      </c>
      <c r="D11" s="185" t="s">
        <v>132</v>
      </c>
      <c r="E11" s="186" t="s">
        <v>122</v>
      </c>
      <c r="F11" s="187" t="s">
        <v>122</v>
      </c>
      <c r="G11" s="102" t="s">
        <v>97</v>
      </c>
      <c r="H11" s="103">
        <v>300</v>
      </c>
      <c r="I11" s="104">
        <v>20.5</v>
      </c>
      <c r="J11" s="104">
        <f t="shared" ref="J11:J18" si="2">H11*I11</f>
        <v>6150</v>
      </c>
      <c r="K11" s="105" t="s">
        <v>130</v>
      </c>
      <c r="L11" s="106"/>
      <c r="S11" s="100"/>
    </row>
    <row r="12" spans="1:19" ht="20.25" customHeight="1">
      <c r="A12" s="5">
        <f t="shared" si="0"/>
        <v>7</v>
      </c>
      <c r="B12" s="183" t="s">
        <v>112</v>
      </c>
      <c r="C12" s="184" t="s">
        <v>112</v>
      </c>
      <c r="D12" s="185" t="s">
        <v>123</v>
      </c>
      <c r="E12" s="186" t="s">
        <v>123</v>
      </c>
      <c r="F12" s="187" t="s">
        <v>123</v>
      </c>
      <c r="G12" s="102" t="s">
        <v>97</v>
      </c>
      <c r="H12" s="103">
        <v>240</v>
      </c>
      <c r="I12" s="104">
        <v>5.9</v>
      </c>
      <c r="J12" s="104">
        <f t="shared" si="2"/>
        <v>1416</v>
      </c>
      <c r="K12" s="105" t="s">
        <v>130</v>
      </c>
      <c r="L12" s="106"/>
      <c r="S12" s="100"/>
    </row>
    <row r="13" spans="1:19" ht="20.25" customHeight="1">
      <c r="A13" s="5">
        <f t="shared" si="0"/>
        <v>8</v>
      </c>
      <c r="B13" s="183" t="s">
        <v>113</v>
      </c>
      <c r="C13" s="184" t="s">
        <v>113</v>
      </c>
      <c r="D13" s="185"/>
      <c r="E13" s="186"/>
      <c r="F13" s="187"/>
      <c r="G13" s="102" t="s">
        <v>97</v>
      </c>
      <c r="H13" s="103">
        <v>2</v>
      </c>
      <c r="I13" s="104">
        <v>150</v>
      </c>
      <c r="J13" s="104">
        <f t="shared" si="2"/>
        <v>300</v>
      </c>
      <c r="K13" s="105" t="s">
        <v>130</v>
      </c>
      <c r="L13" s="106"/>
      <c r="S13" s="100"/>
    </row>
    <row r="14" spans="1:19" ht="20.25" customHeight="1">
      <c r="A14" s="5">
        <f t="shared" si="0"/>
        <v>9</v>
      </c>
      <c r="B14" s="183" t="s">
        <v>114</v>
      </c>
      <c r="C14" s="184" t="s">
        <v>114</v>
      </c>
      <c r="D14" s="185" t="s">
        <v>124</v>
      </c>
      <c r="E14" s="186" t="s">
        <v>124</v>
      </c>
      <c r="F14" s="187" t="s">
        <v>124</v>
      </c>
      <c r="G14" s="102" t="s">
        <v>97</v>
      </c>
      <c r="H14" s="103">
        <v>50</v>
      </c>
      <c r="I14" s="104">
        <v>11.2</v>
      </c>
      <c r="J14" s="104">
        <f t="shared" si="2"/>
        <v>560</v>
      </c>
      <c r="K14" s="105" t="s">
        <v>130</v>
      </c>
      <c r="L14" s="106"/>
      <c r="S14" s="100"/>
    </row>
    <row r="15" spans="1:19" ht="20.25" customHeight="1">
      <c r="A15" s="5">
        <f t="shared" si="0"/>
        <v>10</v>
      </c>
      <c r="B15" s="183" t="s">
        <v>115</v>
      </c>
      <c r="C15" s="184" t="s">
        <v>115</v>
      </c>
      <c r="D15" s="185" t="s">
        <v>125</v>
      </c>
      <c r="E15" s="186" t="s">
        <v>125</v>
      </c>
      <c r="F15" s="187" t="s">
        <v>125</v>
      </c>
      <c r="G15" s="102" t="s">
        <v>97</v>
      </c>
      <c r="H15" s="103">
        <v>1000</v>
      </c>
      <c r="I15" s="107">
        <v>3</v>
      </c>
      <c r="J15" s="104">
        <f t="shared" si="2"/>
        <v>3000</v>
      </c>
      <c r="K15" s="105" t="s">
        <v>130</v>
      </c>
      <c r="L15" s="102"/>
      <c r="S15" s="100"/>
    </row>
    <row r="16" spans="1:19" ht="20.25" customHeight="1">
      <c r="A16" s="5">
        <f t="shared" si="0"/>
        <v>11</v>
      </c>
      <c r="B16" s="183" t="s">
        <v>116</v>
      </c>
      <c r="C16" s="184" t="s">
        <v>116</v>
      </c>
      <c r="D16" s="185" t="s">
        <v>126</v>
      </c>
      <c r="E16" s="186" t="s">
        <v>126</v>
      </c>
      <c r="F16" s="187" t="s">
        <v>126</v>
      </c>
      <c r="G16" s="102" t="s">
        <v>97</v>
      </c>
      <c r="H16" s="103">
        <v>50</v>
      </c>
      <c r="I16" s="104">
        <v>46</v>
      </c>
      <c r="J16" s="104">
        <f t="shared" si="2"/>
        <v>2300</v>
      </c>
      <c r="K16" s="105" t="s">
        <v>130</v>
      </c>
      <c r="L16" s="106"/>
      <c r="S16" s="100"/>
    </row>
    <row r="17" spans="1:22" ht="20.25" customHeight="1">
      <c r="A17" s="5">
        <f t="shared" si="0"/>
        <v>12</v>
      </c>
      <c r="B17" s="183" t="s">
        <v>116</v>
      </c>
      <c r="C17" s="184" t="s">
        <v>116</v>
      </c>
      <c r="D17" s="185" t="s">
        <v>127</v>
      </c>
      <c r="E17" s="186" t="s">
        <v>127</v>
      </c>
      <c r="F17" s="187" t="s">
        <v>127</v>
      </c>
      <c r="G17" s="102" t="s">
        <v>97</v>
      </c>
      <c r="H17" s="103">
        <v>100</v>
      </c>
      <c r="I17" s="104">
        <v>46</v>
      </c>
      <c r="J17" s="104">
        <f t="shared" si="2"/>
        <v>4600</v>
      </c>
      <c r="K17" s="105" t="s">
        <v>130</v>
      </c>
      <c r="L17" s="106"/>
      <c r="S17" s="100"/>
    </row>
    <row r="18" spans="1:22" ht="20.25" customHeight="1">
      <c r="A18" s="5">
        <f t="shared" si="0"/>
        <v>13</v>
      </c>
      <c r="B18" s="183" t="s">
        <v>117</v>
      </c>
      <c r="C18" s="184" t="s">
        <v>117</v>
      </c>
      <c r="D18" s="136"/>
      <c r="E18" s="137"/>
      <c r="F18" s="138"/>
      <c r="G18" s="102" t="s">
        <v>97</v>
      </c>
      <c r="H18" s="103">
        <v>24</v>
      </c>
      <c r="I18" s="104">
        <v>80</v>
      </c>
      <c r="J18" s="104">
        <f t="shared" si="2"/>
        <v>1920</v>
      </c>
      <c r="K18" s="105" t="s">
        <v>130</v>
      </c>
      <c r="L18" s="106"/>
      <c r="S18" s="100"/>
    </row>
    <row r="19" spans="1:22" ht="20.25" customHeight="1">
      <c r="A19" s="139" t="s">
        <v>8</v>
      </c>
      <c r="B19" s="140"/>
      <c r="C19" s="108"/>
      <c r="D19" s="109"/>
      <c r="E19" s="109"/>
      <c r="F19" s="109"/>
      <c r="G19" s="110"/>
      <c r="H19" s="110"/>
      <c r="I19" s="111" t="s">
        <v>9</v>
      </c>
      <c r="J19" s="104">
        <f>SUM(J6:J18)</f>
        <v>34983</v>
      </c>
      <c r="K19" s="104"/>
      <c r="L19" s="112"/>
    </row>
    <row r="20" spans="1:22" ht="20.100000000000001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  <c r="L20" s="9"/>
    </row>
    <row r="21" spans="1:22" ht="18" customHeight="1">
      <c r="A21" s="10"/>
      <c r="J21" s="1"/>
      <c r="K21" s="1"/>
      <c r="O21" s="11"/>
      <c r="P21" s="11"/>
      <c r="Q21" s="11"/>
      <c r="S21" s="141" t="s">
        <v>11</v>
      </c>
      <c r="T21" s="12" t="s">
        <v>12</v>
      </c>
      <c r="U21" s="13" t="s">
        <v>13</v>
      </c>
      <c r="V21" s="12" t="s">
        <v>14</v>
      </c>
    </row>
    <row r="22" spans="1:22" ht="50.1" customHeight="1">
      <c r="S22" s="142"/>
      <c r="T22" s="14"/>
      <c r="U22" s="15"/>
      <c r="V22" s="14"/>
    </row>
    <row r="23" spans="1:22" ht="17.100000000000001" customHeight="1">
      <c r="O23" s="11"/>
      <c r="P23" s="11"/>
      <c r="Q23" s="11"/>
      <c r="S23" s="143"/>
      <c r="T23" s="15" t="s">
        <v>15</v>
      </c>
      <c r="U23" s="15" t="s">
        <v>15</v>
      </c>
      <c r="V23" s="16" t="s">
        <v>15</v>
      </c>
    </row>
    <row r="24" spans="1:22" ht="15" customHeight="1">
      <c r="O24" s="17" t="s">
        <v>16</v>
      </c>
      <c r="P24" s="144" t="s">
        <v>17</v>
      </c>
      <c r="Q24" s="144" t="s">
        <v>18</v>
      </c>
    </row>
    <row r="25" spans="1:22" ht="18" customHeight="1">
      <c r="O25" s="18" t="s">
        <v>19</v>
      </c>
      <c r="P25" s="145"/>
      <c r="Q25" s="145"/>
      <c r="S25" s="141" t="s">
        <v>20</v>
      </c>
      <c r="T25" s="12" t="s">
        <v>12</v>
      </c>
      <c r="U25" s="12" t="s">
        <v>13</v>
      </c>
      <c r="V25" s="12" t="s">
        <v>14</v>
      </c>
    </row>
    <row r="26" spans="1:22" ht="50.1" customHeight="1">
      <c r="O26" s="14"/>
      <c r="P26" s="14"/>
      <c r="Q26" s="14"/>
      <c r="S26" s="142"/>
      <c r="T26" s="19"/>
      <c r="U26" s="19"/>
      <c r="V26" s="14"/>
    </row>
    <row r="27" spans="1:22" ht="17.100000000000001" customHeight="1">
      <c r="O27" s="16" t="s">
        <v>15</v>
      </c>
      <c r="P27" s="16" t="s">
        <v>15</v>
      </c>
      <c r="Q27" s="16" t="s">
        <v>15</v>
      </c>
      <c r="S27" s="143"/>
      <c r="T27" s="15" t="s">
        <v>15</v>
      </c>
      <c r="U27" s="15" t="s">
        <v>15</v>
      </c>
      <c r="V27" s="16" t="s">
        <v>15</v>
      </c>
    </row>
    <row r="28" spans="1:22" ht="9.9499999999999993" customHeight="1"/>
    <row r="29" spans="1:22" ht="19.899999999999999" customHeight="1"/>
    <row r="30" spans="1:22" ht="17.45" customHeight="1">
      <c r="O30" s="146"/>
      <c r="P30" s="146"/>
      <c r="Q30" s="146"/>
    </row>
    <row r="31" spans="1:22" ht="19.899999999999999" customHeight="1">
      <c r="O31" s="146"/>
      <c r="P31" s="146"/>
      <c r="Q31" s="146"/>
    </row>
    <row r="32" spans="1:22" ht="14.25">
      <c r="O32" s="11"/>
      <c r="P32" s="11"/>
      <c r="Q32" s="11"/>
    </row>
    <row r="33" spans="15:20" ht="65.099999999999994" customHeight="1"/>
    <row r="34" spans="15:20" ht="14.25">
      <c r="O34" s="11"/>
      <c r="P34" s="11"/>
      <c r="Q34" s="11"/>
    </row>
    <row r="35" spans="15:20" ht="19.899999999999999" customHeight="1"/>
    <row r="36" spans="15:20" ht="14.25"/>
    <row r="37" spans="15:20" ht="19.899999999999999" customHeight="1"/>
    <row r="38" spans="15:20" ht="14.25"/>
    <row r="39" spans="15:20" ht="19.899999999999999" customHeight="1"/>
    <row r="40" spans="15:20" ht="19.899999999999999" customHeight="1"/>
    <row r="41" spans="15:20" ht="64.900000000000006" customHeight="1"/>
    <row r="43" spans="15:20" ht="19.899999999999999" customHeight="1">
      <c r="T43" s="144" t="s">
        <v>21</v>
      </c>
    </row>
    <row r="44" spans="15:20" ht="19.899999999999999" customHeight="1">
      <c r="T44" s="145"/>
    </row>
    <row r="45" spans="15:20" ht="64.900000000000006" customHeight="1">
      <c r="T45" s="14"/>
    </row>
    <row r="49" spans="15:22" ht="21" customHeight="1">
      <c r="O49" s="144" t="s">
        <v>21</v>
      </c>
      <c r="P49" s="144" t="s">
        <v>21</v>
      </c>
      <c r="Q49" s="144" t="s">
        <v>21</v>
      </c>
      <c r="T49" s="144" t="s">
        <v>22</v>
      </c>
      <c r="U49" s="144" t="s">
        <v>13</v>
      </c>
      <c r="V49" s="144" t="s">
        <v>21</v>
      </c>
    </row>
    <row r="50" spans="15:22" ht="21" customHeight="1">
      <c r="O50" s="145"/>
      <c r="P50" s="145"/>
      <c r="Q50" s="145"/>
      <c r="T50" s="143"/>
      <c r="U50" s="143"/>
      <c r="V50" s="145"/>
    </row>
    <row r="51" spans="15:22" ht="64.900000000000006" customHeight="1">
      <c r="O51" s="14"/>
      <c r="P51" s="14"/>
      <c r="Q51" s="14"/>
      <c r="T51" s="14"/>
      <c r="U51" s="15"/>
      <c r="V51" s="14"/>
    </row>
    <row r="52" spans="15:22" ht="7.15" customHeight="1"/>
    <row r="53" spans="15:22" ht="21" customHeight="1">
      <c r="O53" s="144" t="s">
        <v>21</v>
      </c>
      <c r="P53" s="144" t="s">
        <v>21</v>
      </c>
      <c r="Q53" s="144" t="s">
        <v>21</v>
      </c>
      <c r="T53" s="144" t="s">
        <v>13</v>
      </c>
      <c r="U53" s="144" t="s">
        <v>22</v>
      </c>
      <c r="V53" s="144" t="s">
        <v>21</v>
      </c>
    </row>
    <row r="54" spans="15:22" ht="21" customHeight="1">
      <c r="O54" s="145"/>
      <c r="P54" s="145"/>
      <c r="Q54" s="145"/>
      <c r="T54" s="143"/>
      <c r="U54" s="143"/>
      <c r="V54" s="145"/>
    </row>
    <row r="55" spans="15:22" ht="64.900000000000006" customHeight="1">
      <c r="O55" s="14"/>
      <c r="P55" s="14"/>
      <c r="Q55" s="14"/>
      <c r="T55" s="15"/>
      <c r="U55" s="14"/>
      <c r="V55" s="14"/>
    </row>
  </sheetData>
  <mergeCells count="59">
    <mergeCell ref="B12:C12"/>
    <mergeCell ref="B13:C13"/>
    <mergeCell ref="B14:C14"/>
    <mergeCell ref="D12:F12"/>
    <mergeCell ref="D13:F13"/>
    <mergeCell ref="D14:F14"/>
    <mergeCell ref="U49:U50"/>
    <mergeCell ref="V49:V50"/>
    <mergeCell ref="O53:O54"/>
    <mergeCell ref="P53:P54"/>
    <mergeCell ref="Q53:Q54"/>
    <mergeCell ref="T53:T54"/>
    <mergeCell ref="U53:U54"/>
    <mergeCell ref="V53:V54"/>
    <mergeCell ref="O30:O31"/>
    <mergeCell ref="P30:P31"/>
    <mergeCell ref="Q30:Q31"/>
    <mergeCell ref="T43:T44"/>
    <mergeCell ref="O49:O50"/>
    <mergeCell ref="P49:P50"/>
    <mergeCell ref="Q49:Q50"/>
    <mergeCell ref="T49:T50"/>
    <mergeCell ref="B18:C18"/>
    <mergeCell ref="D18:F18"/>
    <mergeCell ref="A19:B19"/>
    <mergeCell ref="S21:S23"/>
    <mergeCell ref="P24:P25"/>
    <mergeCell ref="Q24:Q25"/>
    <mergeCell ref="S25:S27"/>
    <mergeCell ref="B15:C15"/>
    <mergeCell ref="D15:F15"/>
    <mergeCell ref="B16:C16"/>
    <mergeCell ref="D16:F16"/>
    <mergeCell ref="B17:C17"/>
    <mergeCell ref="D17:F17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8"/>
  <sheetViews>
    <sheetView showGridLines="0" view="pageBreakPreview" zoomScale="70" zoomScaleNormal="95" zoomScaleSheetLayoutView="70" workbookViewId="0">
      <pane ySplit="5" topLeftCell="A10" activePane="bottomLeft" state="frozen"/>
      <selection activeCell="D30" sqref="D30"/>
      <selection pane="bottomLeft" activeCell="I6" sqref="I6:J1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4" t="s">
        <v>96</v>
      </c>
      <c r="B1" s="94"/>
      <c r="C1" s="94"/>
      <c r="D1" s="94"/>
      <c r="E1" s="94"/>
      <c r="F1" s="94"/>
      <c r="G1" s="1"/>
      <c r="J1" s="117" t="str">
        <f>+MRS!J1</f>
        <v>DAESHIN PLANT</v>
      </c>
      <c r="K1" s="119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20" t="str">
        <f>+MRS!J2</f>
        <v>Subcontract name (SAC2-SC-IK-SMP-01)</v>
      </c>
      <c r="K2" s="122"/>
    </row>
    <row r="3" spans="1:18" ht="24.95" customHeight="1">
      <c r="A3" s="3" t="str">
        <f>+MRS!A3</f>
        <v xml:space="preserve">  MRS No : SAC2-DS-MRS-0103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45885</v>
      </c>
    </row>
    <row r="4" spans="1:18" ht="15.95" customHeight="1">
      <c r="A4" s="147" t="s">
        <v>2</v>
      </c>
      <c r="B4" s="148" t="s">
        <v>23</v>
      </c>
      <c r="C4" s="148"/>
      <c r="D4" s="147" t="s">
        <v>4</v>
      </c>
      <c r="E4" s="147"/>
      <c r="F4" s="147"/>
      <c r="G4" s="148" t="s">
        <v>5</v>
      </c>
      <c r="H4" s="147" t="s">
        <v>91</v>
      </c>
      <c r="I4" s="147" t="s">
        <v>24</v>
      </c>
      <c r="J4" s="147" t="s">
        <v>25</v>
      </c>
      <c r="K4" s="148" t="s">
        <v>7</v>
      </c>
    </row>
    <row r="5" spans="1:18" ht="15.95" customHeight="1">
      <c r="A5" s="147"/>
      <c r="B5" s="148"/>
      <c r="C5" s="148"/>
      <c r="D5" s="147"/>
      <c r="E5" s="147"/>
      <c r="F5" s="147"/>
      <c r="G5" s="148"/>
      <c r="H5" s="147"/>
      <c r="I5" s="147"/>
      <c r="J5" s="147"/>
      <c r="K5" s="148"/>
    </row>
    <row r="6" spans="1:18" ht="74.25" customHeight="1">
      <c r="A6" s="21">
        <f>+MRS!A6</f>
        <v>1</v>
      </c>
      <c r="B6" s="149" t="str">
        <f>MRS!B6</f>
        <v>White Envelope</v>
      </c>
      <c r="C6" s="150"/>
      <c r="D6" s="151" t="str">
        <f>MRS!D6</f>
        <v>80GSM 115*225MM 500/BOX</v>
      </c>
      <c r="E6" s="152"/>
      <c r="F6" s="153"/>
      <c r="G6" s="97" t="str">
        <f>MRS!G6</f>
        <v>BOX</v>
      </c>
      <c r="H6" s="97">
        <f>MRS!H6</f>
        <v>1</v>
      </c>
      <c r="I6" s="98">
        <f>MRS!I6</f>
        <v>50</v>
      </c>
      <c r="J6" s="98">
        <f>MRS!J6</f>
        <v>50</v>
      </c>
      <c r="K6" s="99"/>
      <c r="O6" s="100"/>
      <c r="P6" s="100"/>
      <c r="R6" s="100"/>
    </row>
    <row r="7" spans="1:18" ht="74.25" customHeight="1">
      <c r="A7" s="21">
        <f>+MRS!A7</f>
        <v>2</v>
      </c>
      <c r="B7" s="149" t="str">
        <f>MRS!B7</f>
        <v>Mop</v>
      </c>
      <c r="C7" s="150"/>
      <c r="D7" s="151">
        <f>MRS!D7</f>
        <v>0</v>
      </c>
      <c r="E7" s="152"/>
      <c r="F7" s="153"/>
      <c r="G7" s="97" t="str">
        <f>MRS!G7</f>
        <v>EA</v>
      </c>
      <c r="H7" s="97">
        <f>MRS!H7</f>
        <v>1</v>
      </c>
      <c r="I7" s="98">
        <f>MRS!I7</f>
        <v>35</v>
      </c>
      <c r="J7" s="98">
        <f>MRS!J7</f>
        <v>35</v>
      </c>
      <c r="K7" s="99"/>
      <c r="O7" s="100"/>
      <c r="P7" s="100"/>
      <c r="R7" s="100"/>
    </row>
    <row r="8" spans="1:18" ht="74.25" customHeight="1">
      <c r="A8" s="21">
        <f>+MRS!A8</f>
        <v>3</v>
      </c>
      <c r="B8" s="149" t="str">
        <f>MRS!B8</f>
        <v>Dust Bin</v>
      </c>
      <c r="C8" s="150"/>
      <c r="D8" s="151" t="str">
        <f>MRS!D8</f>
        <v>50LTR</v>
      </c>
      <c r="E8" s="152"/>
      <c r="F8" s="153"/>
      <c r="G8" s="97" t="str">
        <f>MRS!G8</f>
        <v>EA</v>
      </c>
      <c r="H8" s="97">
        <f>MRS!H8</f>
        <v>1</v>
      </c>
      <c r="I8" s="98">
        <f>MRS!I8</f>
        <v>67</v>
      </c>
      <c r="J8" s="98">
        <f>MRS!J8</f>
        <v>67</v>
      </c>
      <c r="K8" s="99"/>
      <c r="O8" s="100"/>
      <c r="P8" s="100"/>
      <c r="R8" s="100"/>
    </row>
    <row r="9" spans="1:18" ht="74.25" customHeight="1">
      <c r="A9" s="21">
        <f>+MRS!A9</f>
        <v>4</v>
      </c>
      <c r="B9" s="149" t="str">
        <f>MRS!B9</f>
        <v>Safety Shoes</v>
      </c>
      <c r="C9" s="150"/>
      <c r="D9" s="151" t="str">
        <f>MRS!D9</f>
        <v>SIZE 42-50/44-20</v>
      </c>
      <c r="E9" s="152"/>
      <c r="F9" s="153"/>
      <c r="G9" s="97" t="str">
        <f>MRS!G9</f>
        <v>PAIR</v>
      </c>
      <c r="H9" s="97">
        <f>MRS!H9</f>
        <v>210</v>
      </c>
      <c r="I9" s="98">
        <f>MRS!I9</f>
        <v>63.5</v>
      </c>
      <c r="J9" s="98">
        <f>MRS!J9</f>
        <v>13335</v>
      </c>
      <c r="K9" s="99"/>
      <c r="O9" s="100"/>
      <c r="P9" s="100"/>
      <c r="R9" s="100"/>
    </row>
    <row r="10" spans="1:18" ht="74.25" customHeight="1">
      <c r="A10" s="21">
        <f>+MRS!A10</f>
        <v>5</v>
      </c>
      <c r="B10" s="149" t="str">
        <f>MRS!B10</f>
        <v>Fire Watcher Vest</v>
      </c>
      <c r="C10" s="150"/>
      <c r="D10" s="151" t="str">
        <f>MRS!D10</f>
        <v>RED</v>
      </c>
      <c r="E10" s="152"/>
      <c r="F10" s="153"/>
      <c r="G10" s="97" t="str">
        <f>MRS!G10</f>
        <v>EA</v>
      </c>
      <c r="H10" s="97">
        <f>MRS!H10</f>
        <v>100</v>
      </c>
      <c r="I10" s="98">
        <f>MRS!I10</f>
        <v>12.5</v>
      </c>
      <c r="J10" s="98">
        <f>MRS!J10</f>
        <v>1250</v>
      </c>
      <c r="K10" s="99"/>
      <c r="O10" s="100"/>
      <c r="P10" s="100"/>
      <c r="R10" s="100"/>
    </row>
    <row r="11" spans="1:18" ht="74.25" customHeight="1">
      <c r="A11" s="21">
        <f>+MRS!A11</f>
        <v>6</v>
      </c>
      <c r="B11" s="149" t="str">
        <f>MRS!B11</f>
        <v>Safety Vest With Logo</v>
      </c>
      <c r="C11" s="150"/>
      <c r="D11" s="151" t="str">
        <f>MRS!D11</f>
        <v>M-100/l-100/XL-100</v>
      </c>
      <c r="E11" s="152"/>
      <c r="F11" s="153"/>
      <c r="G11" s="97" t="str">
        <f>MRS!G11</f>
        <v>EA</v>
      </c>
      <c r="H11" s="97">
        <f>MRS!H11</f>
        <v>300</v>
      </c>
      <c r="I11" s="98">
        <f>MRS!I11</f>
        <v>20.5</v>
      </c>
      <c r="J11" s="98">
        <f>MRS!J11</f>
        <v>6150</v>
      </c>
      <c r="K11" s="99"/>
      <c r="O11" s="100"/>
      <c r="P11" s="100"/>
      <c r="R11" s="100"/>
    </row>
    <row r="12" spans="1:18" ht="74.25" customHeight="1">
      <c r="A12" s="21">
        <f>+MRS!A12</f>
        <v>7</v>
      </c>
      <c r="B12" s="149" t="str">
        <f>MRS!B12</f>
        <v>Energy Drink</v>
      </c>
      <c r="C12" s="150"/>
      <c r="D12" s="151" t="str">
        <f>MRS!D12</f>
        <v>GATORADE</v>
      </c>
      <c r="E12" s="152"/>
      <c r="F12" s="153"/>
      <c r="G12" s="97" t="str">
        <f>MRS!G12</f>
        <v>EA</v>
      </c>
      <c r="H12" s="97">
        <f>MRS!H12</f>
        <v>240</v>
      </c>
      <c r="I12" s="98">
        <f>MRS!I12</f>
        <v>5.9</v>
      </c>
      <c r="J12" s="98">
        <f>MRS!J12</f>
        <v>1416</v>
      </c>
      <c r="K12" s="99"/>
      <c r="O12" s="100"/>
      <c r="P12" s="100"/>
      <c r="R12" s="100"/>
    </row>
    <row r="13" spans="1:18" ht="74.25" customHeight="1">
      <c r="A13" s="21">
        <f>+MRS!A13</f>
        <v>8</v>
      </c>
      <c r="B13" s="149" t="str">
        <f>MRS!B13</f>
        <v>Stamp</v>
      </c>
      <c r="C13" s="150"/>
      <c r="D13" s="151">
        <f>MRS!D13</f>
        <v>0</v>
      </c>
      <c r="E13" s="152"/>
      <c r="F13" s="153"/>
      <c r="G13" s="97" t="str">
        <f>MRS!G13</f>
        <v>EA</v>
      </c>
      <c r="H13" s="97">
        <f>MRS!H13</f>
        <v>2</v>
      </c>
      <c r="I13" s="98">
        <f>MRS!I13</f>
        <v>150</v>
      </c>
      <c r="J13" s="98">
        <f>MRS!J13</f>
        <v>300</v>
      </c>
      <c r="K13" s="99"/>
      <c r="O13" s="100"/>
      <c r="P13" s="100"/>
      <c r="R13" s="100"/>
    </row>
    <row r="14" spans="1:18" ht="74.25" customHeight="1">
      <c r="A14" s="21">
        <f>+MRS!A14</f>
        <v>9</v>
      </c>
      <c r="B14" s="149" t="str">
        <f>MRS!B14</f>
        <v>Water Bottle</v>
      </c>
      <c r="C14" s="150"/>
      <c r="D14" s="151" t="str">
        <f>MRS!D14</f>
        <v>1050ML HI-TEX</v>
      </c>
      <c r="E14" s="152"/>
      <c r="F14" s="153"/>
      <c r="G14" s="97" t="str">
        <f>MRS!G14</f>
        <v>EA</v>
      </c>
      <c r="H14" s="97">
        <f>MRS!H14</f>
        <v>50</v>
      </c>
      <c r="I14" s="98">
        <f>MRS!I14</f>
        <v>11.2</v>
      </c>
      <c r="J14" s="98">
        <f>MRS!J14</f>
        <v>560</v>
      </c>
      <c r="K14" s="99"/>
      <c r="O14" s="100"/>
      <c r="P14" s="100"/>
      <c r="R14" s="100"/>
    </row>
    <row r="15" spans="1:18" ht="74.25" customHeight="1">
      <c r="A15" s="21">
        <f>+MRS!A15</f>
        <v>10</v>
      </c>
      <c r="B15" s="149" t="str">
        <f>MRS!B15</f>
        <v>Safety Googles</v>
      </c>
      <c r="C15" s="150"/>
      <c r="D15" s="151" t="str">
        <f>MRS!D15</f>
        <v>CLEAR-500/DARK-500</v>
      </c>
      <c r="E15" s="152"/>
      <c r="F15" s="153"/>
      <c r="G15" s="97" t="str">
        <f>MRS!G15</f>
        <v>EA</v>
      </c>
      <c r="H15" s="97">
        <f>MRS!H15</f>
        <v>1000</v>
      </c>
      <c r="I15" s="98">
        <f>MRS!I15</f>
        <v>3</v>
      </c>
      <c r="J15" s="98">
        <f>MRS!J15</f>
        <v>3000</v>
      </c>
      <c r="K15" s="99"/>
      <c r="O15" s="100"/>
      <c r="P15" s="100"/>
      <c r="R15" s="100"/>
    </row>
    <row r="16" spans="1:18" ht="74.25" customHeight="1">
      <c r="A16" s="21">
        <f>+MRS!A16</f>
        <v>11</v>
      </c>
      <c r="B16" s="149" t="str">
        <f>MRS!B16</f>
        <v>Safety Helmet</v>
      </c>
      <c r="C16" s="150"/>
      <c r="D16" s="151" t="str">
        <f>MRS!D16</f>
        <v>3M,WHITE</v>
      </c>
      <c r="E16" s="152"/>
      <c r="F16" s="153"/>
      <c r="G16" s="97" t="str">
        <f>MRS!G16</f>
        <v>EA</v>
      </c>
      <c r="H16" s="97">
        <f>MRS!H16</f>
        <v>50</v>
      </c>
      <c r="I16" s="98">
        <f>MRS!I16</f>
        <v>46</v>
      </c>
      <c r="J16" s="98">
        <f>MRS!J16</f>
        <v>2300</v>
      </c>
      <c r="K16" s="99"/>
      <c r="O16" s="100"/>
      <c r="P16" s="100"/>
      <c r="R16" s="100"/>
    </row>
    <row r="17" spans="1:18" ht="74.25" customHeight="1">
      <c r="A17" s="21">
        <v>12</v>
      </c>
      <c r="B17" s="149" t="str">
        <f>MRS!B17</f>
        <v>Safety Helmet</v>
      </c>
      <c r="C17" s="150"/>
      <c r="D17" s="151" t="str">
        <f>MRS!D17</f>
        <v>3M,YELLOW</v>
      </c>
      <c r="E17" s="152"/>
      <c r="F17" s="153"/>
      <c r="G17" s="97" t="str">
        <f>MRS!G17</f>
        <v>EA</v>
      </c>
      <c r="H17" s="97">
        <f>MRS!H17</f>
        <v>100</v>
      </c>
      <c r="I17" s="98">
        <f>MRS!I17</f>
        <v>46</v>
      </c>
      <c r="J17" s="98">
        <f>MRS!J17</f>
        <v>4600</v>
      </c>
      <c r="K17" s="99"/>
      <c r="O17" s="100"/>
      <c r="P17" s="100"/>
      <c r="R17" s="100"/>
    </row>
    <row r="18" spans="1:18" ht="74.25" customHeight="1">
      <c r="A18" s="21">
        <v>13</v>
      </c>
      <c r="B18" s="149" t="str">
        <f>MRS!B18</f>
        <v>Folding Chair</v>
      </c>
      <c r="C18" s="150"/>
      <c r="D18" s="151">
        <f>MRS!D18</f>
        <v>0</v>
      </c>
      <c r="E18" s="152"/>
      <c r="F18" s="153"/>
      <c r="G18" s="97" t="str">
        <f>MRS!G18</f>
        <v>EA</v>
      </c>
      <c r="H18" s="97">
        <f>MRS!H18</f>
        <v>24</v>
      </c>
      <c r="I18" s="98">
        <f>MRS!I18</f>
        <v>80</v>
      </c>
      <c r="J18" s="98">
        <f>MRS!J18</f>
        <v>1920</v>
      </c>
      <c r="K18" s="99"/>
      <c r="O18" s="100"/>
      <c r="P18" s="100"/>
      <c r="R18" s="100"/>
    </row>
  </sheetData>
  <mergeCells count="36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1" sqref="K11:M1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141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140</v>
      </c>
      <c r="D9" s="38"/>
      <c r="E9" s="38"/>
    </row>
    <row r="10" spans="2:13" s="38" customFormat="1">
      <c r="B10" s="71"/>
      <c r="C10" s="38" t="s">
        <v>32</v>
      </c>
      <c r="D10" s="75">
        <v>2053026325</v>
      </c>
      <c r="J10" s="38" t="s">
        <v>33</v>
      </c>
      <c r="K10" s="155">
        <f>MRS!L3</f>
        <v>45885</v>
      </c>
      <c r="L10" s="156"/>
      <c r="M10" s="156"/>
    </row>
    <row r="11" spans="2:13" s="38" customFormat="1">
      <c r="B11" s="71"/>
      <c r="C11" s="74" t="s">
        <v>34</v>
      </c>
      <c r="D11" s="75" t="s">
        <v>99</v>
      </c>
      <c r="J11" s="38" t="s">
        <v>35</v>
      </c>
      <c r="K11" s="157" t="str">
        <f>SUBSTITUTE(SUBSTITUTE(+MRS!A3,"  MRS No : ",""),"-MRS","-PO")</f>
        <v>SAC2-DS-PO-0103</v>
      </c>
      <c r="L11" s="157"/>
      <c r="M11" s="157"/>
    </row>
    <row r="12" spans="2:13" s="38" customFormat="1">
      <c r="B12" s="71"/>
      <c r="C12" s="74" t="s">
        <v>36</v>
      </c>
      <c r="D12" s="38" t="s">
        <v>134</v>
      </c>
      <c r="J12" s="38" t="s">
        <v>37</v>
      </c>
    </row>
    <row r="13" spans="2:13" s="38" customFormat="1">
      <c r="B13" s="71"/>
      <c r="C13" s="76"/>
      <c r="D13" s="75" t="s">
        <v>135</v>
      </c>
      <c r="J13" s="38" t="s">
        <v>38</v>
      </c>
    </row>
    <row r="14" spans="2:13" s="38" customFormat="1">
      <c r="B14" s="71"/>
      <c r="C14" s="76" t="s">
        <v>100</v>
      </c>
      <c r="J14" s="38" t="s">
        <v>39</v>
      </c>
      <c r="K14" s="38" t="s">
        <v>133</v>
      </c>
    </row>
    <row r="15" spans="2:13" s="38" customFormat="1">
      <c r="B15" s="71"/>
      <c r="C15" s="76" t="s">
        <v>136</v>
      </c>
      <c r="J15" s="38" t="s">
        <v>40</v>
      </c>
      <c r="K15" s="77">
        <v>45882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58" t="s">
        <v>41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</row>
    <row r="19" spans="2:13" ht="12" customHeight="1"/>
    <row r="20" spans="2:13" s="31" customFormat="1" ht="12" customHeight="1">
      <c r="B20" s="159" t="s">
        <v>42</v>
      </c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</row>
    <row r="21" spans="2:13" s="31" customFormat="1" ht="12" customHeight="1">
      <c r="B21" s="159" t="s">
        <v>43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</row>
    <row r="22" spans="2:13" s="31" customFormat="1" ht="12" customHeight="1">
      <c r="B22" s="159" t="s">
        <v>44</v>
      </c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</row>
    <row r="23" spans="2:13" ht="6.95" customHeight="1"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</row>
    <row r="24" spans="2:13" ht="6.95" customHeight="1"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137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16">
        <f>'PO 2nd page'!G19</f>
        <v>34983</v>
      </c>
      <c r="G29" s="116"/>
      <c r="H29" s="116"/>
      <c r="M29" s="33"/>
    </row>
    <row r="30" spans="2:13" ht="15" customHeight="1">
      <c r="B30" s="32"/>
      <c r="C30" s="26" t="s">
        <v>50</v>
      </c>
      <c r="E30" s="26" t="s">
        <v>49</v>
      </c>
      <c r="F30" s="116">
        <f>'PO 2nd page'!G20</f>
        <v>5247.45</v>
      </c>
      <c r="G30" s="116"/>
      <c r="H30" s="116"/>
    </row>
    <row r="31" spans="2:13" ht="15" customHeight="1">
      <c r="B31" s="32"/>
      <c r="C31" s="26" t="s">
        <v>51</v>
      </c>
      <c r="D31" s="34"/>
      <c r="E31" s="26" t="s">
        <v>49</v>
      </c>
      <c r="F31" s="116">
        <f>'PO 2nd page'!G21</f>
        <v>40230.449999999997</v>
      </c>
      <c r="G31" s="116"/>
      <c r="H31" s="116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104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Muhammed Rafi</v>
      </c>
    </row>
    <row r="60" spans="1:16" ht="18" customHeight="1">
      <c r="B60" s="26" t="s">
        <v>71</v>
      </c>
      <c r="J60" s="26" t="s">
        <v>72</v>
      </c>
      <c r="K60" s="22" t="s">
        <v>138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139</v>
      </c>
      <c r="J62" s="162" t="str">
        <f>C9</f>
        <v>ATGC(Alrmooz Technical for General Contracting Est.)</v>
      </c>
      <c r="K62" s="162"/>
      <c r="L62" s="162"/>
      <c r="M62" s="162"/>
    </row>
    <row r="63" spans="1:16" ht="27.95" customHeight="1">
      <c r="A63" s="154" t="s">
        <v>75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SAC2-DS-PO-0103</v>
      </c>
      <c r="C2" s="165" t="s">
        <v>77</v>
      </c>
      <c r="D2" s="165"/>
      <c r="E2" s="165"/>
      <c r="F2" s="165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45885</v>
      </c>
      <c r="C3" s="50"/>
      <c r="D3" s="51"/>
      <c r="E3" s="166" t="s">
        <v>79</v>
      </c>
      <c r="F3" s="166"/>
      <c r="G3" s="166"/>
      <c r="H3" s="166"/>
      <c r="I3" s="52"/>
    </row>
    <row r="4" spans="1:13" s="54" customFormat="1" ht="28.5" customHeight="1" thickTop="1">
      <c r="A4" s="167" t="s">
        <v>80</v>
      </c>
      <c r="B4" s="169" t="s">
        <v>81</v>
      </c>
      <c r="C4" s="170"/>
      <c r="D4" s="173" t="s">
        <v>82</v>
      </c>
      <c r="E4" s="173" t="s">
        <v>83</v>
      </c>
      <c r="F4" s="175" t="str">
        <f>'PO 1st page'!C9</f>
        <v>ATGC(Alrmooz Technical for General Contracting Est.)</v>
      </c>
      <c r="G4" s="176"/>
      <c r="H4" s="177" t="s">
        <v>84</v>
      </c>
      <c r="K4" s="55"/>
      <c r="L4" s="55"/>
      <c r="M4" s="55"/>
    </row>
    <row r="5" spans="1:13" s="54" customFormat="1" ht="21.95" customHeight="1">
      <c r="A5" s="168"/>
      <c r="B5" s="171"/>
      <c r="C5" s="172"/>
      <c r="D5" s="174"/>
      <c r="E5" s="174"/>
      <c r="F5" s="56" t="s">
        <v>85</v>
      </c>
      <c r="G5" s="56" t="s">
        <v>51</v>
      </c>
      <c r="H5" s="178"/>
      <c r="K5" s="55"/>
      <c r="L5" s="55"/>
      <c r="M5" s="55"/>
    </row>
    <row r="6" spans="1:13" s="54" customFormat="1" ht="32.1" customHeight="1">
      <c r="A6" s="84">
        <f t="shared" ref="A6:A18" si="0">ROW(A1)</f>
        <v>1</v>
      </c>
      <c r="B6" s="163" t="str">
        <f>+'MRS LIST'!B6</f>
        <v>White Envelope</v>
      </c>
      <c r="C6" s="164"/>
      <c r="D6" s="85" t="str">
        <f>+'MRS LIST'!G6</f>
        <v>BOX</v>
      </c>
      <c r="E6" s="86">
        <f>+'MRS LIST'!H6</f>
        <v>1</v>
      </c>
      <c r="F6" s="87">
        <f>+'MRS LIST'!I6</f>
        <v>50</v>
      </c>
      <c r="G6" s="88">
        <f>+'MRS LIST'!J6</f>
        <v>50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63" t="str">
        <f>+'MRS LIST'!B7</f>
        <v>Mop</v>
      </c>
      <c r="C7" s="164"/>
      <c r="D7" s="85" t="str">
        <f>+'MRS LIST'!G7</f>
        <v>EA</v>
      </c>
      <c r="E7" s="86">
        <f>+'MRS LIST'!H7</f>
        <v>1</v>
      </c>
      <c r="F7" s="87">
        <f>+'MRS LIST'!I7</f>
        <v>35</v>
      </c>
      <c r="G7" s="88">
        <f>+'MRS LIST'!J7</f>
        <v>35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63" t="str">
        <f>+'MRS LIST'!B8&amp;" "&amp;MRS!D8</f>
        <v>Dust Bin 50LTR</v>
      </c>
      <c r="C8" s="164"/>
      <c r="D8" s="85" t="str">
        <f>+'MRS LIST'!G8</f>
        <v>EA</v>
      </c>
      <c r="E8" s="86">
        <f>+'MRS LIST'!H8</f>
        <v>1</v>
      </c>
      <c r="F8" s="87">
        <f>+'MRS LIST'!I8</f>
        <v>67</v>
      </c>
      <c r="G8" s="88">
        <f>+'MRS LIST'!J8</f>
        <v>67</v>
      </c>
      <c r="H8" s="93"/>
      <c r="K8" s="55"/>
      <c r="L8" s="55"/>
      <c r="M8" s="55"/>
    </row>
    <row r="9" spans="1:13" s="54" customFormat="1" ht="32.1" customHeight="1">
      <c r="A9" s="92">
        <f t="shared" si="0"/>
        <v>4</v>
      </c>
      <c r="B9" s="163" t="str">
        <f>+'MRS LIST'!B9&amp;" "&amp;MRS!D9</f>
        <v>Safety Shoes SIZE 42-50/44-20</v>
      </c>
      <c r="C9" s="164"/>
      <c r="D9" s="85" t="str">
        <f>+'MRS LIST'!G9</f>
        <v>PAIR</v>
      </c>
      <c r="E9" s="86">
        <f>+'MRS LIST'!H9</f>
        <v>210</v>
      </c>
      <c r="F9" s="87">
        <f>+'MRS LIST'!I9</f>
        <v>63.5</v>
      </c>
      <c r="G9" s="88">
        <f>+'MRS LIST'!J9</f>
        <v>13335</v>
      </c>
      <c r="H9" s="93"/>
    </row>
    <row r="10" spans="1:13" s="54" customFormat="1" ht="32.1" customHeight="1">
      <c r="A10" s="92">
        <f t="shared" si="0"/>
        <v>5</v>
      </c>
      <c r="B10" s="163" t="str">
        <f>+'MRS LIST'!B10&amp;" "&amp;MRS!D10</f>
        <v>Fire Watcher Vest RED</v>
      </c>
      <c r="C10" s="164"/>
      <c r="D10" s="85" t="str">
        <f>+'MRS LIST'!G10</f>
        <v>EA</v>
      </c>
      <c r="E10" s="86">
        <f>+'MRS LIST'!H10</f>
        <v>100</v>
      </c>
      <c r="F10" s="87">
        <f>+'MRS LIST'!I10</f>
        <v>12.5</v>
      </c>
      <c r="G10" s="88">
        <f>+'MRS LIST'!J10</f>
        <v>1250</v>
      </c>
      <c r="H10" s="93"/>
    </row>
    <row r="11" spans="1:13" s="54" customFormat="1" ht="32.1" customHeight="1">
      <c r="A11" s="92">
        <f t="shared" si="0"/>
        <v>6</v>
      </c>
      <c r="B11" s="163" t="str">
        <f>+'MRS LIST'!B11&amp;" "&amp;MRS!D11</f>
        <v>Safety Vest With Logo M-100/l-100/XL-100</v>
      </c>
      <c r="C11" s="164"/>
      <c r="D11" s="85" t="str">
        <f>+'MRS LIST'!G11</f>
        <v>EA</v>
      </c>
      <c r="E11" s="86">
        <f>+'MRS LIST'!H11</f>
        <v>300</v>
      </c>
      <c r="F11" s="87">
        <f>+'MRS LIST'!I11</f>
        <v>20.5</v>
      </c>
      <c r="G11" s="88">
        <f>+'MRS LIST'!J11</f>
        <v>6150</v>
      </c>
      <c r="H11" s="93"/>
    </row>
    <row r="12" spans="1:13" s="54" customFormat="1" ht="32.1" customHeight="1">
      <c r="A12" s="92">
        <f t="shared" si="0"/>
        <v>7</v>
      </c>
      <c r="B12" s="163" t="str">
        <f>+'MRS LIST'!B12&amp;" "&amp;MRS!D12</f>
        <v>Energy Drink GATORADE</v>
      </c>
      <c r="C12" s="164"/>
      <c r="D12" s="85" t="str">
        <f>+'MRS LIST'!G12</f>
        <v>EA</v>
      </c>
      <c r="E12" s="86">
        <f>+'MRS LIST'!H12</f>
        <v>240</v>
      </c>
      <c r="F12" s="87">
        <f>+'MRS LIST'!I12</f>
        <v>5.9</v>
      </c>
      <c r="G12" s="88">
        <f>+'MRS LIST'!J12</f>
        <v>1416</v>
      </c>
      <c r="H12" s="93"/>
    </row>
    <row r="13" spans="1:13" s="54" customFormat="1" ht="32.1" customHeight="1">
      <c r="A13" s="92">
        <f>ROW(A7)</f>
        <v>7</v>
      </c>
      <c r="B13" s="163" t="str">
        <f>+'MRS LIST'!B13&amp;" "&amp;MRS!D13</f>
        <v xml:space="preserve">Stamp </v>
      </c>
      <c r="C13" s="164"/>
      <c r="D13" s="85" t="str">
        <f>+'MRS LIST'!G13</f>
        <v>EA</v>
      </c>
      <c r="E13" s="86">
        <f>+'MRS LIST'!H13</f>
        <v>2</v>
      </c>
      <c r="F13" s="87">
        <f>+'MRS LIST'!I13</f>
        <v>150</v>
      </c>
      <c r="G13" s="88">
        <f>+'MRS LIST'!J13</f>
        <v>300</v>
      </c>
      <c r="H13" s="93"/>
    </row>
    <row r="14" spans="1:13" s="54" customFormat="1" ht="32.1" customHeight="1">
      <c r="A14" s="92">
        <f>ROW(A8)</f>
        <v>8</v>
      </c>
      <c r="B14" s="163" t="str">
        <f>+'MRS LIST'!B14&amp;" "&amp;MRS!D14</f>
        <v>Water Bottle 1050ML HI-TEX</v>
      </c>
      <c r="C14" s="164"/>
      <c r="D14" s="85" t="str">
        <f>+'MRS LIST'!G14</f>
        <v>EA</v>
      </c>
      <c r="E14" s="86">
        <f>+'MRS LIST'!H14</f>
        <v>50</v>
      </c>
      <c r="F14" s="87">
        <f>+'MRS LIST'!I14</f>
        <v>11.2</v>
      </c>
      <c r="G14" s="88">
        <f>+'MRS LIST'!J14</f>
        <v>560</v>
      </c>
      <c r="H14" s="93"/>
    </row>
    <row r="15" spans="1:13" s="54" customFormat="1" ht="32.1" customHeight="1">
      <c r="A15" s="92">
        <f>ROW(A9)</f>
        <v>9</v>
      </c>
      <c r="B15" s="163" t="str">
        <f>+'MRS LIST'!B15&amp;" "&amp;MRS!D15</f>
        <v>Safety Googles CLEAR-500/DARK-500</v>
      </c>
      <c r="C15" s="164"/>
      <c r="D15" s="85" t="str">
        <f>+'MRS LIST'!G15</f>
        <v>EA</v>
      </c>
      <c r="E15" s="86">
        <f>+'MRS LIST'!H15</f>
        <v>1000</v>
      </c>
      <c r="F15" s="87">
        <f>+'MRS LIST'!I15</f>
        <v>3</v>
      </c>
      <c r="G15" s="88">
        <f>+'MRS LIST'!J15</f>
        <v>3000</v>
      </c>
      <c r="H15" s="93"/>
    </row>
    <row r="16" spans="1:13" s="54" customFormat="1" ht="32.1" customHeight="1">
      <c r="A16" s="92">
        <f>ROW(A10)</f>
        <v>10</v>
      </c>
      <c r="B16" s="163" t="str">
        <f>+'MRS LIST'!B16&amp;" "&amp;MRS!D16</f>
        <v>Safety Helmet 3M,WHITE</v>
      </c>
      <c r="C16" s="164"/>
      <c r="D16" s="85" t="str">
        <f>+'MRS LIST'!G16</f>
        <v>EA</v>
      </c>
      <c r="E16" s="86">
        <f>+'MRS LIST'!H16</f>
        <v>50</v>
      </c>
      <c r="F16" s="87">
        <f>+'MRS LIST'!I16</f>
        <v>46</v>
      </c>
      <c r="G16" s="88">
        <f>+'MRS LIST'!J16</f>
        <v>2300</v>
      </c>
      <c r="H16" s="93"/>
    </row>
    <row r="17" spans="1:13" s="54" customFormat="1" ht="32.1" customHeight="1">
      <c r="A17" s="92">
        <f>ROW(A11)</f>
        <v>11</v>
      </c>
      <c r="B17" s="163" t="str">
        <f>+'MRS LIST'!B17&amp;" "&amp;MRS!D17</f>
        <v>Safety Helmet 3M,YELLOW</v>
      </c>
      <c r="C17" s="164"/>
      <c r="D17" s="85" t="str">
        <f>+'MRS LIST'!G17</f>
        <v>EA</v>
      </c>
      <c r="E17" s="86">
        <f>+'MRS LIST'!H17</f>
        <v>100</v>
      </c>
      <c r="F17" s="87">
        <f>+'MRS LIST'!I17</f>
        <v>46</v>
      </c>
      <c r="G17" s="88">
        <f>+'MRS LIST'!J17</f>
        <v>4600</v>
      </c>
      <c r="H17" s="93"/>
    </row>
    <row r="18" spans="1:13" s="54" customFormat="1" ht="32.1" customHeight="1">
      <c r="A18" s="92">
        <f t="shared" si="0"/>
        <v>13</v>
      </c>
      <c r="B18" s="163" t="str">
        <f>+'MRS LIST'!B18&amp;" "&amp;MRS!D18</f>
        <v xml:space="preserve">Folding Chair </v>
      </c>
      <c r="C18" s="164"/>
      <c r="D18" s="85" t="str">
        <f>+'MRS LIST'!G18</f>
        <v>EA</v>
      </c>
      <c r="E18" s="86">
        <f>+'MRS LIST'!H18</f>
        <v>24</v>
      </c>
      <c r="F18" s="87">
        <f>+'MRS LIST'!I18</f>
        <v>80</v>
      </c>
      <c r="G18" s="88">
        <f>+'MRS LIST'!J18</f>
        <v>1920</v>
      </c>
      <c r="H18" s="93"/>
    </row>
    <row r="19" spans="1:13" s="54" customFormat="1" ht="23.1" customHeight="1">
      <c r="A19" s="179" t="s">
        <v>86</v>
      </c>
      <c r="B19" s="180"/>
      <c r="C19" s="180"/>
      <c r="D19" s="180"/>
      <c r="E19" s="180"/>
      <c r="F19" s="180"/>
      <c r="G19" s="57">
        <f>SUM(G6:G18)</f>
        <v>34983</v>
      </c>
      <c r="H19" s="58"/>
    </row>
    <row r="20" spans="1:13" s="54" customFormat="1" ht="23.1" customHeight="1">
      <c r="A20" s="179" t="s">
        <v>50</v>
      </c>
      <c r="B20" s="180"/>
      <c r="C20" s="180"/>
      <c r="D20" s="180"/>
      <c r="E20" s="180"/>
      <c r="F20" s="180"/>
      <c r="G20" s="57">
        <f>+G19*0.15</f>
        <v>5247.45</v>
      </c>
      <c r="H20" s="58"/>
    </row>
    <row r="21" spans="1:13" s="54" customFormat="1" ht="24.95" customHeight="1" thickBot="1">
      <c r="A21" s="181" t="s">
        <v>87</v>
      </c>
      <c r="B21" s="182"/>
      <c r="C21" s="182"/>
      <c r="D21" s="182"/>
      <c r="E21" s="182"/>
      <c r="F21" s="182"/>
      <c r="G21" s="59">
        <f>G20+G19</f>
        <v>40230.449999999997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QUO-MAT-2508131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54" t="s">
        <v>89</v>
      </c>
      <c r="B25" s="154"/>
      <c r="C25" s="154"/>
      <c r="D25" s="154"/>
      <c r="E25" s="154"/>
      <c r="F25" s="154"/>
      <c r="G25" s="154"/>
      <c r="H25" s="154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B12:C12"/>
    <mergeCell ref="A19:F19"/>
    <mergeCell ref="A20:F20"/>
    <mergeCell ref="A21:F21"/>
    <mergeCell ref="A25:H25"/>
    <mergeCell ref="B13:C13"/>
    <mergeCell ref="B14:C14"/>
    <mergeCell ref="B15:C15"/>
    <mergeCell ref="B16:C16"/>
    <mergeCell ref="B17:C17"/>
    <mergeCell ref="B18:C1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2025-08-16T12:13:03Z</cp:lastPrinted>
  <dcterms:created xsi:type="dcterms:W3CDTF">2024-10-20T11:50:19Z</dcterms:created>
  <dcterms:modified xsi:type="dcterms:W3CDTF">2025-08-16T12:14:03Z</dcterms:modified>
</cp:coreProperties>
</file>