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E31C559E-530A-47B2-A8A6-E6F3CA487F6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<sst xmlns="http://schemas.openxmlformats.org/spreadsheetml/2006/main" count="153" uniqueCount="117">
  <si>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</si>
  <si>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</si>
  <si>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</si>
  <si>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</si>
  <si>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</si>
  <si>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</si>
  <si>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</si>
  <si>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</si>
  <si>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</si>
  <si>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</si>
  <si>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</si>
  <si>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</si>
  <si>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</si>
  <si>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</si>
  <si>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</si>
  <si>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</si>
  <si>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</si>
  <si>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</si>
  <si>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</si>
  <si>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</si>
  <si>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</si>
  <si>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</si>
  <si>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</si>
  <si>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</si>
  <si>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</si>
  <si>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</si>
  <si>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</si>
  <si>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</si>
  <si>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</si>
  <si>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</si>
  <si>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</si>
  <si>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</si>
  <si>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</si>
  <si>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</si>
  <si>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</si>
  <si>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</si>
  <si>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</si>
  <si>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</si>
  <si>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</si>
  <si>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</si>
  <si>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</si>
  <si>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</si>
  <si>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</si>
  <si>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</si>
  <si>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</si>
  <si>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</si>
  <si>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</si>
  <si>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</si>
  <si>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</si>
  <si>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</si>
  <si>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</si>
  <si>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</si>
  <si>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</si>
  <si>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</si>
  <si>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</si>
  <si>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</si>
  <si>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</si>
  <si>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</si>
  <si>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</si>
  <si>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</si>
  <si>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</si>
  <si>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</si>
  <si>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</si>
  <si>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</si>
  <si>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</si>
  <si>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</si>
  <si>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</si>
  <si>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</si>
  <si>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</si>
  <si>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</si>
  <si>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</si>
  <si>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</si>
  <si>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</si>
  <si>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</si>
  <si>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</si>
  <si>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</si>
  <si>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</si>
  <si>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</si>
  <si>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</si>
  <si>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</si>
  <si>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</si>
  <si>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</si>
  <si>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</si>
  <si>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</si>
  <si>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</si>
  <si>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</si>
  <si>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</si>
  <si>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</si>
  <si>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</si>
  <si>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</si>
  <si>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</si>
  <si>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</si>
  <si>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</si>
  <si>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</si>
  <si>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</si>
  <si>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</si>
  <si>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</si>
  <si>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</si>
  <si>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Operation Manager</t>
  </si>
  <si>
    <t>Hourly Based</t>
  </si>
  <si>
    <t>AMAA(Abdullah Mohammed Al-Aklabi for Gen. Cont. Est.</t>
  </si>
  <si>
    <t>Rigan Khan</t>
  </si>
  <si>
    <t>2055006023</t>
  </si>
  <si>
    <t>300448163100003</t>
  </si>
  <si>
    <t>+966 544290277 / Email:al-aklabi@rigankhan.com</t>
  </si>
  <si>
    <t>Mobile : +966 544290277</t>
  </si>
  <si>
    <t>AMAA</t>
  </si>
  <si>
    <t>AGC-20238877</t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</si>
  <si>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</si>
  <si>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</si>
  <si>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</si>
  <si>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</si>
  <si>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P.O. Box 372, Al Jubail 31951 - KSA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</si>
  <si>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-MRS-0090</t>
    </r>
  </si>
  <si>
    <t>Material Controller</t>
  </si>
  <si>
    <t>BRANCH OF HYUNDAI ENG. &amp; CONST. CO., LTD.</t>
  </si>
  <si>
    <t>Branch of Hyundai Engineering and Const. Co., Ltd. (HDEC)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</si>
</sst>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20053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36632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N16" sqref="N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111</v>
      </c>
      <c r="B1" s="110"/>
      <c r="C1" s="110"/>
      <c r="D1" s="110"/>
      <c r="E1" s="110"/>
      <c r="F1" s="110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108</v>
      </c>
      <c r="E2" s="101"/>
      <c r="F2" s="101"/>
      <c r="G2" s="101"/>
      <c r="H2" s="101"/>
      <c r="I2" s="4"/>
      <c r="J2" s="128" t="s">
        <v>110</v>
      </c>
      <c r="K2" s="129"/>
      <c r="L2" s="130"/>
    </row>
    <row r="3" spans="1:19" ht="20.100000000000001" customHeight="1">
      <c r="A3" s="3" t="s">
        <v>113</v>
      </c>
      <c r="B3" s="101"/>
      <c r="C3" s="101"/>
      <c r="D3" s="101"/>
      <c r="E3" s="131">
        <f>+L3</f>
        <v>45838</v>
      </c>
      <c r="F3" s="131"/>
      <c r="G3" s="131"/>
      <c r="H3" s="131"/>
      <c r="I3" s="131"/>
      <c r="J3" s="101"/>
      <c r="K3" s="101"/>
      <c r="L3" s="122">
        <v>45838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95</v>
      </c>
      <c r="J4" s="132" t="s">
        <v>96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114</v>
      </c>
      <c r="C6" s="145"/>
      <c r="D6" s="146"/>
      <c r="E6" s="147"/>
      <c r="F6" s="148"/>
      <c r="G6" s="111" t="s">
        <v>109</v>
      </c>
      <c r="H6" s="112">
        <v>1</v>
      </c>
      <c r="I6" s="113">
        <v>35</v>
      </c>
      <c r="J6" s="113">
        <f>H6*I6</f>
        <v>35</v>
      </c>
      <c r="K6" s="114" t="s">
        <v>106</v>
      </c>
      <c r="L6" s="115" t="s">
        <v>99</v>
      </c>
      <c r="S6" s="106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SAC2-DS-MRS-0090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45838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91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Material Controller</v>
      </c>
      <c r="C6" s="163"/>
      <c r="D6" s="164">
        <f>MRS!D6</f>
        <v>0</v>
      </c>
      <c r="E6" s="165"/>
      <c r="F6" s="166"/>
      <c r="G6" s="103" t="str">
        <f>MRS!G6</f>
        <v>Hour</v>
      </c>
      <c r="H6" s="103">
        <f>MRS!H6</f>
        <v>1</v>
      </c>
      <c r="I6" s="104">
        <f>MRS!I6</f>
        <v>35</v>
      </c>
      <c r="J6" s="104">
        <f>MRS!J6</f>
        <v>35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H4" sqref="H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115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100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73">
        <f>MRS!L3</f>
        <v>45838</v>
      </c>
      <c r="L10" s="174"/>
      <c r="M10" s="174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75" t="str">
        <f>SUBSTITUTE(SUBSTITUTE(+MRS!A3,"  MRS No : ",""),"-MRS","-PO")</f>
        <v>SAC2-DS-PO-0090</v>
      </c>
      <c r="L11" s="175"/>
      <c r="M11" s="175"/>
    </row>
    <row r="12" spans="2:13" s="39" customFormat="1">
      <c r="B12" s="72"/>
      <c r="C12" s="75" t="s">
        <v>36</v>
      </c>
      <c r="D12" s="39" t="s">
        <v>101</v>
      </c>
      <c r="J12" s="39" t="s">
        <v>37</v>
      </c>
    </row>
    <row r="13" spans="2:13" s="39" customFormat="1">
      <c r="B13" s="72"/>
      <c r="C13" s="77"/>
      <c r="D13" s="76" t="s">
        <v>104</v>
      </c>
      <c r="J13" s="39" t="s">
        <v>38</v>
      </c>
    </row>
    <row r="14" spans="2:13" s="39" customFormat="1">
      <c r="B14" s="72"/>
      <c r="C14" s="77" t="s">
        <v>112</v>
      </c>
      <c r="J14" s="39" t="s">
        <v>39</v>
      </c>
      <c r="K14" s="39" t="s">
        <v>107</v>
      </c>
    </row>
    <row r="15" spans="2:13" s="39" customFormat="1">
      <c r="B15" s="72"/>
      <c r="C15" s="77" t="s">
        <v>105</v>
      </c>
      <c r="J15" s="39" t="s">
        <v>40</v>
      </c>
      <c r="K15" s="78">
        <v>45837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114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99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">
        <v>101</v>
      </c>
    </row>
    <row r="60" spans="1:16" ht="18" customHeight="1">
      <c r="B60" s="26" t="s">
        <v>71</v>
      </c>
      <c r="J60" s="26" t="s">
        <v>72</v>
      </c>
      <c r="K60" s="22" t="s">
        <v>98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116</v>
      </c>
      <c r="J62" s="181" t="str">
        <f>C9</f>
        <v>AMAA(Abdullah Mohammed Al-Aklabi for Gen. Cont. Est.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16" sqref="G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SAC2-DS-PO-0090</v>
      </c>
      <c r="C2" s="184" t="s">
        <v>77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45838</v>
      </c>
      <c r="C3" s="51"/>
      <c r="D3" s="52"/>
      <c r="E3" s="185" t="s">
        <v>79</v>
      </c>
      <c r="F3" s="185"/>
      <c r="G3" s="185"/>
      <c r="H3" s="185"/>
      <c r="I3" s="53"/>
    </row>
    <row r="4" spans="1:13" s="55" customFormat="1" ht="28.5" customHeight="1" thickTop="1">
      <c r="A4" s="186" t="s">
        <v>80</v>
      </c>
      <c r="B4" s="188" t="s">
        <v>81</v>
      </c>
      <c r="C4" s="189"/>
      <c r="D4" s="192" t="s">
        <v>82</v>
      </c>
      <c r="E4" s="192" t="s">
        <v>83</v>
      </c>
      <c r="F4" s="194" t="str">
        <f>'PO 1st page'!C9</f>
        <v>AMAA(Abdullah Mohammed Al-Aklabi for Gen. Cont. Est.</v>
      </c>
      <c r="G4" s="195"/>
      <c r="H4" s="196" t="s">
        <v>84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85</v>
      </c>
      <c r="G5" s="57" t="s">
        <v>51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Material Controller</v>
      </c>
      <c r="C6" s="183"/>
      <c r="D6" s="86" t="str">
        <f>+'MRS LIST'!G6</f>
        <v>Hour</v>
      </c>
      <c r="E6" s="87">
        <f>+'MRS LIST'!H6</f>
        <v>1</v>
      </c>
      <c r="F6" s="88">
        <f>+'MRS LIST'!I6</f>
        <v>35</v>
      </c>
      <c r="G6" s="89">
        <f>+'MRS LIST'!J6</f>
        <v>35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2"/>
      <c r="C7" s="18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/>
      <c r="C8" s="183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/>
      <c r="C9" s="183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2"/>
      <c r="C12" s="203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2"/>
      <c r="C13" s="203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2"/>
      <c r="C14" s="203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2"/>
      <c r="C15" s="203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2"/>
      <c r="C16" s="203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86</v>
      </c>
      <c r="B18" s="199"/>
      <c r="C18" s="199"/>
      <c r="D18" s="199"/>
      <c r="E18" s="199"/>
      <c r="F18" s="199"/>
      <c r="G18" s="58">
        <f>SUM(G6:G17)</f>
        <v>35</v>
      </c>
      <c r="H18" s="59"/>
    </row>
    <row r="19" spans="1:13" s="55" customFormat="1" ht="23.1" customHeight="1">
      <c r="A19" s="198" t="s">
        <v>50</v>
      </c>
      <c r="B19" s="199"/>
      <c r="C19" s="199"/>
      <c r="D19" s="199"/>
      <c r="E19" s="199"/>
      <c r="F19" s="199"/>
      <c r="G19" s="58">
        <f>+G18*0.15</f>
        <v>5.25</v>
      </c>
      <c r="H19" s="59"/>
    </row>
    <row r="20" spans="1:13" s="55" customFormat="1" ht="24.95" customHeight="1" thickBot="1">
      <c r="A20" s="200" t="s">
        <v>87</v>
      </c>
      <c r="B20" s="201"/>
      <c r="C20" s="201"/>
      <c r="D20" s="201"/>
      <c r="E20" s="201"/>
      <c r="F20" s="201"/>
      <c r="G20" s="60">
        <f>G19+G18</f>
        <v>40.25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2025-07-03T14:20:03Z</cp:lastPrinted>
  <dcterms:created xsi:type="dcterms:W3CDTF">2024-10-20T11:50:19Z</dcterms:created>
  <dcterms:modified xsi:type="dcterms:W3CDTF">2025-07-03T14:20:06Z</dcterms:modified>
</cp:coreProperties>
</file>