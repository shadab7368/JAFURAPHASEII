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A95D422-0AA8-420A-BFAD-49103082F43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T54" i="3"/>
  <c r="H7" i="4" l="1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<sst xmlns="http://schemas.openxmlformats.org/spreadsheetml/2006/main" count="160" uniqueCount="135">
  <si>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</si>
  <si>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</si>
  <si>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</si>
  <si>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</si>
  <si>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</si>
  <si>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</si>
  <si>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</si>
  <si>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</si>
  <si>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</si>
  <si>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</si>
  <si>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</si>
  <si>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</si>
  <si>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</si>
  <si>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</si>
  <si>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</si>
  <si>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</si>
  <si>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</si>
  <si>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</si>
  <si>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</si>
  <si>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</si>
  <si>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</si>
  <si>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</si>
  <si>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</si>
  <si>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</si>
  <si>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</si>
  <si>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</si>
  <si>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</si>
  <si>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</si>
  <si>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</si>
  <si>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</si>
  <si>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</si>
  <si>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</si>
  <si>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</si>
  <si>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</si>
  <si>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</si>
  <si>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</si>
  <si>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</si>
  <si>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</si>
  <si>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</si>
  <si>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</si>
  <si>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</si>
  <si>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</si>
  <si>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</si>
  <si>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</si>
  <si>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</si>
  <si>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</si>
  <si>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</si>
  <si>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</si>
  <si>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</si>
  <si>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</si>
  <si>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</si>
  <si>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</si>
  <si>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</si>
  <si>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</si>
  <si>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</si>
  <si>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</si>
  <si>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</si>
  <si>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</si>
  <si>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</si>
  <si>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</si>
  <si>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</si>
  <si>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</si>
  <si>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</si>
  <si>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</si>
  <si>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</si>
  <si>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</si>
  <si>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</si>
  <si>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</si>
  <si>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</si>
  <si>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</si>
  <si>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</si>
  <si>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</si>
  <si>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</si>
  <si>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</si>
  <si>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</si>
  <si>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</si>
  <si>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</si>
  <si>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</si>
  <si>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</si>
  <si>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</si>
  <si>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</si>
  <si>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</si>
  <si>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</si>
  <si>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</si>
  <si>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</si>
  <si>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</si>
  <si>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</si>
  <si>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</si>
  <si>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</si>
  <si>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</si>
  <si>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</si>
  <si>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</si>
  <si>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</si>
  <si>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</si>
  <si>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</si>
  <si>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</si>
  <si>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</si>
  <si>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</si>
  <si>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</si>
  <si>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</si>
  <si>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</si>
  <si>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</si>
  <si>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</si>
  <si>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</si>
  <si>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</si>
  <si>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</si>
  <si>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</si>
  <si>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</si>
  <si>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</si>
  <si>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</si>
  <si>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</si>
  <si>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</si>
  <si>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</si>
  <si>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</si>
  <si>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</si>
  <si>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</si>
  <si>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</si>
  <si>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</si>
  <si>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</si>
  <si>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</si>
  <si>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</si>
  <si>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</si>
  <si>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</si>
  <si>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</si>
  <si>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</si>
  <si>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</si>
  <si>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</si>
  <si>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</si>
  <si>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-MRS-0228</t>
    </r>
  </si>
  <si>
    <t>Generator</t>
  </si>
  <si>
    <t>350 KVA TUV Certified with Sound Attenuated Enclosure</t>
  </si>
  <si>
    <t>Generator Mob &amp; De-Mob. Charge</t>
  </si>
  <si>
    <t>Generator 350 KVA TUV Certified</t>
  </si>
  <si>
    <t>SA92 1000 0006 0000 0038 9408</t>
  </si>
  <si>
    <t>PC-EQTN2026-2111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</si>
</sst>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J8" sqref="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112</v>
      </c>
      <c r="B1" s="110"/>
      <c r="C1" s="110"/>
      <c r="D1" s="110"/>
      <c r="E1" s="110"/>
      <c r="F1" s="110"/>
      <c r="G1" s="1"/>
      <c r="J1" s="144" t="s">
        <v>89</v>
      </c>
      <c r="K1" s="145"/>
      <c r="L1" s="146"/>
    </row>
    <row r="2" spans="1:18" ht="20.100000000000001" customHeight="1">
      <c r="A2" s="3" t="s">
        <v>1</v>
      </c>
      <c r="B2" s="101"/>
      <c r="C2" s="101"/>
      <c r="D2" s="3" t="s">
        <v>110</v>
      </c>
      <c r="E2" s="101"/>
      <c r="F2" s="101"/>
      <c r="G2" s="101"/>
      <c r="H2" s="101"/>
      <c r="I2" s="4"/>
      <c r="J2" s="147" t="s">
        <v>113</v>
      </c>
      <c r="K2" s="148"/>
      <c r="L2" s="149"/>
    </row>
    <row r="3" spans="1:18" ht="20.100000000000001" customHeight="1">
      <c r="A3" s="3" t="s">
        <v>128</v>
      </c>
      <c r="B3" s="101"/>
      <c r="C3" s="101"/>
      <c r="D3" s="101"/>
      <c r="E3" s="150">
        <f>+L3</f>
        <v>46069</v>
      </c>
      <c r="F3" s="150"/>
      <c r="G3" s="150"/>
      <c r="H3" s="150"/>
      <c r="I3" s="150"/>
      <c r="J3" s="101"/>
      <c r="K3" s="101"/>
      <c r="L3" s="122">
        <v>46069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94</v>
      </c>
      <c r="J4" s="151" t="s">
        <v>95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2" t="s">
        <v>129</v>
      </c>
      <c r="C6" s="133"/>
      <c r="D6" s="134" t="s">
        <v>130</v>
      </c>
      <c r="E6" s="135"/>
      <c r="F6" s="136"/>
      <c r="G6" s="111" t="s">
        <v>90</v>
      </c>
      <c r="H6" s="112">
        <v>3</v>
      </c>
      <c r="I6" s="113">
        <v>9000</v>
      </c>
      <c r="J6" s="113">
        <f>H6*I6</f>
        <v>27000</v>
      </c>
      <c r="K6" s="114" t="s">
        <v>99</v>
      </c>
      <c r="L6" s="115" t="s">
        <v>98</v>
      </c>
      <c r="R6" s="106"/>
    </row>
    <row r="7" spans="1:18" ht="22.5" customHeight="1">
      <c r="A7" s="5">
        <f t="shared" si="0"/>
        <v>2</v>
      </c>
      <c r="B7" s="132" t="s">
        <v>131</v>
      </c>
      <c r="C7" s="133"/>
      <c r="D7" s="143" t="s">
        <v>106</v>
      </c>
      <c r="E7" s="135"/>
      <c r="F7" s="136"/>
      <c r="G7" s="111" t="s">
        <v>107</v>
      </c>
      <c r="H7" s="112">
        <v>6</v>
      </c>
      <c r="I7" s="113">
        <v>1000</v>
      </c>
      <c r="J7" s="113">
        <f>H7*I7</f>
        <v>6000</v>
      </c>
      <c r="K7" s="114" t="s">
        <v>114</v>
      </c>
      <c r="L7" s="115" t="s">
        <v>109</v>
      </c>
      <c r="R7" s="106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7" t="s">
        <v>8</v>
      </c>
      <c r="B16" s="13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33000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SAC2-DS-MRS-0228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46069</v>
      </c>
    </row>
    <row r="4" spans="1:18" ht="15.95" customHeight="1">
      <c r="A4" s="173" t="s">
        <v>2</v>
      </c>
      <c r="B4" s="174" t="s">
        <v>20</v>
      </c>
      <c r="C4" s="174"/>
      <c r="D4" s="173" t="s">
        <v>4</v>
      </c>
      <c r="E4" s="173"/>
      <c r="F4" s="173"/>
      <c r="G4" s="174" t="s">
        <v>5</v>
      </c>
      <c r="H4" s="173" t="s">
        <v>91</v>
      </c>
      <c r="I4" s="173" t="s">
        <v>21</v>
      </c>
      <c r="J4" s="173" t="s">
        <v>22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Generator</v>
      </c>
      <c r="C6" s="169"/>
      <c r="D6" s="170" t="str">
        <f>MRS!D6</f>
        <v>350 KVA TUV Certified with Sound Attenuated Enclosure</v>
      </c>
      <c r="E6" s="171"/>
      <c r="F6" s="172"/>
      <c r="G6" s="103" t="str">
        <f>MRS!G6</f>
        <v>Month</v>
      </c>
      <c r="H6" s="103">
        <f>MRS!H6</f>
        <v>3</v>
      </c>
      <c r="I6" s="104">
        <f>MRS!I6</f>
        <v>9000</v>
      </c>
      <c r="J6" s="104">
        <f>MRS!J6</f>
        <v>27000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 t="str">
        <f>MRS!B7</f>
        <v>Generator Mob &amp; De-Mob. Charge</v>
      </c>
      <c r="C7" s="169"/>
      <c r="D7" s="170" t="str">
        <f>MRS!D7</f>
        <v>Mob. &amp; De-Mob. / per unit - lump sum</v>
      </c>
      <c r="E7" s="171"/>
      <c r="F7" s="172"/>
      <c r="G7" s="103" t="str">
        <f>MRS!G7</f>
        <v>L/S</v>
      </c>
      <c r="H7" s="103">
        <f>MRS!H7</f>
        <v>6</v>
      </c>
      <c r="I7" s="104">
        <f>MRS!I7</f>
        <v>1000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/>
      <c r="C8" s="164"/>
      <c r="D8" s="165"/>
      <c r="E8" s="166"/>
      <c r="F8" s="167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125">
        <v>2055132011</v>
      </c>
      <c r="J10" s="39" t="s">
        <v>31</v>
      </c>
      <c r="K10" s="176">
        <f>MRS!L3</f>
        <v>46069</v>
      </c>
      <c r="L10" s="177"/>
      <c r="M10" s="177"/>
    </row>
    <row r="11" spans="2:13" s="39" customFormat="1">
      <c r="B11" s="72"/>
      <c r="C11" s="75" t="s">
        <v>32</v>
      </c>
      <c r="D11" s="76" t="s">
        <v>108</v>
      </c>
      <c r="J11" s="39" t="s">
        <v>33</v>
      </c>
      <c r="K11" s="178" t="str">
        <f>SUBSTITUTE(SUBSTITUTE(+MRS!A3,"  MRS No : ",""),"-MRS","-PO")</f>
        <v>SAC2-DS-PO-0228</v>
      </c>
      <c r="L11" s="178"/>
      <c r="M11" s="178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134</v>
      </c>
    </row>
    <row r="15" spans="2:13" s="39" customFormat="1">
      <c r="B15" s="72"/>
      <c r="C15" s="77" t="s">
        <v>103</v>
      </c>
      <c r="J15" s="39" t="s">
        <v>38</v>
      </c>
      <c r="K15" s="78">
        <v>46065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132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3" t="s">
        <v>97</v>
      </c>
      <c r="G29" s="18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3"/>
      <c r="G30" s="183"/>
    </row>
    <row r="31" spans="2:13" ht="12" customHeight="1">
      <c r="B31" s="32"/>
      <c r="C31" s="26" t="s">
        <v>49</v>
      </c>
      <c r="D31" s="35"/>
      <c r="E31" s="26" t="s">
        <v>47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111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115</v>
      </c>
    </row>
    <row r="54" spans="2:20" ht="12" customHeight="1">
      <c r="B54" s="84" t="s">
        <v>63</v>
      </c>
      <c r="C54" s="126" t="s">
        <v>116</v>
      </c>
      <c r="F54" s="26" t="s">
        <v>123</v>
      </c>
      <c r="T54" s="26" t="str">
        <f>UPPER(F54)</f>
        <v>POWER CARE CO. LTD.</v>
      </c>
    </row>
    <row r="55" spans="2:20" ht="12" customHeight="1">
      <c r="B55" s="84" t="s">
        <v>63</v>
      </c>
      <c r="C55" s="126" t="s">
        <v>117</v>
      </c>
      <c r="F55" s="127" t="s">
        <v>124</v>
      </c>
    </row>
    <row r="56" spans="2:20" ht="12" customHeight="1">
      <c r="B56" s="84" t="s">
        <v>63</v>
      </c>
      <c r="C56" s="126" t="s">
        <v>118</v>
      </c>
      <c r="F56" s="26" t="s">
        <v>133</v>
      </c>
    </row>
    <row r="57" spans="2:20" ht="12" customHeight="1">
      <c r="B57" s="84" t="s">
        <v>63</v>
      </c>
      <c r="C57" s="126" t="s">
        <v>119</v>
      </c>
      <c r="F57" s="26" t="s">
        <v>125</v>
      </c>
    </row>
    <row r="58" spans="2:20" ht="12" customHeight="1">
      <c r="B58" s="84" t="s">
        <v>63</v>
      </c>
      <c r="C58" s="126" t="s">
        <v>120</v>
      </c>
      <c r="F58" s="26" t="s">
        <v>126</v>
      </c>
    </row>
    <row r="59" spans="2:20" ht="12" customHeight="1">
      <c r="B59" s="84" t="s">
        <v>63</v>
      </c>
      <c r="C59" s="126" t="s">
        <v>121</v>
      </c>
      <c r="F59" s="26" t="s">
        <v>122</v>
      </c>
    </row>
    <row r="60" spans="2:20" ht="12" customHeight="1">
      <c r="B60" s="84"/>
      <c r="C60" s="126" t="s">
        <v>127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104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4" t="str">
        <f>C9</f>
        <v>PCCL(Power Care Co. Ltd.)</v>
      </c>
      <c r="K70" s="184"/>
      <c r="L70" s="184"/>
      <c r="M70" s="184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SAC2-DS-PO-0228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46069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PCCL(Power Care Co. Ltd.)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_xlfn.CONCAT(MRS!B6," ",MRS!D6)</f>
        <v>Generator 350 KVA TUV Certified with Sound Attenuated Enclosure</v>
      </c>
      <c r="C6" s="206"/>
      <c r="D6" s="86" t="str">
        <f>+'MRS LIST'!G6</f>
        <v>Month</v>
      </c>
      <c r="E6" s="87">
        <f>+'MRS LIST'!H6</f>
        <v>3</v>
      </c>
      <c r="F6" s="88">
        <f>+'MRS LIST'!I6</f>
        <v>9000</v>
      </c>
      <c r="G6" s="89">
        <f>+'MRS LIST'!J6</f>
        <v>27000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Generator Mob &amp; De-Mob. Charge</v>
      </c>
      <c r="C7" s="206"/>
      <c r="D7" s="86" t="str">
        <f>+'MRS LIST'!G7</f>
        <v>L/S</v>
      </c>
      <c r="E7" s="87">
        <f>+'MRS LIST'!H7</f>
        <v>6</v>
      </c>
      <c r="F7" s="88">
        <f>+'MRS LIST'!I7</f>
        <v>1000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9"/>
      <c r="C8" s="190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33000</v>
      </c>
      <c r="H18" s="59"/>
    </row>
    <row r="19" spans="1:13" s="55" customFormat="1" ht="23.1" customHeight="1">
      <c r="A19" s="185" t="s">
        <v>48</v>
      </c>
      <c r="B19" s="186"/>
      <c r="C19" s="186"/>
      <c r="D19" s="186"/>
      <c r="E19" s="186"/>
      <c r="F19" s="186"/>
      <c r="G19" s="58">
        <f>+G18*0.15</f>
        <v>4950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37950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PC-EQTN2026-2111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2026-02-16T04:04:17Z</cp:lastPrinted>
  <dcterms:created xsi:type="dcterms:W3CDTF">2024-10-20T11:50:19Z</dcterms:created>
  <dcterms:modified xsi:type="dcterms:W3CDTF">2026-02-16T04:04:19Z</dcterms:modified>
</cp:coreProperties>
</file>