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9862EACE-35B9-4B5B-8D53-DF98E07B1FCA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4" l="1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<sst xmlns="http://schemas.openxmlformats.org/spreadsheetml/2006/main" count="151" uniqueCount="116">
  <si>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</si>
  <si>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</si>
  <si>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</si>
  <si>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</si>
  <si>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</si>
  <si>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</si>
  <si>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</si>
  <si>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</si>
  <si>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</si>
  <si>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</si>
  <si>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</si>
  <si>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</si>
  <si>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</si>
  <si>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</si>
  <si>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</si>
  <si>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</si>
  <si>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</si>
  <si>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</si>
  <si>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</si>
  <si>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</si>
  <si>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</si>
  <si>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</si>
  <si>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</si>
  <si>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</si>
  <si>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</si>
  <si>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</si>
  <si>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</si>
  <si>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</si>
  <si>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</si>
  <si>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</si>
  <si>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</si>
  <si>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</si>
  <si>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</si>
  <si>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</si>
  <si>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</si>
  <si>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</si>
  <si>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</si>
  <si>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</si>
  <si>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</si>
  <si>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</si>
  <si>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</si>
  <si>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</si>
  <si>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</si>
  <si>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</si>
  <si>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</si>
  <si>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</si>
  <si>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</si>
  <si>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</si>
  <si>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</si>
  <si>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</si>
  <si>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</si>
  <si>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</si>
  <si>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</si>
  <si>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</si>
  <si>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</si>
  <si>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</si>
  <si>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</si>
  <si>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</si>
  <si>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</si>
  <si>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</si>
  <si>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</si>
  <si>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</si>
  <si>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</si>
  <si>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</si>
  <si>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</si>
  <si>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</si>
  <si>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</si>
  <si>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</si>
  <si>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</si>
  <si>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</si>
  <si>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</si>
  <si>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</si>
  <si>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</si>
  <si>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</si>
  <si>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</si>
  <si>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</si>
  <si>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</si>
  <si>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</si>
  <si>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</si>
  <si>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</si>
  <si>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</si>
  <si>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</si>
  <si>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</si>
  <si>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</si>
  <si>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</si>
  <si>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</si>
  <si>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</si>
  <si>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</si>
  <si>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</si>
  <si>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</si>
  <si>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</si>
  <si>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</si>
  <si>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</si>
  <si>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</si>
  <si>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</si>
  <si>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</si>
  <si>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</si>
  <si>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</si>
  <si>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</si>
  <si>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DSGC</t>
  </si>
  <si>
    <t>DSGC(Desert Solution General Contracting Company LLC)</t>
  </si>
  <si>
    <t>311318994400003</t>
  </si>
  <si>
    <t>Landline: +966 13 362 3735 / Mobile : +966 533121661</t>
  </si>
  <si>
    <t>Hourly</t>
  </si>
  <si>
    <t>Hourly Based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</si>
  <si>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</si>
  <si>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</si>
  <si>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-MRS-0081</t>
    </r>
  </si>
  <si>
    <t>Division (In charge Name) : ADMIN MANAGER (Dong Chang Kim)</t>
  </si>
  <si>
    <t>Work Permit Receiver</t>
  </si>
  <si>
    <t>DSCE/DPC/Q-10907</t>
  </si>
  <si>
    <t>Mohammed Irshad</t>
  </si>
  <si>
    <t>+966 53 3121661 / Email:admin@desertsolutionindus.com</t>
  </si>
  <si>
    <t>P.O. Box No. 1015, Jubail-31951, KSA</t>
  </si>
  <si>
    <t>Hyundai Engineering and Const. Co., Ltd. (HDEC)</t>
  </si>
  <si>
    <t>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</si>
</sst>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1042736</xdr:colOff>
          <xdr:row>17</xdr:row>
          <xdr:rowOff>0</xdr:rowOff>
        </xdr:from>
        <xdr:to>
          <xdr:col>12</xdr:col>
          <xdr:colOff>10527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6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16578" y="4983079"/>
              <a:ext cx="38004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S11" sqref="S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106</v>
      </c>
      <c r="B1" s="110"/>
      <c r="C1" s="110"/>
      <c r="D1" s="110"/>
      <c r="E1" s="110"/>
      <c r="F1" s="110"/>
      <c r="G1" s="1"/>
      <c r="J1" s="125" t="s">
        <v>91</v>
      </c>
      <c r="K1" s="126"/>
      <c r="L1" s="127"/>
    </row>
    <row r="2" spans="1:19" ht="20.100000000000001" customHeight="1">
      <c r="A2" s="3" t="s">
        <v>1</v>
      </c>
      <c r="B2" s="101"/>
      <c r="C2" s="101"/>
      <c r="D2" s="3" t="s">
        <v>108</v>
      </c>
      <c r="E2" s="101"/>
      <c r="F2" s="101"/>
      <c r="G2" s="101"/>
      <c r="H2" s="101"/>
      <c r="I2" s="4"/>
      <c r="J2" s="128" t="s">
        <v>105</v>
      </c>
      <c r="K2" s="129"/>
      <c r="L2" s="130"/>
    </row>
    <row r="3" spans="1:19" ht="20.100000000000001" customHeight="1">
      <c r="A3" s="3" t="s">
        <v>107</v>
      </c>
      <c r="B3" s="101"/>
      <c r="C3" s="101"/>
      <c r="D3" s="101"/>
      <c r="E3" s="131">
        <f>+L3</f>
        <v>45809</v>
      </c>
      <c r="F3" s="131"/>
      <c r="G3" s="131"/>
      <c r="H3" s="131"/>
      <c r="I3" s="131"/>
      <c r="J3" s="101"/>
      <c r="K3" s="101"/>
      <c r="L3" s="122">
        <v>45809</v>
      </c>
      <c r="M3" s="4"/>
    </row>
    <row r="4" spans="1:19" ht="15.95" customHeight="1">
      <c r="A4" s="132" t="s">
        <v>2</v>
      </c>
      <c r="B4" s="133" t="s">
        <v>3</v>
      </c>
      <c r="C4" s="133"/>
      <c r="D4" s="134" t="s">
        <v>4</v>
      </c>
      <c r="E4" s="135"/>
      <c r="F4" s="136"/>
      <c r="G4" s="140" t="s">
        <v>5</v>
      </c>
      <c r="H4" s="142" t="s">
        <v>6</v>
      </c>
      <c r="I4" s="142" t="s">
        <v>96</v>
      </c>
      <c r="J4" s="132" t="s">
        <v>97</v>
      </c>
      <c r="K4" s="142" t="s">
        <v>0</v>
      </c>
      <c r="L4" s="133" t="s">
        <v>7</v>
      </c>
    </row>
    <row r="5" spans="1:19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9" ht="22.5" customHeight="1">
      <c r="A6" s="5">
        <f t="shared" ref="A6:A15" si="0">ROW(A1)</f>
        <v>1</v>
      </c>
      <c r="B6" s="144" t="s">
        <v>109</v>
      </c>
      <c r="C6" s="145"/>
      <c r="D6" s="146"/>
      <c r="E6" s="147"/>
      <c r="F6" s="148"/>
      <c r="G6" s="111" t="s">
        <v>103</v>
      </c>
      <c r="H6" s="112">
        <v>1</v>
      </c>
      <c r="I6" s="113">
        <v>30</v>
      </c>
      <c r="J6" s="113">
        <f>H6*I6</f>
        <v>30</v>
      </c>
      <c r="K6" s="114" t="s">
        <v>99</v>
      </c>
      <c r="L6" s="115" t="s">
        <v>104</v>
      </c>
      <c r="S6" s="106"/>
    </row>
    <row r="7" spans="1:19" ht="22.5" customHeight="1">
      <c r="A7" s="5">
        <f t="shared" si="0"/>
        <v>2</v>
      </c>
      <c r="B7" s="144"/>
      <c r="C7" s="145"/>
      <c r="D7" s="149"/>
      <c r="E7" s="147"/>
      <c r="F7" s="148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44"/>
      <c r="C8" s="145"/>
      <c r="D8" s="146"/>
      <c r="E8" s="147"/>
      <c r="F8" s="148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0"/>
      <c r="C10" s="150"/>
      <c r="D10" s="151"/>
      <c r="E10" s="151"/>
      <c r="F10" s="151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0"/>
      <c r="C12" s="150"/>
      <c r="D12" s="151"/>
      <c r="E12" s="151"/>
      <c r="F12" s="151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2" t="s">
        <v>8</v>
      </c>
      <c r="B16" s="153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30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7" t="s">
        <v>17</v>
      </c>
      <c r="Q21" s="157" t="s">
        <v>18</v>
      </c>
    </row>
    <row r="22" spans="1:22" ht="18" customHeight="1">
      <c r="O22" s="18" t="s">
        <v>19</v>
      </c>
      <c r="P22" s="158"/>
      <c r="Q22" s="158"/>
      <c r="S22" s="154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21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21</v>
      </c>
      <c r="P46" s="157" t="s">
        <v>21</v>
      </c>
      <c r="Q46" s="157" t="s">
        <v>21</v>
      </c>
      <c r="T46" s="157" t="s">
        <v>22</v>
      </c>
      <c r="U46" s="157" t="s">
        <v>13</v>
      </c>
      <c r="V46" s="157" t="s">
        <v>21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21</v>
      </c>
      <c r="P50" s="157" t="s">
        <v>21</v>
      </c>
      <c r="Q50" s="157" t="s">
        <v>21</v>
      </c>
      <c r="T50" s="157" t="s">
        <v>13</v>
      </c>
      <c r="U50" s="157" t="s">
        <v>22</v>
      </c>
      <c r="V50" s="157" t="s">
        <v>21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10" sqref="N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98</v>
      </c>
      <c r="B1" s="100"/>
      <c r="C1" s="100"/>
      <c r="D1" s="100"/>
      <c r="E1" s="100"/>
      <c r="F1" s="100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28" t="str">
        <f>+MRS!J2</f>
        <v>Subcontract name (SAC2-SC-IK-SMP-01)</v>
      </c>
      <c r="K2" s="130"/>
    </row>
    <row r="3" spans="1:18" ht="24.95" customHeight="1">
      <c r="A3" s="3" t="str">
        <f>+MRS!A3</f>
        <v xml:space="preserve">  MRS No : SAC2-DS-MRS-0081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45809</v>
      </c>
    </row>
    <row r="4" spans="1:18" ht="15.95" customHeight="1">
      <c r="A4" s="160" t="s">
        <v>2</v>
      </c>
      <c r="B4" s="161" t="s">
        <v>23</v>
      </c>
      <c r="C4" s="161"/>
      <c r="D4" s="160" t="s">
        <v>4</v>
      </c>
      <c r="E4" s="160"/>
      <c r="F4" s="160"/>
      <c r="G4" s="161" t="s">
        <v>5</v>
      </c>
      <c r="H4" s="160" t="s">
        <v>92</v>
      </c>
      <c r="I4" s="160" t="s">
        <v>24</v>
      </c>
      <c r="J4" s="160" t="s">
        <v>25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62" t="str">
        <f>MRS!B6</f>
        <v>Work Permit Receiver</v>
      </c>
      <c r="C6" s="163"/>
      <c r="D6" s="164">
        <f>MRS!D6</f>
        <v>0</v>
      </c>
      <c r="E6" s="165"/>
      <c r="F6" s="166"/>
      <c r="G6" s="103" t="str">
        <f>MRS!G6</f>
        <v>Hourly</v>
      </c>
      <c r="H6" s="103">
        <f>MRS!H6</f>
        <v>1</v>
      </c>
      <c r="I6" s="104">
        <f>MRS!I6</f>
        <v>30</v>
      </c>
      <c r="J6" s="104">
        <f>MRS!J6</f>
        <v>30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2">
        <f>MRS!B7</f>
        <v>0</v>
      </c>
      <c r="C7" s="163"/>
      <c r="D7" s="164">
        <f>MRS!D7</f>
        <v>0</v>
      </c>
      <c r="E7" s="165"/>
      <c r="F7" s="166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7"/>
      <c r="C8" s="168"/>
      <c r="D8" s="169"/>
      <c r="E8" s="170"/>
      <c r="F8" s="171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7"/>
      <c r="C9" s="168"/>
      <c r="D9" s="169"/>
      <c r="E9" s="170"/>
      <c r="F9" s="171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7"/>
      <c r="C10" s="168"/>
      <c r="D10" s="169"/>
      <c r="E10" s="170"/>
      <c r="F10" s="171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7"/>
      <c r="C11" s="168"/>
      <c r="D11" s="169"/>
      <c r="E11" s="170"/>
      <c r="F11" s="171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7"/>
      <c r="C12" s="168"/>
      <c r="D12" s="169"/>
      <c r="E12" s="170"/>
      <c r="F12" s="171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7"/>
      <c r="C13" s="168"/>
      <c r="D13" s="169"/>
      <c r="E13" s="170"/>
      <c r="F13" s="171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7"/>
      <c r="C14" s="168"/>
      <c r="D14" s="169"/>
      <c r="E14" s="170"/>
      <c r="F14" s="171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7"/>
      <c r="C15" s="168"/>
      <c r="D15" s="169"/>
      <c r="E15" s="170"/>
      <c r="F15" s="171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7"/>
      <c r="C16" s="168"/>
      <c r="D16" s="169"/>
      <c r="E16" s="170"/>
      <c r="F16" s="171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49" zoomScale="130" zoomScaleNormal="100" zoomScaleSheetLayoutView="130" workbookViewId="0">
      <selection activeCell="C26" sqref="C2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100</v>
      </c>
      <c r="D9" s="39"/>
      <c r="E9" s="39"/>
    </row>
    <row r="10" spans="2:13" s="39" customFormat="1">
      <c r="B10" s="72"/>
      <c r="C10" s="39" t="s">
        <v>33</v>
      </c>
      <c r="D10" s="76">
        <v>2055104339</v>
      </c>
      <c r="J10" s="39" t="s">
        <v>34</v>
      </c>
      <c r="K10" s="173">
        <f>MRS!L3</f>
        <v>45809</v>
      </c>
      <c r="L10" s="174"/>
      <c r="M10" s="174"/>
    </row>
    <row r="11" spans="2:13" s="39" customFormat="1">
      <c r="B11" s="72"/>
      <c r="C11" s="75" t="s">
        <v>35</v>
      </c>
      <c r="D11" s="76" t="s">
        <v>101</v>
      </c>
      <c r="J11" s="39" t="s">
        <v>36</v>
      </c>
      <c r="K11" s="175" t="str">
        <f>SUBSTITUTE(SUBSTITUTE(+MRS!A3,"  MRS No : ",""),"-MRS","-PO")</f>
        <v>SAC2-DS-PO-0081</v>
      </c>
      <c r="L11" s="175"/>
      <c r="M11" s="175"/>
    </row>
    <row r="12" spans="2:13" s="39" customFormat="1">
      <c r="B12" s="72"/>
      <c r="C12" s="75" t="s">
        <v>37</v>
      </c>
      <c r="D12" s="39" t="s">
        <v>111</v>
      </c>
      <c r="J12" s="39" t="s">
        <v>38</v>
      </c>
    </row>
    <row r="13" spans="2:13" s="39" customFormat="1">
      <c r="B13" s="72"/>
      <c r="C13" s="77"/>
      <c r="D13" s="76" t="s">
        <v>112</v>
      </c>
      <c r="J13" s="39" t="s">
        <v>39</v>
      </c>
    </row>
    <row r="14" spans="2:13" s="39" customFormat="1">
      <c r="B14" s="72"/>
      <c r="C14" s="77" t="s">
        <v>113</v>
      </c>
      <c r="J14" s="39" t="s">
        <v>40</v>
      </c>
      <c r="K14" s="39" t="s">
        <v>110</v>
      </c>
    </row>
    <row r="15" spans="2:13" s="39" customFormat="1">
      <c r="B15" s="72"/>
      <c r="C15" s="77" t="s">
        <v>102</v>
      </c>
      <c r="J15" s="39" t="s">
        <v>41</v>
      </c>
      <c r="K15" s="78">
        <v>45809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109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80" t="s">
        <v>104</v>
      </c>
      <c r="G29" s="180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0"/>
      <c r="G30" s="180"/>
    </row>
    <row r="31" spans="2:13" ht="15" customHeight="1">
      <c r="B31" s="32"/>
      <c r="C31" s="26" t="s">
        <v>52</v>
      </c>
      <c r="D31" s="35"/>
      <c r="E31" s="26" t="s">
        <v>50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94</v>
      </c>
      <c r="P49" s="82"/>
    </row>
    <row r="50" spans="1:16" s="83" customFormat="1" ht="15" customHeight="1">
      <c r="B50" s="84" t="s">
        <v>66</v>
      </c>
      <c r="C50" s="81" t="s">
        <v>95</v>
      </c>
    </row>
    <row r="51" spans="1:16" s="83" customFormat="1" ht="15" customHeight="1">
      <c r="B51" s="84" t="s">
        <v>66</v>
      </c>
      <c r="C51" s="81" t="s">
        <v>93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Mohammed Irshad</v>
      </c>
    </row>
    <row r="60" spans="1:16" ht="18" customHeight="1">
      <c r="B60" s="26" t="s">
        <v>72</v>
      </c>
      <c r="J60" s="26" t="s">
        <v>73</v>
      </c>
      <c r="K60" s="22" t="s">
        <v>115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114</v>
      </c>
      <c r="J62" s="181" t="str">
        <f>C9</f>
        <v>DSGC(Desert Solution General Contracting Company LLC)</v>
      </c>
      <c r="K62" s="181"/>
      <c r="L62" s="181"/>
      <c r="M62" s="181"/>
    </row>
    <row r="63" spans="1:16" ht="27.95" customHeight="1">
      <c r="A63" s="172" t="s">
        <v>76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77</v>
      </c>
      <c r="B2" s="47" t="str">
        <f>+'PO 1st page'!K11</f>
        <v>SAC2-DS-PO-0081</v>
      </c>
      <c r="C2" s="184" t="s">
        <v>78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79</v>
      </c>
      <c r="B3" s="50">
        <f>+'PO 1st page'!K10</f>
        <v>45809</v>
      </c>
      <c r="C3" s="51"/>
      <c r="D3" s="52"/>
      <c r="E3" s="185" t="s">
        <v>80</v>
      </c>
      <c r="F3" s="185"/>
      <c r="G3" s="185"/>
      <c r="H3" s="185"/>
      <c r="I3" s="53"/>
    </row>
    <row r="4" spans="1:13" s="55" customFormat="1" ht="28.5" customHeight="1" thickTop="1">
      <c r="A4" s="186" t="s">
        <v>81</v>
      </c>
      <c r="B4" s="188" t="s">
        <v>82</v>
      </c>
      <c r="C4" s="189"/>
      <c r="D4" s="192" t="s">
        <v>83</v>
      </c>
      <c r="E4" s="192" t="s">
        <v>84</v>
      </c>
      <c r="F4" s="194" t="str">
        <f>'PO 1st page'!C9</f>
        <v>DSGC(Desert Solution General Contracting Company LLC)</v>
      </c>
      <c r="G4" s="195"/>
      <c r="H4" s="196" t="s">
        <v>85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86</v>
      </c>
      <c r="G5" s="57" t="s">
        <v>52</v>
      </c>
      <c r="H5" s="19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8" t="str">
        <f>+'MRS LIST'!B6</f>
        <v>Work Permit Receiver</v>
      </c>
      <c r="C6" s="199"/>
      <c r="D6" s="86" t="str">
        <f>+'MRS LIST'!G6</f>
        <v>Hourly</v>
      </c>
      <c r="E6" s="87">
        <f>+'MRS LIST'!H6</f>
        <v>1</v>
      </c>
      <c r="F6" s="88">
        <f>+'MRS LIST'!I6</f>
        <v>30</v>
      </c>
      <c r="G6" s="89">
        <f>+'MRS LIST'!J6</f>
        <v>30</v>
      </c>
      <c r="H6" s="90" t="str">
        <f>MRS!L6</f>
        <v>Hourly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98"/>
      <c r="C7" s="199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2"/>
      <c r="C8" s="183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2"/>
      <c r="C9" s="183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2"/>
      <c r="C10" s="183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2"/>
      <c r="C11" s="183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2"/>
      <c r="C12" s="18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2"/>
      <c r="C13" s="18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2"/>
      <c r="C14" s="18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2"/>
      <c r="C15" s="18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2"/>
      <c r="C16" s="18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2"/>
      <c r="C17" s="183"/>
      <c r="D17" s="94"/>
      <c r="E17" s="95"/>
      <c r="F17" s="96"/>
      <c r="G17" s="97"/>
      <c r="H17" s="98"/>
    </row>
    <row r="18" spans="1:13" s="55" customFormat="1" ht="23.1" customHeight="1">
      <c r="A18" s="200" t="s">
        <v>87</v>
      </c>
      <c r="B18" s="201"/>
      <c r="C18" s="201"/>
      <c r="D18" s="201"/>
      <c r="E18" s="201"/>
      <c r="F18" s="201"/>
      <c r="G18" s="58">
        <f>SUM(G6:G17)</f>
        <v>30</v>
      </c>
      <c r="H18" s="59"/>
    </row>
    <row r="19" spans="1:13" s="55" customFormat="1" ht="23.1" customHeight="1">
      <c r="A19" s="200" t="s">
        <v>51</v>
      </c>
      <c r="B19" s="201"/>
      <c r="C19" s="201"/>
      <c r="D19" s="201"/>
      <c r="E19" s="201"/>
      <c r="F19" s="201"/>
      <c r="G19" s="58">
        <f>+G18*0.15</f>
        <v>4.5</v>
      </c>
      <c r="H19" s="59"/>
    </row>
    <row r="20" spans="1:13" s="55" customFormat="1" ht="24.95" customHeight="1" thickBot="1">
      <c r="A20" s="202" t="s">
        <v>88</v>
      </c>
      <c r="B20" s="203"/>
      <c r="C20" s="203"/>
      <c r="D20" s="203"/>
      <c r="E20" s="203"/>
      <c r="F20" s="203"/>
      <c r="G20" s="60">
        <f>G19+G18</f>
        <v>34.5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DSCE/DPC/Q-10907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89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90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2025-08-03T12:43:34Z</cp:lastPrinted>
  <dcterms:created xsi:type="dcterms:W3CDTF">2024-10-20T11:50:19Z</dcterms:created>
  <dcterms:modified xsi:type="dcterms:W3CDTF">2025-08-03T12:43:40Z</dcterms:modified>
</cp:coreProperties>
</file>