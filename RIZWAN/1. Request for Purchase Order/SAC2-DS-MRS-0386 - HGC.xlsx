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E85B354-B3A1-430C-8071-91041DCCFB1B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G9" i="4"/>
  <c r="F9" i="4"/>
  <c r="E9" i="4"/>
  <c r="G8" i="4"/>
  <c r="F8" i="4"/>
  <c r="E8" i="4"/>
  <c r="D9" i="4"/>
  <c r="D8" i="4"/>
  <c r="B10" i="4"/>
  <c r="B9" i="4"/>
  <c r="B8" i="4"/>
  <c r="G7" i="4"/>
  <c r="F7" i="4"/>
  <c r="E7" i="4"/>
  <c r="D7" i="4"/>
  <c r="B7" i="4"/>
  <c r="C26" i="3"/>
  <c r="J9" i="1"/>
  <c r="J8" i="1"/>
  <c r="J7" i="1"/>
  <c r="F6" i="4" l="1"/>
  <c r="E6" i="4"/>
  <c r="D6" i="4"/>
  <c r="J6" i="1"/>
  <c r="G6" i="4" s="1"/>
  <c r="H6" i="4"/>
  <c r="A17" i="4"/>
  <c r="B16" i="4"/>
  <c r="B17" i="4"/>
  <c r="A14" i="4"/>
  <c r="A15" i="4"/>
  <c r="A16" i="4"/>
  <c r="B12" i="4"/>
  <c r="B13" i="4"/>
  <c r="B14" i="4"/>
  <c r="B15" i="4"/>
  <c r="J9" i="2"/>
  <c r="J10" i="2"/>
  <c r="J11" i="2"/>
  <c r="J12" i="1"/>
  <c r="J13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8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<sst xmlns="http://schemas.openxmlformats.org/spreadsheetml/2006/main" count="165" uniqueCount="138">
  <si>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</si>
  <si>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</si>
  <si>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</si>
  <si>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</si>
  <si>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</si>
  <si>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</si>
  <si>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</si>
  <si>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</si>
  <si>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</si>
  <si>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</si>
  <si>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</si>
  <si>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</si>
  <si>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</si>
  <si>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</si>
  <si>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</si>
  <si>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</si>
  <si>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</si>
  <si>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</si>
  <si>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</si>
  <si>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</si>
  <si>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</si>
  <si>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</si>
  <si>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</si>
  <si>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</si>
  <si>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</si>
  <si>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</si>
  <si>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</si>
  <si>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</si>
  <si>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</si>
  <si>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</si>
  <si>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</si>
  <si>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</si>
  <si>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</si>
  <si>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</si>
  <si>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</si>
  <si>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</si>
  <si>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</si>
  <si>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</si>
  <si>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</si>
  <si>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</si>
  <si>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</si>
  <si>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</si>
  <si>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</si>
  <si>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</si>
  <si>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</si>
  <si>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</si>
  <si>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</si>
  <si>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</si>
  <si>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</si>
  <si>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</si>
  <si>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</si>
  <si>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</si>
  <si>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</si>
  <si>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</si>
  <si>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</si>
  <si>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</si>
  <si>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</si>
  <si>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</si>
  <si>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</si>
  <si>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</si>
  <si>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</si>
  <si>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</si>
  <si>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</si>
  <si>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</si>
  <si>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</si>
  <si>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</si>
  <si>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</si>
  <si>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</si>
  <si>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</si>
  <si>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</si>
  <si>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</si>
  <si>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</si>
  <si>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</si>
  <si>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</si>
  <si>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</si>
  <si>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</si>
  <si>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</si>
  <si>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</si>
  <si>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</si>
  <si>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</si>
  <si>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</si>
  <si>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</si>
  <si>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</si>
  <si>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</si>
  <si>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</si>
  <si>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</si>
  <si>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</si>
  <si>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</si>
  <si>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</si>
  <si>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</si>
  <si>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</si>
  <si>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</si>
  <si>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</si>
  <si>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</si>
  <si>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</si>
  <si>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</si>
  <si>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</si>
  <si>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</si>
  <si>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</si>
  <si>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Monthly Based</t>
  </si>
  <si>
    <t>HGC</t>
  </si>
  <si>
    <t>HGC(Hussain Saleh Al Saffar General Contracting Est.)</t>
  </si>
  <si>
    <t>2050045368</t>
  </si>
  <si>
    <t>300370362100003</t>
  </si>
  <si>
    <t>Mohammad Rafiqul Islam</t>
  </si>
  <si>
    <t>+966 55 3096020/ Email:info@hussainsaleh.com</t>
  </si>
  <si>
    <t>P.O. Box 10716, Dammam 3191, Kingdom of Saudi Arabia</t>
  </si>
  <si>
    <t>Mobile : +966 553096020</t>
  </si>
  <si>
    <t>HUSSAIN SALEH AL SAFFAR EST.</t>
  </si>
  <si>
    <t>3453088649940</t>
  </si>
  <si>
    <t>SA23 2000 0003 4530 8864 9940</t>
  </si>
  <si>
    <t>RIYADH BANK</t>
  </si>
  <si>
    <t>RIBLSARI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</si>
  <si>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-MRS-0386</t>
    </r>
  </si>
  <si>
    <t>Steel Structure Foreman</t>
  </si>
  <si>
    <t>Helper</t>
  </si>
  <si>
    <t>Hr</t>
  </si>
  <si>
    <t xml:space="preserve">Painting Supervisor  </t>
  </si>
  <si>
    <t>Aramco Certified</t>
  </si>
  <si>
    <t xml:space="preserve">Painter </t>
  </si>
  <si>
    <t>HGC-00962, HGC-00963</t>
  </si>
  <si>
    <t>Business Development Manager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</si>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</sst>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3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5" fillId="2" borderId="0" xfId="1" applyFont="1" applyFill="1" applyAlignment="1">
      <alignment vertical="center"/>
    </xf>
    <xf numFmtId="0" fontId="53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15" fillId="3" borderId="0" xfId="5" applyFont="1" applyFill="1" applyAlignment="1">
      <alignment horizontal="right" vertical="center" indent="1"/>
    </xf>
    <xf numFmtId="15" fontId="28" fillId="3" borderId="0" xfId="5" applyNumberFormat="1" applyFont="1" applyFill="1"/>
    <xf numFmtId="0" fontId="14" fillId="3" borderId="0" xfId="5" applyFont="1" applyFill="1" applyAlignment="1">
      <alignment vertical="center"/>
    </xf>
    <xf numFmtId="0" fontId="6" fillId="2" borderId="21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65" fontId="50" fillId="2" borderId="7" xfId="1" applyNumberFormat="1" applyFont="1" applyFill="1" applyBorder="1" applyAlignment="1">
      <alignment horizontal="left" vertical="center"/>
    </xf>
    <xf numFmtId="170" fontId="59" fillId="0" borderId="7" xfId="3" applyNumberFormat="1" applyFont="1" applyBorder="1" applyAlignment="1">
      <alignment horizontal="right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13" fillId="3" borderId="15" xfId="0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100265</xdr:colOff>
          <xdr:row>19</xdr:row>
          <xdr:rowOff>24063</xdr:rowOff>
        </xdr:from>
        <xdr:to>
          <xdr:col>11</xdr:col>
          <xdr:colOff>1659858</xdr:colOff>
          <xdr:row>25</xdr:row>
          <xdr:rowOff>262188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AAF6C864-BA14-8487-C2EA-763657A72C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Y$27" spid="_x0000_s13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4791" y="5628774"/>
              <a:ext cx="9089356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4"/>
  <sheetViews>
    <sheetView showGridLines="0" tabSelected="1" view="pageBreakPreview" topLeftCell="A2" zoomScale="95" zoomScaleNormal="95" zoomScaleSheetLayoutView="95" workbookViewId="0">
      <selection activeCell="Q11" sqref="Q11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94" t="s">
        <v>122</v>
      </c>
      <c r="B1" s="195"/>
      <c r="C1" s="100"/>
      <c r="D1" s="100"/>
      <c r="E1" s="100"/>
      <c r="F1" s="100"/>
      <c r="G1" s="1"/>
      <c r="J1" s="144" t="s">
        <v>83</v>
      </c>
      <c r="K1" s="145"/>
      <c r="L1" s="146"/>
    </row>
    <row r="2" spans="1:18" ht="20.100000000000001" customHeight="1">
      <c r="A2" s="3" t="s">
        <v>1</v>
      </c>
      <c r="B2" s="91"/>
      <c r="C2" s="91"/>
      <c r="D2" s="3" t="s">
        <v>123</v>
      </c>
      <c r="E2" s="91"/>
      <c r="F2" s="91"/>
      <c r="G2" s="91"/>
      <c r="H2" s="91"/>
      <c r="I2" s="4"/>
      <c r="J2" s="159" t="s">
        <v>88</v>
      </c>
      <c r="K2" s="160"/>
      <c r="L2" s="161"/>
    </row>
    <row r="3" spans="1:18" ht="20.100000000000001" customHeight="1">
      <c r="A3" s="3" t="s">
        <v>113</v>
      </c>
      <c r="B3" s="91"/>
      <c r="C3" s="91"/>
      <c r="D3" s="91"/>
      <c r="E3" s="196">
        <f>+L3+3</f>
        <v>46238</v>
      </c>
      <c r="F3" s="196"/>
      <c r="G3" s="196"/>
      <c r="H3" s="196"/>
      <c r="I3" s="196"/>
      <c r="J3" s="91"/>
      <c r="K3" s="91"/>
      <c r="L3" s="197">
        <v>46235</v>
      </c>
      <c r="M3" s="4"/>
    </row>
    <row r="4" spans="1:18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136</v>
      </c>
      <c r="J4" s="147" t="s">
        <v>137</v>
      </c>
      <c r="K4" s="157" t="s">
        <v>0</v>
      </c>
      <c r="L4" s="148" t="s">
        <v>7</v>
      </c>
    </row>
    <row r="5" spans="1:18" ht="25.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8" ht="32.25" customHeight="1">
      <c r="A6" s="5">
        <v>1</v>
      </c>
      <c r="B6" s="135" t="s">
        <v>114</v>
      </c>
      <c r="C6" s="136"/>
      <c r="D6" s="138"/>
      <c r="E6" s="139"/>
      <c r="F6" s="140"/>
      <c r="G6" s="101" t="s">
        <v>116</v>
      </c>
      <c r="H6" s="102">
        <v>1</v>
      </c>
      <c r="I6" s="103">
        <v>29</v>
      </c>
      <c r="J6" s="103">
        <f t="shared" ref="J6:J17" si="0">H6*I6</f>
        <v>29</v>
      </c>
      <c r="K6" s="104" t="s">
        <v>100</v>
      </c>
      <c r="L6" s="105" t="s">
        <v>99</v>
      </c>
      <c r="R6" s="96"/>
    </row>
    <row r="7" spans="1:18" ht="32.25" customHeight="1">
      <c r="A7" s="5">
        <v>2</v>
      </c>
      <c r="B7" s="135" t="s">
        <v>115</v>
      </c>
      <c r="C7" s="136"/>
      <c r="D7" s="143"/>
      <c r="E7" s="139"/>
      <c r="F7" s="140"/>
      <c r="G7" s="101" t="s">
        <v>116</v>
      </c>
      <c r="H7" s="102">
        <v>1</v>
      </c>
      <c r="I7" s="103">
        <v>13</v>
      </c>
      <c r="J7" s="103">
        <f t="shared" si="0"/>
        <v>13</v>
      </c>
      <c r="K7" s="104"/>
      <c r="L7" s="105"/>
      <c r="R7" s="96"/>
    </row>
    <row r="8" spans="1:18" ht="32.25" customHeight="1">
      <c r="A8" s="5">
        <v>3</v>
      </c>
      <c r="B8" s="135" t="s">
        <v>117</v>
      </c>
      <c r="C8" s="136"/>
      <c r="D8" s="138" t="s">
        <v>118</v>
      </c>
      <c r="E8" s="139"/>
      <c r="F8" s="140"/>
      <c r="G8" s="101" t="s">
        <v>116</v>
      </c>
      <c r="H8" s="102">
        <v>1</v>
      </c>
      <c r="I8" s="103">
        <v>48</v>
      </c>
      <c r="J8" s="103">
        <f t="shared" si="0"/>
        <v>48</v>
      </c>
      <c r="K8" s="104"/>
      <c r="L8" s="105"/>
      <c r="R8" s="96"/>
    </row>
    <row r="9" spans="1:18" ht="32.25" customHeight="1">
      <c r="A9" s="5">
        <v>4</v>
      </c>
      <c r="B9" s="135" t="s">
        <v>119</v>
      </c>
      <c r="C9" s="136"/>
      <c r="D9" s="138" t="s">
        <v>118</v>
      </c>
      <c r="E9" s="139"/>
      <c r="F9" s="140"/>
      <c r="G9" s="101" t="s">
        <v>116</v>
      </c>
      <c r="H9" s="102">
        <v>1</v>
      </c>
      <c r="I9" s="106">
        <v>25</v>
      </c>
      <c r="J9" s="103">
        <f t="shared" si="0"/>
        <v>25</v>
      </c>
      <c r="K9" s="104"/>
      <c r="L9" s="105"/>
      <c r="R9" s="96"/>
    </row>
    <row r="10" spans="1:18" ht="32.25" customHeight="1">
      <c r="A10" s="5"/>
      <c r="B10" s="135"/>
      <c r="C10" s="136"/>
      <c r="D10" s="137"/>
      <c r="E10" s="137"/>
      <c r="F10" s="137"/>
      <c r="G10" s="101"/>
      <c r="H10" s="102"/>
      <c r="I10" s="103"/>
      <c r="J10" s="103"/>
      <c r="K10" s="104"/>
      <c r="L10" s="101"/>
      <c r="R10" s="96"/>
    </row>
    <row r="11" spans="1:18" ht="21" customHeight="1">
      <c r="A11" s="5"/>
      <c r="B11" s="135"/>
      <c r="C11" s="136"/>
      <c r="D11" s="138"/>
      <c r="E11" s="139"/>
      <c r="F11" s="140"/>
      <c r="G11" s="101"/>
      <c r="H11" s="102"/>
      <c r="I11" s="103"/>
      <c r="J11" s="103"/>
      <c r="K11" s="104"/>
      <c r="L11" s="105"/>
      <c r="R11" s="96"/>
    </row>
    <row r="12" spans="1:18" ht="21" hidden="1" customHeight="1">
      <c r="A12" s="5"/>
      <c r="B12" s="135"/>
      <c r="C12" s="136"/>
      <c r="D12" s="137"/>
      <c r="E12" s="137"/>
      <c r="F12" s="137"/>
      <c r="G12" s="101"/>
      <c r="H12" s="102"/>
      <c r="I12" s="106"/>
      <c r="J12" s="103">
        <f t="shared" si="0"/>
        <v>0</v>
      </c>
      <c r="K12" s="104"/>
      <c r="L12" s="101"/>
      <c r="R12" s="96"/>
    </row>
    <row r="13" spans="1:18" ht="21" hidden="1" customHeight="1">
      <c r="A13" s="5"/>
      <c r="B13" s="135"/>
      <c r="C13" s="136"/>
      <c r="D13" s="138"/>
      <c r="E13" s="139"/>
      <c r="F13" s="140"/>
      <c r="G13" s="101"/>
      <c r="H13" s="102"/>
      <c r="I13" s="103"/>
      <c r="J13" s="103">
        <f t="shared" si="0"/>
        <v>0</v>
      </c>
      <c r="K13" s="104"/>
      <c r="L13" s="105"/>
      <c r="R13" s="96"/>
    </row>
    <row r="14" spans="1:18" ht="21" customHeight="1">
      <c r="A14" s="5"/>
      <c r="B14" s="135"/>
      <c r="C14" s="136"/>
      <c r="D14" s="138"/>
      <c r="E14" s="139"/>
      <c r="F14" s="140"/>
      <c r="G14" s="101"/>
      <c r="H14" s="102"/>
      <c r="I14" s="103"/>
      <c r="J14" s="103"/>
      <c r="K14" s="104"/>
      <c r="L14" s="105"/>
      <c r="R14" s="96"/>
    </row>
    <row r="15" spans="1:18" ht="21" customHeight="1">
      <c r="A15" s="5"/>
      <c r="B15" s="135"/>
      <c r="C15" s="136"/>
      <c r="D15" s="138"/>
      <c r="E15" s="139"/>
      <c r="F15" s="140"/>
      <c r="G15" s="101"/>
      <c r="H15" s="102"/>
      <c r="I15" s="103"/>
      <c r="J15" s="103"/>
      <c r="K15" s="104"/>
      <c r="L15" s="105"/>
      <c r="R15" s="96"/>
    </row>
    <row r="16" spans="1:18" ht="21" customHeight="1">
      <c r="A16" s="5"/>
      <c r="B16" s="135"/>
      <c r="C16" s="136"/>
      <c r="D16" s="138"/>
      <c r="E16" s="139"/>
      <c r="F16" s="140"/>
      <c r="G16" s="101"/>
      <c r="H16" s="102"/>
      <c r="I16" s="103"/>
      <c r="J16" s="103"/>
      <c r="K16" s="104"/>
      <c r="L16" s="105"/>
      <c r="R16" s="96"/>
    </row>
    <row r="17" spans="1:26" ht="21" customHeight="1">
      <c r="A17" s="5"/>
      <c r="B17" s="135"/>
      <c r="C17" s="136"/>
      <c r="D17" s="138"/>
      <c r="E17" s="139"/>
      <c r="F17" s="140"/>
      <c r="G17" s="101"/>
      <c r="H17" s="102"/>
      <c r="I17" s="103"/>
      <c r="J17" s="103"/>
      <c r="K17" s="104"/>
      <c r="L17" s="105"/>
      <c r="R17" s="96"/>
    </row>
    <row r="18" spans="1:26" ht="22.5" customHeight="1">
      <c r="A18" s="141" t="s">
        <v>8</v>
      </c>
      <c r="B18" s="142"/>
      <c r="C18" s="107"/>
      <c r="D18" s="108"/>
      <c r="E18" s="108"/>
      <c r="F18" s="108"/>
      <c r="G18" s="109"/>
      <c r="H18" s="109"/>
      <c r="I18" s="110" t="s">
        <v>9</v>
      </c>
      <c r="J18" s="103">
        <f>SUM(J6:J17)</f>
        <v>115</v>
      </c>
      <c r="K18" s="103"/>
      <c r="L18" s="111"/>
    </row>
    <row r="19" spans="1:26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26" ht="18" customHeight="1">
      <c r="A20" s="10"/>
      <c r="J20" s="1"/>
      <c r="K20" s="1"/>
      <c r="O20" s="11"/>
      <c r="P20" s="11"/>
      <c r="Q20" s="11"/>
      <c r="R20" s="11"/>
      <c r="S20" s="11"/>
      <c r="T20" s="11"/>
      <c r="U20" s="11"/>
      <c r="V20" s="11"/>
      <c r="W20" s="11"/>
      <c r="Y20" s="198"/>
      <c r="Z20" s="11"/>
    </row>
    <row r="21" spans="1:26" ht="50.1" customHeight="1">
      <c r="Y21" s="199"/>
    </row>
    <row r="22" spans="1:26" ht="15" customHeight="1">
      <c r="O22" s="200" t="s">
        <v>124</v>
      </c>
      <c r="P22" s="201"/>
      <c r="Q22" s="201"/>
      <c r="R22" s="202"/>
      <c r="S22" s="119"/>
      <c r="T22" s="200" t="s">
        <v>125</v>
      </c>
      <c r="U22" s="201"/>
      <c r="V22" s="201"/>
      <c r="W22" s="201"/>
      <c r="X22" s="201"/>
      <c r="Y22" s="202"/>
    </row>
    <row r="23" spans="1:26" ht="15" customHeight="1">
      <c r="O23" s="134" t="s">
        <v>126</v>
      </c>
      <c r="P23" s="130" t="s">
        <v>127</v>
      </c>
      <c r="Q23" s="134" t="s">
        <v>128</v>
      </c>
      <c r="R23" s="130" t="s">
        <v>129</v>
      </c>
      <c r="S23" s="119"/>
      <c r="T23" s="134" t="s">
        <v>130</v>
      </c>
      <c r="U23" s="130" t="s">
        <v>131</v>
      </c>
      <c r="V23" s="200" t="s">
        <v>132</v>
      </c>
      <c r="W23" s="201"/>
      <c r="X23" s="202"/>
      <c r="Y23" s="130" t="s">
        <v>133</v>
      </c>
    </row>
    <row r="24" spans="1:26" ht="18" customHeight="1">
      <c r="O24" s="132"/>
      <c r="P24" s="131"/>
      <c r="Q24" s="132"/>
      <c r="R24" s="131"/>
      <c r="S24" s="203"/>
      <c r="T24" s="132"/>
      <c r="U24" s="131"/>
      <c r="V24" s="13" t="s">
        <v>126</v>
      </c>
      <c r="W24" s="204" t="s">
        <v>134</v>
      </c>
      <c r="X24" s="205"/>
      <c r="Y24" s="131"/>
    </row>
    <row r="25" spans="1:26" ht="50.1" customHeight="1">
      <c r="O25" s="14"/>
      <c r="P25" s="14"/>
      <c r="Q25" s="14"/>
      <c r="R25" s="14"/>
      <c r="S25" s="119"/>
      <c r="T25" s="14"/>
      <c r="U25" s="14"/>
      <c r="V25" s="14"/>
      <c r="W25" s="200"/>
      <c r="X25" s="202"/>
      <c r="Y25" s="206"/>
    </row>
    <row r="26" spans="1:26" ht="36" customHeight="1">
      <c r="W26" s="207"/>
      <c r="X26" s="208" t="s">
        <v>135</v>
      </c>
      <c r="Y26" s="12" t="s">
        <v>133</v>
      </c>
    </row>
    <row r="27" spans="1:26" ht="50.1" customHeight="1">
      <c r="O27" s="209"/>
      <c r="P27" s="209"/>
      <c r="Q27" s="209"/>
      <c r="R27" s="209"/>
      <c r="S27" s="209"/>
      <c r="T27" s="209"/>
      <c r="U27" s="209"/>
      <c r="V27" s="209"/>
      <c r="W27" s="210"/>
      <c r="X27" s="211"/>
      <c r="Y27" s="212"/>
    </row>
    <row r="28" spans="1:26" ht="19.899999999999999" customHeight="1"/>
    <row r="29" spans="1:26" ht="17.45" customHeight="1">
      <c r="O29" s="133"/>
      <c r="P29" s="133"/>
    </row>
    <row r="30" spans="1:26" ht="19.899999999999999" customHeight="1">
      <c r="O30" s="133"/>
      <c r="P30" s="133"/>
    </row>
    <row r="31" spans="1:26" ht="14.25">
      <c r="O31" s="11"/>
      <c r="P31" s="11"/>
    </row>
    <row r="32" spans="1:26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30" t="s">
        <v>12</v>
      </c>
      <c r="P48" s="130" t="s">
        <v>12</v>
      </c>
      <c r="S48" s="130" t="s">
        <v>11</v>
      </c>
    </row>
    <row r="49" spans="15:19" ht="21" customHeight="1">
      <c r="O49" s="131"/>
      <c r="P49" s="131"/>
      <c r="S49" s="132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30" t="s">
        <v>12</v>
      </c>
      <c r="P52" s="130" t="s">
        <v>12</v>
      </c>
      <c r="S52" s="130" t="s">
        <v>13</v>
      </c>
    </row>
    <row r="53" spans="15:19" ht="21" customHeight="1">
      <c r="O53" s="131"/>
      <c r="P53" s="131"/>
      <c r="S53" s="132"/>
    </row>
    <row r="54" spans="15:19" ht="64.900000000000006" customHeight="1">
      <c r="O54" s="14"/>
      <c r="P54" s="14"/>
      <c r="S54" s="14"/>
    </row>
  </sheetData>
  <mergeCells count="59">
    <mergeCell ref="W25:X25"/>
    <mergeCell ref="X26:X27"/>
    <mergeCell ref="Y20:Y21"/>
    <mergeCell ref="O22:R22"/>
    <mergeCell ref="T22:Y22"/>
    <mergeCell ref="O23:O24"/>
    <mergeCell ref="Q23:Q24"/>
    <mergeCell ref="R23:R24"/>
    <mergeCell ref="T23:T24"/>
    <mergeCell ref="U23:U24"/>
    <mergeCell ref="V23:X23"/>
    <mergeCell ref="Y23:Y24"/>
    <mergeCell ref="W24:X24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P23:P24"/>
    <mergeCell ref="B12:C12"/>
    <mergeCell ref="D12:F12"/>
    <mergeCell ref="B13:C13"/>
    <mergeCell ref="D13:F13"/>
    <mergeCell ref="B14:C14"/>
    <mergeCell ref="D14:F14"/>
    <mergeCell ref="B16:C16"/>
    <mergeCell ref="D16:F16"/>
    <mergeCell ref="B15:C15"/>
    <mergeCell ref="D15:F15"/>
    <mergeCell ref="B17:C17"/>
    <mergeCell ref="D17:F17"/>
    <mergeCell ref="A18:B18"/>
    <mergeCell ref="P52:P53"/>
    <mergeCell ref="S52:S53"/>
    <mergeCell ref="O29:O30"/>
    <mergeCell ref="P29:P30"/>
    <mergeCell ref="O48:O49"/>
    <mergeCell ref="P48:P49"/>
    <mergeCell ref="S48:S49"/>
    <mergeCell ref="O52:O53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2" t="s">
        <v>87</v>
      </c>
      <c r="B1" s="90"/>
      <c r="C1" s="90"/>
      <c r="D1" s="90"/>
      <c r="E1" s="90"/>
      <c r="F1" s="90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16"/>
      <c r="H2" s="16"/>
      <c r="I2" s="16"/>
      <c r="J2" s="159" t="str">
        <f>+MRS!J2</f>
        <v>Subcontract name (SAC2-SC-IK-SMP-01)</v>
      </c>
      <c r="K2" s="161"/>
    </row>
    <row r="3" spans="1:18" ht="24.95" customHeight="1">
      <c r="A3" s="3" t="str">
        <f>+MRS!A3</f>
        <v xml:space="preserve">  MRS No : SAC2-DS-MRS-0386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46235</v>
      </c>
    </row>
    <row r="4" spans="1:18" ht="15.95" customHeight="1">
      <c r="A4" s="172" t="s">
        <v>2</v>
      </c>
      <c r="B4" s="173" t="s">
        <v>14</v>
      </c>
      <c r="C4" s="173"/>
      <c r="D4" s="172" t="s">
        <v>4</v>
      </c>
      <c r="E4" s="172"/>
      <c r="F4" s="172"/>
      <c r="G4" s="173" t="s">
        <v>5</v>
      </c>
      <c r="H4" s="172" t="s">
        <v>84</v>
      </c>
      <c r="I4" s="172" t="s">
        <v>15</v>
      </c>
      <c r="J4" s="172" t="s">
        <v>16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17">
        <f>+MRS!A6</f>
        <v>1</v>
      </c>
      <c r="B6" s="167" t="str">
        <f>MRS!B6</f>
        <v>Steel Structure Foreman</v>
      </c>
      <c r="C6" s="168"/>
      <c r="D6" s="169">
        <f>MRS!D6</f>
        <v>0</v>
      </c>
      <c r="E6" s="170"/>
      <c r="F6" s="171"/>
      <c r="G6" s="93" t="str">
        <f>MRS!G6</f>
        <v>Hr</v>
      </c>
      <c r="H6" s="93">
        <f>MRS!H6</f>
        <v>1</v>
      </c>
      <c r="I6" s="94">
        <f>MRS!I6</f>
        <v>29</v>
      </c>
      <c r="J6" s="94">
        <f>MRS!J6</f>
        <v>29</v>
      </c>
      <c r="K6" s="95"/>
      <c r="O6" s="96"/>
      <c r="P6" s="96"/>
      <c r="R6" s="96"/>
    </row>
    <row r="7" spans="1:18" ht="105" customHeight="1">
      <c r="A7" s="17">
        <f>+MRS!A7</f>
        <v>2</v>
      </c>
      <c r="B7" s="167" t="str">
        <f>MRS!B7</f>
        <v>Helper</v>
      </c>
      <c r="C7" s="168"/>
      <c r="D7" s="169">
        <f>MRS!D7</f>
        <v>0</v>
      </c>
      <c r="E7" s="170"/>
      <c r="F7" s="171"/>
      <c r="G7" s="93" t="str">
        <f>MRS!G7</f>
        <v>Hr</v>
      </c>
      <c r="H7" s="93">
        <f>MRS!H7</f>
        <v>1</v>
      </c>
      <c r="I7" s="94">
        <f>MRS!I7</f>
        <v>13</v>
      </c>
      <c r="J7" s="94">
        <f>MRS!J7</f>
        <v>13</v>
      </c>
      <c r="K7" s="95"/>
      <c r="O7" s="96"/>
      <c r="P7" s="96"/>
      <c r="R7" s="96"/>
    </row>
    <row r="8" spans="1:18" ht="105" customHeight="1">
      <c r="A8" s="17">
        <f>+MRS!A8</f>
        <v>3</v>
      </c>
      <c r="B8" s="167" t="str">
        <f>MRS!B8</f>
        <v xml:space="preserve">Painting Supervisor  </v>
      </c>
      <c r="C8" s="168"/>
      <c r="D8" s="169" t="str">
        <f>MRS!D8</f>
        <v>Aramco Certified</v>
      </c>
      <c r="E8" s="170"/>
      <c r="F8" s="171"/>
      <c r="G8" s="93" t="str">
        <f>MRS!G8</f>
        <v>Hr</v>
      </c>
      <c r="H8" s="93">
        <f>MRS!H8</f>
        <v>1</v>
      </c>
      <c r="I8" s="94">
        <f>MRS!I8</f>
        <v>48</v>
      </c>
      <c r="J8" s="94">
        <f>MRS!J8</f>
        <v>48</v>
      </c>
      <c r="K8" s="95"/>
      <c r="O8" s="96"/>
      <c r="P8" s="96"/>
      <c r="R8" s="96"/>
    </row>
    <row r="9" spans="1:18" ht="105" customHeight="1">
      <c r="A9" s="17">
        <f>+MRS!A9</f>
        <v>4</v>
      </c>
      <c r="B9" s="167" t="str">
        <f>MRS!B9</f>
        <v xml:space="preserve">Painter </v>
      </c>
      <c r="C9" s="168"/>
      <c r="D9" s="169" t="str">
        <f>MRS!D9</f>
        <v>Aramco Certified</v>
      </c>
      <c r="E9" s="170"/>
      <c r="F9" s="171"/>
      <c r="G9" s="93" t="str">
        <f>MRS!G9</f>
        <v>Hr</v>
      </c>
      <c r="H9" s="93">
        <f>MRS!H9</f>
        <v>1</v>
      </c>
      <c r="I9" s="94">
        <f>MRS!I9</f>
        <v>25</v>
      </c>
      <c r="J9" s="94">
        <f>MRS!J9</f>
        <v>25</v>
      </c>
      <c r="K9" s="95"/>
      <c r="O9" s="96"/>
      <c r="P9" s="96"/>
      <c r="R9" s="96"/>
    </row>
    <row r="10" spans="1:18" ht="105" customHeight="1">
      <c r="A10" s="17">
        <f>+MRS!A10</f>
        <v>0</v>
      </c>
      <c r="B10" s="167">
        <f>MRS!B10</f>
        <v>0</v>
      </c>
      <c r="C10" s="168"/>
      <c r="D10" s="169">
        <f>MRS!D10</f>
        <v>0</v>
      </c>
      <c r="E10" s="170"/>
      <c r="F10" s="171"/>
      <c r="G10" s="93">
        <f>MRS!G10</f>
        <v>0</v>
      </c>
      <c r="H10" s="93">
        <f>MRS!H10</f>
        <v>0</v>
      </c>
      <c r="I10" s="94">
        <f>MRS!I10</f>
        <v>0</v>
      </c>
      <c r="J10" s="94">
        <f>MRS!J10</f>
        <v>0</v>
      </c>
      <c r="K10" s="95"/>
      <c r="O10" s="96"/>
      <c r="P10" s="96"/>
      <c r="R10" s="96"/>
    </row>
    <row r="11" spans="1:18" ht="105" customHeight="1">
      <c r="A11" s="17">
        <f>+MRS!A11</f>
        <v>0</v>
      </c>
      <c r="B11" s="167">
        <f>MRS!B11</f>
        <v>0</v>
      </c>
      <c r="C11" s="168"/>
      <c r="D11" s="169">
        <f>MRS!D11</f>
        <v>0</v>
      </c>
      <c r="E11" s="170"/>
      <c r="F11" s="171"/>
      <c r="G11" s="93">
        <f>MRS!G11</f>
        <v>0</v>
      </c>
      <c r="H11" s="93">
        <f>MRS!H11</f>
        <v>0</v>
      </c>
      <c r="I11" s="94">
        <f>MRS!I11</f>
        <v>0</v>
      </c>
      <c r="J11" s="94">
        <f>MRS!J11</f>
        <v>0</v>
      </c>
      <c r="K11" s="95"/>
      <c r="O11" s="96"/>
      <c r="P11" s="96"/>
      <c r="R11" s="96"/>
    </row>
    <row r="12" spans="1:18" ht="105" customHeight="1">
      <c r="A12" s="17">
        <f>+MRS!A12</f>
        <v>0</v>
      </c>
      <c r="B12" s="162"/>
      <c r="C12" s="163"/>
      <c r="D12" s="164"/>
      <c r="E12" s="165"/>
      <c r="F12" s="166"/>
      <c r="G12" s="97"/>
      <c r="H12" s="98"/>
      <c r="I12" s="99"/>
      <c r="J12" s="99"/>
      <c r="K12" s="95"/>
      <c r="O12" s="96"/>
      <c r="P12" s="96"/>
      <c r="R12" s="96"/>
    </row>
    <row r="13" spans="1:18" ht="105" customHeight="1">
      <c r="A13" s="17">
        <f>+MRS!A13</f>
        <v>0</v>
      </c>
      <c r="B13" s="162"/>
      <c r="C13" s="163"/>
      <c r="D13" s="164"/>
      <c r="E13" s="165"/>
      <c r="F13" s="166"/>
      <c r="G13" s="97"/>
      <c r="H13" s="98"/>
      <c r="I13" s="99"/>
      <c r="J13" s="99"/>
      <c r="K13" s="95"/>
      <c r="O13" s="96"/>
      <c r="P13" s="96"/>
      <c r="R13" s="96"/>
    </row>
    <row r="14" spans="1:18" ht="105" customHeight="1">
      <c r="A14" s="17">
        <f>+MRS!A14</f>
        <v>0</v>
      </c>
      <c r="B14" s="162"/>
      <c r="C14" s="163"/>
      <c r="D14" s="164"/>
      <c r="E14" s="165"/>
      <c r="F14" s="166"/>
      <c r="G14" s="97"/>
      <c r="H14" s="98"/>
      <c r="I14" s="99"/>
      <c r="J14" s="99"/>
      <c r="K14" s="95"/>
      <c r="O14" s="96"/>
      <c r="P14" s="96"/>
      <c r="R14" s="96"/>
    </row>
    <row r="15" spans="1:18" ht="105" customHeight="1">
      <c r="A15" s="17">
        <f>+MRS!A17</f>
        <v>0</v>
      </c>
      <c r="B15" s="162"/>
      <c r="C15" s="163"/>
      <c r="D15" s="164"/>
      <c r="E15" s="165"/>
      <c r="F15" s="166"/>
      <c r="G15" s="97"/>
      <c r="H15" s="98"/>
      <c r="I15" s="99"/>
      <c r="J15" s="99"/>
      <c r="K15" s="95"/>
      <c r="O15" s="96"/>
      <c r="P15" s="96"/>
      <c r="R15" s="96"/>
    </row>
    <row r="16" spans="1:18" ht="105" customHeight="1">
      <c r="A16" s="17" t="e">
        <f>+MRS!#REF!</f>
        <v>#REF!</v>
      </c>
      <c r="B16" s="162"/>
      <c r="C16" s="163"/>
      <c r="D16" s="164"/>
      <c r="E16" s="165"/>
      <c r="F16" s="166"/>
      <c r="G16" s="97"/>
      <c r="H16" s="98"/>
      <c r="I16" s="99"/>
      <c r="J16" s="99"/>
      <c r="K16" s="95"/>
      <c r="O16" s="96"/>
      <c r="P16" s="96"/>
      <c r="R16" s="96"/>
    </row>
    <row r="17" spans="1:18" ht="105" customHeight="1">
      <c r="A17" s="17" t="e">
        <f>+MRS!#REF!</f>
        <v>#REF!</v>
      </c>
      <c r="B17" s="162"/>
      <c r="C17" s="163"/>
      <c r="D17" s="164"/>
      <c r="E17" s="165"/>
      <c r="F17" s="166"/>
      <c r="G17" s="97"/>
      <c r="H17" s="98"/>
      <c r="I17" s="99"/>
      <c r="J17" s="99"/>
      <c r="K17" s="95"/>
      <c r="O17" s="96"/>
      <c r="P17" s="96"/>
      <c r="R17" s="9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33" zoomScale="130" zoomScaleNormal="100" zoomScaleSheetLayoutView="130" workbookViewId="0">
      <selection activeCell="P55" sqref="P5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2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101</v>
      </c>
      <c r="D9" s="35"/>
      <c r="E9" s="35"/>
    </row>
    <row r="10" spans="2:13" s="35" customFormat="1">
      <c r="B10" s="68"/>
      <c r="C10" s="35" t="s">
        <v>24</v>
      </c>
      <c r="D10" s="72" t="s">
        <v>102</v>
      </c>
      <c r="J10" s="35" t="s">
        <v>25</v>
      </c>
      <c r="K10" s="121">
        <f>MRS!L3</f>
        <v>46235</v>
      </c>
      <c r="L10" s="122"/>
      <c r="M10" s="122"/>
    </row>
    <row r="11" spans="2:13" s="35" customFormat="1">
      <c r="B11" s="68"/>
      <c r="C11" s="71" t="s">
        <v>26</v>
      </c>
      <c r="D11" s="72" t="s">
        <v>103</v>
      </c>
      <c r="J11" s="35" t="s">
        <v>27</v>
      </c>
      <c r="K11" s="123" t="str">
        <f>SUBSTITUTE(SUBSTITUTE(+MRS!A3,"  MRS No : ",""),"-MRS","-PO")</f>
        <v>SAC2-DS-PO-0386</v>
      </c>
      <c r="L11" s="123"/>
      <c r="M11" s="123"/>
    </row>
    <row r="12" spans="2:13" s="35" customFormat="1">
      <c r="B12" s="68"/>
      <c r="C12" s="71" t="s">
        <v>28</v>
      </c>
      <c r="D12" s="35" t="s">
        <v>104</v>
      </c>
      <c r="J12" s="35" t="s">
        <v>29</v>
      </c>
    </row>
    <row r="13" spans="2:13" s="35" customFormat="1">
      <c r="B13" s="68"/>
      <c r="C13" s="73"/>
      <c r="D13" s="72" t="s">
        <v>105</v>
      </c>
      <c r="J13" s="35" t="s">
        <v>30</v>
      </c>
    </row>
    <row r="14" spans="2:13" s="35" customFormat="1">
      <c r="B14" s="68"/>
      <c r="C14" s="73" t="s">
        <v>106</v>
      </c>
      <c r="J14" s="35" t="s">
        <v>31</v>
      </c>
      <c r="K14" s="35" t="s">
        <v>120</v>
      </c>
    </row>
    <row r="15" spans="2:13" s="35" customFormat="1">
      <c r="B15" s="68"/>
      <c r="C15" s="73" t="s">
        <v>107</v>
      </c>
      <c r="J15" s="35" t="s">
        <v>32</v>
      </c>
      <c r="K15" s="74">
        <v>46214</v>
      </c>
      <c r="L15" s="117">
        <v>46222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24" t="s">
        <v>33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</row>
    <row r="19" spans="2:13" ht="12" customHeight="1"/>
    <row r="20" spans="2:13" s="27" customFormat="1" ht="12" customHeight="1">
      <c r="B20" s="125" t="s">
        <v>34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</row>
    <row r="21" spans="2:13" s="27" customFormat="1" ht="12" customHeight="1">
      <c r="B21" s="125" t="s">
        <v>35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</row>
    <row r="22" spans="2:13" s="27" customFormat="1" ht="12" customHeight="1">
      <c r="B22" s="125" t="s">
        <v>36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</row>
    <row r="23" spans="2:13" ht="6.95" customHeight="1"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</row>
    <row r="24" spans="2:13" ht="6.9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5" t="str">
        <f>MRS!B6&amp;" "&amp;MRS!B7</f>
        <v>Steel Structure Foreman Helper</v>
      </c>
      <c r="M26" s="116" t="s">
        <v>38</v>
      </c>
    </row>
    <row r="27" spans="2:13" ht="11.1" customHeight="1">
      <c r="B27" s="28"/>
      <c r="C27" s="115" t="str">
        <f>MRS!B8&amp;" "&amp;MRS!B9</f>
        <v xml:space="preserve">Painting Supervisor   Painter 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28" t="s">
        <v>99</v>
      </c>
      <c r="G29" s="128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28"/>
      <c r="G30" s="128"/>
    </row>
    <row r="31" spans="2:13" ht="12" customHeight="1">
      <c r="B31" s="28"/>
      <c r="C31" s="22" t="s">
        <v>43</v>
      </c>
      <c r="D31" s="31"/>
      <c r="E31" s="22" t="s">
        <v>41</v>
      </c>
      <c r="F31" s="128"/>
      <c r="G31" s="12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89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90</v>
      </c>
    </row>
    <row r="54" spans="2:16" ht="12" customHeight="1">
      <c r="B54" s="79" t="s">
        <v>57</v>
      </c>
      <c r="C54" s="113" t="s">
        <v>91</v>
      </c>
      <c r="F54" s="22" t="s">
        <v>108</v>
      </c>
    </row>
    <row r="55" spans="2:16" ht="12" customHeight="1">
      <c r="B55" s="79" t="s">
        <v>57</v>
      </c>
      <c r="C55" s="113" t="s">
        <v>92</v>
      </c>
      <c r="F55" s="114" t="s">
        <v>109</v>
      </c>
    </row>
    <row r="56" spans="2:16" ht="12" customHeight="1">
      <c r="B56" s="79" t="s">
        <v>57</v>
      </c>
      <c r="C56" s="113" t="s">
        <v>93</v>
      </c>
      <c r="F56" s="114" t="s">
        <v>110</v>
      </c>
    </row>
    <row r="57" spans="2:16" ht="12" customHeight="1">
      <c r="B57" s="79" t="s">
        <v>57</v>
      </c>
      <c r="C57" s="113" t="s">
        <v>94</v>
      </c>
      <c r="F57" s="22" t="s">
        <v>111</v>
      </c>
    </row>
    <row r="58" spans="2:16" ht="12" customHeight="1">
      <c r="B58" s="79" t="s">
        <v>57</v>
      </c>
      <c r="C58" s="113" t="s">
        <v>95</v>
      </c>
      <c r="F58" s="22" t="s">
        <v>112</v>
      </c>
    </row>
    <row r="59" spans="2:16" ht="12" customHeight="1">
      <c r="B59" s="79" t="s">
        <v>57</v>
      </c>
      <c r="C59" s="113" t="s">
        <v>96</v>
      </c>
      <c r="F59" s="22" t="s">
        <v>97</v>
      </c>
    </row>
    <row r="60" spans="2:16" ht="12" customHeight="1">
      <c r="B60" s="79"/>
      <c r="C60" s="113" t="s">
        <v>98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Rafiqul Islam</v>
      </c>
    </row>
    <row r="69" spans="1:13" ht="18" customHeight="1">
      <c r="B69" s="22" t="s">
        <v>63</v>
      </c>
      <c r="J69" s="22" t="s">
        <v>64</v>
      </c>
      <c r="K69" s="118" t="s">
        <v>121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29" t="str">
        <f>C9</f>
        <v>HGC(Hussain Saleh Al Saffar General Contracting Est.)</v>
      </c>
      <c r="K71" s="129"/>
      <c r="L71" s="129"/>
      <c r="M71" s="129"/>
    </row>
    <row r="72" spans="1:13" ht="27.95" customHeight="1">
      <c r="A72" s="120" t="s">
        <v>68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5" sqref="G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SAC2-DS-PO-0386</v>
      </c>
      <c r="C2" s="180" t="s">
        <v>70</v>
      </c>
      <c r="D2" s="180"/>
      <c r="E2" s="180"/>
      <c r="F2" s="180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46235</v>
      </c>
      <c r="C3" s="47"/>
      <c r="D3" s="48"/>
      <c r="E3" s="181" t="s">
        <v>72</v>
      </c>
      <c r="F3" s="181"/>
      <c r="G3" s="181"/>
      <c r="H3" s="181"/>
      <c r="I3" s="49"/>
    </row>
    <row r="4" spans="1:13" s="51" customFormat="1" ht="28.5" customHeight="1" thickTop="1">
      <c r="A4" s="182" t="s">
        <v>73</v>
      </c>
      <c r="B4" s="184" t="s">
        <v>74</v>
      </c>
      <c r="C4" s="185"/>
      <c r="D4" s="188" t="s">
        <v>75</v>
      </c>
      <c r="E4" s="188" t="s">
        <v>76</v>
      </c>
      <c r="F4" s="190" t="str">
        <f>'PO 1st page'!C9</f>
        <v>HGC(Hussain Saleh Al Saffar General Contracting Est.)</v>
      </c>
      <c r="G4" s="191"/>
      <c r="H4" s="192" t="s">
        <v>77</v>
      </c>
      <c r="K4" s="52"/>
      <c r="L4" s="52"/>
      <c r="M4" s="52"/>
    </row>
    <row r="5" spans="1:13" s="51" customFormat="1" ht="21.95" customHeight="1">
      <c r="A5" s="183"/>
      <c r="B5" s="186"/>
      <c r="C5" s="187"/>
      <c r="D5" s="189"/>
      <c r="E5" s="189"/>
      <c r="F5" s="53" t="s">
        <v>78</v>
      </c>
      <c r="G5" s="53" t="s">
        <v>43</v>
      </c>
      <c r="H5" s="193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78" t="str">
        <f>CONCATENATE(MRS!B6," ",MRS!D6)</f>
        <v xml:space="preserve">Steel Structure Foreman </v>
      </c>
      <c r="C6" s="179"/>
      <c r="D6" s="81" t="str">
        <f>MRS!G6</f>
        <v>Hr</v>
      </c>
      <c r="E6" s="82">
        <f>MRS!H6</f>
        <v>1</v>
      </c>
      <c r="F6" s="83">
        <f>MRS!I6</f>
        <v>29</v>
      </c>
      <c r="G6" s="84">
        <f>MRS!J6</f>
        <v>29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78" t="str">
        <f>CONCATENATE(MRS!B7," ",MRS!D7)</f>
        <v xml:space="preserve">Helper </v>
      </c>
      <c r="C7" s="179"/>
      <c r="D7" s="81" t="str">
        <f>MRS!G7</f>
        <v>Hr</v>
      </c>
      <c r="E7" s="82">
        <f>MRS!H7</f>
        <v>1</v>
      </c>
      <c r="F7" s="83">
        <f>MRS!I7</f>
        <v>13</v>
      </c>
      <c r="G7" s="84">
        <f>MRS!J7</f>
        <v>13</v>
      </c>
      <c r="H7" s="85"/>
      <c r="K7" s="86"/>
      <c r="L7" s="87"/>
      <c r="M7" s="52"/>
    </row>
    <row r="8" spans="1:13" s="51" customFormat="1" ht="32.1" customHeight="1">
      <c r="A8" s="88">
        <f t="shared" si="0"/>
        <v>3</v>
      </c>
      <c r="B8" s="178" t="str">
        <f>CONCATENATE(MRS!B8," ",MRS!D8)</f>
        <v>Painting Supervisor   Aramco Certified</v>
      </c>
      <c r="C8" s="179"/>
      <c r="D8" s="81" t="str">
        <f>MRS!G8</f>
        <v>Hr</v>
      </c>
      <c r="E8" s="82">
        <f>MRS!H8</f>
        <v>1</v>
      </c>
      <c r="F8" s="83">
        <f>MRS!I8</f>
        <v>48</v>
      </c>
      <c r="G8" s="84">
        <f>MRS!J8</f>
        <v>48</v>
      </c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78" t="str">
        <f>CONCATENATE(MRS!B9," ",MRS!D9)</f>
        <v>Painter  Aramco Certified</v>
      </c>
      <c r="C9" s="179"/>
      <c r="D9" s="81" t="str">
        <f>MRS!G9</f>
        <v>Hr</v>
      </c>
      <c r="E9" s="82">
        <f>MRS!H9</f>
        <v>1</v>
      </c>
      <c r="F9" s="83">
        <f>MRS!I9</f>
        <v>25</v>
      </c>
      <c r="G9" s="84">
        <f>MRS!J9</f>
        <v>25</v>
      </c>
      <c r="H9" s="85"/>
    </row>
    <row r="10" spans="1:13" s="51" customFormat="1" ht="32.1" customHeight="1">
      <c r="A10" s="88">
        <f t="shared" si="0"/>
        <v>5</v>
      </c>
      <c r="B10" s="178" t="str">
        <f>CONCATENATE(MRS!B10," ",MRS!D10)</f>
        <v xml:space="preserve"> </v>
      </c>
      <c r="C10" s="179"/>
      <c r="D10" s="81"/>
      <c r="E10" s="82"/>
      <c r="F10" s="83"/>
      <c r="G10" s="84"/>
      <c r="H10" s="89"/>
    </row>
    <row r="11" spans="1:13" s="51" customFormat="1" ht="32.1" customHeight="1">
      <c r="A11" s="88">
        <f t="shared" si="0"/>
        <v>6</v>
      </c>
      <c r="B11" s="178"/>
      <c r="C11" s="179"/>
      <c r="D11" s="81"/>
      <c r="E11" s="82"/>
      <c r="F11" s="83"/>
      <c r="G11" s="84"/>
      <c r="H11" s="89"/>
    </row>
    <row r="12" spans="1:13" s="51" customFormat="1" ht="32.1" customHeight="1">
      <c r="A12" s="88">
        <f t="shared" si="0"/>
        <v>7</v>
      </c>
      <c r="B12" s="178" t="str">
        <f>CONCATENATE(MRS!B12," ",MRS!D12)</f>
        <v xml:space="preserve"> </v>
      </c>
      <c r="C12" s="179"/>
      <c r="D12" s="81"/>
      <c r="E12" s="82"/>
      <c r="F12" s="83"/>
      <c r="G12" s="84"/>
      <c r="H12" s="89"/>
    </row>
    <row r="13" spans="1:13" s="51" customFormat="1" ht="32.1" customHeight="1">
      <c r="A13" s="88">
        <f t="shared" si="0"/>
        <v>8</v>
      </c>
      <c r="B13" s="178" t="str">
        <f>CONCATENATE(MRS!B13," ",MRS!D13)</f>
        <v xml:space="preserve"> </v>
      </c>
      <c r="C13" s="179"/>
      <c r="D13" s="81"/>
      <c r="E13" s="82"/>
      <c r="F13" s="83"/>
      <c r="G13" s="84"/>
      <c r="H13" s="89"/>
    </row>
    <row r="14" spans="1:13" s="51" customFormat="1" ht="32.1" customHeight="1">
      <c r="A14" s="88">
        <f t="shared" si="0"/>
        <v>9</v>
      </c>
      <c r="B14" s="178" t="str">
        <f>CONCATENATE(MRS!B14," ",MRS!D14)</f>
        <v xml:space="preserve"> </v>
      </c>
      <c r="C14" s="179"/>
      <c r="D14" s="81"/>
      <c r="E14" s="82"/>
      <c r="F14" s="83"/>
      <c r="G14" s="84"/>
      <c r="H14" s="89"/>
    </row>
    <row r="15" spans="1:13" s="51" customFormat="1" ht="32.1" customHeight="1">
      <c r="A15" s="88">
        <f t="shared" si="0"/>
        <v>10</v>
      </c>
      <c r="B15" s="178" t="str">
        <f>CONCATENATE(MRS!B15," ",MRS!D15)</f>
        <v xml:space="preserve"> </v>
      </c>
      <c r="C15" s="179"/>
      <c r="D15" s="81"/>
      <c r="E15" s="82"/>
      <c r="F15" s="83"/>
      <c r="G15" s="84"/>
      <c r="H15" s="89"/>
    </row>
    <row r="16" spans="1:13" s="51" customFormat="1" ht="32.1" customHeight="1">
      <c r="A16" s="88">
        <f t="shared" si="0"/>
        <v>11</v>
      </c>
      <c r="B16" s="178" t="str">
        <f>CONCATENATE(MRS!B16," ",MRS!D16)</f>
        <v xml:space="preserve"> </v>
      </c>
      <c r="C16" s="179"/>
      <c r="D16" s="81"/>
      <c r="E16" s="82"/>
      <c r="F16" s="83"/>
      <c r="G16" s="84"/>
      <c r="H16" s="89"/>
    </row>
    <row r="17" spans="1:13" s="51" customFormat="1" ht="32.1" customHeight="1">
      <c r="A17" s="88">
        <f t="shared" si="0"/>
        <v>12</v>
      </c>
      <c r="B17" s="178" t="str">
        <f>CONCATENATE(MRS!B17," ",MRS!D17)</f>
        <v xml:space="preserve"> </v>
      </c>
      <c r="C17" s="179"/>
      <c r="D17" s="81"/>
      <c r="E17" s="82"/>
      <c r="F17" s="83"/>
      <c r="G17" s="84"/>
      <c r="H17" s="89"/>
    </row>
    <row r="18" spans="1:13" s="51" customFormat="1" ht="23.1" customHeight="1">
      <c r="A18" s="174" t="s">
        <v>79</v>
      </c>
      <c r="B18" s="175"/>
      <c r="C18" s="175"/>
      <c r="D18" s="175"/>
      <c r="E18" s="175"/>
      <c r="F18" s="175"/>
      <c r="G18" s="54">
        <f>SUM(G6:G17)</f>
        <v>115</v>
      </c>
      <c r="H18" s="55"/>
    </row>
    <row r="19" spans="1:13" s="51" customFormat="1" ht="23.1" customHeight="1">
      <c r="A19" s="174" t="s">
        <v>42</v>
      </c>
      <c r="B19" s="175"/>
      <c r="C19" s="175"/>
      <c r="D19" s="175"/>
      <c r="E19" s="175"/>
      <c r="F19" s="175"/>
      <c r="G19" s="54">
        <f>+G18*0.15</f>
        <v>17.25</v>
      </c>
      <c r="H19" s="55"/>
    </row>
    <row r="20" spans="1:13" s="51" customFormat="1" ht="24.95" customHeight="1" thickBot="1">
      <c r="A20" s="176" t="s">
        <v>80</v>
      </c>
      <c r="B20" s="177"/>
      <c r="C20" s="177"/>
      <c r="D20" s="177"/>
      <c r="E20" s="177"/>
      <c r="F20" s="177"/>
      <c r="G20" s="56">
        <f>G19+G18</f>
        <v>132.25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HGC-00962, HGC-00963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20" t="s">
        <v>82</v>
      </c>
      <c r="B24" s="120"/>
      <c r="C24" s="120"/>
      <c r="D24" s="120"/>
      <c r="E24" s="120"/>
      <c r="F24" s="120"/>
      <c r="G24" s="120"/>
      <c r="H24" s="120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2026-08-04T14:33:46Z</cp:lastPrinted>
  <dcterms:created xsi:type="dcterms:W3CDTF">2024-10-20T11:50:19Z</dcterms:created>
  <dcterms:modified xsi:type="dcterms:W3CDTF">2026-08-04T14:35:48Z</dcterms:modified>
</cp:coreProperties>
</file>