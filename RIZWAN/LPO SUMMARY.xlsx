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Z:\Boss\PO\RIZWAN\"/>
    </mc:Choice>
  </mc:AlternateContent>
  <xr:revisionPtr revIDLastSave="0" documentId="13_ncr:1_{70708720-CFA5-4942-BD7E-E1695BFC6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Sheet1!$A$2:$P$499</definedName>
    <definedName name="_xlnm.Print_Area" localSheetId="0">Sheet1!$A$2:$G$467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9" i="1" l="1"/>
  <c r="O499" i="1" s="1"/>
  <c r="A499" i="1"/>
  <c r="L498" i="1" l="1"/>
  <c r="O498" i="1" s="1"/>
  <c r="A498" i="1"/>
  <c r="L497" i="1" l="1"/>
  <c r="O497" i="1" s="1"/>
  <c r="A497" i="1"/>
  <c r="L496" i="1" l="1"/>
  <c r="O496" i="1" s="1"/>
  <c r="A496" i="1"/>
  <c r="J328" i="1" l="1"/>
  <c r="L495" i="1" l="1"/>
  <c r="O495" i="1" s="1"/>
  <c r="A495" i="1"/>
  <c r="L494" i="1" l="1"/>
  <c r="O494" i="1" s="1"/>
  <c r="A494" i="1"/>
  <c r="L493" i="1" l="1"/>
  <c r="O493" i="1" s="1"/>
  <c r="A493" i="1"/>
  <c r="L492" i="1" l="1"/>
  <c r="O492" i="1" s="1"/>
  <c r="A492" i="1"/>
  <c r="L491" i="1" l="1"/>
  <c r="O491" i="1" s="1"/>
  <c r="A491" i="1"/>
  <c r="L490" i="1" l="1"/>
  <c r="O490" i="1" s="1"/>
  <c r="A490" i="1"/>
  <c r="L489" i="1" l="1"/>
  <c r="O489" i="1" s="1"/>
  <c r="A489" i="1"/>
  <c r="L488" i="1" l="1"/>
  <c r="O488" i="1" s="1"/>
  <c r="A488" i="1"/>
  <c r="L487" i="1"/>
  <c r="O487" i="1" s="1"/>
  <c r="A487" i="1"/>
  <c r="L486" i="1" l="1"/>
  <c r="O486" i="1" s="1"/>
  <c r="A486" i="1"/>
  <c r="L485" i="1" l="1"/>
  <c r="O485" i="1" s="1"/>
  <c r="A485" i="1"/>
  <c r="L484" i="1" l="1"/>
  <c r="O484" i="1" s="1"/>
  <c r="A484" i="1"/>
  <c r="L483" i="1" l="1"/>
  <c r="O483" i="1" s="1"/>
  <c r="A483" i="1"/>
  <c r="L482" i="1" l="1"/>
  <c r="O482" i="1" s="1"/>
  <c r="A482" i="1"/>
  <c r="L481" i="1" l="1"/>
  <c r="O481" i="1" s="1"/>
  <c r="A481" i="1"/>
  <c r="L480" i="1" l="1"/>
  <c r="O480" i="1" s="1"/>
  <c r="A480" i="1"/>
  <c r="L479" i="1" l="1"/>
  <c r="O479" i="1" s="1"/>
  <c r="A479" i="1"/>
  <c r="L478" i="1" l="1"/>
  <c r="O478" i="1" s="1"/>
  <c r="A478" i="1"/>
  <c r="L477" i="1" l="1"/>
  <c r="O477" i="1" s="1"/>
  <c r="A477" i="1"/>
  <c r="L476" i="1" l="1"/>
  <c r="O476" i="1" s="1"/>
  <c r="A476" i="1"/>
  <c r="L475" i="1" l="1"/>
  <c r="O475" i="1" s="1"/>
  <c r="A475" i="1"/>
  <c r="L474" i="1" l="1"/>
  <c r="O474" i="1" s="1"/>
  <c r="A474" i="1"/>
  <c r="L473" i="1" l="1"/>
  <c r="O473" i="1" s="1"/>
  <c r="A473" i="1"/>
  <c r="L472" i="1" l="1"/>
  <c r="O472" i="1" s="1"/>
  <c r="A472" i="1"/>
  <c r="L471" i="1"/>
  <c r="O471" i="1" s="1"/>
  <c r="A471" i="1"/>
  <c r="L470" i="1" l="1"/>
  <c r="O470" i="1" s="1"/>
  <c r="A470" i="1"/>
  <c r="L469" i="1" l="1"/>
  <c r="O469" i="1" s="1"/>
  <c r="A469" i="1"/>
  <c r="L468" i="1" l="1"/>
  <c r="O468" i="1" s="1"/>
  <c r="A468" i="1"/>
  <c r="L467" i="1" l="1"/>
  <c r="O467" i="1" s="1"/>
  <c r="A467" i="1"/>
  <c r="L466" i="1" l="1"/>
  <c r="O466" i="1" s="1"/>
  <c r="A466" i="1"/>
  <c r="L465" i="1" l="1"/>
  <c r="O465" i="1" s="1"/>
  <c r="A465" i="1"/>
  <c r="L464" i="1" l="1"/>
  <c r="O464" i="1" s="1"/>
  <c r="A464" i="1"/>
  <c r="L463" i="1" l="1"/>
  <c r="O463" i="1" s="1"/>
  <c r="A463" i="1"/>
  <c r="L462" i="1" l="1"/>
  <c r="O462" i="1" s="1"/>
  <c r="A462" i="1"/>
  <c r="L461" i="1" l="1"/>
  <c r="O461" i="1" s="1"/>
  <c r="A461" i="1"/>
  <c r="L460" i="1" l="1"/>
  <c r="O460" i="1" s="1"/>
  <c r="A460" i="1"/>
  <c r="L459" i="1" l="1"/>
  <c r="O459" i="1" s="1"/>
  <c r="A459" i="1"/>
  <c r="L458" i="1"/>
  <c r="O458" i="1" s="1"/>
  <c r="A458" i="1"/>
  <c r="L457" i="1" l="1"/>
  <c r="O457" i="1" s="1"/>
  <c r="A457" i="1"/>
  <c r="L456" i="1" l="1"/>
  <c r="O456" i="1" s="1"/>
  <c r="A456" i="1"/>
  <c r="L455" i="1" l="1"/>
  <c r="O455" i="1" s="1"/>
  <c r="A455" i="1"/>
  <c r="L454" i="1" l="1"/>
  <c r="O454" i="1" s="1"/>
  <c r="A454" i="1"/>
  <c r="J453" i="1" l="1"/>
  <c r="L453" i="1" s="1"/>
  <c r="O453" i="1" s="1"/>
  <c r="A453" i="1"/>
  <c r="L452" i="1" l="1"/>
  <c r="O452" i="1" s="1"/>
  <c r="A452" i="1"/>
  <c r="L451" i="1" l="1"/>
  <c r="O451" i="1" s="1"/>
  <c r="A451" i="1"/>
  <c r="L450" i="1" l="1"/>
  <c r="O450" i="1" s="1"/>
  <c r="A450" i="1"/>
  <c r="L449" i="1"/>
  <c r="O449" i="1" s="1"/>
  <c r="A449" i="1"/>
  <c r="L448" i="1" l="1"/>
  <c r="O448" i="1" s="1"/>
  <c r="A448" i="1"/>
  <c r="L447" i="1" l="1"/>
  <c r="O447" i="1" s="1"/>
  <c r="A447" i="1"/>
  <c r="L446" i="1"/>
  <c r="O446" i="1" s="1"/>
  <c r="A446" i="1"/>
  <c r="L445" i="1" l="1"/>
  <c r="O445" i="1" s="1"/>
  <c r="A445" i="1"/>
  <c r="L444" i="1" l="1"/>
  <c r="O444" i="1" s="1"/>
  <c r="A444" i="1"/>
  <c r="L443" i="1"/>
  <c r="O443" i="1" s="1"/>
  <c r="A443" i="1"/>
  <c r="L442" i="1" l="1"/>
  <c r="O442" i="1" s="1"/>
  <c r="A442" i="1"/>
  <c r="L441" i="1" l="1"/>
  <c r="O441" i="1" s="1"/>
  <c r="A441" i="1"/>
  <c r="L440" i="1" l="1"/>
  <c r="O440" i="1" s="1"/>
  <c r="A440" i="1"/>
  <c r="L439" i="1" l="1"/>
  <c r="O439" i="1" s="1"/>
  <c r="A439" i="1"/>
  <c r="L438" i="1" l="1"/>
  <c r="O438" i="1" s="1"/>
  <c r="A438" i="1"/>
  <c r="L437" i="1"/>
  <c r="O437" i="1" s="1"/>
  <c r="A437" i="1"/>
  <c r="L436" i="1" l="1"/>
  <c r="O436" i="1" s="1"/>
  <c r="A436" i="1"/>
  <c r="L435" i="1" l="1"/>
  <c r="O435" i="1" s="1"/>
  <c r="A435" i="1"/>
  <c r="L434" i="1" l="1"/>
  <c r="O434" i="1" s="1"/>
  <c r="A434" i="1"/>
  <c r="L433" i="1" l="1"/>
  <c r="O433" i="1" s="1"/>
  <c r="A433" i="1"/>
  <c r="L432" i="1" l="1"/>
  <c r="O432" i="1" s="1"/>
  <c r="A432" i="1"/>
  <c r="L431" i="1" l="1"/>
  <c r="O431" i="1" s="1"/>
  <c r="A431" i="1"/>
  <c r="L430" i="1" l="1"/>
  <c r="O430" i="1" s="1"/>
  <c r="A430" i="1"/>
  <c r="L429" i="1" l="1"/>
  <c r="O429" i="1" s="1"/>
  <c r="A429" i="1"/>
  <c r="L428" i="1" l="1"/>
  <c r="O428" i="1" s="1"/>
  <c r="A428" i="1"/>
  <c r="L427" i="1" l="1"/>
  <c r="O427" i="1" s="1"/>
  <c r="A427" i="1"/>
  <c r="L426" i="1" l="1"/>
  <c r="O426" i="1" s="1"/>
  <c r="A426" i="1"/>
  <c r="L425" i="1"/>
  <c r="O425" i="1" s="1"/>
  <c r="A425" i="1"/>
  <c r="L424" i="1" l="1"/>
  <c r="O424" i="1" s="1"/>
  <c r="A424" i="1"/>
  <c r="L423" i="1" l="1"/>
  <c r="O423" i="1" s="1"/>
  <c r="A423" i="1"/>
  <c r="L422" i="1" l="1"/>
  <c r="O422" i="1" s="1"/>
  <c r="A422" i="1"/>
  <c r="L421" i="1" l="1"/>
  <c r="O421" i="1" s="1"/>
  <c r="A421" i="1"/>
  <c r="L420" i="1" l="1"/>
  <c r="O420" i="1" s="1"/>
  <c r="A420" i="1"/>
  <c r="L419" i="1" l="1"/>
  <c r="O419" i="1" s="1"/>
  <c r="A419" i="1"/>
  <c r="L418" i="1" l="1"/>
  <c r="O418" i="1" s="1"/>
  <c r="A418" i="1"/>
  <c r="L417" i="1" l="1"/>
  <c r="O417" i="1" s="1"/>
  <c r="A417" i="1"/>
  <c r="L416" i="1" l="1"/>
  <c r="O416" i="1" s="1"/>
  <c r="A416" i="1"/>
  <c r="A398" i="1" l="1"/>
  <c r="A397" i="1"/>
  <c r="A396" i="1"/>
  <c r="A395" i="1"/>
  <c r="A394" i="1"/>
  <c r="A393" i="1"/>
  <c r="L415" i="1" l="1"/>
  <c r="O415" i="1" s="1"/>
  <c r="A415" i="1"/>
  <c r="L414" i="1"/>
  <c r="O414" i="1" s="1"/>
  <c r="A414" i="1"/>
  <c r="L413" i="1" l="1"/>
  <c r="O413" i="1" s="1"/>
  <c r="A413" i="1"/>
  <c r="L412" i="1" l="1"/>
  <c r="O412" i="1" s="1"/>
  <c r="A412" i="1"/>
  <c r="L411" i="1" l="1"/>
  <c r="O411" i="1" s="1"/>
  <c r="A411" i="1"/>
  <c r="L410" i="1"/>
  <c r="O410" i="1" s="1"/>
  <c r="A410" i="1"/>
  <c r="L409" i="1" l="1"/>
  <c r="O409" i="1" s="1"/>
  <c r="A409" i="1"/>
  <c r="L408" i="1" l="1"/>
  <c r="O408" i="1" s="1"/>
  <c r="A408" i="1"/>
  <c r="L407" i="1" l="1"/>
  <c r="O407" i="1" s="1"/>
  <c r="A407" i="1"/>
  <c r="L406" i="1"/>
  <c r="O406" i="1" s="1"/>
  <c r="A406" i="1"/>
  <c r="L405" i="1" l="1"/>
  <c r="O405" i="1" s="1"/>
  <c r="A405" i="1"/>
  <c r="L404" i="1" l="1"/>
  <c r="O404" i="1" s="1"/>
  <c r="A404" i="1"/>
  <c r="L403" i="1" l="1"/>
  <c r="O403" i="1" s="1"/>
  <c r="A403" i="1"/>
  <c r="L402" i="1" l="1"/>
  <c r="O402" i="1" s="1"/>
  <c r="A402" i="1"/>
  <c r="L401" i="1" l="1"/>
  <c r="O401" i="1" s="1"/>
  <c r="A401" i="1"/>
  <c r="L400" i="1" l="1"/>
  <c r="O400" i="1" s="1"/>
  <c r="A400" i="1"/>
  <c r="L399" i="1" l="1"/>
  <c r="O399" i="1" s="1"/>
  <c r="A399" i="1"/>
  <c r="L398" i="1" l="1"/>
  <c r="O398" i="1" s="1"/>
  <c r="L396" i="1" l="1"/>
  <c r="O396" i="1" s="1"/>
  <c r="L395" i="1" l="1"/>
  <c r="O395" i="1" s="1"/>
  <c r="J394" i="1" l="1"/>
  <c r="L394" i="1" l="1"/>
  <c r="O394" i="1" s="1"/>
  <c r="L393" i="1" l="1"/>
  <c r="O393" i="1" s="1"/>
  <c r="L392" i="1" l="1"/>
  <c r="O392" i="1" s="1"/>
  <c r="A392" i="1"/>
  <c r="L391" i="1" l="1"/>
  <c r="O391" i="1" s="1"/>
  <c r="A391" i="1"/>
  <c r="L390" i="1" l="1"/>
  <c r="O390" i="1" s="1"/>
  <c r="A390" i="1"/>
  <c r="L389" i="1" l="1"/>
  <c r="O389" i="1" s="1"/>
  <c r="A389" i="1"/>
  <c r="L388" i="1" l="1"/>
  <c r="O388" i="1" s="1"/>
  <c r="A388" i="1"/>
  <c r="L387" i="1" l="1"/>
  <c r="O387" i="1" s="1"/>
  <c r="A387" i="1"/>
  <c r="L386" i="1" l="1"/>
  <c r="O386" i="1" s="1"/>
  <c r="A386" i="1"/>
  <c r="L385" i="1" l="1"/>
  <c r="O385" i="1" s="1"/>
  <c r="A385" i="1"/>
  <c r="L384" i="1"/>
  <c r="O384" i="1" s="1"/>
  <c r="A384" i="1"/>
  <c r="L383" i="1" l="1"/>
  <c r="O383" i="1" s="1"/>
  <c r="A383" i="1"/>
  <c r="L382" i="1" l="1"/>
  <c r="O382" i="1" s="1"/>
  <c r="A382" i="1"/>
  <c r="L381" i="1"/>
  <c r="O381" i="1" s="1"/>
  <c r="A381" i="1"/>
  <c r="L380" i="1"/>
  <c r="O380" i="1" s="1"/>
  <c r="A380" i="1"/>
  <c r="L379" i="1" l="1"/>
  <c r="O379" i="1" s="1"/>
  <c r="A379" i="1"/>
  <c r="L378" i="1" l="1"/>
  <c r="O378" i="1" s="1"/>
  <c r="A378" i="1"/>
  <c r="L377" i="1" l="1"/>
  <c r="O377" i="1" s="1"/>
  <c r="A377" i="1"/>
  <c r="L376" i="1"/>
  <c r="O376" i="1" s="1"/>
  <c r="A376" i="1"/>
  <c r="L375" i="1"/>
  <c r="O375" i="1" s="1"/>
  <c r="A375" i="1"/>
  <c r="L374" i="1"/>
  <c r="O374" i="1" s="1"/>
  <c r="A374" i="1"/>
  <c r="L373" i="1"/>
  <c r="O373" i="1" s="1"/>
  <c r="A373" i="1"/>
  <c r="L372" i="1" l="1"/>
  <c r="O372" i="1" s="1"/>
  <c r="A372" i="1"/>
  <c r="L371" i="1" l="1"/>
  <c r="O371" i="1" s="1"/>
  <c r="A371" i="1"/>
  <c r="L370" i="1" l="1"/>
  <c r="O370" i="1" s="1"/>
  <c r="A370" i="1"/>
  <c r="L369" i="1" l="1"/>
  <c r="O369" i="1" s="1"/>
  <c r="A369" i="1"/>
  <c r="L368" i="1" l="1"/>
  <c r="O368" i="1" s="1"/>
  <c r="A368" i="1"/>
  <c r="L367" i="1" l="1"/>
  <c r="O367" i="1" s="1"/>
  <c r="A367" i="1"/>
  <c r="L366" i="1"/>
  <c r="O366" i="1" s="1"/>
  <c r="A366" i="1"/>
  <c r="L365" i="1"/>
  <c r="O365" i="1" s="1"/>
  <c r="A365" i="1"/>
  <c r="L364" i="1"/>
  <c r="O364" i="1" s="1"/>
  <c r="A364" i="1"/>
  <c r="L363" i="1" l="1"/>
  <c r="O363" i="1" s="1"/>
  <c r="A363" i="1"/>
  <c r="L362" i="1" l="1"/>
  <c r="O362" i="1" s="1"/>
  <c r="A362" i="1"/>
  <c r="L361" i="1"/>
  <c r="O361" i="1" s="1"/>
  <c r="A361" i="1"/>
  <c r="L352" i="1"/>
  <c r="L360" i="1"/>
  <c r="O360" i="1" s="1"/>
  <c r="A360" i="1"/>
  <c r="J359" i="1" l="1"/>
  <c r="L359" i="1" l="1"/>
  <c r="O359" i="1" s="1"/>
  <c r="A359" i="1"/>
  <c r="L358" i="1" l="1"/>
  <c r="O358" i="1" s="1"/>
  <c r="A358" i="1"/>
  <c r="L357" i="1" l="1"/>
  <c r="O357" i="1" s="1"/>
  <c r="A357" i="1"/>
  <c r="J356" i="1" l="1"/>
  <c r="L356" i="1"/>
  <c r="O356" i="1" s="1"/>
  <c r="A356" i="1"/>
  <c r="J355" i="1" l="1"/>
  <c r="L355" i="1" s="1"/>
  <c r="O355" i="1" s="1"/>
  <c r="A355" i="1"/>
  <c r="J354" i="1" l="1"/>
  <c r="L354" i="1" s="1"/>
  <c r="O354" i="1" s="1"/>
  <c r="A354" i="1"/>
  <c r="L353" i="1" l="1"/>
  <c r="O353" i="1" s="1"/>
  <c r="A353" i="1"/>
  <c r="O352" i="1" l="1"/>
  <c r="A352" i="1"/>
  <c r="L351" i="1" l="1"/>
  <c r="O351" i="1" s="1"/>
  <c r="A351" i="1"/>
  <c r="L350" i="1" l="1"/>
  <c r="O350" i="1" s="1"/>
  <c r="A350" i="1"/>
  <c r="L349" i="1"/>
  <c r="O349" i="1" s="1"/>
  <c r="A349" i="1"/>
  <c r="L348" i="1" l="1"/>
  <c r="O348" i="1" s="1"/>
  <c r="A348" i="1"/>
  <c r="L347" i="1" l="1"/>
  <c r="O347" i="1" s="1"/>
  <c r="A347" i="1"/>
  <c r="L346" i="1" l="1"/>
  <c r="O346" i="1" s="1"/>
  <c r="A346" i="1"/>
  <c r="L345" i="1" l="1"/>
  <c r="O345" i="1" s="1"/>
  <c r="A345" i="1"/>
  <c r="L344" i="1" l="1"/>
  <c r="O344" i="1" s="1"/>
  <c r="A344" i="1"/>
  <c r="L343" i="1" l="1"/>
  <c r="O343" i="1" s="1"/>
  <c r="A343" i="1"/>
  <c r="O342" i="1" l="1"/>
  <c r="A342" i="1"/>
  <c r="L341" i="1"/>
  <c r="O341" i="1" s="1"/>
  <c r="A341" i="1"/>
  <c r="L340" i="1"/>
  <c r="O340" i="1" s="1"/>
  <c r="A340" i="1"/>
  <c r="L339" i="1"/>
  <c r="O339" i="1" s="1"/>
  <c r="A339" i="1"/>
  <c r="L338" i="1"/>
  <c r="O338" i="1" s="1"/>
  <c r="A338" i="1"/>
  <c r="L337" i="1"/>
  <c r="O337" i="1" s="1"/>
  <c r="A337" i="1"/>
  <c r="L336" i="1"/>
  <c r="O336" i="1" s="1"/>
  <c r="A336" i="1"/>
  <c r="L335" i="1"/>
  <c r="O335" i="1" s="1"/>
  <c r="A335" i="1"/>
  <c r="L334" i="1"/>
  <c r="O334" i="1" s="1"/>
  <c r="A334" i="1"/>
  <c r="L333" i="1"/>
  <c r="O333" i="1" s="1"/>
  <c r="A333" i="1"/>
  <c r="L332" i="1"/>
  <c r="O332" i="1" s="1"/>
  <c r="A332" i="1"/>
  <c r="L331" i="1"/>
  <c r="O331" i="1" s="1"/>
  <c r="A331" i="1"/>
  <c r="L330" i="1"/>
  <c r="O330" i="1" s="1"/>
  <c r="A330" i="1"/>
  <c r="L329" i="1"/>
  <c r="O329" i="1" s="1"/>
  <c r="A329" i="1"/>
  <c r="L328" i="1"/>
  <c r="O328" i="1" s="1"/>
  <c r="A328" i="1"/>
  <c r="L327" i="1"/>
  <c r="O327" i="1" s="1"/>
  <c r="A327" i="1"/>
  <c r="L326" i="1"/>
  <c r="O326" i="1" s="1"/>
  <c r="A326" i="1"/>
  <c r="L325" i="1" l="1"/>
  <c r="O325" i="1" s="1"/>
  <c r="A325" i="1"/>
  <c r="L324" i="1"/>
  <c r="O324" i="1" s="1"/>
  <c r="A324" i="1"/>
  <c r="L323" i="1"/>
  <c r="O323" i="1" s="1"/>
  <c r="A323" i="1"/>
  <c r="L322" i="1"/>
  <c r="O322" i="1" s="1"/>
  <c r="A322" i="1"/>
  <c r="L321" i="1"/>
  <c r="O321" i="1" s="1"/>
  <c r="A321" i="1"/>
  <c r="L320" i="1"/>
  <c r="O320" i="1" s="1"/>
  <c r="A320" i="1"/>
  <c r="L319" i="1"/>
  <c r="O319" i="1" s="1"/>
  <c r="A319" i="1"/>
  <c r="L318" i="1"/>
  <c r="O318" i="1" s="1"/>
  <c r="A318" i="1"/>
  <c r="L317" i="1"/>
  <c r="O317" i="1" s="1"/>
  <c r="A317" i="1"/>
  <c r="L316" i="1"/>
  <c r="O316" i="1" s="1"/>
  <c r="A316" i="1"/>
  <c r="L315" i="1"/>
  <c r="O315" i="1" s="1"/>
  <c r="A315" i="1"/>
  <c r="L314" i="1"/>
  <c r="O314" i="1" s="1"/>
  <c r="A314" i="1"/>
  <c r="L313" i="1"/>
  <c r="O313" i="1" s="1"/>
  <c r="A313" i="1"/>
  <c r="L312" i="1"/>
  <c r="O312" i="1" s="1"/>
  <c r="A312" i="1"/>
  <c r="L311" i="1"/>
  <c r="O311" i="1" s="1"/>
  <c r="A311" i="1"/>
  <c r="L310" i="1"/>
  <c r="O310" i="1" s="1"/>
  <c r="A310" i="1"/>
  <c r="L309" i="1"/>
  <c r="O309" i="1" s="1"/>
  <c r="A309" i="1"/>
  <c r="L308" i="1"/>
  <c r="O308" i="1" s="1"/>
  <c r="A308" i="1"/>
  <c r="L307" i="1"/>
  <c r="O307" i="1" s="1"/>
  <c r="A307" i="1"/>
  <c r="L306" i="1" l="1"/>
  <c r="O306" i="1" s="1"/>
  <c r="A306" i="1"/>
  <c r="L305" i="1" l="1"/>
  <c r="O305" i="1" s="1"/>
  <c r="A305" i="1"/>
  <c r="L304" i="1" l="1"/>
  <c r="O304" i="1" s="1"/>
  <c r="A304" i="1"/>
  <c r="L303" i="1" l="1"/>
  <c r="O303" i="1" s="1"/>
  <c r="A303" i="1"/>
  <c r="L302" i="1" l="1"/>
  <c r="O302" i="1" s="1"/>
  <c r="A302" i="1"/>
  <c r="L301" i="1" l="1"/>
  <c r="O301" i="1" s="1"/>
  <c r="A301" i="1"/>
  <c r="L300" i="1" l="1"/>
  <c r="O300" i="1" s="1"/>
  <c r="A300" i="1"/>
  <c r="L299" i="1" l="1"/>
  <c r="O299" i="1" s="1"/>
  <c r="A299" i="1"/>
  <c r="L298" i="1" l="1"/>
  <c r="O298" i="1" s="1"/>
  <c r="A298" i="1"/>
  <c r="L297" i="1" l="1"/>
  <c r="O297" i="1" s="1"/>
  <c r="A297" i="1"/>
  <c r="L296" i="1" l="1"/>
  <c r="O296" i="1" s="1"/>
  <c r="A296" i="1"/>
  <c r="L295" i="1" l="1"/>
  <c r="O295" i="1" s="1"/>
  <c r="A295" i="1"/>
  <c r="L294" i="1" l="1"/>
  <c r="O294" i="1" s="1"/>
  <c r="A294" i="1"/>
  <c r="L293" i="1" l="1"/>
  <c r="O293" i="1" s="1"/>
  <c r="A293" i="1"/>
  <c r="L292" i="1" l="1"/>
  <c r="O292" i="1" s="1"/>
  <c r="A292" i="1"/>
  <c r="L291" i="1" l="1"/>
  <c r="O291" i="1" s="1"/>
  <c r="A291" i="1"/>
  <c r="L290" i="1" l="1"/>
  <c r="O290" i="1" s="1"/>
  <c r="A290" i="1"/>
  <c r="L289" i="1" l="1"/>
  <c r="O289" i="1" s="1"/>
  <c r="A289" i="1"/>
  <c r="L288" i="1" l="1"/>
  <c r="O288" i="1" s="1"/>
  <c r="A288" i="1"/>
  <c r="L287" i="1" l="1"/>
  <c r="O287" i="1" s="1"/>
  <c r="A287" i="1"/>
  <c r="L286" i="1" l="1"/>
  <c r="O286" i="1" s="1"/>
  <c r="A286" i="1"/>
  <c r="L285" i="1" l="1"/>
  <c r="O285" i="1" s="1"/>
  <c r="A285" i="1"/>
  <c r="L284" i="1" l="1"/>
  <c r="O284" i="1" s="1"/>
  <c r="A284" i="1"/>
  <c r="L283" i="1" l="1"/>
  <c r="O283" i="1" s="1"/>
  <c r="A283" i="1"/>
  <c r="L282" i="1" l="1"/>
  <c r="O282" i="1" s="1"/>
  <c r="A282" i="1"/>
  <c r="L281" i="1" l="1"/>
  <c r="O281" i="1" s="1"/>
  <c r="A281" i="1"/>
  <c r="L280" i="1" l="1"/>
  <c r="O280" i="1" s="1"/>
  <c r="A280" i="1"/>
  <c r="L279" i="1" l="1"/>
  <c r="O279" i="1" s="1"/>
  <c r="A279" i="1"/>
  <c r="L278" i="1" l="1"/>
  <c r="O278" i="1" s="1"/>
  <c r="A278" i="1"/>
  <c r="L277" i="1" l="1"/>
  <c r="O277" i="1" s="1"/>
  <c r="A277" i="1"/>
  <c r="L276" i="1" l="1"/>
  <c r="O276" i="1" s="1"/>
  <c r="A276" i="1"/>
  <c r="L275" i="1" l="1"/>
  <c r="O275" i="1" s="1"/>
  <c r="A275" i="1"/>
  <c r="L274" i="1" l="1"/>
  <c r="O274" i="1" s="1"/>
  <c r="A274" i="1"/>
  <c r="L273" i="1" l="1"/>
  <c r="O273" i="1" s="1"/>
  <c r="A273" i="1"/>
  <c r="L272" i="1" l="1"/>
  <c r="O272" i="1" s="1"/>
  <c r="A272" i="1"/>
  <c r="L271" i="1" l="1"/>
  <c r="O271" i="1" s="1"/>
  <c r="A271" i="1"/>
  <c r="L270" i="1" l="1"/>
  <c r="O270" i="1" s="1"/>
  <c r="A270" i="1"/>
  <c r="L269" i="1" l="1"/>
  <c r="O269" i="1" s="1"/>
  <c r="A269" i="1"/>
  <c r="L268" i="1" l="1"/>
  <c r="O268" i="1" s="1"/>
  <c r="A268" i="1"/>
  <c r="L267" i="1" l="1"/>
  <c r="O267" i="1" s="1"/>
  <c r="A267" i="1"/>
  <c r="L266" i="1" l="1"/>
  <c r="O266" i="1" s="1"/>
  <c r="A266" i="1"/>
  <c r="L265" i="1" l="1"/>
  <c r="O265" i="1" s="1"/>
  <c r="A265" i="1"/>
  <c r="L264" i="1" l="1"/>
  <c r="O264" i="1" s="1"/>
  <c r="A264" i="1"/>
  <c r="L263" i="1" l="1"/>
  <c r="O263" i="1" s="1"/>
  <c r="A263" i="1"/>
  <c r="L262" i="1" l="1"/>
  <c r="O262" i="1" s="1"/>
  <c r="A262" i="1"/>
  <c r="L261" i="1"/>
  <c r="O261" i="1" s="1"/>
  <c r="A261" i="1"/>
  <c r="L260" i="1" l="1"/>
  <c r="O260" i="1" s="1"/>
  <c r="A260" i="1"/>
  <c r="L259" i="1" l="1"/>
  <c r="O259" i="1" s="1"/>
  <c r="A259" i="1"/>
  <c r="L258" i="1" l="1"/>
  <c r="O258" i="1" s="1"/>
  <c r="A258" i="1"/>
  <c r="L257" i="1" l="1"/>
  <c r="O257" i="1" s="1"/>
  <c r="A257" i="1"/>
  <c r="L256" i="1" l="1"/>
  <c r="O256" i="1" s="1"/>
  <c r="A256" i="1"/>
  <c r="L255" i="1" l="1"/>
  <c r="O255" i="1" s="1"/>
  <c r="A255" i="1"/>
  <c r="L254" i="1" l="1"/>
  <c r="O254" i="1" s="1"/>
  <c r="A254" i="1"/>
  <c r="L253" i="1" l="1"/>
  <c r="O253" i="1" s="1"/>
  <c r="A253" i="1"/>
  <c r="L252" i="1" l="1"/>
  <c r="O252" i="1" s="1"/>
  <c r="A252" i="1"/>
  <c r="L251" i="1" l="1"/>
  <c r="O251" i="1" s="1"/>
  <c r="A251" i="1"/>
  <c r="L250" i="1" l="1"/>
  <c r="O250" i="1" s="1"/>
  <c r="A250" i="1"/>
  <c r="L249" i="1" l="1"/>
  <c r="O249" i="1" s="1"/>
  <c r="A249" i="1"/>
  <c r="L248" i="1" l="1"/>
  <c r="O248" i="1" s="1"/>
  <c r="A248" i="1"/>
  <c r="L247" i="1" l="1"/>
  <c r="O247" i="1" s="1"/>
  <c r="A247" i="1"/>
  <c r="L246" i="1" l="1"/>
  <c r="O246" i="1" s="1"/>
  <c r="A246" i="1"/>
  <c r="L245" i="1" l="1"/>
  <c r="O245" i="1" s="1"/>
  <c r="A245" i="1"/>
  <c r="L244" i="1" l="1"/>
  <c r="O244" i="1" s="1"/>
  <c r="A244" i="1"/>
  <c r="L243" i="1" l="1"/>
  <c r="O243" i="1" s="1"/>
  <c r="A243" i="1"/>
  <c r="L242" i="1" l="1"/>
  <c r="O242" i="1" s="1"/>
  <c r="A242" i="1"/>
  <c r="L241" i="1" l="1"/>
  <c r="O241" i="1" s="1"/>
  <c r="A241" i="1"/>
  <c r="L240" i="1" l="1"/>
  <c r="O240" i="1" s="1"/>
  <c r="A240" i="1"/>
  <c r="L239" i="1" l="1"/>
  <c r="O239" i="1" s="1"/>
  <c r="A239" i="1"/>
  <c r="L238" i="1" l="1"/>
  <c r="O238" i="1" s="1"/>
  <c r="A238" i="1"/>
  <c r="L237" i="1" l="1"/>
  <c r="O237" i="1" s="1"/>
  <c r="A237" i="1"/>
  <c r="L236" i="1" l="1"/>
  <c r="O236" i="1" s="1"/>
  <c r="A236" i="1"/>
  <c r="L235" i="1" l="1"/>
  <c r="O235" i="1" s="1"/>
  <c r="A235" i="1"/>
  <c r="L234" i="1" l="1"/>
  <c r="O234" i="1" s="1"/>
  <c r="A234" i="1"/>
  <c r="L233" i="1" l="1"/>
  <c r="O233" i="1" s="1"/>
  <c r="A233" i="1"/>
  <c r="L232" i="1" l="1"/>
  <c r="O232" i="1" s="1"/>
  <c r="A232" i="1"/>
  <c r="L231" i="1" l="1"/>
  <c r="O231" i="1" s="1"/>
  <c r="A231" i="1"/>
  <c r="L230" i="1" l="1"/>
  <c r="O230" i="1" s="1"/>
  <c r="A230" i="1"/>
  <c r="L229" i="1" l="1"/>
  <c r="O229" i="1" s="1"/>
  <c r="A229" i="1"/>
  <c r="L228" i="1" l="1"/>
  <c r="O228" i="1" s="1"/>
  <c r="A228" i="1"/>
  <c r="L227" i="1" l="1"/>
  <c r="O227" i="1" s="1"/>
  <c r="A227" i="1"/>
  <c r="A226" i="1" l="1"/>
  <c r="L225" i="1" l="1"/>
  <c r="O225" i="1" s="1"/>
  <c r="A225" i="1"/>
  <c r="L224" i="1" l="1"/>
  <c r="O224" i="1" s="1"/>
  <c r="A224" i="1"/>
  <c r="L223" i="1" l="1"/>
  <c r="O223" i="1" s="1"/>
  <c r="A223" i="1"/>
  <c r="L222" i="1" l="1"/>
  <c r="O222" i="1" s="1"/>
  <c r="A222" i="1"/>
  <c r="L221" i="1" l="1"/>
  <c r="O221" i="1" s="1"/>
  <c r="A221" i="1"/>
  <c r="L220" i="1" l="1"/>
  <c r="O220" i="1" s="1"/>
  <c r="A220" i="1"/>
  <c r="L219" i="1" l="1"/>
  <c r="O219" i="1" s="1"/>
  <c r="A219" i="1"/>
  <c r="L218" i="1" l="1"/>
  <c r="O218" i="1" s="1"/>
  <c r="A218" i="1"/>
  <c r="L217" i="1" l="1"/>
  <c r="O217" i="1" s="1"/>
  <c r="A217" i="1"/>
  <c r="L216" i="1" l="1"/>
  <c r="O216" i="1" s="1"/>
  <c r="A216" i="1"/>
  <c r="L215" i="1" l="1"/>
  <c r="O215" i="1" s="1"/>
  <c r="A215" i="1"/>
  <c r="L214" i="1" l="1"/>
  <c r="O214" i="1" s="1"/>
  <c r="A214" i="1"/>
  <c r="L213" i="1" l="1"/>
  <c r="O213" i="1" s="1"/>
  <c r="A213" i="1"/>
  <c r="L212" i="1" l="1"/>
  <c r="O212" i="1" s="1"/>
  <c r="A212" i="1"/>
  <c r="L211" i="1" l="1"/>
  <c r="O211" i="1" s="1"/>
  <c r="A211" i="1"/>
  <c r="L210" i="1" l="1"/>
  <c r="O210" i="1" s="1"/>
  <c r="A210" i="1"/>
  <c r="L209" i="1" l="1"/>
  <c r="O209" i="1" s="1"/>
  <c r="A209" i="1"/>
  <c r="L208" i="1" l="1"/>
  <c r="O208" i="1" s="1"/>
  <c r="A208" i="1"/>
  <c r="L207" i="1" l="1"/>
  <c r="O207" i="1" s="1"/>
  <c r="A207" i="1"/>
  <c r="L206" i="1" l="1"/>
  <c r="O206" i="1" s="1"/>
  <c r="A206" i="1"/>
  <c r="L205" i="1" l="1"/>
  <c r="O205" i="1" s="1"/>
  <c r="A205" i="1"/>
  <c r="L204" i="1" l="1"/>
  <c r="O204" i="1" s="1"/>
  <c r="A204" i="1"/>
  <c r="L203" i="1" l="1"/>
  <c r="O203" i="1" s="1"/>
  <c r="A203" i="1"/>
  <c r="L202" i="1" l="1"/>
  <c r="O202" i="1" s="1"/>
  <c r="A202" i="1"/>
  <c r="L201" i="1" l="1"/>
  <c r="O201" i="1" s="1"/>
  <c r="A201" i="1"/>
  <c r="L200" i="1" l="1"/>
  <c r="O200" i="1" s="1"/>
  <c r="A200" i="1"/>
  <c r="L199" i="1" l="1"/>
  <c r="O199" i="1" s="1"/>
  <c r="A199" i="1"/>
  <c r="L198" i="1" l="1"/>
  <c r="O198" i="1" s="1"/>
  <c r="A198" i="1"/>
  <c r="L197" i="1" l="1"/>
  <c r="O197" i="1" s="1"/>
  <c r="A197" i="1"/>
  <c r="L196" i="1" l="1"/>
  <c r="O196" i="1" s="1"/>
  <c r="A196" i="1"/>
  <c r="L195" i="1" l="1"/>
  <c r="O195" i="1" s="1"/>
  <c r="A195" i="1"/>
  <c r="L194" i="1" l="1"/>
  <c r="O194" i="1" s="1"/>
  <c r="A194" i="1"/>
  <c r="L193" i="1" l="1"/>
  <c r="O193" i="1" s="1"/>
  <c r="A193" i="1"/>
  <c r="L192" i="1" l="1"/>
  <c r="O192" i="1" s="1"/>
  <c r="A192" i="1"/>
  <c r="L191" i="1" l="1"/>
  <c r="O191" i="1" s="1"/>
  <c r="A191" i="1"/>
  <c r="L190" i="1" l="1"/>
  <c r="O190" i="1" s="1"/>
  <c r="A190" i="1"/>
  <c r="L189" i="1" l="1"/>
  <c r="O189" i="1" s="1"/>
  <c r="A189" i="1"/>
  <c r="L188" i="1" l="1"/>
  <c r="O188" i="1" s="1"/>
  <c r="A188" i="1"/>
  <c r="L187" i="1" l="1"/>
  <c r="O187" i="1" s="1"/>
  <c r="A187" i="1"/>
  <c r="L186" i="1" l="1"/>
  <c r="O186" i="1" s="1"/>
  <c r="A186" i="1"/>
  <c r="L185" i="1" l="1"/>
  <c r="O185" i="1" s="1"/>
  <c r="A185" i="1"/>
  <c r="L184" i="1" l="1"/>
  <c r="O184" i="1" s="1"/>
  <c r="A184" i="1"/>
  <c r="L183" i="1" l="1"/>
  <c r="O183" i="1" s="1"/>
  <c r="A183" i="1"/>
  <c r="L182" i="1" l="1"/>
  <c r="O182" i="1" s="1"/>
  <c r="A182" i="1"/>
  <c r="L181" i="1" l="1"/>
  <c r="O181" i="1" s="1"/>
  <c r="A181" i="1"/>
  <c r="L180" i="1" l="1"/>
  <c r="O180" i="1" s="1"/>
  <c r="A180" i="1"/>
  <c r="L179" i="1" l="1"/>
  <c r="O179" i="1" s="1"/>
  <c r="A179" i="1"/>
  <c r="L178" i="1" l="1"/>
  <c r="O178" i="1" s="1"/>
  <c r="A178" i="1"/>
  <c r="L177" i="1" l="1"/>
  <c r="O177" i="1" s="1"/>
  <c r="A177" i="1"/>
  <c r="L176" i="1" l="1"/>
  <c r="O176" i="1" s="1"/>
  <c r="A176" i="1"/>
  <c r="L175" i="1" l="1"/>
  <c r="O175" i="1" s="1"/>
  <c r="A175" i="1"/>
  <c r="L174" i="1" l="1"/>
  <c r="O174" i="1" s="1"/>
  <c r="A174" i="1"/>
  <c r="L173" i="1" l="1"/>
  <c r="O173" i="1" s="1"/>
  <c r="A173" i="1"/>
  <c r="L172" i="1" l="1"/>
  <c r="O172" i="1" s="1"/>
  <c r="A172" i="1"/>
  <c r="L171" i="1" l="1"/>
  <c r="O171" i="1" s="1"/>
  <c r="A171" i="1"/>
  <c r="L170" i="1" l="1"/>
  <c r="O170" i="1" s="1"/>
  <c r="A170" i="1"/>
  <c r="A169" i="1" l="1"/>
  <c r="L168" i="1" l="1"/>
  <c r="O168" i="1" s="1"/>
  <c r="A168" i="1"/>
  <c r="L167" i="1" l="1"/>
  <c r="O167" i="1" s="1"/>
  <c r="A167" i="1"/>
  <c r="L166" i="1" l="1"/>
  <c r="O166" i="1" s="1"/>
  <c r="A166" i="1"/>
  <c r="L165" i="1"/>
  <c r="O165" i="1" s="1"/>
  <c r="A165" i="1"/>
  <c r="L164" i="1" l="1"/>
  <c r="O164" i="1" s="1"/>
  <c r="A164" i="1"/>
  <c r="L163" i="1" l="1"/>
  <c r="O163" i="1" s="1"/>
  <c r="A163" i="1"/>
  <c r="L162" i="1" l="1"/>
  <c r="O162" i="1" s="1"/>
  <c r="A162" i="1"/>
  <c r="L161" i="1" l="1"/>
  <c r="O161" i="1" s="1"/>
  <c r="A161" i="1"/>
  <c r="L160" i="1" l="1"/>
  <c r="O160" i="1" s="1"/>
  <c r="A160" i="1"/>
  <c r="L159" i="1" l="1"/>
  <c r="O159" i="1" s="1"/>
  <c r="A159" i="1"/>
  <c r="L158" i="1" l="1"/>
  <c r="O158" i="1" s="1"/>
  <c r="A158" i="1"/>
  <c r="L157" i="1" l="1"/>
  <c r="O157" i="1" s="1"/>
  <c r="A157" i="1"/>
  <c r="L156" i="1" l="1"/>
  <c r="O156" i="1" s="1"/>
  <c r="A156" i="1"/>
  <c r="L155" i="1" l="1"/>
  <c r="O155" i="1" s="1"/>
  <c r="A155" i="1"/>
  <c r="L154" i="1" l="1"/>
  <c r="O154" i="1" s="1"/>
  <c r="A154" i="1"/>
  <c r="L153" i="1" l="1"/>
  <c r="O153" i="1" s="1"/>
  <c r="A153" i="1"/>
  <c r="L152" i="1" l="1"/>
  <c r="O152" i="1" s="1"/>
  <c r="A152" i="1"/>
  <c r="L151" i="1" l="1"/>
  <c r="O151" i="1" s="1"/>
  <c r="A151" i="1"/>
  <c r="L150" i="1" l="1"/>
  <c r="O150" i="1" s="1"/>
  <c r="A150" i="1"/>
  <c r="L149" i="1" l="1"/>
  <c r="O149" i="1" s="1"/>
  <c r="A149" i="1"/>
  <c r="L148" i="1" l="1"/>
  <c r="O148" i="1" s="1"/>
  <c r="A148" i="1"/>
  <c r="A147" i="1" l="1"/>
  <c r="L146" i="1"/>
  <c r="A146" i="1"/>
  <c r="L145" i="1" l="1"/>
  <c r="O145" i="1" s="1"/>
  <c r="A145" i="1"/>
  <c r="L144" i="1" l="1"/>
  <c r="O144" i="1" s="1"/>
  <c r="A144" i="1"/>
  <c r="L143" i="1" l="1"/>
  <c r="O143" i="1" s="1"/>
  <c r="A143" i="1"/>
  <c r="L142" i="1" l="1"/>
  <c r="O142" i="1" s="1"/>
  <c r="A142" i="1"/>
  <c r="L141" i="1"/>
  <c r="O141" i="1" s="1"/>
  <c r="A141" i="1"/>
  <c r="L140" i="1" l="1"/>
  <c r="O140" i="1" s="1"/>
  <c r="A140" i="1"/>
  <c r="L139" i="1" l="1"/>
  <c r="O139" i="1" s="1"/>
  <c r="A139" i="1"/>
  <c r="L138" i="1" l="1"/>
  <c r="O138" i="1" s="1"/>
  <c r="A138" i="1"/>
  <c r="L135" i="1" l="1"/>
  <c r="A134" i="1" l="1"/>
  <c r="A135" i="1"/>
  <c r="A136" i="1"/>
  <c r="A137" i="1"/>
  <c r="L137" i="1"/>
  <c r="O137" i="1" s="1"/>
  <c r="L134" i="1" l="1"/>
  <c r="O134" i="1" s="1"/>
  <c r="L133" i="1"/>
  <c r="O133" i="1" s="1"/>
  <c r="A133" i="1"/>
  <c r="L132" i="1" l="1"/>
  <c r="O132" i="1" s="1"/>
  <c r="A132" i="1"/>
  <c r="L131" i="1" l="1"/>
  <c r="O131" i="1" s="1"/>
  <c r="A131" i="1"/>
  <c r="L130" i="1" l="1"/>
  <c r="O130" i="1" s="1"/>
  <c r="A130" i="1"/>
  <c r="L129" i="1"/>
  <c r="O129" i="1" s="1"/>
  <c r="A129" i="1"/>
  <c r="L128" i="1" l="1"/>
  <c r="O128" i="1" s="1"/>
  <c r="A128" i="1"/>
  <c r="L127" i="1" l="1"/>
  <c r="O127" i="1" s="1"/>
  <c r="A127" i="1"/>
  <c r="L126" i="1" l="1"/>
  <c r="O126" i="1" s="1"/>
  <c r="A126" i="1"/>
  <c r="L121" i="1" l="1"/>
  <c r="O121" i="1" s="1"/>
  <c r="L125" i="1" l="1"/>
  <c r="O125" i="1" s="1"/>
  <c r="A125" i="1"/>
  <c r="L124" i="1" l="1"/>
  <c r="O124" i="1" s="1"/>
  <c r="A124" i="1"/>
  <c r="L123" i="1" l="1"/>
  <c r="O123" i="1" s="1"/>
  <c r="A123" i="1"/>
  <c r="L122" i="1" l="1"/>
  <c r="O122" i="1" s="1"/>
  <c r="A122" i="1"/>
  <c r="A121" i="1"/>
  <c r="L120" i="1" l="1"/>
  <c r="O120" i="1" s="1"/>
  <c r="A120" i="1"/>
  <c r="L119" i="1" l="1"/>
  <c r="O119" i="1" s="1"/>
  <c r="A119" i="1"/>
  <c r="L118" i="1" l="1"/>
  <c r="O118" i="1" s="1"/>
  <c r="A118" i="1"/>
  <c r="L117" i="1" l="1"/>
  <c r="O117" i="1" s="1"/>
  <c r="A117" i="1"/>
  <c r="L116" i="1" l="1"/>
  <c r="O116" i="1" s="1"/>
  <c r="A116" i="1"/>
  <c r="L115" i="1" l="1"/>
  <c r="O115" i="1" s="1"/>
  <c r="A115" i="1"/>
  <c r="L114" i="1" l="1"/>
  <c r="O114" i="1" s="1"/>
  <c r="A114" i="1"/>
  <c r="L113" i="1" l="1"/>
  <c r="O113" i="1" s="1"/>
  <c r="A113" i="1"/>
  <c r="L112" i="1" l="1"/>
  <c r="O112" i="1" s="1"/>
  <c r="A112" i="1"/>
  <c r="L111" i="1" l="1"/>
  <c r="O111" i="1" s="1"/>
  <c r="A111" i="1"/>
  <c r="L110" i="1" l="1"/>
  <c r="O110" i="1" s="1"/>
  <c r="A110" i="1"/>
  <c r="L109" i="1" l="1"/>
  <c r="O109" i="1" s="1"/>
  <c r="A109" i="1"/>
  <c r="L108" i="1" l="1"/>
  <c r="O108" i="1" s="1"/>
  <c r="A108" i="1"/>
  <c r="L107" i="1" l="1"/>
  <c r="O107" i="1" s="1"/>
  <c r="A107" i="1"/>
  <c r="L106" i="1" l="1"/>
  <c r="O106" i="1" s="1"/>
  <c r="L105" i="1"/>
  <c r="O105" i="1" s="1"/>
  <c r="A105" i="1"/>
  <c r="A106" i="1"/>
  <c r="L104" i="1" l="1"/>
  <c r="O104" i="1" s="1"/>
  <c r="A104" i="1"/>
  <c r="L103" i="1" l="1"/>
  <c r="O103" i="1" s="1"/>
  <c r="A103" i="1"/>
  <c r="L102" i="1" l="1"/>
  <c r="O102" i="1" s="1"/>
  <c r="A102" i="1"/>
  <c r="L101" i="1" l="1"/>
  <c r="O101" i="1" s="1"/>
  <c r="A101" i="1"/>
  <c r="L100" i="1" l="1"/>
  <c r="O100" i="1" s="1"/>
  <c r="A100" i="1"/>
  <c r="L99" i="1" l="1"/>
  <c r="O99" i="1" s="1"/>
  <c r="A99" i="1"/>
  <c r="L98" i="1" l="1"/>
  <c r="O98" i="1" s="1"/>
  <c r="A98" i="1"/>
  <c r="L97" i="1" l="1"/>
  <c r="O97" i="1" s="1"/>
  <c r="A97" i="1"/>
  <c r="L96" i="1" l="1"/>
  <c r="O96" i="1" s="1"/>
  <c r="A96" i="1" l="1"/>
  <c r="L95" i="1" l="1"/>
  <c r="O95" i="1" s="1"/>
  <c r="A95" i="1"/>
  <c r="L94" i="1"/>
  <c r="O94" i="1" s="1"/>
  <c r="A94" i="1" l="1"/>
  <c r="L93" i="1" l="1"/>
  <c r="O93" i="1" s="1"/>
  <c r="L92" i="1" l="1"/>
  <c r="O92" i="1" s="1"/>
  <c r="A92" i="1"/>
  <c r="A93" i="1"/>
  <c r="L91" i="1" l="1"/>
  <c r="O91" i="1" s="1"/>
  <c r="A91" i="1"/>
  <c r="L90" i="1" l="1"/>
  <c r="O90" i="1" s="1"/>
  <c r="A90" i="1"/>
  <c r="L89" i="1" l="1"/>
  <c r="O89" i="1" s="1"/>
  <c r="A89" i="1"/>
  <c r="L88" i="1" l="1"/>
  <c r="O88" i="1" s="1"/>
  <c r="A88" i="1" l="1"/>
  <c r="L87" i="1"/>
  <c r="O87" i="1" s="1"/>
  <c r="A87" i="1"/>
  <c r="L86" i="1" l="1"/>
  <c r="O86" i="1" s="1"/>
  <c r="A85" i="1"/>
  <c r="A86" i="1"/>
  <c r="L85" i="1"/>
  <c r="O85" i="1" s="1"/>
  <c r="L84" i="1" l="1"/>
  <c r="O84" i="1" s="1"/>
  <c r="A84" i="1"/>
  <c r="L83" i="1" l="1"/>
  <c r="O83" i="1" s="1"/>
  <c r="A83" i="1"/>
  <c r="L81" i="1" l="1"/>
  <c r="O81" i="1" s="1"/>
  <c r="A80" i="1"/>
  <c r="A81" i="1"/>
  <c r="A8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3" i="1"/>
  <c r="L80" i="1" l="1"/>
  <c r="O80" i="1" s="1"/>
  <c r="L79" i="1"/>
  <c r="O79" i="1" s="1"/>
  <c r="L78" i="1"/>
  <c r="O78" i="1" s="1"/>
  <c r="L77" i="1"/>
  <c r="O77" i="1" s="1"/>
  <c r="L76" i="1"/>
  <c r="O76" i="1" s="1"/>
  <c r="L75" i="1"/>
  <c r="O75" i="1" s="1"/>
  <c r="L74" i="1" l="1"/>
  <c r="O74" i="1" s="1"/>
  <c r="L73" i="1" l="1"/>
  <c r="O73" i="1" s="1"/>
  <c r="L72" i="1" l="1"/>
  <c r="O72" i="1" s="1"/>
  <c r="L71" i="1" l="1"/>
  <c r="O71" i="1" s="1"/>
  <c r="L70" i="1" l="1"/>
  <c r="O70" i="1" s="1"/>
  <c r="L69" i="1" l="1"/>
  <c r="O69" i="1" s="1"/>
  <c r="L68" i="1" l="1"/>
  <c r="O68" i="1" s="1"/>
  <c r="L67" i="1" l="1"/>
  <c r="O67" i="1" s="1"/>
  <c r="L66" i="1"/>
  <c r="O66" i="1" s="1"/>
  <c r="L65" i="1" l="1"/>
  <c r="O65" i="1" s="1"/>
  <c r="L64" i="1" l="1"/>
  <c r="O64" i="1" s="1"/>
  <c r="L63" i="1" l="1"/>
  <c r="O63" i="1" s="1"/>
  <c r="L62" i="1" l="1"/>
  <c r="O62" i="1" s="1"/>
  <c r="L61" i="1" l="1"/>
  <c r="O61" i="1" s="1"/>
  <c r="L60" i="1" l="1"/>
  <c r="O60" i="1" s="1"/>
  <c r="L59" i="1" l="1"/>
  <c r="O59" i="1" s="1"/>
  <c r="L58" i="1" l="1"/>
  <c r="O58" i="1" s="1"/>
  <c r="L57" i="1" l="1"/>
  <c r="O57" i="1" s="1"/>
  <c r="L56" i="1"/>
  <c r="O56" i="1" s="1"/>
  <c r="L55" i="1" l="1"/>
  <c r="O55" i="1" s="1"/>
  <c r="L54" i="1" l="1"/>
  <c r="O54" i="1" s="1"/>
  <c r="L53" i="1"/>
  <c r="O53" i="1" s="1"/>
  <c r="L52" i="1"/>
  <c r="O52" i="1" s="1"/>
  <c r="L51" i="1"/>
  <c r="O51" i="1" s="1"/>
  <c r="L50" i="1"/>
  <c r="O50" i="1" s="1"/>
  <c r="L49" i="1" l="1"/>
  <c r="O49" i="1" s="1"/>
  <c r="O48" i="1" l="1"/>
  <c r="L47" i="1" l="1"/>
  <c r="O47" i="1" s="1"/>
  <c r="L46" i="1" l="1"/>
  <c r="O46" i="1" s="1"/>
  <c r="L45" i="1"/>
  <c r="O45" i="1" s="1"/>
  <c r="L44" i="1" l="1"/>
  <c r="O44" i="1" s="1"/>
  <c r="L43" i="1" l="1"/>
  <c r="O43" i="1" s="1"/>
  <c r="L42" i="1"/>
  <c r="O42" i="1" s="1"/>
  <c r="L41" i="1"/>
  <c r="O41" i="1" s="1"/>
  <c r="L40" i="1"/>
  <c r="O40" i="1" s="1"/>
  <c r="J38" i="1"/>
  <c r="M38" i="1"/>
  <c r="L38" i="1" l="1"/>
  <c r="O38" i="1" s="1"/>
  <c r="L39" i="1"/>
  <c r="O39" i="1" s="1"/>
  <c r="L37" i="1"/>
  <c r="O37" i="1" s="1"/>
  <c r="L36" i="1"/>
  <c r="O36" i="1" s="1"/>
  <c r="L35" i="1"/>
  <c r="O35" i="1" s="1"/>
  <c r="J34" i="1"/>
  <c r="L33" i="1"/>
  <c r="O33" i="1" s="1"/>
  <c r="L32" i="1"/>
  <c r="O32" i="1" s="1"/>
  <c r="L31" i="1"/>
  <c r="O31" i="1" s="1"/>
  <c r="L30" i="1"/>
  <c r="O30" i="1" s="1"/>
  <c r="L34" i="1" l="1"/>
  <c r="O34" i="1" s="1"/>
  <c r="L29" i="1"/>
  <c r="O29" i="1" s="1"/>
  <c r="L28" i="1"/>
  <c r="O28" i="1" s="1"/>
  <c r="L27" i="1" l="1"/>
  <c r="O27" i="1" s="1"/>
  <c r="L26" i="1"/>
  <c r="L25" i="1"/>
  <c r="O25" i="1" s="1"/>
  <c r="L24" i="1"/>
  <c r="O24" i="1" s="1"/>
  <c r="L23" i="1"/>
  <c r="O23" i="1" s="1"/>
  <c r="L22" i="1"/>
  <c r="O22" i="1" s="1"/>
  <c r="L21" i="1"/>
  <c r="O21" i="1" s="1"/>
  <c r="L20" i="1"/>
  <c r="O20" i="1" s="1"/>
  <c r="L19" i="1"/>
  <c r="O19" i="1" s="1"/>
  <c r="L18" i="1"/>
  <c r="O18" i="1" s="1"/>
  <c r="L17" i="1"/>
  <c r="O17" i="1" s="1"/>
  <c r="L16" i="1" l="1"/>
  <c r="O16" i="1" s="1"/>
  <c r="L15" i="1"/>
  <c r="O15" i="1" s="1"/>
  <c r="L14" i="1" l="1"/>
  <c r="O14" i="1" s="1"/>
  <c r="L13" i="1" l="1"/>
  <c r="O13" i="1" s="1"/>
  <c r="L12" i="1"/>
  <c r="O12" i="1" s="1"/>
  <c r="L11" i="1"/>
  <c r="O11" i="1" s="1"/>
  <c r="L10" i="1"/>
  <c r="O10" i="1" s="1"/>
  <c r="L9" i="1"/>
  <c r="O9" i="1" s="1"/>
  <c r="L8" i="1"/>
  <c r="O8" i="1" s="1"/>
  <c r="L7" i="1"/>
  <c r="O7" i="1" s="1"/>
  <c r="L6" i="1" l="1"/>
  <c r="O6" i="1" s="1"/>
  <c r="L5" i="1" l="1"/>
  <c r="O5" i="1" s="1"/>
  <c r="L4" i="1"/>
  <c r="O4" i="1" s="1"/>
  <c r="L3" i="1"/>
  <c r="O3" i="1" s="1"/>
</calcChain>
</file>

<file path=xl/sharedStrings.xml><?xml version="1.0" encoding="utf-8"?>
<sst xmlns="http://schemas.openxmlformats.org/spreadsheetml/2006/main" count="3261" uniqueCount="1199">
  <si>
    <t>S.NO</t>
  </si>
  <si>
    <t>LPO NO</t>
  </si>
  <si>
    <t>COMPANY NAME</t>
  </si>
  <si>
    <t>REMARKS</t>
  </si>
  <si>
    <t>SUMMARY (LPO)</t>
  </si>
  <si>
    <t>DONE</t>
  </si>
  <si>
    <t>ITEM</t>
  </si>
  <si>
    <t>SPECIFICATION</t>
  </si>
  <si>
    <t>UNIT PRICE
  (WITHOUT VAT)</t>
  </si>
  <si>
    <t>TOTAL AMOUNT</t>
  </si>
  <si>
    <t>TOTAL PRICE</t>
  </si>
  <si>
    <t>DATE</t>
  </si>
  <si>
    <t>SAC2-DS-MRS-0001</t>
  </si>
  <si>
    <t xml:space="preserve">CKE1350 / KOBELCO / 135ton </t>
  </si>
  <si>
    <t>SAC2-DS-MRS-0002</t>
  </si>
  <si>
    <t>Capacity : 250 KVA</t>
  </si>
  <si>
    <t>VENDOR NAME</t>
  </si>
  <si>
    <t>ANPC</t>
  </si>
  <si>
    <t>AQEC</t>
  </si>
  <si>
    <t>MOB &amp; DEMOV Charge</t>
  </si>
  <si>
    <t>Rental</t>
  </si>
  <si>
    <t xml:space="preserve">Prime Generator </t>
  </si>
  <si>
    <t>Crawler Crane</t>
  </si>
  <si>
    <t>SAC2-DS-MRS-0003</t>
  </si>
  <si>
    <t>Four Zone Contracting Est.</t>
  </si>
  <si>
    <t>FZCE</t>
  </si>
  <si>
    <t>Boom Truck</t>
  </si>
  <si>
    <t>Capacity : 15 Ton</t>
  </si>
  <si>
    <t>SAC2-DS-MRS-0004</t>
  </si>
  <si>
    <t>Flat Bed Trailer</t>
  </si>
  <si>
    <t>SAC2-DS-MRS-0005</t>
  </si>
  <si>
    <t>Faisal Mutlaq Mathkar Al-Otaibi Gen. Cont. Est.</t>
  </si>
  <si>
    <t>TVIS</t>
  </si>
  <si>
    <t>RT Crane</t>
  </si>
  <si>
    <t>Capacity : 80 Ton</t>
  </si>
  <si>
    <t>EQUIPMENT</t>
  </si>
  <si>
    <t>SAC2-DS-MRS-0006</t>
  </si>
  <si>
    <t>ERMC</t>
  </si>
  <si>
    <t>Portland Cement</t>
  </si>
  <si>
    <t xml:space="preserve">Type 1 as pe ASTM C150 </t>
  </si>
  <si>
    <t>MATERIAL</t>
  </si>
  <si>
    <t>SAC2-DS-MRS-0007</t>
  </si>
  <si>
    <t>Forklift</t>
  </si>
  <si>
    <t>Capacity : 10 Ton</t>
  </si>
  <si>
    <t>SAC2-DS-MRS-0008</t>
  </si>
  <si>
    <t>United Technology Contracting Co. Ltd.</t>
  </si>
  <si>
    <t>UTCC</t>
  </si>
  <si>
    <t>Manlift</t>
  </si>
  <si>
    <t>SAC2-DS-MRS-0009</t>
  </si>
  <si>
    <t>VEHICLE</t>
  </si>
  <si>
    <t>Desert Solution General Contracting Company LLC</t>
  </si>
  <si>
    <t>DSGC</t>
  </si>
  <si>
    <t xml:space="preserve">Pick-up </t>
  </si>
  <si>
    <t>4x4 Diesel / Manual</t>
  </si>
  <si>
    <t>SAC2-DS-MRS-0010</t>
  </si>
  <si>
    <t>Sudhir Equipment Rental Company</t>
  </si>
  <si>
    <t>SERC</t>
  </si>
  <si>
    <t>Boomlift</t>
  </si>
  <si>
    <t>Boom Length : 40 Mtr</t>
  </si>
  <si>
    <t>Boom Length: 40 Meter</t>
  </si>
  <si>
    <t>Transfer from Phase I ( Mobilization charge already paid as per invoice 2024-08179 dated 20 June 2024</t>
  </si>
  <si>
    <t>Transfer from Phase I ( Mobilization charge already paid as per invoice 2024-00397 dated  20 Jul 2024</t>
  </si>
  <si>
    <t>SAC2-DS-MRS-0011</t>
  </si>
  <si>
    <t>BUS</t>
  </si>
  <si>
    <t>Bus with Driver</t>
  </si>
  <si>
    <t>SAC2-DS-MRS-0012</t>
  </si>
  <si>
    <t>MANPOWER</t>
  </si>
  <si>
    <t>AAGC</t>
  </si>
  <si>
    <t>Safety Officer</t>
  </si>
  <si>
    <t>SAC2-DS-MRS-0013</t>
  </si>
  <si>
    <t>CONSUMABLES</t>
  </si>
  <si>
    <t>BWCT</t>
  </si>
  <si>
    <t>Office Materials</t>
  </si>
  <si>
    <t>SAC2-DS-MRS-0014</t>
  </si>
  <si>
    <t>Sultan Sulaiman Abdul Muneem Al Juhni Contracting Est.</t>
  </si>
  <si>
    <t>SSAM</t>
  </si>
  <si>
    <t>Rigger III</t>
  </si>
  <si>
    <t>SAC2-DS-MRS-0015</t>
  </si>
  <si>
    <t>Abdulllah Mohammed Al-Aklabi For Gen. Cont. Est.</t>
  </si>
  <si>
    <t>Rigger II</t>
  </si>
  <si>
    <t>SAC2-DS-MRS-0016</t>
  </si>
  <si>
    <t>SAC2-DS-MRS-0017</t>
  </si>
  <si>
    <t xml:space="preserve">Sorento </t>
  </si>
  <si>
    <t>2.2L LX AWD / DIESEL</t>
  </si>
  <si>
    <t>REGISTRATION FEE</t>
  </si>
  <si>
    <t>Al Jabr Trading Co.</t>
  </si>
  <si>
    <t>AJTC</t>
  </si>
  <si>
    <t>AMAA</t>
  </si>
  <si>
    <t>SAC2-DS-MRS-0018</t>
  </si>
  <si>
    <t>OFFICE FURNITURE</t>
  </si>
  <si>
    <t>ATGC</t>
  </si>
  <si>
    <t>Office Furniture</t>
  </si>
  <si>
    <t>Cabinet, Table &amp; Chair</t>
  </si>
  <si>
    <t>Alrmooz Technical For General Contracting Est.</t>
  </si>
  <si>
    <t>SAC2-DS-MRS-0019</t>
  </si>
  <si>
    <t>PCCL</t>
  </si>
  <si>
    <t>Tower Light</t>
  </si>
  <si>
    <t>PLT 1600S / India/ 400W</t>
  </si>
  <si>
    <t>SAC2-DS-MRS-0020</t>
  </si>
  <si>
    <t>Advance Start Trading &amp; General Contracting Est.</t>
  </si>
  <si>
    <t>ACE</t>
  </si>
  <si>
    <t>Structural Steel  QC Supervisor</t>
  </si>
  <si>
    <t>ACCOMODATION &amp; TRANSPORTATION</t>
  </si>
  <si>
    <t>SAC2-DS-MRS-0021</t>
  </si>
  <si>
    <t>DIESEL</t>
  </si>
  <si>
    <t>Hanni Ahmad Said Al-Othman Menhali Est.</t>
  </si>
  <si>
    <t>HANI</t>
  </si>
  <si>
    <t>Diesel</t>
  </si>
  <si>
    <t>SAC2-DS-MRS-0022</t>
  </si>
  <si>
    <t>Blue Ways Co. For Trading</t>
  </si>
  <si>
    <t>SAC2-DS-MRS-0023</t>
  </si>
  <si>
    <t>TOISHIBA DIGITAL COPIER</t>
  </si>
  <si>
    <t>SAC2-DS-MRS-0024</t>
  </si>
  <si>
    <t>AIR TICKET</t>
  </si>
  <si>
    <t>PGCL</t>
  </si>
  <si>
    <t>Air Ticket</t>
  </si>
  <si>
    <t>2 TCN</t>
  </si>
  <si>
    <t>DEBIT NOTE</t>
  </si>
  <si>
    <t>SAC2-DS-MRS-0026</t>
  </si>
  <si>
    <t>WASTE</t>
  </si>
  <si>
    <t>Sweep Care Co. Ltd.</t>
  </si>
  <si>
    <t>SCCL</t>
  </si>
  <si>
    <t>Waste Management</t>
  </si>
  <si>
    <t>SAC2-DS-MRS-0027</t>
  </si>
  <si>
    <t>LIGHT DRIVER</t>
  </si>
  <si>
    <t>SAC2-DS-MRS-0028</t>
  </si>
  <si>
    <t>Eastern Ready Mix Concrete Company</t>
  </si>
  <si>
    <t>SAC2-DS-MRS-0029</t>
  </si>
  <si>
    <t>38 mtr &amp; 40 Mtr</t>
  </si>
  <si>
    <t>SAC2-DS-MRS-0030</t>
  </si>
  <si>
    <t>Crane</t>
  </si>
  <si>
    <t>Rt Crane 100 Ton</t>
  </si>
  <si>
    <t>SAC2-DS-MRS-0031</t>
  </si>
  <si>
    <t>Power Care Co. Ltd.</t>
  </si>
  <si>
    <t>Generator</t>
  </si>
  <si>
    <t>62.5 KVA</t>
  </si>
  <si>
    <t>SAC2-DS-MRS-0032</t>
  </si>
  <si>
    <t>Faisal Fahad Hussain Al Kari Transportation Co.</t>
  </si>
  <si>
    <t>FACE</t>
  </si>
  <si>
    <t>SAC2-DS-MRS-0033</t>
  </si>
  <si>
    <t>PRINTER</t>
  </si>
  <si>
    <t>Xerox Printer C7130</t>
  </si>
  <si>
    <t>SAC2-DS-MRS-0034</t>
  </si>
  <si>
    <t>43 Mtr Articulated &amp; 43 Mtr Telescopic</t>
  </si>
  <si>
    <t>SAC2-DS-MRS-0035</t>
  </si>
  <si>
    <t>WATER &amp; ICE</t>
  </si>
  <si>
    <t>Sweet Water &amp; Ice</t>
  </si>
  <si>
    <t>SAC2-DS-MRS-0036</t>
  </si>
  <si>
    <t>SAC2-DS-MRS-0037</t>
  </si>
  <si>
    <t>WATER</t>
  </si>
  <si>
    <t>Drinking Water</t>
  </si>
  <si>
    <t>Alesayi Motors</t>
  </si>
  <si>
    <t>ATCC</t>
  </si>
  <si>
    <t>L200 Diesel 2.4L GLX DC 4WD 6AT</t>
  </si>
  <si>
    <t>SAC2-DS-MRS-0038</t>
  </si>
  <si>
    <t>SAC2-DS-MRS-0039</t>
  </si>
  <si>
    <t>SAC2-DS-MRS-0040</t>
  </si>
  <si>
    <t>SERVICES</t>
  </si>
  <si>
    <t>TPI TEST CERTIFICATE</t>
  </si>
  <si>
    <t>SAC2-DS-MRS-0041</t>
  </si>
  <si>
    <t xml:space="preserve">100 ton </t>
  </si>
  <si>
    <t>Independent Innovation Gen. Cont. Co. LLC</t>
  </si>
  <si>
    <t>SAC2-DS-MRS-0042</t>
  </si>
  <si>
    <t>MRA General Contracting Est.</t>
  </si>
  <si>
    <t>MRA</t>
  </si>
  <si>
    <t>Auto CAD Operator</t>
  </si>
  <si>
    <t>SAC2-DS-MRS-0043</t>
  </si>
  <si>
    <t>TRAINING</t>
  </si>
  <si>
    <t>Arabian Safety Training Center</t>
  </si>
  <si>
    <t>ASTC</t>
  </si>
  <si>
    <t>Emergency Reponse Training</t>
  </si>
  <si>
    <t>SAC2-DS-MRS-0044</t>
  </si>
  <si>
    <t>40 mtr Articulated Manlift</t>
  </si>
  <si>
    <t>SAC2-DS-MRS-0045</t>
  </si>
  <si>
    <t>48 mtr Articulated Manlift</t>
  </si>
  <si>
    <t>SAC2-DS-MRS-0046</t>
  </si>
  <si>
    <t>Civil QC Inspector</t>
  </si>
  <si>
    <t>SAC2-DS-MRS-0047</t>
  </si>
  <si>
    <t>250 KVA</t>
  </si>
  <si>
    <t>SAC2-DS-MRS-0048</t>
  </si>
  <si>
    <t>Air Compressor</t>
  </si>
  <si>
    <t>375 CFM</t>
  </si>
  <si>
    <t>SAC2-DS-MRS-0049</t>
  </si>
  <si>
    <t>SAC2-DS-MRS-0050</t>
  </si>
  <si>
    <t>SAC2-DS-MRS-0051</t>
  </si>
  <si>
    <t>OFFICE CONSUMABLES</t>
  </si>
  <si>
    <t>Computer Set &amp; Others</t>
  </si>
  <si>
    <t>Hard disc</t>
  </si>
  <si>
    <t>SAC2-DS-MRS-0052</t>
  </si>
  <si>
    <t>SITE MATERIALS</t>
  </si>
  <si>
    <t>Fortune Arabia Trading Company</t>
  </si>
  <si>
    <t>FATC</t>
  </si>
  <si>
    <t>Sika Grout</t>
  </si>
  <si>
    <t>SAC2-DS-MRS-0053</t>
  </si>
  <si>
    <t>INSPECTION</t>
  </si>
  <si>
    <t>ECI</t>
  </si>
  <si>
    <t>Visual Inspection</t>
  </si>
  <si>
    <t>SAC2-DS-MRS-0054</t>
  </si>
  <si>
    <t>Tamar Al Khaleej General Contracting Est.</t>
  </si>
  <si>
    <t>Rigger Level III</t>
  </si>
  <si>
    <t>TKCC</t>
  </si>
  <si>
    <t>HOLDING</t>
  </si>
  <si>
    <t>SAC2-DS-MRS-0055</t>
  </si>
  <si>
    <t>Jassim Saif Amer Aljaberi Trading Est.</t>
  </si>
  <si>
    <t>JSAJ</t>
  </si>
  <si>
    <t>Site Materials</t>
  </si>
  <si>
    <t>SAC2-DS-MRS-0056</t>
  </si>
  <si>
    <t>SAC2-DS-MRS-0057</t>
  </si>
  <si>
    <t>SAC2-DS-MRS-0058</t>
  </si>
  <si>
    <t>80 Ton</t>
  </si>
  <si>
    <t>SAC2-DS-MRS-0059</t>
  </si>
  <si>
    <t>41 mtr Articulated manlift with Operator</t>
  </si>
  <si>
    <t>SAC2-DS-MRS-0060</t>
  </si>
  <si>
    <t>Toekoms Contracting Company</t>
  </si>
  <si>
    <t>TCC</t>
  </si>
  <si>
    <t xml:space="preserve">80 TON </t>
  </si>
  <si>
    <t>SAC2-DS-MRS-0061</t>
  </si>
  <si>
    <t>Sana Al-Tamiz General Contracting Est.</t>
  </si>
  <si>
    <t>10 ton</t>
  </si>
  <si>
    <t>SAGC</t>
  </si>
  <si>
    <t>SAC2-DS-MRS-0062</t>
  </si>
  <si>
    <t>WQT</t>
  </si>
  <si>
    <t>GEH</t>
  </si>
  <si>
    <t>SAC2-DS-MRS-0063</t>
  </si>
  <si>
    <t>CALIBRATION</t>
  </si>
  <si>
    <t>Glory Technology Calibration and Inspection</t>
  </si>
  <si>
    <t>GTEC</t>
  </si>
  <si>
    <t>Calibration</t>
  </si>
  <si>
    <t>Civil Material Testing Services</t>
  </si>
  <si>
    <t>Civil Materials</t>
  </si>
  <si>
    <t>SAC2-DS-MRS-0064</t>
  </si>
  <si>
    <t>SAC2-DS-MRS-0065</t>
  </si>
  <si>
    <t>SAC2-DS-MRS-0066</t>
  </si>
  <si>
    <t>Ocean Wings Trading Co.</t>
  </si>
  <si>
    <t>OWTC</t>
  </si>
  <si>
    <t>HSE OFFICER</t>
  </si>
  <si>
    <t>Welding Materials</t>
  </si>
  <si>
    <t>SAC2-DS-MRS-0067</t>
  </si>
  <si>
    <t>SIKA GROUT</t>
  </si>
  <si>
    <t>Sika Saudi Arabia Co. ltd.</t>
  </si>
  <si>
    <t>SIKA</t>
  </si>
  <si>
    <t>Sika Grout &amp; Sika Crete</t>
  </si>
  <si>
    <t>SAC2-DS-MRS-0068</t>
  </si>
  <si>
    <t>SAC2-DS-MRS-0069</t>
  </si>
  <si>
    <t xml:space="preserve">General Pest Control </t>
  </si>
  <si>
    <t>SAC2-DS-MRS-0070</t>
  </si>
  <si>
    <t>Fosam Company Ltd.</t>
  </si>
  <si>
    <t>FCL</t>
  </si>
  <si>
    <t>Conbextra</t>
  </si>
  <si>
    <t>SAC2-DS-MRS-0071</t>
  </si>
  <si>
    <t>SAC2-DS-MRS-0072</t>
  </si>
  <si>
    <t>WQT &amp; WPR RT</t>
  </si>
  <si>
    <t>Zuwa General Contracting Company</t>
  </si>
  <si>
    <t>ZGCC</t>
  </si>
  <si>
    <t>SAC2-DS-MRS-0073</t>
  </si>
  <si>
    <t xml:space="preserve">Mayar Al-Amin Gen. Cont. Est </t>
  </si>
  <si>
    <t>MAC</t>
  </si>
  <si>
    <t>Rigger 3</t>
  </si>
  <si>
    <t>SAC2-DS-MRS-0074</t>
  </si>
  <si>
    <t>FEOL</t>
  </si>
  <si>
    <t>135 Ton</t>
  </si>
  <si>
    <t>FEOL Machines &amp; Equipment Co.</t>
  </si>
  <si>
    <t>SAC2-DS-MRS-0075</t>
  </si>
  <si>
    <t>SAC2-DS-MRS-0076</t>
  </si>
  <si>
    <t>SAC2-DS-MRS-0077</t>
  </si>
  <si>
    <t>Scaffolding Supervisor</t>
  </si>
  <si>
    <t>Scaffolding Supervisor Aramco Approved</t>
  </si>
  <si>
    <t>Pipe Welder</t>
  </si>
  <si>
    <t>SAC2-DS-MRS-0078</t>
  </si>
  <si>
    <t>Ali Mohammed Hassan Al-Alwan Cont. Est.</t>
  </si>
  <si>
    <t>AAC</t>
  </si>
  <si>
    <t>Piping QC Inspector</t>
  </si>
  <si>
    <t>Aramco Approved &amp; CBT Passed</t>
  </si>
  <si>
    <t>SAC2-DS-MRS-0079</t>
  </si>
  <si>
    <t>SAC2-DS-MRS-0080</t>
  </si>
  <si>
    <t>Global Traveler Agency For Travel &amp; Tourism</t>
  </si>
  <si>
    <t>GTATT</t>
  </si>
  <si>
    <t>Category</t>
  </si>
  <si>
    <t>SAC2-DS-MRS-0081</t>
  </si>
  <si>
    <t>Work Permit Receiver</t>
  </si>
  <si>
    <t>SAC2-DS-MRS-0082</t>
  </si>
  <si>
    <t>Hydrocell XL 20mm</t>
  </si>
  <si>
    <t>1000mmX2000mm</t>
  </si>
  <si>
    <t>DONE (10-Jun-2025)</t>
  </si>
  <si>
    <t>Hold (Planning Vikas)</t>
  </si>
  <si>
    <t>SAC2-DS-MRS-0083</t>
  </si>
  <si>
    <t>SAC2-DS-MRS-0084</t>
  </si>
  <si>
    <t>150KVA Prime Generator Aramco Certified</t>
  </si>
  <si>
    <t>TUV</t>
  </si>
  <si>
    <t>TUV SUD for Safety Engineering</t>
  </si>
  <si>
    <t>Third Party Inspection &amp; Certificaton</t>
  </si>
  <si>
    <t>SAC2-DS-MRS-0085</t>
  </si>
  <si>
    <t>SAC2-DS-MRS-0086</t>
  </si>
  <si>
    <t>Thioflex 600 Gun Grade Grey (4L)</t>
  </si>
  <si>
    <t>DONE (16-Jun-2025)</t>
  </si>
  <si>
    <t>DONE (19-Jun-2025)</t>
  </si>
  <si>
    <t>SAC2-DS-MRS-0087</t>
  </si>
  <si>
    <t>EECE</t>
  </si>
  <si>
    <t>SAC2-DS-MRS-0088</t>
  </si>
  <si>
    <t>Computer Set &amp; Office Materials</t>
  </si>
  <si>
    <t>WQT Services</t>
  </si>
  <si>
    <t>Gulf Engineering House Consulting Co.</t>
  </si>
  <si>
    <t>SAC2-DS-MRS-0089</t>
  </si>
  <si>
    <t>Core Team General Contracting Co. LLC</t>
  </si>
  <si>
    <t>CORE</t>
  </si>
  <si>
    <t>Light Driver</t>
  </si>
  <si>
    <t>Aramco Approved</t>
  </si>
  <si>
    <t>QC Inspector (Welding &amp; Piping) Each</t>
  </si>
  <si>
    <t>DONE (28-Jun-2025)</t>
  </si>
  <si>
    <t>SAC2-DS-MRS-0090</t>
  </si>
  <si>
    <t>SAC2-DS-MRS-0091</t>
  </si>
  <si>
    <t>Material Controller</t>
  </si>
  <si>
    <t>14 Ton with Aramco Certified Operator</t>
  </si>
  <si>
    <t>SAC2-DS-MRS-0092</t>
  </si>
  <si>
    <t>SAC2-DS-MRS-0093</t>
  </si>
  <si>
    <t>SAC2-DS-MRS-0094</t>
  </si>
  <si>
    <t>Yousef M. Al Shabini Company Ltd.</t>
  </si>
  <si>
    <t>YMAC</t>
  </si>
  <si>
    <t>QC Supervisor (Welding &amp; Piping) Each</t>
  </si>
  <si>
    <t>SAC2-DS-MRS-0095</t>
  </si>
  <si>
    <t>Xerox Printer</t>
  </si>
  <si>
    <t>DONE (08-Jul-2025)</t>
  </si>
  <si>
    <t>DONE (16-Jul-2025)</t>
  </si>
  <si>
    <t>DONE (22-Jul-2025)</t>
  </si>
  <si>
    <t>Dyna Truck</t>
  </si>
  <si>
    <t>With Driver</t>
  </si>
  <si>
    <t>Stainless Steel Welder</t>
  </si>
  <si>
    <t>SAC2-DS-MRS-0096</t>
  </si>
  <si>
    <t>Al-Badr Al-Aali Trading Co.</t>
  </si>
  <si>
    <t>AATC</t>
  </si>
  <si>
    <t>Ashok Leyland Bus With Driver</t>
  </si>
  <si>
    <t>SAC2-DS-MRS-0097</t>
  </si>
  <si>
    <t>SAC2-DS-MRS-0098</t>
  </si>
  <si>
    <t>50 Ton RT Crance with driver</t>
  </si>
  <si>
    <t>DONE (28-07-2025)</t>
  </si>
  <si>
    <t>DONE (02-08-2025)</t>
  </si>
  <si>
    <t>SAC2-DS-MRS-0099</t>
  </si>
  <si>
    <t>Rigger Level 3</t>
  </si>
  <si>
    <t>SAC2-DS-MRS-0100</t>
  </si>
  <si>
    <t>100 Ton with Aramco Certified Operator</t>
  </si>
  <si>
    <t>DONE (09-08-2025)</t>
  </si>
  <si>
    <t>SAC2-DS-MRS-0101</t>
  </si>
  <si>
    <t>Right Way Company Ltd.</t>
  </si>
  <si>
    <t>RWCL</t>
  </si>
  <si>
    <t>SAC2-DS-MRS-0102</t>
  </si>
  <si>
    <t>Aramco Certified</t>
  </si>
  <si>
    <t>Done (11-08-2025)</t>
  </si>
  <si>
    <t>Done (14-08-2025)</t>
  </si>
  <si>
    <t>SAC2-DS-MRS-0103</t>
  </si>
  <si>
    <t>SAC2-DS-MRS-0104</t>
  </si>
  <si>
    <t>SAC2-DS-MRS-0105</t>
  </si>
  <si>
    <t>SAC2-DS-MRS-0106</t>
  </si>
  <si>
    <t>66 Seater</t>
  </si>
  <si>
    <t>Done (20-08-2025)</t>
  </si>
  <si>
    <t>SAC2-DS-MRS-0107</t>
  </si>
  <si>
    <t>Zeal Tech Gen. Contracting Est.</t>
  </si>
  <si>
    <t>Zeal Tech</t>
  </si>
  <si>
    <t>Without Driver - 2025 Model (Diesel)</t>
  </si>
  <si>
    <t>SAC2-DS-MRS-0108</t>
  </si>
  <si>
    <t>26 mtr Articulated manlift with Operator</t>
  </si>
  <si>
    <t>SAC2-DS-MRS-0109</t>
  </si>
  <si>
    <t>60 Ton with Operator Aramco Certified</t>
  </si>
  <si>
    <t>SAC2-DS-MRS-0110</t>
  </si>
  <si>
    <t>10 Ton with SPSP Certified Operator</t>
  </si>
  <si>
    <t>SAC2-DS-MRS-0111</t>
  </si>
  <si>
    <t>Mechanical Static QC Inspector</t>
  </si>
  <si>
    <t>API 510 &amp; 653, CBT &amp; Aramco Approved</t>
  </si>
  <si>
    <t>Ali Mansoor Al-Marzooq Contracting</t>
  </si>
  <si>
    <t>AMAMC</t>
  </si>
  <si>
    <t>SAC2-DS-MRS-0112</t>
  </si>
  <si>
    <t>Amas Arabia Contracting Est.</t>
  </si>
  <si>
    <t>AMAS</t>
  </si>
  <si>
    <t>Manual with Driver 4x4 (2024)</t>
  </si>
  <si>
    <t>SAC2-DS-MRS-0113</t>
  </si>
  <si>
    <t>Eben Limited Company</t>
  </si>
  <si>
    <t>ELC</t>
  </si>
  <si>
    <t>Hyundai Welding rod</t>
  </si>
  <si>
    <t>ER80S-Ni1 2.4 &amp; E7018-1H4R</t>
  </si>
  <si>
    <t>Done (24-08-2025)</t>
  </si>
  <si>
    <t>SAC2-DS-MRS-0114</t>
  </si>
  <si>
    <t>Arramco Approved</t>
  </si>
  <si>
    <t>SAC2-DS-MRS-0115</t>
  </si>
  <si>
    <t>Elegance East Contracting Est.</t>
  </si>
  <si>
    <t>SAC2-DS-MRS-0116</t>
  </si>
  <si>
    <t>Done (30-08-2025)</t>
  </si>
  <si>
    <t>SAC2-DS-MRS-0117</t>
  </si>
  <si>
    <t>250KVA Prime Generator Aramco Certified</t>
  </si>
  <si>
    <t>SAC2-DS-MRS-0118</t>
  </si>
  <si>
    <t>SAC2-DS-MRS-0119</t>
  </si>
  <si>
    <t>SAC2-DS-MRS-0120</t>
  </si>
  <si>
    <t>26 mtr Articulated Manlift</t>
  </si>
  <si>
    <t>SAC2-DS-MRS-0121</t>
  </si>
  <si>
    <t>TUV Certified 250 KVA Generator</t>
  </si>
  <si>
    <t>SAC2-DS-MRS-0122</t>
  </si>
  <si>
    <t>Sami Hassan Abdullah Al-Somali General Cont. Est.</t>
  </si>
  <si>
    <t>SHAA</t>
  </si>
  <si>
    <t>43 mtr Articulated Manlift with Operator</t>
  </si>
  <si>
    <t>Done (04-09-2025)</t>
  </si>
  <si>
    <t>Done (07-09-2025)</t>
  </si>
  <si>
    <t>Absolute Quality Energy Company LLC</t>
  </si>
  <si>
    <t>SAC2-DS-MRS-0123</t>
  </si>
  <si>
    <t>Container toilet</t>
  </si>
  <si>
    <t>Purchase</t>
  </si>
  <si>
    <t>4 mtr.(2 Western Commode, 2 Indian Commode, 1 Washbasin, 3 Urinals, 4 Exhaust fan, 2 Mirror, 2 Window AC, 1 Water pressure pump, 6000 ltr Water tank, 6000 ltr Septic tank with stairs)</t>
  </si>
  <si>
    <t>Done (10-09-2025)</t>
  </si>
  <si>
    <t>80 Ton with Operator Aramco Certified</t>
  </si>
  <si>
    <t>SAC2-DS-MRS-0124</t>
  </si>
  <si>
    <t>Korea Rental Corp.</t>
  </si>
  <si>
    <t>KRC</t>
  </si>
  <si>
    <t>IPAF Training</t>
  </si>
  <si>
    <t>New and Renew</t>
  </si>
  <si>
    <t>Done (16-09-2025)</t>
  </si>
  <si>
    <t>SAC2-DS-MRS-0125</t>
  </si>
  <si>
    <t>SAC2-DS-MRS-0126</t>
  </si>
  <si>
    <t>SAC2-DS-MRS-0127</t>
  </si>
  <si>
    <t>Done (22-09-2025)</t>
  </si>
  <si>
    <t>SAC2-DS-MRS-0128</t>
  </si>
  <si>
    <t>Atlas Industrial Equipment Co.</t>
  </si>
  <si>
    <t>AIEC</t>
  </si>
  <si>
    <t>TE_10 Manual Torquing Training</t>
  </si>
  <si>
    <t>SAC2-DS-MRS-0129</t>
  </si>
  <si>
    <t>Renderoc Fc (20Kg), Nitobond Ar (4L), Renderoc Tg Xtra (20Kg)</t>
  </si>
  <si>
    <t>SAC2-DS-MRS-0130</t>
  </si>
  <si>
    <t>Petro Gold Company Limited</t>
  </si>
  <si>
    <t>Manual without Driver 4x4 (2023)</t>
  </si>
  <si>
    <t>SAC2-DS-MRS-0131</t>
  </si>
  <si>
    <t>Done (28-09-2025)</t>
  </si>
  <si>
    <t>SAC2-DS-MRS-0132</t>
  </si>
  <si>
    <t>Mechanical Rotating QC Inspector</t>
  </si>
  <si>
    <t>SAC2-DS-MRS-0133</t>
  </si>
  <si>
    <t>SAC2-DS-MRS-0135</t>
  </si>
  <si>
    <t>SAC2-DS-MRS-0134</t>
  </si>
  <si>
    <t>AGENCY</t>
  </si>
  <si>
    <t>OMANFIL</t>
  </si>
  <si>
    <t>Recruitment Charges</t>
  </si>
  <si>
    <t>Visa Fee, Mandatory Insurance, Agency Fee</t>
  </si>
  <si>
    <t>Omanfil International Manpower Development Corp.</t>
  </si>
  <si>
    <t>Done (04-10-2025)</t>
  </si>
  <si>
    <t>SAC2-DS-MRS-0136</t>
  </si>
  <si>
    <t>43 mtr Articulated manlift with IPAF Certified Operator</t>
  </si>
  <si>
    <t>SAC2-DS-MRS-0137</t>
  </si>
  <si>
    <t>Samoo Al Bahr Contracting Est.</t>
  </si>
  <si>
    <t>SAMOO</t>
  </si>
  <si>
    <t>Done (06-10-2025)</t>
  </si>
  <si>
    <t>SAC2-DS-MRS-0138</t>
  </si>
  <si>
    <t>Third Party Fire Watch Training</t>
  </si>
  <si>
    <t>SAC2-DS-MRS-0139</t>
  </si>
  <si>
    <t>Adka General Contracting Company LLC</t>
  </si>
  <si>
    <t>ADKA</t>
  </si>
  <si>
    <t>New Aramco Standard Portable Cabin Open Hall</t>
  </si>
  <si>
    <t>Done (07-10-2025)</t>
  </si>
  <si>
    <t>Hold (Material department)</t>
  </si>
  <si>
    <t>SAC2-DS-MRS-0140</t>
  </si>
  <si>
    <t>L24D-DC4-D07 (2024)</t>
  </si>
  <si>
    <t>SAC2-DS-MRS-0141</t>
  </si>
  <si>
    <t>AGT, SCABA, Trainer Travel Charges</t>
  </si>
  <si>
    <t>SAC2-DS-MRS-0142</t>
  </si>
  <si>
    <t>SAC2-DS-MRS-0143</t>
  </si>
  <si>
    <t>SAC2-DS-MRS-0144</t>
  </si>
  <si>
    <t>SAC2-DS-MRS-0145</t>
  </si>
  <si>
    <t>SAC2-DS-MRS-0146</t>
  </si>
  <si>
    <t>Bright Electro Company</t>
  </si>
  <si>
    <t>BEC</t>
  </si>
  <si>
    <t>Done</t>
  </si>
  <si>
    <t>SAC2-DS-MRS-0147</t>
  </si>
  <si>
    <t>Hyundai Approved</t>
  </si>
  <si>
    <t>SAC2-DS-MRS-0148</t>
  </si>
  <si>
    <t>Al Rwad Al Mohtarifeen Gen. Cont.Co.</t>
  </si>
  <si>
    <t>Al Rwad</t>
  </si>
  <si>
    <t>QCS Welding, QCI Welding, QCI Piping</t>
  </si>
  <si>
    <t>Aramco Approved with CBT</t>
  </si>
  <si>
    <t>SAC2-DS-MRS-0149</t>
  </si>
  <si>
    <t>F.A.T. Allowance</t>
  </si>
  <si>
    <t>Food, Accommodation &amp; Transportation</t>
  </si>
  <si>
    <t>SAC2-DS-MRS-0150</t>
  </si>
  <si>
    <t>QC NDT Coordinator</t>
  </si>
  <si>
    <t>SAC2-DS-MRS-0151</t>
  </si>
  <si>
    <t>Ghanim Qassim Al Jarudi Est.</t>
  </si>
  <si>
    <t>Welding QC Inspector</t>
  </si>
  <si>
    <t>SAC2-DS-MRS-0152</t>
  </si>
  <si>
    <t>SAC2-DS-MRS-0153</t>
  </si>
  <si>
    <t>Zaid Mazail Binia Al Aslami Company</t>
  </si>
  <si>
    <t>ZMBAC</t>
  </si>
  <si>
    <t>QCI STL/STR, QCI Welding, QCI Piping</t>
  </si>
  <si>
    <t>SAC2-DS-MRS-0154</t>
  </si>
  <si>
    <t>Marafi Al Omran Contracting Est.</t>
  </si>
  <si>
    <t>MAOC</t>
  </si>
  <si>
    <t>Without Driver</t>
  </si>
  <si>
    <t>Cancelled</t>
  </si>
  <si>
    <t>SAC2-DS-MRS-0155</t>
  </si>
  <si>
    <t>HANNI</t>
  </si>
  <si>
    <t>SAC2-DS-MRS-0156</t>
  </si>
  <si>
    <t>SAC2-DS-MRS-0157</t>
  </si>
  <si>
    <t>SS TIG &amp; ARC</t>
  </si>
  <si>
    <t>SAC2-DS-MRS-0158</t>
  </si>
  <si>
    <t>SAC2-DS-MRS-0159</t>
  </si>
  <si>
    <t>SAC2-DS-MRS-0160</t>
  </si>
  <si>
    <t>Conbextra Ts (25Kg), Conbextra Gp (25Kg), Conbextra Ep150 (92Kg)</t>
  </si>
  <si>
    <t>SAC2-DS-MRS-0161</t>
  </si>
  <si>
    <t>Noor United Gen. Contracting Est.</t>
  </si>
  <si>
    <t>NUGCE</t>
  </si>
  <si>
    <t>SAC2-DS-MRS-0162</t>
  </si>
  <si>
    <t>Trindus Engineering Company</t>
  </si>
  <si>
    <t>SAC2-DS-MRS-0163</t>
  </si>
  <si>
    <t>Welding Rod</t>
  </si>
  <si>
    <t>SAC2-DS-MRS-0164</t>
  </si>
  <si>
    <t>25 Ton With Driver</t>
  </si>
  <si>
    <t>SAC2-DS-MRS-0165</t>
  </si>
  <si>
    <t>SAC2-DS-MRS-0166</t>
  </si>
  <si>
    <t>4 Feet Portable Toilet</t>
  </si>
  <si>
    <t>1 WC, 1 CWB, 1 Mirror, 1 300 liters Water Tank, 1 Attached 300 liters Septic Tank, 1 Exhaust Fan, 1 Stair</t>
  </si>
  <si>
    <t>SAC2-DS-MRS-0167</t>
  </si>
  <si>
    <t>SAC2-DS-MRS-0168</t>
  </si>
  <si>
    <t>OSHA, FIRST AID and BLS Traingin</t>
  </si>
  <si>
    <t>SAC2-DS-MRS-0169</t>
  </si>
  <si>
    <t>Chemical Test</t>
  </si>
  <si>
    <t>TCR Arabia Company Limited</t>
  </si>
  <si>
    <t>TCR</t>
  </si>
  <si>
    <t>SAC2-DS-MRS-0170</t>
  </si>
  <si>
    <t>Bow Shackle</t>
  </si>
  <si>
    <t>SAC2-DS-MRS-0171</t>
  </si>
  <si>
    <t>Rigger Level - 1</t>
  </si>
  <si>
    <t>SAC2-DS-MRS-0172</t>
  </si>
  <si>
    <t>Saudi Hidayath Company Ltd.</t>
  </si>
  <si>
    <t>SHCL</t>
  </si>
  <si>
    <t>Stainless Steel Sheets</t>
  </si>
  <si>
    <t>GRADE 316L 10MM(THK) 1219MM(W) X 2438MM(L)
#1 MILL P</t>
  </si>
  <si>
    <t>SAC2-DS-MRS-0173</t>
  </si>
  <si>
    <t>SAC2-DS-MRS-0174</t>
  </si>
  <si>
    <t>SAC2-DS-MRS-0175</t>
  </si>
  <si>
    <t>Skills Association Contracting Est.</t>
  </si>
  <si>
    <t>SACE</t>
  </si>
  <si>
    <t>Aramco with CBT Approved</t>
  </si>
  <si>
    <t>SAC2-DS-MRS-0176</t>
  </si>
  <si>
    <t>80 Ton RT Crance with Aramco Certified Operator</t>
  </si>
  <si>
    <t>SAC2-DS-MRS-0177</t>
  </si>
  <si>
    <t>26 mtr Articulated manlift with IPAF Certified Operator</t>
  </si>
  <si>
    <t>SAC2-DS-MRS-0178</t>
  </si>
  <si>
    <t>Sweet Water</t>
  </si>
  <si>
    <t>SAC2-DS-MRS-0179</t>
  </si>
  <si>
    <t>Support Power Contracting Est.</t>
  </si>
  <si>
    <t>SPC</t>
  </si>
  <si>
    <t>Scaffolder Supervisor</t>
  </si>
  <si>
    <t>SAC2-DS-MRS-0180</t>
  </si>
  <si>
    <t>Muhammad Ali Bin Makki Al Harfan General Contracting Est.</t>
  </si>
  <si>
    <t>MBC</t>
  </si>
  <si>
    <t>SAC2-DS-MRS-0181</t>
  </si>
  <si>
    <t>Third Party Training for Rigger</t>
  </si>
  <si>
    <t>SAC2-DS-MRS-0182</t>
  </si>
  <si>
    <t>TEC</t>
  </si>
  <si>
    <t>SAC2-DS-MRS-0183</t>
  </si>
  <si>
    <t>110 Ton RT Crance with Aramco Certified Operator</t>
  </si>
  <si>
    <t>SAC2-DS-MRS-0184</t>
  </si>
  <si>
    <t>SAC2-DS-MRS-0185</t>
  </si>
  <si>
    <t>SAC2-DS-MRS-0186</t>
  </si>
  <si>
    <t>SAC2-DS-MRS-0187</t>
  </si>
  <si>
    <t>SAC2-DS-MRS-0188</t>
  </si>
  <si>
    <t>SAC2-DS-MRS-0189</t>
  </si>
  <si>
    <t>Isuzu 4x4 Without Driver - 2025 Model (Diesel)</t>
  </si>
  <si>
    <t>SAC2-DS-MRS-0190</t>
  </si>
  <si>
    <t>SAC2-DS-MRS-0191</t>
  </si>
  <si>
    <t>SAC2-DS-MRS-0192</t>
  </si>
  <si>
    <t>SAC2-DS-MRS-0193</t>
  </si>
  <si>
    <t>Third Party Inspection for Cylinder Basket</t>
  </si>
  <si>
    <t>SAC2-DS-MRS-0194</t>
  </si>
  <si>
    <t>Third Party Inspection for Web Sling, Bow Shackle, Lever Block, Chain Block, Pipe Stand</t>
  </si>
  <si>
    <t>SAC2-DS-MRS-0195</t>
  </si>
  <si>
    <t>Mobile Crance</t>
  </si>
  <si>
    <t>160 Ton with Aramco Certified Operator</t>
  </si>
  <si>
    <t>SAC2-DS-MRS-0196</t>
  </si>
  <si>
    <t>7 Ton with SPSP Operator (ARAMCO)</t>
  </si>
  <si>
    <t>SAC2-DS-MRS-0197</t>
  </si>
  <si>
    <t>350KVA Prime Generator Aramco Certified</t>
  </si>
  <si>
    <t>SAC2-DS-MRS-0198</t>
  </si>
  <si>
    <t>SAC2-DS-MRS-0199</t>
  </si>
  <si>
    <t>Third Party Inspection and Certification for Lifting Frame</t>
  </si>
  <si>
    <t>SAC2-DS-MRS-0200</t>
  </si>
  <si>
    <t>SAC2-DS-MRS-0201</t>
  </si>
  <si>
    <t>120 Ton RT Crance with Aramco Certified Operator</t>
  </si>
  <si>
    <t>SAC2-DS-MRS-0202</t>
  </si>
  <si>
    <t>SAC2-DS-MRS-0203</t>
  </si>
  <si>
    <t>Zoomlion10 Ton with Aramco Certified Operator</t>
  </si>
  <si>
    <t>Abdulla NASS &amp; Partners Co. Ltd.</t>
  </si>
  <si>
    <t>Abdulla NASS &amp; Partners Co., Ltd.</t>
  </si>
  <si>
    <t>SAC2-DS-MRS-0204</t>
  </si>
  <si>
    <t>SAC2-DS-MRS-0205</t>
  </si>
  <si>
    <t>SAC2-DS-MRS-0206</t>
  </si>
  <si>
    <t>OSAZ</t>
  </si>
  <si>
    <t>Electrical items</t>
  </si>
  <si>
    <t>Omar Saleh Abdullah Al-Zahrani Electricals</t>
  </si>
  <si>
    <t>SAC2-DS-MRS-0207</t>
  </si>
  <si>
    <t>Low Bed Trailer</t>
  </si>
  <si>
    <t>With Driver (Daily Basis)</t>
  </si>
  <si>
    <t>SAC2-DS-MRS-0208</t>
  </si>
  <si>
    <t>10 Ton with Aramco Operator</t>
  </si>
  <si>
    <t>SAC2-DS-MRS-0209</t>
  </si>
  <si>
    <t>Fortwall Arabia Industrial Co.</t>
  </si>
  <si>
    <t>FAIC</t>
  </si>
  <si>
    <t>SAC2-DS-MRS-0210</t>
  </si>
  <si>
    <t>Third Party Inspection and Certificate</t>
  </si>
  <si>
    <t>SAC2-DS-MRS-0211</t>
  </si>
  <si>
    <t>SAC2-DS-MRS-0212</t>
  </si>
  <si>
    <t>SAC2-DS-MRS-0213</t>
  </si>
  <si>
    <t>SS Multi Welder</t>
  </si>
  <si>
    <t>SAC2-DS-MRS-0214</t>
  </si>
  <si>
    <t>Third Party Training and Certification for Scaffolder and Rigger III</t>
  </si>
  <si>
    <t>SAC2-DS-MRS-0215</t>
  </si>
  <si>
    <t>Multi Welder SS</t>
  </si>
  <si>
    <t>SAC2-DS-MRS-0216</t>
  </si>
  <si>
    <t>SS Welder</t>
  </si>
  <si>
    <t>SAC2-DS-MRS-0217</t>
  </si>
  <si>
    <t>SAC2-DS-MRS-0218</t>
  </si>
  <si>
    <t>SAC2-DS-MRS-0219</t>
  </si>
  <si>
    <t>Third Party Training and Certification for First Aid and BLS</t>
  </si>
  <si>
    <t>SAC2-DS-MRS-0220</t>
  </si>
  <si>
    <t>SAC2-DS-MRS-0221</t>
  </si>
  <si>
    <t>Third Party Training and Certificate for Fall Arrestor and Wire Rope Sling</t>
  </si>
  <si>
    <t>SAC2-DS-MRS-0222</t>
  </si>
  <si>
    <t>SAC2-DS-MRS-0223</t>
  </si>
  <si>
    <t>SAC2-DS-MRS-0224</t>
  </si>
  <si>
    <t>SAC2-DS-MRS-0225</t>
  </si>
  <si>
    <t>Spare Parts for Welding Machine Repair</t>
  </si>
  <si>
    <t>SAC2-DS-MRS-0226</t>
  </si>
  <si>
    <t>Consumables for Welding</t>
  </si>
  <si>
    <t>SAC2-DS-MRS-0227</t>
  </si>
  <si>
    <t>Generator / Dyana Truck / Standard Distribution Panel</t>
  </si>
  <si>
    <t>500 KVA TUV Certified with Sound Attenuated Enclosure</t>
  </si>
  <si>
    <t>SAC2-DS-MRS-0228</t>
  </si>
  <si>
    <t>350 KVA TUV Certified with Sound Attenuated Enclosure</t>
  </si>
  <si>
    <t>SAC2-DS-MRS-0229</t>
  </si>
  <si>
    <t>SAC2-DS-MRS-0230</t>
  </si>
  <si>
    <t>SAC2-DS-MRS-0231</t>
  </si>
  <si>
    <t>SAC2-DS-MRS-0232</t>
  </si>
  <si>
    <t>SAC2-DS-MRS-0233</t>
  </si>
  <si>
    <t>Third Party Training and Certification for Scaffolder</t>
  </si>
  <si>
    <t>SAC2-DS-MRS-0234</t>
  </si>
  <si>
    <t>SAC2-DS-MRS-0235</t>
  </si>
  <si>
    <t>Yaqoot Arabia Trading Company</t>
  </si>
  <si>
    <t>Scaffolding Materials</t>
  </si>
  <si>
    <t>SAC2-DS-MRS-0236</t>
  </si>
  <si>
    <t>SAC2-DS-MRS-0237</t>
  </si>
  <si>
    <t>SAC2-DS-MRS-0238</t>
  </si>
  <si>
    <t>SAC2-DS-MRS-0239</t>
  </si>
  <si>
    <t>TPI Certified LED Tower Lights</t>
  </si>
  <si>
    <t>SAC2-DS-MRS-0240</t>
  </si>
  <si>
    <t>43 Meter Telescopic with single IPAP Operator</t>
  </si>
  <si>
    <t>SAC2-DS-MRS-0241</t>
  </si>
  <si>
    <t>SAC2-DS-MRS-0242</t>
  </si>
  <si>
    <t>SAC2-DS-MRS-0243</t>
  </si>
  <si>
    <t>Rigger TUV</t>
  </si>
  <si>
    <t>AlFalak Aldoware General Contracting Co.</t>
  </si>
  <si>
    <t>SAC2-DS-MRS-0244</t>
  </si>
  <si>
    <t>Rigger Level 1</t>
  </si>
  <si>
    <t>SAC2-DS-MRS-0245</t>
  </si>
  <si>
    <t>Third Party Training and Certificate</t>
  </si>
  <si>
    <t>-</t>
  </si>
  <si>
    <t>SAC2-DS-MRS-0246</t>
  </si>
  <si>
    <t>SAC2-DS-MRS-0247</t>
  </si>
  <si>
    <t>SAC2-DS-MRS-0248</t>
  </si>
  <si>
    <t>Zaithoon Technical Services</t>
  </si>
  <si>
    <t>ZTS</t>
  </si>
  <si>
    <t>SAC2-DS-MRS-0249</t>
  </si>
  <si>
    <t>Rigger Level-III TUV &amp; Scaffolder</t>
  </si>
  <si>
    <t>40 &amp; 26 Meter Telescopic with single IPAP Operator</t>
  </si>
  <si>
    <t>SAC2-DS-MRS-0250</t>
  </si>
  <si>
    <t>Tech Shield Gulf Energy</t>
  </si>
  <si>
    <t>TSGE</t>
  </si>
  <si>
    <t>Rigger III, Rigger TUV, SS Multi Welder, CS Welder, Scaffolder, Pipe Fitter, Pipe Fabricator</t>
  </si>
  <si>
    <t>100 &amp; 110 Ton RT Crance with Aramco Certified Operator</t>
  </si>
  <si>
    <t>SAC2-DS-MRS-0251</t>
  </si>
  <si>
    <t>SAC2-DS-MRS-0252</t>
  </si>
  <si>
    <t>TUV Certified</t>
  </si>
  <si>
    <t>SAC2-DS-MRS-0253</t>
  </si>
  <si>
    <t>SAC2-DS-MRS-0254</t>
  </si>
  <si>
    <t>40 Mtr Articulated with single IPAP Operator</t>
  </si>
  <si>
    <t>SAC2-DS-MRS-0255</t>
  </si>
  <si>
    <t>Alam Alamani Trading Company</t>
  </si>
  <si>
    <t>SAC2-DS-MRS-0256</t>
  </si>
  <si>
    <t>07 Ton with SPSP Operator</t>
  </si>
  <si>
    <t>SAC2-DS-MRS-0257</t>
  </si>
  <si>
    <t>SAC2-DS-MRS-0258</t>
  </si>
  <si>
    <t>Ahmad Abdullah Al-Zahrani Contracting Est.</t>
  </si>
  <si>
    <t>AMPLITUDE</t>
  </si>
  <si>
    <t>SS Multi Welder (JCC Certified)</t>
  </si>
  <si>
    <t>SAC2-DS-MRS-0259</t>
  </si>
  <si>
    <t>SAC2-DS-MRS-0260</t>
  </si>
  <si>
    <t>SAC2-DS-MRS-0261</t>
  </si>
  <si>
    <t>SAC2-DS-MRS-0262</t>
  </si>
  <si>
    <t>Engineering Corner for Inspection Co. Ltd.</t>
  </si>
  <si>
    <t>YATCO</t>
  </si>
  <si>
    <t>SAC2-DS-MRS-0263</t>
  </si>
  <si>
    <t>SAC2-DS-MRS-0264</t>
  </si>
  <si>
    <t>SAC2-DS-MRS-0265</t>
  </si>
  <si>
    <t>350 &amp; 150 KVA TUV Certified with Sound Attenuated Enclosure</t>
  </si>
  <si>
    <t>SAC2-DS-MRS-0266</t>
  </si>
  <si>
    <t>350 KVA Prime Generator Aramco Certified</t>
  </si>
  <si>
    <t>SAC2-DS-MRS-0267</t>
  </si>
  <si>
    <t>SAC2-DS-MRS-0268</t>
  </si>
  <si>
    <t>SAC2-DS-MRS-0269</t>
  </si>
  <si>
    <t>with Driver</t>
  </si>
  <si>
    <t>SAC2-DS-MRS-0270</t>
  </si>
  <si>
    <t>IIC</t>
  </si>
  <si>
    <t>10 Ton with Aramco Certified Operator</t>
  </si>
  <si>
    <t>SAC2-DS-MRS-0271</t>
  </si>
  <si>
    <t>SAC2-DS-MRS-0272</t>
  </si>
  <si>
    <t>100 Ton with Operator Aramco Certified</t>
  </si>
  <si>
    <t>Yahya Ahmed Raqwani Company Ltd. For Trad. &amp; Cont.</t>
  </si>
  <si>
    <t>YARCL</t>
  </si>
  <si>
    <t>SAC2-DS-MRS-0273</t>
  </si>
  <si>
    <t>SAC2-DS-MRS-0274</t>
  </si>
  <si>
    <t>Dasman Gulf General Contracting Company</t>
  </si>
  <si>
    <t>DGGCC</t>
  </si>
  <si>
    <t>Welding &amp; Piping QC Inspector, SS Multi Welder</t>
  </si>
  <si>
    <t>AMT</t>
  </si>
  <si>
    <t>SAC2-DS-MRS-0275</t>
  </si>
  <si>
    <t>Work Permit Receiver &amp; QC DC</t>
  </si>
  <si>
    <t>SAC2-DS-MRS-0276</t>
  </si>
  <si>
    <t>SAC2-DS-MRS-0277</t>
  </si>
  <si>
    <t>SAC2-DS-MRS-0278</t>
  </si>
  <si>
    <t>Kayada Chark Contracting Company</t>
  </si>
  <si>
    <t>SAC2-DS-MRS-0279</t>
  </si>
  <si>
    <t>KCCC</t>
  </si>
  <si>
    <t>Aramco Approved CBT Pass</t>
  </si>
  <si>
    <t>SAC2-DS-MRS-0280</t>
  </si>
  <si>
    <t>SAC2-DS-MRS-0281</t>
  </si>
  <si>
    <t>50 Ton with Operator Aramco Certified</t>
  </si>
  <si>
    <t>SAC2-DS-MRS-0282</t>
  </si>
  <si>
    <t>RT Crane &amp; Manlift</t>
  </si>
  <si>
    <t>120 Ton RT Crance with Aramco Certified Operator &amp; 41 Mtr. Telescopic with IPAF Operator</t>
  </si>
  <si>
    <t>SAC2-DS-MRS-0283</t>
  </si>
  <si>
    <t>Conbextra Gp (25Kg)</t>
  </si>
  <si>
    <t>SAC2-DS-MRS-0284</t>
  </si>
  <si>
    <t>SAC2-DS-MRS-0285</t>
  </si>
  <si>
    <t>SAC2-DS-MRS-0286</t>
  </si>
  <si>
    <t>SAC2-DS-MRS-0287</t>
  </si>
  <si>
    <t>SAC2-DS-MRS-0288</t>
  </si>
  <si>
    <t>SAC2-DS-MRS-0289</t>
  </si>
  <si>
    <t>SAC2-DS-MRS-0290</t>
  </si>
  <si>
    <t>SAC2-DS-MRS-0291</t>
  </si>
  <si>
    <t>SAC2-DS-MRS-0292</t>
  </si>
  <si>
    <t>SAC2-DS-MRS-0293</t>
  </si>
  <si>
    <t>10 Ton Helli Forklift with SPSP Operator</t>
  </si>
  <si>
    <t>SAC2-DS-MRS-0294</t>
  </si>
  <si>
    <t>64 Seater</t>
  </si>
  <si>
    <t>SAC2-DS-MRS-0295</t>
  </si>
  <si>
    <t>43 Mtr. Telescopic with IPAF Certified Operator</t>
  </si>
  <si>
    <t>SAC2-DS-MRS-0296</t>
  </si>
  <si>
    <t>Brigade Iconic Limited LLC</t>
  </si>
  <si>
    <t>BIL</t>
  </si>
  <si>
    <t>Bus With Driver</t>
  </si>
  <si>
    <t>64 Seater (2025-26 Model)</t>
  </si>
  <si>
    <t>SAC2-DS-MRS-0297</t>
  </si>
  <si>
    <t>Gulf Designer Holding Company</t>
  </si>
  <si>
    <t>GDHC</t>
  </si>
  <si>
    <t>Multi Welder (6G CS &amp; SS)</t>
  </si>
  <si>
    <t>40 &amp; 51</t>
  </si>
  <si>
    <t>SAC2-DS-MRS-0298</t>
  </si>
  <si>
    <t>Rigger I</t>
  </si>
  <si>
    <t>SAC2-DS-MRS-0299</t>
  </si>
  <si>
    <t>Multi Welder SS &amp; CS</t>
  </si>
  <si>
    <t>51 &amp; 40</t>
  </si>
  <si>
    <t>SAC2-DS-MRS-0300</t>
  </si>
  <si>
    <t>Basmat Rose Contracting Co.</t>
  </si>
  <si>
    <t>BRC</t>
  </si>
  <si>
    <t>SAC2-DS-MRS-0301</t>
  </si>
  <si>
    <t>SAC2-DS-MRS-0302</t>
  </si>
  <si>
    <t>SAC2-DS-MRS-0303</t>
  </si>
  <si>
    <t>Welding Machine Accessories</t>
  </si>
  <si>
    <t>SAC2-DS-MRS-0304</t>
  </si>
  <si>
    <t>Gulf Mas General Contracting Est.</t>
  </si>
  <si>
    <t>GMGCE</t>
  </si>
  <si>
    <t>Mechanical QC Inspector</t>
  </si>
  <si>
    <t>Aramco Approved With CBT Pass</t>
  </si>
  <si>
    <t>SAC2-DS-MRS-0305</t>
  </si>
  <si>
    <t>Alshahid Modern Future Contracting Co.</t>
  </si>
  <si>
    <t>SMF</t>
  </si>
  <si>
    <t>12 Ton with Aramco Certified Operator</t>
  </si>
  <si>
    <t>SAC2-DS-MRS-0306</t>
  </si>
  <si>
    <t>SAC2-DS-MRS-0307</t>
  </si>
  <si>
    <t>Aramco Third Party Inspection</t>
  </si>
  <si>
    <t>Construction Safety Manual - 5 Days Training + Trainer Fees</t>
  </si>
  <si>
    <t>SAC2-DS-MRS-0308</t>
  </si>
  <si>
    <t>TE10 &amp; TE19 Manual Torquing Training</t>
  </si>
  <si>
    <t>SAC2-DS-MRS-0309</t>
  </si>
  <si>
    <t>Hassan Mohammad Al Sobity General Contracting</t>
  </si>
  <si>
    <t>HMAS</t>
  </si>
  <si>
    <t>Welding QCI &amp; Piping QCI</t>
  </si>
  <si>
    <t>90 &amp; 88</t>
  </si>
  <si>
    <t>SAC2-DS-MRS-0310</t>
  </si>
  <si>
    <t>SAC2-DS-MRS-0311</t>
  </si>
  <si>
    <t>SAC2-DS-MRS-0312</t>
  </si>
  <si>
    <t>SAC2-DS-MRS-0313</t>
  </si>
  <si>
    <t>Rejected (Hyundai)</t>
  </si>
  <si>
    <t>Rejected (Aramco Vendor required)</t>
  </si>
  <si>
    <t>New vendor registration not possible at present</t>
  </si>
  <si>
    <t>SAC2-DS-MRS-0314</t>
  </si>
  <si>
    <t>ZAINAB</t>
  </si>
  <si>
    <t>SAC2-DS-MRS-0315</t>
  </si>
  <si>
    <t>SAC2-DS-MRS-0316</t>
  </si>
  <si>
    <t>MJI Manual &amp; Hydraulic Torquing and Tensioning Training - 2.5 days</t>
  </si>
  <si>
    <t>SAC2-DS-MRS-0317</t>
  </si>
  <si>
    <t>SAC2-DS-MRS-0318</t>
  </si>
  <si>
    <t>SAC2-DS-MRS-0319</t>
  </si>
  <si>
    <t>SAC2-DS-MRS-0320</t>
  </si>
  <si>
    <t>SAC2-DS-MRS-0321</t>
  </si>
  <si>
    <t>Zainab Saeed Al Abdul Aal Contracting Est.</t>
  </si>
  <si>
    <t>SAC2-DS-MRS-0322</t>
  </si>
  <si>
    <t>SAC2-DS-MRS-0323</t>
  </si>
  <si>
    <t>SAC2-DS-MRS-0324</t>
  </si>
  <si>
    <t>Grouting Materials</t>
  </si>
  <si>
    <t>SAC2-DS-MRS-0325</t>
  </si>
  <si>
    <t>Portable Cabin</t>
  </si>
  <si>
    <t>Portable Toilet</t>
  </si>
  <si>
    <t>12x 3.2 mtrs with complete accessories</t>
  </si>
  <si>
    <t>SAC2-DS-MRS-0326</t>
  </si>
  <si>
    <t>Manpower</t>
  </si>
  <si>
    <t>Rigger &amp; Scaffolder</t>
  </si>
  <si>
    <t>SAC2-DS-MRS-0327</t>
  </si>
  <si>
    <t>SAC2-DS-MRS-0328</t>
  </si>
  <si>
    <t>SAC2-DS-MRS-0329</t>
  </si>
  <si>
    <t>50% advance payment</t>
  </si>
  <si>
    <t>50% Down Payment for Tools &amp; Equipmet</t>
  </si>
  <si>
    <t>SAC2-DS-MRS-0330</t>
  </si>
  <si>
    <t>Welding Rods</t>
  </si>
  <si>
    <t>SAC2-DS-MRS-0331</t>
  </si>
  <si>
    <t>SAC2-DS-MRS-0332</t>
  </si>
  <si>
    <t>SAC2-DS-MRS-0333</t>
  </si>
  <si>
    <t>SAC2-DS-MRS-0334</t>
  </si>
  <si>
    <t>SAC2-DS-MRS-0335</t>
  </si>
  <si>
    <t>SAC2-DS-MRS-0336</t>
  </si>
  <si>
    <t>Helper</t>
  </si>
  <si>
    <t>SAC2-DS-MRS-0337</t>
  </si>
  <si>
    <t>Piping Skill Helper</t>
  </si>
  <si>
    <t>SAC2-DS-MRS-0338</t>
  </si>
  <si>
    <t>SAC2-DS-MRS-0339</t>
  </si>
  <si>
    <t>SAC2-DS-MRS-0340</t>
  </si>
  <si>
    <t>SAC2-DS-MRS-0341</t>
  </si>
  <si>
    <t>NAURIS</t>
  </si>
  <si>
    <t>SAC2-DS-MRS-0342</t>
  </si>
  <si>
    <t>SAC2-DS-MRS-0343</t>
  </si>
  <si>
    <t>SAC2-DS-MRS-0344</t>
  </si>
  <si>
    <t>Pick up</t>
  </si>
  <si>
    <t>4x4 without driver</t>
  </si>
  <si>
    <t>SAC2-DS-MRS-0345</t>
  </si>
  <si>
    <t>100 Ton RT Crance with Aramco Certified Operator</t>
  </si>
  <si>
    <t>SAC2-DS-MRS-0346</t>
  </si>
  <si>
    <t>IPAF 3A &amp; 3B Training</t>
  </si>
  <si>
    <t>New and Renew (Boom Lift &amp; Scissor Lift)</t>
  </si>
  <si>
    <t>SAC2-DS-MRS-0347</t>
  </si>
  <si>
    <t>SAC2-DS-MRS-0348</t>
  </si>
  <si>
    <t>SAC2-DS-MRS-0349</t>
  </si>
  <si>
    <t>bus 66 seater</t>
  </si>
  <si>
    <t>SAC2-DS-MRS-0350</t>
  </si>
  <si>
    <t>SAC2-DS-MRS-0351</t>
  </si>
  <si>
    <t>structure foreman</t>
  </si>
  <si>
    <t>SAC2-DS-MRS-0352</t>
  </si>
  <si>
    <t>structure Supervisor, foreman, Milwright</t>
  </si>
  <si>
    <t>SAC2-DS-MRS-0353</t>
  </si>
  <si>
    <t>SAC2-DS-MRS-0354</t>
  </si>
  <si>
    <t>Luminous Arabia Services Contracting Company</t>
  </si>
  <si>
    <t>Bolt Torquing Services</t>
  </si>
  <si>
    <t>LASC</t>
  </si>
  <si>
    <t>SAC2-DS-MRS-0355</t>
  </si>
  <si>
    <t>62.5 kva generator with sound attnuated eclosure</t>
  </si>
  <si>
    <t>SAC2-DS-MRS-0356</t>
  </si>
  <si>
    <t>FRC Coverall</t>
  </si>
  <si>
    <t>SAC2-DS-MRS-0357</t>
  </si>
  <si>
    <t>Piping QC Supervisor</t>
  </si>
  <si>
    <t>SAC2-DS-MRS-0358</t>
  </si>
  <si>
    <t>BUS &amp; PICK-UP</t>
  </si>
  <si>
    <t>Zephyr Energy company</t>
  </si>
  <si>
    <t>ZEC</t>
  </si>
  <si>
    <t>PICK-UP</t>
  </si>
  <si>
    <t>Jaffar Mohammed al-subaiti &amp; Partner Co.</t>
  </si>
  <si>
    <t>JSC</t>
  </si>
  <si>
    <t>Bus 64 Seater</t>
  </si>
  <si>
    <t>SAC2-DS-MRS-0359</t>
  </si>
  <si>
    <t>CONTAINER</t>
  </si>
  <si>
    <t>Container Rental Charge</t>
  </si>
  <si>
    <t>SAC2-DS-MRS-0360</t>
  </si>
  <si>
    <t>TAC</t>
  </si>
  <si>
    <t>Diesel Supply</t>
  </si>
  <si>
    <t>SAC2-DS-MRS-0361</t>
  </si>
  <si>
    <t>Rigger Level II - Aramco Approved</t>
  </si>
  <si>
    <t>SAC2-DS-MRS-0362</t>
  </si>
  <si>
    <t>SAC2-DS-MRS-0363</t>
  </si>
  <si>
    <t>Hussain Saleh Al Saffar General Contraciing Est.</t>
  </si>
  <si>
    <t>HGC</t>
  </si>
  <si>
    <t>Steel Erector foreman</t>
  </si>
  <si>
    <t>SAC2-DS-MRS-0364</t>
  </si>
  <si>
    <t>SAC2-DS-MRS-0365</t>
  </si>
  <si>
    <t>SAC2-DS-MRS-0366</t>
  </si>
  <si>
    <t>Osaz Electricals</t>
  </si>
  <si>
    <t>SAC2-DS-MRS-0367</t>
  </si>
  <si>
    <t>SAC2-DS-MRS-0368</t>
  </si>
  <si>
    <t>SAC2-DS-MRS-0369</t>
  </si>
  <si>
    <t>500 KVA Diesel Power Generator, Silent Type</t>
  </si>
  <si>
    <t>SAC2-DS-MRS-0370</t>
  </si>
  <si>
    <t>hmas</t>
  </si>
  <si>
    <t>Plate Welder 3G &amp; 4G</t>
  </si>
  <si>
    <t>4G - sar 24.00, 3G-sar 20.00</t>
  </si>
  <si>
    <t>SAC2-DS-MRS-0371</t>
  </si>
  <si>
    <t>Skill Advisor Genral Cont. Est.</t>
  </si>
  <si>
    <t>SAC2-DS-MRS-0372</t>
  </si>
  <si>
    <t>Carpenter, Helper</t>
  </si>
  <si>
    <t>SAC2-DS-MRS-0373</t>
  </si>
  <si>
    <t>Multi Welder, rigger III, iron worker</t>
  </si>
  <si>
    <t>SAC2-DS-MRS-0374</t>
  </si>
  <si>
    <t>atgc</t>
  </si>
  <si>
    <t>SAC2-DS-MRS-0375</t>
  </si>
  <si>
    <t>PRINTER SERVICE</t>
  </si>
  <si>
    <t>SAC2-DS-MRS-0376</t>
  </si>
  <si>
    <t>SAC2-DS-MRS-0377</t>
  </si>
  <si>
    <t>jsaj</t>
  </si>
  <si>
    <t>Borescope Inspection Camera</t>
  </si>
  <si>
    <t>SAC2-DS-MRS-0378</t>
  </si>
  <si>
    <t>Jahaz Ayed Al-Rashidi &amp; Partners For Trad.</t>
  </si>
  <si>
    <t>Portable Welding Machine</t>
  </si>
  <si>
    <t>SAC2-DS-MRS-0379</t>
  </si>
  <si>
    <t>SAC2-DS-MRS-0380</t>
  </si>
  <si>
    <t>Ahco General Contracting Company</t>
  </si>
  <si>
    <t xml:space="preserve">Welding Machine </t>
  </si>
  <si>
    <t>SAC2-DS-MRS-0381</t>
  </si>
  <si>
    <t>HSE &amp; WPR</t>
  </si>
  <si>
    <t>ETEK</t>
  </si>
  <si>
    <t>SAC2-DS-MRS-0382</t>
  </si>
  <si>
    <t>SAC2-DS-MRS-0383</t>
  </si>
  <si>
    <t>APPROVED</t>
  </si>
  <si>
    <t>4x4 Pick-up with driver</t>
  </si>
  <si>
    <t>Toyota Hi-lux  2023 &amp; 2024 model</t>
  </si>
  <si>
    <t>SAC2-DS-MRS-0384</t>
  </si>
  <si>
    <t>Nafeez Contracting Company</t>
  </si>
  <si>
    <t>NCC</t>
  </si>
  <si>
    <t>Toyota Hi-lux  above 2022 model</t>
  </si>
  <si>
    <t>110 ton rt crane with aramco certified operator</t>
  </si>
  <si>
    <t>SAC2-DS-MRS-0385</t>
  </si>
  <si>
    <t>MES</t>
  </si>
  <si>
    <t>Mortada Essa Bin Abdullah Somi Contracting  Est.</t>
  </si>
  <si>
    <t>TPI</t>
  </si>
  <si>
    <t>TPI for</t>
  </si>
  <si>
    <t>SAC2-DS-MRS-0386</t>
  </si>
  <si>
    <t>Painting Supervisor, Painter, Strl foreman</t>
  </si>
  <si>
    <t>SAC2-DS-MRS-0387</t>
  </si>
  <si>
    <t>Mohammed Saleh Al Saffar General Contracting Est.</t>
  </si>
  <si>
    <t>MACE</t>
  </si>
  <si>
    <t>SAC2-DS-MRS-0388</t>
  </si>
  <si>
    <t>Welder SS &amp; CS</t>
  </si>
  <si>
    <t>SAC2-DS-MRS-0389</t>
  </si>
  <si>
    <t>Piping Inspector &amp; Welding Inspector</t>
  </si>
  <si>
    <t>waiting for approval</t>
  </si>
  <si>
    <t>cancelled (price change)</t>
  </si>
  <si>
    <t>cancelled price not accepted</t>
  </si>
  <si>
    <t>cancelled - returned want to change one item price</t>
  </si>
  <si>
    <t>SAC2-DS-MRS-0390</t>
  </si>
  <si>
    <t>SAC2-DS-MRS-0391</t>
  </si>
  <si>
    <t>TOILET</t>
  </si>
  <si>
    <t>Blue Arabia Ways Co.</t>
  </si>
  <si>
    <t>BAWC</t>
  </si>
  <si>
    <t>Canon 5560 )60 CPM)</t>
  </si>
  <si>
    <t>SAC2-DS-MRS-0392</t>
  </si>
  <si>
    <t>JTC</t>
  </si>
  <si>
    <t>Diesel Generator</t>
  </si>
  <si>
    <t>SAC2-DS-MRS-0393</t>
  </si>
  <si>
    <t>SAC2-DS-MRS-0394</t>
  </si>
  <si>
    <t>Scaffolder TUV certified</t>
  </si>
  <si>
    <t>SAC2-DS-MRS-0396</t>
  </si>
  <si>
    <t>Helper &amp; Pipe Fitter</t>
  </si>
  <si>
    <t>SAC2-DS-MRS-0397</t>
  </si>
  <si>
    <t>SAC2-DS-MRS-0398</t>
  </si>
  <si>
    <t>SAC2-DS-MRS-0399</t>
  </si>
  <si>
    <t>Painting Supervisor, Steel Structure Foreman, Painter, Helper</t>
  </si>
  <si>
    <t>SAC2-DS-MRS-0400</t>
  </si>
  <si>
    <t>SAC2-DS-MRS-0401</t>
  </si>
  <si>
    <t>SAC2-DS-MRS-0402</t>
  </si>
  <si>
    <t>NAJG</t>
  </si>
  <si>
    <t>Pipe Fabricator, Pipe Fitter, Scaffolder, Rigger III, Helper</t>
  </si>
  <si>
    <t>SAC2-DS-MRS-0403</t>
  </si>
  <si>
    <t>SIC</t>
  </si>
  <si>
    <t>SAC2-DS-MRS-0404</t>
  </si>
  <si>
    <t>Saudi Scaffolding Factory</t>
  </si>
  <si>
    <t>Galva Steel Plank</t>
  </si>
  <si>
    <t>TPI for Materials</t>
  </si>
  <si>
    <t>WORk Permit Receiver</t>
  </si>
  <si>
    <t>SAC2-DS-MRS-0405</t>
  </si>
  <si>
    <t>SAC2-DS-MRS-0406</t>
  </si>
  <si>
    <t>Welding rod</t>
  </si>
  <si>
    <t>SAC2-DS-MRS-0407</t>
  </si>
  <si>
    <t>CONVEXTRA</t>
  </si>
  <si>
    <t>SAC2-DS-MRS-0408</t>
  </si>
  <si>
    <t>Mohammed Bin Ali Bin Salman Al Shalab Contracting Company</t>
  </si>
  <si>
    <t>masco</t>
  </si>
  <si>
    <t>SAC2-DS-MRS-0409</t>
  </si>
  <si>
    <t>bus</t>
  </si>
  <si>
    <t>Maryam Saad Muhammad Al Azbah Est Operation &amp; Maintenance</t>
  </si>
  <si>
    <t>msma</t>
  </si>
  <si>
    <t>100 ton crane with Aramco certified operator</t>
  </si>
  <si>
    <t>SAC2-DS-MRS-0410</t>
  </si>
  <si>
    <t>SAC2-DS-MRS-0411</t>
  </si>
  <si>
    <t>New Square Gen. Cont. Est.</t>
  </si>
  <si>
    <t>NSGC</t>
  </si>
  <si>
    <t>SAC2-DS-MRS-0412</t>
  </si>
  <si>
    <t>SAC2-DS-MRS-0413</t>
  </si>
  <si>
    <t>Jupiter Contracting Company</t>
  </si>
  <si>
    <t>JCC</t>
  </si>
  <si>
    <t>SAC2-DS-MRS-0395</t>
  </si>
  <si>
    <t>cancelled due to ban in HDEC</t>
  </si>
  <si>
    <t>Holding because of Model issue</t>
  </si>
  <si>
    <t>returned due to not registered, re-submitted</t>
  </si>
  <si>
    <t>Smart Integrated Training</t>
  </si>
  <si>
    <t>SMART</t>
  </si>
  <si>
    <t>Bolting Training</t>
  </si>
  <si>
    <t>returned due to not registered, holding</t>
  </si>
  <si>
    <t>returned-want to reduce the unit price, holding</t>
  </si>
  <si>
    <t>SAC2-DS-MRS-0414</t>
  </si>
  <si>
    <t>SAC2-DS-MRS-0415</t>
  </si>
  <si>
    <t>AACC</t>
  </si>
  <si>
    <t>Rigger Level I , Helper</t>
  </si>
  <si>
    <t>SAC2-DS-MRS-0416</t>
  </si>
  <si>
    <t>rt Crane 110 Ton Crane</t>
  </si>
  <si>
    <t>SAC2-DS-MRS-0417</t>
  </si>
  <si>
    <t>Do Right Contracting Est.</t>
  </si>
  <si>
    <t>DRCE</t>
  </si>
  <si>
    <t>Konica Minolta Copier</t>
  </si>
  <si>
    <t>SAC2-DS-MRS-0418</t>
  </si>
  <si>
    <t>Welding &amp; Piping QC Inspector</t>
  </si>
  <si>
    <t>SAC2-DS-MRS-0419</t>
  </si>
  <si>
    <t>SAC2-DS-MRS-0420</t>
  </si>
  <si>
    <t>Flagman Training</t>
  </si>
  <si>
    <t>SAC2-DS-MRS-0421</t>
  </si>
  <si>
    <t>Rigger III - TUV</t>
  </si>
  <si>
    <t>submitted Aug 13, 2026 hand over to PCIM for signature</t>
  </si>
  <si>
    <t>return due to price issue</t>
  </si>
  <si>
    <t>return request to change the code</t>
  </si>
  <si>
    <t>return due to WPR rate issue</t>
  </si>
  <si>
    <t>GQAJ</t>
  </si>
  <si>
    <t>submitted Aug 13, 2026 hand over to Account for signature</t>
  </si>
  <si>
    <t>SAC2-DS-MRS-0422</t>
  </si>
  <si>
    <t>planning manager - Mr. Yeo</t>
  </si>
  <si>
    <t>SAC2-DS-MRS-0423</t>
  </si>
  <si>
    <t>Bus</t>
  </si>
  <si>
    <t>jsc</t>
  </si>
  <si>
    <t>SAC2-DS-MRS-0424</t>
  </si>
  <si>
    <t>SAC2-DS-MRS-0425</t>
  </si>
  <si>
    <t>returned, need more details in quotation</t>
  </si>
  <si>
    <t>return, for hecking to Jahid to get helper in registered company</t>
  </si>
  <si>
    <t>resubmit, Aug 18, 2026</t>
  </si>
  <si>
    <t>SAC2-DS-MRS-0426</t>
  </si>
  <si>
    <t>SAC2-DS-MRS-0427</t>
  </si>
  <si>
    <t>SAC2-DS-MRS-0428</t>
  </si>
  <si>
    <t>SAC2-DS-MRS-0429</t>
  </si>
  <si>
    <t>SAC2-DS-MRS-0430</t>
  </si>
  <si>
    <t>SAC2-DS-MRS-0431</t>
  </si>
  <si>
    <t>SAC2-DS-MRS-0432</t>
  </si>
  <si>
    <t>SAC2-DS-MRS-0433</t>
  </si>
  <si>
    <t>YFC</t>
  </si>
  <si>
    <t>SAC2-DS-MRS-0434</t>
  </si>
  <si>
    <t>SAC2-DS-MRS-0435</t>
  </si>
  <si>
    <t xml:space="preserve">Rigger III TUV </t>
  </si>
  <si>
    <t>SAC2-DS-MRS-0436</t>
  </si>
  <si>
    <t>holding , suggest to get first  Helper to other registered company</t>
  </si>
  <si>
    <t>cancelled, mobilzed without Fat allownace</t>
  </si>
  <si>
    <t>Carpenter</t>
  </si>
  <si>
    <t>Iron Worker</t>
  </si>
  <si>
    <t>SAC2-DS-MRS-0437</t>
  </si>
  <si>
    <t>SAC2-DS-MRS-0438</t>
  </si>
  <si>
    <t>SAC2-DS-MRS-0439</t>
  </si>
  <si>
    <t>Safety Manager</t>
  </si>
  <si>
    <t>SAC2-DS-MRS-0440</t>
  </si>
  <si>
    <t>10 Ton Forklift with SPSP certified operator</t>
  </si>
  <si>
    <t>SAC2-DS-MRS-0441</t>
  </si>
  <si>
    <t>Rigger 1 Aramco Approved</t>
  </si>
  <si>
    <t>SAC2-DS-MRS-0442</t>
  </si>
  <si>
    <t>computer</t>
  </si>
  <si>
    <t>Coputer Set &amp; Monitor</t>
  </si>
  <si>
    <t>SAC2-DS-MRS-0443</t>
  </si>
  <si>
    <t>SAC2-DS-MRS-0444</t>
  </si>
  <si>
    <t>SAC2-DS-MRS-0445</t>
  </si>
  <si>
    <t>KONICA COPIER</t>
  </si>
  <si>
    <t>SAC2-DS-MRS-0446</t>
  </si>
  <si>
    <t>Rotating &amp; Static Inspector</t>
  </si>
  <si>
    <t>SAC2-DS-MRS-0447</t>
  </si>
  <si>
    <t>SAC2-DS-MRS-0448</t>
  </si>
  <si>
    <t>welding rod</t>
  </si>
  <si>
    <t>SAC2-DS-MRS-0449</t>
  </si>
  <si>
    <t>mobile phone</t>
  </si>
  <si>
    <t>Mobile phone</t>
  </si>
  <si>
    <t>SAC2-DS-MRS-0450</t>
  </si>
  <si>
    <t>SAC2-DS-MRS-0451</t>
  </si>
  <si>
    <t>Office Materials &amp; FRC</t>
  </si>
  <si>
    <t>SAC2-DS-MRS-0452</t>
  </si>
  <si>
    <t>Tetin</t>
  </si>
  <si>
    <t>WQT/PQR TEST</t>
  </si>
  <si>
    <t>SAC2-DS-MRS-0453</t>
  </si>
  <si>
    <t>SAC2-DS-MRS-0454</t>
  </si>
  <si>
    <t>SAC2-DS-MRS-0455</t>
  </si>
  <si>
    <t>submitted Sept 03, 2026 / returned 07 sept 2026 , rotating  QC for negotiation</t>
  </si>
  <si>
    <t>cancelled- no accept change company - nehal</t>
  </si>
  <si>
    <t>SAC2-DS-MRS-0456</t>
  </si>
  <si>
    <t>Surveyor</t>
  </si>
  <si>
    <t>Union Concept Company Ltd.</t>
  </si>
  <si>
    <t>union</t>
  </si>
  <si>
    <t>Welding &amp; Piping QC , Rigger III</t>
  </si>
  <si>
    <t>SAC2-DS-MRS-0457</t>
  </si>
  <si>
    <t>TEST</t>
  </si>
  <si>
    <t>Al-Jaszira Water Treatment Chemicals</t>
  </si>
  <si>
    <t>AWTC</t>
  </si>
  <si>
    <t>Water Anaysis</t>
  </si>
  <si>
    <t>Pipe Fitter, Electrician, Helper</t>
  </si>
  <si>
    <t>SAC2-DS-MRS-0458</t>
  </si>
  <si>
    <t>SAC2-DS-MRS-0459</t>
  </si>
  <si>
    <t>Steel Structural QC Inspector</t>
  </si>
  <si>
    <t>Aramco &amp; CBT</t>
  </si>
  <si>
    <t>SAC2-DS-MRS-0460</t>
  </si>
  <si>
    <t>SAC2-DS-MRS-0461</t>
  </si>
  <si>
    <t>SAC2-DS-MRS-0462</t>
  </si>
  <si>
    <t>SAC2-DS-MRS-0463</t>
  </si>
  <si>
    <t>SAC2-DS-MRS-0464</t>
  </si>
  <si>
    <t>SAC2-DS-MRS-0465</t>
  </si>
  <si>
    <t>Site Materials (ANGLE GRINDER MACHINE, ELECTRICAL DRILL MACHINE, etc)</t>
  </si>
  <si>
    <t>Site Materials (Bow Shakle, Chain Block, Web Sling Belt, etc)</t>
  </si>
  <si>
    <t>Site Materials (Wire End Brush, Grease Nipple, Taper Gauge, etc.)</t>
  </si>
  <si>
    <t>SAC2-DS-MRS-0466</t>
  </si>
  <si>
    <t>Conbextra TS (25Kg)</t>
  </si>
  <si>
    <t>SAC2-DS-MRS-0467</t>
  </si>
  <si>
    <t>Site Materials (Welding Rod)</t>
  </si>
  <si>
    <t>SAC2-DS-MRS-0468</t>
  </si>
  <si>
    <t>Conbextra EP150 (92kg) / SAJED1</t>
  </si>
  <si>
    <t>SAC2-DS-MRS-0470</t>
  </si>
  <si>
    <t>Saudi Industrial Gas Company</t>
  </si>
  <si>
    <t>SIGAS</t>
  </si>
  <si>
    <t>Refill of Gas Cylinder</t>
  </si>
  <si>
    <t>SAC2-DS-MRS-0469</t>
  </si>
  <si>
    <t>SAC2-DS-MRS-0471</t>
  </si>
  <si>
    <t>Site Materials (Safety Equipment)</t>
  </si>
  <si>
    <t>SAC2-DS-MRS-0472</t>
  </si>
  <si>
    <t>Conbextra GP (25Kg)</t>
  </si>
  <si>
    <t>SAC2-DS-MRS-0473</t>
  </si>
  <si>
    <t>Hand wash station at rest area</t>
  </si>
  <si>
    <t>SAC2-DS-MRS-0474</t>
  </si>
  <si>
    <t>Blanket, Bedsheet, Pillow</t>
  </si>
  <si>
    <t>SAC2-DS-MRS-0475</t>
  </si>
  <si>
    <t>SAC2-DS-MRS-0476</t>
  </si>
  <si>
    <t>SAC2-DS-MRS-0477</t>
  </si>
  <si>
    <t>Bus with Driver (63+1 seater 2025-2026 model)</t>
  </si>
  <si>
    <t>SAC2-DS-MRS-0478</t>
  </si>
  <si>
    <t>Safety Supervisor</t>
  </si>
  <si>
    <t>Aramco Supervisor</t>
  </si>
  <si>
    <t>SAC2-DS-MRS-0479</t>
  </si>
  <si>
    <t>Iron Worker, Scaffolder</t>
  </si>
  <si>
    <t>SAC2-DS-MRS-0480</t>
  </si>
  <si>
    <t>SAC2-DS-MRS-0481</t>
  </si>
  <si>
    <t>SAC2-DS-MRS-0482</t>
  </si>
  <si>
    <t>Gulf Key Trading Est.</t>
  </si>
  <si>
    <t>GK</t>
  </si>
  <si>
    <t>Site Materials (ANGLE GRINDER, ELECTRICAL DRILL MACHINE, etc)</t>
  </si>
  <si>
    <t>SAC2-DS-MRS-0483</t>
  </si>
  <si>
    <t>SAC2-DS-MRS-0484</t>
  </si>
  <si>
    <t>SAC2-DS-MRS-0485</t>
  </si>
  <si>
    <t>75 KVA Diesel Power Generator</t>
  </si>
  <si>
    <t>SAC2-DS-MRS-0486</t>
  </si>
  <si>
    <t>Toyota Hilux 4x4 (2024-2025 Model)</t>
  </si>
  <si>
    <t>SAC2-DS-MRS-0487</t>
  </si>
  <si>
    <t>1600 CFM Oil free, Air Dryer, Manifold and 2 Hoses</t>
  </si>
  <si>
    <t>SAC2-DS-MRS-0488</t>
  </si>
  <si>
    <t>Pipe Fabricator, Iron Woker</t>
  </si>
  <si>
    <t>SAC2-DS-MRS-0489</t>
  </si>
  <si>
    <t>Surveyor, Work Permit Receiver (Aramco Approved)</t>
  </si>
  <si>
    <t>SAC2-DS-MRS-0490</t>
  </si>
  <si>
    <t>Package Coordinator, Document Controller</t>
  </si>
  <si>
    <t>SAC2-DS-MRS-0491</t>
  </si>
  <si>
    <t>Yasco General Contracting Co.</t>
  </si>
  <si>
    <t>YGCC</t>
  </si>
  <si>
    <t>Nauras Al-sharq Industrial Gas Factory</t>
  </si>
  <si>
    <t>Gas Refill</t>
  </si>
  <si>
    <t>Thawabit  Al-Jazeera Contracting Est.</t>
  </si>
  <si>
    <t>Empire Tek Establishment</t>
  </si>
  <si>
    <t>Nawadar Al Jubail Gen. Cont. Est.</t>
  </si>
  <si>
    <t>SAC2-DS-MRS-0492</t>
  </si>
  <si>
    <t>SAC2-DS-MRS-0493</t>
  </si>
  <si>
    <t>Submitted on 12-10-2026</t>
  </si>
  <si>
    <t>30, 27</t>
  </si>
  <si>
    <t>35, 45</t>
  </si>
  <si>
    <t>Rigger III, Welding QC, Piping QC, Scaffolding Supervisor</t>
  </si>
  <si>
    <t>65, 90, 88, 135</t>
  </si>
  <si>
    <t>SAC2-DS-MRS-0494</t>
  </si>
  <si>
    <t>Submitted on 12-10-2026 (return on 16-10-2026 due to high price)</t>
  </si>
  <si>
    <t>SAC2-DS-MRS-0495</t>
  </si>
  <si>
    <t>Hilti Saudi Arabia for Construction Tools</t>
  </si>
  <si>
    <t>HILTI</t>
  </si>
  <si>
    <t>Injectable Mortar</t>
  </si>
  <si>
    <t>HIT-RE 500 V4/500</t>
  </si>
  <si>
    <t>Rejected</t>
  </si>
  <si>
    <t>Al-Amari General Contracting Co. LLC</t>
  </si>
  <si>
    <t>Piping Foreman, Pipe Fabricator</t>
  </si>
  <si>
    <t>29, 24</t>
  </si>
  <si>
    <t>QCI Welding &amp; Piping</t>
  </si>
  <si>
    <t xml:space="preserve"> 88, 85</t>
  </si>
  <si>
    <t>SAC2-DS-MRS-0496</t>
  </si>
  <si>
    <t>SAC2-DS-MRS-0497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</si>
</sst>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[$USD]\ * #,##0.00_);_([$USD]\ * \(#,##0.00\);_([$USD]\ * &quot;-&quot;??_);_(@_)"/>
  </numFmts>
  <fonts count="15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8"/>
      <color theme="1"/>
      <name val="Century Gothic"/>
      <family val="2"/>
    </font>
    <font>
      <sz val="9"/>
      <name val="Century Gothic"/>
      <family val="2"/>
    </font>
    <font>
      <sz val="8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rgb="FFFF0000"/>
      <name val="Century Gothic"/>
      <family val="2"/>
    </font>
    <font>
      <sz val="10"/>
      <name val="Calibri"/>
      <family val="2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8" fillId="0" borderId="0" applyBorder="0"/>
    <xf numFmtId="0" fontId="9" fillId="0" borderId="0">
      <alignment vertical="center"/>
    </xf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7" fontId="3" fillId="0" borderId="1" xfId="0" quotePrefix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" fontId="3" fillId="3" borderId="1" xfId="0" quotePrefix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7" fontId="3" fillId="0" borderId="2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/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" fontId="12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43" fontId="12" fillId="0" borderId="1" xfId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" fontId="6" fillId="0" borderId="1" xfId="0" quotePrefix="1" applyNumberFormat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4" xr:uid="{F4A4C0DE-84B9-4240-97E6-1F1FEAF17F11}"/>
    <cellStyle name="표준 2 3 2 2" xfId="2" xr:uid="{117DA532-4B5C-499C-AAA8-E9DA20FB2C95}"/>
    <cellStyle name="표준_급수펌프등 0601" xfId="3" xr:uid="{1C215F00-6708-409B-B866-D2376C2F8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4815C0-8382-4706-853A-0683A5CD837D}">
  <we:reference id="wa200006575" version="1.0.0.5" store="en-US" storeType="OMEX"/>
  <we:alternateReferences>
    <we:reference id="WA200006575" version="1.0.0.5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072E4DB-BBB8-4453-9CD7-5656121BA051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R499"/>
  <sheetViews>
    <sheetView showGridLines="0" tabSelected="1" zoomScale="110" zoomScaleNormal="110" zoomScaleSheetLayoutView="12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E444" sqref="E444"/>
    </sheetView>
  </sheetViews>
  <sheetFormatPr defaultRowHeight="14.25"/>
  <cols>
    <col min="1" max="1" width="5" style="1" bestFit="1" customWidth="1"/>
    <col min="2" max="2" width="18.85546875" style="22" customWidth="1"/>
    <col min="3" max="3" width="17" style="1" customWidth="1"/>
    <col min="4" max="4" width="9.7109375" style="1" bestFit="1" customWidth="1"/>
    <col min="5" max="5" width="61.140625" style="1" customWidth="1"/>
    <col min="6" max="6" width="12.85546875" style="1" customWidth="1"/>
    <col min="7" max="7" width="51" style="1" customWidth="1"/>
    <col min="8" max="8" width="8.42578125" style="1" customWidth="1"/>
    <col min="9" max="9" width="45.85546875" style="1" customWidth="1"/>
    <col min="10" max="12" width="12.85546875" style="1" customWidth="1"/>
    <col min="13" max="13" width="11.85546875" style="1" customWidth="1"/>
    <col min="14" max="14" width="15.7109375" style="1" customWidth="1"/>
    <col min="15" max="15" width="12.85546875" style="1" customWidth="1"/>
    <col min="16" max="16" width="89.7109375" style="1" customWidth="1"/>
    <col min="17" max="17" width="13.42578125" style="40" customWidth="1"/>
    <col min="18" max="19" width="13.42578125" style="1" customWidth="1"/>
    <col min="20" max="16384" width="9.140625" style="1"/>
  </cols>
  <sheetData>
    <row r="1" spans="1:18" ht="21.75" customHeight="1">
      <c r="A1" s="45" t="s">
        <v>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1:18" ht="38.25" customHeight="1">
      <c r="A2" s="5" t="s">
        <v>0</v>
      </c>
      <c r="B2" s="19" t="s">
        <v>1</v>
      </c>
      <c r="C2" s="5" t="s">
        <v>277</v>
      </c>
      <c r="D2" s="5" t="s">
        <v>11</v>
      </c>
      <c r="E2" s="5" t="s">
        <v>16</v>
      </c>
      <c r="F2" s="9" t="s">
        <v>2</v>
      </c>
      <c r="G2" s="5" t="s">
        <v>6</v>
      </c>
      <c r="H2" s="5"/>
      <c r="I2" s="9" t="s">
        <v>7</v>
      </c>
      <c r="J2" s="7" t="s">
        <v>8</v>
      </c>
      <c r="K2" s="7" t="s">
        <v>19</v>
      </c>
      <c r="L2" s="7" t="s">
        <v>10</v>
      </c>
      <c r="M2" s="7" t="s">
        <v>84</v>
      </c>
      <c r="N2" s="7" t="s">
        <v>102</v>
      </c>
      <c r="O2" s="7" t="s">
        <v>9</v>
      </c>
      <c r="P2" s="5" t="s">
        <v>3</v>
      </c>
      <c r="Q2" s="41"/>
      <c r="R2" s="2"/>
    </row>
    <row r="3" spans="1:18" ht="19.5" hidden="1" customHeight="1">
      <c r="A3" s="3">
        <f>SUBTOTAL(103,$B$2:B3)-1</f>
        <v>0</v>
      </c>
      <c r="B3" s="20" t="s">
        <v>12</v>
      </c>
      <c r="C3" s="3" t="s">
        <v>35</v>
      </c>
      <c r="D3" s="4">
        <v>45624</v>
      </c>
      <c r="E3" s="4" t="s">
        <v>582</v>
      </c>
      <c r="F3" s="4" t="s">
        <v>17</v>
      </c>
      <c r="G3" s="8" t="s">
        <v>22</v>
      </c>
      <c r="H3" s="3" t="s">
        <v>20</v>
      </c>
      <c r="I3" s="3" t="s">
        <v>13</v>
      </c>
      <c r="J3" s="6">
        <v>105000</v>
      </c>
      <c r="K3" s="6">
        <v>52000</v>
      </c>
      <c r="L3" s="6">
        <f t="shared" ref="L3:L47" si="0">SUM(J3:K3)</f>
        <v>157000</v>
      </c>
      <c r="M3" s="6"/>
      <c r="N3" s="6"/>
      <c r="O3" s="6">
        <f>L3+(L3*15%)</f>
        <v>180550</v>
      </c>
      <c r="P3" s="3" t="s">
        <v>5</v>
      </c>
    </row>
    <row r="4" spans="1:18" ht="19.5" hidden="1" customHeight="1">
      <c r="A4" s="3">
        <f>SUBTOTAL(103,$B$2:B4)-1</f>
        <v>0</v>
      </c>
      <c r="B4" s="20" t="s">
        <v>14</v>
      </c>
      <c r="C4" s="3" t="s">
        <v>35</v>
      </c>
      <c r="D4" s="4">
        <v>45621</v>
      </c>
      <c r="E4" s="4" t="s">
        <v>399</v>
      </c>
      <c r="F4" s="4" t="s">
        <v>18</v>
      </c>
      <c r="G4" s="8" t="s">
        <v>21</v>
      </c>
      <c r="H4" s="3" t="s">
        <v>20</v>
      </c>
      <c r="I4" s="3" t="s">
        <v>15</v>
      </c>
      <c r="J4" s="6">
        <v>8200</v>
      </c>
      <c r="K4" s="6">
        <v>2000</v>
      </c>
      <c r="L4" s="6">
        <f t="shared" si="0"/>
        <v>10200</v>
      </c>
      <c r="M4" s="6"/>
      <c r="N4" s="6"/>
      <c r="O4" s="6">
        <f t="shared" ref="O4:O5" si="1">L4+(L4*15%)</f>
        <v>11730</v>
      </c>
      <c r="P4" s="3" t="s">
        <v>5</v>
      </c>
    </row>
    <row r="5" spans="1:18" ht="19.5" hidden="1" customHeight="1">
      <c r="A5" s="3">
        <f>SUBTOTAL(103,$B$2:B5)-1</f>
        <v>0</v>
      </c>
      <c r="B5" s="20" t="s">
        <v>23</v>
      </c>
      <c r="C5" s="3" t="s">
        <v>35</v>
      </c>
      <c r="D5" s="4">
        <v>45621</v>
      </c>
      <c r="E5" s="4" t="s">
        <v>24</v>
      </c>
      <c r="F5" s="4" t="s">
        <v>25</v>
      </c>
      <c r="G5" s="8" t="s">
        <v>26</v>
      </c>
      <c r="H5" s="3" t="s">
        <v>20</v>
      </c>
      <c r="I5" s="3" t="s">
        <v>27</v>
      </c>
      <c r="J5" s="6">
        <v>42000</v>
      </c>
      <c r="K5" s="6"/>
      <c r="L5" s="6">
        <f t="shared" si="0"/>
        <v>42000</v>
      </c>
      <c r="M5" s="6"/>
      <c r="N5" s="6"/>
      <c r="O5" s="6">
        <f t="shared" si="1"/>
        <v>48300</v>
      </c>
      <c r="P5" s="3" t="s">
        <v>5</v>
      </c>
    </row>
    <row r="6" spans="1:18" ht="19.5" hidden="1" customHeight="1">
      <c r="A6" s="3">
        <f>SUBTOTAL(103,$B$2:B6)-1</f>
        <v>0</v>
      </c>
      <c r="B6" s="20" t="s">
        <v>28</v>
      </c>
      <c r="C6" s="3" t="s">
        <v>35</v>
      </c>
      <c r="D6" s="4">
        <v>45621</v>
      </c>
      <c r="E6" s="4" t="s">
        <v>24</v>
      </c>
      <c r="F6" s="4" t="s">
        <v>25</v>
      </c>
      <c r="G6" s="8" t="s">
        <v>29</v>
      </c>
      <c r="H6" s="3" t="s">
        <v>20</v>
      </c>
      <c r="I6" s="3"/>
      <c r="J6" s="6">
        <v>30000</v>
      </c>
      <c r="K6" s="6"/>
      <c r="L6" s="6">
        <f t="shared" si="0"/>
        <v>30000</v>
      </c>
      <c r="M6" s="6"/>
      <c r="N6" s="6"/>
      <c r="O6" s="6">
        <f t="shared" ref="O6" si="2">L6+(L6*15%)</f>
        <v>34500</v>
      </c>
      <c r="P6" s="3" t="s">
        <v>5</v>
      </c>
    </row>
    <row r="7" spans="1:18" ht="19.5" hidden="1" customHeight="1">
      <c r="A7" s="3">
        <f>SUBTOTAL(103,$B$2:B7)-1</f>
        <v>0</v>
      </c>
      <c r="B7" s="20" t="s">
        <v>30</v>
      </c>
      <c r="C7" s="3" t="s">
        <v>35</v>
      </c>
      <c r="D7" s="4">
        <v>45621</v>
      </c>
      <c r="E7" s="4" t="s">
        <v>31</v>
      </c>
      <c r="F7" s="4" t="s">
        <v>32</v>
      </c>
      <c r="G7" s="8" t="s">
        <v>33</v>
      </c>
      <c r="H7" s="3" t="s">
        <v>20</v>
      </c>
      <c r="I7" s="3" t="s">
        <v>34</v>
      </c>
      <c r="J7" s="6">
        <v>74000</v>
      </c>
      <c r="K7" s="6">
        <v>8000</v>
      </c>
      <c r="L7" s="6">
        <f t="shared" si="0"/>
        <v>82000</v>
      </c>
      <c r="M7" s="6"/>
      <c r="N7" s="6"/>
      <c r="O7" s="6">
        <f t="shared" ref="O7" si="3">L7+(L7*15%)</f>
        <v>94300</v>
      </c>
      <c r="P7" s="3" t="s">
        <v>5</v>
      </c>
    </row>
    <row r="8" spans="1:18" ht="19.5" hidden="1" customHeight="1">
      <c r="A8" s="3">
        <f>SUBTOTAL(103,$B$2:B8)-1</f>
        <v>0</v>
      </c>
      <c r="B8" s="20" t="s">
        <v>36</v>
      </c>
      <c r="C8" s="3" t="s">
        <v>40</v>
      </c>
      <c r="D8" s="4">
        <v>45621</v>
      </c>
      <c r="E8" s="4" t="s">
        <v>126</v>
      </c>
      <c r="F8" s="4" t="s">
        <v>37</v>
      </c>
      <c r="G8" s="8" t="s">
        <v>38</v>
      </c>
      <c r="H8" s="3"/>
      <c r="I8" s="3" t="s">
        <v>39</v>
      </c>
      <c r="J8" s="6">
        <v>8496</v>
      </c>
      <c r="K8" s="6"/>
      <c r="L8" s="6">
        <f t="shared" si="0"/>
        <v>8496</v>
      </c>
      <c r="M8" s="6"/>
      <c r="N8" s="6"/>
      <c r="O8" s="6">
        <f t="shared" ref="O8" si="4">L8+(L8*15%)</f>
        <v>9770.4</v>
      </c>
      <c r="P8" s="3" t="s">
        <v>5</v>
      </c>
    </row>
    <row r="9" spans="1:18" ht="19.5" hidden="1" customHeight="1">
      <c r="A9" s="3">
        <f>SUBTOTAL(103,$B$2:B9)-1</f>
        <v>0</v>
      </c>
      <c r="B9" s="20" t="s">
        <v>41</v>
      </c>
      <c r="C9" s="3" t="s">
        <v>35</v>
      </c>
      <c r="D9" s="4">
        <v>45650</v>
      </c>
      <c r="E9" s="4" t="s">
        <v>24</v>
      </c>
      <c r="F9" s="4" t="s">
        <v>25</v>
      </c>
      <c r="G9" s="8" t="s">
        <v>42</v>
      </c>
      <c r="H9" s="3" t="s">
        <v>20</v>
      </c>
      <c r="I9" s="3" t="s">
        <v>43</v>
      </c>
      <c r="J9" s="6">
        <v>21000</v>
      </c>
      <c r="K9" s="6">
        <v>4000</v>
      </c>
      <c r="L9" s="6">
        <f t="shared" si="0"/>
        <v>25000</v>
      </c>
      <c r="M9" s="6"/>
      <c r="N9" s="6"/>
      <c r="O9" s="6">
        <f t="shared" ref="O9" si="5">L9+(L9*15%)</f>
        <v>28750</v>
      </c>
      <c r="P9" s="3" t="s">
        <v>61</v>
      </c>
    </row>
    <row r="10" spans="1:18" ht="19.5" hidden="1" customHeight="1">
      <c r="A10" s="3">
        <f>SUBTOTAL(103,$B$2:B10)-1</f>
        <v>0</v>
      </c>
      <c r="B10" s="20" t="s">
        <v>44</v>
      </c>
      <c r="C10" s="3" t="s">
        <v>35</v>
      </c>
      <c r="D10" s="4">
        <v>45634</v>
      </c>
      <c r="E10" s="4" t="s">
        <v>45</v>
      </c>
      <c r="F10" s="4" t="s">
        <v>46</v>
      </c>
      <c r="G10" s="8" t="s">
        <v>47</v>
      </c>
      <c r="H10" s="3" t="s">
        <v>20</v>
      </c>
      <c r="I10" s="3" t="s">
        <v>59</v>
      </c>
      <c r="J10" s="6">
        <v>31000</v>
      </c>
      <c r="K10" s="6">
        <v>5000</v>
      </c>
      <c r="L10" s="6">
        <f t="shared" si="0"/>
        <v>36000</v>
      </c>
      <c r="M10" s="6"/>
      <c r="N10" s="6"/>
      <c r="O10" s="6">
        <f t="shared" ref="O10" si="6">L10+(L10*15%)</f>
        <v>41400</v>
      </c>
      <c r="P10" s="3" t="s">
        <v>5</v>
      </c>
    </row>
    <row r="11" spans="1:18" ht="19.5" hidden="1" customHeight="1">
      <c r="A11" s="3">
        <f>SUBTOTAL(103,$B$2:B11)-1</f>
        <v>0</v>
      </c>
      <c r="B11" s="20" t="s">
        <v>48</v>
      </c>
      <c r="C11" s="3" t="s">
        <v>49</v>
      </c>
      <c r="D11" s="4">
        <v>45638</v>
      </c>
      <c r="E11" s="4" t="s">
        <v>50</v>
      </c>
      <c r="F11" s="4" t="s">
        <v>51</v>
      </c>
      <c r="G11" s="8" t="s">
        <v>52</v>
      </c>
      <c r="H11" s="3" t="s">
        <v>20</v>
      </c>
      <c r="I11" s="3" t="s">
        <v>53</v>
      </c>
      <c r="J11" s="6">
        <v>8000</v>
      </c>
      <c r="K11" s="6"/>
      <c r="L11" s="6">
        <f t="shared" si="0"/>
        <v>8000</v>
      </c>
      <c r="M11" s="6"/>
      <c r="N11" s="6"/>
      <c r="O11" s="6">
        <f t="shared" ref="O11" si="7">L11+(L11*15%)</f>
        <v>9200</v>
      </c>
      <c r="P11" s="3" t="s">
        <v>5</v>
      </c>
    </row>
    <row r="12" spans="1:18" ht="19.5" hidden="1" customHeight="1">
      <c r="A12" s="3">
        <f>SUBTOTAL(103,$B$2:B12)-1</f>
        <v>0</v>
      </c>
      <c r="B12" s="20" t="s">
        <v>54</v>
      </c>
      <c r="C12" s="3" t="s">
        <v>35</v>
      </c>
      <c r="D12" s="4">
        <v>45638</v>
      </c>
      <c r="E12" s="4" t="s">
        <v>55</v>
      </c>
      <c r="F12" s="4" t="s">
        <v>56</v>
      </c>
      <c r="G12" s="8" t="s">
        <v>57</v>
      </c>
      <c r="H12" s="3" t="s">
        <v>20</v>
      </c>
      <c r="I12" s="3" t="s">
        <v>58</v>
      </c>
      <c r="J12" s="6">
        <v>26000</v>
      </c>
      <c r="K12" s="6">
        <v>3850</v>
      </c>
      <c r="L12" s="6">
        <f t="shared" si="0"/>
        <v>29850</v>
      </c>
      <c r="M12" s="6"/>
      <c r="N12" s="6"/>
      <c r="O12" s="6">
        <f t="shared" ref="O12:O13" si="8">L12+(L12*15%)</f>
        <v>34327.5</v>
      </c>
      <c r="P12" s="3" t="s">
        <v>60</v>
      </c>
    </row>
    <row r="13" spans="1:18" ht="19.5" hidden="1" customHeight="1">
      <c r="A13" s="3">
        <f>SUBTOTAL(103,$B$2:B13)-1</f>
        <v>0</v>
      </c>
      <c r="B13" s="20" t="s">
        <v>62</v>
      </c>
      <c r="C13" s="3" t="s">
        <v>63</v>
      </c>
      <c r="D13" s="4">
        <v>45638</v>
      </c>
      <c r="E13" s="4" t="s">
        <v>50</v>
      </c>
      <c r="F13" s="4" t="s">
        <v>51</v>
      </c>
      <c r="G13" s="8" t="s">
        <v>64</v>
      </c>
      <c r="H13" s="3" t="s">
        <v>20</v>
      </c>
      <c r="I13" s="3"/>
      <c r="J13" s="6">
        <v>11500</v>
      </c>
      <c r="K13" s="6"/>
      <c r="L13" s="6">
        <f t="shared" si="0"/>
        <v>11500</v>
      </c>
      <c r="M13" s="6"/>
      <c r="N13" s="6"/>
      <c r="O13" s="6">
        <f t="shared" si="8"/>
        <v>13225</v>
      </c>
      <c r="P13" s="3" t="s">
        <v>5</v>
      </c>
    </row>
    <row r="14" spans="1:18" ht="19.5" hidden="1" customHeight="1">
      <c r="A14" s="3">
        <f>SUBTOTAL(103,$B$2:B14)-1</f>
        <v>0</v>
      </c>
      <c r="B14" s="20" t="s">
        <v>65</v>
      </c>
      <c r="C14" s="3" t="s">
        <v>66</v>
      </c>
      <c r="D14" s="4">
        <v>45638</v>
      </c>
      <c r="E14" s="4" t="s">
        <v>650</v>
      </c>
      <c r="F14" s="4" t="s">
        <v>67</v>
      </c>
      <c r="G14" s="8" t="s">
        <v>68</v>
      </c>
      <c r="H14" s="3" t="s">
        <v>20</v>
      </c>
      <c r="I14" s="3"/>
      <c r="J14" s="6">
        <v>41</v>
      </c>
      <c r="K14" s="6"/>
      <c r="L14" s="6">
        <f t="shared" si="0"/>
        <v>41</v>
      </c>
      <c r="M14" s="6"/>
      <c r="N14" s="6"/>
      <c r="O14" s="6">
        <f t="shared" ref="O14" si="9">L14+(L14*15%)</f>
        <v>47.15</v>
      </c>
      <c r="P14" s="3" t="s">
        <v>5</v>
      </c>
    </row>
    <row r="15" spans="1:18" ht="19.5" hidden="1" customHeight="1">
      <c r="A15" s="3">
        <f>SUBTOTAL(103,$B$2:B15)-1</f>
        <v>0</v>
      </c>
      <c r="B15" s="20" t="s">
        <v>69</v>
      </c>
      <c r="C15" s="3" t="s">
        <v>70</v>
      </c>
      <c r="D15" s="4">
        <v>45638</v>
      </c>
      <c r="E15" s="4" t="s">
        <v>109</v>
      </c>
      <c r="F15" s="4" t="s">
        <v>71</v>
      </c>
      <c r="G15" s="8" t="s">
        <v>72</v>
      </c>
      <c r="H15" s="3" t="s">
        <v>20</v>
      </c>
      <c r="I15" s="3"/>
      <c r="J15" s="6">
        <v>7494.75</v>
      </c>
      <c r="K15" s="6"/>
      <c r="L15" s="6">
        <f t="shared" si="0"/>
        <v>7494.75</v>
      </c>
      <c r="M15" s="6"/>
      <c r="N15" s="6"/>
      <c r="O15" s="6">
        <f t="shared" ref="O15:O16" si="10">L15+(L15*15%)</f>
        <v>8618.9624999999996</v>
      </c>
      <c r="P15" s="3" t="s">
        <v>5</v>
      </c>
    </row>
    <row r="16" spans="1:18" ht="19.5" hidden="1" customHeight="1">
      <c r="A16" s="3">
        <f>SUBTOTAL(103,$B$2:B16)-1</f>
        <v>0</v>
      </c>
      <c r="B16" s="20" t="s">
        <v>73</v>
      </c>
      <c r="C16" s="3" t="s">
        <v>66</v>
      </c>
      <c r="D16" s="4">
        <v>45638</v>
      </c>
      <c r="E16" s="4" t="s">
        <v>74</v>
      </c>
      <c r="F16" s="4" t="s">
        <v>75</v>
      </c>
      <c r="G16" s="8" t="s">
        <v>76</v>
      </c>
      <c r="H16" s="3" t="s">
        <v>20</v>
      </c>
      <c r="I16" s="3"/>
      <c r="J16" s="6">
        <v>65</v>
      </c>
      <c r="K16" s="6"/>
      <c r="L16" s="6">
        <f t="shared" si="0"/>
        <v>65</v>
      </c>
      <c r="M16" s="6"/>
      <c r="N16" s="6"/>
      <c r="O16" s="6">
        <f t="shared" si="10"/>
        <v>74.75</v>
      </c>
      <c r="P16" s="3" t="s">
        <v>5</v>
      </c>
    </row>
    <row r="17" spans="1:16" ht="19.5" hidden="1" customHeight="1">
      <c r="A17" s="3">
        <f>SUBTOTAL(103,$B$2:B17)-1</f>
        <v>0</v>
      </c>
      <c r="B17" s="20" t="s">
        <v>77</v>
      </c>
      <c r="C17" s="3" t="s">
        <v>66</v>
      </c>
      <c r="D17" s="4">
        <v>45638</v>
      </c>
      <c r="E17" s="4" t="s">
        <v>78</v>
      </c>
      <c r="F17" s="4" t="s">
        <v>87</v>
      </c>
      <c r="G17" s="8" t="s">
        <v>79</v>
      </c>
      <c r="H17" s="3" t="s">
        <v>20</v>
      </c>
      <c r="I17" s="3"/>
      <c r="J17" s="6">
        <v>87</v>
      </c>
      <c r="K17" s="6"/>
      <c r="L17" s="6">
        <f t="shared" si="0"/>
        <v>87</v>
      </c>
      <c r="M17" s="6"/>
      <c r="N17" s="6"/>
      <c r="O17" s="6">
        <f t="shared" ref="O17:O18" si="11">L17+(L17*15%)</f>
        <v>100.05</v>
      </c>
      <c r="P17" s="3" t="s">
        <v>5</v>
      </c>
    </row>
    <row r="18" spans="1:16" ht="19.5" hidden="1" customHeight="1">
      <c r="A18" s="3">
        <f>SUBTOTAL(103,$B$2:B18)-1</f>
        <v>0</v>
      </c>
      <c r="B18" s="20" t="s">
        <v>80</v>
      </c>
      <c r="C18" s="3" t="s">
        <v>40</v>
      </c>
      <c r="D18" s="4">
        <v>45638</v>
      </c>
      <c r="E18" s="4" t="s">
        <v>126</v>
      </c>
      <c r="F18" s="4" t="s">
        <v>37</v>
      </c>
      <c r="G18" s="8" t="s">
        <v>38</v>
      </c>
      <c r="H18" s="3"/>
      <c r="I18" s="3" t="s">
        <v>39</v>
      </c>
      <c r="J18" s="6">
        <v>8496</v>
      </c>
      <c r="K18" s="6"/>
      <c r="L18" s="6">
        <f t="shared" si="0"/>
        <v>8496</v>
      </c>
      <c r="M18" s="6"/>
      <c r="N18" s="6"/>
      <c r="O18" s="6">
        <f t="shared" si="11"/>
        <v>9770.4</v>
      </c>
      <c r="P18" s="3" t="s">
        <v>5</v>
      </c>
    </row>
    <row r="19" spans="1:16" ht="19.5" hidden="1" customHeight="1">
      <c r="A19" s="3">
        <f>SUBTOTAL(103,$B$2:B19)-1</f>
        <v>0</v>
      </c>
      <c r="B19" s="20" t="s">
        <v>81</v>
      </c>
      <c r="C19" s="3" t="s">
        <v>49</v>
      </c>
      <c r="D19" s="4">
        <v>45638</v>
      </c>
      <c r="E19" s="4" t="s">
        <v>85</v>
      </c>
      <c r="F19" s="4" t="s">
        <v>86</v>
      </c>
      <c r="G19" s="8" t="s">
        <v>82</v>
      </c>
      <c r="H19" s="3"/>
      <c r="I19" s="3" t="s">
        <v>83</v>
      </c>
      <c r="J19" s="6">
        <v>125970</v>
      </c>
      <c r="K19" s="6"/>
      <c r="L19" s="6">
        <f t="shared" si="0"/>
        <v>125970</v>
      </c>
      <c r="M19" s="6">
        <v>400</v>
      </c>
      <c r="N19" s="6"/>
      <c r="O19" s="6">
        <f t="shared" ref="O19:O24" si="12">L19+(L19*15%)+M19</f>
        <v>145265.5</v>
      </c>
      <c r="P19" s="3" t="s">
        <v>5</v>
      </c>
    </row>
    <row r="20" spans="1:16" ht="19.5" hidden="1" customHeight="1">
      <c r="A20" s="3">
        <f>SUBTOTAL(103,$B$2:B20)-1</f>
        <v>0</v>
      </c>
      <c r="B20" s="20" t="s">
        <v>88</v>
      </c>
      <c r="C20" s="3" t="s">
        <v>89</v>
      </c>
      <c r="D20" s="4">
        <v>45638</v>
      </c>
      <c r="E20" s="4" t="s">
        <v>93</v>
      </c>
      <c r="F20" s="4" t="s">
        <v>90</v>
      </c>
      <c r="G20" s="8" t="s">
        <v>91</v>
      </c>
      <c r="H20" s="3"/>
      <c r="I20" s="3" t="s">
        <v>92</v>
      </c>
      <c r="J20" s="6">
        <v>19218</v>
      </c>
      <c r="K20" s="6"/>
      <c r="L20" s="6">
        <f t="shared" si="0"/>
        <v>19218</v>
      </c>
      <c r="M20" s="6"/>
      <c r="N20" s="6"/>
      <c r="O20" s="6">
        <f t="shared" si="12"/>
        <v>22100.7</v>
      </c>
      <c r="P20" s="3" t="s">
        <v>5</v>
      </c>
    </row>
    <row r="21" spans="1:16" ht="19.5" hidden="1" customHeight="1">
      <c r="A21" s="3">
        <f>SUBTOTAL(103,$B$2:B21)-1</f>
        <v>0</v>
      </c>
      <c r="B21" s="20" t="s">
        <v>94</v>
      </c>
      <c r="C21" s="3" t="s">
        <v>35</v>
      </c>
      <c r="D21" s="4">
        <v>45661</v>
      </c>
      <c r="E21" s="4" t="s">
        <v>133</v>
      </c>
      <c r="F21" s="4" t="s">
        <v>95</v>
      </c>
      <c r="G21" s="8" t="s">
        <v>96</v>
      </c>
      <c r="H21" s="3" t="s">
        <v>20</v>
      </c>
      <c r="I21" s="3" t="s">
        <v>97</v>
      </c>
      <c r="J21" s="6">
        <v>2800</v>
      </c>
      <c r="K21" s="6">
        <v>3000</v>
      </c>
      <c r="L21" s="6">
        <f t="shared" si="0"/>
        <v>5800</v>
      </c>
      <c r="M21" s="6"/>
      <c r="N21" s="6"/>
      <c r="O21" s="6">
        <f t="shared" si="12"/>
        <v>6670</v>
      </c>
      <c r="P21" s="3" t="s">
        <v>5</v>
      </c>
    </row>
    <row r="22" spans="1:16" ht="19.5" hidden="1" customHeight="1">
      <c r="A22" s="3">
        <f>SUBTOTAL(103,$B$2:B22)-1</f>
        <v>0</v>
      </c>
      <c r="B22" s="20" t="s">
        <v>98</v>
      </c>
      <c r="C22" s="3" t="s">
        <v>66</v>
      </c>
      <c r="D22" s="4">
        <v>45670</v>
      </c>
      <c r="E22" s="4" t="s">
        <v>99</v>
      </c>
      <c r="F22" s="4" t="s">
        <v>100</v>
      </c>
      <c r="G22" s="8" t="s">
        <v>101</v>
      </c>
      <c r="H22" s="3" t="s">
        <v>20</v>
      </c>
      <c r="I22" s="3"/>
      <c r="J22" s="6">
        <v>111</v>
      </c>
      <c r="K22" s="6"/>
      <c r="L22" s="6">
        <f t="shared" si="0"/>
        <v>111</v>
      </c>
      <c r="M22" s="6"/>
      <c r="N22" s="6">
        <v>11</v>
      </c>
      <c r="O22" s="6">
        <f t="shared" si="12"/>
        <v>127.65</v>
      </c>
      <c r="P22" s="3"/>
    </row>
    <row r="23" spans="1:16" ht="19.5" hidden="1" customHeight="1">
      <c r="A23" s="3">
        <f>SUBTOTAL(103,$B$2:B23)-1</f>
        <v>0</v>
      </c>
      <c r="B23" s="20" t="s">
        <v>103</v>
      </c>
      <c r="C23" s="3" t="s">
        <v>104</v>
      </c>
      <c r="D23" s="4">
        <v>45670</v>
      </c>
      <c r="E23" s="4" t="s">
        <v>105</v>
      </c>
      <c r="F23" s="4" t="s">
        <v>490</v>
      </c>
      <c r="G23" s="8" t="s">
        <v>107</v>
      </c>
      <c r="H23" s="3"/>
      <c r="I23" s="3"/>
      <c r="J23" s="6">
        <v>1.24</v>
      </c>
      <c r="K23" s="6"/>
      <c r="L23" s="6">
        <f t="shared" si="0"/>
        <v>1.24</v>
      </c>
      <c r="M23" s="6"/>
      <c r="N23" s="6"/>
      <c r="O23" s="6">
        <f t="shared" si="12"/>
        <v>1.4259999999999999</v>
      </c>
      <c r="P23" s="3"/>
    </row>
    <row r="24" spans="1:16" ht="19.5" hidden="1" customHeight="1">
      <c r="A24" s="3">
        <f>SUBTOTAL(103,$B$2:B24)-1</f>
        <v>0</v>
      </c>
      <c r="B24" s="20" t="s">
        <v>108</v>
      </c>
      <c r="C24" s="3" t="s">
        <v>89</v>
      </c>
      <c r="D24" s="4">
        <v>45670</v>
      </c>
      <c r="E24" s="4" t="s">
        <v>109</v>
      </c>
      <c r="F24" s="4" t="s">
        <v>71</v>
      </c>
      <c r="G24" s="8" t="s">
        <v>72</v>
      </c>
      <c r="H24" s="3"/>
      <c r="I24" s="3"/>
      <c r="J24" s="6">
        <v>17375.25</v>
      </c>
      <c r="K24" s="6"/>
      <c r="L24" s="6">
        <f t="shared" si="0"/>
        <v>17375.25</v>
      </c>
      <c r="M24" s="6"/>
      <c r="N24" s="6"/>
      <c r="O24" s="6">
        <f t="shared" si="12"/>
        <v>19981.537499999999</v>
      </c>
      <c r="P24" s="3"/>
    </row>
    <row r="25" spans="1:16" ht="19.5" hidden="1" customHeight="1">
      <c r="A25" s="3">
        <f>SUBTOTAL(103,$B$2:B25)-1</f>
        <v>0</v>
      </c>
      <c r="B25" s="20" t="s">
        <v>110</v>
      </c>
      <c r="C25" s="3" t="s">
        <v>89</v>
      </c>
      <c r="D25" s="4">
        <v>45678</v>
      </c>
      <c r="E25" s="4" t="s">
        <v>93</v>
      </c>
      <c r="F25" s="4" t="s">
        <v>90</v>
      </c>
      <c r="G25" s="8" t="s">
        <v>91</v>
      </c>
      <c r="H25" s="3"/>
      <c r="I25" s="3" t="s">
        <v>111</v>
      </c>
      <c r="J25" s="6">
        <v>29082</v>
      </c>
      <c r="K25" s="6"/>
      <c r="L25" s="6">
        <f t="shared" si="0"/>
        <v>29082</v>
      </c>
      <c r="M25" s="6"/>
      <c r="N25" s="6"/>
      <c r="O25" s="6">
        <f t="shared" ref="O25:O27" si="13">L25+(L25*15%)+M25</f>
        <v>33444.300000000003</v>
      </c>
      <c r="P25" s="3"/>
    </row>
    <row r="26" spans="1:16" ht="19.5" hidden="1" customHeight="1">
      <c r="A26" s="3">
        <f>SUBTOTAL(103,$B$2:B26)-1</f>
        <v>0</v>
      </c>
      <c r="B26" s="20" t="s">
        <v>112</v>
      </c>
      <c r="C26" s="3" t="s">
        <v>113</v>
      </c>
      <c r="D26" s="4">
        <v>45678</v>
      </c>
      <c r="E26" s="4" t="s">
        <v>423</v>
      </c>
      <c r="F26" s="4" t="s">
        <v>114</v>
      </c>
      <c r="G26" s="8" t="s">
        <v>115</v>
      </c>
      <c r="H26" s="3" t="s">
        <v>116</v>
      </c>
      <c r="I26" s="3"/>
      <c r="J26" s="6">
        <v>5692</v>
      </c>
      <c r="K26" s="6"/>
      <c r="L26" s="6">
        <f t="shared" si="0"/>
        <v>5692</v>
      </c>
      <c r="M26" s="6"/>
      <c r="N26" s="6"/>
      <c r="O26" s="6">
        <v>5692</v>
      </c>
      <c r="P26" s="3"/>
    </row>
    <row r="27" spans="1:16" ht="19.5" hidden="1" customHeight="1">
      <c r="A27" s="3">
        <f>SUBTOTAL(103,$B$2:B27)-1</f>
        <v>0</v>
      </c>
      <c r="B27" s="20" t="s">
        <v>81</v>
      </c>
      <c r="C27" s="3" t="s">
        <v>117</v>
      </c>
      <c r="D27" s="4">
        <v>45678</v>
      </c>
      <c r="E27" s="4" t="s">
        <v>85</v>
      </c>
      <c r="F27" s="4" t="s">
        <v>86</v>
      </c>
      <c r="G27" s="8" t="s">
        <v>82</v>
      </c>
      <c r="H27" s="3"/>
      <c r="I27" s="3" t="s">
        <v>83</v>
      </c>
      <c r="J27" s="6">
        <v>716.48</v>
      </c>
      <c r="K27" s="6"/>
      <c r="L27" s="6">
        <f t="shared" si="0"/>
        <v>716.48</v>
      </c>
      <c r="M27" s="6"/>
      <c r="N27" s="6"/>
      <c r="O27" s="6">
        <f t="shared" si="13"/>
        <v>823.952</v>
      </c>
      <c r="P27" s="3"/>
    </row>
    <row r="28" spans="1:16" ht="19.5" hidden="1" customHeight="1">
      <c r="A28" s="3">
        <f>SUBTOTAL(103,$B$2:B28)-1</f>
        <v>0</v>
      </c>
      <c r="B28" s="20" t="s">
        <v>118</v>
      </c>
      <c r="C28" s="3" t="s">
        <v>119</v>
      </c>
      <c r="D28" s="4">
        <v>45684</v>
      </c>
      <c r="E28" s="4" t="s">
        <v>120</v>
      </c>
      <c r="F28" s="4" t="s">
        <v>121</v>
      </c>
      <c r="G28" s="8" t="s">
        <v>122</v>
      </c>
      <c r="H28" s="3" t="s">
        <v>20</v>
      </c>
      <c r="I28" s="3"/>
      <c r="J28" s="6">
        <v>970</v>
      </c>
      <c r="K28" s="6"/>
      <c r="L28" s="6">
        <f t="shared" si="0"/>
        <v>970</v>
      </c>
      <c r="M28" s="6"/>
      <c r="N28" s="6"/>
      <c r="O28" s="6">
        <f t="shared" ref="O28" si="14">L28+(L28*15%)+M28</f>
        <v>1115.5</v>
      </c>
      <c r="P28" s="3"/>
    </row>
    <row r="29" spans="1:16" ht="19.5" hidden="1" customHeight="1">
      <c r="A29" s="3">
        <f>SUBTOTAL(103,$B$2:B29)-1</f>
        <v>0</v>
      </c>
      <c r="B29" s="20" t="s">
        <v>123</v>
      </c>
      <c r="C29" s="3" t="s">
        <v>66</v>
      </c>
      <c r="D29" s="4">
        <v>45689</v>
      </c>
      <c r="E29" s="4" t="s">
        <v>50</v>
      </c>
      <c r="F29" s="4" t="s">
        <v>51</v>
      </c>
      <c r="G29" s="8" t="s">
        <v>124</v>
      </c>
      <c r="H29" s="3" t="s">
        <v>20</v>
      </c>
      <c r="I29" s="3"/>
      <c r="J29" s="6">
        <v>15</v>
      </c>
      <c r="K29" s="6"/>
      <c r="L29" s="6">
        <f t="shared" si="0"/>
        <v>15</v>
      </c>
      <c r="M29" s="6"/>
      <c r="N29" s="6"/>
      <c r="O29" s="6">
        <f t="shared" ref="O29" si="15">L29+(L29*15%)+M29</f>
        <v>17.25</v>
      </c>
      <c r="P29" s="3"/>
    </row>
    <row r="30" spans="1:16" ht="19.5" hidden="1" customHeight="1">
      <c r="A30" s="3">
        <f>SUBTOTAL(103,$B$2:B30)-1</f>
        <v>0</v>
      </c>
      <c r="B30" s="20" t="s">
        <v>125</v>
      </c>
      <c r="C30" s="3" t="s">
        <v>40</v>
      </c>
      <c r="D30" s="4">
        <v>45690</v>
      </c>
      <c r="E30" s="4" t="s">
        <v>126</v>
      </c>
      <c r="F30" s="4" t="s">
        <v>37</v>
      </c>
      <c r="G30" s="8" t="s">
        <v>38</v>
      </c>
      <c r="H30" s="3"/>
      <c r="I30" s="3" t="s">
        <v>39</v>
      </c>
      <c r="J30" s="6">
        <v>8496</v>
      </c>
      <c r="K30" s="6"/>
      <c r="L30" s="6">
        <f t="shared" si="0"/>
        <v>8496</v>
      </c>
      <c r="M30" s="6"/>
      <c r="N30" s="6"/>
      <c r="O30" s="6">
        <f t="shared" ref="O30:O32" si="16">L30+(L30*15%)</f>
        <v>9770.4</v>
      </c>
      <c r="P30" s="3"/>
    </row>
    <row r="31" spans="1:16" ht="19.5" hidden="1" customHeight="1">
      <c r="A31" s="3">
        <f>SUBTOTAL(103,$B$2:B31)-1</f>
        <v>0</v>
      </c>
      <c r="B31" s="20" t="s">
        <v>127</v>
      </c>
      <c r="C31" s="3" t="s">
        <v>35</v>
      </c>
      <c r="D31" s="4">
        <v>45691</v>
      </c>
      <c r="E31" s="4" t="s">
        <v>24</v>
      </c>
      <c r="F31" s="4" t="s">
        <v>25</v>
      </c>
      <c r="G31" s="8" t="s">
        <v>47</v>
      </c>
      <c r="H31" s="3" t="s">
        <v>20</v>
      </c>
      <c r="I31" s="3" t="s">
        <v>128</v>
      </c>
      <c r="J31" s="6">
        <v>62000</v>
      </c>
      <c r="K31" s="6">
        <v>8000</v>
      </c>
      <c r="L31" s="6">
        <f t="shared" si="0"/>
        <v>70000</v>
      </c>
      <c r="M31" s="6"/>
      <c r="N31" s="6"/>
      <c r="O31" s="6">
        <f t="shared" si="16"/>
        <v>80500</v>
      </c>
      <c r="P31" s="3"/>
    </row>
    <row r="32" spans="1:16" ht="19.5" hidden="1" customHeight="1">
      <c r="A32" s="3">
        <f>SUBTOTAL(103,$B$2:B32)-1</f>
        <v>0</v>
      </c>
      <c r="B32" s="20" t="s">
        <v>129</v>
      </c>
      <c r="C32" s="3" t="s">
        <v>35</v>
      </c>
      <c r="D32" s="4">
        <v>45693</v>
      </c>
      <c r="E32" s="4" t="s">
        <v>45</v>
      </c>
      <c r="F32" s="4" t="s">
        <v>46</v>
      </c>
      <c r="G32" s="8" t="s">
        <v>130</v>
      </c>
      <c r="H32" s="3" t="s">
        <v>20</v>
      </c>
      <c r="I32" s="3" t="s">
        <v>131</v>
      </c>
      <c r="J32" s="6">
        <v>100000</v>
      </c>
      <c r="K32" s="6">
        <v>12000</v>
      </c>
      <c r="L32" s="6">
        <f t="shared" si="0"/>
        <v>112000</v>
      </c>
      <c r="M32" s="6"/>
      <c r="N32" s="6"/>
      <c r="O32" s="6">
        <f t="shared" si="16"/>
        <v>128800</v>
      </c>
      <c r="P32" s="3"/>
    </row>
    <row r="33" spans="1:16" ht="19.5" hidden="1" customHeight="1">
      <c r="A33" s="3">
        <f>SUBTOTAL(103,$B$2:B33)-1</f>
        <v>0</v>
      </c>
      <c r="B33" s="20" t="s">
        <v>132</v>
      </c>
      <c r="C33" s="3" t="s">
        <v>35</v>
      </c>
      <c r="D33" s="4">
        <v>45698</v>
      </c>
      <c r="E33" s="4" t="s">
        <v>133</v>
      </c>
      <c r="F33" s="4" t="s">
        <v>95</v>
      </c>
      <c r="G33" s="8" t="s">
        <v>134</v>
      </c>
      <c r="H33" s="3" t="s">
        <v>20</v>
      </c>
      <c r="I33" s="3" t="s">
        <v>135</v>
      </c>
      <c r="J33" s="6">
        <v>3750</v>
      </c>
      <c r="K33" s="6">
        <v>2000</v>
      </c>
      <c r="L33" s="6">
        <f t="shared" si="0"/>
        <v>5750</v>
      </c>
      <c r="M33" s="6"/>
      <c r="N33" s="6"/>
      <c r="O33" s="6">
        <f t="shared" ref="O33" si="17">L33+(L33*15%)+M33</f>
        <v>6612.5</v>
      </c>
      <c r="P33" s="3"/>
    </row>
    <row r="34" spans="1:16" ht="19.5" hidden="1" customHeight="1">
      <c r="A34" s="3">
        <f>SUBTOTAL(103,$B$2:B34)-1</f>
        <v>0</v>
      </c>
      <c r="B34" s="20" t="s">
        <v>136</v>
      </c>
      <c r="C34" s="3" t="s">
        <v>119</v>
      </c>
      <c r="D34" s="4">
        <v>45698</v>
      </c>
      <c r="E34" s="4" t="s">
        <v>137</v>
      </c>
      <c r="F34" s="4" t="s">
        <v>138</v>
      </c>
      <c r="G34" s="8" t="s">
        <v>122</v>
      </c>
      <c r="H34" s="3" t="s">
        <v>20</v>
      </c>
      <c r="I34" s="3"/>
      <c r="J34" s="6">
        <f>100+300</f>
        <v>400</v>
      </c>
      <c r="K34" s="6"/>
      <c r="L34" s="6">
        <f t="shared" si="0"/>
        <v>400</v>
      </c>
      <c r="M34" s="6"/>
      <c r="N34" s="6"/>
      <c r="O34" s="6">
        <f t="shared" ref="O34" si="18">L34+(L34*15%)+M34</f>
        <v>460</v>
      </c>
      <c r="P34" s="3"/>
    </row>
    <row r="35" spans="1:16" ht="19.5" hidden="1" customHeight="1">
      <c r="A35" s="3">
        <f>SUBTOTAL(103,$B$2:B35)-1</f>
        <v>0</v>
      </c>
      <c r="B35" s="20" t="s">
        <v>139</v>
      </c>
      <c r="C35" s="3" t="s">
        <v>140</v>
      </c>
      <c r="D35" s="4">
        <v>45698</v>
      </c>
      <c r="E35" s="4" t="s">
        <v>109</v>
      </c>
      <c r="F35" s="4" t="s">
        <v>71</v>
      </c>
      <c r="G35" s="8" t="s">
        <v>141</v>
      </c>
      <c r="H35" s="3"/>
      <c r="I35" s="3"/>
      <c r="J35" s="6">
        <v>16794</v>
      </c>
      <c r="K35" s="6"/>
      <c r="L35" s="6">
        <f t="shared" si="0"/>
        <v>16794</v>
      </c>
      <c r="M35" s="6"/>
      <c r="N35" s="6"/>
      <c r="O35" s="6">
        <f t="shared" ref="O35" si="19">L35+(L35*15%)+M35</f>
        <v>19313.099999999999</v>
      </c>
      <c r="P35" s="3"/>
    </row>
    <row r="36" spans="1:16" ht="19.5" hidden="1" customHeight="1">
      <c r="A36" s="3">
        <f>SUBTOTAL(103,$B$2:B36)-1</f>
        <v>0</v>
      </c>
      <c r="B36" s="20" t="s">
        <v>142</v>
      </c>
      <c r="C36" s="3" t="s">
        <v>35</v>
      </c>
      <c r="D36" s="4">
        <v>45719</v>
      </c>
      <c r="E36" s="4" t="s">
        <v>45</v>
      </c>
      <c r="F36" s="4" t="s">
        <v>46</v>
      </c>
      <c r="G36" s="8" t="s">
        <v>47</v>
      </c>
      <c r="H36" s="3" t="s">
        <v>20</v>
      </c>
      <c r="I36" s="3" t="s">
        <v>143</v>
      </c>
      <c r="J36" s="6">
        <v>64000</v>
      </c>
      <c r="K36" s="6">
        <v>12000</v>
      </c>
      <c r="L36" s="6">
        <f t="shared" si="0"/>
        <v>76000</v>
      </c>
      <c r="M36" s="6"/>
      <c r="N36" s="6"/>
      <c r="O36" s="6">
        <f t="shared" ref="O36" si="20">L36+(L36*15%)</f>
        <v>87400</v>
      </c>
      <c r="P36" s="3"/>
    </row>
    <row r="37" spans="1:16" ht="19.5" hidden="1" customHeight="1">
      <c r="A37" s="3">
        <f>SUBTOTAL(103,$B$2:B37)-1</f>
        <v>0</v>
      </c>
      <c r="B37" s="20" t="s">
        <v>144</v>
      </c>
      <c r="C37" s="3" t="s">
        <v>145</v>
      </c>
      <c r="D37" s="4">
        <v>45719</v>
      </c>
      <c r="E37" s="4" t="s">
        <v>74</v>
      </c>
      <c r="F37" s="4" t="s">
        <v>75</v>
      </c>
      <c r="G37" s="8" t="s">
        <v>146</v>
      </c>
      <c r="H37" s="3"/>
      <c r="I37" s="3"/>
      <c r="J37" s="6"/>
      <c r="K37" s="6"/>
      <c r="L37" s="6">
        <f t="shared" si="0"/>
        <v>0</v>
      </c>
      <c r="M37" s="6"/>
      <c r="N37" s="6"/>
      <c r="O37" s="6">
        <f t="shared" ref="O37" si="21">L37+(L37*15%)</f>
        <v>0</v>
      </c>
      <c r="P37" s="3"/>
    </row>
    <row r="38" spans="1:16" ht="19.5" hidden="1" customHeight="1">
      <c r="A38" s="3">
        <f>SUBTOTAL(103,$B$2:B38)-1</f>
        <v>0</v>
      </c>
      <c r="B38" s="20" t="s">
        <v>147</v>
      </c>
      <c r="C38" s="3" t="s">
        <v>49</v>
      </c>
      <c r="D38" s="4">
        <v>45719</v>
      </c>
      <c r="E38" s="4" t="s">
        <v>151</v>
      </c>
      <c r="F38" s="4" t="s">
        <v>152</v>
      </c>
      <c r="G38" s="8" t="s">
        <v>52</v>
      </c>
      <c r="H38" s="3"/>
      <c r="I38" s="3" t="s">
        <v>153</v>
      </c>
      <c r="J38" s="6">
        <f>97000+434.78</f>
        <v>97434.78</v>
      </c>
      <c r="K38" s="6"/>
      <c r="L38" s="6">
        <f t="shared" si="0"/>
        <v>97434.78</v>
      </c>
      <c r="M38" s="6">
        <f>700+255</f>
        <v>955</v>
      </c>
      <c r="N38" s="6"/>
      <c r="O38" s="6">
        <f>L38+(L38*15%)+M38</f>
        <v>113004.997</v>
      </c>
      <c r="P38" s="3"/>
    </row>
    <row r="39" spans="1:16" ht="19.5" hidden="1" customHeight="1">
      <c r="A39" s="3">
        <f>SUBTOTAL(103,$B$2:B39)-1</f>
        <v>0</v>
      </c>
      <c r="B39" s="20" t="s">
        <v>148</v>
      </c>
      <c r="C39" s="3" t="s">
        <v>149</v>
      </c>
      <c r="D39" s="4">
        <v>45717</v>
      </c>
      <c r="E39" s="4" t="s">
        <v>109</v>
      </c>
      <c r="F39" s="4" t="s">
        <v>71</v>
      </c>
      <c r="G39" s="8" t="s">
        <v>150</v>
      </c>
      <c r="H39" s="3"/>
      <c r="I39" s="3"/>
      <c r="J39" s="6">
        <v>7</v>
      </c>
      <c r="K39" s="6"/>
      <c r="L39" s="6">
        <f t="shared" si="0"/>
        <v>7</v>
      </c>
      <c r="M39" s="6"/>
      <c r="N39" s="6"/>
      <c r="O39" s="6">
        <f t="shared" ref="O39" si="22">L39+(L39*15%)</f>
        <v>8.0500000000000007</v>
      </c>
      <c r="P39" s="3"/>
    </row>
    <row r="40" spans="1:16" ht="19.5" hidden="1" customHeight="1">
      <c r="A40" s="3">
        <f>SUBTOTAL(103,$B$2:B40)-1</f>
        <v>0</v>
      </c>
      <c r="B40" s="20" t="s">
        <v>154</v>
      </c>
      <c r="C40" s="3" t="s">
        <v>63</v>
      </c>
      <c r="D40" s="4">
        <v>45717</v>
      </c>
      <c r="E40" s="4" t="s">
        <v>50</v>
      </c>
      <c r="F40" s="4" t="s">
        <v>51</v>
      </c>
      <c r="G40" s="8" t="s">
        <v>64</v>
      </c>
      <c r="H40" s="3" t="s">
        <v>20</v>
      </c>
      <c r="I40" s="3"/>
      <c r="J40" s="6">
        <v>11500</v>
      </c>
      <c r="K40" s="6"/>
      <c r="L40" s="6">
        <f t="shared" si="0"/>
        <v>11500</v>
      </c>
      <c r="M40" s="6"/>
      <c r="N40" s="6"/>
      <c r="O40" s="6">
        <f t="shared" ref="O40" si="23">L40+(L40*15%)+M40</f>
        <v>13225</v>
      </c>
      <c r="P40" s="3"/>
    </row>
    <row r="41" spans="1:16" ht="19.5" hidden="1" customHeight="1">
      <c r="A41" s="3">
        <f>SUBTOTAL(103,$B$2:B41)-1</f>
        <v>0</v>
      </c>
      <c r="B41" s="20" t="s">
        <v>155</v>
      </c>
      <c r="C41" s="3" t="s">
        <v>66</v>
      </c>
      <c r="D41" s="4">
        <v>45752</v>
      </c>
      <c r="E41" s="4" t="s">
        <v>93</v>
      </c>
      <c r="F41" s="4" t="s">
        <v>90</v>
      </c>
      <c r="G41" s="8" t="s">
        <v>68</v>
      </c>
      <c r="H41" s="3" t="s">
        <v>20</v>
      </c>
      <c r="I41" s="3"/>
      <c r="J41" s="6">
        <v>40</v>
      </c>
      <c r="K41" s="6"/>
      <c r="L41" s="6">
        <f t="shared" si="0"/>
        <v>40</v>
      </c>
      <c r="M41" s="6"/>
      <c r="N41" s="6"/>
      <c r="O41" s="6">
        <f t="shared" ref="O41" si="24">L41+(L41*15%)+M41</f>
        <v>46</v>
      </c>
      <c r="P41" s="3"/>
    </row>
    <row r="42" spans="1:16" ht="19.5" hidden="1" customHeight="1">
      <c r="A42" s="3">
        <f>SUBTOTAL(103,$B$2:B42)-1</f>
        <v>0</v>
      </c>
      <c r="B42" s="20" t="s">
        <v>156</v>
      </c>
      <c r="C42" s="3" t="s">
        <v>157</v>
      </c>
      <c r="D42" s="4">
        <v>45752</v>
      </c>
      <c r="E42" s="4" t="s">
        <v>74</v>
      </c>
      <c r="F42" s="4" t="s">
        <v>75</v>
      </c>
      <c r="G42" s="8" t="s">
        <v>158</v>
      </c>
      <c r="H42" s="3" t="s">
        <v>20</v>
      </c>
      <c r="I42" s="3"/>
      <c r="J42" s="6">
        <v>16750</v>
      </c>
      <c r="K42" s="6"/>
      <c r="L42" s="6">
        <f t="shared" si="0"/>
        <v>16750</v>
      </c>
      <c r="M42" s="6"/>
      <c r="N42" s="6"/>
      <c r="O42" s="6">
        <f t="shared" ref="O42" si="25">L42+(L42*15%)+M42</f>
        <v>19262.5</v>
      </c>
      <c r="P42" s="3"/>
    </row>
    <row r="43" spans="1:16" ht="19.5" hidden="1" customHeight="1">
      <c r="A43" s="3">
        <f>SUBTOTAL(103,$B$2:B43)-1</f>
        <v>0</v>
      </c>
      <c r="B43" s="20" t="s">
        <v>159</v>
      </c>
      <c r="C43" s="3" t="s">
        <v>35</v>
      </c>
      <c r="D43" s="4">
        <v>45752</v>
      </c>
      <c r="E43" s="4" t="s">
        <v>161</v>
      </c>
      <c r="F43" s="4" t="s">
        <v>701</v>
      </c>
      <c r="G43" s="8" t="s">
        <v>130</v>
      </c>
      <c r="H43" s="3" t="s">
        <v>20</v>
      </c>
      <c r="I43" s="3" t="s">
        <v>160</v>
      </c>
      <c r="J43" s="6">
        <v>105000</v>
      </c>
      <c r="K43" s="6">
        <v>12000</v>
      </c>
      <c r="L43" s="6">
        <f t="shared" si="0"/>
        <v>117000</v>
      </c>
      <c r="M43" s="6"/>
      <c r="N43" s="6"/>
      <c r="O43" s="6">
        <f t="shared" ref="O43" si="26">L43+(L43*15%)+M43</f>
        <v>134550</v>
      </c>
      <c r="P43" s="3"/>
    </row>
    <row r="44" spans="1:16" ht="19.5" hidden="1" customHeight="1">
      <c r="A44" s="3">
        <f>SUBTOTAL(103,$B$2:B44)-1</f>
        <v>0</v>
      </c>
      <c r="B44" s="20" t="s">
        <v>162</v>
      </c>
      <c r="C44" s="3" t="s">
        <v>66</v>
      </c>
      <c r="D44" s="4">
        <v>45752</v>
      </c>
      <c r="E44" s="4" t="s">
        <v>163</v>
      </c>
      <c r="F44" s="4" t="s">
        <v>164</v>
      </c>
      <c r="G44" s="8" t="s">
        <v>165</v>
      </c>
      <c r="H44" s="3" t="s">
        <v>20</v>
      </c>
      <c r="I44" s="3"/>
      <c r="J44" s="6">
        <v>28</v>
      </c>
      <c r="K44" s="6"/>
      <c r="L44" s="6">
        <f t="shared" si="0"/>
        <v>28</v>
      </c>
      <c r="M44" s="6"/>
      <c r="N44" s="6"/>
      <c r="O44" s="6">
        <f t="shared" ref="O44" si="27">L44+(L44*15%)+M44</f>
        <v>32.200000000000003</v>
      </c>
      <c r="P44" s="3"/>
    </row>
    <row r="45" spans="1:16" ht="19.5" hidden="1" customHeight="1">
      <c r="A45" s="3">
        <f>SUBTOTAL(103,$B$2:B45)-1</f>
        <v>0</v>
      </c>
      <c r="B45" s="20" t="s">
        <v>166</v>
      </c>
      <c r="C45" s="3" t="s">
        <v>167</v>
      </c>
      <c r="D45" s="4">
        <v>45752</v>
      </c>
      <c r="E45" s="4" t="s">
        <v>168</v>
      </c>
      <c r="F45" s="4" t="s">
        <v>169</v>
      </c>
      <c r="G45" s="8" t="s">
        <v>170</v>
      </c>
      <c r="H45" s="3"/>
      <c r="I45" s="3"/>
      <c r="J45" s="6">
        <v>155</v>
      </c>
      <c r="K45" s="6"/>
      <c r="L45" s="6">
        <f t="shared" si="0"/>
        <v>155</v>
      </c>
      <c r="M45" s="6"/>
      <c r="N45" s="6"/>
      <c r="O45" s="6">
        <f t="shared" ref="O45" si="28">L45+(L45*15%)+M45</f>
        <v>178.25</v>
      </c>
      <c r="P45" s="3"/>
    </row>
    <row r="46" spans="1:16" ht="19.5" hidden="1" customHeight="1">
      <c r="A46" s="3">
        <f>SUBTOTAL(103,$B$2:B46)-1</f>
        <v>0</v>
      </c>
      <c r="B46" s="20" t="s">
        <v>171</v>
      </c>
      <c r="C46" s="3" t="s">
        <v>35</v>
      </c>
      <c r="D46" s="4">
        <v>45748</v>
      </c>
      <c r="E46" s="4" t="s">
        <v>45</v>
      </c>
      <c r="F46" s="4" t="s">
        <v>46</v>
      </c>
      <c r="G46" s="8" t="s">
        <v>47</v>
      </c>
      <c r="H46" s="3" t="s">
        <v>20</v>
      </c>
      <c r="I46" s="3" t="s">
        <v>174</v>
      </c>
      <c r="J46" s="6">
        <v>53000</v>
      </c>
      <c r="K46" s="6">
        <v>6000</v>
      </c>
      <c r="L46" s="6">
        <f t="shared" si="0"/>
        <v>59000</v>
      </c>
      <c r="M46" s="6"/>
      <c r="N46" s="6"/>
      <c r="O46" s="6">
        <f t="shared" ref="O46" si="29">L46+(L46*15%)</f>
        <v>67850</v>
      </c>
      <c r="P46" s="3"/>
    </row>
    <row r="47" spans="1:16" ht="19.5" hidden="1" customHeight="1">
      <c r="A47" s="3">
        <f>SUBTOTAL(103,$B$2:B47)-1</f>
        <v>0</v>
      </c>
      <c r="B47" s="20" t="s">
        <v>173</v>
      </c>
      <c r="C47" s="3" t="s">
        <v>35</v>
      </c>
      <c r="D47" s="4">
        <v>45748</v>
      </c>
      <c r="E47" s="4" t="s">
        <v>45</v>
      </c>
      <c r="F47" s="4" t="s">
        <v>46</v>
      </c>
      <c r="G47" s="8" t="s">
        <v>47</v>
      </c>
      <c r="H47" s="3" t="s">
        <v>20</v>
      </c>
      <c r="I47" s="3" t="s">
        <v>172</v>
      </c>
      <c r="J47" s="6">
        <v>31000</v>
      </c>
      <c r="K47" s="6">
        <v>6000</v>
      </c>
      <c r="L47" s="6">
        <f t="shared" si="0"/>
        <v>37000</v>
      </c>
      <c r="M47" s="6"/>
      <c r="N47" s="6"/>
      <c r="O47" s="6">
        <f t="shared" ref="O47" si="30">L47+(L47*15%)</f>
        <v>42550</v>
      </c>
      <c r="P47" s="3" t="s">
        <v>201</v>
      </c>
    </row>
    <row r="48" spans="1:16" ht="19.5" hidden="1" customHeight="1">
      <c r="A48" s="3">
        <f>SUBTOTAL(103,$B$2:B48)-1</f>
        <v>0</v>
      </c>
      <c r="B48" s="20" t="s">
        <v>175</v>
      </c>
      <c r="C48" s="3" t="s">
        <v>66</v>
      </c>
      <c r="D48" s="4">
        <v>45748</v>
      </c>
      <c r="E48" s="4" t="s">
        <v>99</v>
      </c>
      <c r="F48" s="4" t="s">
        <v>100</v>
      </c>
      <c r="G48" s="8" t="s">
        <v>176</v>
      </c>
      <c r="H48" s="3" t="s">
        <v>20</v>
      </c>
      <c r="I48" s="3"/>
      <c r="J48" s="6">
        <v>85</v>
      </c>
      <c r="K48" s="6"/>
      <c r="L48" s="6">
        <v>85</v>
      </c>
      <c r="M48" s="6"/>
      <c r="N48" s="6">
        <v>11</v>
      </c>
      <c r="O48" s="6">
        <f t="shared" ref="O48:O49" si="31">L48+(L48*15%)+M48</f>
        <v>97.75</v>
      </c>
      <c r="P48" s="3"/>
    </row>
    <row r="49" spans="1:16" ht="19.5" hidden="1" customHeight="1">
      <c r="A49" s="3">
        <f>SUBTOTAL(103,$B$2:B49)-1</f>
        <v>0</v>
      </c>
      <c r="B49" s="20" t="s">
        <v>177</v>
      </c>
      <c r="C49" s="3" t="s">
        <v>35</v>
      </c>
      <c r="D49" s="4">
        <v>45748</v>
      </c>
      <c r="E49" s="4" t="s">
        <v>133</v>
      </c>
      <c r="F49" s="4" t="s">
        <v>95</v>
      </c>
      <c r="G49" s="8" t="s">
        <v>134</v>
      </c>
      <c r="H49" s="3" t="s">
        <v>20</v>
      </c>
      <c r="I49" s="3" t="s">
        <v>178</v>
      </c>
      <c r="J49" s="6">
        <v>8000</v>
      </c>
      <c r="K49" s="6">
        <v>2000</v>
      </c>
      <c r="L49" s="6">
        <f t="shared" ref="L49:L74" si="32">SUM(J49:K49)</f>
        <v>10000</v>
      </c>
      <c r="M49" s="6"/>
      <c r="N49" s="6"/>
      <c r="O49" s="6">
        <f t="shared" si="31"/>
        <v>11500</v>
      </c>
      <c r="P49" s="3"/>
    </row>
    <row r="50" spans="1:16" ht="19.5" hidden="1" customHeight="1">
      <c r="A50" s="3">
        <f>SUBTOTAL(103,$B$2:B50)-1</f>
        <v>0</v>
      </c>
      <c r="B50" s="20" t="s">
        <v>179</v>
      </c>
      <c r="C50" s="3" t="s">
        <v>35</v>
      </c>
      <c r="D50" s="4">
        <v>45748</v>
      </c>
      <c r="E50" s="4" t="s">
        <v>133</v>
      </c>
      <c r="F50" s="4" t="s">
        <v>95</v>
      </c>
      <c r="G50" s="8" t="s">
        <v>180</v>
      </c>
      <c r="H50" s="3" t="s">
        <v>20</v>
      </c>
      <c r="I50" s="3" t="s">
        <v>181</v>
      </c>
      <c r="J50" s="6">
        <v>6750</v>
      </c>
      <c r="K50" s="6">
        <v>2000</v>
      </c>
      <c r="L50" s="6">
        <f t="shared" si="32"/>
        <v>8750</v>
      </c>
      <c r="M50" s="6"/>
      <c r="N50" s="6"/>
      <c r="O50" s="6">
        <f t="shared" ref="O50" si="33">L50+(L50*15%)+M50</f>
        <v>10062.5</v>
      </c>
      <c r="P50" s="3"/>
    </row>
    <row r="51" spans="1:16" ht="19.5" hidden="1" customHeight="1">
      <c r="A51" s="3">
        <f>SUBTOTAL(103,$B$2:B51)-1</f>
        <v>0</v>
      </c>
      <c r="B51" s="20" t="s">
        <v>182</v>
      </c>
      <c r="C51" s="3" t="s">
        <v>35</v>
      </c>
      <c r="D51" s="4">
        <v>45748</v>
      </c>
      <c r="E51" s="4" t="s">
        <v>45</v>
      </c>
      <c r="F51" s="4" t="s">
        <v>46</v>
      </c>
      <c r="G51" s="8" t="s">
        <v>47</v>
      </c>
      <c r="H51" s="3" t="s">
        <v>20</v>
      </c>
      <c r="I51" s="3" t="s">
        <v>172</v>
      </c>
      <c r="J51" s="6">
        <v>31000</v>
      </c>
      <c r="K51" s="6">
        <v>6000</v>
      </c>
      <c r="L51" s="6">
        <f t="shared" si="32"/>
        <v>37000</v>
      </c>
      <c r="M51" s="6"/>
      <c r="N51" s="6"/>
      <c r="O51" s="6">
        <f t="shared" ref="O51" si="34">L51+(L51*15%)</f>
        <v>42550</v>
      </c>
      <c r="P51" s="3"/>
    </row>
    <row r="52" spans="1:16" ht="19.5" hidden="1" customHeight="1">
      <c r="A52" s="3">
        <f>SUBTOTAL(103,$B$2:B52)-1</f>
        <v>0</v>
      </c>
      <c r="B52" s="20" t="s">
        <v>183</v>
      </c>
      <c r="C52" s="3" t="s">
        <v>185</v>
      </c>
      <c r="D52" s="4">
        <v>45748</v>
      </c>
      <c r="E52" s="4" t="s">
        <v>109</v>
      </c>
      <c r="F52" s="4" t="s">
        <v>71</v>
      </c>
      <c r="G52" s="8" t="s">
        <v>186</v>
      </c>
      <c r="H52" s="3"/>
      <c r="I52" s="3"/>
      <c r="J52" s="6">
        <v>5008.25</v>
      </c>
      <c r="K52" s="6"/>
      <c r="L52" s="6">
        <f t="shared" si="32"/>
        <v>5008.25</v>
      </c>
      <c r="M52" s="6"/>
      <c r="N52" s="6"/>
      <c r="O52" s="6">
        <f t="shared" ref="O52:O53" si="35">L52+(L52*15%)</f>
        <v>5759.4875000000002</v>
      </c>
      <c r="P52" s="3"/>
    </row>
    <row r="53" spans="1:16" ht="19.5" hidden="1" customHeight="1">
      <c r="A53" s="3">
        <f>SUBTOTAL(103,$B$2:B53)-1</f>
        <v>0</v>
      </c>
      <c r="B53" s="20" t="s">
        <v>184</v>
      </c>
      <c r="C53" s="3" t="s">
        <v>185</v>
      </c>
      <c r="D53" s="4">
        <v>45748</v>
      </c>
      <c r="E53" s="4" t="s">
        <v>93</v>
      </c>
      <c r="F53" s="4" t="s">
        <v>90</v>
      </c>
      <c r="G53" s="8" t="s">
        <v>187</v>
      </c>
      <c r="H53" s="3"/>
      <c r="I53" s="3"/>
      <c r="J53" s="6">
        <v>218</v>
      </c>
      <c r="K53" s="6"/>
      <c r="L53" s="6">
        <f t="shared" si="32"/>
        <v>218</v>
      </c>
      <c r="M53" s="6"/>
      <c r="N53" s="6"/>
      <c r="O53" s="6">
        <f t="shared" si="35"/>
        <v>250.7</v>
      </c>
      <c r="P53" s="3"/>
    </row>
    <row r="54" spans="1:16" ht="19.5" customHeight="1">
      <c r="A54" s="3">
        <f>SUBTOTAL(103,$B$2:B54)-1</f>
        <v>1</v>
      </c>
      <c r="B54" s="20" t="s">
        <v>188</v>
      </c>
      <c r="C54" s="3" t="s">
        <v>189</v>
      </c>
      <c r="D54" s="4">
        <v>45748</v>
      </c>
      <c r="E54" s="4" t="s">
        <v>190</v>
      </c>
      <c r="F54" s="4" t="s">
        <v>191</v>
      </c>
      <c r="G54" s="8" t="s">
        <v>192</v>
      </c>
      <c r="H54" s="3"/>
      <c r="I54" s="3"/>
      <c r="J54" s="6">
        <v>8250</v>
      </c>
      <c r="K54" s="6"/>
      <c r="L54" s="6">
        <f t="shared" si="32"/>
        <v>8250</v>
      </c>
      <c r="M54" s="6"/>
      <c r="N54" s="6"/>
      <c r="O54" s="6">
        <f t="shared" ref="O54" si="36">L54+(L54*15%)</f>
        <v>9487.5</v>
      </c>
      <c r="P54" s="3"/>
    </row>
    <row r="55" spans="1:16" ht="19.5" hidden="1" customHeight="1">
      <c r="A55" s="3">
        <f>SUBTOTAL(103,$B$2:B55)-1</f>
        <v>1</v>
      </c>
      <c r="B55" s="20" t="s">
        <v>193</v>
      </c>
      <c r="C55" s="3" t="s">
        <v>194</v>
      </c>
      <c r="D55" s="4">
        <v>45748</v>
      </c>
      <c r="E55" s="4" t="s">
        <v>688</v>
      </c>
      <c r="F55" s="4" t="s">
        <v>195</v>
      </c>
      <c r="G55" s="8" t="s">
        <v>196</v>
      </c>
      <c r="H55" s="3" t="s">
        <v>20</v>
      </c>
      <c r="I55" s="3"/>
      <c r="J55" s="6">
        <v>490</v>
      </c>
      <c r="K55" s="6"/>
      <c r="L55" s="6">
        <f t="shared" si="32"/>
        <v>490</v>
      </c>
      <c r="M55" s="6"/>
      <c r="N55" s="6"/>
      <c r="O55" s="6">
        <f t="shared" ref="O55" si="37">L55+(L55*15%)</f>
        <v>563.5</v>
      </c>
      <c r="P55" s="3"/>
    </row>
    <row r="56" spans="1:16" ht="19.5" hidden="1" customHeight="1">
      <c r="A56" s="3">
        <f>SUBTOTAL(103,$B$2:B56)-1</f>
        <v>1</v>
      </c>
      <c r="B56" s="20" t="s">
        <v>197</v>
      </c>
      <c r="C56" s="3" t="s">
        <v>66</v>
      </c>
      <c r="D56" s="4">
        <v>45748</v>
      </c>
      <c r="E56" s="4" t="s">
        <v>198</v>
      </c>
      <c r="F56" s="4" t="s">
        <v>200</v>
      </c>
      <c r="G56" s="8" t="s">
        <v>199</v>
      </c>
      <c r="H56" s="3" t="s">
        <v>20</v>
      </c>
      <c r="I56" s="3"/>
      <c r="J56" s="6">
        <v>70</v>
      </c>
      <c r="K56" s="6"/>
      <c r="L56" s="6">
        <f t="shared" si="32"/>
        <v>70</v>
      </c>
      <c r="M56" s="6"/>
      <c r="N56" s="6"/>
      <c r="O56" s="6">
        <f t="shared" ref="O56" si="38">L56+(L56*15%)</f>
        <v>80.5</v>
      </c>
      <c r="P56" s="3"/>
    </row>
    <row r="57" spans="1:16" ht="19.5" hidden="1" customHeight="1">
      <c r="A57" s="3">
        <f>SUBTOTAL(103,$B$2:B57)-1</f>
        <v>1</v>
      </c>
      <c r="B57" s="20" t="s">
        <v>202</v>
      </c>
      <c r="C57" s="3" t="s">
        <v>189</v>
      </c>
      <c r="D57" s="4">
        <v>45780</v>
      </c>
      <c r="E57" s="4" t="s">
        <v>203</v>
      </c>
      <c r="F57" s="4" t="s">
        <v>204</v>
      </c>
      <c r="G57" s="8" t="s">
        <v>205</v>
      </c>
      <c r="H57" s="3"/>
      <c r="I57" s="3"/>
      <c r="J57" s="6">
        <v>85500</v>
      </c>
      <c r="K57" s="6"/>
      <c r="L57" s="6">
        <f t="shared" si="32"/>
        <v>85500</v>
      </c>
      <c r="M57" s="6"/>
      <c r="N57" s="6"/>
      <c r="O57" s="6">
        <f t="shared" ref="O57:O59" si="39">L57+(L57*15%)</f>
        <v>98325</v>
      </c>
      <c r="P57" s="3" t="s">
        <v>201</v>
      </c>
    </row>
    <row r="58" spans="1:16" ht="19.5" customHeight="1">
      <c r="A58" s="3">
        <f>SUBTOTAL(103,$B$2:B58)-1</f>
        <v>2</v>
      </c>
      <c r="B58" s="20" t="s">
        <v>206</v>
      </c>
      <c r="C58" s="3" t="s">
        <v>189</v>
      </c>
      <c r="D58" s="4">
        <v>45780</v>
      </c>
      <c r="E58" s="4" t="s">
        <v>190</v>
      </c>
      <c r="F58" s="4" t="s">
        <v>191</v>
      </c>
      <c r="G58" s="8" t="s">
        <v>192</v>
      </c>
      <c r="H58" s="3"/>
      <c r="I58" s="3"/>
      <c r="J58" s="6">
        <v>8250</v>
      </c>
      <c r="K58" s="6"/>
      <c r="L58" s="6">
        <f t="shared" si="32"/>
        <v>8250</v>
      </c>
      <c r="M58" s="6"/>
      <c r="N58" s="6"/>
      <c r="O58" s="6">
        <f t="shared" si="39"/>
        <v>9487.5</v>
      </c>
      <c r="P58" s="3"/>
    </row>
    <row r="59" spans="1:16" ht="19.5" hidden="1" customHeight="1">
      <c r="A59" s="3">
        <f>SUBTOTAL(103,$B$2:B59)-1</f>
        <v>2</v>
      </c>
      <c r="B59" s="20" t="s">
        <v>207</v>
      </c>
      <c r="C59" s="3" t="s">
        <v>35</v>
      </c>
      <c r="D59" s="4">
        <v>45780</v>
      </c>
      <c r="E59" s="4" t="s">
        <v>24</v>
      </c>
      <c r="F59" s="4" t="s">
        <v>25</v>
      </c>
      <c r="G59" s="8" t="s">
        <v>29</v>
      </c>
      <c r="H59" s="3" t="s">
        <v>20</v>
      </c>
      <c r="I59" s="3"/>
      <c r="J59" s="6">
        <v>15000</v>
      </c>
      <c r="K59" s="6"/>
      <c r="L59" s="6">
        <f t="shared" si="32"/>
        <v>15000</v>
      </c>
      <c r="M59" s="6"/>
      <c r="N59" s="6"/>
      <c r="O59" s="6">
        <f t="shared" si="39"/>
        <v>17250</v>
      </c>
      <c r="P59" s="3"/>
    </row>
    <row r="60" spans="1:16" ht="19.5" hidden="1" customHeight="1">
      <c r="A60" s="3">
        <f>SUBTOTAL(103,$B$2:B60)-1</f>
        <v>2</v>
      </c>
      <c r="B60" s="20" t="s">
        <v>208</v>
      </c>
      <c r="C60" s="3" t="s">
        <v>35</v>
      </c>
      <c r="D60" s="4">
        <v>45780</v>
      </c>
      <c r="E60" s="4" t="s">
        <v>24</v>
      </c>
      <c r="F60" s="4" t="s">
        <v>25</v>
      </c>
      <c r="G60" s="8" t="s">
        <v>33</v>
      </c>
      <c r="H60" s="3" t="s">
        <v>20</v>
      </c>
      <c r="I60" s="3" t="s">
        <v>209</v>
      </c>
      <c r="J60" s="6">
        <v>80000</v>
      </c>
      <c r="K60" s="6">
        <v>8000</v>
      </c>
      <c r="L60" s="6">
        <f t="shared" si="32"/>
        <v>88000</v>
      </c>
      <c r="M60" s="6"/>
      <c r="N60" s="6"/>
      <c r="O60" s="6">
        <f t="shared" ref="O60" si="40">L60+(L60*15%)</f>
        <v>101200</v>
      </c>
      <c r="P60" s="3"/>
    </row>
    <row r="61" spans="1:16" ht="19.5" hidden="1" customHeight="1">
      <c r="A61" s="3">
        <f>SUBTOTAL(103,$B$2:B61)-1</f>
        <v>2</v>
      </c>
      <c r="B61" s="20" t="s">
        <v>210</v>
      </c>
      <c r="C61" s="3" t="s">
        <v>35</v>
      </c>
      <c r="D61" s="4">
        <v>45780</v>
      </c>
      <c r="E61" s="4" t="s">
        <v>24</v>
      </c>
      <c r="F61" s="4" t="s">
        <v>25</v>
      </c>
      <c r="G61" s="8" t="s">
        <v>47</v>
      </c>
      <c r="H61" s="3" t="s">
        <v>20</v>
      </c>
      <c r="I61" s="3" t="s">
        <v>211</v>
      </c>
      <c r="J61" s="6">
        <v>31500</v>
      </c>
      <c r="K61" s="6">
        <v>5000</v>
      </c>
      <c r="L61" s="6">
        <f t="shared" si="32"/>
        <v>36500</v>
      </c>
      <c r="M61" s="6"/>
      <c r="N61" s="6"/>
      <c r="O61" s="6">
        <f t="shared" ref="O61" si="41">L61+(L61*15%)</f>
        <v>41975</v>
      </c>
      <c r="P61" s="3"/>
    </row>
    <row r="62" spans="1:16" ht="19.5" hidden="1" customHeight="1">
      <c r="A62" s="3">
        <f>SUBTOTAL(103,$B$2:B62)-1</f>
        <v>2</v>
      </c>
      <c r="B62" s="20" t="s">
        <v>212</v>
      </c>
      <c r="C62" s="3" t="s">
        <v>35</v>
      </c>
      <c r="D62" s="4">
        <v>45780</v>
      </c>
      <c r="E62" s="4" t="s">
        <v>213</v>
      </c>
      <c r="F62" s="4" t="s">
        <v>214</v>
      </c>
      <c r="G62" s="8" t="s">
        <v>33</v>
      </c>
      <c r="H62" s="3" t="s">
        <v>20</v>
      </c>
      <c r="I62" s="3" t="s">
        <v>215</v>
      </c>
      <c r="J62" s="6">
        <v>80000</v>
      </c>
      <c r="K62" s="6">
        <v>10000</v>
      </c>
      <c r="L62" s="6">
        <f t="shared" si="32"/>
        <v>90000</v>
      </c>
      <c r="M62" s="6"/>
      <c r="N62" s="6"/>
      <c r="O62" s="6">
        <f t="shared" ref="O62" si="42">L62+(L62*15%)</f>
        <v>103500</v>
      </c>
      <c r="P62" s="3"/>
    </row>
    <row r="63" spans="1:16" ht="19.5" hidden="1" customHeight="1">
      <c r="A63" s="3">
        <f>SUBTOTAL(103,$B$2:B63)-1</f>
        <v>2</v>
      </c>
      <c r="B63" s="20" t="s">
        <v>216</v>
      </c>
      <c r="C63" s="3" t="s">
        <v>35</v>
      </c>
      <c r="D63" s="4">
        <v>45780</v>
      </c>
      <c r="E63" s="4" t="s">
        <v>217</v>
      </c>
      <c r="F63" s="4" t="s">
        <v>219</v>
      </c>
      <c r="G63" s="8" t="s">
        <v>26</v>
      </c>
      <c r="H63" s="3" t="s">
        <v>20</v>
      </c>
      <c r="I63" s="3" t="s">
        <v>218</v>
      </c>
      <c r="J63" s="6">
        <v>34000</v>
      </c>
      <c r="K63" s="6"/>
      <c r="L63" s="6">
        <f t="shared" si="32"/>
        <v>34000</v>
      </c>
      <c r="M63" s="6"/>
      <c r="N63" s="6"/>
      <c r="O63" s="6">
        <f t="shared" ref="O63" si="43">L63+(L63*15%)</f>
        <v>39100</v>
      </c>
      <c r="P63" s="3"/>
    </row>
    <row r="64" spans="1:16" ht="19.5" hidden="1" customHeight="1">
      <c r="A64" s="3">
        <f>SUBTOTAL(103,$B$2:B64)-1</f>
        <v>2</v>
      </c>
      <c r="B64" s="20" t="s">
        <v>220</v>
      </c>
      <c r="C64" s="3" t="s">
        <v>224</v>
      </c>
      <c r="D64" s="4">
        <v>45780</v>
      </c>
      <c r="E64" s="4" t="s">
        <v>225</v>
      </c>
      <c r="F64" s="4" t="s">
        <v>226</v>
      </c>
      <c r="G64" s="8" t="s">
        <v>227</v>
      </c>
      <c r="H64" s="3"/>
      <c r="I64" s="3"/>
      <c r="J64" s="6"/>
      <c r="K64" s="6"/>
      <c r="L64" s="6">
        <f t="shared" si="32"/>
        <v>0</v>
      </c>
      <c r="M64" s="6"/>
      <c r="N64" s="6"/>
      <c r="O64" s="6">
        <f t="shared" ref="O64" si="44">L64+(L64*15%)</f>
        <v>0</v>
      </c>
      <c r="P64" s="3"/>
    </row>
    <row r="65" spans="1:16" ht="19.5" hidden="1" customHeight="1">
      <c r="A65" s="3">
        <f>SUBTOTAL(103,$B$2:B65)-1</f>
        <v>2</v>
      </c>
      <c r="B65" s="20" t="s">
        <v>223</v>
      </c>
      <c r="C65" s="3" t="s">
        <v>229</v>
      </c>
      <c r="D65" s="4">
        <v>45780</v>
      </c>
      <c r="E65" s="4" t="s">
        <v>301</v>
      </c>
      <c r="F65" s="4" t="s">
        <v>222</v>
      </c>
      <c r="G65" s="8" t="s">
        <v>228</v>
      </c>
      <c r="H65" s="3"/>
      <c r="I65" s="3"/>
      <c r="J65" s="6"/>
      <c r="K65" s="6"/>
      <c r="L65" s="6">
        <f t="shared" si="32"/>
        <v>0</v>
      </c>
      <c r="M65" s="6"/>
      <c r="N65" s="6"/>
      <c r="O65" s="6">
        <f t="shared" ref="O65" si="45">L65+(L65*15%)</f>
        <v>0</v>
      </c>
      <c r="P65" s="3"/>
    </row>
    <row r="66" spans="1:16" ht="19.5" hidden="1" customHeight="1">
      <c r="A66" s="3">
        <f>SUBTOTAL(103,$B$2:B66)-1</f>
        <v>2</v>
      </c>
      <c r="B66" s="20" t="s">
        <v>230</v>
      </c>
      <c r="C66" s="3" t="s">
        <v>221</v>
      </c>
      <c r="D66" s="4">
        <v>45780</v>
      </c>
      <c r="E66" s="4" t="s">
        <v>301</v>
      </c>
      <c r="F66" s="4" t="s">
        <v>222</v>
      </c>
      <c r="G66" s="8" t="s">
        <v>300</v>
      </c>
      <c r="H66" s="3"/>
      <c r="I66" s="3"/>
      <c r="J66" s="6"/>
      <c r="K66" s="6"/>
      <c r="L66" s="6">
        <f t="shared" si="32"/>
        <v>0</v>
      </c>
      <c r="M66" s="6"/>
      <c r="N66" s="6"/>
      <c r="O66" s="6">
        <f t="shared" ref="O66" si="46">L66+(L66*15%)</f>
        <v>0</v>
      </c>
      <c r="P66" s="3"/>
    </row>
    <row r="67" spans="1:16" ht="19.5" hidden="1" customHeight="1">
      <c r="A67" s="3">
        <f>SUBTOTAL(103,$B$2:B67)-1</f>
        <v>2</v>
      </c>
      <c r="B67" s="20" t="s">
        <v>231</v>
      </c>
      <c r="C67" s="3" t="s">
        <v>66</v>
      </c>
      <c r="D67" s="4">
        <v>45782</v>
      </c>
      <c r="E67" s="4" t="s">
        <v>382</v>
      </c>
      <c r="F67" s="4" t="s">
        <v>297</v>
      </c>
      <c r="G67" s="8" t="s">
        <v>235</v>
      </c>
      <c r="H67" s="3" t="s">
        <v>20</v>
      </c>
      <c r="I67" s="3"/>
      <c r="J67" s="6">
        <v>38</v>
      </c>
      <c r="K67" s="6"/>
      <c r="L67" s="6">
        <f t="shared" si="32"/>
        <v>38</v>
      </c>
      <c r="M67" s="6"/>
      <c r="N67" s="6"/>
      <c r="O67" s="6">
        <f t="shared" ref="O67" si="47">L67+(L67*15%)</f>
        <v>43.7</v>
      </c>
      <c r="P67" s="3"/>
    </row>
    <row r="68" spans="1:16" ht="19.5" hidden="1" customHeight="1">
      <c r="A68" s="3">
        <f>SUBTOTAL(103,$B$2:B68)-1</f>
        <v>2</v>
      </c>
      <c r="B68" s="20" t="s">
        <v>232</v>
      </c>
      <c r="C68" s="3" t="s">
        <v>189</v>
      </c>
      <c r="D68" s="4">
        <v>45782</v>
      </c>
      <c r="E68" s="4" t="s">
        <v>233</v>
      </c>
      <c r="F68" s="4" t="s">
        <v>234</v>
      </c>
      <c r="G68" s="8" t="s">
        <v>236</v>
      </c>
      <c r="H68" s="3"/>
      <c r="I68" s="3"/>
      <c r="J68" s="6">
        <v>61342.63</v>
      </c>
      <c r="K68" s="6"/>
      <c r="L68" s="6">
        <f t="shared" si="32"/>
        <v>61342.63</v>
      </c>
      <c r="M68" s="6"/>
      <c r="N68" s="6"/>
      <c r="O68" s="6">
        <f t="shared" ref="O68" si="48">L68+(L68*15%)</f>
        <v>70544.0245</v>
      </c>
      <c r="P68" s="3"/>
    </row>
    <row r="69" spans="1:16" ht="19.5" hidden="1" customHeight="1">
      <c r="A69" s="3">
        <f>SUBTOTAL(103,$B$2:B69)-1</f>
        <v>2</v>
      </c>
      <c r="B69" s="20" t="s">
        <v>237</v>
      </c>
      <c r="C69" s="3" t="s">
        <v>238</v>
      </c>
      <c r="D69" s="4">
        <v>45782</v>
      </c>
      <c r="E69" s="4" t="s">
        <v>239</v>
      </c>
      <c r="F69" s="4" t="s">
        <v>240</v>
      </c>
      <c r="G69" s="8" t="s">
        <v>241</v>
      </c>
      <c r="H69" s="3"/>
      <c r="I69" s="3"/>
      <c r="J69" s="6"/>
      <c r="K69" s="6"/>
      <c r="L69" s="6">
        <f t="shared" si="32"/>
        <v>0</v>
      </c>
      <c r="M69" s="6"/>
      <c r="N69" s="6"/>
      <c r="O69" s="6">
        <f t="shared" ref="O69" si="49">L69+(L69*15%)</f>
        <v>0</v>
      </c>
      <c r="P69" s="3"/>
    </row>
    <row r="70" spans="1:16" ht="19.5" hidden="1" customHeight="1">
      <c r="A70" s="3">
        <f>SUBTOTAL(103,$B$2:B70)-1</f>
        <v>2</v>
      </c>
      <c r="B70" s="20" t="s">
        <v>242</v>
      </c>
      <c r="C70" s="3" t="s">
        <v>35</v>
      </c>
      <c r="D70" s="4">
        <v>45787</v>
      </c>
      <c r="E70" s="4" t="s">
        <v>133</v>
      </c>
      <c r="F70" s="4" t="s">
        <v>95</v>
      </c>
      <c r="G70" s="8" t="s">
        <v>96</v>
      </c>
      <c r="H70" s="3" t="s">
        <v>20</v>
      </c>
      <c r="I70" s="3"/>
      <c r="J70" s="6">
        <v>2800</v>
      </c>
      <c r="K70" s="6">
        <v>1000</v>
      </c>
      <c r="L70" s="6">
        <f t="shared" si="32"/>
        <v>3800</v>
      </c>
      <c r="M70" s="6"/>
      <c r="N70" s="6"/>
      <c r="O70" s="6">
        <f t="shared" ref="O70" si="50">L70+(L70*15%)</f>
        <v>4370</v>
      </c>
      <c r="P70" s="3"/>
    </row>
    <row r="71" spans="1:16" ht="19.5" hidden="1" customHeight="1">
      <c r="A71" s="3">
        <f>SUBTOTAL(103,$B$2:B71)-1</f>
        <v>2</v>
      </c>
      <c r="B71" s="20" t="s">
        <v>243</v>
      </c>
      <c r="C71" s="3" t="s">
        <v>119</v>
      </c>
      <c r="D71" s="4">
        <v>45787</v>
      </c>
      <c r="E71" s="4" t="s">
        <v>120</v>
      </c>
      <c r="F71" s="4" t="s">
        <v>121</v>
      </c>
      <c r="G71" s="8" t="s">
        <v>244</v>
      </c>
      <c r="H71" s="3" t="s">
        <v>20</v>
      </c>
      <c r="I71" s="3"/>
      <c r="J71" s="6">
        <v>3000</v>
      </c>
      <c r="K71" s="6"/>
      <c r="L71" s="6">
        <f t="shared" si="32"/>
        <v>3000</v>
      </c>
      <c r="M71" s="6"/>
      <c r="N71" s="6"/>
      <c r="O71" s="6">
        <f t="shared" ref="O71" si="51">L71+(L71*15%)+M71</f>
        <v>3450</v>
      </c>
      <c r="P71" s="3"/>
    </row>
    <row r="72" spans="1:16" ht="19.5" hidden="1" customHeight="1">
      <c r="A72" s="3">
        <f>SUBTOTAL(103,$B$2:B72)-1</f>
        <v>2</v>
      </c>
      <c r="B72" s="20" t="s">
        <v>245</v>
      </c>
      <c r="C72" s="3" t="s">
        <v>40</v>
      </c>
      <c r="D72" s="4">
        <v>45787</v>
      </c>
      <c r="E72" s="4" t="s">
        <v>246</v>
      </c>
      <c r="F72" s="4" t="s">
        <v>247</v>
      </c>
      <c r="G72" s="8" t="s">
        <v>248</v>
      </c>
      <c r="H72" s="3"/>
      <c r="I72" s="3"/>
      <c r="J72" s="6">
        <v>517.5</v>
      </c>
      <c r="K72" s="6"/>
      <c r="L72" s="6">
        <f t="shared" si="32"/>
        <v>517.5</v>
      </c>
      <c r="M72" s="6"/>
      <c r="N72" s="6"/>
      <c r="O72" s="6">
        <f t="shared" ref="O72" si="52">L72+(L72*15%)+M72</f>
        <v>595.125</v>
      </c>
      <c r="P72" s="3"/>
    </row>
    <row r="73" spans="1:16" ht="19.5" hidden="1" customHeight="1">
      <c r="A73" s="3">
        <f>SUBTOTAL(103,$B$2:B73)-1</f>
        <v>2</v>
      </c>
      <c r="B73" s="20" t="s">
        <v>249</v>
      </c>
      <c r="C73" s="3" t="s">
        <v>185</v>
      </c>
      <c r="D73" s="4">
        <v>45787</v>
      </c>
      <c r="E73" s="4" t="s">
        <v>93</v>
      </c>
      <c r="F73" s="4" t="s">
        <v>90</v>
      </c>
      <c r="G73" s="8" t="s">
        <v>72</v>
      </c>
      <c r="H73" s="3"/>
      <c r="I73" s="3"/>
      <c r="J73" s="6">
        <v>1380</v>
      </c>
      <c r="K73" s="6"/>
      <c r="L73" s="6">
        <f t="shared" si="32"/>
        <v>1380</v>
      </c>
      <c r="M73" s="6"/>
      <c r="N73" s="6"/>
      <c r="O73" s="6">
        <f t="shared" ref="O73" si="53">L73+(L73*15%)+M73</f>
        <v>1587</v>
      </c>
      <c r="P73" s="3"/>
    </row>
    <row r="74" spans="1:16" ht="19.5" hidden="1" customHeight="1">
      <c r="A74" s="3">
        <f>SUBTOTAL(103,$B$2:B74)-1</f>
        <v>2</v>
      </c>
      <c r="B74" s="20" t="s">
        <v>250</v>
      </c>
      <c r="C74" s="3" t="s">
        <v>251</v>
      </c>
      <c r="D74" s="4">
        <v>45787</v>
      </c>
      <c r="E74" s="4" t="s">
        <v>252</v>
      </c>
      <c r="F74" s="4" t="s">
        <v>253</v>
      </c>
      <c r="G74" s="8" t="s">
        <v>251</v>
      </c>
      <c r="H74" s="3" t="s">
        <v>20</v>
      </c>
      <c r="I74" s="3"/>
      <c r="J74" s="6"/>
      <c r="K74" s="6"/>
      <c r="L74" s="6">
        <f t="shared" si="32"/>
        <v>0</v>
      </c>
      <c r="M74" s="6"/>
      <c r="N74" s="6"/>
      <c r="O74" s="6">
        <f t="shared" ref="O74:O79" si="54">L74+(L74*15%)+M74</f>
        <v>0</v>
      </c>
      <c r="P74" s="3"/>
    </row>
    <row r="75" spans="1:16" ht="19.5" hidden="1" customHeight="1">
      <c r="A75" s="3">
        <f>SUBTOTAL(103,$B$2:B75)-1</f>
        <v>2</v>
      </c>
      <c r="B75" s="20" t="s">
        <v>254</v>
      </c>
      <c r="C75" s="3" t="s">
        <v>66</v>
      </c>
      <c r="D75" s="4">
        <v>45787</v>
      </c>
      <c r="E75" s="4" t="s">
        <v>255</v>
      </c>
      <c r="F75" s="4" t="s">
        <v>256</v>
      </c>
      <c r="G75" s="8" t="s">
        <v>257</v>
      </c>
      <c r="H75" s="3" t="s">
        <v>20</v>
      </c>
      <c r="I75" s="3"/>
      <c r="J75" s="6">
        <v>65</v>
      </c>
      <c r="K75" s="6"/>
      <c r="L75" s="6">
        <f t="shared" ref="L75:L79" si="55">SUM(J75:K75)</f>
        <v>65</v>
      </c>
      <c r="M75" s="6"/>
      <c r="N75" s="6"/>
      <c r="O75" s="6">
        <f t="shared" si="54"/>
        <v>74.75</v>
      </c>
      <c r="P75" s="3"/>
    </row>
    <row r="76" spans="1:16" ht="19.5" hidden="1" customHeight="1">
      <c r="A76" s="3">
        <f>SUBTOTAL(103,$B$2:B76)-1</f>
        <v>2</v>
      </c>
      <c r="B76" s="20" t="s">
        <v>258</v>
      </c>
      <c r="C76" s="3" t="s">
        <v>35</v>
      </c>
      <c r="D76" s="4">
        <v>45802</v>
      </c>
      <c r="E76" s="4" t="s">
        <v>261</v>
      </c>
      <c r="F76" s="4" t="s">
        <v>259</v>
      </c>
      <c r="G76" s="8" t="s">
        <v>22</v>
      </c>
      <c r="H76" s="3"/>
      <c r="I76" s="3" t="s">
        <v>260</v>
      </c>
      <c r="J76" s="12">
        <v>95000</v>
      </c>
      <c r="K76" s="12">
        <v>40000</v>
      </c>
      <c r="L76" s="12">
        <f t="shared" si="55"/>
        <v>135000</v>
      </c>
      <c r="M76" s="12"/>
      <c r="N76" s="12"/>
      <c r="O76" s="12">
        <f t="shared" si="54"/>
        <v>155250</v>
      </c>
      <c r="P76" s="3" t="s">
        <v>284</v>
      </c>
    </row>
    <row r="77" spans="1:16" ht="19.5" hidden="1" customHeight="1">
      <c r="A77" s="3">
        <f>SUBTOTAL(103,$B$2:B77)-1</f>
        <v>2</v>
      </c>
      <c r="B77" s="20" t="s">
        <v>262</v>
      </c>
      <c r="C77" s="3" t="s">
        <v>66</v>
      </c>
      <c r="D77" s="4">
        <v>45802</v>
      </c>
      <c r="E77" s="4" t="s">
        <v>74</v>
      </c>
      <c r="F77" s="4" t="s">
        <v>75</v>
      </c>
      <c r="G77" s="8" t="s">
        <v>265</v>
      </c>
      <c r="H77" s="3"/>
      <c r="I77" s="3" t="s">
        <v>266</v>
      </c>
      <c r="J77" s="12">
        <v>135</v>
      </c>
      <c r="K77" s="12"/>
      <c r="L77" s="12">
        <f t="shared" si="55"/>
        <v>135</v>
      </c>
      <c r="M77" s="12"/>
      <c r="N77" s="12"/>
      <c r="O77" s="12">
        <f t="shared" si="54"/>
        <v>155.25</v>
      </c>
      <c r="P77" s="3" t="s">
        <v>284</v>
      </c>
    </row>
    <row r="78" spans="1:16" ht="19.5" hidden="1" customHeight="1">
      <c r="A78" s="3">
        <f>SUBTOTAL(103,$B$2:B78)-1</f>
        <v>2</v>
      </c>
      <c r="B78" s="20" t="s">
        <v>263</v>
      </c>
      <c r="C78" s="3" t="s">
        <v>66</v>
      </c>
      <c r="D78" s="4">
        <v>45802</v>
      </c>
      <c r="E78" s="4" t="s">
        <v>78</v>
      </c>
      <c r="F78" s="4" t="s">
        <v>87</v>
      </c>
      <c r="G78" s="8" t="s">
        <v>267</v>
      </c>
      <c r="H78" s="3" t="s">
        <v>20</v>
      </c>
      <c r="I78" s="3" t="s">
        <v>267</v>
      </c>
      <c r="J78" s="6">
        <v>45</v>
      </c>
      <c r="K78" s="6"/>
      <c r="L78" s="6">
        <f t="shared" si="55"/>
        <v>45</v>
      </c>
      <c r="M78" s="6"/>
      <c r="N78" s="6"/>
      <c r="O78" s="6">
        <f t="shared" si="54"/>
        <v>51.75</v>
      </c>
      <c r="P78" s="3" t="s">
        <v>294</v>
      </c>
    </row>
    <row r="79" spans="1:16" ht="19.5" hidden="1" customHeight="1">
      <c r="A79" s="3">
        <f>SUBTOTAL(103,$B$2:B79)-1</f>
        <v>2</v>
      </c>
      <c r="B79" s="20" t="s">
        <v>264</v>
      </c>
      <c r="C79" s="3" t="s">
        <v>63</v>
      </c>
      <c r="D79" s="4">
        <v>45802</v>
      </c>
      <c r="E79" s="4" t="s">
        <v>50</v>
      </c>
      <c r="F79" s="4" t="s">
        <v>51</v>
      </c>
      <c r="G79" s="8" t="s">
        <v>64</v>
      </c>
      <c r="H79" s="3" t="s">
        <v>20</v>
      </c>
      <c r="I79" s="3"/>
      <c r="J79" s="6">
        <v>11500</v>
      </c>
      <c r="K79" s="6"/>
      <c r="L79" s="6">
        <f t="shared" si="55"/>
        <v>11500</v>
      </c>
      <c r="M79" s="6"/>
      <c r="N79" s="6"/>
      <c r="O79" s="6">
        <f t="shared" si="54"/>
        <v>13225</v>
      </c>
      <c r="P79" s="3" t="s">
        <v>294</v>
      </c>
    </row>
    <row r="80" spans="1:16" ht="19.5" hidden="1" customHeight="1">
      <c r="A80" s="3">
        <f>SUBTOTAL(103,$B$2:B80)-1</f>
        <v>2</v>
      </c>
      <c r="B80" s="20" t="s">
        <v>268</v>
      </c>
      <c r="C80" s="3" t="s">
        <v>66</v>
      </c>
      <c r="D80" s="4">
        <v>45802</v>
      </c>
      <c r="E80" s="4" t="s">
        <v>269</v>
      </c>
      <c r="F80" s="4" t="s">
        <v>270</v>
      </c>
      <c r="G80" s="8" t="s">
        <v>271</v>
      </c>
      <c r="H80" s="3" t="s">
        <v>20</v>
      </c>
      <c r="I80" s="3" t="s">
        <v>272</v>
      </c>
      <c r="J80" s="6">
        <v>88</v>
      </c>
      <c r="K80" s="6"/>
      <c r="L80" s="6">
        <f>SUM(J80:K80)</f>
        <v>88</v>
      </c>
      <c r="M80" s="6"/>
      <c r="N80" s="6"/>
      <c r="O80" s="6">
        <f>L80+(L80*15%)+M80</f>
        <v>101.2</v>
      </c>
      <c r="P80" s="3" t="s">
        <v>295</v>
      </c>
    </row>
    <row r="81" spans="1:16" ht="19.5" hidden="1" customHeight="1">
      <c r="A81" s="3">
        <f>SUBTOTAL(103,$B$2:B81)-1</f>
        <v>2</v>
      </c>
      <c r="B81" s="20" t="s">
        <v>273</v>
      </c>
      <c r="C81" s="3" t="s">
        <v>185</v>
      </c>
      <c r="D81" s="4">
        <v>45863</v>
      </c>
      <c r="E81" s="4" t="s">
        <v>163</v>
      </c>
      <c r="F81" s="4" t="s">
        <v>164</v>
      </c>
      <c r="G81" s="8" t="s">
        <v>299</v>
      </c>
      <c r="H81" s="3"/>
      <c r="I81" s="3"/>
      <c r="J81" s="12">
        <v>14538</v>
      </c>
      <c r="K81" s="12"/>
      <c r="L81" s="12">
        <f>SUM(J81:K81)</f>
        <v>14538</v>
      </c>
      <c r="M81" s="12"/>
      <c r="N81" s="12"/>
      <c r="O81" s="12">
        <f>L81+(L81*15%)+M81</f>
        <v>16718.7</v>
      </c>
      <c r="P81" s="3" t="s">
        <v>334</v>
      </c>
    </row>
    <row r="82" spans="1:16" ht="19.5" hidden="1" customHeight="1">
      <c r="A82" s="3">
        <f>SUBTOTAL(103,$B$2:B82)-1</f>
        <v>2</v>
      </c>
      <c r="B82" s="20" t="s">
        <v>274</v>
      </c>
      <c r="C82" s="3" t="s">
        <v>113</v>
      </c>
      <c r="D82" s="4">
        <v>45802</v>
      </c>
      <c r="E82" s="4" t="s">
        <v>275</v>
      </c>
      <c r="F82" s="4" t="s">
        <v>276</v>
      </c>
      <c r="G82" s="8" t="s">
        <v>115</v>
      </c>
      <c r="H82" s="3"/>
      <c r="I82" s="3"/>
      <c r="J82" s="6"/>
      <c r="K82" s="6"/>
      <c r="L82" s="6">
        <v>47600</v>
      </c>
      <c r="M82" s="6"/>
      <c r="N82" s="6"/>
      <c r="O82" s="6">
        <v>47600</v>
      </c>
      <c r="P82" s="3" t="s">
        <v>283</v>
      </c>
    </row>
    <row r="83" spans="1:16" ht="19.5" hidden="1" customHeight="1">
      <c r="A83" s="3">
        <f>SUBTOTAL(103,$B$2:B83)-1</f>
        <v>2</v>
      </c>
      <c r="B83" s="20" t="s">
        <v>278</v>
      </c>
      <c r="C83" s="3" t="s">
        <v>66</v>
      </c>
      <c r="D83" s="4">
        <v>45809</v>
      </c>
      <c r="E83" s="4" t="s">
        <v>50</v>
      </c>
      <c r="F83" s="4" t="s">
        <v>51</v>
      </c>
      <c r="G83" s="8" t="s">
        <v>279</v>
      </c>
      <c r="H83" s="3" t="s">
        <v>20</v>
      </c>
      <c r="I83" s="3"/>
      <c r="J83" s="6">
        <v>30</v>
      </c>
      <c r="K83" s="6"/>
      <c r="L83" s="6">
        <f t="shared" ref="L83:L98" si="56">SUM(J83:K83)</f>
        <v>30</v>
      </c>
      <c r="M83" s="6"/>
      <c r="N83" s="6"/>
      <c r="O83" s="6">
        <f t="shared" ref="O83:O98" si="57">L83+(L83*15%)+M83</f>
        <v>34.5</v>
      </c>
      <c r="P83" s="3" t="s">
        <v>283</v>
      </c>
    </row>
    <row r="84" spans="1:16" ht="19.5" hidden="1" customHeight="1">
      <c r="A84" s="3">
        <f>SUBTOTAL(103,$B$2:B84)-1</f>
        <v>2</v>
      </c>
      <c r="B84" s="20" t="s">
        <v>280</v>
      </c>
      <c r="C84" s="3" t="s">
        <v>40</v>
      </c>
      <c r="D84" s="4">
        <v>45809</v>
      </c>
      <c r="E84" s="4" t="s">
        <v>246</v>
      </c>
      <c r="F84" s="4" t="s">
        <v>247</v>
      </c>
      <c r="G84" s="8" t="s">
        <v>281</v>
      </c>
      <c r="H84" s="3"/>
      <c r="I84" s="3" t="s">
        <v>282</v>
      </c>
      <c r="J84" s="6">
        <v>150</v>
      </c>
      <c r="K84" s="6"/>
      <c r="L84" s="6">
        <f t="shared" si="56"/>
        <v>150</v>
      </c>
      <c r="M84" s="6"/>
      <c r="N84" s="6"/>
      <c r="O84" s="6">
        <f t="shared" si="57"/>
        <v>172.5</v>
      </c>
      <c r="P84" s="3" t="s">
        <v>295</v>
      </c>
    </row>
    <row r="85" spans="1:16" ht="19.5" hidden="1" customHeight="1">
      <c r="A85" s="3">
        <f>SUBTOTAL(103,$B$2:B85)-1</f>
        <v>2</v>
      </c>
      <c r="B85" s="20" t="s">
        <v>285</v>
      </c>
      <c r="C85" s="3" t="s">
        <v>35</v>
      </c>
      <c r="D85" s="4">
        <v>45809</v>
      </c>
      <c r="E85" s="4" t="s">
        <v>399</v>
      </c>
      <c r="F85" s="4" t="s">
        <v>18</v>
      </c>
      <c r="G85" s="8" t="s">
        <v>134</v>
      </c>
      <c r="H85" s="3" t="s">
        <v>20</v>
      </c>
      <c r="I85" s="3" t="s">
        <v>287</v>
      </c>
      <c r="J85" s="6">
        <v>5000</v>
      </c>
      <c r="K85" s="6">
        <v>1000</v>
      </c>
      <c r="L85" s="6">
        <f t="shared" si="56"/>
        <v>6000</v>
      </c>
      <c r="M85" s="6"/>
      <c r="N85" s="6"/>
      <c r="O85" s="6">
        <f t="shared" si="57"/>
        <v>6900</v>
      </c>
      <c r="P85" s="3" t="s">
        <v>295</v>
      </c>
    </row>
    <row r="86" spans="1:16" ht="19.5" hidden="1" customHeight="1">
      <c r="A86" s="3">
        <f>SUBTOTAL(103,$B$2:B86)-1</f>
        <v>2</v>
      </c>
      <c r="B86" s="20" t="s">
        <v>286</v>
      </c>
      <c r="C86" s="3" t="s">
        <v>167</v>
      </c>
      <c r="D86" s="4">
        <v>45809</v>
      </c>
      <c r="E86" s="4" t="s">
        <v>289</v>
      </c>
      <c r="F86" s="4" t="s">
        <v>288</v>
      </c>
      <c r="G86" s="8" t="s">
        <v>290</v>
      </c>
      <c r="H86" s="3" t="s">
        <v>20</v>
      </c>
      <c r="I86" s="3"/>
      <c r="J86" s="6">
        <v>8600</v>
      </c>
      <c r="K86" s="6"/>
      <c r="L86" s="6">
        <f t="shared" si="56"/>
        <v>8600</v>
      </c>
      <c r="M86" s="6"/>
      <c r="N86" s="6"/>
      <c r="O86" s="6">
        <f t="shared" si="57"/>
        <v>9890</v>
      </c>
      <c r="P86" s="3" t="s">
        <v>295</v>
      </c>
    </row>
    <row r="87" spans="1:16" ht="19.5" hidden="1" customHeight="1">
      <c r="A87" s="3">
        <f>SUBTOTAL(103,$B$2:B87)-1</f>
        <v>2</v>
      </c>
      <c r="B87" s="20" t="s">
        <v>291</v>
      </c>
      <c r="C87" s="3" t="s">
        <v>185</v>
      </c>
      <c r="D87" s="4">
        <v>45809</v>
      </c>
      <c r="E87" s="4" t="s">
        <v>109</v>
      </c>
      <c r="F87" s="4" t="s">
        <v>71</v>
      </c>
      <c r="G87" s="8" t="s">
        <v>72</v>
      </c>
      <c r="H87" s="3"/>
      <c r="I87" s="3"/>
      <c r="J87" s="6">
        <v>35960.51</v>
      </c>
      <c r="K87" s="6"/>
      <c r="L87" s="6">
        <f t="shared" si="56"/>
        <v>35960.51</v>
      </c>
      <c r="M87" s="6"/>
      <c r="N87" s="6"/>
      <c r="O87" s="6">
        <f t="shared" si="57"/>
        <v>41354.586500000005</v>
      </c>
      <c r="P87" s="3" t="s">
        <v>308</v>
      </c>
    </row>
    <row r="88" spans="1:16" ht="19.5" hidden="1" customHeight="1">
      <c r="A88" s="3">
        <f>SUBTOTAL(103,$B$2:B88)-1</f>
        <v>2</v>
      </c>
      <c r="B88" s="20" t="s">
        <v>292</v>
      </c>
      <c r="C88" s="3" t="s">
        <v>40</v>
      </c>
      <c r="D88" s="4">
        <v>45809</v>
      </c>
      <c r="E88" s="4" t="s">
        <v>246</v>
      </c>
      <c r="F88" s="4" t="s">
        <v>247</v>
      </c>
      <c r="G88" s="8" t="s">
        <v>293</v>
      </c>
      <c r="H88" s="3"/>
      <c r="I88" s="3"/>
      <c r="J88" s="6">
        <v>130</v>
      </c>
      <c r="K88" s="6"/>
      <c r="L88" s="6">
        <f t="shared" si="56"/>
        <v>130</v>
      </c>
      <c r="M88" s="6"/>
      <c r="N88" s="6"/>
      <c r="O88" s="6">
        <f t="shared" si="57"/>
        <v>149.5</v>
      </c>
      <c r="P88" s="3" t="s">
        <v>308</v>
      </c>
    </row>
    <row r="89" spans="1:16" ht="19.5" hidden="1" customHeight="1">
      <c r="A89" s="3">
        <f>SUBTOTAL(103,$B$2:B89)-1</f>
        <v>2</v>
      </c>
      <c r="B89" s="20" t="s">
        <v>296</v>
      </c>
      <c r="C89" s="3" t="s">
        <v>185</v>
      </c>
      <c r="D89" s="4">
        <v>45809</v>
      </c>
      <c r="E89" s="4" t="s">
        <v>163</v>
      </c>
      <c r="F89" s="4" t="s">
        <v>164</v>
      </c>
      <c r="G89" s="8" t="s">
        <v>299</v>
      </c>
      <c r="H89" s="3"/>
      <c r="I89" s="3"/>
      <c r="J89" s="6">
        <v>18956</v>
      </c>
      <c r="K89" s="6"/>
      <c r="L89" s="6">
        <f t="shared" si="56"/>
        <v>18956</v>
      </c>
      <c r="M89" s="6"/>
      <c r="N89" s="6"/>
      <c r="O89" s="6">
        <f t="shared" si="57"/>
        <v>21799.4</v>
      </c>
      <c r="P89" s="3" t="s">
        <v>308</v>
      </c>
    </row>
    <row r="90" spans="1:16" ht="19.5" hidden="1" customHeight="1">
      <c r="A90" s="3">
        <f>SUBTOTAL(103,$B$2:B90)-1</f>
        <v>2</v>
      </c>
      <c r="B90" s="20" t="s">
        <v>298</v>
      </c>
      <c r="C90" s="3" t="s">
        <v>66</v>
      </c>
      <c r="D90" s="4">
        <v>45809</v>
      </c>
      <c r="E90" s="4" t="s">
        <v>382</v>
      </c>
      <c r="F90" s="4" t="s">
        <v>297</v>
      </c>
      <c r="G90" s="8" t="s">
        <v>305</v>
      </c>
      <c r="H90" s="3" t="s">
        <v>20</v>
      </c>
      <c r="I90" s="3"/>
      <c r="J90" s="6">
        <v>15</v>
      </c>
      <c r="K90" s="6"/>
      <c r="L90" s="6">
        <f t="shared" si="56"/>
        <v>15</v>
      </c>
      <c r="M90" s="6"/>
      <c r="N90" s="6"/>
      <c r="O90" s="6">
        <f t="shared" si="57"/>
        <v>17.25</v>
      </c>
      <c r="P90" s="3" t="s">
        <v>308</v>
      </c>
    </row>
    <row r="91" spans="1:16" ht="19.5" hidden="1" customHeight="1">
      <c r="A91" s="3">
        <f>SUBTOTAL(103,$B$2:B91)-1</f>
        <v>2</v>
      </c>
      <c r="B91" s="20" t="s">
        <v>302</v>
      </c>
      <c r="C91" s="3" t="s">
        <v>66</v>
      </c>
      <c r="D91" s="4">
        <v>45809</v>
      </c>
      <c r="E91" s="4" t="s">
        <v>303</v>
      </c>
      <c r="F91" s="4" t="s">
        <v>304</v>
      </c>
      <c r="G91" s="8" t="s">
        <v>307</v>
      </c>
      <c r="H91" s="3" t="s">
        <v>20</v>
      </c>
      <c r="I91" s="3" t="s">
        <v>306</v>
      </c>
      <c r="J91" s="6">
        <v>90</v>
      </c>
      <c r="K91" s="6"/>
      <c r="L91" s="6">
        <f t="shared" si="56"/>
        <v>90</v>
      </c>
      <c r="M91" s="6"/>
      <c r="N91" s="6"/>
      <c r="O91" s="6">
        <f t="shared" si="57"/>
        <v>103.5</v>
      </c>
      <c r="P91" s="3" t="s">
        <v>321</v>
      </c>
    </row>
    <row r="92" spans="1:16" ht="19.5" hidden="1" customHeight="1">
      <c r="A92" s="3">
        <f>SUBTOTAL(103,$B$2:B92)-1</f>
        <v>2</v>
      </c>
      <c r="B92" s="20" t="s">
        <v>309</v>
      </c>
      <c r="C92" s="3" t="s">
        <v>66</v>
      </c>
      <c r="D92" s="4">
        <v>45809</v>
      </c>
      <c r="E92" s="4" t="s">
        <v>78</v>
      </c>
      <c r="F92" s="4" t="s">
        <v>87</v>
      </c>
      <c r="G92" s="8" t="s">
        <v>311</v>
      </c>
      <c r="H92" s="3" t="s">
        <v>20</v>
      </c>
      <c r="I92" s="3"/>
      <c r="J92" s="12">
        <v>35</v>
      </c>
      <c r="K92" s="12"/>
      <c r="L92" s="12">
        <f t="shared" si="56"/>
        <v>35</v>
      </c>
      <c r="M92" s="12"/>
      <c r="N92" s="12"/>
      <c r="O92" s="12">
        <f t="shared" si="57"/>
        <v>40.25</v>
      </c>
      <c r="P92" s="3" t="s">
        <v>321</v>
      </c>
    </row>
    <row r="93" spans="1:16" ht="19.5" hidden="1" customHeight="1">
      <c r="A93" s="3">
        <f>SUBTOTAL(103,$B$2:B93)-1</f>
        <v>2</v>
      </c>
      <c r="B93" s="20" t="s">
        <v>310</v>
      </c>
      <c r="C93" s="3" t="s">
        <v>35</v>
      </c>
      <c r="D93" s="4">
        <v>45809</v>
      </c>
      <c r="E93" s="4" t="s">
        <v>24</v>
      </c>
      <c r="F93" s="4" t="s">
        <v>25</v>
      </c>
      <c r="G93" s="8" t="s">
        <v>26</v>
      </c>
      <c r="H93" s="3" t="s">
        <v>20</v>
      </c>
      <c r="I93" s="3" t="s">
        <v>312</v>
      </c>
      <c r="J93" s="12">
        <v>42000</v>
      </c>
      <c r="K93" s="12"/>
      <c r="L93" s="12">
        <f t="shared" si="56"/>
        <v>42000</v>
      </c>
      <c r="M93" s="12"/>
      <c r="N93" s="12"/>
      <c r="O93" s="12">
        <f t="shared" si="57"/>
        <v>48300</v>
      </c>
      <c r="P93" s="3" t="s">
        <v>321</v>
      </c>
    </row>
    <row r="94" spans="1:16" ht="19.5" hidden="1" customHeight="1">
      <c r="A94" s="3">
        <f>SUBTOTAL(103,$B$2:B94)-1</f>
        <v>2</v>
      </c>
      <c r="B94" s="20" t="s">
        <v>313</v>
      </c>
      <c r="C94" s="3" t="s">
        <v>49</v>
      </c>
      <c r="D94" s="4">
        <v>45863</v>
      </c>
      <c r="E94" s="4" t="s">
        <v>50</v>
      </c>
      <c r="F94" s="4" t="s">
        <v>51</v>
      </c>
      <c r="G94" s="8" t="s">
        <v>324</v>
      </c>
      <c r="H94" s="3" t="s">
        <v>20</v>
      </c>
      <c r="I94" s="3" t="s">
        <v>325</v>
      </c>
      <c r="J94" s="12">
        <v>9500</v>
      </c>
      <c r="K94" s="12"/>
      <c r="L94" s="12">
        <f t="shared" si="56"/>
        <v>9500</v>
      </c>
      <c r="M94" s="12"/>
      <c r="N94" s="12"/>
      <c r="O94" s="12">
        <f t="shared" si="57"/>
        <v>10925</v>
      </c>
      <c r="P94" s="3" t="s">
        <v>334</v>
      </c>
    </row>
    <row r="95" spans="1:16" ht="19.5" hidden="1" customHeight="1">
      <c r="A95" s="3">
        <f>SUBTOTAL(103,$B$2:B95)-1</f>
        <v>2</v>
      </c>
      <c r="B95" s="20" t="s">
        <v>314</v>
      </c>
      <c r="C95" s="3" t="s">
        <v>66</v>
      </c>
      <c r="D95" s="4">
        <v>45863</v>
      </c>
      <c r="E95" s="4" t="s">
        <v>78</v>
      </c>
      <c r="F95" s="4" t="s">
        <v>87</v>
      </c>
      <c r="G95" s="8" t="s">
        <v>326</v>
      </c>
      <c r="H95" s="3" t="s">
        <v>20</v>
      </c>
      <c r="I95" s="3"/>
      <c r="J95" s="12">
        <v>54</v>
      </c>
      <c r="K95" s="12"/>
      <c r="L95" s="12">
        <f t="shared" si="56"/>
        <v>54</v>
      </c>
      <c r="M95" s="12"/>
      <c r="N95" s="12"/>
      <c r="O95" s="12">
        <f t="shared" si="57"/>
        <v>62.1</v>
      </c>
      <c r="P95" s="3" t="s">
        <v>334</v>
      </c>
    </row>
    <row r="96" spans="1:16" ht="19.5" hidden="1" customHeight="1">
      <c r="A96" s="3">
        <f>SUBTOTAL(103,$B$2:B96)-1</f>
        <v>2</v>
      </c>
      <c r="B96" s="20" t="s">
        <v>315</v>
      </c>
      <c r="C96" s="3" t="s">
        <v>66</v>
      </c>
      <c r="D96" s="4">
        <v>45809</v>
      </c>
      <c r="E96" s="4" t="s">
        <v>316</v>
      </c>
      <c r="F96" s="4" t="s">
        <v>317</v>
      </c>
      <c r="G96" s="8" t="s">
        <v>318</v>
      </c>
      <c r="H96" s="3" t="s">
        <v>20</v>
      </c>
      <c r="I96" s="3" t="s">
        <v>306</v>
      </c>
      <c r="J96" s="12">
        <v>130</v>
      </c>
      <c r="K96" s="12"/>
      <c r="L96" s="12">
        <f t="shared" si="56"/>
        <v>130</v>
      </c>
      <c r="M96" s="12"/>
      <c r="N96" s="12"/>
      <c r="O96" s="12">
        <f t="shared" si="57"/>
        <v>149.5</v>
      </c>
      <c r="P96" s="3" t="s">
        <v>322</v>
      </c>
    </row>
    <row r="97" spans="1:16" ht="19.5" hidden="1" customHeight="1">
      <c r="A97" s="3">
        <f>SUBTOTAL(103,$B$2:B97)-1</f>
        <v>2</v>
      </c>
      <c r="B97" s="20" t="s">
        <v>319</v>
      </c>
      <c r="C97" s="3" t="s">
        <v>185</v>
      </c>
      <c r="D97" s="4">
        <v>45863</v>
      </c>
      <c r="E97" s="4" t="s">
        <v>109</v>
      </c>
      <c r="F97" s="4" t="s">
        <v>71</v>
      </c>
      <c r="G97" s="8" t="s">
        <v>320</v>
      </c>
      <c r="H97" s="3"/>
      <c r="I97" s="3"/>
      <c r="J97" s="12">
        <v>59375.8</v>
      </c>
      <c r="K97" s="12"/>
      <c r="L97" s="12">
        <f t="shared" si="56"/>
        <v>59375.8</v>
      </c>
      <c r="M97" s="12"/>
      <c r="N97" s="12"/>
      <c r="O97" s="12">
        <f t="shared" si="57"/>
        <v>68282.17</v>
      </c>
      <c r="P97" s="3" t="s">
        <v>323</v>
      </c>
    </row>
    <row r="98" spans="1:16" ht="19.5" hidden="1" customHeight="1">
      <c r="A98" s="3">
        <f>SUBTOTAL(103,$B$2:B98)-1</f>
        <v>2</v>
      </c>
      <c r="B98" s="20" t="s">
        <v>327</v>
      </c>
      <c r="C98" s="3" t="s">
        <v>63</v>
      </c>
      <c r="D98" s="4">
        <v>45863</v>
      </c>
      <c r="E98" s="4" t="s">
        <v>328</v>
      </c>
      <c r="F98" s="4" t="s">
        <v>329</v>
      </c>
      <c r="G98" s="8" t="s">
        <v>330</v>
      </c>
      <c r="H98" s="3" t="s">
        <v>20</v>
      </c>
      <c r="I98" s="3"/>
      <c r="J98" s="12">
        <v>11500</v>
      </c>
      <c r="K98" s="12"/>
      <c r="L98" s="12">
        <f t="shared" si="56"/>
        <v>11500</v>
      </c>
      <c r="M98" s="12"/>
      <c r="N98" s="12"/>
      <c r="O98" s="12">
        <f t="shared" si="57"/>
        <v>13225</v>
      </c>
      <c r="P98" s="3" t="s">
        <v>335</v>
      </c>
    </row>
    <row r="99" spans="1:16" ht="19.5" hidden="1" customHeight="1">
      <c r="A99" s="3">
        <f>SUBTOTAL(103,$B$2:B99)-1</f>
        <v>2</v>
      </c>
      <c r="B99" s="20" t="s">
        <v>331</v>
      </c>
      <c r="C99" s="3" t="s">
        <v>35</v>
      </c>
      <c r="D99" s="4">
        <v>45863</v>
      </c>
      <c r="E99" s="4" t="s">
        <v>50</v>
      </c>
      <c r="F99" s="4" t="s">
        <v>51</v>
      </c>
      <c r="G99" s="8" t="s">
        <v>29</v>
      </c>
      <c r="H99" s="3" t="s">
        <v>20</v>
      </c>
      <c r="I99" s="3" t="s">
        <v>325</v>
      </c>
      <c r="J99" s="12">
        <v>15000</v>
      </c>
      <c r="K99" s="12"/>
      <c r="L99" s="12">
        <f t="shared" ref="L99:L112" si="58">SUM(J99:K99)</f>
        <v>15000</v>
      </c>
      <c r="M99" s="12"/>
      <c r="N99" s="12"/>
      <c r="O99" s="12">
        <f t="shared" ref="O99:O100" si="59">L99+(L99*15%)+M99</f>
        <v>17250</v>
      </c>
      <c r="P99" s="3" t="s">
        <v>335</v>
      </c>
    </row>
    <row r="100" spans="1:16" ht="19.5" hidden="1" customHeight="1">
      <c r="A100" s="3">
        <f>SUBTOTAL(103,$B$2:B100)-1</f>
        <v>2</v>
      </c>
      <c r="B100" s="20" t="s">
        <v>332</v>
      </c>
      <c r="C100" s="3" t="s">
        <v>35</v>
      </c>
      <c r="D100" s="4">
        <v>45863</v>
      </c>
      <c r="E100" s="4" t="s">
        <v>45</v>
      </c>
      <c r="F100" s="4" t="s">
        <v>46</v>
      </c>
      <c r="G100" s="8" t="s">
        <v>130</v>
      </c>
      <c r="H100" s="3" t="s">
        <v>20</v>
      </c>
      <c r="I100" s="3" t="s">
        <v>333</v>
      </c>
      <c r="J100" s="6">
        <v>55000</v>
      </c>
      <c r="K100" s="6">
        <v>6000</v>
      </c>
      <c r="L100" s="6">
        <f t="shared" si="58"/>
        <v>61000</v>
      </c>
      <c r="M100" s="6"/>
      <c r="N100" s="6"/>
      <c r="O100" s="12">
        <f t="shared" si="59"/>
        <v>70150</v>
      </c>
      <c r="P100" s="3" t="s">
        <v>335</v>
      </c>
    </row>
    <row r="101" spans="1:16" ht="19.5" hidden="1" customHeight="1">
      <c r="A101" s="3">
        <f>SUBTOTAL(103,$B$2:B101)-1</f>
        <v>2</v>
      </c>
      <c r="B101" s="20" t="s">
        <v>336</v>
      </c>
      <c r="C101" s="3" t="s">
        <v>66</v>
      </c>
      <c r="D101" s="4">
        <v>45894</v>
      </c>
      <c r="E101" s="4" t="s">
        <v>50</v>
      </c>
      <c r="F101" s="4" t="s">
        <v>51</v>
      </c>
      <c r="G101" s="8" t="s">
        <v>337</v>
      </c>
      <c r="H101" s="3" t="s">
        <v>20</v>
      </c>
      <c r="I101" s="3" t="s">
        <v>306</v>
      </c>
      <c r="J101" s="6">
        <v>65</v>
      </c>
      <c r="K101" s="6"/>
      <c r="L101" s="6">
        <f t="shared" si="58"/>
        <v>65</v>
      </c>
      <c r="M101" s="6"/>
      <c r="N101" s="6"/>
      <c r="O101" s="6">
        <f t="shared" ref="O101" si="60">L101+(L101*15%)+M101</f>
        <v>74.75</v>
      </c>
      <c r="P101" s="3" t="s">
        <v>340</v>
      </c>
    </row>
    <row r="102" spans="1:16" ht="19.5" hidden="1" customHeight="1">
      <c r="A102" s="3">
        <f>SUBTOTAL(103,$B$2:B102)-1</f>
        <v>2</v>
      </c>
      <c r="B102" s="20" t="s">
        <v>338</v>
      </c>
      <c r="C102" s="3" t="s">
        <v>35</v>
      </c>
      <c r="D102" s="4">
        <v>45894</v>
      </c>
      <c r="E102" s="4" t="s">
        <v>31</v>
      </c>
      <c r="F102" s="4" t="s">
        <v>32</v>
      </c>
      <c r="G102" s="8" t="s">
        <v>33</v>
      </c>
      <c r="H102" s="3" t="s">
        <v>20</v>
      </c>
      <c r="I102" s="3" t="s">
        <v>339</v>
      </c>
      <c r="J102" s="6">
        <v>86000</v>
      </c>
      <c r="K102" s="6">
        <v>10000</v>
      </c>
      <c r="L102" s="6">
        <f t="shared" si="58"/>
        <v>96000</v>
      </c>
      <c r="M102" s="6"/>
      <c r="N102" s="6"/>
      <c r="O102" s="6">
        <f t="shared" ref="O102:O107" si="61">L102+(L102*15%)</f>
        <v>110400</v>
      </c>
      <c r="P102" s="3" t="s">
        <v>340</v>
      </c>
    </row>
    <row r="103" spans="1:16" ht="19.5" hidden="1" customHeight="1">
      <c r="A103" s="3">
        <f>SUBTOTAL(103,$B$2:B103)-1</f>
        <v>2</v>
      </c>
      <c r="B103" s="20" t="s">
        <v>341</v>
      </c>
      <c r="C103" s="3" t="s">
        <v>63</v>
      </c>
      <c r="D103" s="4">
        <v>45894</v>
      </c>
      <c r="E103" s="4" t="s">
        <v>342</v>
      </c>
      <c r="F103" s="4" t="s">
        <v>343</v>
      </c>
      <c r="G103" s="8" t="s">
        <v>64</v>
      </c>
      <c r="H103" s="3" t="s">
        <v>20</v>
      </c>
      <c r="I103" s="3"/>
      <c r="J103" s="6">
        <v>11500</v>
      </c>
      <c r="K103" s="6"/>
      <c r="L103" s="6">
        <f t="shared" si="58"/>
        <v>11500</v>
      </c>
      <c r="M103" s="6"/>
      <c r="N103" s="6"/>
      <c r="O103" s="6">
        <f t="shared" si="61"/>
        <v>13225</v>
      </c>
      <c r="P103" s="3" t="s">
        <v>346</v>
      </c>
    </row>
    <row r="104" spans="1:16" ht="19.5" hidden="1" customHeight="1">
      <c r="A104" s="3">
        <f>SUBTOTAL(103,$B$2:B104)-1</f>
        <v>2</v>
      </c>
      <c r="B104" s="20" t="s">
        <v>344</v>
      </c>
      <c r="C104" s="3" t="s">
        <v>66</v>
      </c>
      <c r="D104" s="4">
        <v>45894</v>
      </c>
      <c r="E104" s="4" t="s">
        <v>650</v>
      </c>
      <c r="F104" s="4" t="s">
        <v>67</v>
      </c>
      <c r="G104" s="8" t="s">
        <v>337</v>
      </c>
      <c r="H104" s="3" t="s">
        <v>20</v>
      </c>
      <c r="I104" s="3" t="s">
        <v>345</v>
      </c>
      <c r="J104" s="6">
        <v>65</v>
      </c>
      <c r="K104" s="6"/>
      <c r="L104" s="6">
        <f t="shared" si="58"/>
        <v>65</v>
      </c>
      <c r="M104" s="6"/>
      <c r="N104" s="6"/>
      <c r="O104" s="6">
        <f t="shared" si="61"/>
        <v>74.75</v>
      </c>
      <c r="P104" s="3" t="s">
        <v>347</v>
      </c>
    </row>
    <row r="105" spans="1:16" ht="19.5" hidden="1" customHeight="1">
      <c r="A105" s="3">
        <f>SUBTOTAL(103,$B$2:B105)-1</f>
        <v>2</v>
      </c>
      <c r="B105" s="20" t="s">
        <v>348</v>
      </c>
      <c r="C105" s="3" t="s">
        <v>185</v>
      </c>
      <c r="D105" s="4">
        <v>45894</v>
      </c>
      <c r="E105" s="4" t="s">
        <v>93</v>
      </c>
      <c r="F105" s="4" t="s">
        <v>90</v>
      </c>
      <c r="G105" s="8" t="s">
        <v>72</v>
      </c>
      <c r="H105" s="3"/>
      <c r="I105" s="3"/>
      <c r="J105" s="6">
        <v>34983</v>
      </c>
      <c r="K105" s="6"/>
      <c r="L105" s="6">
        <f t="shared" si="58"/>
        <v>34983</v>
      </c>
      <c r="M105" s="6"/>
      <c r="N105" s="6"/>
      <c r="O105" s="6">
        <f t="shared" si="61"/>
        <v>40230.449999999997</v>
      </c>
      <c r="P105" s="3" t="s">
        <v>353</v>
      </c>
    </row>
    <row r="106" spans="1:16" ht="19.5" hidden="1" customHeight="1">
      <c r="A106" s="3">
        <f>SUBTOTAL(103,$B$2:B106)-1</f>
        <v>2</v>
      </c>
      <c r="B106" s="20" t="s">
        <v>349</v>
      </c>
      <c r="C106" s="3" t="s">
        <v>185</v>
      </c>
      <c r="D106" s="4">
        <v>45894</v>
      </c>
      <c r="E106" s="4" t="s">
        <v>163</v>
      </c>
      <c r="F106" s="4" t="s">
        <v>164</v>
      </c>
      <c r="G106" s="8" t="s">
        <v>299</v>
      </c>
      <c r="H106" s="3"/>
      <c r="I106" s="3"/>
      <c r="J106" s="6">
        <v>14842</v>
      </c>
      <c r="K106" s="6"/>
      <c r="L106" s="6">
        <f t="shared" si="58"/>
        <v>14842</v>
      </c>
      <c r="M106" s="6"/>
      <c r="N106" s="6"/>
      <c r="O106" s="6">
        <f t="shared" si="61"/>
        <v>17068.3</v>
      </c>
      <c r="P106" s="3" t="s">
        <v>353</v>
      </c>
    </row>
    <row r="107" spans="1:16" ht="19.5" hidden="1" customHeight="1">
      <c r="A107" s="3">
        <f>SUBTOTAL(103,$B$2:B107)-1</f>
        <v>2</v>
      </c>
      <c r="B107" s="20" t="s">
        <v>350</v>
      </c>
      <c r="C107" s="3" t="s">
        <v>40</v>
      </c>
      <c r="D107" s="4">
        <v>45894</v>
      </c>
      <c r="E107" s="4" t="s">
        <v>246</v>
      </c>
      <c r="F107" s="4" t="s">
        <v>247</v>
      </c>
      <c r="G107" s="8" t="s">
        <v>281</v>
      </c>
      <c r="H107" s="3"/>
      <c r="I107" s="3" t="s">
        <v>282</v>
      </c>
      <c r="J107" s="6">
        <v>140</v>
      </c>
      <c r="K107" s="6"/>
      <c r="L107" s="6">
        <f t="shared" si="58"/>
        <v>140</v>
      </c>
      <c r="M107" s="6"/>
      <c r="N107" s="6"/>
      <c r="O107" s="6">
        <f t="shared" si="61"/>
        <v>161</v>
      </c>
      <c r="P107" s="3" t="s">
        <v>353</v>
      </c>
    </row>
    <row r="108" spans="1:16" ht="19.5" hidden="1" customHeight="1">
      <c r="A108" s="3">
        <f>SUBTOTAL(103,$B$2:B108)-1</f>
        <v>2</v>
      </c>
      <c r="B108" s="20" t="s">
        <v>351</v>
      </c>
      <c r="C108" s="3" t="s">
        <v>63</v>
      </c>
      <c r="D108" s="4">
        <v>45894</v>
      </c>
      <c r="E108" s="4" t="s">
        <v>105</v>
      </c>
      <c r="F108" s="4" t="s">
        <v>106</v>
      </c>
      <c r="G108" s="8" t="s">
        <v>330</v>
      </c>
      <c r="H108" s="3" t="s">
        <v>20</v>
      </c>
      <c r="I108" s="3" t="s">
        <v>352</v>
      </c>
      <c r="J108" s="12">
        <v>11500</v>
      </c>
      <c r="K108" s="12"/>
      <c r="L108" s="12">
        <f t="shared" si="58"/>
        <v>11500</v>
      </c>
      <c r="M108" s="12"/>
      <c r="N108" s="12"/>
      <c r="O108" s="12">
        <f t="shared" ref="O108:O109" si="62">L108+(L108*15%)+M108</f>
        <v>13225</v>
      </c>
      <c r="P108" s="3" t="s">
        <v>378</v>
      </c>
    </row>
    <row r="109" spans="1:16" ht="19.5" hidden="1" customHeight="1">
      <c r="A109" s="3">
        <f>SUBTOTAL(103,$B$2:B109)-1</f>
        <v>2</v>
      </c>
      <c r="B109" s="20" t="s">
        <v>354</v>
      </c>
      <c r="C109" s="3" t="s">
        <v>49</v>
      </c>
      <c r="D109" s="4">
        <v>45894</v>
      </c>
      <c r="E109" s="4" t="s">
        <v>355</v>
      </c>
      <c r="F109" s="4" t="s">
        <v>356</v>
      </c>
      <c r="G109" s="8" t="s">
        <v>52</v>
      </c>
      <c r="H109" s="3" t="s">
        <v>20</v>
      </c>
      <c r="I109" s="3" t="s">
        <v>357</v>
      </c>
      <c r="J109" s="12">
        <v>5000</v>
      </c>
      <c r="K109" s="12"/>
      <c r="L109" s="12">
        <f t="shared" si="58"/>
        <v>5000</v>
      </c>
      <c r="M109" s="12"/>
      <c r="N109" s="12"/>
      <c r="O109" s="12">
        <f t="shared" si="62"/>
        <v>5750</v>
      </c>
      <c r="P109" s="3" t="s">
        <v>378</v>
      </c>
    </row>
    <row r="110" spans="1:16" ht="19.5" hidden="1" customHeight="1">
      <c r="A110" s="3">
        <f>SUBTOTAL(103,$B$2:B110)-1</f>
        <v>2</v>
      </c>
      <c r="B110" s="20" t="s">
        <v>358</v>
      </c>
      <c r="C110" s="3" t="s">
        <v>35</v>
      </c>
      <c r="D110" s="4">
        <v>45894</v>
      </c>
      <c r="E110" s="4" t="s">
        <v>24</v>
      </c>
      <c r="F110" s="4" t="s">
        <v>25</v>
      </c>
      <c r="G110" s="8" t="s">
        <v>47</v>
      </c>
      <c r="H110" s="3" t="s">
        <v>20</v>
      </c>
      <c r="I110" s="3" t="s">
        <v>359</v>
      </c>
      <c r="J110" s="6">
        <v>19000</v>
      </c>
      <c r="K110" s="6">
        <v>4000</v>
      </c>
      <c r="L110" s="6">
        <f t="shared" si="58"/>
        <v>23000</v>
      </c>
      <c r="M110" s="6"/>
      <c r="N110" s="6"/>
      <c r="O110" s="6">
        <f t="shared" ref="O110:O112" si="63">L110+(L110*15%)</f>
        <v>26450</v>
      </c>
      <c r="P110" s="3" t="s">
        <v>378</v>
      </c>
    </row>
    <row r="111" spans="1:16" ht="19.5" hidden="1" customHeight="1">
      <c r="A111" s="3">
        <f>SUBTOTAL(103,$B$2:B111)-1</f>
        <v>2</v>
      </c>
      <c r="B111" s="20" t="s">
        <v>360</v>
      </c>
      <c r="C111" s="3" t="s">
        <v>35</v>
      </c>
      <c r="D111" s="4">
        <v>45894</v>
      </c>
      <c r="E111" s="4" t="s">
        <v>24</v>
      </c>
      <c r="F111" s="4" t="s">
        <v>25</v>
      </c>
      <c r="G111" s="8" t="s">
        <v>33</v>
      </c>
      <c r="H111" s="3" t="s">
        <v>20</v>
      </c>
      <c r="I111" s="3" t="s">
        <v>361</v>
      </c>
      <c r="J111" s="6">
        <v>57000</v>
      </c>
      <c r="K111" s="6">
        <v>8000</v>
      </c>
      <c r="L111" s="6">
        <f t="shared" si="58"/>
        <v>65000</v>
      </c>
      <c r="M111" s="6"/>
      <c r="N111" s="6"/>
      <c r="O111" s="6">
        <f t="shared" si="63"/>
        <v>74750</v>
      </c>
      <c r="P111" s="3" t="s">
        <v>378</v>
      </c>
    </row>
    <row r="112" spans="1:16" ht="19.5" hidden="1" customHeight="1">
      <c r="A112" s="3">
        <f>SUBTOTAL(103,$B$2:B112)-1</f>
        <v>2</v>
      </c>
      <c r="B112" s="20" t="s">
        <v>362</v>
      </c>
      <c r="C112" s="3" t="s">
        <v>35</v>
      </c>
      <c r="D112" s="4">
        <v>45894</v>
      </c>
      <c r="E112" s="4" t="s">
        <v>213</v>
      </c>
      <c r="F112" s="4" t="s">
        <v>214</v>
      </c>
      <c r="G112" s="8" t="s">
        <v>42</v>
      </c>
      <c r="H112" s="3" t="s">
        <v>20</v>
      </c>
      <c r="I112" s="3" t="s">
        <v>363</v>
      </c>
      <c r="J112" s="6">
        <v>18000</v>
      </c>
      <c r="K112" s="6">
        <v>4000</v>
      </c>
      <c r="L112" s="6">
        <f t="shared" si="58"/>
        <v>22000</v>
      </c>
      <c r="M112" s="6"/>
      <c r="N112" s="6"/>
      <c r="O112" s="6">
        <f t="shared" si="63"/>
        <v>25300</v>
      </c>
      <c r="P112" s="3" t="s">
        <v>384</v>
      </c>
    </row>
    <row r="113" spans="1:16" ht="19.5" hidden="1" customHeight="1">
      <c r="A113" s="3">
        <f>SUBTOTAL(103,$B$2:B113)-1</f>
        <v>2</v>
      </c>
      <c r="B113" s="20" t="s">
        <v>364</v>
      </c>
      <c r="C113" s="3" t="s">
        <v>66</v>
      </c>
      <c r="D113" s="4">
        <v>45894</v>
      </c>
      <c r="E113" s="4" t="s">
        <v>367</v>
      </c>
      <c r="F113" s="4" t="s">
        <v>368</v>
      </c>
      <c r="G113" s="8" t="s">
        <v>365</v>
      </c>
      <c r="H113" s="3" t="s">
        <v>20</v>
      </c>
      <c r="I113" s="3" t="s">
        <v>366</v>
      </c>
      <c r="J113" s="6">
        <v>117</v>
      </c>
      <c r="K113" s="6"/>
      <c r="L113" s="6">
        <f t="shared" ref="L113" si="64">SUM(J113:K113)</f>
        <v>117</v>
      </c>
      <c r="M113" s="6"/>
      <c r="N113" s="6"/>
      <c r="O113" s="6">
        <f t="shared" ref="O113" si="65">L113+(L113*15%)</f>
        <v>134.55000000000001</v>
      </c>
      <c r="P113" s="3" t="s">
        <v>378</v>
      </c>
    </row>
    <row r="114" spans="1:16" ht="19.5" hidden="1" customHeight="1">
      <c r="A114" s="3">
        <f>SUBTOTAL(103,$B$2:B114)-1</f>
        <v>2</v>
      </c>
      <c r="B114" s="20" t="s">
        <v>369</v>
      </c>
      <c r="C114" s="3" t="s">
        <v>49</v>
      </c>
      <c r="D114" s="4">
        <v>45894</v>
      </c>
      <c r="E114" s="4" t="s">
        <v>370</v>
      </c>
      <c r="F114" s="4" t="s">
        <v>371</v>
      </c>
      <c r="G114" s="8" t="s">
        <v>52</v>
      </c>
      <c r="H114" s="3" t="s">
        <v>20</v>
      </c>
      <c r="I114" s="3" t="s">
        <v>372</v>
      </c>
      <c r="J114" s="12">
        <v>7500</v>
      </c>
      <c r="K114" s="12"/>
      <c r="L114" s="12">
        <f t="shared" ref="L114:L121" si="66">SUM(J114:K114)</f>
        <v>7500</v>
      </c>
      <c r="M114" s="12"/>
      <c r="N114" s="12"/>
      <c r="O114" s="12">
        <f t="shared" ref="O114:O115" si="67">L114+(L114*15%)</f>
        <v>8625</v>
      </c>
      <c r="P114" s="3" t="s">
        <v>411</v>
      </c>
    </row>
    <row r="115" spans="1:16" ht="19.5" hidden="1" customHeight="1">
      <c r="A115" s="3">
        <f>SUBTOTAL(103,$B$2:B115)-1</f>
        <v>2</v>
      </c>
      <c r="B115" s="20" t="s">
        <v>373</v>
      </c>
      <c r="C115" s="3" t="s">
        <v>40</v>
      </c>
      <c r="D115" s="4">
        <v>45894</v>
      </c>
      <c r="E115" s="4" t="s">
        <v>374</v>
      </c>
      <c r="F115" s="4" t="s">
        <v>375</v>
      </c>
      <c r="G115" s="8" t="s">
        <v>376</v>
      </c>
      <c r="H115" s="3"/>
      <c r="I115" s="3" t="s">
        <v>377</v>
      </c>
      <c r="J115" s="6">
        <v>13590</v>
      </c>
      <c r="K115" s="6"/>
      <c r="L115" s="6">
        <f t="shared" si="66"/>
        <v>13590</v>
      </c>
      <c r="M115" s="6"/>
      <c r="N115" s="6"/>
      <c r="O115" s="6">
        <f t="shared" si="67"/>
        <v>15628.5</v>
      </c>
      <c r="P115" s="3" t="s">
        <v>384</v>
      </c>
    </row>
    <row r="116" spans="1:16" ht="19.5" hidden="1" customHeight="1">
      <c r="A116" s="3">
        <f>SUBTOTAL(103,$B$2:B116)-1</f>
        <v>2</v>
      </c>
      <c r="B116" s="20" t="s">
        <v>379</v>
      </c>
      <c r="C116" s="3" t="s">
        <v>66</v>
      </c>
      <c r="D116" s="4">
        <v>45894</v>
      </c>
      <c r="E116" s="4" t="s">
        <v>99</v>
      </c>
      <c r="F116" s="4" t="s">
        <v>100</v>
      </c>
      <c r="G116" s="8" t="s">
        <v>257</v>
      </c>
      <c r="H116" s="3" t="s">
        <v>20</v>
      </c>
      <c r="I116" s="3" t="s">
        <v>380</v>
      </c>
      <c r="J116" s="6">
        <v>65</v>
      </c>
      <c r="K116" s="6"/>
      <c r="L116" s="6">
        <f t="shared" si="66"/>
        <v>65</v>
      </c>
      <c r="M116" s="6"/>
      <c r="N116" s="6"/>
      <c r="O116" s="6">
        <f t="shared" ref="O116:O119" si="68">L116+(L116*15%)+M116</f>
        <v>74.75</v>
      </c>
      <c r="P116" s="3" t="s">
        <v>384</v>
      </c>
    </row>
    <row r="117" spans="1:16" ht="19.5" hidden="1" customHeight="1">
      <c r="A117" s="3">
        <f>SUBTOTAL(103,$B$2:B117)-1</f>
        <v>2</v>
      </c>
      <c r="B117" s="20" t="s">
        <v>381</v>
      </c>
      <c r="C117" s="3" t="s">
        <v>66</v>
      </c>
      <c r="D117" s="4">
        <v>45894</v>
      </c>
      <c r="E117" s="4" t="s">
        <v>382</v>
      </c>
      <c r="F117" s="4" t="s">
        <v>297</v>
      </c>
      <c r="G117" s="8" t="s">
        <v>279</v>
      </c>
      <c r="H117" s="3" t="s">
        <v>20</v>
      </c>
      <c r="I117" s="3"/>
      <c r="J117" s="6">
        <v>30</v>
      </c>
      <c r="K117" s="6"/>
      <c r="L117" s="6">
        <f t="shared" si="66"/>
        <v>30</v>
      </c>
      <c r="M117" s="6"/>
      <c r="N117" s="6"/>
      <c r="O117" s="6">
        <f t="shared" si="68"/>
        <v>34.5</v>
      </c>
      <c r="P117" s="3" t="s">
        <v>384</v>
      </c>
    </row>
    <row r="118" spans="1:16" ht="19.5" hidden="1" customHeight="1">
      <c r="A118" s="3">
        <f>SUBTOTAL(103,$B$2:B118)-1</f>
        <v>2</v>
      </c>
      <c r="B118" s="20" t="s">
        <v>383</v>
      </c>
      <c r="C118" s="3" t="s">
        <v>185</v>
      </c>
      <c r="D118" s="4">
        <v>45894</v>
      </c>
      <c r="E118" s="4" t="s">
        <v>163</v>
      </c>
      <c r="F118" s="4" t="s">
        <v>164</v>
      </c>
      <c r="G118" s="8" t="s">
        <v>299</v>
      </c>
      <c r="H118" s="3"/>
      <c r="I118" s="3"/>
      <c r="J118" s="6">
        <v>25115.5</v>
      </c>
      <c r="K118" s="6"/>
      <c r="L118" s="6">
        <f t="shared" si="66"/>
        <v>25115.5</v>
      </c>
      <c r="M118" s="6"/>
      <c r="N118" s="6"/>
      <c r="O118" s="6">
        <f t="shared" si="68"/>
        <v>28882.825000000001</v>
      </c>
      <c r="P118" s="3" t="s">
        <v>397</v>
      </c>
    </row>
    <row r="119" spans="1:16" ht="19.5" hidden="1" customHeight="1">
      <c r="A119" s="3">
        <f>SUBTOTAL(103,$B$2:B119)-1</f>
        <v>2</v>
      </c>
      <c r="B119" s="20" t="s">
        <v>385</v>
      </c>
      <c r="C119" s="3" t="s">
        <v>35</v>
      </c>
      <c r="D119" s="4">
        <v>45894</v>
      </c>
      <c r="E119" s="4" t="s">
        <v>399</v>
      </c>
      <c r="F119" s="4" t="s">
        <v>18</v>
      </c>
      <c r="G119" s="8" t="s">
        <v>134</v>
      </c>
      <c r="H119" s="3" t="s">
        <v>20</v>
      </c>
      <c r="I119" s="3" t="s">
        <v>386</v>
      </c>
      <c r="J119" s="6">
        <v>8200</v>
      </c>
      <c r="K119" s="6">
        <v>2000</v>
      </c>
      <c r="L119" s="6">
        <f t="shared" si="66"/>
        <v>10200</v>
      </c>
      <c r="M119" s="6"/>
      <c r="N119" s="6"/>
      <c r="O119" s="6">
        <f t="shared" si="68"/>
        <v>11730</v>
      </c>
      <c r="P119" s="3" t="s">
        <v>398</v>
      </c>
    </row>
    <row r="120" spans="1:16" ht="19.5" hidden="1" customHeight="1">
      <c r="A120" s="3">
        <f>SUBTOTAL(103,$B$2:B120)-1</f>
        <v>2</v>
      </c>
      <c r="B120" s="20" t="s">
        <v>387</v>
      </c>
      <c r="C120" s="3" t="s">
        <v>35</v>
      </c>
      <c r="D120" s="4">
        <v>45901</v>
      </c>
      <c r="E120" s="4" t="s">
        <v>31</v>
      </c>
      <c r="F120" s="4" t="s">
        <v>32</v>
      </c>
      <c r="G120" s="8" t="s">
        <v>33</v>
      </c>
      <c r="H120" s="3" t="s">
        <v>20</v>
      </c>
      <c r="I120" s="3" t="s">
        <v>339</v>
      </c>
      <c r="J120" s="6">
        <v>95000</v>
      </c>
      <c r="K120" s="6">
        <v>5000</v>
      </c>
      <c r="L120" s="6">
        <f t="shared" si="66"/>
        <v>100000</v>
      </c>
      <c r="M120" s="6"/>
      <c r="N120" s="6"/>
      <c r="O120" s="6">
        <f t="shared" ref="O120:O121" si="69">L120+(L120*15%)</f>
        <v>115000</v>
      </c>
      <c r="P120" s="3" t="s">
        <v>398</v>
      </c>
    </row>
    <row r="121" spans="1:16" ht="19.5" hidden="1" customHeight="1">
      <c r="A121" s="3">
        <f>SUBTOTAL(103,$B$2:B121)-1</f>
        <v>2</v>
      </c>
      <c r="B121" s="20" t="s">
        <v>388</v>
      </c>
      <c r="C121" s="3" t="s">
        <v>35</v>
      </c>
      <c r="D121" s="4">
        <v>45901</v>
      </c>
      <c r="E121" s="4" t="s">
        <v>24</v>
      </c>
      <c r="F121" s="4" t="s">
        <v>25</v>
      </c>
      <c r="G121" s="8" t="s">
        <v>33</v>
      </c>
      <c r="H121" s="3" t="s">
        <v>20</v>
      </c>
      <c r="I121" s="3" t="s">
        <v>405</v>
      </c>
      <c r="J121" s="6">
        <v>80000</v>
      </c>
      <c r="K121" s="6">
        <v>8000</v>
      </c>
      <c r="L121" s="6">
        <f t="shared" si="66"/>
        <v>88000</v>
      </c>
      <c r="M121" s="6"/>
      <c r="N121" s="6"/>
      <c r="O121" s="6">
        <f t="shared" si="69"/>
        <v>101200</v>
      </c>
      <c r="P121" s="3" t="s">
        <v>415</v>
      </c>
    </row>
    <row r="122" spans="1:16" ht="19.5" hidden="1" customHeight="1">
      <c r="A122" s="3">
        <f>SUBTOTAL(103,$B$2:B122)-1</f>
        <v>2</v>
      </c>
      <c r="B122" s="20" t="s">
        <v>389</v>
      </c>
      <c r="C122" s="3" t="s">
        <v>35</v>
      </c>
      <c r="D122" s="4">
        <v>45901</v>
      </c>
      <c r="E122" s="4" t="s">
        <v>45</v>
      </c>
      <c r="F122" s="4" t="s">
        <v>46</v>
      </c>
      <c r="G122" s="8" t="s">
        <v>47</v>
      </c>
      <c r="H122" s="3" t="s">
        <v>20</v>
      </c>
      <c r="I122" s="3" t="s">
        <v>390</v>
      </c>
      <c r="J122" s="6">
        <v>20000</v>
      </c>
      <c r="K122" s="6">
        <v>2500</v>
      </c>
      <c r="L122" s="6">
        <f t="shared" ref="L122:L123" si="70">SUM(J122:K122)</f>
        <v>22500</v>
      </c>
      <c r="M122" s="6"/>
      <c r="N122" s="6"/>
      <c r="O122" s="6">
        <f t="shared" ref="O122:O123" si="71">L122+(L122*15%)+M122</f>
        <v>25875</v>
      </c>
      <c r="P122" s="3" t="s">
        <v>398</v>
      </c>
    </row>
    <row r="123" spans="1:16" ht="19.5" hidden="1" customHeight="1">
      <c r="A123" s="3">
        <f>SUBTOTAL(103,$B$2:B123)-1</f>
        <v>2</v>
      </c>
      <c r="B123" s="20" t="s">
        <v>391</v>
      </c>
      <c r="C123" s="3" t="s">
        <v>35</v>
      </c>
      <c r="D123" s="4">
        <v>45901</v>
      </c>
      <c r="E123" s="4" t="s">
        <v>133</v>
      </c>
      <c r="F123" s="4" t="s">
        <v>95</v>
      </c>
      <c r="G123" s="8" t="s">
        <v>134</v>
      </c>
      <c r="H123" s="3" t="s">
        <v>20</v>
      </c>
      <c r="I123" s="3" t="s">
        <v>392</v>
      </c>
      <c r="J123" s="6">
        <v>8000</v>
      </c>
      <c r="K123" s="6">
        <v>1900</v>
      </c>
      <c r="L123" s="6">
        <f t="shared" si="70"/>
        <v>9900</v>
      </c>
      <c r="M123" s="6"/>
      <c r="N123" s="6"/>
      <c r="O123" s="6">
        <f t="shared" si="71"/>
        <v>11385</v>
      </c>
      <c r="P123" s="3" t="s">
        <v>404</v>
      </c>
    </row>
    <row r="124" spans="1:16" ht="19.5" hidden="1" customHeight="1">
      <c r="A124" s="3">
        <f>SUBTOTAL(103,$B$2:B124)-1</f>
        <v>2</v>
      </c>
      <c r="B124" s="20" t="s">
        <v>393</v>
      </c>
      <c r="C124" s="3" t="s">
        <v>35</v>
      </c>
      <c r="D124" s="4">
        <v>45901</v>
      </c>
      <c r="E124" s="4" t="s">
        <v>394</v>
      </c>
      <c r="F124" s="4" t="s">
        <v>395</v>
      </c>
      <c r="G124" s="8" t="s">
        <v>47</v>
      </c>
      <c r="H124" s="3" t="s">
        <v>20</v>
      </c>
      <c r="I124" s="3" t="s">
        <v>396</v>
      </c>
      <c r="J124" s="6">
        <v>32500</v>
      </c>
      <c r="K124" s="6">
        <v>4000</v>
      </c>
      <c r="L124" s="6">
        <f t="shared" ref="L124:L129" si="72">SUM(J124:K124)</f>
        <v>36500</v>
      </c>
      <c r="M124" s="6"/>
      <c r="N124" s="6"/>
      <c r="O124" s="6">
        <f t="shared" ref="O124:O125" si="73">L124+(L124*15%)+M124</f>
        <v>41975</v>
      </c>
      <c r="P124" s="3" t="s">
        <v>404</v>
      </c>
    </row>
    <row r="125" spans="1:16" ht="19.5" hidden="1" customHeight="1">
      <c r="A125" s="3">
        <f>SUBTOTAL(103,$B$2:B125)-1</f>
        <v>2</v>
      </c>
      <c r="B125" s="20" t="s">
        <v>400</v>
      </c>
      <c r="C125" s="3" t="s">
        <v>119</v>
      </c>
      <c r="D125" s="4">
        <v>45901</v>
      </c>
      <c r="E125" s="4" t="s">
        <v>120</v>
      </c>
      <c r="F125" s="4" t="s">
        <v>121</v>
      </c>
      <c r="G125" s="8" t="s">
        <v>401</v>
      </c>
      <c r="H125" s="3" t="s">
        <v>402</v>
      </c>
      <c r="I125" s="3" t="s">
        <v>403</v>
      </c>
      <c r="J125" s="6">
        <v>38000</v>
      </c>
      <c r="K125" s="6">
        <v>2200</v>
      </c>
      <c r="L125" s="6">
        <f t="shared" si="72"/>
        <v>40200</v>
      </c>
      <c r="M125" s="6"/>
      <c r="N125" s="6"/>
      <c r="O125" s="6">
        <f t="shared" si="73"/>
        <v>46230</v>
      </c>
      <c r="P125" s="3" t="s">
        <v>411</v>
      </c>
    </row>
    <row r="126" spans="1:16" ht="19.5" hidden="1" customHeight="1">
      <c r="A126" s="3">
        <f>SUBTOTAL(103,$B$2:B126)-1</f>
        <v>2</v>
      </c>
      <c r="B126" s="20" t="s">
        <v>406</v>
      </c>
      <c r="C126" s="3" t="s">
        <v>167</v>
      </c>
      <c r="D126" s="4">
        <v>45901</v>
      </c>
      <c r="E126" s="4" t="s">
        <v>407</v>
      </c>
      <c r="F126" s="4" t="s">
        <v>408</v>
      </c>
      <c r="G126" s="8" t="s">
        <v>409</v>
      </c>
      <c r="H126" s="3" t="s">
        <v>20</v>
      </c>
      <c r="I126" s="3" t="s">
        <v>410</v>
      </c>
      <c r="J126" s="6">
        <v>1200</v>
      </c>
      <c r="K126" s="6"/>
      <c r="L126" s="6">
        <f t="shared" si="72"/>
        <v>1200</v>
      </c>
      <c r="M126" s="6"/>
      <c r="N126" s="6"/>
      <c r="O126" s="6">
        <f t="shared" ref="O126:O127" si="74">L126+(L126*15%)</f>
        <v>1380</v>
      </c>
      <c r="P126" s="3" t="s">
        <v>415</v>
      </c>
    </row>
    <row r="127" spans="1:16" ht="19.5" hidden="1" customHeight="1">
      <c r="A127" s="3">
        <f>SUBTOTAL(103,$B$2:B127)-1</f>
        <v>2</v>
      </c>
      <c r="B127" s="20" t="s">
        <v>412</v>
      </c>
      <c r="C127" s="3" t="s">
        <v>185</v>
      </c>
      <c r="D127" s="4">
        <v>45901</v>
      </c>
      <c r="E127" s="4" t="s">
        <v>93</v>
      </c>
      <c r="F127" s="4" t="s">
        <v>90</v>
      </c>
      <c r="G127" s="8" t="s">
        <v>72</v>
      </c>
      <c r="H127" s="3"/>
      <c r="I127" s="3"/>
      <c r="J127" s="6">
        <v>28084.2</v>
      </c>
      <c r="K127" s="6"/>
      <c r="L127" s="6">
        <f t="shared" si="72"/>
        <v>28084.2</v>
      </c>
      <c r="M127" s="6"/>
      <c r="N127" s="6"/>
      <c r="O127" s="6">
        <f t="shared" si="74"/>
        <v>32296.83</v>
      </c>
      <c r="P127" s="3" t="s">
        <v>415</v>
      </c>
    </row>
    <row r="128" spans="1:16" ht="19.5" hidden="1" customHeight="1">
      <c r="A128" s="3">
        <f>SUBTOTAL(103,$B$2:B128)-1</f>
        <v>2</v>
      </c>
      <c r="B128" s="20" t="s">
        <v>413</v>
      </c>
      <c r="C128" s="3" t="s">
        <v>185</v>
      </c>
      <c r="D128" s="4">
        <v>45901</v>
      </c>
      <c r="E128" s="4" t="s">
        <v>163</v>
      </c>
      <c r="F128" s="4" t="s">
        <v>164</v>
      </c>
      <c r="G128" s="8" t="s">
        <v>299</v>
      </c>
      <c r="H128" s="3"/>
      <c r="I128" s="3"/>
      <c r="J128" s="6">
        <v>27537</v>
      </c>
      <c r="K128" s="6"/>
      <c r="L128" s="6">
        <f t="shared" si="72"/>
        <v>27537</v>
      </c>
      <c r="M128" s="6"/>
      <c r="N128" s="6"/>
      <c r="O128" s="6">
        <f t="shared" ref="O128:O129" si="75">L128+(L128*15%)+M128</f>
        <v>31667.55</v>
      </c>
      <c r="P128" s="3" t="s">
        <v>415</v>
      </c>
    </row>
    <row r="129" spans="1:16" ht="19.5" hidden="1" customHeight="1">
      <c r="A129" s="3">
        <f>SUBTOTAL(103,$B$2:B129)-1</f>
        <v>2</v>
      </c>
      <c r="B129" s="20" t="s">
        <v>414</v>
      </c>
      <c r="C129" s="3" t="s">
        <v>66</v>
      </c>
      <c r="D129" s="4">
        <v>45901</v>
      </c>
      <c r="E129" s="4" t="s">
        <v>93</v>
      </c>
      <c r="F129" s="4" t="s">
        <v>90</v>
      </c>
      <c r="G129" s="8" t="s">
        <v>257</v>
      </c>
      <c r="H129" s="3" t="s">
        <v>20</v>
      </c>
      <c r="I129" s="3" t="s">
        <v>380</v>
      </c>
      <c r="J129" s="6">
        <v>65</v>
      </c>
      <c r="K129" s="6"/>
      <c r="L129" s="6">
        <f t="shared" si="72"/>
        <v>65</v>
      </c>
      <c r="M129" s="6"/>
      <c r="N129" s="6"/>
      <c r="O129" s="6">
        <f t="shared" si="75"/>
        <v>74.75</v>
      </c>
      <c r="P129" s="3" t="s">
        <v>415</v>
      </c>
    </row>
    <row r="130" spans="1:16" ht="19.5" hidden="1" customHeight="1">
      <c r="A130" s="3">
        <f>SUBTOTAL(103,$B$2:B130)-1</f>
        <v>2</v>
      </c>
      <c r="B130" s="20" t="s">
        <v>416</v>
      </c>
      <c r="C130" s="3" t="s">
        <v>167</v>
      </c>
      <c r="D130" s="4">
        <v>45901</v>
      </c>
      <c r="E130" s="4" t="s">
        <v>417</v>
      </c>
      <c r="F130" s="4" t="s">
        <v>418</v>
      </c>
      <c r="G130" s="8" t="s">
        <v>419</v>
      </c>
      <c r="H130" s="3" t="s">
        <v>20</v>
      </c>
      <c r="I130" s="3"/>
      <c r="J130" s="6">
        <v>1500</v>
      </c>
      <c r="K130" s="6"/>
      <c r="L130" s="6">
        <f t="shared" ref="L130:L133" si="76">SUM(J130:K130)</f>
        <v>1500</v>
      </c>
      <c r="M130" s="6"/>
      <c r="N130" s="6"/>
      <c r="O130" s="6">
        <f t="shared" ref="O130:O133" si="77">L130+(L130*15%)</f>
        <v>1725</v>
      </c>
      <c r="P130" s="3" t="s">
        <v>426</v>
      </c>
    </row>
    <row r="131" spans="1:16" ht="19.5" hidden="1" customHeight="1">
      <c r="A131" s="3">
        <f>SUBTOTAL(103,$B$2:B131)-1</f>
        <v>2</v>
      </c>
      <c r="B131" s="20" t="s">
        <v>420</v>
      </c>
      <c r="C131" s="3" t="s">
        <v>40</v>
      </c>
      <c r="D131" s="4">
        <v>45901</v>
      </c>
      <c r="E131" s="4" t="s">
        <v>246</v>
      </c>
      <c r="F131" s="4" t="s">
        <v>247</v>
      </c>
      <c r="G131" s="8" t="s">
        <v>421</v>
      </c>
      <c r="H131" s="3"/>
      <c r="I131" s="3"/>
      <c r="J131" s="6">
        <v>685</v>
      </c>
      <c r="K131" s="6"/>
      <c r="L131" s="6">
        <f t="shared" si="76"/>
        <v>685</v>
      </c>
      <c r="M131" s="6"/>
      <c r="N131" s="6"/>
      <c r="O131" s="6">
        <f t="shared" si="77"/>
        <v>787.75</v>
      </c>
      <c r="P131" s="3" t="s">
        <v>426</v>
      </c>
    </row>
    <row r="132" spans="1:16" ht="19.5" hidden="1" customHeight="1">
      <c r="A132" s="3">
        <f>SUBTOTAL(103,$B$2:B132)-1</f>
        <v>2</v>
      </c>
      <c r="B132" s="20" t="s">
        <v>422</v>
      </c>
      <c r="C132" s="3" t="s">
        <v>49</v>
      </c>
      <c r="D132" s="4">
        <v>45901</v>
      </c>
      <c r="E132" s="4" t="s">
        <v>423</v>
      </c>
      <c r="F132" s="4" t="s">
        <v>114</v>
      </c>
      <c r="G132" s="8" t="s">
        <v>52</v>
      </c>
      <c r="H132" s="3" t="s">
        <v>20</v>
      </c>
      <c r="I132" s="3" t="s">
        <v>424</v>
      </c>
      <c r="J132" s="12">
        <v>5000</v>
      </c>
      <c r="K132" s="12"/>
      <c r="L132" s="12">
        <f t="shared" si="76"/>
        <v>5000</v>
      </c>
      <c r="M132" s="12"/>
      <c r="N132" s="12"/>
      <c r="O132" s="12">
        <f t="shared" si="77"/>
        <v>5750</v>
      </c>
      <c r="P132" s="3" t="s">
        <v>443</v>
      </c>
    </row>
    <row r="133" spans="1:16" ht="19.5" hidden="1" customHeight="1">
      <c r="A133" s="3">
        <f>SUBTOTAL(103,$B$2:B133)-1</f>
        <v>2</v>
      </c>
      <c r="B133" s="20" t="s">
        <v>425</v>
      </c>
      <c r="C133" s="3" t="s">
        <v>238</v>
      </c>
      <c r="D133" s="4">
        <v>45901</v>
      </c>
      <c r="E133" s="4" t="s">
        <v>239</v>
      </c>
      <c r="F133" s="4" t="s">
        <v>240</v>
      </c>
      <c r="G133" s="8" t="s">
        <v>241</v>
      </c>
      <c r="H133" s="3"/>
      <c r="I133" s="3"/>
      <c r="J133" s="6"/>
      <c r="K133" s="6"/>
      <c r="L133" s="6">
        <f t="shared" si="76"/>
        <v>0</v>
      </c>
      <c r="M133" s="6"/>
      <c r="N133" s="6"/>
      <c r="O133" s="6">
        <f t="shared" si="77"/>
        <v>0</v>
      </c>
      <c r="P133" s="3" t="s">
        <v>451</v>
      </c>
    </row>
    <row r="134" spans="1:16" ht="19.5" hidden="1" customHeight="1">
      <c r="A134" s="3">
        <f>SUBTOTAL(103,$B$2:B134)-1</f>
        <v>2</v>
      </c>
      <c r="B134" s="20" t="s">
        <v>427</v>
      </c>
      <c r="C134" s="3" t="s">
        <v>66</v>
      </c>
      <c r="D134" s="4">
        <v>45901</v>
      </c>
      <c r="E134" s="4" t="s">
        <v>269</v>
      </c>
      <c r="F134" s="4" t="s">
        <v>270</v>
      </c>
      <c r="G134" s="8" t="s">
        <v>428</v>
      </c>
      <c r="H134" s="3" t="s">
        <v>20</v>
      </c>
      <c r="I134" s="3" t="s">
        <v>272</v>
      </c>
      <c r="J134" s="6">
        <v>106</v>
      </c>
      <c r="K134" s="6"/>
      <c r="L134" s="6">
        <f>SUM(J134:K134)</f>
        <v>106</v>
      </c>
      <c r="M134" s="6"/>
      <c r="N134" s="6"/>
      <c r="O134" s="6">
        <f>L134+(L134*15%)+M134</f>
        <v>121.9</v>
      </c>
      <c r="P134" s="3" t="s">
        <v>437</v>
      </c>
    </row>
    <row r="135" spans="1:16" ht="19.5" hidden="1" customHeight="1">
      <c r="A135" s="3">
        <f>SUBTOTAL(103,$B$2:B135)-1</f>
        <v>2</v>
      </c>
      <c r="B135" s="20" t="s">
        <v>429</v>
      </c>
      <c r="C135" s="3" t="s">
        <v>432</v>
      </c>
      <c r="D135" s="4">
        <v>45901</v>
      </c>
      <c r="E135" s="4" t="s">
        <v>436</v>
      </c>
      <c r="F135" s="4" t="s">
        <v>433</v>
      </c>
      <c r="G135" s="8" t="s">
        <v>434</v>
      </c>
      <c r="H135" s="3"/>
      <c r="I135" s="3" t="s">
        <v>435</v>
      </c>
      <c r="J135" s="13">
        <v>5463</v>
      </c>
      <c r="K135" s="6"/>
      <c r="L135" s="13">
        <f>SUM(J135:K135)</f>
        <v>5463</v>
      </c>
      <c r="M135" s="6"/>
      <c r="N135" s="6"/>
      <c r="O135" s="13">
        <v>5463</v>
      </c>
      <c r="P135" s="3" t="s">
        <v>437</v>
      </c>
    </row>
    <row r="136" spans="1:16" ht="19.5" hidden="1" customHeight="1">
      <c r="A136" s="3">
        <f>SUBTOTAL(103,$B$2:B136)-1</f>
        <v>2</v>
      </c>
      <c r="B136" s="20" t="s">
        <v>431</v>
      </c>
      <c r="C136" s="3" t="s">
        <v>432</v>
      </c>
      <c r="D136" s="4">
        <v>45901</v>
      </c>
      <c r="E136" s="4" t="s">
        <v>436</v>
      </c>
      <c r="F136" s="4" t="s">
        <v>433</v>
      </c>
      <c r="G136" s="8" t="s">
        <v>434</v>
      </c>
      <c r="H136" s="3"/>
      <c r="I136" s="3" t="s">
        <v>435</v>
      </c>
      <c r="J136" s="13">
        <v>4213</v>
      </c>
      <c r="K136" s="6"/>
      <c r="L136" s="13">
        <v>4213</v>
      </c>
      <c r="M136" s="6"/>
      <c r="N136" s="6"/>
      <c r="O136" s="13">
        <v>4213</v>
      </c>
      <c r="P136" s="3" t="s">
        <v>437</v>
      </c>
    </row>
    <row r="137" spans="1:16" ht="19.5" hidden="1" customHeight="1">
      <c r="A137" s="3">
        <f>SUBTOTAL(103,$B$2:B137)-1</f>
        <v>2</v>
      </c>
      <c r="B137" s="20" t="s">
        <v>430</v>
      </c>
      <c r="C137" s="3" t="s">
        <v>35</v>
      </c>
      <c r="D137" s="4">
        <v>45931</v>
      </c>
      <c r="E137" s="4" t="s">
        <v>133</v>
      </c>
      <c r="F137" s="4" t="s">
        <v>95</v>
      </c>
      <c r="G137" s="8" t="s">
        <v>180</v>
      </c>
      <c r="H137" s="3" t="s">
        <v>20</v>
      </c>
      <c r="I137" s="3" t="s">
        <v>181</v>
      </c>
      <c r="J137" s="6">
        <v>6750</v>
      </c>
      <c r="K137" s="6">
        <v>2400</v>
      </c>
      <c r="L137" s="6">
        <f t="shared" ref="L137:L142" si="78">SUM(J137:K137)</f>
        <v>9150</v>
      </c>
      <c r="M137" s="6"/>
      <c r="N137" s="6"/>
      <c r="O137" s="6">
        <f t="shared" ref="O137" si="79">L137+(L137*15%)+M137</f>
        <v>10522.5</v>
      </c>
      <c r="P137" s="3" t="s">
        <v>450</v>
      </c>
    </row>
    <row r="138" spans="1:16" ht="19.5" hidden="1" customHeight="1">
      <c r="A138" s="3">
        <f>SUBTOTAL(103,$B$2:B138)-1</f>
        <v>2</v>
      </c>
      <c r="B138" s="20" t="s">
        <v>438</v>
      </c>
      <c r="C138" s="3" t="s">
        <v>35</v>
      </c>
      <c r="D138" s="4">
        <v>45931</v>
      </c>
      <c r="E138" s="4" t="s">
        <v>24</v>
      </c>
      <c r="F138" s="4" t="s">
        <v>25</v>
      </c>
      <c r="G138" s="8" t="s">
        <v>47</v>
      </c>
      <c r="H138" s="3" t="s">
        <v>20</v>
      </c>
      <c r="I138" s="3" t="s">
        <v>439</v>
      </c>
      <c r="J138" s="6">
        <v>32000</v>
      </c>
      <c r="K138" s="6">
        <v>2000</v>
      </c>
      <c r="L138" s="6">
        <f t="shared" si="78"/>
        <v>34000</v>
      </c>
      <c r="M138" s="6"/>
      <c r="N138" s="6"/>
      <c r="O138" s="6">
        <f t="shared" ref="O138:O140" si="80">L138+(L138*15%)</f>
        <v>39100</v>
      </c>
      <c r="P138" s="3" t="s">
        <v>463</v>
      </c>
    </row>
    <row r="139" spans="1:16" ht="19.5" hidden="1" customHeight="1">
      <c r="A139" s="3">
        <f>SUBTOTAL(103,$B$2:B139)-1</f>
        <v>2</v>
      </c>
      <c r="B139" s="20" t="s">
        <v>440</v>
      </c>
      <c r="C139" s="3" t="s">
        <v>145</v>
      </c>
      <c r="D139" s="4">
        <v>45931</v>
      </c>
      <c r="E139" s="4" t="s">
        <v>441</v>
      </c>
      <c r="F139" s="4" t="s">
        <v>442</v>
      </c>
      <c r="G139" s="8" t="s">
        <v>146</v>
      </c>
      <c r="H139" s="3"/>
      <c r="I139" s="3"/>
      <c r="J139" s="6"/>
      <c r="K139" s="6"/>
      <c r="L139" s="6">
        <f t="shared" si="78"/>
        <v>0</v>
      </c>
      <c r="M139" s="6"/>
      <c r="N139" s="6"/>
      <c r="O139" s="6">
        <f t="shared" si="80"/>
        <v>0</v>
      </c>
      <c r="P139" s="3" t="s">
        <v>463</v>
      </c>
    </row>
    <row r="140" spans="1:16" ht="19.5" hidden="1" customHeight="1">
      <c r="A140" s="3">
        <f>SUBTOTAL(103,$B$2:B140)-1</f>
        <v>2</v>
      </c>
      <c r="B140" s="20" t="s">
        <v>444</v>
      </c>
      <c r="C140" s="3" t="s">
        <v>167</v>
      </c>
      <c r="D140" s="4">
        <v>45931</v>
      </c>
      <c r="E140" s="4" t="s">
        <v>382</v>
      </c>
      <c r="F140" s="4" t="s">
        <v>297</v>
      </c>
      <c r="G140" s="8" t="s">
        <v>445</v>
      </c>
      <c r="H140" s="3"/>
      <c r="I140" s="3"/>
      <c r="J140" s="6">
        <v>490</v>
      </c>
      <c r="K140" s="6"/>
      <c r="L140" s="6">
        <f t="shared" si="78"/>
        <v>490</v>
      </c>
      <c r="M140" s="6"/>
      <c r="N140" s="6"/>
      <c r="O140" s="6">
        <f t="shared" si="80"/>
        <v>563.5</v>
      </c>
      <c r="P140" s="3" t="s">
        <v>463</v>
      </c>
    </row>
    <row r="141" spans="1:16" ht="19.5" hidden="1" customHeight="1">
      <c r="A141" s="3">
        <f>SUBTOTAL(103,$B$2:B141)-1</f>
        <v>2</v>
      </c>
      <c r="B141" s="20" t="s">
        <v>446</v>
      </c>
      <c r="C141" s="3" t="s">
        <v>40</v>
      </c>
      <c r="D141" s="4">
        <v>45931</v>
      </c>
      <c r="E141" s="4" t="s">
        <v>447</v>
      </c>
      <c r="F141" s="4" t="s">
        <v>448</v>
      </c>
      <c r="G141" s="14" t="s">
        <v>449</v>
      </c>
      <c r="H141" s="3" t="s">
        <v>402</v>
      </c>
      <c r="I141" s="3"/>
      <c r="J141" s="6">
        <v>32000</v>
      </c>
      <c r="K141" s="6">
        <v>2800</v>
      </c>
      <c r="L141" s="6">
        <f t="shared" si="78"/>
        <v>34800</v>
      </c>
      <c r="M141" s="6"/>
      <c r="N141" s="6"/>
      <c r="O141" s="6">
        <f t="shared" ref="O141:O145" si="81">L141+(L141*15%)+M141</f>
        <v>40020</v>
      </c>
      <c r="P141" s="3" t="s">
        <v>463</v>
      </c>
    </row>
    <row r="142" spans="1:16" ht="19.5" hidden="1" customHeight="1">
      <c r="A142" s="3">
        <f>SUBTOTAL(103,$B$2:B142)-1</f>
        <v>2</v>
      </c>
      <c r="B142" s="35" t="s">
        <v>452</v>
      </c>
      <c r="C142" s="24" t="s">
        <v>49</v>
      </c>
      <c r="D142" s="25">
        <v>45931</v>
      </c>
      <c r="E142" s="25" t="s">
        <v>151</v>
      </c>
      <c r="F142" s="25" t="s">
        <v>152</v>
      </c>
      <c r="G142" s="26" t="s">
        <v>52</v>
      </c>
      <c r="H142" s="24"/>
      <c r="I142" s="24" t="s">
        <v>453</v>
      </c>
      <c r="J142" s="27">
        <v>84840</v>
      </c>
      <c r="K142" s="27"/>
      <c r="L142" s="27">
        <f t="shared" si="78"/>
        <v>84840</v>
      </c>
      <c r="M142" s="27">
        <v>850</v>
      </c>
      <c r="N142" s="27"/>
      <c r="O142" s="27">
        <f t="shared" si="81"/>
        <v>98416</v>
      </c>
      <c r="P142" s="24" t="s">
        <v>488</v>
      </c>
    </row>
    <row r="143" spans="1:16" ht="19.5" hidden="1" customHeight="1">
      <c r="A143" s="3">
        <f>SUBTOTAL(103,$B$2:B143)-1</f>
        <v>2</v>
      </c>
      <c r="B143" s="20" t="s">
        <v>454</v>
      </c>
      <c r="C143" s="3" t="s">
        <v>167</v>
      </c>
      <c r="D143" s="4">
        <v>45931</v>
      </c>
      <c r="E143" s="4" t="s">
        <v>382</v>
      </c>
      <c r="F143" s="4" t="s">
        <v>297</v>
      </c>
      <c r="G143" s="8" t="s">
        <v>455</v>
      </c>
      <c r="H143" s="3"/>
      <c r="I143" s="3"/>
      <c r="J143" s="6">
        <v>13600</v>
      </c>
      <c r="K143" s="6"/>
      <c r="L143" s="6">
        <f t="shared" ref="L143:L145" si="82">SUM(J143:K143)</f>
        <v>13600</v>
      </c>
      <c r="M143" s="6"/>
      <c r="N143" s="6"/>
      <c r="O143" s="6">
        <f t="shared" si="81"/>
        <v>15640</v>
      </c>
      <c r="P143" s="3" t="s">
        <v>463</v>
      </c>
    </row>
    <row r="144" spans="1:16" ht="19.5" hidden="1" customHeight="1">
      <c r="A144" s="3">
        <f>SUBTOTAL(103,$B$2:B144)-1</f>
        <v>2</v>
      </c>
      <c r="B144" s="20" t="s">
        <v>456</v>
      </c>
      <c r="C144" s="3" t="s">
        <v>185</v>
      </c>
      <c r="D144" s="4">
        <v>45931</v>
      </c>
      <c r="E144" s="4" t="s">
        <v>163</v>
      </c>
      <c r="F144" s="4" t="s">
        <v>164</v>
      </c>
      <c r="G144" s="8" t="s">
        <v>299</v>
      </c>
      <c r="H144" s="3"/>
      <c r="I144" s="3"/>
      <c r="J144" s="6">
        <v>24674</v>
      </c>
      <c r="K144" s="6"/>
      <c r="L144" s="6">
        <f t="shared" si="82"/>
        <v>24674</v>
      </c>
      <c r="M144" s="6"/>
      <c r="N144" s="6"/>
      <c r="O144" s="6">
        <f t="shared" si="81"/>
        <v>28375.1</v>
      </c>
      <c r="P144" s="3" t="s">
        <v>463</v>
      </c>
    </row>
    <row r="145" spans="1:16" ht="19.5" hidden="1" customHeight="1">
      <c r="A145" s="3">
        <f>SUBTOTAL(103,$B$2:B145)-1</f>
        <v>2</v>
      </c>
      <c r="B145" s="20" t="s">
        <v>457</v>
      </c>
      <c r="C145" s="3" t="s">
        <v>185</v>
      </c>
      <c r="D145" s="4">
        <v>45931</v>
      </c>
      <c r="E145" s="4" t="s">
        <v>93</v>
      </c>
      <c r="F145" s="4" t="s">
        <v>90</v>
      </c>
      <c r="G145" s="8" t="s">
        <v>72</v>
      </c>
      <c r="H145" s="3"/>
      <c r="I145" s="3"/>
      <c r="J145" s="6">
        <v>14517</v>
      </c>
      <c r="K145" s="6"/>
      <c r="L145" s="6">
        <f t="shared" si="82"/>
        <v>14517</v>
      </c>
      <c r="M145" s="6"/>
      <c r="N145" s="6"/>
      <c r="O145" s="6">
        <f t="shared" si="81"/>
        <v>16694.55</v>
      </c>
      <c r="P145" s="3" t="s">
        <v>463</v>
      </c>
    </row>
    <row r="146" spans="1:16" ht="19.5" hidden="1" customHeight="1">
      <c r="A146" s="3">
        <f>SUBTOTAL(103,$B$2:B146)-1</f>
        <v>2</v>
      </c>
      <c r="B146" s="20" t="s">
        <v>458</v>
      </c>
      <c r="C146" s="3" t="s">
        <v>432</v>
      </c>
      <c r="D146" s="4">
        <v>45931</v>
      </c>
      <c r="E146" s="4" t="s">
        <v>436</v>
      </c>
      <c r="F146" s="4" t="s">
        <v>433</v>
      </c>
      <c r="G146" s="8" t="s">
        <v>434</v>
      </c>
      <c r="H146" s="3"/>
      <c r="I146" s="3" t="s">
        <v>435</v>
      </c>
      <c r="J146" s="13">
        <v>864</v>
      </c>
      <c r="K146" s="6"/>
      <c r="L146" s="13">
        <f>SUM(J146:K146)</f>
        <v>864</v>
      </c>
      <c r="M146" s="6"/>
      <c r="N146" s="6"/>
      <c r="O146" s="13">
        <v>864</v>
      </c>
      <c r="P146" s="3" t="s">
        <v>463</v>
      </c>
    </row>
    <row r="147" spans="1:16" ht="19.5" hidden="1" customHeight="1">
      <c r="A147" s="3">
        <f>SUBTOTAL(103,$B$2:B147)-1</f>
        <v>2</v>
      </c>
      <c r="B147" s="20" t="s">
        <v>459</v>
      </c>
      <c r="C147" s="3" t="s">
        <v>432</v>
      </c>
      <c r="D147" s="4">
        <v>45931</v>
      </c>
      <c r="E147" s="4" t="s">
        <v>436</v>
      </c>
      <c r="F147" s="4" t="s">
        <v>433</v>
      </c>
      <c r="G147" s="8" t="s">
        <v>434</v>
      </c>
      <c r="H147" s="3"/>
      <c r="I147" s="3" t="s">
        <v>435</v>
      </c>
      <c r="J147" s="13">
        <v>1707</v>
      </c>
      <c r="K147" s="6"/>
      <c r="L147" s="13">
        <v>1707</v>
      </c>
      <c r="M147" s="6"/>
      <c r="N147" s="6"/>
      <c r="O147" s="13">
        <v>1707</v>
      </c>
      <c r="P147" s="3" t="s">
        <v>463</v>
      </c>
    </row>
    <row r="148" spans="1:16" ht="19.5" hidden="1" customHeight="1">
      <c r="A148" s="3">
        <f>SUBTOTAL(103,$B$2:B148)-1</f>
        <v>2</v>
      </c>
      <c r="B148" s="20" t="s">
        <v>460</v>
      </c>
      <c r="C148" s="3" t="s">
        <v>66</v>
      </c>
      <c r="D148" s="4">
        <v>45931</v>
      </c>
      <c r="E148" s="4" t="s">
        <v>461</v>
      </c>
      <c r="F148" s="4" t="s">
        <v>462</v>
      </c>
      <c r="G148" s="8" t="s">
        <v>68</v>
      </c>
      <c r="H148" s="3" t="s">
        <v>20</v>
      </c>
      <c r="I148" s="3"/>
      <c r="J148" s="6">
        <v>38</v>
      </c>
      <c r="K148" s="6"/>
      <c r="L148" s="6">
        <f t="shared" ref="L148" si="83">SUM(J148:K148)</f>
        <v>38</v>
      </c>
      <c r="M148" s="6"/>
      <c r="N148" s="6"/>
      <c r="O148" s="6">
        <f t="shared" ref="O148" si="84">L148+(L148*15%)</f>
        <v>43.7</v>
      </c>
      <c r="P148" s="3" t="s">
        <v>463</v>
      </c>
    </row>
    <row r="149" spans="1:16" ht="19.5" hidden="1" customHeight="1">
      <c r="A149" s="3">
        <f>SUBTOTAL(103,$B$2:B149)-1</f>
        <v>2</v>
      </c>
      <c r="B149" s="20" t="s">
        <v>464</v>
      </c>
      <c r="C149" s="3" t="s">
        <v>66</v>
      </c>
      <c r="D149" s="4">
        <v>45931</v>
      </c>
      <c r="E149" s="4" t="s">
        <v>502</v>
      </c>
      <c r="F149" s="4" t="s">
        <v>549</v>
      </c>
      <c r="G149" s="8" t="s">
        <v>279</v>
      </c>
      <c r="H149" s="3" t="s">
        <v>20</v>
      </c>
      <c r="I149" s="3" t="s">
        <v>465</v>
      </c>
      <c r="J149" s="6">
        <v>30</v>
      </c>
      <c r="K149" s="6"/>
      <c r="L149" s="6">
        <f t="shared" ref="L149" si="85">SUM(J149:K149)</f>
        <v>30</v>
      </c>
      <c r="M149" s="6"/>
      <c r="N149" s="6"/>
      <c r="O149" s="6">
        <f t="shared" ref="O149" si="86">L149+(L149*15%)</f>
        <v>34.5</v>
      </c>
      <c r="P149" s="3" t="s">
        <v>463</v>
      </c>
    </row>
    <row r="150" spans="1:16" ht="19.5" hidden="1" customHeight="1">
      <c r="A150" s="3">
        <f>SUBTOTAL(103,$B$2:B150)-1</f>
        <v>2</v>
      </c>
      <c r="B150" s="20" t="s">
        <v>466</v>
      </c>
      <c r="C150" s="3" t="s">
        <v>66</v>
      </c>
      <c r="D150" s="4">
        <v>45931</v>
      </c>
      <c r="E150" s="4" t="s">
        <v>467</v>
      </c>
      <c r="F150" s="4" t="s">
        <v>468</v>
      </c>
      <c r="G150" s="8" t="s">
        <v>469</v>
      </c>
      <c r="H150" s="3" t="s">
        <v>20</v>
      </c>
      <c r="I150" s="3" t="s">
        <v>470</v>
      </c>
      <c r="J150" s="6"/>
      <c r="K150" s="6"/>
      <c r="L150" s="6">
        <f>SUM(J150:K150)</f>
        <v>0</v>
      </c>
      <c r="M150" s="6"/>
      <c r="N150" s="6"/>
      <c r="O150" s="6">
        <f t="shared" ref="O150:O155" si="87">L150+(L150*15%)+M150</f>
        <v>0</v>
      </c>
      <c r="P150" s="3" t="s">
        <v>463</v>
      </c>
    </row>
    <row r="151" spans="1:16" ht="19.5" hidden="1" customHeight="1">
      <c r="A151" s="3">
        <f>SUBTOTAL(103,$B$2:B151)-1</f>
        <v>2</v>
      </c>
      <c r="B151" s="20" t="s">
        <v>471</v>
      </c>
      <c r="C151" s="3" t="s">
        <v>66</v>
      </c>
      <c r="D151" s="4">
        <v>45931</v>
      </c>
      <c r="E151" s="4" t="s">
        <v>467</v>
      </c>
      <c r="F151" s="4" t="s">
        <v>468</v>
      </c>
      <c r="G151" s="8" t="s">
        <v>472</v>
      </c>
      <c r="H151" s="3" t="s">
        <v>20</v>
      </c>
      <c r="I151" s="3" t="s">
        <v>473</v>
      </c>
      <c r="J151" s="6">
        <v>130</v>
      </c>
      <c r="K151" s="6"/>
      <c r="L151" s="6">
        <f>SUM(J151:K151)</f>
        <v>130</v>
      </c>
      <c r="M151" s="6"/>
      <c r="N151" s="6"/>
      <c r="O151" s="6">
        <f t="shared" si="87"/>
        <v>149.5</v>
      </c>
      <c r="P151" s="3" t="s">
        <v>463</v>
      </c>
    </row>
    <row r="152" spans="1:16" ht="19.5" hidden="1" customHeight="1">
      <c r="A152" s="3">
        <f>SUBTOTAL(103,$B$2:B152)-1</f>
        <v>2</v>
      </c>
      <c r="B152" s="20" t="s">
        <v>474</v>
      </c>
      <c r="C152" s="3" t="s">
        <v>66</v>
      </c>
      <c r="D152" s="4">
        <v>45931</v>
      </c>
      <c r="E152" s="4" t="s">
        <v>269</v>
      </c>
      <c r="F152" s="4" t="s">
        <v>270</v>
      </c>
      <c r="G152" s="8" t="s">
        <v>475</v>
      </c>
      <c r="H152" s="3" t="s">
        <v>20</v>
      </c>
      <c r="I152" s="3" t="s">
        <v>306</v>
      </c>
      <c r="J152" s="6">
        <v>72</v>
      </c>
      <c r="K152" s="6"/>
      <c r="L152" s="6">
        <f>SUM(J152:K152)</f>
        <v>72</v>
      </c>
      <c r="M152" s="6"/>
      <c r="N152" s="6"/>
      <c r="O152" s="6">
        <f t="shared" si="87"/>
        <v>82.8</v>
      </c>
      <c r="P152" s="3" t="s">
        <v>463</v>
      </c>
    </row>
    <row r="153" spans="1:16" ht="19.5" hidden="1" customHeight="1">
      <c r="A153" s="3">
        <f>SUBTOTAL(103,$B$2:B153)-1</f>
        <v>2</v>
      </c>
      <c r="B153" s="20" t="s">
        <v>476</v>
      </c>
      <c r="C153" s="3" t="s">
        <v>66</v>
      </c>
      <c r="D153" s="4">
        <v>45931</v>
      </c>
      <c r="E153" s="4" t="s">
        <v>477</v>
      </c>
      <c r="F153" s="4" t="s">
        <v>1034</v>
      </c>
      <c r="G153" s="8" t="s">
        <v>478</v>
      </c>
      <c r="H153" s="3" t="s">
        <v>20</v>
      </c>
      <c r="I153" s="3" t="s">
        <v>470</v>
      </c>
      <c r="J153" s="6">
        <v>93</v>
      </c>
      <c r="K153" s="6"/>
      <c r="L153" s="6">
        <f>SUM(J153:K153)</f>
        <v>93</v>
      </c>
      <c r="M153" s="6"/>
      <c r="N153" s="6"/>
      <c r="O153" s="6">
        <f t="shared" si="87"/>
        <v>106.95</v>
      </c>
      <c r="P153" s="3" t="s">
        <v>463</v>
      </c>
    </row>
    <row r="154" spans="1:16" ht="19.5" hidden="1" customHeight="1">
      <c r="A154" s="3">
        <f>SUBTOTAL(103,$B$2:B154)-1</f>
        <v>2</v>
      </c>
      <c r="B154" s="20" t="s">
        <v>479</v>
      </c>
      <c r="C154" s="3" t="s">
        <v>113</v>
      </c>
      <c r="D154" s="4">
        <v>45931</v>
      </c>
      <c r="E154" s="4" t="s">
        <v>423</v>
      </c>
      <c r="F154" s="4" t="s">
        <v>114</v>
      </c>
      <c r="G154" s="8" t="s">
        <v>115</v>
      </c>
      <c r="H154" s="3" t="s">
        <v>20</v>
      </c>
      <c r="I154" s="3" t="s">
        <v>424</v>
      </c>
      <c r="J154" s="12"/>
      <c r="K154" s="12"/>
      <c r="L154" s="12">
        <f t="shared" ref="L154" si="88">SUM(J154:K154)</f>
        <v>0</v>
      </c>
      <c r="M154" s="12"/>
      <c r="N154" s="12"/>
      <c r="O154" s="6">
        <f t="shared" si="87"/>
        <v>0</v>
      </c>
      <c r="P154" s="3" t="s">
        <v>463</v>
      </c>
    </row>
    <row r="155" spans="1:16" ht="19.5" hidden="1" customHeight="1">
      <c r="A155" s="3">
        <f>SUBTOTAL(103,$B$2:B155)-1</f>
        <v>2</v>
      </c>
      <c r="B155" s="20" t="s">
        <v>480</v>
      </c>
      <c r="C155" s="3" t="s">
        <v>66</v>
      </c>
      <c r="D155" s="4">
        <v>45931</v>
      </c>
      <c r="E155" s="4" t="s">
        <v>481</v>
      </c>
      <c r="F155" s="4" t="s">
        <v>482</v>
      </c>
      <c r="G155" s="8" t="s">
        <v>483</v>
      </c>
      <c r="H155" s="3" t="s">
        <v>20</v>
      </c>
      <c r="I155" s="3" t="s">
        <v>306</v>
      </c>
      <c r="J155" s="6"/>
      <c r="K155" s="6"/>
      <c r="L155" s="6">
        <f>SUM(J155:K155)</f>
        <v>0</v>
      </c>
      <c r="M155" s="6"/>
      <c r="N155" s="6"/>
      <c r="O155" s="6">
        <f t="shared" si="87"/>
        <v>0</v>
      </c>
      <c r="P155" s="3" t="s">
        <v>463</v>
      </c>
    </row>
    <row r="156" spans="1:16" ht="19.5" hidden="1" customHeight="1">
      <c r="A156" s="3">
        <f>SUBTOTAL(103,$B$2:B156)-1</f>
        <v>2</v>
      </c>
      <c r="B156" s="20" t="s">
        <v>484</v>
      </c>
      <c r="C156" s="3" t="s">
        <v>49</v>
      </c>
      <c r="D156" s="4">
        <v>45931</v>
      </c>
      <c r="E156" s="4" t="s">
        <v>485</v>
      </c>
      <c r="F156" s="4" t="s">
        <v>486</v>
      </c>
      <c r="G156" s="8" t="s">
        <v>52</v>
      </c>
      <c r="H156" s="3" t="s">
        <v>20</v>
      </c>
      <c r="I156" s="3" t="s">
        <v>487</v>
      </c>
      <c r="J156" s="12">
        <v>4500</v>
      </c>
      <c r="K156" s="12"/>
      <c r="L156" s="12">
        <f t="shared" ref="L156:L159" si="89">SUM(J156:K156)</f>
        <v>4500</v>
      </c>
      <c r="M156" s="12"/>
      <c r="N156" s="12"/>
      <c r="O156" s="12">
        <f t="shared" ref="O156" si="90">L156+(L156*15%)</f>
        <v>5175</v>
      </c>
      <c r="P156" s="3" t="s">
        <v>463</v>
      </c>
    </row>
    <row r="157" spans="1:16" ht="19.5" hidden="1" customHeight="1">
      <c r="A157" s="3">
        <f>SUBTOTAL(103,$B$2:B157)-1</f>
        <v>2</v>
      </c>
      <c r="B157" s="20" t="s">
        <v>489</v>
      </c>
      <c r="C157" s="3" t="s">
        <v>49</v>
      </c>
      <c r="D157" s="4">
        <v>45986</v>
      </c>
      <c r="E157" s="4" t="s">
        <v>105</v>
      </c>
      <c r="F157" s="4" t="s">
        <v>490</v>
      </c>
      <c r="G157" s="8" t="s">
        <v>324</v>
      </c>
      <c r="H157" s="3" t="s">
        <v>20</v>
      </c>
      <c r="I157" s="3" t="s">
        <v>325</v>
      </c>
      <c r="J157" s="6">
        <v>8500</v>
      </c>
      <c r="K157" s="6"/>
      <c r="L157" s="6">
        <f t="shared" si="89"/>
        <v>8500</v>
      </c>
      <c r="M157" s="6"/>
      <c r="N157" s="6"/>
      <c r="O157" s="6">
        <f t="shared" ref="O157" si="91">L157+(L157*15%)+M157</f>
        <v>9775</v>
      </c>
      <c r="P157" s="3" t="s">
        <v>463</v>
      </c>
    </row>
    <row r="158" spans="1:16" ht="19.5" hidden="1" customHeight="1">
      <c r="A158" s="3">
        <f>SUBTOTAL(103,$B$2:B158)-1</f>
        <v>2</v>
      </c>
      <c r="B158" s="20" t="s">
        <v>491</v>
      </c>
      <c r="C158" s="3" t="s">
        <v>189</v>
      </c>
      <c r="D158" s="4">
        <v>45986</v>
      </c>
      <c r="E158" s="4" t="s">
        <v>233</v>
      </c>
      <c r="F158" s="4" t="s">
        <v>234</v>
      </c>
      <c r="G158" s="8" t="s">
        <v>236</v>
      </c>
      <c r="H158" s="3"/>
      <c r="I158" s="3"/>
      <c r="J158" s="6">
        <v>11428.8</v>
      </c>
      <c r="K158" s="6"/>
      <c r="L158" s="6">
        <f t="shared" si="89"/>
        <v>11428.8</v>
      </c>
      <c r="M158" s="6"/>
      <c r="N158" s="6"/>
      <c r="O158" s="6">
        <f t="shared" ref="O158" si="92">L158+(L158*15%)</f>
        <v>13143.119999999999</v>
      </c>
      <c r="P158" s="3" t="s">
        <v>463</v>
      </c>
    </row>
    <row r="159" spans="1:16" ht="19.5" hidden="1" customHeight="1">
      <c r="A159" s="3">
        <f>SUBTOTAL(103,$B$2:B159)-1</f>
        <v>2</v>
      </c>
      <c r="B159" s="20" t="s">
        <v>492</v>
      </c>
      <c r="C159" s="3" t="s">
        <v>66</v>
      </c>
      <c r="D159" s="4">
        <v>45986</v>
      </c>
      <c r="E159" s="4" t="s">
        <v>316</v>
      </c>
      <c r="F159" s="4" t="s">
        <v>317</v>
      </c>
      <c r="G159" s="8" t="s">
        <v>267</v>
      </c>
      <c r="H159" s="3" t="s">
        <v>20</v>
      </c>
      <c r="I159" s="3" t="s">
        <v>493</v>
      </c>
      <c r="J159" s="12">
        <v>53</v>
      </c>
      <c r="K159" s="12"/>
      <c r="L159" s="12">
        <f t="shared" si="89"/>
        <v>53</v>
      </c>
      <c r="M159" s="12"/>
      <c r="N159" s="12"/>
      <c r="O159" s="12">
        <f t="shared" ref="O159" si="93">L159+(L159*15%)+M159</f>
        <v>60.95</v>
      </c>
      <c r="P159" s="3" t="s">
        <v>463</v>
      </c>
    </row>
    <row r="160" spans="1:16" ht="19.5" hidden="1" customHeight="1">
      <c r="A160" s="3">
        <f>SUBTOTAL(103,$B$2:B160)-1</f>
        <v>2</v>
      </c>
      <c r="B160" s="20" t="s">
        <v>494</v>
      </c>
      <c r="C160" s="3" t="s">
        <v>189</v>
      </c>
      <c r="D160" s="4">
        <v>45986</v>
      </c>
      <c r="E160" s="4" t="s">
        <v>233</v>
      </c>
      <c r="F160" s="4" t="s">
        <v>234</v>
      </c>
      <c r="G160" s="8" t="s">
        <v>236</v>
      </c>
      <c r="H160" s="3"/>
      <c r="I160" s="3"/>
      <c r="J160" s="6">
        <v>10685</v>
      </c>
      <c r="K160" s="6"/>
      <c r="L160" s="6">
        <f t="shared" ref="L160:L164" si="94">SUM(J160:K160)</f>
        <v>10685</v>
      </c>
      <c r="M160" s="6"/>
      <c r="N160" s="6"/>
      <c r="O160" s="6">
        <f t="shared" ref="O160:O162" si="95">L160+(L160*15%)</f>
        <v>12287.75</v>
      </c>
      <c r="P160" s="3" t="s">
        <v>463</v>
      </c>
    </row>
    <row r="161" spans="1:16" ht="19.5" hidden="1" customHeight="1">
      <c r="A161" s="3">
        <f>SUBTOTAL(103,$B$2:B161)-1</f>
        <v>2</v>
      </c>
      <c r="B161" s="20" t="s">
        <v>495</v>
      </c>
      <c r="C161" s="3" t="s">
        <v>189</v>
      </c>
      <c r="D161" s="4">
        <v>45986</v>
      </c>
      <c r="E161" s="4" t="s">
        <v>203</v>
      </c>
      <c r="F161" s="4" t="s">
        <v>204</v>
      </c>
      <c r="G161" s="8" t="s">
        <v>205</v>
      </c>
      <c r="H161" s="3"/>
      <c r="I161" s="3"/>
      <c r="J161" s="6">
        <v>262700</v>
      </c>
      <c r="K161" s="6"/>
      <c r="L161" s="6">
        <f t="shared" si="94"/>
        <v>262700</v>
      </c>
      <c r="M161" s="6"/>
      <c r="N161" s="6"/>
      <c r="O161" s="6">
        <f t="shared" si="95"/>
        <v>302105</v>
      </c>
      <c r="P161" s="3" t="s">
        <v>463</v>
      </c>
    </row>
    <row r="162" spans="1:16" ht="19.5" hidden="1" customHeight="1">
      <c r="A162" s="3">
        <f>SUBTOTAL(103,$B$2:B162)-1</f>
        <v>2</v>
      </c>
      <c r="B162" s="20" t="s">
        <v>496</v>
      </c>
      <c r="C162" s="3" t="s">
        <v>40</v>
      </c>
      <c r="D162" s="4">
        <v>45986</v>
      </c>
      <c r="E162" s="4" t="s">
        <v>246</v>
      </c>
      <c r="F162" s="4" t="s">
        <v>247</v>
      </c>
      <c r="G162" s="8" t="s">
        <v>497</v>
      </c>
      <c r="H162" s="3"/>
      <c r="I162" s="3"/>
      <c r="J162" s="6">
        <v>252000</v>
      </c>
      <c r="K162" s="6"/>
      <c r="L162" s="6">
        <f t="shared" si="94"/>
        <v>252000</v>
      </c>
      <c r="M162" s="6"/>
      <c r="N162" s="6"/>
      <c r="O162" s="6">
        <f t="shared" si="95"/>
        <v>289800</v>
      </c>
      <c r="P162" s="3" t="s">
        <v>463</v>
      </c>
    </row>
    <row r="163" spans="1:16" ht="19.5" hidden="1" customHeight="1">
      <c r="A163" s="3">
        <f>SUBTOTAL(103,$B$2:B163)-1</f>
        <v>2</v>
      </c>
      <c r="B163" s="20" t="s">
        <v>498</v>
      </c>
      <c r="C163" s="3" t="s">
        <v>66</v>
      </c>
      <c r="D163" s="4">
        <v>45986</v>
      </c>
      <c r="E163" s="4" t="s">
        <v>499</v>
      </c>
      <c r="F163" s="4" t="s">
        <v>500</v>
      </c>
      <c r="G163" s="8" t="s">
        <v>305</v>
      </c>
      <c r="H163" s="3" t="s">
        <v>20</v>
      </c>
      <c r="I163" s="3"/>
      <c r="J163" s="6">
        <v>15</v>
      </c>
      <c r="K163" s="6"/>
      <c r="L163" s="6">
        <f t="shared" si="94"/>
        <v>15</v>
      </c>
      <c r="M163" s="6"/>
      <c r="N163" s="6"/>
      <c r="O163" s="6">
        <f t="shared" ref="O163:O164" si="96">L163+(L163*15%)+M163</f>
        <v>17.25</v>
      </c>
      <c r="P163" s="3" t="s">
        <v>463</v>
      </c>
    </row>
    <row r="164" spans="1:16" ht="19.5" hidden="1" customHeight="1">
      <c r="A164" s="3">
        <f>SUBTOTAL(103,$B$2:B164)-1</f>
        <v>2</v>
      </c>
      <c r="B164" s="20" t="s">
        <v>501</v>
      </c>
      <c r="C164" s="3" t="s">
        <v>185</v>
      </c>
      <c r="D164" s="4">
        <v>45986</v>
      </c>
      <c r="E164" s="4" t="s">
        <v>93</v>
      </c>
      <c r="F164" s="4" t="s">
        <v>90</v>
      </c>
      <c r="G164" s="8" t="s">
        <v>72</v>
      </c>
      <c r="H164" s="3"/>
      <c r="I164" s="3"/>
      <c r="J164" s="6">
        <v>15168</v>
      </c>
      <c r="K164" s="6"/>
      <c r="L164" s="6">
        <f t="shared" si="94"/>
        <v>15168</v>
      </c>
      <c r="M164" s="6"/>
      <c r="N164" s="6"/>
      <c r="O164" s="6">
        <f t="shared" si="96"/>
        <v>17443.2</v>
      </c>
      <c r="P164" s="3" t="s">
        <v>463</v>
      </c>
    </row>
    <row r="165" spans="1:16" ht="19.5" hidden="1" customHeight="1">
      <c r="A165" s="3">
        <f>SUBTOTAL(103,$B$2:B165)-1</f>
        <v>2</v>
      </c>
      <c r="B165" s="20" t="s">
        <v>503</v>
      </c>
      <c r="C165" s="3" t="s">
        <v>189</v>
      </c>
      <c r="D165" s="4">
        <v>45986</v>
      </c>
      <c r="E165" s="4" t="s">
        <v>203</v>
      </c>
      <c r="F165" s="4" t="s">
        <v>204</v>
      </c>
      <c r="G165" s="8" t="s">
        <v>504</v>
      </c>
      <c r="H165" s="3"/>
      <c r="I165" s="3"/>
      <c r="J165" s="6">
        <v>241100</v>
      </c>
      <c r="K165" s="6"/>
      <c r="L165" s="6">
        <f t="shared" ref="L165:L168" si="97">SUM(J165:K165)</f>
        <v>241100</v>
      </c>
      <c r="M165" s="6"/>
      <c r="N165" s="6"/>
      <c r="O165" s="6">
        <f t="shared" ref="O165:O166" si="98">L165+(L165*15%)</f>
        <v>277265</v>
      </c>
      <c r="P165" s="3" t="s">
        <v>463</v>
      </c>
    </row>
    <row r="166" spans="1:16" ht="19.5" hidden="1" customHeight="1">
      <c r="A166" s="3">
        <f>SUBTOTAL(103,$B$2:B166)-1</f>
        <v>2</v>
      </c>
      <c r="B166" s="20" t="s">
        <v>505</v>
      </c>
      <c r="C166" s="3" t="s">
        <v>35</v>
      </c>
      <c r="D166" s="4">
        <v>45986</v>
      </c>
      <c r="E166" s="4" t="s">
        <v>502</v>
      </c>
      <c r="F166" s="4" t="s">
        <v>549</v>
      </c>
      <c r="G166" s="8" t="s">
        <v>29</v>
      </c>
      <c r="H166" s="3" t="s">
        <v>20</v>
      </c>
      <c r="I166" s="3" t="s">
        <v>506</v>
      </c>
      <c r="J166" s="6">
        <v>15000</v>
      </c>
      <c r="K166" s="6"/>
      <c r="L166" s="6">
        <f t="shared" si="97"/>
        <v>15000</v>
      </c>
      <c r="M166" s="6"/>
      <c r="N166" s="6"/>
      <c r="O166" s="6">
        <f t="shared" si="98"/>
        <v>17250</v>
      </c>
      <c r="P166" s="3" t="s">
        <v>463</v>
      </c>
    </row>
    <row r="167" spans="1:16" ht="19.5" hidden="1" customHeight="1">
      <c r="A167" s="3">
        <f>SUBTOTAL(103,$B$2:B167)-1</f>
        <v>2</v>
      </c>
      <c r="B167" s="20" t="s">
        <v>507</v>
      </c>
      <c r="C167" s="3" t="s">
        <v>185</v>
      </c>
      <c r="D167" s="4">
        <v>45986</v>
      </c>
      <c r="E167" s="4" t="s">
        <v>163</v>
      </c>
      <c r="F167" s="4" t="s">
        <v>164</v>
      </c>
      <c r="G167" s="8" t="s">
        <v>299</v>
      </c>
      <c r="H167" s="3"/>
      <c r="I167" s="3"/>
      <c r="J167" s="6">
        <v>45143</v>
      </c>
      <c r="K167" s="6"/>
      <c r="L167" s="6">
        <f t="shared" si="97"/>
        <v>45143</v>
      </c>
      <c r="M167" s="6"/>
      <c r="N167" s="6"/>
      <c r="O167" s="6">
        <f t="shared" ref="O167:O168" si="99">L167+(L167*15%)+M167</f>
        <v>51914.45</v>
      </c>
      <c r="P167" s="3" t="s">
        <v>463</v>
      </c>
    </row>
    <row r="168" spans="1:16" ht="19.5" hidden="1" customHeight="1">
      <c r="A168" s="3">
        <f>SUBTOTAL(103,$B$2:B168)-1</f>
        <v>2</v>
      </c>
      <c r="B168" s="20" t="s">
        <v>508</v>
      </c>
      <c r="C168" s="3" t="s">
        <v>119</v>
      </c>
      <c r="D168" s="4">
        <v>45986</v>
      </c>
      <c r="E168" s="4" t="s">
        <v>137</v>
      </c>
      <c r="F168" s="4" t="s">
        <v>138</v>
      </c>
      <c r="G168" s="8" t="s">
        <v>509</v>
      </c>
      <c r="H168" s="3" t="s">
        <v>20</v>
      </c>
      <c r="I168" s="3" t="s">
        <v>510</v>
      </c>
      <c r="J168" s="6">
        <v>400</v>
      </c>
      <c r="K168" s="6">
        <v>1600</v>
      </c>
      <c r="L168" s="6">
        <f t="shared" si="97"/>
        <v>2000</v>
      </c>
      <c r="M168" s="6"/>
      <c r="N168" s="6"/>
      <c r="O168" s="6">
        <f t="shared" si="99"/>
        <v>2300</v>
      </c>
      <c r="P168" s="3" t="s">
        <v>463</v>
      </c>
    </row>
    <row r="169" spans="1:16" ht="19.5" hidden="1" customHeight="1">
      <c r="A169" s="3">
        <f>SUBTOTAL(103,$B$2:B169)-1</f>
        <v>2</v>
      </c>
      <c r="B169" s="20" t="s">
        <v>511</v>
      </c>
      <c r="C169" s="3" t="s">
        <v>432</v>
      </c>
      <c r="D169" s="4">
        <v>45986</v>
      </c>
      <c r="E169" s="4" t="s">
        <v>436</v>
      </c>
      <c r="F169" s="4" t="s">
        <v>433</v>
      </c>
      <c r="G169" s="8" t="s">
        <v>434</v>
      </c>
      <c r="H169" s="3"/>
      <c r="I169" s="3" t="s">
        <v>435</v>
      </c>
      <c r="J169" s="13">
        <v>3852</v>
      </c>
      <c r="K169" s="6"/>
      <c r="L169" s="13">
        <v>3852</v>
      </c>
      <c r="M169" s="6"/>
      <c r="N169" s="6"/>
      <c r="O169" s="13">
        <v>3852</v>
      </c>
      <c r="P169" s="3" t="s">
        <v>463</v>
      </c>
    </row>
    <row r="170" spans="1:16" ht="19.5" hidden="1" customHeight="1">
      <c r="A170" s="3">
        <f>SUBTOTAL(103,$B$2:B170)-1</f>
        <v>2</v>
      </c>
      <c r="B170" s="20" t="s">
        <v>512</v>
      </c>
      <c r="C170" s="3" t="s">
        <v>167</v>
      </c>
      <c r="D170" s="4">
        <v>45986</v>
      </c>
      <c r="E170" s="4" t="s">
        <v>441</v>
      </c>
      <c r="F170" s="4" t="s">
        <v>442</v>
      </c>
      <c r="G170" s="8" t="s">
        <v>513</v>
      </c>
      <c r="H170" s="3"/>
      <c r="I170" s="3"/>
      <c r="J170" s="6">
        <v>53640</v>
      </c>
      <c r="K170" s="6"/>
      <c r="L170" s="6">
        <f t="shared" ref="L170" si="100">SUM(J170:K170)</f>
        <v>53640</v>
      </c>
      <c r="M170" s="6"/>
      <c r="N170" s="6"/>
      <c r="O170" s="6">
        <f t="shared" ref="O170" si="101">L170+(L170*15%)</f>
        <v>61686</v>
      </c>
      <c r="P170" s="3" t="s">
        <v>463</v>
      </c>
    </row>
    <row r="171" spans="1:16" ht="19.5" hidden="1" customHeight="1">
      <c r="A171" s="3">
        <f>SUBTOTAL(103,$B$2:B171)-1</f>
        <v>2</v>
      </c>
      <c r="B171" s="20" t="s">
        <v>514</v>
      </c>
      <c r="C171" s="3" t="s">
        <v>515</v>
      </c>
      <c r="D171" s="4">
        <v>45986</v>
      </c>
      <c r="E171" s="4" t="s">
        <v>516</v>
      </c>
      <c r="F171" s="4" t="s">
        <v>517</v>
      </c>
      <c r="G171" s="8" t="s">
        <v>515</v>
      </c>
      <c r="H171" s="3"/>
      <c r="I171" s="3"/>
      <c r="J171" s="6">
        <v>2400</v>
      </c>
      <c r="K171" s="6"/>
      <c r="L171" s="6">
        <f t="shared" ref="L171:L176" si="102">SUM(J171:K171)</f>
        <v>2400</v>
      </c>
      <c r="M171" s="6"/>
      <c r="N171" s="6"/>
      <c r="O171" s="6">
        <f t="shared" ref="O171:O172" si="103">L171+(L171*15%)</f>
        <v>2760</v>
      </c>
      <c r="P171" s="3" t="s">
        <v>463</v>
      </c>
    </row>
    <row r="172" spans="1:16" ht="19.5" hidden="1" customHeight="1">
      <c r="A172" s="3">
        <f>SUBTOTAL(103,$B$2:B172)-1</f>
        <v>2</v>
      </c>
      <c r="B172" s="20" t="s">
        <v>518</v>
      </c>
      <c r="C172" s="3" t="s">
        <v>40</v>
      </c>
      <c r="D172" s="4">
        <v>46016</v>
      </c>
      <c r="E172" s="4" t="s">
        <v>441</v>
      </c>
      <c r="F172" s="4" t="s">
        <v>442</v>
      </c>
      <c r="G172" s="8" t="s">
        <v>519</v>
      </c>
      <c r="H172" s="3"/>
      <c r="I172" s="3"/>
      <c r="J172" s="6">
        <v>38</v>
      </c>
      <c r="K172" s="6"/>
      <c r="L172" s="6">
        <f t="shared" si="102"/>
        <v>38</v>
      </c>
      <c r="M172" s="6"/>
      <c r="N172" s="6"/>
      <c r="O172" s="6">
        <f t="shared" si="103"/>
        <v>43.7</v>
      </c>
      <c r="P172" s="3" t="s">
        <v>463</v>
      </c>
    </row>
    <row r="173" spans="1:16" ht="19.5" hidden="1" customHeight="1">
      <c r="A173" s="3">
        <f>SUBTOTAL(103,$B$2:B173)-1</f>
        <v>2</v>
      </c>
      <c r="B173" s="20" t="s">
        <v>520</v>
      </c>
      <c r="C173" s="3" t="s">
        <v>66</v>
      </c>
      <c r="D173" s="4">
        <v>46016</v>
      </c>
      <c r="E173" s="4" t="s">
        <v>78</v>
      </c>
      <c r="F173" s="4" t="s">
        <v>87</v>
      </c>
      <c r="G173" s="8" t="s">
        <v>521</v>
      </c>
      <c r="H173" s="3" t="s">
        <v>20</v>
      </c>
      <c r="I173" s="3" t="s">
        <v>306</v>
      </c>
      <c r="J173" s="12">
        <v>143</v>
      </c>
      <c r="K173" s="12"/>
      <c r="L173" s="12">
        <f t="shared" si="102"/>
        <v>143</v>
      </c>
      <c r="M173" s="12"/>
      <c r="N173" s="12"/>
      <c r="O173" s="12">
        <f t="shared" ref="O173" si="104">L173+(L173*15%)+M173</f>
        <v>164.45</v>
      </c>
      <c r="P173" s="3" t="s">
        <v>463</v>
      </c>
    </row>
    <row r="174" spans="1:16" ht="19.5" hidden="1" customHeight="1">
      <c r="A174" s="3">
        <f>SUBTOTAL(103,$B$2:B174)-1</f>
        <v>2</v>
      </c>
      <c r="B174" s="20" t="s">
        <v>522</v>
      </c>
      <c r="C174" s="3" t="s">
        <v>189</v>
      </c>
      <c r="D174" s="4">
        <v>46016</v>
      </c>
      <c r="E174" s="4" t="s">
        <v>523</v>
      </c>
      <c r="F174" s="4" t="s">
        <v>524</v>
      </c>
      <c r="G174" s="8" t="s">
        <v>525</v>
      </c>
      <c r="H174" s="3"/>
      <c r="I174" s="29" t="s">
        <v>526</v>
      </c>
      <c r="J174" s="12">
        <v>4650</v>
      </c>
      <c r="K174" s="12"/>
      <c r="L174" s="12">
        <f t="shared" si="102"/>
        <v>4650</v>
      </c>
      <c r="M174" s="12"/>
      <c r="N174" s="12"/>
      <c r="O174" s="12">
        <f t="shared" ref="O174" si="105">L174+(L174*15%)</f>
        <v>5347.5</v>
      </c>
      <c r="P174" s="3" t="s">
        <v>451</v>
      </c>
    </row>
    <row r="175" spans="1:16" ht="19.5" hidden="1" customHeight="1">
      <c r="A175" s="3">
        <f>SUBTOTAL(103,$B$2:B175)-1</f>
        <v>2</v>
      </c>
      <c r="B175" s="20" t="s">
        <v>527</v>
      </c>
      <c r="C175" s="3" t="s">
        <v>35</v>
      </c>
      <c r="D175" s="4">
        <v>46016</v>
      </c>
      <c r="E175" s="4" t="s">
        <v>133</v>
      </c>
      <c r="F175" s="4" t="s">
        <v>95</v>
      </c>
      <c r="G175" s="8" t="s">
        <v>180</v>
      </c>
      <c r="H175" s="3" t="s">
        <v>20</v>
      </c>
      <c r="I175" s="3" t="s">
        <v>181</v>
      </c>
      <c r="J175" s="6">
        <v>7500</v>
      </c>
      <c r="K175" s="6">
        <v>2400</v>
      </c>
      <c r="L175" s="6">
        <f t="shared" si="102"/>
        <v>9900</v>
      </c>
      <c r="M175" s="6"/>
      <c r="N175" s="6"/>
      <c r="O175" s="6">
        <f t="shared" ref="O175" si="106">L175+(L175*15%)+M175</f>
        <v>11385</v>
      </c>
      <c r="P175" s="3" t="s">
        <v>463</v>
      </c>
    </row>
    <row r="176" spans="1:16" ht="19.5" hidden="1" customHeight="1">
      <c r="A176" s="3">
        <f>SUBTOTAL(103,$B$2:B176)-1</f>
        <v>2</v>
      </c>
      <c r="B176" s="20" t="s">
        <v>528</v>
      </c>
      <c r="C176" s="3" t="s">
        <v>189</v>
      </c>
      <c r="D176" s="4">
        <v>46016</v>
      </c>
      <c r="E176" s="4" t="s">
        <v>203</v>
      </c>
      <c r="F176" s="4" t="s">
        <v>204</v>
      </c>
      <c r="G176" s="8" t="s">
        <v>504</v>
      </c>
      <c r="H176" s="3"/>
      <c r="I176" s="3"/>
      <c r="J176" s="6">
        <v>122021.4</v>
      </c>
      <c r="K176" s="6"/>
      <c r="L176" s="6">
        <f t="shared" si="102"/>
        <v>122021.4</v>
      </c>
      <c r="M176" s="6"/>
      <c r="N176" s="6"/>
      <c r="O176" s="6">
        <f t="shared" ref="O176" si="107">L176+(L176*15%)</f>
        <v>140324.60999999999</v>
      </c>
      <c r="P176" s="3" t="s">
        <v>463</v>
      </c>
    </row>
    <row r="177" spans="1:16" ht="19.5" hidden="1" customHeight="1">
      <c r="A177" s="3">
        <f>SUBTOTAL(103,$B$2:B177)-1</f>
        <v>2</v>
      </c>
      <c r="B177" s="20" t="s">
        <v>529</v>
      </c>
      <c r="C177" s="3" t="s">
        <v>66</v>
      </c>
      <c r="D177" s="4">
        <v>46016</v>
      </c>
      <c r="E177" s="4" t="s">
        <v>530</v>
      </c>
      <c r="F177" s="4" t="s">
        <v>531</v>
      </c>
      <c r="G177" s="8" t="s">
        <v>271</v>
      </c>
      <c r="H177" s="3" t="s">
        <v>20</v>
      </c>
      <c r="I177" s="3" t="s">
        <v>532</v>
      </c>
      <c r="J177" s="6">
        <v>88</v>
      </c>
      <c r="K177" s="6"/>
      <c r="L177" s="6">
        <f t="shared" ref="L177:L180" si="108">SUM(J177:K177)</f>
        <v>88</v>
      </c>
      <c r="M177" s="6"/>
      <c r="N177" s="6"/>
      <c r="O177" s="6">
        <f t="shared" ref="O177" si="109">L177+(L177*15%)</f>
        <v>101.2</v>
      </c>
      <c r="P177" s="3" t="s">
        <v>463</v>
      </c>
    </row>
    <row r="178" spans="1:16" ht="19.5" hidden="1" customHeight="1">
      <c r="A178" s="3">
        <f>SUBTOTAL(103,$B$2:B178)-1</f>
        <v>2</v>
      </c>
      <c r="B178" s="20" t="s">
        <v>533</v>
      </c>
      <c r="C178" s="3" t="s">
        <v>35</v>
      </c>
      <c r="D178" s="4">
        <v>46016</v>
      </c>
      <c r="E178" s="4" t="s">
        <v>45</v>
      </c>
      <c r="F178" s="4" t="s">
        <v>46</v>
      </c>
      <c r="G178" s="8" t="s">
        <v>130</v>
      </c>
      <c r="H178" s="3" t="s">
        <v>20</v>
      </c>
      <c r="I178" s="3" t="s">
        <v>534</v>
      </c>
      <c r="J178" s="6">
        <v>80000</v>
      </c>
      <c r="K178" s="6">
        <v>8000</v>
      </c>
      <c r="L178" s="6">
        <f t="shared" si="108"/>
        <v>88000</v>
      </c>
      <c r="M178" s="6"/>
      <c r="N178" s="6"/>
      <c r="O178" s="12">
        <f t="shared" ref="O178" si="110">L178+(L178*15%)+M178</f>
        <v>101200</v>
      </c>
      <c r="P178" s="3" t="s">
        <v>463</v>
      </c>
    </row>
    <row r="179" spans="1:16" ht="19.5" hidden="1" customHeight="1">
      <c r="A179" s="3">
        <f>SUBTOTAL(103,$B$2:B179)-1</f>
        <v>2</v>
      </c>
      <c r="B179" s="20" t="s">
        <v>535</v>
      </c>
      <c r="C179" s="3" t="s">
        <v>35</v>
      </c>
      <c r="D179" s="4">
        <v>46016</v>
      </c>
      <c r="E179" s="4" t="s">
        <v>24</v>
      </c>
      <c r="F179" s="4" t="s">
        <v>25</v>
      </c>
      <c r="G179" s="8" t="s">
        <v>47</v>
      </c>
      <c r="H179" s="3" t="s">
        <v>20</v>
      </c>
      <c r="I179" s="3" t="s">
        <v>536</v>
      </c>
      <c r="J179" s="6">
        <v>21000</v>
      </c>
      <c r="K179" s="6">
        <v>4000</v>
      </c>
      <c r="L179" s="6">
        <f t="shared" si="108"/>
        <v>25000</v>
      </c>
      <c r="M179" s="6"/>
      <c r="N179" s="6"/>
      <c r="O179" s="6">
        <f t="shared" ref="O179" si="111">L179+(L179*15%)</f>
        <v>28750</v>
      </c>
      <c r="P179" s="3" t="s">
        <v>463</v>
      </c>
    </row>
    <row r="180" spans="1:16" ht="19.5" hidden="1" customHeight="1">
      <c r="A180" s="3">
        <f>SUBTOTAL(103,$B$2:B180)-1</f>
        <v>2</v>
      </c>
      <c r="B180" s="20" t="s">
        <v>537</v>
      </c>
      <c r="C180" s="3" t="s">
        <v>149</v>
      </c>
      <c r="D180" s="4">
        <v>46016</v>
      </c>
      <c r="E180" s="4" t="s">
        <v>105</v>
      </c>
      <c r="F180" s="4" t="s">
        <v>490</v>
      </c>
      <c r="G180" s="8" t="s">
        <v>538</v>
      </c>
      <c r="H180" s="3"/>
      <c r="I180" s="3"/>
      <c r="J180" s="6"/>
      <c r="K180" s="6"/>
      <c r="L180" s="6">
        <f t="shared" si="108"/>
        <v>0</v>
      </c>
      <c r="M180" s="6"/>
      <c r="N180" s="6"/>
      <c r="O180" s="6">
        <f t="shared" ref="O180" si="112">L180+(L180*15%)+M180</f>
        <v>0</v>
      </c>
      <c r="P180" s="3" t="s">
        <v>463</v>
      </c>
    </row>
    <row r="181" spans="1:16" ht="19.5" hidden="1" customHeight="1">
      <c r="A181" s="3">
        <f>SUBTOTAL(103,$B$2:B181)-1</f>
        <v>2</v>
      </c>
      <c r="B181" s="20" t="s">
        <v>539</v>
      </c>
      <c r="C181" s="3" t="s">
        <v>66</v>
      </c>
      <c r="D181" s="4">
        <v>46016</v>
      </c>
      <c r="E181" s="4" t="s">
        <v>540</v>
      </c>
      <c r="F181" s="4" t="s">
        <v>541</v>
      </c>
      <c r="G181" s="8" t="s">
        <v>542</v>
      </c>
      <c r="H181" s="3" t="s">
        <v>20</v>
      </c>
      <c r="I181" s="3" t="s">
        <v>306</v>
      </c>
      <c r="J181" s="6">
        <v>135</v>
      </c>
      <c r="K181" s="6"/>
      <c r="L181" s="6">
        <f t="shared" ref="L181" si="113">SUM(J181:K181)</f>
        <v>135</v>
      </c>
      <c r="M181" s="6"/>
      <c r="N181" s="6"/>
      <c r="O181" s="6">
        <f t="shared" ref="O181" si="114">L181+(L181*15%)</f>
        <v>155.25</v>
      </c>
      <c r="P181" s="3" t="s">
        <v>463</v>
      </c>
    </row>
    <row r="182" spans="1:16" ht="19.5" hidden="1" customHeight="1">
      <c r="A182" s="3">
        <f>SUBTOTAL(103,$B$2:B182)-1</f>
        <v>2</v>
      </c>
      <c r="B182" s="20" t="s">
        <v>543</v>
      </c>
      <c r="C182" s="3" t="s">
        <v>66</v>
      </c>
      <c r="D182" s="4">
        <v>46016</v>
      </c>
      <c r="E182" s="4" t="s">
        <v>544</v>
      </c>
      <c r="F182" s="4" t="s">
        <v>545</v>
      </c>
      <c r="G182" s="8" t="s">
        <v>265</v>
      </c>
      <c r="H182" s="3" t="s">
        <v>20</v>
      </c>
      <c r="I182" s="3" t="s">
        <v>306</v>
      </c>
      <c r="J182" s="6">
        <v>135</v>
      </c>
      <c r="K182" s="6"/>
      <c r="L182" s="6">
        <f t="shared" ref="L182" si="115">SUM(J182:K182)</f>
        <v>135</v>
      </c>
      <c r="M182" s="6"/>
      <c r="N182" s="6"/>
      <c r="O182" s="6">
        <f t="shared" ref="O182" si="116">L182+(L182*15%)</f>
        <v>155.25</v>
      </c>
      <c r="P182" s="3" t="s">
        <v>463</v>
      </c>
    </row>
    <row r="183" spans="1:16" ht="19.5" hidden="1" customHeight="1">
      <c r="A183" s="3">
        <f>SUBTOTAL(103,$B$2:B183)-1</f>
        <v>2</v>
      </c>
      <c r="B183" s="20" t="s">
        <v>546</v>
      </c>
      <c r="C183" s="3" t="s">
        <v>167</v>
      </c>
      <c r="D183" s="4">
        <v>46016</v>
      </c>
      <c r="E183" s="4" t="s">
        <v>441</v>
      </c>
      <c r="F183" s="4" t="s">
        <v>442</v>
      </c>
      <c r="G183" s="8" t="s">
        <v>547</v>
      </c>
      <c r="H183" s="3"/>
      <c r="I183" s="3"/>
      <c r="J183" s="6">
        <v>15400</v>
      </c>
      <c r="K183" s="6"/>
      <c r="L183" s="6">
        <f>SUM(J183:K183)</f>
        <v>15400</v>
      </c>
      <c r="M183" s="6"/>
      <c r="N183" s="6"/>
      <c r="O183" s="6">
        <f>L183+(L183*15%)</f>
        <v>17710</v>
      </c>
      <c r="P183" s="3" t="s">
        <v>463</v>
      </c>
    </row>
    <row r="184" spans="1:16" ht="19.5" hidden="1" customHeight="1">
      <c r="A184" s="3">
        <f>SUBTOTAL(103,$B$2:B184)-1</f>
        <v>2</v>
      </c>
      <c r="B184" s="20" t="s">
        <v>548</v>
      </c>
      <c r="C184" s="3" t="s">
        <v>66</v>
      </c>
      <c r="D184" s="4">
        <v>46016</v>
      </c>
      <c r="E184" s="4" t="s">
        <v>499</v>
      </c>
      <c r="F184" s="4" t="s">
        <v>500</v>
      </c>
      <c r="G184" s="8" t="s">
        <v>478</v>
      </c>
      <c r="H184" s="3" t="s">
        <v>20</v>
      </c>
      <c r="I184" s="3" t="s">
        <v>306</v>
      </c>
      <c r="J184" s="6">
        <v>90</v>
      </c>
      <c r="K184" s="6"/>
      <c r="L184" s="6">
        <f t="shared" ref="L184:L194" si="117">SUM(J184:K184)</f>
        <v>90</v>
      </c>
      <c r="M184" s="6"/>
      <c r="N184" s="6"/>
      <c r="O184" s="6">
        <f t="shared" ref="O184" si="118">L184+(L184*15%)+M184</f>
        <v>103.5</v>
      </c>
      <c r="P184" s="3" t="s">
        <v>463</v>
      </c>
    </row>
    <row r="185" spans="1:16" ht="19.5" hidden="1" customHeight="1">
      <c r="A185" s="3">
        <f>SUBTOTAL(103,$B$2:B185)-1</f>
        <v>2</v>
      </c>
      <c r="B185" s="20" t="s">
        <v>550</v>
      </c>
      <c r="C185" s="3" t="s">
        <v>35</v>
      </c>
      <c r="D185" s="4">
        <v>46016</v>
      </c>
      <c r="E185" s="4" t="s">
        <v>24</v>
      </c>
      <c r="F185" s="4" t="s">
        <v>25</v>
      </c>
      <c r="G185" s="8" t="s">
        <v>33</v>
      </c>
      <c r="H185" s="3" t="s">
        <v>20</v>
      </c>
      <c r="I185" s="3" t="s">
        <v>551</v>
      </c>
      <c r="J185" s="6">
        <v>106000</v>
      </c>
      <c r="K185" s="6">
        <v>10000</v>
      </c>
      <c r="L185" s="6">
        <f t="shared" si="117"/>
        <v>116000</v>
      </c>
      <c r="M185" s="6"/>
      <c r="N185" s="6"/>
      <c r="O185" s="6">
        <f t="shared" ref="O185" si="119">L185+(L185*15%)</f>
        <v>133400</v>
      </c>
      <c r="P185" s="3" t="s">
        <v>463</v>
      </c>
    </row>
    <row r="186" spans="1:16" ht="19.5" hidden="1" customHeight="1">
      <c r="A186" s="3">
        <f>SUBTOTAL(103,$B$2:B186)-1</f>
        <v>2</v>
      </c>
      <c r="B186" s="20" t="s">
        <v>552</v>
      </c>
      <c r="C186" s="3" t="s">
        <v>185</v>
      </c>
      <c r="D186" s="4">
        <v>46016</v>
      </c>
      <c r="E186" s="4" t="s">
        <v>93</v>
      </c>
      <c r="F186" s="4" t="s">
        <v>90</v>
      </c>
      <c r="G186" s="8" t="s">
        <v>72</v>
      </c>
      <c r="H186" s="3"/>
      <c r="I186" s="3"/>
      <c r="J186" s="6">
        <v>14499.6</v>
      </c>
      <c r="K186" s="6"/>
      <c r="L186" s="6">
        <f t="shared" si="117"/>
        <v>14499.6</v>
      </c>
      <c r="M186" s="6"/>
      <c r="N186" s="6"/>
      <c r="O186" s="6">
        <f t="shared" ref="O186:O187" si="120">L186+(L186*15%)+M186</f>
        <v>16674.54</v>
      </c>
      <c r="P186" s="3" t="s">
        <v>463</v>
      </c>
    </row>
    <row r="187" spans="1:16" ht="19.5" hidden="1" customHeight="1">
      <c r="A187" s="3">
        <f>SUBTOTAL(103,$B$2:B187)-1</f>
        <v>2</v>
      </c>
      <c r="B187" s="20" t="s">
        <v>553</v>
      </c>
      <c r="C187" s="3" t="s">
        <v>185</v>
      </c>
      <c r="D187" s="4">
        <v>46016</v>
      </c>
      <c r="E187" s="4" t="s">
        <v>163</v>
      </c>
      <c r="F187" s="4" t="s">
        <v>164</v>
      </c>
      <c r="G187" s="8" t="s">
        <v>299</v>
      </c>
      <c r="H187" s="3"/>
      <c r="I187" s="3"/>
      <c r="J187" s="6">
        <v>110321</v>
      </c>
      <c r="K187" s="6"/>
      <c r="L187" s="6">
        <f t="shared" si="117"/>
        <v>110321</v>
      </c>
      <c r="M187" s="6"/>
      <c r="N187" s="6"/>
      <c r="O187" s="6">
        <f t="shared" si="120"/>
        <v>126869.15</v>
      </c>
      <c r="P187" s="3" t="s">
        <v>463</v>
      </c>
    </row>
    <row r="188" spans="1:16" ht="19.5" hidden="1" customHeight="1">
      <c r="A188" s="3">
        <f>SUBTOTAL(103,$B$2:B188)-1</f>
        <v>2</v>
      </c>
      <c r="B188" s="20" t="s">
        <v>554</v>
      </c>
      <c r="C188" s="3" t="s">
        <v>66</v>
      </c>
      <c r="D188" s="4">
        <v>46016</v>
      </c>
      <c r="E188" s="4" t="s">
        <v>502</v>
      </c>
      <c r="F188" s="4" t="s">
        <v>549</v>
      </c>
      <c r="G188" s="8" t="s">
        <v>235</v>
      </c>
      <c r="H188" s="3" t="s">
        <v>20</v>
      </c>
      <c r="I188" s="3" t="s">
        <v>306</v>
      </c>
      <c r="J188" s="6">
        <v>40</v>
      </c>
      <c r="K188" s="6"/>
      <c r="L188" s="6">
        <f t="shared" si="117"/>
        <v>40</v>
      </c>
      <c r="M188" s="6"/>
      <c r="N188" s="6"/>
      <c r="O188" s="6">
        <f t="shared" ref="O188" si="121">L188+(L188*15%)</f>
        <v>46</v>
      </c>
      <c r="P188" s="3" t="s">
        <v>463</v>
      </c>
    </row>
    <row r="189" spans="1:16" ht="19.5" hidden="1" customHeight="1">
      <c r="A189" s="3">
        <f>SUBTOTAL(103,$B$2:B189)-1</f>
        <v>2</v>
      </c>
      <c r="B189" s="20" t="s">
        <v>555</v>
      </c>
      <c r="C189" s="3" t="s">
        <v>66</v>
      </c>
      <c r="D189" s="4">
        <v>46016</v>
      </c>
      <c r="E189" s="4" t="s">
        <v>355</v>
      </c>
      <c r="F189" s="4" t="s">
        <v>356</v>
      </c>
      <c r="G189" s="8" t="s">
        <v>265</v>
      </c>
      <c r="H189" s="3" t="s">
        <v>20</v>
      </c>
      <c r="I189" s="3" t="s">
        <v>306</v>
      </c>
      <c r="J189" s="12">
        <v>135</v>
      </c>
      <c r="K189" s="12"/>
      <c r="L189" s="12">
        <f t="shared" si="117"/>
        <v>135</v>
      </c>
      <c r="M189" s="12"/>
      <c r="N189" s="12"/>
      <c r="O189" s="12">
        <f t="shared" ref="O189" si="122">L189+(L189*15%)+M189</f>
        <v>155.25</v>
      </c>
      <c r="P189" s="3" t="s">
        <v>463</v>
      </c>
    </row>
    <row r="190" spans="1:16" ht="19.5" hidden="1" customHeight="1">
      <c r="A190" s="3">
        <f>SUBTOTAL(103,$B$2:B190)-1</f>
        <v>2</v>
      </c>
      <c r="B190" s="20" t="s">
        <v>556</v>
      </c>
      <c r="C190" s="3" t="s">
        <v>189</v>
      </c>
      <c r="D190" s="4">
        <v>46016</v>
      </c>
      <c r="E190" s="4" t="s">
        <v>203</v>
      </c>
      <c r="F190" s="4" t="s">
        <v>204</v>
      </c>
      <c r="G190" s="8" t="s">
        <v>504</v>
      </c>
      <c r="H190" s="3"/>
      <c r="I190" s="3"/>
      <c r="J190" s="6">
        <v>16840.259999999998</v>
      </c>
      <c r="K190" s="6"/>
      <c r="L190" s="6">
        <f t="shared" si="117"/>
        <v>16840.259999999998</v>
      </c>
      <c r="M190" s="6"/>
      <c r="N190" s="6"/>
      <c r="O190" s="6">
        <f t="shared" ref="O190" si="123">L190+(L190*15%)</f>
        <v>19366.298999999999</v>
      </c>
      <c r="P190" s="3" t="s">
        <v>463</v>
      </c>
    </row>
    <row r="191" spans="1:16" ht="19.5" hidden="1" customHeight="1">
      <c r="A191" s="3">
        <f>SUBTOTAL(103,$B$2:B191)-1</f>
        <v>2</v>
      </c>
      <c r="B191" s="20" t="s">
        <v>557</v>
      </c>
      <c r="C191" s="3" t="s">
        <v>49</v>
      </c>
      <c r="D191" s="4">
        <v>46016</v>
      </c>
      <c r="E191" s="4" t="s">
        <v>355</v>
      </c>
      <c r="F191" s="4" t="s">
        <v>356</v>
      </c>
      <c r="G191" s="8" t="s">
        <v>52</v>
      </c>
      <c r="H191" s="3" t="s">
        <v>20</v>
      </c>
      <c r="I191" s="3" t="s">
        <v>558</v>
      </c>
      <c r="J191" s="12">
        <v>4500</v>
      </c>
      <c r="K191" s="12"/>
      <c r="L191" s="12">
        <f t="shared" si="117"/>
        <v>4500</v>
      </c>
      <c r="M191" s="12"/>
      <c r="N191" s="12"/>
      <c r="O191" s="12">
        <f t="shared" ref="O191:O193" si="124">L191+(L191*15%)+M191</f>
        <v>5175</v>
      </c>
      <c r="P191" s="3" t="s">
        <v>463</v>
      </c>
    </row>
    <row r="192" spans="1:16" ht="19.5" hidden="1" customHeight="1">
      <c r="A192" s="3">
        <f>SUBTOTAL(103,$B$2:B192)-1</f>
        <v>2</v>
      </c>
      <c r="B192" s="20" t="s">
        <v>559</v>
      </c>
      <c r="C192" s="3" t="s">
        <v>149</v>
      </c>
      <c r="D192" s="4">
        <v>46016</v>
      </c>
      <c r="E192" s="4" t="s">
        <v>105</v>
      </c>
      <c r="F192" s="4" t="s">
        <v>490</v>
      </c>
      <c r="G192" s="8" t="s">
        <v>538</v>
      </c>
      <c r="H192" s="3"/>
      <c r="I192" s="3"/>
      <c r="J192" s="6"/>
      <c r="K192" s="6"/>
      <c r="L192" s="6">
        <f t="shared" si="117"/>
        <v>0</v>
      </c>
      <c r="M192" s="6"/>
      <c r="N192" s="6"/>
      <c r="O192" s="6">
        <f t="shared" si="124"/>
        <v>0</v>
      </c>
      <c r="P192" s="3" t="s">
        <v>463</v>
      </c>
    </row>
    <row r="193" spans="1:16" ht="19.5" hidden="1" customHeight="1">
      <c r="A193" s="3">
        <f>SUBTOTAL(103,$B$2:B193)-1</f>
        <v>2</v>
      </c>
      <c r="B193" s="20" t="s">
        <v>560</v>
      </c>
      <c r="C193" s="3" t="s">
        <v>35</v>
      </c>
      <c r="D193" s="4">
        <v>46016</v>
      </c>
      <c r="E193" s="4" t="s">
        <v>45</v>
      </c>
      <c r="F193" s="4" t="s">
        <v>46</v>
      </c>
      <c r="G193" s="8" t="s">
        <v>29</v>
      </c>
      <c r="H193" s="3" t="s">
        <v>20</v>
      </c>
      <c r="I193" s="3" t="s">
        <v>325</v>
      </c>
      <c r="J193" s="6">
        <v>13000</v>
      </c>
      <c r="K193" s="6"/>
      <c r="L193" s="6">
        <f t="shared" si="117"/>
        <v>13000</v>
      </c>
      <c r="M193" s="6"/>
      <c r="N193" s="6"/>
      <c r="O193" s="12">
        <f t="shared" si="124"/>
        <v>14950</v>
      </c>
      <c r="P193" s="3" t="s">
        <v>463</v>
      </c>
    </row>
    <row r="194" spans="1:16" ht="19.5" hidden="1" customHeight="1">
      <c r="A194" s="3">
        <f>SUBTOTAL(103,$B$2:B194)-1</f>
        <v>2</v>
      </c>
      <c r="B194" s="20" t="s">
        <v>561</v>
      </c>
      <c r="C194" s="3" t="s">
        <v>66</v>
      </c>
      <c r="D194" s="4">
        <v>46016</v>
      </c>
      <c r="E194" s="4" t="s">
        <v>544</v>
      </c>
      <c r="F194" s="4" t="s">
        <v>545</v>
      </c>
      <c r="G194" s="8" t="s">
        <v>76</v>
      </c>
      <c r="H194" s="3" t="s">
        <v>20</v>
      </c>
      <c r="I194" s="3" t="s">
        <v>306</v>
      </c>
      <c r="J194" s="6">
        <v>65</v>
      </c>
      <c r="K194" s="6"/>
      <c r="L194" s="6">
        <f t="shared" si="117"/>
        <v>65</v>
      </c>
      <c r="M194" s="6"/>
      <c r="N194" s="6"/>
      <c r="O194" s="6">
        <f t="shared" ref="O194" si="125">L194+(L194*15%)</f>
        <v>74.75</v>
      </c>
      <c r="P194" s="3" t="s">
        <v>463</v>
      </c>
    </row>
    <row r="195" spans="1:16" ht="19.5" hidden="1" customHeight="1">
      <c r="A195" s="3">
        <f>SUBTOTAL(103,$B$2:B195)-1</f>
        <v>2</v>
      </c>
      <c r="B195" s="20" t="s">
        <v>562</v>
      </c>
      <c r="C195" s="3" t="s">
        <v>167</v>
      </c>
      <c r="D195" s="4">
        <v>46016</v>
      </c>
      <c r="E195" s="4" t="s">
        <v>441</v>
      </c>
      <c r="F195" s="4" t="s">
        <v>442</v>
      </c>
      <c r="G195" s="15" t="s">
        <v>563</v>
      </c>
      <c r="H195" s="3"/>
      <c r="I195" s="3"/>
      <c r="J195" s="6">
        <v>2100</v>
      </c>
      <c r="K195" s="6"/>
      <c r="L195" s="6">
        <f>SUM(J195:K195)</f>
        <v>2100</v>
      </c>
      <c r="M195" s="6"/>
      <c r="N195" s="6"/>
      <c r="O195" s="6">
        <f>L195+(L195*15%)</f>
        <v>2415</v>
      </c>
      <c r="P195" s="3" t="s">
        <v>463</v>
      </c>
    </row>
    <row r="196" spans="1:16" ht="19.5" hidden="1" customHeight="1">
      <c r="A196" s="3">
        <f>SUBTOTAL(103,$B$2:B196)-1</f>
        <v>2</v>
      </c>
      <c r="B196" s="20" t="s">
        <v>564</v>
      </c>
      <c r="C196" s="3" t="s">
        <v>167</v>
      </c>
      <c r="D196" s="4">
        <v>46016</v>
      </c>
      <c r="E196" s="4" t="s">
        <v>441</v>
      </c>
      <c r="F196" s="4" t="s">
        <v>442</v>
      </c>
      <c r="G196" s="15" t="s">
        <v>565</v>
      </c>
      <c r="H196" s="3"/>
      <c r="I196" s="3"/>
      <c r="J196" s="6">
        <v>12492</v>
      </c>
      <c r="K196" s="6"/>
      <c r="L196" s="6">
        <f>SUM(J196:K196)</f>
        <v>12492</v>
      </c>
      <c r="M196" s="6"/>
      <c r="N196" s="6"/>
      <c r="O196" s="6">
        <f>L196+(L196*15%)</f>
        <v>14365.8</v>
      </c>
      <c r="P196" s="3" t="s">
        <v>463</v>
      </c>
    </row>
    <row r="197" spans="1:16" ht="19.5" hidden="1" customHeight="1">
      <c r="A197" s="3">
        <f>SUBTOTAL(103,$B$2:B197)-1</f>
        <v>2</v>
      </c>
      <c r="B197" s="20" t="s">
        <v>566</v>
      </c>
      <c r="C197" s="3" t="s">
        <v>35</v>
      </c>
      <c r="D197" s="4">
        <v>46016</v>
      </c>
      <c r="E197" s="4" t="s">
        <v>583</v>
      </c>
      <c r="F197" s="4" t="s">
        <v>17</v>
      </c>
      <c r="G197" s="8" t="s">
        <v>567</v>
      </c>
      <c r="H197" s="3" t="s">
        <v>20</v>
      </c>
      <c r="I197" s="3" t="s">
        <v>568</v>
      </c>
      <c r="J197" s="6">
        <v>115000</v>
      </c>
      <c r="K197" s="6"/>
      <c r="L197" s="6">
        <f t="shared" ref="L197:L200" si="126">SUM(J197:K197)</f>
        <v>115000</v>
      </c>
      <c r="M197" s="6"/>
      <c r="N197" s="6"/>
      <c r="O197" s="6">
        <f>L197+(L197*15%)</f>
        <v>132250</v>
      </c>
      <c r="P197" s="3" t="s">
        <v>463</v>
      </c>
    </row>
    <row r="198" spans="1:16" ht="19.5" hidden="1" customHeight="1">
      <c r="A198" s="3">
        <f>SUBTOTAL(103,$B$2:B198)-1</f>
        <v>2</v>
      </c>
      <c r="B198" s="20" t="s">
        <v>569</v>
      </c>
      <c r="C198" s="3" t="s">
        <v>35</v>
      </c>
      <c r="D198" s="4">
        <v>46016</v>
      </c>
      <c r="E198" s="4" t="s">
        <v>31</v>
      </c>
      <c r="F198" s="4" t="s">
        <v>32</v>
      </c>
      <c r="G198" s="8" t="s">
        <v>42</v>
      </c>
      <c r="H198" s="3" t="s">
        <v>20</v>
      </c>
      <c r="I198" s="3" t="s">
        <v>570</v>
      </c>
      <c r="J198" s="6">
        <v>15000</v>
      </c>
      <c r="K198" s="6">
        <v>4000</v>
      </c>
      <c r="L198" s="6">
        <f t="shared" si="126"/>
        <v>19000</v>
      </c>
      <c r="M198" s="6"/>
      <c r="N198" s="6"/>
      <c r="O198" s="6">
        <f t="shared" ref="O198" si="127">L198+(L198*15%)</f>
        <v>21850</v>
      </c>
      <c r="P198" s="3" t="s">
        <v>463</v>
      </c>
    </row>
    <row r="199" spans="1:16" ht="19.5" hidden="1" customHeight="1">
      <c r="A199" s="3">
        <f>SUBTOTAL(103,$B$2:B199)-1</f>
        <v>2</v>
      </c>
      <c r="B199" s="20" t="s">
        <v>571</v>
      </c>
      <c r="C199" s="3" t="s">
        <v>35</v>
      </c>
      <c r="D199" s="4">
        <v>46048</v>
      </c>
      <c r="E199" s="4" t="s">
        <v>399</v>
      </c>
      <c r="F199" s="4" t="s">
        <v>18</v>
      </c>
      <c r="G199" s="8" t="s">
        <v>134</v>
      </c>
      <c r="H199" s="3" t="s">
        <v>20</v>
      </c>
      <c r="I199" s="3" t="s">
        <v>572</v>
      </c>
      <c r="J199" s="6">
        <v>9000</v>
      </c>
      <c r="K199" s="6">
        <v>2000</v>
      </c>
      <c r="L199" s="6">
        <f t="shared" si="126"/>
        <v>11000</v>
      </c>
      <c r="M199" s="6"/>
      <c r="N199" s="6"/>
      <c r="O199" s="6">
        <f t="shared" ref="O199:O200" si="128">L199+(L199*15%)+M199</f>
        <v>12650</v>
      </c>
      <c r="P199" s="3" t="s">
        <v>463</v>
      </c>
    </row>
    <row r="200" spans="1:16" ht="19.5" hidden="1" customHeight="1">
      <c r="A200" s="3">
        <f>SUBTOTAL(103,$B$2:B200)-1</f>
        <v>2</v>
      </c>
      <c r="B200" s="20" t="s">
        <v>573</v>
      </c>
      <c r="C200" s="3" t="s">
        <v>104</v>
      </c>
      <c r="D200" s="4">
        <v>46048</v>
      </c>
      <c r="E200" s="4" t="s">
        <v>105</v>
      </c>
      <c r="F200" s="4" t="s">
        <v>490</v>
      </c>
      <c r="G200" s="8" t="s">
        <v>107</v>
      </c>
      <c r="H200" s="3"/>
      <c r="I200" s="3"/>
      <c r="J200" s="6">
        <v>1.88</v>
      </c>
      <c r="K200" s="6"/>
      <c r="L200" s="6">
        <f t="shared" si="126"/>
        <v>1.88</v>
      </c>
      <c r="M200" s="6"/>
      <c r="N200" s="6"/>
      <c r="O200" s="6">
        <f t="shared" si="128"/>
        <v>2.1619999999999999</v>
      </c>
      <c r="P200" s="3" t="s">
        <v>463</v>
      </c>
    </row>
    <row r="201" spans="1:16" ht="19.5" hidden="1" customHeight="1">
      <c r="A201" s="3">
        <f>SUBTOTAL(103,$B$2:B201)-1</f>
        <v>2</v>
      </c>
      <c r="B201" s="20" t="s">
        <v>574</v>
      </c>
      <c r="C201" s="3" t="s">
        <v>167</v>
      </c>
      <c r="D201" s="4">
        <v>46048</v>
      </c>
      <c r="E201" s="4" t="s">
        <v>441</v>
      </c>
      <c r="F201" s="4" t="s">
        <v>442</v>
      </c>
      <c r="G201" s="15" t="s">
        <v>575</v>
      </c>
      <c r="H201" s="3"/>
      <c r="I201" s="3"/>
      <c r="J201" s="6">
        <v>700</v>
      </c>
      <c r="K201" s="6"/>
      <c r="L201" s="6">
        <f>SUM(J201:K201)</f>
        <v>700</v>
      </c>
      <c r="M201" s="6"/>
      <c r="N201" s="6"/>
      <c r="O201" s="6">
        <f>L201+(L201*15%)</f>
        <v>805</v>
      </c>
      <c r="P201" s="3" t="s">
        <v>463</v>
      </c>
    </row>
    <row r="202" spans="1:16" ht="19.5" hidden="1" customHeight="1">
      <c r="A202" s="3">
        <f>SUBTOTAL(103,$B$2:B202)-1</f>
        <v>2</v>
      </c>
      <c r="B202" s="20" t="s">
        <v>576</v>
      </c>
      <c r="C202" s="3" t="s">
        <v>224</v>
      </c>
      <c r="D202" s="4">
        <v>46048</v>
      </c>
      <c r="E202" s="4" t="s">
        <v>225</v>
      </c>
      <c r="F202" s="4" t="s">
        <v>226</v>
      </c>
      <c r="G202" s="8" t="s">
        <v>227</v>
      </c>
      <c r="H202" s="3"/>
      <c r="I202" s="3"/>
      <c r="J202" s="6"/>
      <c r="K202" s="6"/>
      <c r="L202" s="6">
        <f t="shared" ref="L202:L209" si="129">SUM(J202:K202)</f>
        <v>0</v>
      </c>
      <c r="M202" s="6"/>
      <c r="N202" s="6"/>
      <c r="O202" s="6">
        <f t="shared" ref="O202:O205" si="130">L202+(L202*15%)</f>
        <v>0</v>
      </c>
      <c r="P202" s="3" t="s">
        <v>463</v>
      </c>
    </row>
    <row r="203" spans="1:16" ht="19.5" hidden="1" customHeight="1">
      <c r="A203" s="3">
        <f>SUBTOTAL(103,$B$2:B203)-1</f>
        <v>2</v>
      </c>
      <c r="B203" s="20" t="s">
        <v>577</v>
      </c>
      <c r="C203" s="3" t="s">
        <v>35</v>
      </c>
      <c r="D203" s="4">
        <v>46048</v>
      </c>
      <c r="E203" s="4" t="s">
        <v>24</v>
      </c>
      <c r="F203" s="4" t="s">
        <v>25</v>
      </c>
      <c r="G203" s="8" t="s">
        <v>33</v>
      </c>
      <c r="H203" s="3" t="s">
        <v>20</v>
      </c>
      <c r="I203" s="3" t="s">
        <v>578</v>
      </c>
      <c r="J203" s="6">
        <v>110000</v>
      </c>
      <c r="K203" s="6">
        <v>10000</v>
      </c>
      <c r="L203" s="6">
        <f t="shared" si="129"/>
        <v>120000</v>
      </c>
      <c r="M203" s="6"/>
      <c r="N203" s="6"/>
      <c r="O203" s="6">
        <f t="shared" si="130"/>
        <v>138000</v>
      </c>
      <c r="P203" s="3" t="s">
        <v>463</v>
      </c>
    </row>
    <row r="204" spans="1:16" ht="19.5" hidden="1" customHeight="1">
      <c r="A204" s="3">
        <f>SUBTOTAL(103,$B$2:B204)-1</f>
        <v>2</v>
      </c>
      <c r="B204" s="20" t="s">
        <v>579</v>
      </c>
      <c r="C204" s="3" t="s">
        <v>66</v>
      </c>
      <c r="D204" s="4">
        <v>46048</v>
      </c>
      <c r="E204" s="4" t="s">
        <v>367</v>
      </c>
      <c r="F204" s="4" t="s">
        <v>368</v>
      </c>
      <c r="G204" s="8" t="s">
        <v>478</v>
      </c>
      <c r="H204" s="3" t="s">
        <v>20</v>
      </c>
      <c r="I204" s="3" t="s">
        <v>470</v>
      </c>
      <c r="J204" s="6">
        <v>90</v>
      </c>
      <c r="K204" s="6"/>
      <c r="L204" s="6">
        <f t="shared" si="129"/>
        <v>90</v>
      </c>
      <c r="M204" s="6"/>
      <c r="N204" s="6"/>
      <c r="O204" s="6">
        <f t="shared" si="130"/>
        <v>103.5</v>
      </c>
      <c r="P204" s="3"/>
    </row>
    <row r="205" spans="1:16" ht="19.5" hidden="1" customHeight="1">
      <c r="A205" s="3">
        <f>SUBTOTAL(103,$B$2:B205)-1</f>
        <v>2</v>
      </c>
      <c r="B205" s="20" t="s">
        <v>580</v>
      </c>
      <c r="C205" s="3" t="s">
        <v>35</v>
      </c>
      <c r="D205" s="4">
        <v>46048</v>
      </c>
      <c r="E205" s="4" t="s">
        <v>213</v>
      </c>
      <c r="F205" s="4" t="s">
        <v>214</v>
      </c>
      <c r="G205" s="8" t="s">
        <v>42</v>
      </c>
      <c r="H205" s="3" t="s">
        <v>20</v>
      </c>
      <c r="I205" s="3" t="s">
        <v>581</v>
      </c>
      <c r="J205" s="6">
        <v>17000</v>
      </c>
      <c r="K205" s="6">
        <v>5000</v>
      </c>
      <c r="L205" s="6">
        <f t="shared" si="129"/>
        <v>22000</v>
      </c>
      <c r="M205" s="6"/>
      <c r="N205" s="6"/>
      <c r="O205" s="6">
        <f t="shared" si="130"/>
        <v>25300</v>
      </c>
      <c r="P205" s="3"/>
    </row>
    <row r="206" spans="1:16" ht="19.5" hidden="1" customHeight="1">
      <c r="A206" s="3">
        <f>SUBTOTAL(103,$B$2:B206)-1</f>
        <v>2</v>
      </c>
      <c r="B206" s="20" t="s">
        <v>584</v>
      </c>
      <c r="C206" s="3" t="s">
        <v>185</v>
      </c>
      <c r="D206" s="4">
        <v>46048</v>
      </c>
      <c r="E206" s="4" t="s">
        <v>163</v>
      </c>
      <c r="F206" s="4" t="s">
        <v>164</v>
      </c>
      <c r="G206" s="8" t="s">
        <v>299</v>
      </c>
      <c r="H206" s="3"/>
      <c r="I206" s="3"/>
      <c r="J206" s="6">
        <v>35136</v>
      </c>
      <c r="K206" s="6"/>
      <c r="L206" s="6">
        <f t="shared" si="129"/>
        <v>35136</v>
      </c>
      <c r="M206" s="6"/>
      <c r="N206" s="6"/>
      <c r="O206" s="6">
        <f t="shared" ref="O206:O207" si="131">L206+(L206*15%)+M206</f>
        <v>40406.400000000001</v>
      </c>
      <c r="P206" s="3"/>
    </row>
    <row r="207" spans="1:16" ht="19.5" hidden="1" customHeight="1">
      <c r="A207" s="3">
        <f>SUBTOTAL(103,$B$2:B207)-1</f>
        <v>2</v>
      </c>
      <c r="B207" s="20" t="s">
        <v>585</v>
      </c>
      <c r="C207" s="3" t="s">
        <v>185</v>
      </c>
      <c r="D207" s="4">
        <v>46048</v>
      </c>
      <c r="E207" s="4" t="s">
        <v>93</v>
      </c>
      <c r="F207" s="4" t="s">
        <v>90</v>
      </c>
      <c r="G207" s="8" t="s">
        <v>72</v>
      </c>
      <c r="H207" s="3"/>
      <c r="I207" s="3"/>
      <c r="J207" s="6">
        <v>17994</v>
      </c>
      <c r="K207" s="6"/>
      <c r="L207" s="6">
        <f t="shared" si="129"/>
        <v>17994</v>
      </c>
      <c r="M207" s="6"/>
      <c r="N207" s="6"/>
      <c r="O207" s="6">
        <f t="shared" si="131"/>
        <v>20693.099999999999</v>
      </c>
      <c r="P207" s="3"/>
    </row>
    <row r="208" spans="1:16" ht="19.5" hidden="1" customHeight="1">
      <c r="A208" s="3">
        <f>SUBTOTAL(103,$B$2:B208)-1</f>
        <v>2</v>
      </c>
      <c r="B208" s="20" t="s">
        <v>586</v>
      </c>
      <c r="C208" s="3" t="s">
        <v>189</v>
      </c>
      <c r="D208" s="4">
        <v>46048</v>
      </c>
      <c r="E208" s="4" t="s">
        <v>589</v>
      </c>
      <c r="F208" s="4" t="s">
        <v>587</v>
      </c>
      <c r="G208" s="8" t="s">
        <v>588</v>
      </c>
      <c r="H208" s="3"/>
      <c r="I208" s="3"/>
      <c r="J208" s="6">
        <v>196950</v>
      </c>
      <c r="K208" s="6"/>
      <c r="L208" s="6">
        <f t="shared" si="129"/>
        <v>196950</v>
      </c>
      <c r="M208" s="6"/>
      <c r="N208" s="6"/>
      <c r="O208" s="6">
        <f t="shared" ref="O208" si="132">L208+(L208*15%)</f>
        <v>226492.5</v>
      </c>
      <c r="P208" s="3"/>
    </row>
    <row r="209" spans="1:16" ht="19.5" hidden="1" customHeight="1">
      <c r="A209" s="3">
        <f>SUBTOTAL(103,$B$2:B209)-1</f>
        <v>2</v>
      </c>
      <c r="B209" s="20" t="s">
        <v>590</v>
      </c>
      <c r="C209" s="3" t="s">
        <v>35</v>
      </c>
      <c r="D209" s="4">
        <v>46048</v>
      </c>
      <c r="E209" s="4" t="s">
        <v>50</v>
      </c>
      <c r="F209" s="4" t="s">
        <v>51</v>
      </c>
      <c r="G209" s="8" t="s">
        <v>591</v>
      </c>
      <c r="H209" s="3" t="s">
        <v>20</v>
      </c>
      <c r="I209" s="3" t="s">
        <v>592</v>
      </c>
      <c r="J209" s="12">
        <v>2200</v>
      </c>
      <c r="K209" s="12"/>
      <c r="L209" s="12">
        <f t="shared" si="129"/>
        <v>2200</v>
      </c>
      <c r="M209" s="12"/>
      <c r="N209" s="12"/>
      <c r="O209" s="12">
        <f t="shared" ref="O209" si="133">L209+(L209*15%)+M209</f>
        <v>2530</v>
      </c>
      <c r="P209" s="3"/>
    </row>
    <row r="210" spans="1:16" ht="19.5" hidden="1" customHeight="1">
      <c r="A210" s="3">
        <f>SUBTOTAL(103,$B$2:B210)-1</f>
        <v>2</v>
      </c>
      <c r="B210" s="20" t="s">
        <v>593</v>
      </c>
      <c r="C210" s="3" t="s">
        <v>35</v>
      </c>
      <c r="D210" s="4">
        <v>46048</v>
      </c>
      <c r="E210" s="4" t="s">
        <v>213</v>
      </c>
      <c r="F210" s="4" t="s">
        <v>214</v>
      </c>
      <c r="G210" s="8" t="s">
        <v>42</v>
      </c>
      <c r="H210" s="3" t="s">
        <v>20</v>
      </c>
      <c r="I210" s="3" t="s">
        <v>594</v>
      </c>
      <c r="J210" s="6">
        <v>23000</v>
      </c>
      <c r="K210" s="6">
        <v>5000</v>
      </c>
      <c r="L210" s="6">
        <f t="shared" ref="L210:L211" si="134">SUM(J210:K210)</f>
        <v>28000</v>
      </c>
      <c r="M210" s="6"/>
      <c r="N210" s="6"/>
      <c r="O210" s="6">
        <f t="shared" ref="O210:O211" si="135">L210+(L210*15%)</f>
        <v>32200</v>
      </c>
      <c r="P210" s="3"/>
    </row>
    <row r="211" spans="1:16" ht="19.5" hidden="1" customHeight="1">
      <c r="A211" s="3">
        <f>SUBTOTAL(103,$B$2:B211)-1</f>
        <v>2</v>
      </c>
      <c r="B211" s="20" t="s">
        <v>595</v>
      </c>
      <c r="C211" s="3" t="s">
        <v>189</v>
      </c>
      <c r="D211" s="4">
        <v>46048</v>
      </c>
      <c r="E211" s="4" t="s">
        <v>596</v>
      </c>
      <c r="F211" s="4" t="s">
        <v>597</v>
      </c>
      <c r="G211" s="8" t="s">
        <v>205</v>
      </c>
      <c r="H211" s="3"/>
      <c r="I211" s="3"/>
      <c r="J211" s="6">
        <v>30380</v>
      </c>
      <c r="K211" s="6"/>
      <c r="L211" s="6">
        <f t="shared" si="134"/>
        <v>30380</v>
      </c>
      <c r="M211" s="6"/>
      <c r="N211" s="6"/>
      <c r="O211" s="6">
        <f t="shared" si="135"/>
        <v>34937</v>
      </c>
      <c r="P211" s="3"/>
    </row>
    <row r="212" spans="1:16" ht="19.5" hidden="1" customHeight="1">
      <c r="A212" s="3">
        <f>SUBTOTAL(103,$B$2:B212)-1</f>
        <v>2</v>
      </c>
      <c r="B212" s="20" t="s">
        <v>598</v>
      </c>
      <c r="C212" s="3" t="s">
        <v>167</v>
      </c>
      <c r="D212" s="4">
        <v>46048</v>
      </c>
      <c r="E212" s="4" t="s">
        <v>441</v>
      </c>
      <c r="F212" s="4" t="s">
        <v>442</v>
      </c>
      <c r="G212" s="15" t="s">
        <v>599</v>
      </c>
      <c r="H212" s="3"/>
      <c r="I212" s="3"/>
      <c r="J212" s="6">
        <v>37401</v>
      </c>
      <c r="K212" s="6"/>
      <c r="L212" s="6">
        <f>SUM(J212:K212)</f>
        <v>37401</v>
      </c>
      <c r="M212" s="6"/>
      <c r="N212" s="6"/>
      <c r="O212" s="6">
        <f>L212+(L212*15%)</f>
        <v>43011.15</v>
      </c>
      <c r="P212" s="3"/>
    </row>
    <row r="213" spans="1:16" ht="19.5" hidden="1" customHeight="1">
      <c r="A213" s="3">
        <f>SUBTOTAL(103,$B$2:B213)-1</f>
        <v>2</v>
      </c>
      <c r="B213" s="20" t="s">
        <v>600</v>
      </c>
      <c r="C213" s="3" t="s">
        <v>149</v>
      </c>
      <c r="D213" s="4">
        <v>46048</v>
      </c>
      <c r="E213" s="4" t="s">
        <v>105</v>
      </c>
      <c r="F213" s="4" t="s">
        <v>490</v>
      </c>
      <c r="G213" s="8" t="s">
        <v>538</v>
      </c>
      <c r="H213" s="3"/>
      <c r="I213" s="3"/>
      <c r="J213" s="12"/>
      <c r="K213" s="12"/>
      <c r="L213" s="12">
        <f t="shared" ref="L213:L215" si="136">SUM(J213:K213)</f>
        <v>0</v>
      </c>
      <c r="M213" s="12"/>
      <c r="N213" s="12"/>
      <c r="O213" s="12">
        <f t="shared" ref="O213" si="137">L213+(L213*15%)+M213</f>
        <v>0</v>
      </c>
      <c r="P213" s="3" t="s">
        <v>792</v>
      </c>
    </row>
    <row r="214" spans="1:16" ht="19.5" hidden="1" customHeight="1">
      <c r="A214" s="3">
        <f>SUBTOTAL(103,$B$2:B214)-1</f>
        <v>2</v>
      </c>
      <c r="B214" s="20" t="s">
        <v>601</v>
      </c>
      <c r="C214" s="3" t="s">
        <v>149</v>
      </c>
      <c r="D214" s="4">
        <v>46048</v>
      </c>
      <c r="E214" s="4" t="s">
        <v>441</v>
      </c>
      <c r="F214" s="4" t="s">
        <v>442</v>
      </c>
      <c r="G214" s="8" t="s">
        <v>538</v>
      </c>
      <c r="H214" s="3"/>
      <c r="I214" s="3"/>
      <c r="J214" s="12"/>
      <c r="K214" s="12"/>
      <c r="L214" s="12">
        <f t="shared" si="136"/>
        <v>0</v>
      </c>
      <c r="M214" s="12"/>
      <c r="N214" s="12"/>
      <c r="O214" s="12">
        <f t="shared" ref="O214:O215" si="138">L214+(L214*15%)</f>
        <v>0</v>
      </c>
      <c r="P214" s="3" t="s">
        <v>792</v>
      </c>
    </row>
    <row r="215" spans="1:16" ht="19.5" hidden="1" customHeight="1">
      <c r="A215" s="3">
        <f>SUBTOTAL(103,$B$2:B215)-1</f>
        <v>2</v>
      </c>
      <c r="B215" s="20" t="s">
        <v>602</v>
      </c>
      <c r="C215" s="3" t="s">
        <v>66</v>
      </c>
      <c r="D215" s="4">
        <v>46079</v>
      </c>
      <c r="E215" s="4" t="s">
        <v>502</v>
      </c>
      <c r="F215" s="4" t="s">
        <v>549</v>
      </c>
      <c r="G215" s="8" t="s">
        <v>603</v>
      </c>
      <c r="H215" s="3" t="s">
        <v>20</v>
      </c>
      <c r="I215" s="3"/>
      <c r="J215" s="6">
        <v>54</v>
      </c>
      <c r="K215" s="6"/>
      <c r="L215" s="6">
        <f t="shared" si="136"/>
        <v>54</v>
      </c>
      <c r="M215" s="6"/>
      <c r="N215" s="6"/>
      <c r="O215" s="6">
        <f t="shared" si="138"/>
        <v>62.1</v>
      </c>
      <c r="P215" s="3"/>
    </row>
    <row r="216" spans="1:16" ht="19.5" hidden="1" customHeight="1">
      <c r="A216" s="3">
        <f>SUBTOTAL(103,$B$2:B216)-1</f>
        <v>2</v>
      </c>
      <c r="B216" s="20" t="s">
        <v>604</v>
      </c>
      <c r="C216" s="3" t="s">
        <v>167</v>
      </c>
      <c r="D216" s="4">
        <v>46079</v>
      </c>
      <c r="E216" s="4" t="s">
        <v>441</v>
      </c>
      <c r="F216" s="4" t="s">
        <v>442</v>
      </c>
      <c r="G216" s="15" t="s">
        <v>605</v>
      </c>
      <c r="H216" s="3"/>
      <c r="I216" s="3"/>
      <c r="J216" s="6">
        <v>14700</v>
      </c>
      <c r="K216" s="6"/>
      <c r="L216" s="6">
        <f>SUM(J216:K216)</f>
        <v>14700</v>
      </c>
      <c r="M216" s="6"/>
      <c r="N216" s="6"/>
      <c r="O216" s="6">
        <f>L216+(L216*15%)</f>
        <v>16905</v>
      </c>
      <c r="P216" s="3"/>
    </row>
    <row r="217" spans="1:16" ht="19.5" hidden="1" customHeight="1">
      <c r="A217" s="3">
        <f>SUBTOTAL(103,$B$2:B217)-1</f>
        <v>2</v>
      </c>
      <c r="B217" s="20" t="s">
        <v>606</v>
      </c>
      <c r="C217" s="3" t="s">
        <v>66</v>
      </c>
      <c r="D217" s="4">
        <v>46079</v>
      </c>
      <c r="E217" s="4" t="s">
        <v>499</v>
      </c>
      <c r="F217" s="4" t="s">
        <v>500</v>
      </c>
      <c r="G217" s="8" t="s">
        <v>607</v>
      </c>
      <c r="H217" s="3" t="s">
        <v>20</v>
      </c>
      <c r="I217" s="3"/>
      <c r="J217" s="6">
        <v>53</v>
      </c>
      <c r="K217" s="6"/>
      <c r="L217" s="6">
        <f t="shared" ref="L217:L218" si="139">SUM(J217:K217)</f>
        <v>53</v>
      </c>
      <c r="M217" s="6"/>
      <c r="N217" s="6"/>
      <c r="O217" s="6">
        <f t="shared" ref="O217" si="140">L217+(L217*15%)+M217</f>
        <v>60.95</v>
      </c>
      <c r="P217" s="3"/>
    </row>
    <row r="218" spans="1:16" ht="19.5" hidden="1" customHeight="1">
      <c r="A218" s="3">
        <f>SUBTOTAL(103,$B$2:B218)-1</f>
        <v>2</v>
      </c>
      <c r="B218" s="20" t="s">
        <v>608</v>
      </c>
      <c r="C218" s="3" t="s">
        <v>66</v>
      </c>
      <c r="D218" s="4">
        <v>46079</v>
      </c>
      <c r="E218" s="4" t="s">
        <v>544</v>
      </c>
      <c r="F218" s="4" t="s">
        <v>545</v>
      </c>
      <c r="G218" s="8" t="s">
        <v>609</v>
      </c>
      <c r="H218" s="3" t="s">
        <v>20</v>
      </c>
      <c r="I218" s="3"/>
      <c r="J218" s="6">
        <v>54</v>
      </c>
      <c r="K218" s="6"/>
      <c r="L218" s="6">
        <f t="shared" si="139"/>
        <v>54</v>
      </c>
      <c r="M218" s="6"/>
      <c r="N218" s="6"/>
      <c r="O218" s="6">
        <f t="shared" ref="O218" si="141">L218+(L218*15%)</f>
        <v>62.1</v>
      </c>
      <c r="P218" s="3"/>
    </row>
    <row r="219" spans="1:16" ht="19.5" hidden="1" customHeight="1">
      <c r="A219" s="3">
        <f>SUBTOTAL(103,$B$2:B219)-1</f>
        <v>2</v>
      </c>
      <c r="B219" s="20" t="s">
        <v>610</v>
      </c>
      <c r="C219" s="3" t="s">
        <v>66</v>
      </c>
      <c r="D219" s="4">
        <v>46079</v>
      </c>
      <c r="E219" s="4" t="s">
        <v>467</v>
      </c>
      <c r="F219" s="4" t="s">
        <v>468</v>
      </c>
      <c r="G219" s="8" t="s">
        <v>603</v>
      </c>
      <c r="H219" s="3" t="s">
        <v>20</v>
      </c>
      <c r="I219" s="3"/>
      <c r="J219" s="6">
        <v>52</v>
      </c>
      <c r="K219" s="6"/>
      <c r="L219" s="6">
        <f>SUM(J219:K219)</f>
        <v>52</v>
      </c>
      <c r="M219" s="6"/>
      <c r="N219" s="6"/>
      <c r="O219" s="6">
        <f t="shared" ref="O219:O220" si="142">L219+(L219*15%)+M219</f>
        <v>59.8</v>
      </c>
      <c r="P219" s="3"/>
    </row>
    <row r="220" spans="1:16" ht="19.5" hidden="1" customHeight="1">
      <c r="A220" s="3">
        <f>SUBTOTAL(103,$B$2:B220)-1</f>
        <v>2</v>
      </c>
      <c r="B220" s="20" t="s">
        <v>611</v>
      </c>
      <c r="C220" s="3" t="s">
        <v>66</v>
      </c>
      <c r="D220" s="4">
        <v>46079</v>
      </c>
      <c r="E220" s="4" t="s">
        <v>99</v>
      </c>
      <c r="F220" s="4" t="s">
        <v>100</v>
      </c>
      <c r="G220" s="8" t="s">
        <v>603</v>
      </c>
      <c r="H220" s="3" t="s">
        <v>20</v>
      </c>
      <c r="I220" s="3"/>
      <c r="J220" s="6">
        <v>54</v>
      </c>
      <c r="K220" s="6"/>
      <c r="L220" s="6">
        <f t="shared" ref="L220" si="143">SUM(J220:K220)</f>
        <v>54</v>
      </c>
      <c r="M220" s="6"/>
      <c r="N220" s="6"/>
      <c r="O220" s="6">
        <f t="shared" si="142"/>
        <v>62.1</v>
      </c>
      <c r="P220" s="3"/>
    </row>
    <row r="221" spans="1:16" ht="19.5" hidden="1" customHeight="1">
      <c r="A221" s="3">
        <f>SUBTOTAL(103,$B$2:B221)-1</f>
        <v>2</v>
      </c>
      <c r="B221" s="20" t="s">
        <v>612</v>
      </c>
      <c r="C221" s="3" t="s">
        <v>167</v>
      </c>
      <c r="D221" s="4">
        <v>46079</v>
      </c>
      <c r="E221" s="4" t="s">
        <v>441</v>
      </c>
      <c r="F221" s="4" t="s">
        <v>442</v>
      </c>
      <c r="G221" s="15" t="s">
        <v>613</v>
      </c>
      <c r="H221" s="3"/>
      <c r="I221" s="3"/>
      <c r="J221" s="6">
        <v>3200</v>
      </c>
      <c r="K221" s="6"/>
      <c r="L221" s="6">
        <f>SUM(J221:K221)</f>
        <v>3200</v>
      </c>
      <c r="M221" s="6"/>
      <c r="N221" s="6"/>
      <c r="O221" s="6">
        <f>L221+(L221*15%)</f>
        <v>3680</v>
      </c>
      <c r="P221" s="3"/>
    </row>
    <row r="222" spans="1:16" ht="19.5" hidden="1" customHeight="1">
      <c r="A222" s="3">
        <f>SUBTOTAL(103,$B$2:B222)-1</f>
        <v>2</v>
      </c>
      <c r="B222" s="20" t="s">
        <v>614</v>
      </c>
      <c r="C222" s="3" t="s">
        <v>66</v>
      </c>
      <c r="D222" s="4">
        <v>46079</v>
      </c>
      <c r="E222" s="4" t="s">
        <v>441</v>
      </c>
      <c r="F222" s="4" t="s">
        <v>442</v>
      </c>
      <c r="G222" s="15" t="s">
        <v>68</v>
      </c>
      <c r="H222" s="3" t="s">
        <v>20</v>
      </c>
      <c r="I222" s="3" t="s">
        <v>306</v>
      </c>
      <c r="J222" s="6">
        <v>40</v>
      </c>
      <c r="K222" s="6"/>
      <c r="L222" s="6">
        <f>SUM(J222:K222)</f>
        <v>40</v>
      </c>
      <c r="M222" s="6"/>
      <c r="N222" s="6"/>
      <c r="O222" s="6">
        <f>L222+(L222*15%)</f>
        <v>46</v>
      </c>
      <c r="P222" s="3"/>
    </row>
    <row r="223" spans="1:16" ht="19.5" hidden="1" customHeight="1">
      <c r="A223" s="3">
        <f>SUBTOTAL(103,$B$2:B223)-1</f>
        <v>2</v>
      </c>
      <c r="B223" s="20" t="s">
        <v>615</v>
      </c>
      <c r="C223" s="3" t="s">
        <v>167</v>
      </c>
      <c r="D223" s="4">
        <v>46079</v>
      </c>
      <c r="E223" s="4" t="s">
        <v>441</v>
      </c>
      <c r="F223" s="4" t="s">
        <v>442</v>
      </c>
      <c r="G223" s="15" t="s">
        <v>616</v>
      </c>
      <c r="H223" s="3"/>
      <c r="I223" s="3"/>
      <c r="J223" s="6">
        <v>825</v>
      </c>
      <c r="K223" s="6"/>
      <c r="L223" s="6">
        <f>SUM(J223:K223)</f>
        <v>825</v>
      </c>
      <c r="M223" s="6"/>
      <c r="N223" s="6"/>
      <c r="O223" s="6">
        <f>L223+(L223*15%)</f>
        <v>948.75</v>
      </c>
      <c r="P223" s="3"/>
    </row>
    <row r="224" spans="1:16" ht="19.5" hidden="1" customHeight="1">
      <c r="A224" s="3">
        <f>SUBTOTAL(103,$B$2:B224)-1</f>
        <v>2</v>
      </c>
      <c r="B224" s="20" t="s">
        <v>617</v>
      </c>
      <c r="C224" s="3" t="s">
        <v>66</v>
      </c>
      <c r="D224" s="4">
        <v>46079</v>
      </c>
      <c r="E224" s="4" t="s">
        <v>269</v>
      </c>
      <c r="F224" s="4" t="s">
        <v>270</v>
      </c>
      <c r="G224" s="8" t="s">
        <v>607</v>
      </c>
      <c r="H224" s="3" t="s">
        <v>20</v>
      </c>
      <c r="I224" s="3"/>
      <c r="J224" s="6">
        <v>52</v>
      </c>
      <c r="K224" s="6"/>
      <c r="L224" s="6">
        <f>SUM(J224:K224)</f>
        <v>52</v>
      </c>
      <c r="M224" s="6"/>
      <c r="N224" s="6"/>
      <c r="O224" s="6">
        <f t="shared" ref="O224" si="144">L224+(L224*15%)+M224</f>
        <v>59.8</v>
      </c>
      <c r="P224" s="3"/>
    </row>
    <row r="225" spans="1:16" ht="19.5" hidden="1" customHeight="1">
      <c r="A225" s="3">
        <f>SUBTOTAL(103,$B$2:B225)-1</f>
        <v>2</v>
      </c>
      <c r="B225" s="21" t="s">
        <v>618</v>
      </c>
      <c r="C225" s="16" t="s">
        <v>66</v>
      </c>
      <c r="D225" s="17">
        <v>46079</v>
      </c>
      <c r="E225" s="17" t="s">
        <v>544</v>
      </c>
      <c r="F225" s="17" t="s">
        <v>545</v>
      </c>
      <c r="G225" s="8" t="s">
        <v>662</v>
      </c>
      <c r="H225" s="16" t="s">
        <v>20</v>
      </c>
      <c r="I225" s="3"/>
      <c r="J225" s="6" t="s">
        <v>655</v>
      </c>
      <c r="K225" s="6"/>
      <c r="L225" s="6">
        <f t="shared" ref="L225" si="145">SUM(J225:K225)</f>
        <v>0</v>
      </c>
      <c r="M225" s="6"/>
      <c r="N225" s="6"/>
      <c r="O225" s="6">
        <f t="shared" ref="O225" si="146">L225+(L225*15%)</f>
        <v>0</v>
      </c>
      <c r="P225" s="3"/>
    </row>
    <row r="226" spans="1:16" ht="19.5" hidden="1" customHeight="1">
      <c r="A226" s="3">
        <f>SUBTOTAL(103,$B$2:B226)-1</f>
        <v>2</v>
      </c>
      <c r="B226" s="20" t="s">
        <v>619</v>
      </c>
      <c r="C226" s="3" t="s">
        <v>432</v>
      </c>
      <c r="D226" s="4">
        <v>46079</v>
      </c>
      <c r="E226" s="4" t="s">
        <v>436</v>
      </c>
      <c r="F226" s="4" t="s">
        <v>433</v>
      </c>
      <c r="G226" s="8" t="s">
        <v>434</v>
      </c>
      <c r="H226" s="3"/>
      <c r="I226" s="3" t="s">
        <v>435</v>
      </c>
      <c r="J226" s="13">
        <v>2026</v>
      </c>
      <c r="K226" s="6"/>
      <c r="L226" s="13">
        <v>2026</v>
      </c>
      <c r="M226" s="6"/>
      <c r="N226" s="6"/>
      <c r="O226" s="13">
        <v>2026</v>
      </c>
      <c r="P226" s="3"/>
    </row>
    <row r="227" spans="1:16" ht="19.5" hidden="1" customHeight="1">
      <c r="A227" s="3">
        <f>SUBTOTAL(103,$B$2:B227)-1</f>
        <v>2</v>
      </c>
      <c r="B227" s="20" t="s">
        <v>620</v>
      </c>
      <c r="C227" s="3" t="s">
        <v>189</v>
      </c>
      <c r="D227" s="4">
        <v>46079</v>
      </c>
      <c r="E227" s="4" t="s">
        <v>203</v>
      </c>
      <c r="F227" s="4" t="s">
        <v>204</v>
      </c>
      <c r="G227" s="8" t="s">
        <v>621</v>
      </c>
      <c r="H227" s="3"/>
      <c r="I227" s="3"/>
      <c r="J227" s="6">
        <v>30292</v>
      </c>
      <c r="K227" s="6"/>
      <c r="L227" s="6">
        <f t="shared" ref="L227" si="147">SUM(J227:K227)</f>
        <v>30292</v>
      </c>
      <c r="M227" s="6"/>
      <c r="N227" s="6"/>
      <c r="O227" s="6">
        <f t="shared" ref="O227" si="148">L227+(L227*15%)</f>
        <v>34835.800000000003</v>
      </c>
      <c r="P227" s="3"/>
    </row>
    <row r="228" spans="1:16" ht="19.5" hidden="1" customHeight="1">
      <c r="A228" s="3">
        <f>SUBTOTAL(103,$B$2:B228)-1</f>
        <v>2</v>
      </c>
      <c r="B228" s="20" t="s">
        <v>622</v>
      </c>
      <c r="C228" s="3" t="s">
        <v>189</v>
      </c>
      <c r="D228" s="4">
        <v>46079</v>
      </c>
      <c r="E228" s="4" t="s">
        <v>203</v>
      </c>
      <c r="F228" s="4" t="s">
        <v>204</v>
      </c>
      <c r="G228" s="8" t="s">
        <v>623</v>
      </c>
      <c r="H228" s="3"/>
      <c r="I228" s="3"/>
      <c r="J228" s="6">
        <v>177781.5</v>
      </c>
      <c r="K228" s="6"/>
      <c r="L228" s="6">
        <f t="shared" ref="L228:L230" si="149">SUM(J228:K228)</f>
        <v>177781.5</v>
      </c>
      <c r="M228" s="6"/>
      <c r="N228" s="6"/>
      <c r="O228" s="6">
        <f t="shared" ref="O228" si="150">L228+(L228*15%)</f>
        <v>204448.72500000001</v>
      </c>
      <c r="P228" s="3"/>
    </row>
    <row r="229" spans="1:16" ht="19.5" hidden="1" customHeight="1">
      <c r="A229" s="3">
        <f>SUBTOTAL(103,$B$2:B229)-1</f>
        <v>2</v>
      </c>
      <c r="B229" s="20" t="s">
        <v>624</v>
      </c>
      <c r="C229" s="3" t="s">
        <v>35</v>
      </c>
      <c r="D229" s="4">
        <v>46079</v>
      </c>
      <c r="E229" s="4" t="s">
        <v>133</v>
      </c>
      <c r="F229" s="4" t="s">
        <v>95</v>
      </c>
      <c r="G229" s="8" t="s">
        <v>625</v>
      </c>
      <c r="H229" s="3" t="s">
        <v>20</v>
      </c>
      <c r="I229" s="3" t="s">
        <v>626</v>
      </c>
      <c r="J229" s="6">
        <v>26000</v>
      </c>
      <c r="K229" s="6"/>
      <c r="L229" s="6">
        <f t="shared" si="149"/>
        <v>26000</v>
      </c>
      <c r="M229" s="6"/>
      <c r="N229" s="6"/>
      <c r="O229" s="6">
        <f t="shared" ref="O229:O230" si="151">L229+(L229*15%)+M229</f>
        <v>29900</v>
      </c>
      <c r="P229" s="3"/>
    </row>
    <row r="230" spans="1:16" ht="19.5" hidden="1" customHeight="1">
      <c r="A230" s="3">
        <f>SUBTOTAL(103,$B$2:B230)-1</f>
        <v>2</v>
      </c>
      <c r="B230" s="20" t="s">
        <v>627</v>
      </c>
      <c r="C230" s="3" t="s">
        <v>35</v>
      </c>
      <c r="D230" s="4">
        <v>46079</v>
      </c>
      <c r="E230" s="4" t="s">
        <v>133</v>
      </c>
      <c r="F230" s="4" t="s">
        <v>95</v>
      </c>
      <c r="G230" s="8" t="s">
        <v>134</v>
      </c>
      <c r="H230" s="3" t="s">
        <v>20</v>
      </c>
      <c r="I230" s="3" t="s">
        <v>628</v>
      </c>
      <c r="J230" s="6">
        <v>9000</v>
      </c>
      <c r="K230" s="6">
        <v>1000</v>
      </c>
      <c r="L230" s="6">
        <f t="shared" si="149"/>
        <v>10000</v>
      </c>
      <c r="M230" s="6"/>
      <c r="N230" s="6"/>
      <c r="O230" s="6">
        <f t="shared" si="151"/>
        <v>11500</v>
      </c>
      <c r="P230" s="3"/>
    </row>
    <row r="231" spans="1:16" ht="19.5" hidden="1" customHeight="1">
      <c r="A231" s="3">
        <f>SUBTOTAL(103,$B$2:B231)-1</f>
        <v>2</v>
      </c>
      <c r="B231" s="20" t="s">
        <v>629</v>
      </c>
      <c r="C231" s="3" t="s">
        <v>35</v>
      </c>
      <c r="D231" s="4">
        <v>46079</v>
      </c>
      <c r="E231" s="4" t="s">
        <v>133</v>
      </c>
      <c r="F231" s="4" t="s">
        <v>95</v>
      </c>
      <c r="G231" s="8" t="s">
        <v>134</v>
      </c>
      <c r="H231" s="3" t="s">
        <v>20</v>
      </c>
      <c r="I231" s="3" t="s">
        <v>628</v>
      </c>
      <c r="J231" s="6">
        <v>9000</v>
      </c>
      <c r="K231" s="6">
        <v>1000</v>
      </c>
      <c r="L231" s="6">
        <f t="shared" ref="L231:L234" si="152">SUM(J231:K231)</f>
        <v>10000</v>
      </c>
      <c r="M231" s="6"/>
      <c r="N231" s="6"/>
      <c r="O231" s="6">
        <f t="shared" ref="O231:O234" si="153">L231+(L231*15%)+M231</f>
        <v>11500</v>
      </c>
      <c r="P231" s="3"/>
    </row>
    <row r="232" spans="1:16" ht="19.5" hidden="1" customHeight="1">
      <c r="A232" s="3">
        <f>SUBTOTAL(103,$B$2:B232)-1</f>
        <v>2</v>
      </c>
      <c r="B232" s="20" t="s">
        <v>630</v>
      </c>
      <c r="C232" s="3" t="s">
        <v>35</v>
      </c>
      <c r="D232" s="4">
        <v>46079</v>
      </c>
      <c r="E232" s="4" t="s">
        <v>399</v>
      </c>
      <c r="F232" s="4" t="s">
        <v>18</v>
      </c>
      <c r="G232" s="8" t="s">
        <v>134</v>
      </c>
      <c r="H232" s="3" t="s">
        <v>20</v>
      </c>
      <c r="I232" s="3" t="s">
        <v>287</v>
      </c>
      <c r="J232" s="6">
        <v>5000</v>
      </c>
      <c r="K232" s="6">
        <v>1400</v>
      </c>
      <c r="L232" s="6">
        <f t="shared" si="152"/>
        <v>6400</v>
      </c>
      <c r="M232" s="6"/>
      <c r="N232" s="6"/>
      <c r="O232" s="6">
        <f t="shared" si="153"/>
        <v>7360</v>
      </c>
      <c r="P232" s="3"/>
    </row>
    <row r="233" spans="1:16" ht="19.5" hidden="1" customHeight="1">
      <c r="A233" s="3">
        <f>SUBTOTAL(103,$B$2:B233)-1</f>
        <v>2</v>
      </c>
      <c r="B233" s="20" t="s">
        <v>631</v>
      </c>
      <c r="C233" s="3" t="s">
        <v>185</v>
      </c>
      <c r="D233" s="4">
        <v>46079</v>
      </c>
      <c r="E233" s="4" t="s">
        <v>93</v>
      </c>
      <c r="F233" s="4" t="s">
        <v>90</v>
      </c>
      <c r="G233" s="8" t="s">
        <v>72</v>
      </c>
      <c r="H233" s="3"/>
      <c r="I233" s="3"/>
      <c r="J233" s="6">
        <v>115331</v>
      </c>
      <c r="K233" s="6"/>
      <c r="L233" s="6">
        <f t="shared" si="152"/>
        <v>115331</v>
      </c>
      <c r="M233" s="6"/>
      <c r="N233" s="6"/>
      <c r="O233" s="6">
        <f t="shared" si="153"/>
        <v>132630.65</v>
      </c>
      <c r="P233" s="3"/>
    </row>
    <row r="234" spans="1:16" ht="19.5" hidden="1" customHeight="1">
      <c r="A234" s="3">
        <f>SUBTOTAL(103,$B$2:B234)-1</f>
        <v>2</v>
      </c>
      <c r="B234" s="20" t="s">
        <v>632</v>
      </c>
      <c r="C234" s="3" t="s">
        <v>185</v>
      </c>
      <c r="D234" s="4">
        <v>46079</v>
      </c>
      <c r="E234" s="4" t="s">
        <v>163</v>
      </c>
      <c r="F234" s="4" t="s">
        <v>164</v>
      </c>
      <c r="G234" s="8" t="s">
        <v>299</v>
      </c>
      <c r="H234" s="3"/>
      <c r="I234" s="3"/>
      <c r="J234" s="6">
        <v>29216</v>
      </c>
      <c r="K234" s="6"/>
      <c r="L234" s="6">
        <f t="shared" si="152"/>
        <v>29216</v>
      </c>
      <c r="M234" s="6"/>
      <c r="N234" s="6"/>
      <c r="O234" s="6">
        <f t="shared" si="153"/>
        <v>33598.400000000001</v>
      </c>
      <c r="P234" s="3"/>
    </row>
    <row r="235" spans="1:16" ht="19.5" hidden="1" customHeight="1">
      <c r="A235" s="3">
        <f>SUBTOTAL(103,$B$2:B235)-1</f>
        <v>2</v>
      </c>
      <c r="B235" s="20" t="s">
        <v>633</v>
      </c>
      <c r="C235" s="3" t="s">
        <v>167</v>
      </c>
      <c r="D235" s="4">
        <v>46079</v>
      </c>
      <c r="E235" s="4" t="s">
        <v>441</v>
      </c>
      <c r="F235" s="4" t="s">
        <v>442</v>
      </c>
      <c r="G235" s="15" t="s">
        <v>634</v>
      </c>
      <c r="H235" s="3"/>
      <c r="I235" s="3"/>
      <c r="J235" s="6">
        <v>4900</v>
      </c>
      <c r="K235" s="6"/>
      <c r="L235" s="6">
        <f>SUM(J235:K235)</f>
        <v>4900</v>
      </c>
      <c r="M235" s="6"/>
      <c r="N235" s="6"/>
      <c r="O235" s="6">
        <f>L235+(L235*15%)</f>
        <v>5635</v>
      </c>
      <c r="P235" s="3"/>
    </row>
    <row r="236" spans="1:16" ht="19.5" hidden="1" customHeight="1">
      <c r="A236" s="3">
        <f>SUBTOTAL(103,$B$2:B236)-1</f>
        <v>2</v>
      </c>
      <c r="B236" s="20" t="s">
        <v>635</v>
      </c>
      <c r="C236" s="3" t="s">
        <v>189</v>
      </c>
      <c r="D236" s="4">
        <v>46079</v>
      </c>
      <c r="E236" s="4" t="s">
        <v>203</v>
      </c>
      <c r="F236" s="4" t="s">
        <v>204</v>
      </c>
      <c r="G236" s="8" t="s">
        <v>504</v>
      </c>
      <c r="H236" s="3"/>
      <c r="I236" s="3"/>
      <c r="J236" s="6">
        <v>89700</v>
      </c>
      <c r="K236" s="6"/>
      <c r="L236" s="6">
        <f t="shared" ref="L236" si="154">SUM(J236:K236)</f>
        <v>89700</v>
      </c>
      <c r="M236" s="6"/>
      <c r="N236" s="6"/>
      <c r="O236" s="6">
        <f t="shared" ref="O236" si="155">L236+(L236*15%)</f>
        <v>103155</v>
      </c>
      <c r="P236" s="3"/>
    </row>
    <row r="237" spans="1:16" ht="19.5" hidden="1" customHeight="1">
      <c r="A237" s="3">
        <f>SUBTOTAL(103,$B$2:B237)-1</f>
        <v>2</v>
      </c>
      <c r="B237" s="20" t="s">
        <v>636</v>
      </c>
      <c r="C237" s="3" t="s">
        <v>189</v>
      </c>
      <c r="D237" s="4">
        <v>46079</v>
      </c>
      <c r="E237" s="4" t="s">
        <v>637</v>
      </c>
      <c r="F237" s="4" t="s">
        <v>689</v>
      </c>
      <c r="G237" s="8" t="s">
        <v>638</v>
      </c>
      <c r="H237" s="3"/>
      <c r="I237" s="3"/>
      <c r="J237" s="6">
        <v>1285280</v>
      </c>
      <c r="K237" s="6"/>
      <c r="L237" s="6">
        <f t="shared" ref="L237:L239" si="156">SUM(J237:K237)</f>
        <v>1285280</v>
      </c>
      <c r="M237" s="6"/>
      <c r="N237" s="6"/>
      <c r="O237" s="6">
        <f t="shared" ref="O237" si="157">L237+(L237*15%)</f>
        <v>1478072</v>
      </c>
      <c r="P237" s="3"/>
    </row>
    <row r="238" spans="1:16" ht="19.5" hidden="1" customHeight="1">
      <c r="A238" s="3">
        <f>SUBTOTAL(103,$B$2:B238)-1</f>
        <v>2</v>
      </c>
      <c r="B238" s="20" t="s">
        <v>639</v>
      </c>
      <c r="C238" s="3" t="s">
        <v>35</v>
      </c>
      <c r="D238" s="4">
        <v>46079</v>
      </c>
      <c r="E238" s="4" t="s">
        <v>50</v>
      </c>
      <c r="F238" s="4" t="s">
        <v>51</v>
      </c>
      <c r="G238" s="8" t="s">
        <v>29</v>
      </c>
      <c r="H238" s="3" t="s">
        <v>20</v>
      </c>
      <c r="I238" s="3" t="s">
        <v>325</v>
      </c>
      <c r="J238" s="6">
        <v>15000</v>
      </c>
      <c r="K238" s="6"/>
      <c r="L238" s="6">
        <f t="shared" si="156"/>
        <v>15000</v>
      </c>
      <c r="M238" s="6"/>
      <c r="N238" s="6"/>
      <c r="O238" s="12">
        <f t="shared" ref="O238" si="158">L238+(L238*15%)+M238</f>
        <v>17250</v>
      </c>
      <c r="P238" s="3"/>
    </row>
    <row r="239" spans="1:16" ht="19.5" hidden="1" customHeight="1">
      <c r="A239" s="3">
        <f>SUBTOTAL(103,$B$2:B239)-1</f>
        <v>2</v>
      </c>
      <c r="B239" s="20" t="s">
        <v>640</v>
      </c>
      <c r="C239" s="3" t="s">
        <v>35</v>
      </c>
      <c r="D239" s="4">
        <v>46107</v>
      </c>
      <c r="E239" s="4" t="s">
        <v>24</v>
      </c>
      <c r="F239" s="4" t="s">
        <v>25</v>
      </c>
      <c r="G239" s="8" t="s">
        <v>33</v>
      </c>
      <c r="H239" s="3" t="s">
        <v>20</v>
      </c>
      <c r="I239" s="3" t="s">
        <v>668</v>
      </c>
      <c r="J239" s="6">
        <v>105000</v>
      </c>
      <c r="K239" s="6">
        <v>10000</v>
      </c>
      <c r="L239" s="6">
        <f t="shared" si="156"/>
        <v>115000</v>
      </c>
      <c r="M239" s="6"/>
      <c r="N239" s="6"/>
      <c r="O239" s="6">
        <f t="shared" ref="O239" si="159">L239+(L239*15%)</f>
        <v>132250</v>
      </c>
      <c r="P239" s="3"/>
    </row>
    <row r="240" spans="1:16" ht="19.5" hidden="1" customHeight="1">
      <c r="A240" s="3">
        <f>SUBTOTAL(103,$B$2:B240)-1</f>
        <v>2</v>
      </c>
      <c r="B240" s="20" t="s">
        <v>641</v>
      </c>
      <c r="C240" s="3" t="s">
        <v>167</v>
      </c>
      <c r="D240" s="4">
        <v>46107</v>
      </c>
      <c r="E240" s="4" t="s">
        <v>441</v>
      </c>
      <c r="F240" s="4" t="s">
        <v>442</v>
      </c>
      <c r="G240" s="15" t="s">
        <v>599</v>
      </c>
      <c r="H240" s="3"/>
      <c r="I240" s="3"/>
      <c r="J240" s="12">
        <v>2400</v>
      </c>
      <c r="K240" s="12"/>
      <c r="L240" s="12">
        <f t="shared" ref="L240:L246" si="160">SUM(J240:K240)</f>
        <v>2400</v>
      </c>
      <c r="M240" s="12"/>
      <c r="N240" s="12"/>
      <c r="O240" s="12">
        <f t="shared" ref="O240" si="161">L240+(L240*15%)</f>
        <v>2760</v>
      </c>
      <c r="P240" s="3"/>
    </row>
    <row r="241" spans="1:16" ht="19.5" hidden="1" customHeight="1">
      <c r="A241" s="3">
        <f>SUBTOTAL(103,$B$2:B241)-1</f>
        <v>2</v>
      </c>
      <c r="B241" s="20" t="s">
        <v>642</v>
      </c>
      <c r="C241" s="3" t="s">
        <v>35</v>
      </c>
      <c r="D241" s="4">
        <v>46079</v>
      </c>
      <c r="E241" s="4" t="s">
        <v>399</v>
      </c>
      <c r="F241" s="4" t="s">
        <v>18</v>
      </c>
      <c r="G241" s="8" t="s">
        <v>96</v>
      </c>
      <c r="H241" s="3" t="s">
        <v>20</v>
      </c>
      <c r="I241" s="3" t="s">
        <v>643</v>
      </c>
      <c r="J241" s="6">
        <v>2400</v>
      </c>
      <c r="K241" s="6">
        <v>1000</v>
      </c>
      <c r="L241" s="6">
        <f t="shared" si="160"/>
        <v>3400</v>
      </c>
      <c r="M241" s="6"/>
      <c r="N241" s="6"/>
      <c r="O241" s="6">
        <f t="shared" ref="O241:O242" si="162">L241+(L241*15%)+M241</f>
        <v>3910</v>
      </c>
      <c r="P241" s="3"/>
    </row>
    <row r="242" spans="1:16" ht="19.5" hidden="1" customHeight="1">
      <c r="A242" s="3">
        <f>SUBTOTAL(103,$B$2:B242)-1</f>
        <v>2</v>
      </c>
      <c r="B242" s="20" t="s">
        <v>644</v>
      </c>
      <c r="C242" s="3" t="s">
        <v>35</v>
      </c>
      <c r="D242" s="4">
        <v>46079</v>
      </c>
      <c r="E242" s="4" t="s">
        <v>45</v>
      </c>
      <c r="F242" s="4" t="s">
        <v>46</v>
      </c>
      <c r="G242" s="8" t="s">
        <v>47</v>
      </c>
      <c r="H242" s="3" t="s">
        <v>20</v>
      </c>
      <c r="I242" s="3" t="s">
        <v>645</v>
      </c>
      <c r="J242" s="6">
        <v>32000</v>
      </c>
      <c r="K242" s="6">
        <v>6000</v>
      </c>
      <c r="L242" s="6">
        <f t="shared" si="160"/>
        <v>38000</v>
      </c>
      <c r="M242" s="6"/>
      <c r="N242" s="6"/>
      <c r="O242" s="12">
        <f t="shared" si="162"/>
        <v>43700</v>
      </c>
      <c r="P242" s="3"/>
    </row>
    <row r="243" spans="1:16" ht="19.5" hidden="1" customHeight="1">
      <c r="A243" s="3">
        <f>SUBTOTAL(103,$B$2:B243)-1</f>
        <v>2</v>
      </c>
      <c r="B243" s="20" t="s">
        <v>646</v>
      </c>
      <c r="C243" s="3" t="s">
        <v>35</v>
      </c>
      <c r="D243" s="4">
        <v>46079</v>
      </c>
      <c r="E243" s="4" t="s">
        <v>45</v>
      </c>
      <c r="F243" s="4" t="s">
        <v>46</v>
      </c>
      <c r="G243" s="8" t="s">
        <v>47</v>
      </c>
      <c r="H243" s="3" t="s">
        <v>20</v>
      </c>
      <c r="I243" s="3" t="s">
        <v>663</v>
      </c>
      <c r="J243" s="12" t="s">
        <v>655</v>
      </c>
      <c r="K243" s="12" t="s">
        <v>655</v>
      </c>
      <c r="L243" s="12">
        <f t="shared" si="160"/>
        <v>0</v>
      </c>
      <c r="M243" s="12"/>
      <c r="N243" s="12"/>
      <c r="O243" s="12">
        <f t="shared" ref="O243:O246" si="163">L243+(L243*15%)</f>
        <v>0</v>
      </c>
      <c r="P243" s="3"/>
    </row>
    <row r="244" spans="1:16" ht="19.5" hidden="1" customHeight="1">
      <c r="A244" s="3">
        <f>SUBTOTAL(103,$B$2:B244)-1</f>
        <v>2</v>
      </c>
      <c r="B244" s="20" t="s">
        <v>647</v>
      </c>
      <c r="C244" s="3" t="s">
        <v>35</v>
      </c>
      <c r="D244" s="4">
        <v>46079</v>
      </c>
      <c r="E244" s="4" t="s">
        <v>31</v>
      </c>
      <c r="F244" s="4" t="s">
        <v>32</v>
      </c>
      <c r="G244" s="8" t="s">
        <v>33</v>
      </c>
      <c r="H244" s="3" t="s">
        <v>20</v>
      </c>
      <c r="I244" s="3" t="s">
        <v>405</v>
      </c>
      <c r="J244" s="6">
        <v>78000</v>
      </c>
      <c r="K244" s="6">
        <v>10000</v>
      </c>
      <c r="L244" s="6">
        <f t="shared" si="160"/>
        <v>88000</v>
      </c>
      <c r="M244" s="6"/>
      <c r="N244" s="6"/>
      <c r="O244" s="6">
        <f t="shared" si="163"/>
        <v>101200</v>
      </c>
      <c r="P244" s="3"/>
    </row>
    <row r="245" spans="1:16" ht="19.5" hidden="1" customHeight="1">
      <c r="A245" s="3">
        <f>SUBTOTAL(103,$B$2:B245)-1</f>
        <v>2</v>
      </c>
      <c r="B245" s="20" t="s">
        <v>648</v>
      </c>
      <c r="C245" s="3" t="s">
        <v>66</v>
      </c>
      <c r="D245" s="4">
        <v>46079</v>
      </c>
      <c r="E245" s="4" t="s">
        <v>502</v>
      </c>
      <c r="F245" s="4" t="s">
        <v>549</v>
      </c>
      <c r="G245" s="8" t="s">
        <v>649</v>
      </c>
      <c r="H245" s="3" t="s">
        <v>20</v>
      </c>
      <c r="I245" s="3"/>
      <c r="J245" s="6">
        <v>25</v>
      </c>
      <c r="K245" s="6"/>
      <c r="L245" s="6">
        <f t="shared" si="160"/>
        <v>25</v>
      </c>
      <c r="M245" s="6"/>
      <c r="N245" s="6"/>
      <c r="O245" s="6">
        <f t="shared" si="163"/>
        <v>28.75</v>
      </c>
      <c r="P245" s="3"/>
    </row>
    <row r="246" spans="1:16" ht="19.5" hidden="1" customHeight="1">
      <c r="A246" s="3">
        <f>SUBTOTAL(103,$B$2:B246)-1</f>
        <v>2</v>
      </c>
      <c r="B246" s="20" t="s">
        <v>651</v>
      </c>
      <c r="C246" s="3" t="s">
        <v>66</v>
      </c>
      <c r="D246" s="4">
        <v>46079</v>
      </c>
      <c r="E246" s="4" t="s">
        <v>650</v>
      </c>
      <c r="F246" s="4" t="s">
        <v>67</v>
      </c>
      <c r="G246" s="8" t="s">
        <v>652</v>
      </c>
      <c r="H246" s="3" t="s">
        <v>20</v>
      </c>
      <c r="I246" s="3" t="s">
        <v>345</v>
      </c>
      <c r="J246" s="6">
        <v>245</v>
      </c>
      <c r="K246" s="6"/>
      <c r="L246" s="6">
        <f t="shared" si="160"/>
        <v>245</v>
      </c>
      <c r="M246" s="6"/>
      <c r="N246" s="6"/>
      <c r="O246" s="6">
        <f t="shared" si="163"/>
        <v>281.75</v>
      </c>
      <c r="P246" s="3"/>
    </row>
    <row r="247" spans="1:16" ht="19.5" hidden="1" customHeight="1">
      <c r="A247" s="3">
        <f>SUBTOTAL(103,$B$2:B247)-1</f>
        <v>2</v>
      </c>
      <c r="B247" s="20" t="s">
        <v>653</v>
      </c>
      <c r="C247" s="3" t="s">
        <v>167</v>
      </c>
      <c r="D247" s="4">
        <v>46079</v>
      </c>
      <c r="E247" s="4" t="s">
        <v>441</v>
      </c>
      <c r="F247" s="4" t="s">
        <v>442</v>
      </c>
      <c r="G247" s="15" t="s">
        <v>654</v>
      </c>
      <c r="H247" s="3"/>
      <c r="I247" s="3"/>
      <c r="J247" s="6" t="s">
        <v>655</v>
      </c>
      <c r="K247" s="6"/>
      <c r="L247" s="6">
        <f>SUM(J247:K247)</f>
        <v>0</v>
      </c>
      <c r="M247" s="6"/>
      <c r="N247" s="6"/>
      <c r="O247" s="6">
        <f>L247+(L247*15%)</f>
        <v>0</v>
      </c>
      <c r="P247" s="3"/>
    </row>
    <row r="248" spans="1:16" ht="19.5" hidden="1" customHeight="1">
      <c r="A248" s="3">
        <f>SUBTOTAL(103,$B$2:B248)-1</f>
        <v>2</v>
      </c>
      <c r="B248" s="20" t="s">
        <v>656</v>
      </c>
      <c r="C248" s="3" t="s">
        <v>167</v>
      </c>
      <c r="D248" s="4">
        <v>46079</v>
      </c>
      <c r="E248" s="4" t="s">
        <v>441</v>
      </c>
      <c r="F248" s="4" t="s">
        <v>442</v>
      </c>
      <c r="G248" s="15" t="s">
        <v>599</v>
      </c>
      <c r="H248" s="3"/>
      <c r="I248" s="3"/>
      <c r="J248" s="6">
        <v>5204</v>
      </c>
      <c r="K248" s="6"/>
      <c r="L248" s="6">
        <f>SUM(J248:K248)</f>
        <v>5204</v>
      </c>
      <c r="M248" s="6"/>
      <c r="N248" s="6"/>
      <c r="O248" s="6">
        <f>L248+(L248*15%)</f>
        <v>5984.6</v>
      </c>
      <c r="P248" s="3"/>
    </row>
    <row r="249" spans="1:16" ht="19.5" hidden="1" customHeight="1">
      <c r="A249" s="3">
        <f>SUBTOTAL(103,$B$2:B249)-1</f>
        <v>2</v>
      </c>
      <c r="B249" s="20" t="s">
        <v>657</v>
      </c>
      <c r="C249" s="3" t="s">
        <v>167</v>
      </c>
      <c r="D249" s="4">
        <v>46079</v>
      </c>
      <c r="E249" s="4" t="s">
        <v>441</v>
      </c>
      <c r="F249" s="4" t="s">
        <v>442</v>
      </c>
      <c r="G249" s="15" t="s">
        <v>599</v>
      </c>
      <c r="H249" s="3"/>
      <c r="I249" s="3"/>
      <c r="J249" s="6">
        <v>6370</v>
      </c>
      <c r="K249" s="6"/>
      <c r="L249" s="6">
        <f>SUM(J249:K249)</f>
        <v>6370</v>
      </c>
      <c r="M249" s="6"/>
      <c r="N249" s="6"/>
      <c r="O249" s="6">
        <f>L249+(L249*15%)</f>
        <v>7325.5</v>
      </c>
      <c r="P249" s="3"/>
    </row>
    <row r="250" spans="1:16" ht="19.5" hidden="1" customHeight="1">
      <c r="A250" s="3">
        <f>SUBTOTAL(103,$B$2:B250)-1</f>
        <v>2</v>
      </c>
      <c r="B250" s="20" t="s">
        <v>658</v>
      </c>
      <c r="C250" s="3" t="s">
        <v>66</v>
      </c>
      <c r="D250" s="4">
        <v>46079</v>
      </c>
      <c r="E250" s="4" t="s">
        <v>659</v>
      </c>
      <c r="F250" s="4" t="s">
        <v>660</v>
      </c>
      <c r="G250" s="8" t="s">
        <v>271</v>
      </c>
      <c r="H250" s="3" t="s">
        <v>20</v>
      </c>
      <c r="I250" s="3" t="s">
        <v>306</v>
      </c>
      <c r="J250" s="6">
        <v>88</v>
      </c>
      <c r="K250" s="6"/>
      <c r="L250" s="6">
        <f t="shared" ref="L250:L256" si="164">SUM(J250:K250)</f>
        <v>88</v>
      </c>
      <c r="M250" s="6"/>
      <c r="N250" s="6"/>
      <c r="O250" s="6">
        <f t="shared" ref="O250:O253" si="165">L250+(L250*15%)</f>
        <v>101.2</v>
      </c>
      <c r="P250" s="3"/>
    </row>
    <row r="251" spans="1:16" ht="19.5" hidden="1" customHeight="1">
      <c r="A251" s="3">
        <f>SUBTOTAL(103,$B$2:B251)-1</f>
        <v>2</v>
      </c>
      <c r="B251" s="20" t="s">
        <v>661</v>
      </c>
      <c r="C251" s="3" t="s">
        <v>66</v>
      </c>
      <c r="D251" s="4">
        <v>46107</v>
      </c>
      <c r="E251" s="4" t="s">
        <v>530</v>
      </c>
      <c r="F251" s="4" t="s">
        <v>531</v>
      </c>
      <c r="G251" s="8" t="s">
        <v>305</v>
      </c>
      <c r="H251" s="3" t="s">
        <v>20</v>
      </c>
      <c r="I251" s="3"/>
      <c r="J251" s="6">
        <v>15</v>
      </c>
      <c r="K251" s="6"/>
      <c r="L251" s="6">
        <f t="shared" si="164"/>
        <v>15</v>
      </c>
      <c r="M251" s="6"/>
      <c r="N251" s="6"/>
      <c r="O251" s="6">
        <f t="shared" si="165"/>
        <v>17.25</v>
      </c>
      <c r="P251" s="3"/>
    </row>
    <row r="252" spans="1:16" ht="19.5" hidden="1" customHeight="1">
      <c r="A252" s="3">
        <f>SUBTOTAL(103,$B$2:B252)-1</f>
        <v>2</v>
      </c>
      <c r="B252" s="20" t="s">
        <v>664</v>
      </c>
      <c r="C252" s="3" t="s">
        <v>66</v>
      </c>
      <c r="D252" s="4">
        <v>46107</v>
      </c>
      <c r="E252" s="4" t="s">
        <v>665</v>
      </c>
      <c r="F252" s="4" t="s">
        <v>666</v>
      </c>
      <c r="G252" s="8" t="s">
        <v>667</v>
      </c>
      <c r="H252" s="3" t="s">
        <v>20</v>
      </c>
      <c r="I252" s="3"/>
      <c r="J252" s="6" t="s">
        <v>655</v>
      </c>
      <c r="K252" s="6"/>
      <c r="L252" s="6">
        <f t="shared" si="164"/>
        <v>0</v>
      </c>
      <c r="M252" s="6"/>
      <c r="N252" s="6"/>
      <c r="O252" s="6">
        <f t="shared" si="165"/>
        <v>0</v>
      </c>
      <c r="P252" s="3"/>
    </row>
    <row r="253" spans="1:16" ht="19.5" hidden="1" customHeight="1">
      <c r="A253" s="3">
        <f>SUBTOTAL(103,$B$2:B253)-1</f>
        <v>2</v>
      </c>
      <c r="B253" s="20" t="s">
        <v>669</v>
      </c>
      <c r="C253" s="3" t="s">
        <v>35</v>
      </c>
      <c r="D253" s="4">
        <v>46107</v>
      </c>
      <c r="E253" s="4" t="s">
        <v>217</v>
      </c>
      <c r="F253" s="4" t="s">
        <v>219</v>
      </c>
      <c r="G253" s="8" t="s">
        <v>42</v>
      </c>
      <c r="H253" s="3" t="s">
        <v>20</v>
      </c>
      <c r="I253" s="3" t="s">
        <v>594</v>
      </c>
      <c r="J253" s="6">
        <v>21000</v>
      </c>
      <c r="K253" s="6">
        <v>4000</v>
      </c>
      <c r="L253" s="6">
        <f t="shared" si="164"/>
        <v>25000</v>
      </c>
      <c r="M253" s="6"/>
      <c r="N253" s="6"/>
      <c r="O253" s="6">
        <f t="shared" si="165"/>
        <v>28750</v>
      </c>
      <c r="P253" s="3"/>
    </row>
    <row r="254" spans="1:16" ht="19.5" hidden="1" customHeight="1">
      <c r="A254" s="3">
        <f>SUBTOTAL(103,$B$2:B254)-1</f>
        <v>2</v>
      </c>
      <c r="B254" s="20" t="s">
        <v>670</v>
      </c>
      <c r="C254" s="3" t="s">
        <v>35</v>
      </c>
      <c r="D254" s="4">
        <v>46107</v>
      </c>
      <c r="E254" s="4" t="s">
        <v>133</v>
      </c>
      <c r="F254" s="4" t="s">
        <v>95</v>
      </c>
      <c r="G254" s="8" t="s">
        <v>96</v>
      </c>
      <c r="H254" s="3" t="s">
        <v>20</v>
      </c>
      <c r="I254" s="3" t="s">
        <v>671</v>
      </c>
      <c r="J254" s="6">
        <v>2400</v>
      </c>
      <c r="K254" s="6"/>
      <c r="L254" s="6">
        <f t="shared" si="164"/>
        <v>2400</v>
      </c>
      <c r="M254" s="6"/>
      <c r="N254" s="6"/>
      <c r="O254" s="6">
        <f t="shared" ref="O254" si="166">L254+(L254*15%)+M254</f>
        <v>2760</v>
      </c>
      <c r="P254" s="3"/>
    </row>
    <row r="255" spans="1:16" ht="19.5" hidden="1" customHeight="1">
      <c r="A255" s="3">
        <f>SUBTOTAL(103,$B$2:B255)-1</f>
        <v>2</v>
      </c>
      <c r="B255" s="20" t="s">
        <v>672</v>
      </c>
      <c r="C255" s="3" t="s">
        <v>189</v>
      </c>
      <c r="D255" s="4">
        <v>46107</v>
      </c>
      <c r="E255" s="4" t="s">
        <v>596</v>
      </c>
      <c r="F255" s="4" t="s">
        <v>597</v>
      </c>
      <c r="G255" s="8" t="s">
        <v>205</v>
      </c>
      <c r="H255" s="3"/>
      <c r="I255" s="3"/>
      <c r="J255" s="6">
        <v>48941</v>
      </c>
      <c r="K255" s="6"/>
      <c r="L255" s="6">
        <f t="shared" si="164"/>
        <v>48941</v>
      </c>
      <c r="M255" s="6"/>
      <c r="N255" s="6"/>
      <c r="O255" s="6">
        <f t="shared" ref="O255:O256" si="167">L255+(L255*15%)</f>
        <v>56282.15</v>
      </c>
      <c r="P255" s="3"/>
    </row>
    <row r="256" spans="1:16" ht="19.5" hidden="1" customHeight="1">
      <c r="A256" s="3">
        <f>SUBTOTAL(103,$B$2:B256)-1</f>
        <v>2</v>
      </c>
      <c r="B256" s="20" t="s">
        <v>673</v>
      </c>
      <c r="C256" s="3" t="s">
        <v>35</v>
      </c>
      <c r="D256" s="4">
        <v>46107</v>
      </c>
      <c r="E256" s="4" t="s">
        <v>45</v>
      </c>
      <c r="F256" s="4" t="s">
        <v>46</v>
      </c>
      <c r="G256" s="8" t="s">
        <v>47</v>
      </c>
      <c r="H256" s="3" t="s">
        <v>20</v>
      </c>
      <c r="I256" s="3" t="s">
        <v>674</v>
      </c>
      <c r="J256" s="12">
        <v>32000</v>
      </c>
      <c r="K256" s="12">
        <v>6000</v>
      </c>
      <c r="L256" s="12">
        <f t="shared" si="164"/>
        <v>38000</v>
      </c>
      <c r="M256" s="12"/>
      <c r="N256" s="12"/>
      <c r="O256" s="12">
        <f t="shared" si="167"/>
        <v>43700</v>
      </c>
      <c r="P256" s="3"/>
    </row>
    <row r="257" spans="1:16" ht="19.5" hidden="1" customHeight="1">
      <c r="A257" s="3">
        <f>SUBTOTAL(103,$B$2:B257)-1</f>
        <v>2</v>
      </c>
      <c r="B257" s="20" t="s">
        <v>675</v>
      </c>
      <c r="C257" s="3" t="s">
        <v>189</v>
      </c>
      <c r="D257" s="4">
        <v>46107</v>
      </c>
      <c r="E257" s="4" t="s">
        <v>676</v>
      </c>
      <c r="F257" s="4" t="s">
        <v>713</v>
      </c>
      <c r="G257" s="8" t="s">
        <v>205</v>
      </c>
      <c r="H257" s="3"/>
      <c r="I257" s="3"/>
      <c r="J257" s="6">
        <v>149810</v>
      </c>
      <c r="K257" s="6"/>
      <c r="L257" s="6">
        <f t="shared" ref="L257:L259" si="168">SUM(J257:K257)</f>
        <v>149810</v>
      </c>
      <c r="M257" s="6"/>
      <c r="N257" s="6"/>
      <c r="O257" s="6">
        <f t="shared" ref="O257:O259" si="169">L257+(L257*15%)</f>
        <v>172281.5</v>
      </c>
      <c r="P257" s="3"/>
    </row>
    <row r="258" spans="1:16" ht="19.5" hidden="1" customHeight="1">
      <c r="A258" s="3">
        <f>SUBTOTAL(103,$B$2:B258)-1</f>
        <v>2</v>
      </c>
      <c r="B258" s="20" t="s">
        <v>677</v>
      </c>
      <c r="C258" s="3" t="s">
        <v>35</v>
      </c>
      <c r="D258" s="4">
        <v>46107</v>
      </c>
      <c r="E258" s="4" t="s">
        <v>213</v>
      </c>
      <c r="F258" s="4" t="s">
        <v>214</v>
      </c>
      <c r="G258" s="8" t="s">
        <v>42</v>
      </c>
      <c r="H258" s="3" t="s">
        <v>20</v>
      </c>
      <c r="I258" s="3" t="s">
        <v>678</v>
      </c>
      <c r="J258" s="6">
        <v>18000</v>
      </c>
      <c r="K258" s="6">
        <v>4000</v>
      </c>
      <c r="L258" s="6">
        <f t="shared" si="168"/>
        <v>22000</v>
      </c>
      <c r="M258" s="6"/>
      <c r="N258" s="6"/>
      <c r="O258" s="6">
        <f t="shared" si="169"/>
        <v>25300</v>
      </c>
      <c r="P258" s="3"/>
    </row>
    <row r="259" spans="1:16" ht="19.5" hidden="1" customHeight="1">
      <c r="A259" s="3">
        <f>SUBTOTAL(103,$B$2:B259)-1</f>
        <v>2</v>
      </c>
      <c r="B259" s="20" t="s">
        <v>679</v>
      </c>
      <c r="C259" s="3" t="s">
        <v>66</v>
      </c>
      <c r="D259" s="4">
        <v>46107</v>
      </c>
      <c r="E259" s="4" t="s">
        <v>665</v>
      </c>
      <c r="F259" s="4" t="s">
        <v>666</v>
      </c>
      <c r="G259" s="8" t="s">
        <v>478</v>
      </c>
      <c r="H259" s="3" t="s">
        <v>20</v>
      </c>
      <c r="I259" s="3" t="s">
        <v>722</v>
      </c>
      <c r="J259" s="6">
        <v>90</v>
      </c>
      <c r="K259" s="6"/>
      <c r="L259" s="6">
        <f t="shared" si="168"/>
        <v>90</v>
      </c>
      <c r="M259" s="6"/>
      <c r="N259" s="6"/>
      <c r="O259" s="6">
        <f t="shared" si="169"/>
        <v>103.5</v>
      </c>
      <c r="P259" s="3"/>
    </row>
    <row r="260" spans="1:16" ht="19.5" hidden="1" customHeight="1">
      <c r="A260" s="3">
        <f>SUBTOTAL(103,$B$2:B260)-1</f>
        <v>2</v>
      </c>
      <c r="B260" s="20" t="s">
        <v>680</v>
      </c>
      <c r="C260" s="3" t="s">
        <v>66</v>
      </c>
      <c r="D260" s="4">
        <v>46107</v>
      </c>
      <c r="E260" s="4" t="s">
        <v>681</v>
      </c>
      <c r="F260" s="4" t="s">
        <v>682</v>
      </c>
      <c r="G260" s="8" t="s">
        <v>683</v>
      </c>
      <c r="H260" s="3" t="s">
        <v>20</v>
      </c>
      <c r="I260" s="3"/>
      <c r="J260" s="6">
        <v>54</v>
      </c>
      <c r="K260" s="6"/>
      <c r="L260" s="6">
        <f>SUM(J260:K260)</f>
        <v>54</v>
      </c>
      <c r="M260" s="6"/>
      <c r="N260" s="6"/>
      <c r="O260" s="6">
        <f t="shared" ref="O260:O262" si="170">L260+(L260*15%)+M260</f>
        <v>62.1</v>
      </c>
      <c r="P260" s="3"/>
    </row>
    <row r="261" spans="1:16" ht="19.5" hidden="1" customHeight="1">
      <c r="A261" s="3">
        <f>SUBTOTAL(103,$B$2:B261)-1</f>
        <v>2</v>
      </c>
      <c r="B261" s="20" t="s">
        <v>684</v>
      </c>
      <c r="C261" s="3" t="s">
        <v>185</v>
      </c>
      <c r="D261" s="4">
        <v>46107</v>
      </c>
      <c r="E261" s="4" t="s">
        <v>93</v>
      </c>
      <c r="F261" s="4" t="s">
        <v>90</v>
      </c>
      <c r="G261" s="8" t="s">
        <v>72</v>
      </c>
      <c r="H261" s="3"/>
      <c r="I261" s="3"/>
      <c r="J261" s="6">
        <v>59595.6</v>
      </c>
      <c r="K261" s="6"/>
      <c r="L261" s="6">
        <f t="shared" ref="L261:L265" si="171">SUM(J261:K261)</f>
        <v>59595.6</v>
      </c>
      <c r="M261" s="6"/>
      <c r="N261" s="6"/>
      <c r="O261" s="6">
        <f t="shared" si="170"/>
        <v>68534.94</v>
      </c>
      <c r="P261" s="3"/>
    </row>
    <row r="262" spans="1:16" ht="19.5" hidden="1" customHeight="1">
      <c r="A262" s="3">
        <f>SUBTOTAL(103,$B$2:B262)-1</f>
        <v>2</v>
      </c>
      <c r="B262" s="20" t="s">
        <v>685</v>
      </c>
      <c r="C262" s="3" t="s">
        <v>185</v>
      </c>
      <c r="D262" s="4">
        <v>46107</v>
      </c>
      <c r="E262" s="4" t="s">
        <v>163</v>
      </c>
      <c r="F262" s="4" t="s">
        <v>164</v>
      </c>
      <c r="G262" s="8" t="s">
        <v>299</v>
      </c>
      <c r="H262" s="3"/>
      <c r="I262" s="3"/>
      <c r="J262" s="6">
        <v>25919</v>
      </c>
      <c r="K262" s="6"/>
      <c r="L262" s="6">
        <f t="shared" si="171"/>
        <v>25919</v>
      </c>
      <c r="M262" s="6"/>
      <c r="N262" s="6"/>
      <c r="O262" s="6">
        <f t="shared" si="170"/>
        <v>29806.85</v>
      </c>
      <c r="P262" s="3"/>
    </row>
    <row r="263" spans="1:16" ht="19.5" hidden="1" customHeight="1">
      <c r="A263" s="3">
        <f>SUBTOTAL(103,$B$2:B263)-1</f>
        <v>2</v>
      </c>
      <c r="B263" s="20" t="s">
        <v>686</v>
      </c>
      <c r="C263" s="3" t="s">
        <v>189</v>
      </c>
      <c r="D263" s="4">
        <v>46107</v>
      </c>
      <c r="E263" s="4" t="s">
        <v>203</v>
      </c>
      <c r="F263" s="4" t="s">
        <v>204</v>
      </c>
      <c r="G263" s="8" t="s">
        <v>205</v>
      </c>
      <c r="H263" s="3"/>
      <c r="I263" s="3"/>
      <c r="J263" s="6">
        <v>498196.5</v>
      </c>
      <c r="K263" s="6"/>
      <c r="L263" s="6">
        <f t="shared" si="171"/>
        <v>498196.5</v>
      </c>
      <c r="M263" s="6"/>
      <c r="N263" s="6"/>
      <c r="O263" s="6">
        <f t="shared" ref="O263:O265" si="172">L263+(L263*15%)</f>
        <v>572925.97499999998</v>
      </c>
      <c r="P263" s="3"/>
    </row>
    <row r="264" spans="1:16" ht="19.5" hidden="1" customHeight="1">
      <c r="A264" s="3">
        <f>SUBTOTAL(103,$B$2:B264)-1</f>
        <v>2</v>
      </c>
      <c r="B264" s="20" t="s">
        <v>687</v>
      </c>
      <c r="C264" s="3" t="s">
        <v>194</v>
      </c>
      <c r="D264" s="4">
        <v>46107</v>
      </c>
      <c r="E264" s="4" t="s">
        <v>688</v>
      </c>
      <c r="F264" s="4" t="s">
        <v>195</v>
      </c>
      <c r="G264" s="8" t="s">
        <v>196</v>
      </c>
      <c r="H264" s="3" t="s">
        <v>20</v>
      </c>
      <c r="I264" s="3"/>
      <c r="J264" s="6">
        <v>28530</v>
      </c>
      <c r="K264" s="6"/>
      <c r="L264" s="6">
        <f t="shared" si="171"/>
        <v>28530</v>
      </c>
      <c r="M264" s="6"/>
      <c r="N264" s="6"/>
      <c r="O264" s="6">
        <f t="shared" si="172"/>
        <v>32809.5</v>
      </c>
      <c r="P264" s="3"/>
    </row>
    <row r="265" spans="1:16" ht="19.5" hidden="1" customHeight="1">
      <c r="A265" s="3">
        <f>SUBTOTAL(103,$B$2:B265)-1</f>
        <v>2</v>
      </c>
      <c r="B265" s="20" t="s">
        <v>690</v>
      </c>
      <c r="C265" s="3" t="s">
        <v>189</v>
      </c>
      <c r="D265" s="4">
        <v>46107</v>
      </c>
      <c r="E265" s="4" t="s">
        <v>637</v>
      </c>
      <c r="F265" s="4" t="s">
        <v>689</v>
      </c>
      <c r="G265" s="8" t="s">
        <v>205</v>
      </c>
      <c r="H265" s="3"/>
      <c r="I265" s="3"/>
      <c r="J265" s="6">
        <v>107636</v>
      </c>
      <c r="K265" s="6"/>
      <c r="L265" s="6">
        <f t="shared" si="171"/>
        <v>107636</v>
      </c>
      <c r="M265" s="6"/>
      <c r="N265" s="6"/>
      <c r="O265" s="6">
        <f t="shared" si="172"/>
        <v>123781.4</v>
      </c>
      <c r="P265" s="3"/>
    </row>
    <row r="266" spans="1:16" ht="19.5" hidden="1" customHeight="1">
      <c r="A266" s="3">
        <f>SUBTOTAL(103,$B$2:B266)-1</f>
        <v>2</v>
      </c>
      <c r="B266" s="20" t="s">
        <v>691</v>
      </c>
      <c r="C266" s="3" t="s">
        <v>66</v>
      </c>
      <c r="D266" s="4">
        <v>46107</v>
      </c>
      <c r="E266" s="4" t="s">
        <v>269</v>
      </c>
      <c r="F266" s="4" t="s">
        <v>270</v>
      </c>
      <c r="G266" s="8" t="s">
        <v>478</v>
      </c>
      <c r="H266" s="3" t="s">
        <v>20</v>
      </c>
      <c r="I266" s="3"/>
      <c r="J266" s="6">
        <v>90</v>
      </c>
      <c r="K266" s="6"/>
      <c r="L266" s="6">
        <f>SUM(J266:K266)</f>
        <v>90</v>
      </c>
      <c r="M266" s="6"/>
      <c r="N266" s="6"/>
      <c r="O266" s="6">
        <f t="shared" ref="O266:O268" si="173">L266+(L266*15%)+M266</f>
        <v>103.5</v>
      </c>
      <c r="P266" s="3"/>
    </row>
    <row r="267" spans="1:16" ht="19.5" hidden="1" customHeight="1">
      <c r="A267" s="3">
        <f>SUBTOTAL(103,$B$2:B267)-1</f>
        <v>2</v>
      </c>
      <c r="B267" s="20" t="s">
        <v>692</v>
      </c>
      <c r="C267" s="3" t="s">
        <v>35</v>
      </c>
      <c r="D267" s="4">
        <v>46107</v>
      </c>
      <c r="E267" s="4" t="s">
        <v>133</v>
      </c>
      <c r="F267" s="4" t="s">
        <v>95</v>
      </c>
      <c r="G267" s="8" t="s">
        <v>134</v>
      </c>
      <c r="H267" s="3" t="s">
        <v>20</v>
      </c>
      <c r="I267" s="3" t="s">
        <v>693</v>
      </c>
      <c r="J267" s="6" t="s">
        <v>655</v>
      </c>
      <c r="K267" s="6"/>
      <c r="L267" s="6">
        <f t="shared" ref="L267:L272" si="174">SUM(J267:K267)</f>
        <v>0</v>
      </c>
      <c r="M267" s="6"/>
      <c r="N267" s="6"/>
      <c r="O267" s="6">
        <f t="shared" si="173"/>
        <v>0</v>
      </c>
      <c r="P267" s="3"/>
    </row>
    <row r="268" spans="1:16" ht="19.5" hidden="1" customHeight="1">
      <c r="A268" s="3">
        <f>SUBTOTAL(103,$B$2:B268)-1</f>
        <v>2</v>
      </c>
      <c r="B268" s="20" t="s">
        <v>694</v>
      </c>
      <c r="C268" s="3" t="s">
        <v>35</v>
      </c>
      <c r="D268" s="4">
        <v>46107</v>
      </c>
      <c r="E268" s="4" t="s">
        <v>399</v>
      </c>
      <c r="F268" s="4" t="s">
        <v>18</v>
      </c>
      <c r="G268" s="8" t="s">
        <v>134</v>
      </c>
      <c r="H268" s="3" t="s">
        <v>20</v>
      </c>
      <c r="I268" s="3" t="s">
        <v>695</v>
      </c>
      <c r="J268" s="6">
        <v>9000</v>
      </c>
      <c r="K268" s="6">
        <v>1000</v>
      </c>
      <c r="L268" s="6">
        <f t="shared" si="174"/>
        <v>10000</v>
      </c>
      <c r="M268" s="6"/>
      <c r="N268" s="6"/>
      <c r="O268" s="6">
        <f t="shared" si="173"/>
        <v>11500</v>
      </c>
      <c r="P268" s="3"/>
    </row>
    <row r="269" spans="1:16" ht="19.5" hidden="1" customHeight="1">
      <c r="A269" s="3">
        <f>SUBTOTAL(103,$B$2:B269)-1</f>
        <v>2</v>
      </c>
      <c r="B269" s="20" t="s">
        <v>696</v>
      </c>
      <c r="C269" s="3" t="s">
        <v>189</v>
      </c>
      <c r="D269" s="4">
        <v>46107</v>
      </c>
      <c r="E269" s="4" t="s">
        <v>589</v>
      </c>
      <c r="F269" s="4" t="s">
        <v>587</v>
      </c>
      <c r="G269" s="8" t="s">
        <v>588</v>
      </c>
      <c r="H269" s="3"/>
      <c r="I269" s="3"/>
      <c r="J269" s="6">
        <v>117735</v>
      </c>
      <c r="K269" s="6"/>
      <c r="L269" s="6">
        <f t="shared" si="174"/>
        <v>117735</v>
      </c>
      <c r="M269" s="6"/>
      <c r="N269" s="6"/>
      <c r="O269" s="6">
        <f t="shared" ref="O269:O271" si="175">L269+(L269*15%)</f>
        <v>135395.25</v>
      </c>
      <c r="P269" s="3"/>
    </row>
    <row r="270" spans="1:16" ht="19.5" hidden="1" customHeight="1">
      <c r="A270" s="3">
        <f>SUBTOTAL(103,$B$2:B270)-1</f>
        <v>2</v>
      </c>
      <c r="B270" s="20" t="s">
        <v>697</v>
      </c>
      <c r="C270" s="3" t="s">
        <v>189</v>
      </c>
      <c r="D270" s="4">
        <v>46107</v>
      </c>
      <c r="E270" s="4" t="s">
        <v>203</v>
      </c>
      <c r="F270" s="4" t="s">
        <v>204</v>
      </c>
      <c r="G270" s="8" t="s">
        <v>504</v>
      </c>
      <c r="H270" s="3"/>
      <c r="I270" s="3"/>
      <c r="J270" s="6">
        <v>28100</v>
      </c>
      <c r="K270" s="6"/>
      <c r="L270" s="6">
        <f t="shared" si="174"/>
        <v>28100</v>
      </c>
      <c r="M270" s="6"/>
      <c r="N270" s="6"/>
      <c r="O270" s="6">
        <f t="shared" si="175"/>
        <v>32315</v>
      </c>
      <c r="P270" s="3"/>
    </row>
    <row r="271" spans="1:16" ht="19.5" hidden="1" customHeight="1">
      <c r="A271" s="3">
        <f>SUBTOTAL(103,$B$2:B271)-1</f>
        <v>2</v>
      </c>
      <c r="B271" s="20" t="s">
        <v>698</v>
      </c>
      <c r="C271" s="3" t="s">
        <v>35</v>
      </c>
      <c r="D271" s="4">
        <v>46107</v>
      </c>
      <c r="E271" s="4" t="s">
        <v>24</v>
      </c>
      <c r="F271" s="4" t="s">
        <v>25</v>
      </c>
      <c r="G271" s="8" t="s">
        <v>29</v>
      </c>
      <c r="H271" s="3" t="s">
        <v>20</v>
      </c>
      <c r="I271" s="3" t="s">
        <v>699</v>
      </c>
      <c r="J271" s="6">
        <v>14500</v>
      </c>
      <c r="K271" s="6"/>
      <c r="L271" s="6">
        <f t="shared" si="174"/>
        <v>14500</v>
      </c>
      <c r="M271" s="6"/>
      <c r="N271" s="6"/>
      <c r="O271" s="6">
        <f t="shared" si="175"/>
        <v>16675</v>
      </c>
      <c r="P271" s="3"/>
    </row>
    <row r="272" spans="1:16" ht="19.5" hidden="1" customHeight="1">
      <c r="A272" s="3">
        <f>SUBTOTAL(103,$B$2:B272)-1</f>
        <v>2</v>
      </c>
      <c r="B272" s="20" t="s">
        <v>700</v>
      </c>
      <c r="C272" s="3" t="s">
        <v>35</v>
      </c>
      <c r="D272" s="4">
        <v>46107</v>
      </c>
      <c r="E272" s="4" t="s">
        <v>161</v>
      </c>
      <c r="F272" s="4" t="s">
        <v>701</v>
      </c>
      <c r="G272" s="8" t="s">
        <v>26</v>
      </c>
      <c r="H272" s="3" t="s">
        <v>20</v>
      </c>
      <c r="I272" s="3" t="s">
        <v>702</v>
      </c>
      <c r="J272" s="6">
        <v>33000</v>
      </c>
      <c r="K272" s="6"/>
      <c r="L272" s="6">
        <f t="shared" si="174"/>
        <v>33000</v>
      </c>
      <c r="M272" s="6"/>
      <c r="N272" s="6"/>
      <c r="O272" s="6">
        <f t="shared" ref="O272" si="176">L272+(L272*15%)+M272</f>
        <v>37950</v>
      </c>
      <c r="P272" s="3"/>
    </row>
    <row r="273" spans="1:16" ht="19.5" hidden="1" customHeight="1">
      <c r="A273" s="3">
        <f>SUBTOTAL(103,$B$2:B273)-1</f>
        <v>2</v>
      </c>
      <c r="B273" s="20" t="s">
        <v>703</v>
      </c>
      <c r="C273" s="3" t="s">
        <v>66</v>
      </c>
      <c r="D273" s="4">
        <v>46107</v>
      </c>
      <c r="E273" s="4" t="s">
        <v>24</v>
      </c>
      <c r="F273" s="4" t="s">
        <v>25</v>
      </c>
      <c r="G273" s="8" t="s">
        <v>76</v>
      </c>
      <c r="H273" s="3" t="s">
        <v>20</v>
      </c>
      <c r="I273" s="3" t="s">
        <v>345</v>
      </c>
      <c r="J273" s="6">
        <v>65</v>
      </c>
      <c r="K273" s="6"/>
      <c r="L273" s="6">
        <f t="shared" ref="L273:L274" si="177">SUM(J273:K273)</f>
        <v>65</v>
      </c>
      <c r="M273" s="6"/>
      <c r="N273" s="6"/>
      <c r="O273" s="6">
        <f t="shared" ref="O273:O274" si="178">L273+(L273*15%)</f>
        <v>74.75</v>
      </c>
      <c r="P273" s="3"/>
    </row>
    <row r="274" spans="1:16" ht="19.5" hidden="1" customHeight="1">
      <c r="A274" s="3">
        <f>SUBTOTAL(103,$B$2:B274)-1</f>
        <v>2</v>
      </c>
      <c r="B274" s="20" t="s">
        <v>704</v>
      </c>
      <c r="C274" s="3" t="s">
        <v>35</v>
      </c>
      <c r="D274" s="4">
        <v>46107</v>
      </c>
      <c r="E274" s="4" t="s">
        <v>706</v>
      </c>
      <c r="F274" s="4" t="s">
        <v>707</v>
      </c>
      <c r="G274" s="8" t="s">
        <v>130</v>
      </c>
      <c r="H274" s="3" t="s">
        <v>20</v>
      </c>
      <c r="I274" s="3" t="s">
        <v>705</v>
      </c>
      <c r="J274" s="6">
        <v>90000</v>
      </c>
      <c r="K274" s="6">
        <v>10000</v>
      </c>
      <c r="L274" s="6">
        <f t="shared" si="177"/>
        <v>100000</v>
      </c>
      <c r="M274" s="6"/>
      <c r="N274" s="6"/>
      <c r="O274" s="6">
        <f t="shared" si="178"/>
        <v>115000</v>
      </c>
      <c r="P274" s="3"/>
    </row>
    <row r="275" spans="1:16" ht="19.5" hidden="1" customHeight="1">
      <c r="A275" s="3">
        <f>SUBTOTAL(103,$B$2:B275)-1</f>
        <v>2</v>
      </c>
      <c r="B275" s="20" t="s">
        <v>708</v>
      </c>
      <c r="C275" s="3" t="s">
        <v>167</v>
      </c>
      <c r="D275" s="4">
        <v>46107</v>
      </c>
      <c r="E275" s="4" t="s">
        <v>441</v>
      </c>
      <c r="F275" s="4" t="s">
        <v>442</v>
      </c>
      <c r="G275" s="15" t="s">
        <v>599</v>
      </c>
      <c r="H275" s="3"/>
      <c r="I275" s="3"/>
      <c r="J275" s="6">
        <v>17295</v>
      </c>
      <c r="K275" s="6"/>
      <c r="L275" s="6">
        <f t="shared" ref="L275:L281" si="179">SUM(J275:K275)</f>
        <v>17295</v>
      </c>
      <c r="M275" s="6"/>
      <c r="N275" s="6"/>
      <c r="O275" s="6">
        <f>L275+(L275*15%)</f>
        <v>19889.25</v>
      </c>
      <c r="P275" s="3"/>
    </row>
    <row r="276" spans="1:16" ht="19.5" hidden="1" customHeight="1">
      <c r="A276" s="3">
        <f>SUBTOTAL(103,$B$2:B276)-1</f>
        <v>2</v>
      </c>
      <c r="B276" s="20" t="s">
        <v>709</v>
      </c>
      <c r="C276" s="3" t="s">
        <v>66</v>
      </c>
      <c r="D276" s="4">
        <v>46107</v>
      </c>
      <c r="E276" s="4" t="s">
        <v>710</v>
      </c>
      <c r="F276" s="4" t="s">
        <v>711</v>
      </c>
      <c r="G276" s="15" t="s">
        <v>712</v>
      </c>
      <c r="H276" s="3" t="s">
        <v>20</v>
      </c>
      <c r="I276" s="3"/>
      <c r="J276" s="6"/>
      <c r="K276" s="6"/>
      <c r="L276" s="6">
        <f t="shared" si="179"/>
        <v>0</v>
      </c>
      <c r="M276" s="6"/>
      <c r="N276" s="6"/>
      <c r="O276" s="6">
        <f t="shared" ref="O276" si="180">L276+(L276*15%)+M276</f>
        <v>0</v>
      </c>
      <c r="P276" s="3"/>
    </row>
    <row r="277" spans="1:16" ht="19.5" hidden="1" customHeight="1">
      <c r="A277" s="3">
        <f>SUBTOTAL(103,$B$2:B277)-1</f>
        <v>2</v>
      </c>
      <c r="B277" s="20" t="s">
        <v>714</v>
      </c>
      <c r="C277" s="3" t="s">
        <v>66</v>
      </c>
      <c r="D277" s="4">
        <v>46138</v>
      </c>
      <c r="E277" s="4" t="s">
        <v>441</v>
      </c>
      <c r="F277" s="4" t="s">
        <v>442</v>
      </c>
      <c r="G277" s="15" t="s">
        <v>715</v>
      </c>
      <c r="H277" s="3" t="s">
        <v>20</v>
      </c>
      <c r="I277" s="3"/>
      <c r="J277" s="6"/>
      <c r="K277" s="6"/>
      <c r="L277" s="6">
        <f t="shared" si="179"/>
        <v>0</v>
      </c>
      <c r="M277" s="6"/>
      <c r="N277" s="6"/>
      <c r="O277" s="6">
        <f>L277+(L277*15%)</f>
        <v>0</v>
      </c>
      <c r="P277" s="3"/>
    </row>
    <row r="278" spans="1:16" ht="19.5" hidden="1" customHeight="1">
      <c r="A278" s="3">
        <f>SUBTOTAL(103,$B$2:B278)-1</f>
        <v>2</v>
      </c>
      <c r="B278" s="20" t="s">
        <v>716</v>
      </c>
      <c r="C278" s="3" t="s">
        <v>167</v>
      </c>
      <c r="D278" s="4">
        <v>46138</v>
      </c>
      <c r="E278" s="4" t="s">
        <v>441</v>
      </c>
      <c r="F278" s="4" t="s">
        <v>442</v>
      </c>
      <c r="G278" s="15" t="s">
        <v>654</v>
      </c>
      <c r="H278" s="3"/>
      <c r="I278" s="3"/>
      <c r="J278" s="6" t="s">
        <v>655</v>
      </c>
      <c r="K278" s="6"/>
      <c r="L278" s="6">
        <f t="shared" si="179"/>
        <v>0</v>
      </c>
      <c r="M278" s="6"/>
      <c r="N278" s="6"/>
      <c r="O278" s="6">
        <f>L278+(L278*15%)</f>
        <v>0</v>
      </c>
      <c r="P278" s="3"/>
    </row>
    <row r="279" spans="1:16" ht="19.5" hidden="1" customHeight="1">
      <c r="A279" s="3">
        <f>SUBTOTAL(103,$B$2:B279)-1</f>
        <v>2</v>
      </c>
      <c r="B279" s="20" t="s">
        <v>717</v>
      </c>
      <c r="C279" s="3" t="s">
        <v>66</v>
      </c>
      <c r="D279" s="4">
        <v>46138</v>
      </c>
      <c r="E279" s="4" t="s">
        <v>481</v>
      </c>
      <c r="F279" s="4" t="s">
        <v>482</v>
      </c>
      <c r="G279" s="8" t="s">
        <v>76</v>
      </c>
      <c r="H279" s="3" t="s">
        <v>20</v>
      </c>
      <c r="I279" s="3" t="s">
        <v>306</v>
      </c>
      <c r="J279" s="6">
        <v>65</v>
      </c>
      <c r="K279" s="6"/>
      <c r="L279" s="6">
        <f t="shared" si="179"/>
        <v>65</v>
      </c>
      <c r="M279" s="6"/>
      <c r="N279" s="6"/>
      <c r="O279" s="6">
        <f t="shared" ref="O279" si="181">L279+(L279*15%)+M279</f>
        <v>74.75</v>
      </c>
      <c r="P279" s="3"/>
    </row>
    <row r="280" spans="1:16" ht="19.5" hidden="1" customHeight="1">
      <c r="A280" s="3">
        <f>SUBTOTAL(103,$B$2:B280)-1</f>
        <v>2</v>
      </c>
      <c r="B280" s="20" t="s">
        <v>718</v>
      </c>
      <c r="C280" s="3" t="s">
        <v>66</v>
      </c>
      <c r="D280" s="4">
        <v>46138</v>
      </c>
      <c r="E280" s="4" t="s">
        <v>719</v>
      </c>
      <c r="F280" s="4" t="s">
        <v>721</v>
      </c>
      <c r="G280" s="8" t="s">
        <v>1182</v>
      </c>
      <c r="H280" s="3" t="s">
        <v>20</v>
      </c>
      <c r="I280" s="3" t="s">
        <v>1183</v>
      </c>
      <c r="J280" s="6"/>
      <c r="K280" s="6"/>
      <c r="L280" s="6">
        <f t="shared" si="179"/>
        <v>0</v>
      </c>
      <c r="M280" s="6"/>
      <c r="N280" s="6"/>
      <c r="O280" s="6">
        <f t="shared" ref="O280" si="182">L280+(L280*15%)+M280</f>
        <v>0</v>
      </c>
      <c r="P280" s="3"/>
    </row>
    <row r="281" spans="1:16" ht="19.5" hidden="1" customHeight="1">
      <c r="A281" s="3">
        <f>SUBTOTAL(103,$B$2:B281)-1</f>
        <v>2</v>
      </c>
      <c r="B281" s="20" t="s">
        <v>720</v>
      </c>
      <c r="C281" s="3" t="s">
        <v>194</v>
      </c>
      <c r="D281" s="4">
        <v>46138</v>
      </c>
      <c r="E281" s="4" t="s">
        <v>688</v>
      </c>
      <c r="F281" s="4" t="s">
        <v>195</v>
      </c>
      <c r="G281" s="8" t="s">
        <v>196</v>
      </c>
      <c r="H281" s="3" t="s">
        <v>20</v>
      </c>
      <c r="I281" s="3"/>
      <c r="J281" s="6">
        <v>2370</v>
      </c>
      <c r="K281" s="6"/>
      <c r="L281" s="6">
        <f t="shared" si="179"/>
        <v>2370</v>
      </c>
      <c r="M281" s="6"/>
      <c r="N281" s="6"/>
      <c r="O281" s="6">
        <f t="shared" ref="O281" si="183">L281+(L281*15%)</f>
        <v>2725.5</v>
      </c>
      <c r="P281" s="3"/>
    </row>
    <row r="282" spans="1:16" ht="19.5" hidden="1" customHeight="1">
      <c r="A282" s="3">
        <f>SUBTOTAL(103,$B$2:B282)-1</f>
        <v>2</v>
      </c>
      <c r="B282" s="20" t="s">
        <v>723</v>
      </c>
      <c r="C282" s="3" t="s">
        <v>66</v>
      </c>
      <c r="D282" s="4">
        <v>46138</v>
      </c>
      <c r="E282" s="4" t="s">
        <v>502</v>
      </c>
      <c r="F282" s="4" t="s">
        <v>549</v>
      </c>
      <c r="G282" s="15" t="s">
        <v>265</v>
      </c>
      <c r="H282" s="3" t="s">
        <v>20</v>
      </c>
      <c r="I282" s="3" t="s">
        <v>306</v>
      </c>
      <c r="J282" s="6">
        <v>132</v>
      </c>
      <c r="K282" s="6"/>
      <c r="L282" s="6">
        <f>SUM(J282:K282)</f>
        <v>132</v>
      </c>
      <c r="M282" s="6"/>
      <c r="N282" s="6"/>
      <c r="O282" s="6">
        <f>L282+(L282*15%)</f>
        <v>151.80000000000001</v>
      </c>
      <c r="P282" s="3"/>
    </row>
    <row r="283" spans="1:16" ht="19.5" hidden="1" customHeight="1">
      <c r="A283" s="3">
        <f>SUBTOTAL(103,$B$2:B283)-1</f>
        <v>2</v>
      </c>
      <c r="B283" s="20" t="s">
        <v>724</v>
      </c>
      <c r="C283" s="3" t="s">
        <v>35</v>
      </c>
      <c r="D283" s="4">
        <v>46138</v>
      </c>
      <c r="E283" s="4" t="s">
        <v>31</v>
      </c>
      <c r="F283" s="4" t="s">
        <v>32</v>
      </c>
      <c r="G283" s="8" t="s">
        <v>130</v>
      </c>
      <c r="H283" s="3" t="s">
        <v>20</v>
      </c>
      <c r="I283" s="3" t="s">
        <v>725</v>
      </c>
      <c r="J283" s="6">
        <v>53000</v>
      </c>
      <c r="K283" s="6">
        <v>8000</v>
      </c>
      <c r="L283" s="6">
        <f t="shared" ref="L283:L296" si="184">SUM(J283:K283)</f>
        <v>61000</v>
      </c>
      <c r="M283" s="6"/>
      <c r="N283" s="6"/>
      <c r="O283" s="6">
        <f t="shared" ref="O283:O292" si="185">L283+(L283*15%)</f>
        <v>70150</v>
      </c>
      <c r="P283" s="3"/>
    </row>
    <row r="284" spans="1:16" ht="19.5" hidden="1" customHeight="1">
      <c r="A284" s="3">
        <f>SUBTOTAL(103,$B$2:B284)-1</f>
        <v>2</v>
      </c>
      <c r="B284" s="20" t="s">
        <v>726</v>
      </c>
      <c r="C284" s="3" t="s">
        <v>35</v>
      </c>
      <c r="D284" s="4">
        <v>46138</v>
      </c>
      <c r="E284" s="4" t="s">
        <v>24</v>
      </c>
      <c r="F284" s="4" t="s">
        <v>25</v>
      </c>
      <c r="G284" s="8" t="s">
        <v>727</v>
      </c>
      <c r="H284" s="3" t="s">
        <v>20</v>
      </c>
      <c r="I284" s="18" t="s">
        <v>728</v>
      </c>
      <c r="J284" s="6" t="s">
        <v>655</v>
      </c>
      <c r="K284" s="6"/>
      <c r="L284" s="6">
        <f t="shared" si="184"/>
        <v>0</v>
      </c>
      <c r="M284" s="6"/>
      <c r="N284" s="6"/>
      <c r="O284" s="6">
        <f t="shared" si="185"/>
        <v>0</v>
      </c>
      <c r="P284" s="3"/>
    </row>
    <row r="285" spans="1:16" ht="19.5" hidden="1" customHeight="1">
      <c r="A285" s="3">
        <f>SUBTOTAL(103,$B$2:B285)-1</f>
        <v>2</v>
      </c>
      <c r="B285" s="20" t="s">
        <v>729</v>
      </c>
      <c r="C285" s="3" t="s">
        <v>40</v>
      </c>
      <c r="D285" s="4">
        <v>46138</v>
      </c>
      <c r="E285" s="4" t="s">
        <v>246</v>
      </c>
      <c r="F285" s="4" t="s">
        <v>247</v>
      </c>
      <c r="G285" s="8" t="s">
        <v>730</v>
      </c>
      <c r="H285" s="3"/>
      <c r="I285" s="3"/>
      <c r="J285" s="6">
        <v>252000</v>
      </c>
      <c r="K285" s="6"/>
      <c r="L285" s="6">
        <f t="shared" si="184"/>
        <v>252000</v>
      </c>
      <c r="M285" s="6"/>
      <c r="N285" s="6"/>
      <c r="O285" s="6">
        <f t="shared" si="185"/>
        <v>289800</v>
      </c>
      <c r="P285" s="3"/>
    </row>
    <row r="286" spans="1:16" ht="19.5" hidden="1" customHeight="1">
      <c r="A286" s="3">
        <f>SUBTOTAL(103,$B$2:B286)-1</f>
        <v>2</v>
      </c>
      <c r="B286" s="20" t="s">
        <v>731</v>
      </c>
      <c r="C286" s="3" t="s">
        <v>189</v>
      </c>
      <c r="D286" s="4">
        <v>46138</v>
      </c>
      <c r="E286" s="4" t="s">
        <v>203</v>
      </c>
      <c r="F286" s="4" t="s">
        <v>204</v>
      </c>
      <c r="G286" s="8" t="s">
        <v>205</v>
      </c>
      <c r="H286" s="3"/>
      <c r="I286" s="3"/>
      <c r="J286" s="6">
        <v>394259.8</v>
      </c>
      <c r="K286" s="6"/>
      <c r="L286" s="6">
        <f t="shared" si="184"/>
        <v>394259.8</v>
      </c>
      <c r="M286" s="6"/>
      <c r="N286" s="6"/>
      <c r="O286" s="6">
        <f t="shared" si="185"/>
        <v>453398.76999999996</v>
      </c>
      <c r="P286" s="3"/>
    </row>
    <row r="287" spans="1:16" ht="19.5" hidden="1" customHeight="1">
      <c r="A287" s="3">
        <f>SUBTOTAL(103,$B$2:B287)-1</f>
        <v>2</v>
      </c>
      <c r="B287" s="20" t="s">
        <v>732</v>
      </c>
      <c r="C287" s="3" t="s">
        <v>189</v>
      </c>
      <c r="D287" s="4">
        <v>46138</v>
      </c>
      <c r="E287" s="4" t="s">
        <v>589</v>
      </c>
      <c r="F287" s="4" t="s">
        <v>587</v>
      </c>
      <c r="G287" s="8" t="s">
        <v>588</v>
      </c>
      <c r="H287" s="3"/>
      <c r="I287" s="3"/>
      <c r="J287" s="6">
        <v>76785</v>
      </c>
      <c r="K287" s="6"/>
      <c r="L287" s="6">
        <f t="shared" si="184"/>
        <v>76785</v>
      </c>
      <c r="M287" s="6"/>
      <c r="N287" s="6"/>
      <c r="O287" s="6">
        <f t="shared" si="185"/>
        <v>88302.75</v>
      </c>
      <c r="P287" s="3"/>
    </row>
    <row r="288" spans="1:16" ht="19.5" hidden="1" customHeight="1">
      <c r="A288" s="3">
        <f>SUBTOTAL(103,$B$2:B288)-1</f>
        <v>2</v>
      </c>
      <c r="B288" s="20" t="s">
        <v>733</v>
      </c>
      <c r="C288" s="3" t="s">
        <v>189</v>
      </c>
      <c r="D288" s="4">
        <v>46138</v>
      </c>
      <c r="E288" s="4" t="s">
        <v>637</v>
      </c>
      <c r="F288" s="4" t="s">
        <v>689</v>
      </c>
      <c r="G288" s="8" t="s">
        <v>205</v>
      </c>
      <c r="H288" s="3"/>
      <c r="I288" s="3"/>
      <c r="J288" s="6">
        <v>94483</v>
      </c>
      <c r="K288" s="6"/>
      <c r="L288" s="6">
        <f t="shared" si="184"/>
        <v>94483</v>
      </c>
      <c r="M288" s="6"/>
      <c r="N288" s="6"/>
      <c r="O288" s="6">
        <f t="shared" si="185"/>
        <v>108655.45</v>
      </c>
      <c r="P288" s="3"/>
    </row>
    <row r="289" spans="1:16" ht="19.5" hidden="1" customHeight="1">
      <c r="A289" s="3">
        <f>SUBTOTAL(103,$B$2:B289)-1</f>
        <v>2</v>
      </c>
      <c r="B289" s="20" t="s">
        <v>734</v>
      </c>
      <c r="C289" s="3" t="s">
        <v>189</v>
      </c>
      <c r="D289" s="4">
        <v>46138</v>
      </c>
      <c r="E289" s="4" t="s">
        <v>676</v>
      </c>
      <c r="F289" s="4" t="s">
        <v>713</v>
      </c>
      <c r="G289" s="8" t="s">
        <v>205</v>
      </c>
      <c r="H289" s="3"/>
      <c r="I289" s="3"/>
      <c r="J289" s="6">
        <v>21006</v>
      </c>
      <c r="K289" s="6"/>
      <c r="L289" s="6">
        <f t="shared" si="184"/>
        <v>21006</v>
      </c>
      <c r="M289" s="6"/>
      <c r="N289" s="6"/>
      <c r="O289" s="6">
        <f t="shared" si="185"/>
        <v>24156.9</v>
      </c>
      <c r="P289" s="3"/>
    </row>
    <row r="290" spans="1:16" ht="19.5" hidden="1" customHeight="1">
      <c r="A290" s="3">
        <f>SUBTOTAL(103,$B$2:B290)-1</f>
        <v>2</v>
      </c>
      <c r="B290" s="20" t="s">
        <v>735</v>
      </c>
      <c r="C290" s="3" t="s">
        <v>189</v>
      </c>
      <c r="D290" s="4">
        <v>46138</v>
      </c>
      <c r="E290" s="4" t="s">
        <v>637</v>
      </c>
      <c r="F290" s="4" t="s">
        <v>689</v>
      </c>
      <c r="G290" s="8" t="s">
        <v>638</v>
      </c>
      <c r="H290" s="3"/>
      <c r="I290" s="3"/>
      <c r="J290" s="6">
        <v>924750</v>
      </c>
      <c r="K290" s="6"/>
      <c r="L290" s="6">
        <f t="shared" si="184"/>
        <v>924750</v>
      </c>
      <c r="M290" s="6"/>
      <c r="N290" s="6"/>
      <c r="O290" s="6">
        <f t="shared" si="185"/>
        <v>1063462.5</v>
      </c>
      <c r="P290" s="3"/>
    </row>
    <row r="291" spans="1:16" ht="19.5" hidden="1" customHeight="1">
      <c r="A291" s="3">
        <f>SUBTOTAL(103,$B$2:B291)-1</f>
        <v>2</v>
      </c>
      <c r="B291" s="20" t="s">
        <v>736</v>
      </c>
      <c r="C291" s="3" t="s">
        <v>189</v>
      </c>
      <c r="D291" s="4">
        <v>46138</v>
      </c>
      <c r="E291" s="4" t="s">
        <v>203</v>
      </c>
      <c r="F291" s="4" t="s">
        <v>204</v>
      </c>
      <c r="G291" s="8" t="s">
        <v>504</v>
      </c>
      <c r="H291" s="3"/>
      <c r="I291" s="3"/>
      <c r="J291" s="6">
        <v>19000</v>
      </c>
      <c r="K291" s="6"/>
      <c r="L291" s="6">
        <f t="shared" si="184"/>
        <v>19000</v>
      </c>
      <c r="M291" s="6"/>
      <c r="N291" s="6"/>
      <c r="O291" s="6">
        <f t="shared" si="185"/>
        <v>21850</v>
      </c>
      <c r="P291" s="3"/>
    </row>
    <row r="292" spans="1:16" ht="19.5" hidden="1" customHeight="1">
      <c r="A292" s="3">
        <f>SUBTOTAL(103,$B$2:B292)-1</f>
        <v>2</v>
      </c>
      <c r="B292" s="20" t="s">
        <v>737</v>
      </c>
      <c r="C292" s="3" t="s">
        <v>194</v>
      </c>
      <c r="D292" s="4">
        <v>46138</v>
      </c>
      <c r="E292" s="4" t="s">
        <v>688</v>
      </c>
      <c r="F292" s="4" t="s">
        <v>195</v>
      </c>
      <c r="G292" s="8" t="s">
        <v>196</v>
      </c>
      <c r="H292" s="3" t="s">
        <v>20</v>
      </c>
      <c r="I292" s="3"/>
      <c r="J292" s="6">
        <v>1400</v>
      </c>
      <c r="K292" s="6"/>
      <c r="L292" s="6">
        <f t="shared" si="184"/>
        <v>1400</v>
      </c>
      <c r="M292" s="6"/>
      <c r="N292" s="6"/>
      <c r="O292" s="6">
        <f t="shared" si="185"/>
        <v>1610</v>
      </c>
      <c r="P292" s="3"/>
    </row>
    <row r="293" spans="1:16" ht="19.5" hidden="1" customHeight="1">
      <c r="A293" s="3">
        <f>SUBTOTAL(103,$B$2:B293)-1</f>
        <v>2</v>
      </c>
      <c r="B293" s="20" t="s">
        <v>738</v>
      </c>
      <c r="C293" s="3" t="s">
        <v>185</v>
      </c>
      <c r="D293" s="4">
        <v>46138</v>
      </c>
      <c r="E293" s="4" t="s">
        <v>93</v>
      </c>
      <c r="F293" s="4" t="s">
        <v>90</v>
      </c>
      <c r="G293" s="8" t="s">
        <v>72</v>
      </c>
      <c r="H293" s="3"/>
      <c r="I293" s="3"/>
      <c r="J293" s="6">
        <v>72690.350000000006</v>
      </c>
      <c r="K293" s="6"/>
      <c r="L293" s="6">
        <f t="shared" si="184"/>
        <v>72690.350000000006</v>
      </c>
      <c r="M293" s="6"/>
      <c r="N293" s="6"/>
      <c r="O293" s="6">
        <f t="shared" ref="O293:O294" si="186">L293+(L293*15%)+M293</f>
        <v>83593.902500000011</v>
      </c>
      <c r="P293" s="3"/>
    </row>
    <row r="294" spans="1:16" ht="19.5" hidden="1" customHeight="1">
      <c r="A294" s="3">
        <f>SUBTOTAL(103,$B$2:B294)-1</f>
        <v>2</v>
      </c>
      <c r="B294" s="20" t="s">
        <v>739</v>
      </c>
      <c r="C294" s="3" t="s">
        <v>185</v>
      </c>
      <c r="D294" s="4">
        <v>46138</v>
      </c>
      <c r="E294" s="4" t="s">
        <v>133</v>
      </c>
      <c r="F294" s="4" t="s">
        <v>95</v>
      </c>
      <c r="G294" s="8" t="s">
        <v>180</v>
      </c>
      <c r="H294" s="3" t="s">
        <v>20</v>
      </c>
      <c r="I294" s="3" t="s">
        <v>181</v>
      </c>
      <c r="J294" s="6">
        <v>7250</v>
      </c>
      <c r="K294" s="6">
        <v>2400</v>
      </c>
      <c r="L294" s="6">
        <f t="shared" si="184"/>
        <v>9650</v>
      </c>
      <c r="M294" s="6"/>
      <c r="N294" s="6"/>
      <c r="O294" s="6">
        <f t="shared" si="186"/>
        <v>11097.5</v>
      </c>
      <c r="P294" s="3"/>
    </row>
    <row r="295" spans="1:16" ht="19.5" hidden="1" customHeight="1">
      <c r="A295" s="3">
        <f>SUBTOTAL(103,$B$2:B295)-1</f>
        <v>2</v>
      </c>
      <c r="B295" s="20" t="s">
        <v>740</v>
      </c>
      <c r="C295" s="3" t="s">
        <v>35</v>
      </c>
      <c r="D295" s="4">
        <v>46138</v>
      </c>
      <c r="E295" s="4" t="s">
        <v>213</v>
      </c>
      <c r="F295" s="4" t="s">
        <v>214</v>
      </c>
      <c r="G295" s="8" t="s">
        <v>42</v>
      </c>
      <c r="H295" s="3" t="s">
        <v>20</v>
      </c>
      <c r="I295" s="3" t="s">
        <v>741</v>
      </c>
      <c r="J295" s="6">
        <v>20000</v>
      </c>
      <c r="K295" s="6">
        <v>4000</v>
      </c>
      <c r="L295" s="6">
        <f t="shared" si="184"/>
        <v>24000</v>
      </c>
      <c r="M295" s="6"/>
      <c r="N295" s="6"/>
      <c r="O295" s="6">
        <f t="shared" ref="O295" si="187">L295+(L295*15%)</f>
        <v>27600</v>
      </c>
      <c r="P295" s="3"/>
    </row>
    <row r="296" spans="1:16" ht="19.5" hidden="1" customHeight="1">
      <c r="A296" s="3">
        <f>SUBTOTAL(103,$B$2:B296)-1</f>
        <v>2</v>
      </c>
      <c r="B296" s="20" t="s">
        <v>742</v>
      </c>
      <c r="C296" s="3" t="s">
        <v>49</v>
      </c>
      <c r="D296" s="4">
        <v>46138</v>
      </c>
      <c r="E296" s="4" t="s">
        <v>355</v>
      </c>
      <c r="F296" s="4" t="s">
        <v>356</v>
      </c>
      <c r="G296" s="8" t="s">
        <v>330</v>
      </c>
      <c r="H296" s="3" t="s">
        <v>20</v>
      </c>
      <c r="I296" s="3" t="s">
        <v>743</v>
      </c>
      <c r="J296" s="12">
        <v>11500</v>
      </c>
      <c r="K296" s="12"/>
      <c r="L296" s="12">
        <f t="shared" si="184"/>
        <v>11500</v>
      </c>
      <c r="M296" s="12"/>
      <c r="N296" s="12"/>
      <c r="O296" s="12">
        <f t="shared" ref="O296" si="188">L296+(L296*15%)+M296</f>
        <v>13225</v>
      </c>
      <c r="P296" s="3"/>
    </row>
    <row r="297" spans="1:16" ht="19.5" hidden="1" customHeight="1">
      <c r="A297" s="3">
        <f>SUBTOTAL(103,$B$2:B297)-1</f>
        <v>2</v>
      </c>
      <c r="B297" s="20" t="s">
        <v>744</v>
      </c>
      <c r="C297" s="3" t="s">
        <v>35</v>
      </c>
      <c r="D297" s="4">
        <v>46138</v>
      </c>
      <c r="E297" s="4" t="s">
        <v>24</v>
      </c>
      <c r="F297" s="4" t="s">
        <v>25</v>
      </c>
      <c r="G297" s="8" t="s">
        <v>47</v>
      </c>
      <c r="H297" s="3" t="s">
        <v>20</v>
      </c>
      <c r="I297" s="18" t="s">
        <v>745</v>
      </c>
      <c r="J297" s="6">
        <v>32000</v>
      </c>
      <c r="K297" s="6"/>
      <c r="L297" s="6">
        <f t="shared" ref="L297:L298" si="189">SUM(J297:K297)</f>
        <v>32000</v>
      </c>
      <c r="M297" s="6"/>
      <c r="N297" s="6"/>
      <c r="O297" s="6">
        <f t="shared" ref="O297" si="190">L297+(L297*15%)</f>
        <v>36800</v>
      </c>
      <c r="P297" s="3"/>
    </row>
    <row r="298" spans="1:16" ht="19.5" hidden="1" customHeight="1">
      <c r="A298" s="3">
        <f>SUBTOTAL(103,$B$2:B298)-1</f>
        <v>2</v>
      </c>
      <c r="B298" s="20" t="s">
        <v>746</v>
      </c>
      <c r="C298" s="3" t="s">
        <v>49</v>
      </c>
      <c r="D298" s="4">
        <v>46138</v>
      </c>
      <c r="E298" s="4" t="s">
        <v>747</v>
      </c>
      <c r="F298" s="4" t="s">
        <v>748</v>
      </c>
      <c r="G298" s="8" t="s">
        <v>749</v>
      </c>
      <c r="H298" s="3" t="s">
        <v>20</v>
      </c>
      <c r="I298" s="3" t="s">
        <v>750</v>
      </c>
      <c r="J298" s="12">
        <v>11500</v>
      </c>
      <c r="K298" s="12"/>
      <c r="L298" s="12">
        <f t="shared" si="189"/>
        <v>11500</v>
      </c>
      <c r="M298" s="12"/>
      <c r="N298" s="12"/>
      <c r="O298" s="12">
        <f t="shared" ref="O298" si="191">L298+(L298*15%)+M298</f>
        <v>13225</v>
      </c>
      <c r="P298" s="3"/>
    </row>
    <row r="299" spans="1:16" ht="19.5" hidden="1" customHeight="1">
      <c r="A299" s="3">
        <f>SUBTOTAL(103,$B$2:B299)-1</f>
        <v>2</v>
      </c>
      <c r="B299" s="20" t="s">
        <v>751</v>
      </c>
      <c r="C299" s="3" t="s">
        <v>66</v>
      </c>
      <c r="D299" s="4">
        <v>46138</v>
      </c>
      <c r="E299" s="4" t="s">
        <v>752</v>
      </c>
      <c r="F299" s="4" t="s">
        <v>753</v>
      </c>
      <c r="G299" s="15" t="s">
        <v>754</v>
      </c>
      <c r="H299" s="3" t="s">
        <v>20</v>
      </c>
      <c r="I299" s="3"/>
      <c r="J299" s="6" t="s">
        <v>755</v>
      </c>
      <c r="K299" s="6"/>
      <c r="L299" s="6">
        <f>SUM(J299:K299)</f>
        <v>0</v>
      </c>
      <c r="M299" s="6"/>
      <c r="N299" s="6"/>
      <c r="O299" s="6">
        <f>L299+(L299*15%)</f>
        <v>0</v>
      </c>
      <c r="P299" s="3"/>
    </row>
    <row r="300" spans="1:16" ht="19.5" hidden="1" customHeight="1">
      <c r="A300" s="3">
        <f>SUBTOTAL(103,$B$2:B300)-1</f>
        <v>2</v>
      </c>
      <c r="B300" s="20" t="s">
        <v>756</v>
      </c>
      <c r="C300" s="3" t="s">
        <v>66</v>
      </c>
      <c r="D300" s="4">
        <v>46168</v>
      </c>
      <c r="E300" s="4" t="s">
        <v>502</v>
      </c>
      <c r="F300" s="4" t="s">
        <v>549</v>
      </c>
      <c r="G300" s="15" t="s">
        <v>757</v>
      </c>
      <c r="H300" s="3" t="s">
        <v>20</v>
      </c>
      <c r="I300" s="3" t="s">
        <v>306</v>
      </c>
      <c r="J300" s="6">
        <v>180</v>
      </c>
      <c r="K300" s="6"/>
      <c r="L300" s="6">
        <f>SUM(J300:K300)</f>
        <v>180</v>
      </c>
      <c r="M300" s="6"/>
      <c r="N300" s="6"/>
      <c r="O300" s="6">
        <f>L300+(L300*15%)</f>
        <v>207</v>
      </c>
      <c r="P300" s="3"/>
    </row>
    <row r="301" spans="1:16" ht="19.5" hidden="1" customHeight="1">
      <c r="A301" s="3">
        <f>SUBTOTAL(103,$B$2:B301)-1</f>
        <v>2</v>
      </c>
      <c r="B301" s="33" t="s">
        <v>758</v>
      </c>
      <c r="C301" s="16" t="s">
        <v>66</v>
      </c>
      <c r="D301" s="4">
        <v>46168</v>
      </c>
      <c r="E301" s="17" t="s">
        <v>544</v>
      </c>
      <c r="F301" s="17" t="s">
        <v>545</v>
      </c>
      <c r="G301" s="8" t="s">
        <v>759</v>
      </c>
      <c r="H301" s="16" t="s">
        <v>20</v>
      </c>
      <c r="I301" s="3"/>
      <c r="J301" s="6" t="s">
        <v>760</v>
      </c>
      <c r="K301" s="6"/>
      <c r="L301" s="6">
        <f t="shared" ref="L301" si="192">SUM(J301:K301)</f>
        <v>0</v>
      </c>
      <c r="M301" s="6"/>
      <c r="N301" s="6"/>
      <c r="O301" s="6">
        <f t="shared" ref="O301" si="193">L301+(L301*15%)</f>
        <v>0</v>
      </c>
      <c r="P301" s="3" t="s">
        <v>927</v>
      </c>
    </row>
    <row r="302" spans="1:16" ht="19.5" hidden="1" customHeight="1">
      <c r="A302" s="3">
        <f>SUBTOTAL(103,$B$2:B302)-1</f>
        <v>2</v>
      </c>
      <c r="B302" s="20" t="s">
        <v>761</v>
      </c>
      <c r="C302" s="3" t="s">
        <v>66</v>
      </c>
      <c r="D302" s="4">
        <v>46168</v>
      </c>
      <c r="E302" s="4" t="s">
        <v>762</v>
      </c>
      <c r="F302" s="4" t="s">
        <v>763</v>
      </c>
      <c r="G302" s="8" t="s">
        <v>607</v>
      </c>
      <c r="H302" s="3" t="s">
        <v>20</v>
      </c>
      <c r="I302" s="3"/>
      <c r="J302" s="6">
        <v>51</v>
      </c>
      <c r="K302" s="6"/>
      <c r="L302" s="6">
        <f t="shared" ref="L302:L305" si="194">SUM(J302:K302)</f>
        <v>51</v>
      </c>
      <c r="M302" s="6"/>
      <c r="N302" s="6"/>
      <c r="O302" s="6">
        <f t="shared" ref="O302" si="195">L302+(L302*15%)</f>
        <v>58.65</v>
      </c>
      <c r="P302" s="3"/>
    </row>
    <row r="303" spans="1:16" ht="19.5" hidden="1" customHeight="1">
      <c r="A303" s="3">
        <f>SUBTOTAL(103,$B$2:B303)-1</f>
        <v>2</v>
      </c>
      <c r="B303" s="34" t="s">
        <v>764</v>
      </c>
      <c r="C303" s="3" t="s">
        <v>66</v>
      </c>
      <c r="D303" s="4">
        <v>46168</v>
      </c>
      <c r="E303" s="4" t="s">
        <v>441</v>
      </c>
      <c r="F303" s="4" t="s">
        <v>442</v>
      </c>
      <c r="G303" s="15" t="s">
        <v>76</v>
      </c>
      <c r="H303" s="3" t="s">
        <v>20</v>
      </c>
      <c r="I303" s="3" t="s">
        <v>306</v>
      </c>
      <c r="J303" s="6">
        <v>65</v>
      </c>
      <c r="K303" s="6"/>
      <c r="L303" s="6">
        <f t="shared" si="194"/>
        <v>65</v>
      </c>
      <c r="M303" s="6"/>
      <c r="N303" s="6"/>
      <c r="O303" s="6">
        <f>L303+(L303*15%)</f>
        <v>74.75</v>
      </c>
      <c r="P303" s="3" t="s">
        <v>927</v>
      </c>
    </row>
    <row r="304" spans="1:16" ht="19.5" hidden="1" customHeight="1">
      <c r="A304" s="3">
        <f>SUBTOTAL(103,$B$2:B304)-1</f>
        <v>2</v>
      </c>
      <c r="B304" s="34" t="s">
        <v>765</v>
      </c>
      <c r="C304" s="3" t="s">
        <v>194</v>
      </c>
      <c r="D304" s="4">
        <v>46168</v>
      </c>
      <c r="E304" s="4" t="s">
        <v>688</v>
      </c>
      <c r="F304" s="4" t="s">
        <v>195</v>
      </c>
      <c r="G304" s="8" t="s">
        <v>196</v>
      </c>
      <c r="H304" s="3" t="s">
        <v>20</v>
      </c>
      <c r="I304" s="3"/>
      <c r="J304" s="6">
        <v>900</v>
      </c>
      <c r="K304" s="6"/>
      <c r="L304" s="6">
        <f t="shared" si="194"/>
        <v>900</v>
      </c>
      <c r="M304" s="6"/>
      <c r="N304" s="6"/>
      <c r="O304" s="6">
        <f t="shared" ref="O304:O305" si="196">L304+(L304*15%)</f>
        <v>1035</v>
      </c>
      <c r="P304" s="3" t="s">
        <v>927</v>
      </c>
    </row>
    <row r="305" spans="1:16" ht="19.5" hidden="1" customHeight="1">
      <c r="A305" s="3">
        <f>SUBTOTAL(103,$B$2:B305)-1</f>
        <v>2</v>
      </c>
      <c r="B305" s="34" t="s">
        <v>766</v>
      </c>
      <c r="C305" s="3" t="s">
        <v>189</v>
      </c>
      <c r="D305" s="4">
        <v>46168</v>
      </c>
      <c r="E305" s="4" t="s">
        <v>203</v>
      </c>
      <c r="F305" s="4" t="s">
        <v>204</v>
      </c>
      <c r="G305" s="8" t="s">
        <v>767</v>
      </c>
      <c r="H305" s="3" t="s">
        <v>20</v>
      </c>
      <c r="I305" s="3"/>
      <c r="J305" s="6">
        <v>266790</v>
      </c>
      <c r="K305" s="6"/>
      <c r="L305" s="6">
        <f t="shared" si="194"/>
        <v>266790</v>
      </c>
      <c r="M305" s="6"/>
      <c r="N305" s="6"/>
      <c r="O305" s="6">
        <f t="shared" si="196"/>
        <v>306808.5</v>
      </c>
      <c r="P305" s="3" t="s">
        <v>927</v>
      </c>
    </row>
    <row r="306" spans="1:16" ht="19.5" hidden="1" customHeight="1">
      <c r="A306" s="3">
        <f>SUBTOTAL(103,$B$2:B306)-1</f>
        <v>2</v>
      </c>
      <c r="B306" s="20" t="s">
        <v>768</v>
      </c>
      <c r="C306" s="3" t="s">
        <v>66</v>
      </c>
      <c r="D306" s="4">
        <v>46168</v>
      </c>
      <c r="E306" s="4" t="s">
        <v>769</v>
      </c>
      <c r="F306" s="4" t="s">
        <v>770</v>
      </c>
      <c r="G306" s="15" t="s">
        <v>771</v>
      </c>
      <c r="H306" s="3" t="s">
        <v>20</v>
      </c>
      <c r="I306" s="3" t="s">
        <v>772</v>
      </c>
      <c r="J306" s="12">
        <v>105</v>
      </c>
      <c r="K306" s="12"/>
      <c r="L306" s="12">
        <f t="shared" ref="L306:L315" si="197">SUM(J306:K306)</f>
        <v>105</v>
      </c>
      <c r="M306" s="12"/>
      <c r="N306" s="12"/>
      <c r="O306" s="12">
        <f>L306+(L306*15%)</f>
        <v>120.75</v>
      </c>
      <c r="P306" s="3" t="s">
        <v>793</v>
      </c>
    </row>
    <row r="307" spans="1:16" ht="19.5" hidden="1" customHeight="1">
      <c r="A307" s="3">
        <f>SUBTOTAL(103,$B$2:B307)-1</f>
        <v>2</v>
      </c>
      <c r="B307" s="20" t="s">
        <v>773</v>
      </c>
      <c r="C307" s="3" t="s">
        <v>35</v>
      </c>
      <c r="D307" s="4">
        <v>46168</v>
      </c>
      <c r="E307" s="4" t="s">
        <v>774</v>
      </c>
      <c r="F307" s="4" t="s">
        <v>775</v>
      </c>
      <c r="G307" s="8" t="s">
        <v>26</v>
      </c>
      <c r="H307" s="3" t="s">
        <v>20</v>
      </c>
      <c r="I307" s="3" t="s">
        <v>776</v>
      </c>
      <c r="J307" s="12">
        <v>34000</v>
      </c>
      <c r="K307" s="12"/>
      <c r="L307" s="12">
        <f t="shared" si="197"/>
        <v>34000</v>
      </c>
      <c r="M307" s="12"/>
      <c r="N307" s="12"/>
      <c r="O307" s="12">
        <f t="shared" ref="O307" si="198">L307+(L307*15%)+M307</f>
        <v>39100</v>
      </c>
      <c r="P307" s="3" t="s">
        <v>794</v>
      </c>
    </row>
    <row r="308" spans="1:16" ht="19.5" hidden="1" customHeight="1">
      <c r="A308" s="3">
        <f>SUBTOTAL(103,$B$2:B308)-1</f>
        <v>2</v>
      </c>
      <c r="B308" s="34" t="s">
        <v>777</v>
      </c>
      <c r="C308" s="3" t="s">
        <v>167</v>
      </c>
      <c r="D308" s="4">
        <v>46168</v>
      </c>
      <c r="E308" s="4" t="s">
        <v>441</v>
      </c>
      <c r="F308" s="4" t="s">
        <v>442</v>
      </c>
      <c r="G308" s="15" t="s">
        <v>779</v>
      </c>
      <c r="H308" s="3"/>
      <c r="I308" s="3"/>
      <c r="J308" s="6">
        <v>55333</v>
      </c>
      <c r="K308" s="6"/>
      <c r="L308" s="6">
        <f t="shared" si="197"/>
        <v>55333</v>
      </c>
      <c r="M308" s="6"/>
      <c r="N308" s="6"/>
      <c r="O308" s="6">
        <f>L308+(L308*15%)</f>
        <v>63632.95</v>
      </c>
      <c r="P308" s="3" t="s">
        <v>927</v>
      </c>
    </row>
    <row r="309" spans="1:16" ht="19.5" hidden="1" customHeight="1">
      <c r="A309" s="3">
        <f>SUBTOTAL(103,$B$2:B309)-1</f>
        <v>2</v>
      </c>
      <c r="B309" s="34" t="s">
        <v>778</v>
      </c>
      <c r="C309" s="3" t="s">
        <v>167</v>
      </c>
      <c r="D309" s="4">
        <v>46168</v>
      </c>
      <c r="E309" s="4" t="s">
        <v>441</v>
      </c>
      <c r="F309" s="4" t="s">
        <v>442</v>
      </c>
      <c r="G309" s="15" t="s">
        <v>780</v>
      </c>
      <c r="H309" s="3"/>
      <c r="I309" s="3"/>
      <c r="J309" s="6">
        <v>2300</v>
      </c>
      <c r="K309" s="6"/>
      <c r="L309" s="6">
        <f t="shared" si="197"/>
        <v>2300</v>
      </c>
      <c r="M309" s="6"/>
      <c r="N309" s="6"/>
      <c r="O309" s="6">
        <f>L309+(L309*15%)</f>
        <v>2645</v>
      </c>
      <c r="P309" s="3" t="s">
        <v>927</v>
      </c>
    </row>
    <row r="310" spans="1:16" ht="19.5" hidden="1" customHeight="1">
      <c r="A310" s="3">
        <f>SUBTOTAL(103,$B$2:B310)-1</f>
        <v>2</v>
      </c>
      <c r="B310" s="34" t="s">
        <v>781</v>
      </c>
      <c r="C310" s="3" t="s">
        <v>167</v>
      </c>
      <c r="D310" s="4">
        <v>46168</v>
      </c>
      <c r="E310" s="4" t="s">
        <v>417</v>
      </c>
      <c r="F310" s="4" t="s">
        <v>418</v>
      </c>
      <c r="G310" s="8" t="s">
        <v>782</v>
      </c>
      <c r="H310" s="3" t="s">
        <v>20</v>
      </c>
      <c r="I310" s="3"/>
      <c r="J310" s="6">
        <v>2000</v>
      </c>
      <c r="K310" s="6"/>
      <c r="L310" s="6">
        <f t="shared" si="197"/>
        <v>2000</v>
      </c>
      <c r="M310" s="6"/>
      <c r="N310" s="6"/>
      <c r="O310" s="6">
        <f t="shared" ref="O310" si="199">L310+(L310*15%)</f>
        <v>2300</v>
      </c>
      <c r="P310" s="3" t="s">
        <v>927</v>
      </c>
    </row>
    <row r="311" spans="1:16" ht="19.5" hidden="1" customHeight="1">
      <c r="A311" s="3">
        <f>SUBTOTAL(103,$B$2:B311)-1</f>
        <v>2</v>
      </c>
      <c r="B311" s="34" t="s">
        <v>783</v>
      </c>
      <c r="C311" s="3" t="s">
        <v>66</v>
      </c>
      <c r="D311" s="4">
        <v>46168</v>
      </c>
      <c r="E311" s="4" t="s">
        <v>784</v>
      </c>
      <c r="F311" s="4" t="s">
        <v>785</v>
      </c>
      <c r="G311" s="8" t="s">
        <v>786</v>
      </c>
      <c r="H311" s="3" t="s">
        <v>20</v>
      </c>
      <c r="I311" s="3"/>
      <c r="J311" s="6" t="s">
        <v>787</v>
      </c>
      <c r="K311" s="6"/>
      <c r="L311" s="6">
        <f t="shared" si="197"/>
        <v>0</v>
      </c>
      <c r="M311" s="6"/>
      <c r="N311" s="6"/>
      <c r="O311" s="6">
        <f t="shared" ref="O311" si="200">L311+(L311*15%)+M311</f>
        <v>0</v>
      </c>
      <c r="P311" s="3" t="s">
        <v>927</v>
      </c>
    </row>
    <row r="312" spans="1:16" ht="19.5" hidden="1" customHeight="1">
      <c r="A312" s="3">
        <f>SUBTOTAL(103,$B$2:B312)-1</f>
        <v>2</v>
      </c>
      <c r="B312" s="34" t="s">
        <v>788</v>
      </c>
      <c r="C312" s="3" t="s">
        <v>189</v>
      </c>
      <c r="D312" s="4">
        <v>46168</v>
      </c>
      <c r="E312" s="4" t="s">
        <v>203</v>
      </c>
      <c r="F312" s="4" t="s">
        <v>204</v>
      </c>
      <c r="G312" s="8" t="s">
        <v>205</v>
      </c>
      <c r="H312" s="3"/>
      <c r="I312" s="3"/>
      <c r="J312" s="6">
        <v>441475</v>
      </c>
      <c r="K312" s="6"/>
      <c r="L312" s="6">
        <f t="shared" si="197"/>
        <v>441475</v>
      </c>
      <c r="M312" s="6"/>
      <c r="N312" s="6"/>
      <c r="O312" s="6">
        <f t="shared" ref="O312:O315" si="201">L312+(L312*15%)</f>
        <v>507696.25</v>
      </c>
      <c r="P312" s="3" t="s">
        <v>927</v>
      </c>
    </row>
    <row r="313" spans="1:16" ht="19.5" hidden="1" customHeight="1">
      <c r="A313" s="3">
        <f>SUBTOTAL(103,$B$2:B313)-1</f>
        <v>2</v>
      </c>
      <c r="B313" s="34" t="s">
        <v>789</v>
      </c>
      <c r="C313" s="3" t="s">
        <v>189</v>
      </c>
      <c r="D313" s="4">
        <v>46168</v>
      </c>
      <c r="E313" s="4" t="s">
        <v>589</v>
      </c>
      <c r="F313" s="4" t="s">
        <v>587</v>
      </c>
      <c r="G313" s="8" t="s">
        <v>588</v>
      </c>
      <c r="H313" s="3"/>
      <c r="I313" s="3"/>
      <c r="J313" s="6">
        <v>130060.5</v>
      </c>
      <c r="K313" s="6"/>
      <c r="L313" s="6">
        <f t="shared" si="197"/>
        <v>130060.5</v>
      </c>
      <c r="M313" s="6"/>
      <c r="N313" s="6"/>
      <c r="O313" s="6">
        <f t="shared" si="201"/>
        <v>149569.57500000001</v>
      </c>
      <c r="P313" s="3" t="s">
        <v>927</v>
      </c>
    </row>
    <row r="314" spans="1:16" ht="19.5" hidden="1" customHeight="1">
      <c r="A314" s="3">
        <f>SUBTOTAL(103,$B$2:B314)-1</f>
        <v>2</v>
      </c>
      <c r="B314" s="34" t="s">
        <v>790</v>
      </c>
      <c r="C314" s="3" t="s">
        <v>189</v>
      </c>
      <c r="D314" s="4">
        <v>46168</v>
      </c>
      <c r="E314" s="4" t="s">
        <v>676</v>
      </c>
      <c r="F314" s="4" t="s">
        <v>713</v>
      </c>
      <c r="G314" s="8" t="s">
        <v>205</v>
      </c>
      <c r="H314" s="3"/>
      <c r="I314" s="3"/>
      <c r="J314" s="6">
        <v>12715</v>
      </c>
      <c r="K314" s="6"/>
      <c r="L314" s="6">
        <f t="shared" si="197"/>
        <v>12715</v>
      </c>
      <c r="M314" s="6"/>
      <c r="N314" s="6"/>
      <c r="O314" s="6">
        <f t="shared" si="201"/>
        <v>14622.25</v>
      </c>
      <c r="P314" s="3" t="s">
        <v>927</v>
      </c>
    </row>
    <row r="315" spans="1:16" ht="19.5" hidden="1" customHeight="1">
      <c r="A315" s="3">
        <f>SUBTOTAL(103,$B$2:B315)-1</f>
        <v>2</v>
      </c>
      <c r="B315" s="34" t="s">
        <v>791</v>
      </c>
      <c r="C315" s="3" t="s">
        <v>189</v>
      </c>
      <c r="D315" s="4">
        <v>46168</v>
      </c>
      <c r="E315" s="4" t="s">
        <v>637</v>
      </c>
      <c r="F315" s="4" t="s">
        <v>689</v>
      </c>
      <c r="G315" s="8" t="s">
        <v>638</v>
      </c>
      <c r="H315" s="3"/>
      <c r="I315" s="3"/>
      <c r="J315" s="6">
        <v>191668</v>
      </c>
      <c r="K315" s="6"/>
      <c r="L315" s="6">
        <f t="shared" si="197"/>
        <v>191668</v>
      </c>
      <c r="M315" s="6"/>
      <c r="N315" s="6"/>
      <c r="O315" s="6">
        <f t="shared" si="201"/>
        <v>220418.2</v>
      </c>
      <c r="P315" s="3" t="s">
        <v>927</v>
      </c>
    </row>
    <row r="316" spans="1:16" ht="19.5" hidden="1" customHeight="1">
      <c r="A316" s="3">
        <f>SUBTOTAL(103,$B$2:B316)-1</f>
        <v>2</v>
      </c>
      <c r="B316" s="34" t="s">
        <v>795</v>
      </c>
      <c r="C316" s="3" t="s">
        <v>189</v>
      </c>
      <c r="D316" s="4">
        <v>46168</v>
      </c>
      <c r="E316" s="4" t="s">
        <v>805</v>
      </c>
      <c r="F316" s="4" t="s">
        <v>796</v>
      </c>
      <c r="G316" s="8" t="s">
        <v>205</v>
      </c>
      <c r="H316" s="3"/>
      <c r="I316" s="3"/>
      <c r="J316" s="6">
        <v>260247.5</v>
      </c>
      <c r="K316" s="6"/>
      <c r="L316" s="6">
        <f t="shared" ref="L316" si="202">SUM(J316:K316)</f>
        <v>260247.5</v>
      </c>
      <c r="M316" s="6"/>
      <c r="N316" s="6"/>
      <c r="O316" s="6">
        <f t="shared" ref="O316" si="203">L316+(L316*15%)</f>
        <v>299284.625</v>
      </c>
      <c r="P316" s="3" t="s">
        <v>927</v>
      </c>
    </row>
    <row r="317" spans="1:16" ht="19.5" hidden="1" customHeight="1">
      <c r="A317" s="3">
        <f>SUBTOTAL(103,$B$2:B317)-1</f>
        <v>2</v>
      </c>
      <c r="B317" s="34" t="s">
        <v>797</v>
      </c>
      <c r="C317" s="3" t="s">
        <v>189</v>
      </c>
      <c r="D317" s="4">
        <v>46168</v>
      </c>
      <c r="E317" s="4" t="s">
        <v>805</v>
      </c>
      <c r="F317" s="4" t="s">
        <v>796</v>
      </c>
      <c r="G317" s="8" t="s">
        <v>205</v>
      </c>
      <c r="H317" s="3"/>
      <c r="I317" s="3"/>
      <c r="J317" s="6">
        <v>46127.6</v>
      </c>
      <c r="K317" s="6"/>
      <c r="L317" s="6">
        <f t="shared" ref="L317:L322" si="204">SUM(J317:K317)</f>
        <v>46127.6</v>
      </c>
      <c r="M317" s="6"/>
      <c r="N317" s="6"/>
      <c r="O317" s="6">
        <f t="shared" ref="O317:O318" si="205">L317+(L317*15%)</f>
        <v>53046.74</v>
      </c>
      <c r="P317" s="3" t="s">
        <v>927</v>
      </c>
    </row>
    <row r="318" spans="1:16" ht="19.5" hidden="1" customHeight="1">
      <c r="A318" s="3">
        <f>SUBTOTAL(103,$B$2:B318)-1</f>
        <v>2</v>
      </c>
      <c r="B318" s="34" t="s">
        <v>798</v>
      </c>
      <c r="C318" s="3" t="s">
        <v>167</v>
      </c>
      <c r="D318" s="4">
        <v>46168</v>
      </c>
      <c r="E318" s="4" t="s">
        <v>417</v>
      </c>
      <c r="F318" s="4" t="s">
        <v>418</v>
      </c>
      <c r="G318" s="15" t="s">
        <v>799</v>
      </c>
      <c r="H318" s="3" t="s">
        <v>20</v>
      </c>
      <c r="I318" s="3"/>
      <c r="J318" s="6">
        <v>2650</v>
      </c>
      <c r="K318" s="6"/>
      <c r="L318" s="6">
        <f t="shared" si="204"/>
        <v>2650</v>
      </c>
      <c r="M318" s="6"/>
      <c r="N318" s="6"/>
      <c r="O318" s="6">
        <f t="shared" si="205"/>
        <v>3047.5</v>
      </c>
      <c r="P318" s="3" t="s">
        <v>927</v>
      </c>
    </row>
    <row r="319" spans="1:16" ht="19.5" hidden="1" customHeight="1">
      <c r="A319" s="3">
        <f>SUBTOTAL(103,$B$2:B319)-1</f>
        <v>2</v>
      </c>
      <c r="B319" s="34" t="s">
        <v>800</v>
      </c>
      <c r="C319" s="3" t="s">
        <v>185</v>
      </c>
      <c r="D319" s="4">
        <v>46168</v>
      </c>
      <c r="E319" s="4" t="s">
        <v>93</v>
      </c>
      <c r="F319" s="4" t="s">
        <v>90</v>
      </c>
      <c r="G319" s="8" t="s">
        <v>72</v>
      </c>
      <c r="H319" s="3"/>
      <c r="I319" s="3"/>
      <c r="J319" s="12">
        <v>53187</v>
      </c>
      <c r="K319" s="12"/>
      <c r="L319" s="12">
        <f t="shared" si="204"/>
        <v>53187</v>
      </c>
      <c r="M319" s="12"/>
      <c r="N319" s="12"/>
      <c r="O319" s="12">
        <f t="shared" ref="O319:O320" si="206">L319+(L319*15%)+M319</f>
        <v>61165.05</v>
      </c>
      <c r="P319" s="3" t="s">
        <v>927</v>
      </c>
    </row>
    <row r="320" spans="1:16" ht="19.5" hidden="1" customHeight="1">
      <c r="A320" s="3">
        <f>SUBTOTAL(103,$B$2:B320)-1</f>
        <v>2</v>
      </c>
      <c r="B320" s="34" t="s">
        <v>801</v>
      </c>
      <c r="C320" s="3" t="s">
        <v>185</v>
      </c>
      <c r="D320" s="4">
        <v>46168</v>
      </c>
      <c r="E320" s="4" t="s">
        <v>163</v>
      </c>
      <c r="F320" s="4" t="s">
        <v>164</v>
      </c>
      <c r="G320" s="8" t="s">
        <v>299</v>
      </c>
      <c r="H320" s="3"/>
      <c r="I320" s="3"/>
      <c r="J320" s="12">
        <v>41655</v>
      </c>
      <c r="K320" s="12"/>
      <c r="L320" s="12">
        <f t="shared" si="204"/>
        <v>41655</v>
      </c>
      <c r="M320" s="12"/>
      <c r="N320" s="12"/>
      <c r="O320" s="12">
        <f t="shared" si="206"/>
        <v>47903.25</v>
      </c>
      <c r="P320" s="3" t="s">
        <v>927</v>
      </c>
    </row>
    <row r="321" spans="1:16" ht="19.5" hidden="1" customHeight="1">
      <c r="A321" s="3">
        <f>SUBTOTAL(103,$B$2:B321)-1</f>
        <v>2</v>
      </c>
      <c r="B321" s="34" t="s">
        <v>802</v>
      </c>
      <c r="C321" s="3" t="s">
        <v>66</v>
      </c>
      <c r="D321" s="4">
        <v>46168</v>
      </c>
      <c r="E321" s="4" t="s">
        <v>762</v>
      </c>
      <c r="F321" s="4" t="s">
        <v>763</v>
      </c>
      <c r="G321" s="8" t="s">
        <v>305</v>
      </c>
      <c r="H321" s="3" t="s">
        <v>20</v>
      </c>
      <c r="I321" s="3"/>
      <c r="J321" s="6">
        <v>15</v>
      </c>
      <c r="K321" s="6"/>
      <c r="L321" s="6">
        <f t="shared" si="204"/>
        <v>15</v>
      </c>
      <c r="M321" s="6"/>
      <c r="N321" s="6"/>
      <c r="O321" s="6">
        <f t="shared" ref="O321:O322" si="207">L321+(L321*15%)</f>
        <v>17.25</v>
      </c>
      <c r="P321" s="3" t="s">
        <v>927</v>
      </c>
    </row>
    <row r="322" spans="1:16" ht="19.5" hidden="1" customHeight="1">
      <c r="A322" s="3">
        <f>SUBTOTAL(103,$B$2:B322)-1</f>
        <v>2</v>
      </c>
      <c r="B322" s="34" t="s">
        <v>803</v>
      </c>
      <c r="C322" s="3" t="s">
        <v>49</v>
      </c>
      <c r="D322" s="4">
        <v>46168</v>
      </c>
      <c r="E322" s="4" t="s">
        <v>423</v>
      </c>
      <c r="F322" s="4" t="s">
        <v>114</v>
      </c>
      <c r="G322" s="8" t="s">
        <v>749</v>
      </c>
      <c r="H322" s="3" t="s">
        <v>20</v>
      </c>
      <c r="I322" s="3"/>
      <c r="J322" s="12">
        <v>11000</v>
      </c>
      <c r="K322" s="12"/>
      <c r="L322" s="12">
        <f t="shared" si="204"/>
        <v>11000</v>
      </c>
      <c r="M322" s="12"/>
      <c r="N322" s="12"/>
      <c r="O322" s="12">
        <f t="shared" si="207"/>
        <v>12650</v>
      </c>
      <c r="P322" s="3" t="s">
        <v>927</v>
      </c>
    </row>
    <row r="323" spans="1:16" ht="19.5" hidden="1" customHeight="1">
      <c r="A323" s="3">
        <f>SUBTOTAL(103,$B$2:B323)-1</f>
        <v>2</v>
      </c>
      <c r="B323" s="34" t="s">
        <v>804</v>
      </c>
      <c r="C323" s="3" t="s">
        <v>66</v>
      </c>
      <c r="D323" s="4">
        <v>46168</v>
      </c>
      <c r="E323" s="4" t="s">
        <v>477</v>
      </c>
      <c r="F323" s="4" t="s">
        <v>1034</v>
      </c>
      <c r="G323" s="8" t="s">
        <v>271</v>
      </c>
      <c r="H323" s="3" t="s">
        <v>20</v>
      </c>
      <c r="I323" s="3" t="s">
        <v>470</v>
      </c>
      <c r="J323" s="6">
        <v>88</v>
      </c>
      <c r="K323" s="6"/>
      <c r="L323" s="6">
        <f>SUM(J323:K323)</f>
        <v>88</v>
      </c>
      <c r="M323" s="6"/>
      <c r="N323" s="6"/>
      <c r="O323" s="6">
        <f t="shared" ref="O323" si="208">L323+(L323*15%)+M323</f>
        <v>101.2</v>
      </c>
      <c r="P323" s="3" t="s">
        <v>927</v>
      </c>
    </row>
    <row r="324" spans="1:16" ht="19.5" hidden="1" customHeight="1">
      <c r="A324" s="3">
        <f>SUBTOTAL(103,$B$2:B324)-1</f>
        <v>2</v>
      </c>
      <c r="B324" s="34" t="s">
        <v>806</v>
      </c>
      <c r="C324" s="3" t="s">
        <v>194</v>
      </c>
      <c r="D324" s="4">
        <v>46168</v>
      </c>
      <c r="E324" s="4" t="s">
        <v>688</v>
      </c>
      <c r="F324" s="4" t="s">
        <v>195</v>
      </c>
      <c r="G324" s="8" t="s">
        <v>196</v>
      </c>
      <c r="H324" s="3" t="s">
        <v>20</v>
      </c>
      <c r="I324" s="3"/>
      <c r="J324" s="6">
        <v>8700</v>
      </c>
      <c r="K324" s="6"/>
      <c r="L324" s="6">
        <f t="shared" ref="L324" si="209">SUM(J324:K324)</f>
        <v>8700</v>
      </c>
      <c r="M324" s="6"/>
      <c r="N324" s="6"/>
      <c r="O324" s="6">
        <f t="shared" ref="O324" si="210">L324+(L324*15%)</f>
        <v>10005</v>
      </c>
      <c r="P324" s="3" t="s">
        <v>927</v>
      </c>
    </row>
    <row r="325" spans="1:16" ht="19.5" hidden="1" customHeight="1">
      <c r="A325" s="3">
        <f>SUBTOTAL(103,$B$2:B325)-1</f>
        <v>2</v>
      </c>
      <c r="B325" s="34" t="s">
        <v>807</v>
      </c>
      <c r="C325" s="3" t="s">
        <v>189</v>
      </c>
      <c r="D325" s="4">
        <v>46168</v>
      </c>
      <c r="E325" s="4" t="s">
        <v>1172</v>
      </c>
      <c r="F325" s="4" t="s">
        <v>837</v>
      </c>
      <c r="G325" s="8" t="s">
        <v>1173</v>
      </c>
      <c r="H325" s="3" t="s">
        <v>20</v>
      </c>
      <c r="I325" s="3"/>
      <c r="J325" s="6"/>
      <c r="K325" s="6"/>
      <c r="L325" s="6">
        <f t="shared" ref="L325:L341" si="211">SUM(J325:K325)</f>
        <v>0</v>
      </c>
      <c r="M325" s="6"/>
      <c r="N325" s="6"/>
      <c r="O325" s="6">
        <f t="shared" ref="O325:O343" si="212">L325+(L325*15%)</f>
        <v>0</v>
      </c>
      <c r="P325" s="3" t="s">
        <v>927</v>
      </c>
    </row>
    <row r="326" spans="1:16" ht="19.5" hidden="1" customHeight="1">
      <c r="A326" s="3">
        <f>SUBTOTAL(103,$B$2:B326)-1</f>
        <v>2</v>
      </c>
      <c r="B326" s="34" t="s">
        <v>808</v>
      </c>
      <c r="C326" s="3" t="s">
        <v>40</v>
      </c>
      <c r="D326" s="4">
        <v>46168</v>
      </c>
      <c r="E326" s="4" t="s">
        <v>246</v>
      </c>
      <c r="F326" s="4" t="s">
        <v>247</v>
      </c>
      <c r="G326" s="8" t="s">
        <v>809</v>
      </c>
      <c r="H326" s="3"/>
      <c r="I326" s="3"/>
      <c r="J326" s="6"/>
      <c r="K326" s="6"/>
      <c r="L326" s="6">
        <f t="shared" si="211"/>
        <v>0</v>
      </c>
      <c r="M326" s="6"/>
      <c r="N326" s="6"/>
      <c r="O326" s="6">
        <f t="shared" si="212"/>
        <v>0</v>
      </c>
      <c r="P326" s="3" t="s">
        <v>927</v>
      </c>
    </row>
    <row r="327" spans="1:16" ht="19.5" hidden="1" customHeight="1">
      <c r="A327" s="3">
        <f>SUBTOTAL(103,$B$2:B327)-1</f>
        <v>2</v>
      </c>
      <c r="B327" s="34" t="s">
        <v>810</v>
      </c>
      <c r="C327" s="3" t="s">
        <v>811</v>
      </c>
      <c r="D327" s="4">
        <v>46183</v>
      </c>
      <c r="E327" s="4" t="s">
        <v>447</v>
      </c>
      <c r="F327" s="4" t="s">
        <v>448</v>
      </c>
      <c r="G327" s="8" t="s">
        <v>812</v>
      </c>
      <c r="H327" s="3"/>
      <c r="I327" s="3" t="s">
        <v>813</v>
      </c>
      <c r="J327" s="6">
        <v>32000</v>
      </c>
      <c r="K327" s="6">
        <v>2800</v>
      </c>
      <c r="L327" s="6">
        <f t="shared" si="211"/>
        <v>34800</v>
      </c>
      <c r="M327" s="6"/>
      <c r="N327" s="6"/>
      <c r="O327" s="6">
        <f t="shared" si="212"/>
        <v>40020</v>
      </c>
      <c r="P327" s="3" t="s">
        <v>927</v>
      </c>
    </row>
    <row r="328" spans="1:16" ht="19.5" hidden="1" customHeight="1">
      <c r="A328" s="3">
        <f>SUBTOTAL(103,$B$2:B328)-1</f>
        <v>2</v>
      </c>
      <c r="B328" s="34" t="s">
        <v>814</v>
      </c>
      <c r="C328" s="3" t="s">
        <v>815</v>
      </c>
      <c r="D328" s="4">
        <v>46183</v>
      </c>
      <c r="E328" s="4" t="s">
        <v>650</v>
      </c>
      <c r="F328" s="4" t="s">
        <v>67</v>
      </c>
      <c r="G328" s="8" t="s">
        <v>816</v>
      </c>
      <c r="H328" s="3" t="s">
        <v>20</v>
      </c>
      <c r="I328" s="3"/>
      <c r="J328" s="6">
        <f>20+21</f>
        <v>41</v>
      </c>
      <c r="K328" s="6"/>
      <c r="L328" s="6">
        <f t="shared" si="211"/>
        <v>41</v>
      </c>
      <c r="M328" s="6"/>
      <c r="N328" s="6"/>
      <c r="O328" s="6">
        <f t="shared" si="212"/>
        <v>47.15</v>
      </c>
      <c r="P328" s="3" t="s">
        <v>927</v>
      </c>
    </row>
    <row r="329" spans="1:16" ht="19.5" hidden="1" customHeight="1">
      <c r="A329" s="3">
        <f>SUBTOTAL(103,$B$2:B329)-1</f>
        <v>2</v>
      </c>
      <c r="B329" s="34" t="s">
        <v>817</v>
      </c>
      <c r="C329" s="3" t="s">
        <v>815</v>
      </c>
      <c r="D329" s="4">
        <v>46183</v>
      </c>
      <c r="E329" s="4" t="s">
        <v>784</v>
      </c>
      <c r="F329" s="4" t="s">
        <v>785</v>
      </c>
      <c r="G329" s="8" t="s">
        <v>816</v>
      </c>
      <c r="H329" s="3" t="s">
        <v>20</v>
      </c>
      <c r="I329" s="3"/>
      <c r="J329" s="6">
        <v>40</v>
      </c>
      <c r="K329" s="6"/>
      <c r="L329" s="6">
        <f t="shared" si="211"/>
        <v>40</v>
      </c>
      <c r="M329" s="6"/>
      <c r="N329" s="6"/>
      <c r="O329" s="6">
        <f t="shared" si="212"/>
        <v>46</v>
      </c>
      <c r="P329" s="3" t="s">
        <v>927</v>
      </c>
    </row>
    <row r="330" spans="1:16" ht="19.5" hidden="1" customHeight="1">
      <c r="A330" s="3">
        <f>SUBTOTAL(103,$B$2:B330)-1</f>
        <v>2</v>
      </c>
      <c r="B330" s="34" t="s">
        <v>818</v>
      </c>
      <c r="C330" s="3" t="s">
        <v>185</v>
      </c>
      <c r="D330" s="4">
        <v>46183</v>
      </c>
      <c r="E330" s="4" t="s">
        <v>93</v>
      </c>
      <c r="F330" s="4" t="s">
        <v>90</v>
      </c>
      <c r="G330" s="8" t="s">
        <v>72</v>
      </c>
      <c r="H330" s="3"/>
      <c r="I330" s="3"/>
      <c r="J330" s="6">
        <v>59014.95</v>
      </c>
      <c r="K330" s="6"/>
      <c r="L330" s="6">
        <f t="shared" si="211"/>
        <v>59014.95</v>
      </c>
      <c r="M330" s="6"/>
      <c r="N330" s="6"/>
      <c r="O330" s="6">
        <f t="shared" si="212"/>
        <v>67867.19249999999</v>
      </c>
      <c r="P330" s="3" t="s">
        <v>927</v>
      </c>
    </row>
    <row r="331" spans="1:16" ht="19.5" hidden="1" customHeight="1">
      <c r="A331" s="3">
        <f>SUBTOTAL(103,$B$2:B331)-1</f>
        <v>2</v>
      </c>
      <c r="B331" s="34" t="s">
        <v>819</v>
      </c>
      <c r="C331" s="3" t="s">
        <v>820</v>
      </c>
      <c r="D331" s="4">
        <v>46184</v>
      </c>
      <c r="E331" s="4" t="s">
        <v>417</v>
      </c>
      <c r="F331" s="4" t="s">
        <v>418</v>
      </c>
      <c r="G331" s="8" t="s">
        <v>821</v>
      </c>
      <c r="H331" s="3"/>
      <c r="I331" s="3"/>
      <c r="J331" s="6">
        <v>104380</v>
      </c>
      <c r="K331" s="6"/>
      <c r="L331" s="6">
        <f t="shared" si="211"/>
        <v>104380</v>
      </c>
      <c r="M331" s="6"/>
      <c r="N331" s="6"/>
      <c r="O331" s="6">
        <f t="shared" si="212"/>
        <v>120037</v>
      </c>
      <c r="P331" s="3" t="s">
        <v>927</v>
      </c>
    </row>
    <row r="332" spans="1:16" ht="19.5" hidden="1" customHeight="1">
      <c r="A332" s="3">
        <f>SUBTOTAL(103,$B$2:B332)-1</f>
        <v>2</v>
      </c>
      <c r="B332" s="34" t="s">
        <v>822</v>
      </c>
      <c r="C332" s="3" t="s">
        <v>189</v>
      </c>
      <c r="D332" s="4">
        <v>46184</v>
      </c>
      <c r="E332" s="11" t="s">
        <v>203</v>
      </c>
      <c r="F332" s="4" t="s">
        <v>204</v>
      </c>
      <c r="G332" s="8" t="s">
        <v>823</v>
      </c>
      <c r="H332" s="3"/>
      <c r="I332" s="3"/>
      <c r="J332" s="6">
        <v>119100</v>
      </c>
      <c r="K332" s="6"/>
      <c r="L332" s="6">
        <f t="shared" si="211"/>
        <v>119100</v>
      </c>
      <c r="M332" s="6"/>
      <c r="N332" s="6"/>
      <c r="O332" s="6">
        <f t="shared" si="212"/>
        <v>136965</v>
      </c>
      <c r="P332" s="3" t="s">
        <v>927</v>
      </c>
    </row>
    <row r="333" spans="1:16" ht="19.5" hidden="1" customHeight="1">
      <c r="A333" s="3">
        <f>SUBTOTAL(103,$B$2:B333)-1</f>
        <v>2</v>
      </c>
      <c r="B333" s="34" t="s">
        <v>824</v>
      </c>
      <c r="C333" s="3" t="s">
        <v>189</v>
      </c>
      <c r="D333" s="4">
        <v>46184</v>
      </c>
      <c r="E333" s="11" t="s">
        <v>805</v>
      </c>
      <c r="F333" s="4" t="s">
        <v>796</v>
      </c>
      <c r="G333" s="8" t="s">
        <v>205</v>
      </c>
      <c r="H333" s="3"/>
      <c r="I333" s="3"/>
      <c r="J333" s="6">
        <v>130750</v>
      </c>
      <c r="K333" s="6"/>
      <c r="L333" s="6">
        <f t="shared" si="211"/>
        <v>130750</v>
      </c>
      <c r="M333" s="6"/>
      <c r="N333" s="6"/>
      <c r="O333" s="6">
        <f t="shared" si="212"/>
        <v>150362.5</v>
      </c>
      <c r="P333" s="3" t="s">
        <v>927</v>
      </c>
    </row>
    <row r="334" spans="1:16" ht="19.5" hidden="1" customHeight="1">
      <c r="A334" s="3">
        <f>SUBTOTAL(103,$B$2:B334)-1</f>
        <v>2</v>
      </c>
      <c r="B334" s="34" t="s">
        <v>825</v>
      </c>
      <c r="C334" s="3" t="s">
        <v>194</v>
      </c>
      <c r="D334" s="4">
        <v>46184</v>
      </c>
      <c r="E334" s="4" t="s">
        <v>441</v>
      </c>
      <c r="F334" s="4" t="s">
        <v>442</v>
      </c>
      <c r="G334" s="15" t="s">
        <v>779</v>
      </c>
      <c r="H334" s="3"/>
      <c r="I334" s="3"/>
      <c r="J334" s="6">
        <v>14312</v>
      </c>
      <c r="K334" s="6"/>
      <c r="L334" s="6">
        <f t="shared" si="211"/>
        <v>14312</v>
      </c>
      <c r="M334" s="6"/>
      <c r="N334" s="6"/>
      <c r="O334" s="6">
        <f t="shared" si="212"/>
        <v>16458.8</v>
      </c>
      <c r="P334" s="3" t="s">
        <v>927</v>
      </c>
    </row>
    <row r="335" spans="1:16" ht="19.5" hidden="1" customHeight="1">
      <c r="A335" s="3">
        <f>SUBTOTAL(103,$B$2:B335)-1</f>
        <v>2</v>
      </c>
      <c r="B335" s="34" t="s">
        <v>826</v>
      </c>
      <c r="C335" s="3" t="s">
        <v>189</v>
      </c>
      <c r="D335" s="4">
        <v>46184</v>
      </c>
      <c r="E335" s="11" t="s">
        <v>203</v>
      </c>
      <c r="F335" s="4" t="s">
        <v>204</v>
      </c>
      <c r="G335" s="8" t="s">
        <v>205</v>
      </c>
      <c r="H335" s="3"/>
      <c r="I335" s="3"/>
      <c r="J335" s="6">
        <v>770481</v>
      </c>
      <c r="K335" s="6"/>
      <c r="L335" s="6">
        <f t="shared" si="211"/>
        <v>770481</v>
      </c>
      <c r="M335" s="6"/>
      <c r="N335" s="6"/>
      <c r="O335" s="6">
        <f t="shared" si="212"/>
        <v>886053.15</v>
      </c>
      <c r="P335" s="3" t="s">
        <v>927</v>
      </c>
    </row>
    <row r="336" spans="1:16" ht="19.5" hidden="1" customHeight="1">
      <c r="A336" s="3">
        <f>SUBTOTAL(103,$B$2:B336)-1</f>
        <v>2</v>
      </c>
      <c r="B336" s="35" t="s">
        <v>827</v>
      </c>
      <c r="C336" s="24" t="s">
        <v>189</v>
      </c>
      <c r="D336" s="25">
        <v>46184</v>
      </c>
      <c r="E336" s="25" t="s">
        <v>805</v>
      </c>
      <c r="F336" s="25" t="s">
        <v>796</v>
      </c>
      <c r="G336" s="26" t="s">
        <v>205</v>
      </c>
      <c r="H336" s="24"/>
      <c r="I336" s="24"/>
      <c r="J336" s="32">
        <v>78060.350000000006</v>
      </c>
      <c r="K336" s="32"/>
      <c r="L336" s="32">
        <f t="shared" si="211"/>
        <v>78060.350000000006</v>
      </c>
      <c r="M336" s="32"/>
      <c r="N336" s="32"/>
      <c r="O336" s="32">
        <f t="shared" si="212"/>
        <v>89769.402500000011</v>
      </c>
      <c r="P336" s="24" t="s">
        <v>952</v>
      </c>
    </row>
    <row r="337" spans="1:16" ht="19.5" hidden="1" customHeight="1">
      <c r="A337" s="3">
        <f>SUBTOTAL(103,$B$2:B337)-1</f>
        <v>2</v>
      </c>
      <c r="B337" s="34" t="s">
        <v>828</v>
      </c>
      <c r="C337" s="3" t="s">
        <v>189</v>
      </c>
      <c r="D337" s="4">
        <v>46184</v>
      </c>
      <c r="E337" s="11" t="s">
        <v>676</v>
      </c>
      <c r="F337" s="4" t="s">
        <v>713</v>
      </c>
      <c r="G337" s="8" t="s">
        <v>205</v>
      </c>
      <c r="H337" s="3"/>
      <c r="I337" s="3"/>
      <c r="J337" s="6">
        <v>20704</v>
      </c>
      <c r="K337" s="6"/>
      <c r="L337" s="6">
        <f t="shared" si="211"/>
        <v>20704</v>
      </c>
      <c r="M337" s="6"/>
      <c r="N337" s="6"/>
      <c r="O337" s="6">
        <f t="shared" si="212"/>
        <v>23809.599999999999</v>
      </c>
      <c r="P337" s="3" t="s">
        <v>927</v>
      </c>
    </row>
    <row r="338" spans="1:16" ht="19.5" hidden="1" customHeight="1">
      <c r="A338" s="3">
        <f>SUBTOTAL(103,$B$2:B338)-1</f>
        <v>2</v>
      </c>
      <c r="B338" s="20" t="s">
        <v>829</v>
      </c>
      <c r="C338" s="3" t="s">
        <v>66</v>
      </c>
      <c r="D338" s="4">
        <v>46184</v>
      </c>
      <c r="E338" s="4" t="s">
        <v>784</v>
      </c>
      <c r="F338" s="4" t="s">
        <v>785</v>
      </c>
      <c r="G338" s="8" t="s">
        <v>830</v>
      </c>
      <c r="H338" s="3"/>
      <c r="I338" s="3"/>
      <c r="J338" s="6">
        <v>13</v>
      </c>
      <c r="K338" s="6"/>
      <c r="L338" s="6">
        <f t="shared" si="211"/>
        <v>13</v>
      </c>
      <c r="M338" s="6"/>
      <c r="N338" s="6"/>
      <c r="O338" s="6">
        <f t="shared" si="212"/>
        <v>14.95</v>
      </c>
      <c r="P338" s="3" t="s">
        <v>1007</v>
      </c>
    </row>
    <row r="339" spans="1:16" ht="19.5" hidden="1" customHeight="1">
      <c r="A339" s="3">
        <f>SUBTOTAL(103,$B$2:B339)-1</f>
        <v>2</v>
      </c>
      <c r="B339" s="34" t="s">
        <v>831</v>
      </c>
      <c r="C339" s="3" t="s">
        <v>66</v>
      </c>
      <c r="D339" s="4">
        <v>46184</v>
      </c>
      <c r="E339" s="4" t="s">
        <v>502</v>
      </c>
      <c r="F339" s="4" t="s">
        <v>549</v>
      </c>
      <c r="G339" s="8" t="s">
        <v>832</v>
      </c>
      <c r="H339" s="3"/>
      <c r="I339" s="3"/>
      <c r="J339" s="6">
        <v>13</v>
      </c>
      <c r="K339" s="6"/>
      <c r="L339" s="6">
        <f t="shared" si="211"/>
        <v>13</v>
      </c>
      <c r="M339" s="6"/>
      <c r="N339" s="6"/>
      <c r="O339" s="6">
        <f t="shared" si="212"/>
        <v>14.95</v>
      </c>
      <c r="P339" s="3" t="s">
        <v>927</v>
      </c>
    </row>
    <row r="340" spans="1:16" ht="19.5" hidden="1" customHeight="1">
      <c r="A340" s="3">
        <f>SUBTOTAL(103,$B$2:B340)-1</f>
        <v>2</v>
      </c>
      <c r="B340" s="34" t="s">
        <v>833</v>
      </c>
      <c r="C340" s="3" t="s">
        <v>189</v>
      </c>
      <c r="D340" s="4">
        <v>46184</v>
      </c>
      <c r="E340" s="4" t="s">
        <v>637</v>
      </c>
      <c r="F340" s="4" t="s">
        <v>689</v>
      </c>
      <c r="G340" s="8" t="s">
        <v>205</v>
      </c>
      <c r="H340" s="3"/>
      <c r="I340" s="3"/>
      <c r="J340" s="6">
        <v>283602</v>
      </c>
      <c r="K340" s="6"/>
      <c r="L340" s="6">
        <f t="shared" si="211"/>
        <v>283602</v>
      </c>
      <c r="M340" s="6"/>
      <c r="N340" s="6"/>
      <c r="O340" s="6">
        <f t="shared" si="212"/>
        <v>326142.3</v>
      </c>
      <c r="P340" s="3" t="s">
        <v>927</v>
      </c>
    </row>
    <row r="341" spans="1:16" ht="19.5" hidden="1" customHeight="1">
      <c r="A341" s="3">
        <f>SUBTOTAL(103,$B$2:B341)-1</f>
        <v>2</v>
      </c>
      <c r="B341" s="34" t="s">
        <v>834</v>
      </c>
      <c r="C341" s="3" t="s">
        <v>189</v>
      </c>
      <c r="D341" s="4">
        <v>46184</v>
      </c>
      <c r="E341" s="4" t="s">
        <v>589</v>
      </c>
      <c r="F341" s="4" t="s">
        <v>587</v>
      </c>
      <c r="G341" s="8" t="s">
        <v>205</v>
      </c>
      <c r="H341" s="3"/>
      <c r="I341" s="3"/>
      <c r="J341" s="6">
        <v>129917.25</v>
      </c>
      <c r="K341" s="6"/>
      <c r="L341" s="6">
        <f t="shared" si="211"/>
        <v>129917.25</v>
      </c>
      <c r="M341" s="6"/>
      <c r="N341" s="6"/>
      <c r="O341" s="6">
        <f t="shared" si="212"/>
        <v>149404.83749999999</v>
      </c>
      <c r="P341" s="3" t="s">
        <v>927</v>
      </c>
    </row>
    <row r="342" spans="1:16" ht="19.5" hidden="1" customHeight="1">
      <c r="A342" s="3">
        <f>SUBTOTAL(103,$B$2:B342)-1</f>
        <v>2</v>
      </c>
      <c r="B342" s="34" t="s">
        <v>835</v>
      </c>
      <c r="C342" s="3" t="s">
        <v>189</v>
      </c>
      <c r="D342" s="4">
        <v>46184</v>
      </c>
      <c r="E342" s="4" t="s">
        <v>246</v>
      </c>
      <c r="F342" s="4" t="s">
        <v>247</v>
      </c>
      <c r="G342" s="8" t="s">
        <v>809</v>
      </c>
      <c r="H342" s="3"/>
      <c r="I342" s="3"/>
      <c r="J342" s="6"/>
      <c r="K342" s="6"/>
      <c r="L342" s="6"/>
      <c r="M342" s="6"/>
      <c r="N342" s="6"/>
      <c r="O342" s="6">
        <f t="shared" si="212"/>
        <v>0</v>
      </c>
      <c r="P342" s="3" t="s">
        <v>927</v>
      </c>
    </row>
    <row r="343" spans="1:16" ht="19.5" hidden="1" customHeight="1">
      <c r="A343" s="3">
        <f>SUBTOTAL(103,$B$2:B343)-1</f>
        <v>2</v>
      </c>
      <c r="B343" s="28" t="s">
        <v>836</v>
      </c>
      <c r="C343" s="3" t="s">
        <v>194</v>
      </c>
      <c r="D343" s="4">
        <v>46204</v>
      </c>
      <c r="E343" s="4" t="s">
        <v>688</v>
      </c>
      <c r="F343" s="4" t="s">
        <v>195</v>
      </c>
      <c r="G343" s="8" t="s">
        <v>196</v>
      </c>
      <c r="H343" s="3"/>
      <c r="I343" s="3"/>
      <c r="J343" s="6">
        <v>2815</v>
      </c>
      <c r="K343" s="6"/>
      <c r="L343" s="6">
        <f t="shared" ref="L343:L349" si="213">SUM(J343:K343)</f>
        <v>2815</v>
      </c>
      <c r="M343" s="6"/>
      <c r="N343" s="6"/>
      <c r="O343" s="6">
        <f t="shared" si="212"/>
        <v>3237.25</v>
      </c>
      <c r="P343" s="3"/>
    </row>
    <row r="344" spans="1:16" ht="19.5" hidden="1" customHeight="1">
      <c r="A344" s="3">
        <f>SUBTOTAL(103,$B$2:B344)-1</f>
        <v>2</v>
      </c>
      <c r="B344" s="28" t="s">
        <v>838</v>
      </c>
      <c r="C344" s="3" t="s">
        <v>189</v>
      </c>
      <c r="D344" s="4">
        <v>46204</v>
      </c>
      <c r="E344" s="4" t="s">
        <v>203</v>
      </c>
      <c r="F344" s="4" t="s">
        <v>204</v>
      </c>
      <c r="G344" s="8" t="s">
        <v>823</v>
      </c>
      <c r="H344" s="3"/>
      <c r="I344" s="3"/>
      <c r="J344" s="6">
        <v>37000</v>
      </c>
      <c r="K344" s="6"/>
      <c r="L344" s="6">
        <f t="shared" si="213"/>
        <v>37000</v>
      </c>
      <c r="M344" s="6"/>
      <c r="N344" s="6"/>
      <c r="O344" s="6">
        <f t="shared" ref="O344" si="214">L344+(L344*15%)</f>
        <v>42550</v>
      </c>
      <c r="P344" s="3"/>
    </row>
    <row r="345" spans="1:16" ht="19.5" hidden="1" customHeight="1">
      <c r="A345" s="3">
        <f>SUBTOTAL(103,$B$2:B345)-1</f>
        <v>2</v>
      </c>
      <c r="B345" s="34" t="s">
        <v>839</v>
      </c>
      <c r="C345" s="3" t="s">
        <v>66</v>
      </c>
      <c r="D345" s="4">
        <v>46204</v>
      </c>
      <c r="E345" s="4" t="s">
        <v>50</v>
      </c>
      <c r="F345" s="4" t="s">
        <v>51</v>
      </c>
      <c r="G345" s="8" t="s">
        <v>279</v>
      </c>
      <c r="H345" s="3" t="s">
        <v>20</v>
      </c>
      <c r="I345" s="3" t="s">
        <v>345</v>
      </c>
      <c r="J345" s="6">
        <v>45</v>
      </c>
      <c r="K345" s="6"/>
      <c r="L345" s="6">
        <f t="shared" si="213"/>
        <v>45</v>
      </c>
      <c r="M345" s="6"/>
      <c r="N345" s="6"/>
      <c r="O345" s="12">
        <f t="shared" ref="O345" si="215">L345+(L345*15%)+M345</f>
        <v>51.75</v>
      </c>
      <c r="P345" s="3" t="s">
        <v>927</v>
      </c>
    </row>
    <row r="346" spans="1:16" ht="19.5" hidden="1" customHeight="1">
      <c r="A346" s="3">
        <f>SUBTOTAL(103,$B$2:B346)-1</f>
        <v>2</v>
      </c>
      <c r="B346" s="20" t="s">
        <v>840</v>
      </c>
      <c r="C346" s="3" t="s">
        <v>35</v>
      </c>
      <c r="D346" s="4">
        <v>46204</v>
      </c>
      <c r="E346" s="4" t="s">
        <v>502</v>
      </c>
      <c r="F346" s="4" t="s">
        <v>549</v>
      </c>
      <c r="G346" s="8" t="s">
        <v>841</v>
      </c>
      <c r="H346" s="3" t="s">
        <v>20</v>
      </c>
      <c r="I346" s="3" t="s">
        <v>842</v>
      </c>
      <c r="J346" s="6">
        <v>4500</v>
      </c>
      <c r="K346" s="6"/>
      <c r="L346" s="6">
        <f t="shared" si="213"/>
        <v>4500</v>
      </c>
      <c r="M346" s="6"/>
      <c r="N346" s="6"/>
      <c r="O346" s="6">
        <f t="shared" ref="O346" si="216">L346+(L346*15%)</f>
        <v>5175</v>
      </c>
      <c r="P346" s="3" t="s">
        <v>1043</v>
      </c>
    </row>
    <row r="347" spans="1:16" ht="19.5" hidden="1" customHeight="1">
      <c r="A347" s="3">
        <f>SUBTOTAL(103,$B$2:B347)-1</f>
        <v>2</v>
      </c>
      <c r="B347" s="35" t="s">
        <v>843</v>
      </c>
      <c r="C347" s="24" t="s">
        <v>35</v>
      </c>
      <c r="D347" s="25">
        <v>46204</v>
      </c>
      <c r="E347" s="25" t="s">
        <v>45</v>
      </c>
      <c r="F347" s="25" t="s">
        <v>46</v>
      </c>
      <c r="G347" s="26" t="s">
        <v>130</v>
      </c>
      <c r="H347" s="24" t="s">
        <v>20</v>
      </c>
      <c r="I347" s="24" t="s">
        <v>844</v>
      </c>
      <c r="J347" s="27">
        <v>99000</v>
      </c>
      <c r="K347" s="27">
        <v>8000</v>
      </c>
      <c r="L347" s="27">
        <f t="shared" si="213"/>
        <v>107000</v>
      </c>
      <c r="M347" s="32"/>
      <c r="N347" s="32"/>
      <c r="O347" s="27">
        <f t="shared" ref="O347" si="217">L347+(L347*15%)+M347</f>
        <v>123050</v>
      </c>
      <c r="P347" s="24" t="s">
        <v>950</v>
      </c>
    </row>
    <row r="348" spans="1:16" ht="19.5" hidden="1" customHeight="1">
      <c r="A348" s="3">
        <f>SUBTOTAL(103,$B$2:B348)-1</f>
        <v>2</v>
      </c>
      <c r="B348" s="34" t="s">
        <v>845</v>
      </c>
      <c r="C348" s="3" t="s">
        <v>167</v>
      </c>
      <c r="D348" s="4">
        <v>46204</v>
      </c>
      <c r="E348" s="4" t="s">
        <v>407</v>
      </c>
      <c r="F348" s="4" t="s">
        <v>408</v>
      </c>
      <c r="G348" s="8" t="s">
        <v>846</v>
      </c>
      <c r="H348" s="3" t="s">
        <v>20</v>
      </c>
      <c r="I348" s="3" t="s">
        <v>847</v>
      </c>
      <c r="J348" s="6">
        <v>9600</v>
      </c>
      <c r="K348" s="6"/>
      <c r="L348" s="6">
        <f t="shared" si="213"/>
        <v>9600</v>
      </c>
      <c r="M348" s="6"/>
      <c r="N348" s="6"/>
      <c r="O348" s="6">
        <f t="shared" ref="O348" si="218">L348+(L348*15%)</f>
        <v>11040</v>
      </c>
      <c r="P348" s="3" t="s">
        <v>927</v>
      </c>
    </row>
    <row r="349" spans="1:16" ht="19.5" hidden="1" customHeight="1">
      <c r="A349" s="3">
        <f>SUBTOTAL(103,$B$2:B349)-1</f>
        <v>2</v>
      </c>
      <c r="B349" s="34" t="s">
        <v>848</v>
      </c>
      <c r="C349" s="3" t="s">
        <v>167</v>
      </c>
      <c r="D349" s="4">
        <v>46204</v>
      </c>
      <c r="E349" s="4" t="s">
        <v>441</v>
      </c>
      <c r="F349" s="4" t="s">
        <v>442</v>
      </c>
      <c r="G349" s="15" t="s">
        <v>779</v>
      </c>
      <c r="H349" s="3"/>
      <c r="I349" s="3"/>
      <c r="J349" s="6">
        <v>19262</v>
      </c>
      <c r="K349" s="6"/>
      <c r="L349" s="6">
        <f t="shared" si="213"/>
        <v>19262</v>
      </c>
      <c r="M349" s="6"/>
      <c r="N349" s="6"/>
      <c r="O349" s="6">
        <f t="shared" ref="O349:O360" si="219">L349+(L349*15%)</f>
        <v>22151.3</v>
      </c>
      <c r="P349" s="3" t="s">
        <v>927</v>
      </c>
    </row>
    <row r="350" spans="1:16" ht="19.5" hidden="1" customHeight="1">
      <c r="A350" s="3">
        <f>SUBTOTAL(103,$B$2:B350)-1</f>
        <v>2</v>
      </c>
      <c r="B350" s="34" t="s">
        <v>849</v>
      </c>
      <c r="C350" s="3" t="s">
        <v>185</v>
      </c>
      <c r="D350" s="4">
        <v>46204</v>
      </c>
      <c r="E350" s="4" t="s">
        <v>93</v>
      </c>
      <c r="F350" s="4" t="s">
        <v>90</v>
      </c>
      <c r="G350" s="15" t="s">
        <v>72</v>
      </c>
      <c r="H350" s="3"/>
      <c r="I350" s="3"/>
      <c r="J350" s="6">
        <v>78186.42</v>
      </c>
      <c r="K350" s="6"/>
      <c r="L350" s="6">
        <f t="shared" ref="L350" si="220">SUM(J350:K350)</f>
        <v>78186.42</v>
      </c>
      <c r="M350" s="6"/>
      <c r="N350" s="6"/>
      <c r="O350" s="6">
        <f t="shared" si="219"/>
        <v>89914.383000000002</v>
      </c>
      <c r="P350" s="3" t="s">
        <v>927</v>
      </c>
    </row>
    <row r="351" spans="1:16" ht="19.5" hidden="1" customHeight="1">
      <c r="A351" s="3">
        <f>SUBTOTAL(103,$B$2:B351)-1</f>
        <v>2</v>
      </c>
      <c r="B351" s="34" t="s">
        <v>850</v>
      </c>
      <c r="C351" s="3" t="s">
        <v>63</v>
      </c>
      <c r="D351" s="4">
        <v>46210</v>
      </c>
      <c r="E351" s="4" t="s">
        <v>681</v>
      </c>
      <c r="F351" s="4" t="s">
        <v>682</v>
      </c>
      <c r="G351" s="15" t="s">
        <v>851</v>
      </c>
      <c r="H351" s="3"/>
      <c r="I351" s="3"/>
      <c r="J351" s="6">
        <v>11300</v>
      </c>
      <c r="K351" s="6"/>
      <c r="L351" s="6">
        <f t="shared" ref="L351:L352" si="221">SUM(J351:K351)</f>
        <v>11300</v>
      </c>
      <c r="M351" s="6"/>
      <c r="N351" s="6"/>
      <c r="O351" s="6">
        <f t="shared" si="219"/>
        <v>12995</v>
      </c>
      <c r="P351" s="3" t="s">
        <v>927</v>
      </c>
    </row>
    <row r="352" spans="1:16" ht="19.5" hidden="1" customHeight="1">
      <c r="A352" s="3">
        <f>SUBTOTAL(103,$B$2:B352)-1</f>
        <v>2</v>
      </c>
      <c r="B352" s="43" t="s">
        <v>852</v>
      </c>
      <c r="C352" s="24" t="s">
        <v>872</v>
      </c>
      <c r="D352" s="25">
        <v>46210</v>
      </c>
      <c r="E352" s="25" t="s">
        <v>873</v>
      </c>
      <c r="F352" s="25" t="s">
        <v>874</v>
      </c>
      <c r="G352" s="30" t="s">
        <v>875</v>
      </c>
      <c r="H352" s="24" t="s">
        <v>20</v>
      </c>
      <c r="I352" s="24"/>
      <c r="J352" s="32">
        <v>11000</v>
      </c>
      <c r="K352" s="32"/>
      <c r="L352" s="32">
        <f t="shared" si="221"/>
        <v>11000</v>
      </c>
      <c r="M352" s="32"/>
      <c r="N352" s="32"/>
      <c r="O352" s="32">
        <f t="shared" si="219"/>
        <v>12650</v>
      </c>
      <c r="P352" s="24" t="s">
        <v>927</v>
      </c>
    </row>
    <row r="353" spans="1:16" ht="19.5" hidden="1" customHeight="1">
      <c r="A353" s="3">
        <f>SUBTOTAL(103,$B$2:B353)-1</f>
        <v>2</v>
      </c>
      <c r="B353" s="34" t="s">
        <v>853</v>
      </c>
      <c r="C353" s="3" t="s">
        <v>66</v>
      </c>
      <c r="D353" s="4">
        <v>46210</v>
      </c>
      <c r="E353" s="4" t="s">
        <v>544</v>
      </c>
      <c r="F353" s="4" t="s">
        <v>545</v>
      </c>
      <c r="G353" s="15" t="s">
        <v>854</v>
      </c>
      <c r="H353" s="3"/>
      <c r="I353" s="3"/>
      <c r="J353" s="6">
        <v>29</v>
      </c>
      <c r="K353" s="6"/>
      <c r="L353" s="6">
        <f t="shared" ref="L353" si="222">SUM(J353:K353)</f>
        <v>29</v>
      </c>
      <c r="M353" s="6"/>
      <c r="N353" s="6"/>
      <c r="O353" s="6">
        <f t="shared" si="219"/>
        <v>33.35</v>
      </c>
      <c r="P353" s="3" t="s">
        <v>927</v>
      </c>
    </row>
    <row r="354" spans="1:16" ht="19.5" hidden="1" customHeight="1">
      <c r="A354" s="3">
        <f>SUBTOTAL(103,$B$2:B354)-1</f>
        <v>2</v>
      </c>
      <c r="B354" s="34" t="s">
        <v>855</v>
      </c>
      <c r="C354" s="3" t="s">
        <v>66</v>
      </c>
      <c r="D354" s="4">
        <v>46210</v>
      </c>
      <c r="E354" s="4" t="s">
        <v>784</v>
      </c>
      <c r="F354" s="4" t="s">
        <v>785</v>
      </c>
      <c r="G354" s="15" t="s">
        <v>856</v>
      </c>
      <c r="H354" s="3"/>
      <c r="I354" s="3"/>
      <c r="J354" s="6">
        <f>38+29+28</f>
        <v>95</v>
      </c>
      <c r="K354" s="6"/>
      <c r="L354" s="6">
        <f t="shared" ref="L354" si="223">SUM(J354:K354)</f>
        <v>95</v>
      </c>
      <c r="M354" s="6"/>
      <c r="N354" s="6"/>
      <c r="O354" s="6">
        <f t="shared" si="219"/>
        <v>109.25</v>
      </c>
      <c r="P354" s="3" t="s">
        <v>927</v>
      </c>
    </row>
    <row r="355" spans="1:16" ht="19.5" hidden="1" customHeight="1">
      <c r="A355" s="3">
        <f>SUBTOTAL(103,$B$2:B355)-1</f>
        <v>2</v>
      </c>
      <c r="B355" s="34" t="s">
        <v>857</v>
      </c>
      <c r="C355" s="3" t="s">
        <v>66</v>
      </c>
      <c r="D355" s="4">
        <v>46210</v>
      </c>
      <c r="E355" s="4" t="s">
        <v>762</v>
      </c>
      <c r="F355" s="4" t="s">
        <v>763</v>
      </c>
      <c r="G355" s="15" t="s">
        <v>856</v>
      </c>
      <c r="H355" s="3"/>
      <c r="I355" s="3"/>
      <c r="J355" s="6">
        <f>38+29</f>
        <v>67</v>
      </c>
      <c r="K355" s="6"/>
      <c r="L355" s="6">
        <f t="shared" ref="L355" si="224">SUM(J355:K355)</f>
        <v>67</v>
      </c>
      <c r="M355" s="6"/>
      <c r="N355" s="6"/>
      <c r="O355" s="6">
        <f t="shared" si="219"/>
        <v>77.05</v>
      </c>
      <c r="P355" s="3" t="s">
        <v>927</v>
      </c>
    </row>
    <row r="356" spans="1:16" ht="19.5" hidden="1" customHeight="1">
      <c r="A356" s="3">
        <f>SUBTOTAL(103,$B$2:B356)-1</f>
        <v>2</v>
      </c>
      <c r="B356" s="34" t="s">
        <v>858</v>
      </c>
      <c r="C356" s="3" t="s">
        <v>157</v>
      </c>
      <c r="D356" s="4">
        <v>46210</v>
      </c>
      <c r="E356" s="4" t="s">
        <v>859</v>
      </c>
      <c r="F356" s="4" t="s">
        <v>861</v>
      </c>
      <c r="G356" s="15" t="s">
        <v>860</v>
      </c>
      <c r="H356" s="3"/>
      <c r="I356" s="3"/>
      <c r="J356" s="6">
        <f>1500+1800+1000+1000</f>
        <v>5300</v>
      </c>
      <c r="K356" s="6"/>
      <c r="L356" s="6">
        <f t="shared" ref="L356" si="225">SUM(J356:K356)</f>
        <v>5300</v>
      </c>
      <c r="M356" s="6"/>
      <c r="N356" s="6"/>
      <c r="O356" s="6">
        <f t="shared" si="219"/>
        <v>6095</v>
      </c>
      <c r="P356" s="3" t="s">
        <v>927</v>
      </c>
    </row>
    <row r="357" spans="1:16" ht="19.5" hidden="1" customHeight="1">
      <c r="A357" s="3">
        <f>SUBTOTAL(103,$B$2:B357)-1</f>
        <v>2</v>
      </c>
      <c r="B357" s="35" t="s">
        <v>862</v>
      </c>
      <c r="C357" s="24" t="s">
        <v>35</v>
      </c>
      <c r="D357" s="25">
        <v>46210</v>
      </c>
      <c r="E357" s="25" t="s">
        <v>133</v>
      </c>
      <c r="F357" s="25" t="s">
        <v>95</v>
      </c>
      <c r="G357" s="30" t="s">
        <v>134</v>
      </c>
      <c r="H357" s="24" t="s">
        <v>20</v>
      </c>
      <c r="I357" s="24" t="s">
        <v>863</v>
      </c>
      <c r="J357" s="32">
        <v>3750</v>
      </c>
      <c r="K357" s="32">
        <v>2000</v>
      </c>
      <c r="L357" s="32">
        <f t="shared" ref="L357" si="226">SUM(J357:K357)</f>
        <v>5750</v>
      </c>
      <c r="M357" s="32"/>
      <c r="N357" s="32"/>
      <c r="O357" s="32">
        <f t="shared" si="219"/>
        <v>6612.5</v>
      </c>
      <c r="P357" s="24" t="s">
        <v>951</v>
      </c>
    </row>
    <row r="358" spans="1:16" ht="19.5" hidden="1" customHeight="1">
      <c r="A358" s="3">
        <f>SUBTOTAL(103,$B$2:B358)-1</f>
        <v>2</v>
      </c>
      <c r="B358" s="34" t="s">
        <v>864</v>
      </c>
      <c r="C358" s="3" t="s">
        <v>185</v>
      </c>
      <c r="D358" s="4">
        <v>46210</v>
      </c>
      <c r="E358" s="4" t="s">
        <v>163</v>
      </c>
      <c r="F358" s="4" t="s">
        <v>164</v>
      </c>
      <c r="G358" s="15" t="s">
        <v>865</v>
      </c>
      <c r="H358" s="3"/>
      <c r="I358" s="3"/>
      <c r="J358" s="6">
        <v>50400</v>
      </c>
      <c r="K358" s="6"/>
      <c r="L358" s="6">
        <f t="shared" ref="L358" si="227">SUM(J358:K358)</f>
        <v>50400</v>
      </c>
      <c r="M358" s="6"/>
      <c r="N358" s="6"/>
      <c r="O358" s="6">
        <f t="shared" si="219"/>
        <v>57960</v>
      </c>
      <c r="P358" s="3" t="s">
        <v>927</v>
      </c>
    </row>
    <row r="359" spans="1:16" ht="19.5" hidden="1" customHeight="1">
      <c r="A359" s="3">
        <f>SUBTOTAL(103,$B$2:B359)-1</f>
        <v>2</v>
      </c>
      <c r="B359" s="34" t="s">
        <v>866</v>
      </c>
      <c r="C359" s="3" t="s">
        <v>66</v>
      </c>
      <c r="D359" s="4">
        <v>46210</v>
      </c>
      <c r="E359" s="4" t="s">
        <v>269</v>
      </c>
      <c r="F359" s="4" t="s">
        <v>270</v>
      </c>
      <c r="G359" s="15" t="s">
        <v>867</v>
      </c>
      <c r="H359" s="3"/>
      <c r="I359" s="3"/>
      <c r="J359" s="6">
        <f>115</f>
        <v>115</v>
      </c>
      <c r="K359" s="6"/>
      <c r="L359" s="6">
        <f t="shared" ref="L359" si="228">SUM(J359:K359)</f>
        <v>115</v>
      </c>
      <c r="M359" s="6"/>
      <c r="N359" s="6"/>
      <c r="O359" s="6">
        <f t="shared" si="219"/>
        <v>132.25</v>
      </c>
      <c r="P359" s="3" t="s">
        <v>927</v>
      </c>
    </row>
    <row r="360" spans="1:16" ht="19.5" hidden="1" customHeight="1">
      <c r="A360" s="3">
        <f>SUBTOTAL(103,$B$2:B360)-1</f>
        <v>2</v>
      </c>
      <c r="B360" s="34" t="s">
        <v>868</v>
      </c>
      <c r="C360" s="3" t="s">
        <v>869</v>
      </c>
      <c r="D360" s="4">
        <v>46210</v>
      </c>
      <c r="E360" s="4" t="s">
        <v>998</v>
      </c>
      <c r="F360" s="4" t="s">
        <v>999</v>
      </c>
      <c r="G360" s="15" t="s">
        <v>869</v>
      </c>
      <c r="H360" s="3" t="s">
        <v>20</v>
      </c>
      <c r="I360" s="3"/>
      <c r="J360" s="6">
        <v>11500</v>
      </c>
      <c r="K360" s="6"/>
      <c r="L360" s="6">
        <f t="shared" ref="L360" si="229">SUM(J360:K360)</f>
        <v>11500</v>
      </c>
      <c r="M360" s="6"/>
      <c r="N360" s="6"/>
      <c r="O360" s="6">
        <f t="shared" si="219"/>
        <v>13225</v>
      </c>
      <c r="P360" s="3" t="s">
        <v>927</v>
      </c>
    </row>
    <row r="361" spans="1:16" ht="19.5" hidden="1" customHeight="1">
      <c r="A361" s="3">
        <f>SUBTOTAL(103,$B$2:B361)-1</f>
        <v>2</v>
      </c>
      <c r="B361" s="35" t="s">
        <v>876</v>
      </c>
      <c r="C361" s="24" t="s">
        <v>877</v>
      </c>
      <c r="D361" s="25">
        <v>46210</v>
      </c>
      <c r="E361" s="25" t="s">
        <v>870</v>
      </c>
      <c r="F361" s="25" t="s">
        <v>871</v>
      </c>
      <c r="G361" s="30" t="s">
        <v>878</v>
      </c>
      <c r="H361" s="24" t="s">
        <v>20</v>
      </c>
      <c r="I361" s="24"/>
      <c r="J361" s="32">
        <v>4000</v>
      </c>
      <c r="K361" s="32"/>
      <c r="L361" s="32">
        <f t="shared" ref="L361" si="230">SUM(J361:K361)</f>
        <v>4000</v>
      </c>
      <c r="M361" s="32"/>
      <c r="N361" s="32"/>
      <c r="O361" s="32">
        <f t="shared" ref="O361" si="231">L361+(L361*15%)</f>
        <v>4600</v>
      </c>
      <c r="P361" s="24" t="s">
        <v>1096</v>
      </c>
    </row>
    <row r="362" spans="1:16" ht="19.5" hidden="1" customHeight="1">
      <c r="A362" s="3">
        <f>SUBTOTAL(103,$B$2:B362)-1</f>
        <v>2</v>
      </c>
      <c r="B362" s="34" t="s">
        <v>879</v>
      </c>
      <c r="C362" s="3" t="s">
        <v>66</v>
      </c>
      <c r="D362" s="4">
        <v>46210</v>
      </c>
      <c r="E362" s="4" t="s">
        <v>441</v>
      </c>
      <c r="F362" s="4" t="s">
        <v>442</v>
      </c>
      <c r="G362" s="15" t="s">
        <v>883</v>
      </c>
      <c r="H362" s="3"/>
      <c r="I362" s="3"/>
      <c r="J362" s="6">
        <v>105</v>
      </c>
      <c r="K362" s="6"/>
      <c r="L362" s="6">
        <f t="shared" ref="L362" si="232">SUM(J362:K362)</f>
        <v>105</v>
      </c>
      <c r="M362" s="6"/>
      <c r="N362" s="6"/>
      <c r="O362" s="6">
        <f t="shared" ref="O362" si="233">L362+(L362*15%)</f>
        <v>120.75</v>
      </c>
      <c r="P362" s="3" t="s">
        <v>927</v>
      </c>
    </row>
    <row r="363" spans="1:16" ht="19.5" hidden="1" customHeight="1">
      <c r="A363" s="3">
        <f>SUBTOTAL(103,$B$2:B363)-1</f>
        <v>2</v>
      </c>
      <c r="B363" s="34" t="s">
        <v>882</v>
      </c>
      <c r="C363" s="3" t="s">
        <v>40</v>
      </c>
      <c r="D363" s="4">
        <v>46210</v>
      </c>
      <c r="E363" s="4" t="s">
        <v>203</v>
      </c>
      <c r="F363" s="4" t="s">
        <v>204</v>
      </c>
      <c r="G363" s="15" t="s">
        <v>823</v>
      </c>
      <c r="H363" s="3"/>
      <c r="I363" s="3"/>
      <c r="J363" s="6">
        <v>67680</v>
      </c>
      <c r="K363" s="6"/>
      <c r="L363" s="6">
        <f t="shared" ref="L363:L364" si="234">SUM(J363:K363)</f>
        <v>67680</v>
      </c>
      <c r="M363" s="6"/>
      <c r="N363" s="6"/>
      <c r="O363" s="6">
        <f t="shared" ref="O363:O364" si="235">L363+(L363*15%)</f>
        <v>77832</v>
      </c>
      <c r="P363" s="3" t="s">
        <v>927</v>
      </c>
    </row>
    <row r="364" spans="1:16" ht="19.5" hidden="1" customHeight="1">
      <c r="A364" s="3">
        <f>SUBTOTAL(103,$B$2:B364)-1</f>
        <v>2</v>
      </c>
      <c r="B364" s="34" t="s">
        <v>884</v>
      </c>
      <c r="C364" s="3" t="s">
        <v>66</v>
      </c>
      <c r="D364" s="4">
        <v>46210</v>
      </c>
      <c r="E364" s="4" t="s">
        <v>1174</v>
      </c>
      <c r="F364" s="4" t="s">
        <v>880</v>
      </c>
      <c r="G364" s="15" t="s">
        <v>881</v>
      </c>
      <c r="H364" s="3"/>
      <c r="I364" s="3"/>
      <c r="J364" s="6">
        <v>1.84</v>
      </c>
      <c r="K364" s="6"/>
      <c r="L364" s="6">
        <f t="shared" si="234"/>
        <v>1.84</v>
      </c>
      <c r="M364" s="6"/>
      <c r="N364" s="6"/>
      <c r="O364" s="6">
        <f t="shared" si="235"/>
        <v>2.1160000000000001</v>
      </c>
      <c r="P364" s="3" t="s">
        <v>927</v>
      </c>
    </row>
    <row r="365" spans="1:16" ht="19.5" hidden="1" customHeight="1">
      <c r="A365" s="3">
        <f>SUBTOTAL(103,$B$2:B365)-1</f>
        <v>2</v>
      </c>
      <c r="B365" s="34" t="s">
        <v>885</v>
      </c>
      <c r="C365" s="3" t="s">
        <v>66</v>
      </c>
      <c r="D365" s="4">
        <v>46210</v>
      </c>
      <c r="E365" s="4" t="s">
        <v>886</v>
      </c>
      <c r="F365" s="4" t="s">
        <v>887</v>
      </c>
      <c r="G365" s="15" t="s">
        <v>888</v>
      </c>
      <c r="H365" s="3"/>
      <c r="I365" s="3"/>
      <c r="J365" s="6">
        <v>30</v>
      </c>
      <c r="K365" s="6"/>
      <c r="L365" s="6">
        <f t="shared" ref="L365" si="236">SUM(J365:K365)</f>
        <v>30</v>
      </c>
      <c r="M365" s="6"/>
      <c r="N365" s="6"/>
      <c r="O365" s="6">
        <f t="shared" ref="O365" si="237">L365+(L365*15%)</f>
        <v>34.5</v>
      </c>
      <c r="P365" s="3" t="s">
        <v>927</v>
      </c>
    </row>
    <row r="366" spans="1:16" ht="19.5" hidden="1" customHeight="1">
      <c r="A366" s="3">
        <f>SUBTOTAL(103,$B$2:B366)-1</f>
        <v>2</v>
      </c>
      <c r="B366" s="34" t="s">
        <v>889</v>
      </c>
      <c r="C366" s="3" t="s">
        <v>40</v>
      </c>
      <c r="D366" s="4">
        <v>46210</v>
      </c>
      <c r="E366" s="4" t="s">
        <v>637</v>
      </c>
      <c r="F366" s="4" t="s">
        <v>689</v>
      </c>
      <c r="G366" s="15" t="s">
        <v>205</v>
      </c>
      <c r="H366" s="3"/>
      <c r="I366" s="3"/>
      <c r="J366" s="6">
        <v>391481.52</v>
      </c>
      <c r="K366" s="6"/>
      <c r="L366" s="6">
        <f t="shared" ref="L366" si="238">SUM(J366:K366)</f>
        <v>391481.52</v>
      </c>
      <c r="M366" s="6"/>
      <c r="N366" s="6"/>
      <c r="O366" s="6">
        <f t="shared" ref="O366" si="239">L366+(L366*15%)</f>
        <v>450203.74800000002</v>
      </c>
      <c r="P366" s="3" t="s">
        <v>927</v>
      </c>
    </row>
    <row r="367" spans="1:16" ht="19.5" hidden="1" customHeight="1">
      <c r="A367" s="3">
        <f>SUBTOTAL(103,$B$2:B367)-1</f>
        <v>2</v>
      </c>
      <c r="B367" s="34" t="s">
        <v>890</v>
      </c>
      <c r="C367" s="3" t="s">
        <v>40</v>
      </c>
      <c r="D367" s="4">
        <v>46210</v>
      </c>
      <c r="E367" s="4" t="s">
        <v>676</v>
      </c>
      <c r="F367" s="4" t="s">
        <v>713</v>
      </c>
      <c r="G367" s="15" t="s">
        <v>205</v>
      </c>
      <c r="H367" s="3"/>
      <c r="I367" s="3"/>
      <c r="J367" s="6">
        <v>163085</v>
      </c>
      <c r="K367" s="6"/>
      <c r="L367" s="6">
        <f t="shared" ref="L367" si="240">SUM(J367:K367)</f>
        <v>163085</v>
      </c>
      <c r="M367" s="6"/>
      <c r="N367" s="6"/>
      <c r="O367" s="6">
        <f t="shared" ref="O367" si="241">L367+(L367*15%)</f>
        <v>187547.75</v>
      </c>
      <c r="P367" s="3" t="s">
        <v>927</v>
      </c>
    </row>
    <row r="368" spans="1:16" ht="19.5" hidden="1" customHeight="1">
      <c r="A368" s="3">
        <f>SUBTOTAL(103,$B$2:B368)-1</f>
        <v>2</v>
      </c>
      <c r="B368" s="20" t="s">
        <v>891</v>
      </c>
      <c r="C368" s="3" t="s">
        <v>40</v>
      </c>
      <c r="D368" s="4">
        <v>46210</v>
      </c>
      <c r="E368" s="4" t="s">
        <v>892</v>
      </c>
      <c r="F368" s="4" t="s">
        <v>587</v>
      </c>
      <c r="G368" s="15" t="s">
        <v>205</v>
      </c>
      <c r="H368" s="3"/>
      <c r="I368" s="3"/>
      <c r="J368" s="6">
        <v>153219</v>
      </c>
      <c r="K368" s="6"/>
      <c r="L368" s="6">
        <f t="shared" ref="L368" si="242">SUM(J368:K368)</f>
        <v>153219</v>
      </c>
      <c r="M368" s="6"/>
      <c r="N368" s="6"/>
      <c r="O368" s="6">
        <f t="shared" ref="O368" si="243">L368+(L368*15%)</f>
        <v>176201.85</v>
      </c>
      <c r="P368" s="3" t="s">
        <v>949</v>
      </c>
    </row>
    <row r="369" spans="1:17" ht="19.5" hidden="1" customHeight="1">
      <c r="A369" s="3">
        <f>SUBTOTAL(103,$B$2:B369)-1</f>
        <v>2</v>
      </c>
      <c r="B369" s="34" t="s">
        <v>893</v>
      </c>
      <c r="C369" s="3" t="s">
        <v>40</v>
      </c>
      <c r="D369" s="4">
        <v>46210</v>
      </c>
      <c r="E369" s="4" t="s">
        <v>203</v>
      </c>
      <c r="F369" s="4" t="s">
        <v>204</v>
      </c>
      <c r="G369" s="15" t="s">
        <v>205</v>
      </c>
      <c r="H369" s="3"/>
      <c r="I369" s="3"/>
      <c r="J369" s="6">
        <v>826442.5</v>
      </c>
      <c r="K369" s="6"/>
      <c r="L369" s="6">
        <f t="shared" ref="L369" si="244">SUM(J369:K369)</f>
        <v>826442.5</v>
      </c>
      <c r="M369" s="6"/>
      <c r="N369" s="6"/>
      <c r="O369" s="6">
        <f t="shared" ref="O369" si="245">L369+(L369*15%)</f>
        <v>950408.875</v>
      </c>
      <c r="P369" s="3" t="s">
        <v>927</v>
      </c>
    </row>
    <row r="370" spans="1:17" ht="19.5" hidden="1" customHeight="1">
      <c r="A370" s="3">
        <f>SUBTOTAL(103,$B$2:B370)-1</f>
        <v>2</v>
      </c>
      <c r="B370" s="34" t="s">
        <v>894</v>
      </c>
      <c r="C370" s="3" t="s">
        <v>35</v>
      </c>
      <c r="D370" s="4">
        <v>46210</v>
      </c>
      <c r="E370" s="4" t="s">
        <v>45</v>
      </c>
      <c r="F370" s="4" t="s">
        <v>46</v>
      </c>
      <c r="G370" s="15" t="s">
        <v>33</v>
      </c>
      <c r="H370" s="3" t="s">
        <v>20</v>
      </c>
      <c r="I370" s="3" t="s">
        <v>705</v>
      </c>
      <c r="J370" s="6">
        <v>90000</v>
      </c>
      <c r="K370" s="6">
        <v>8000</v>
      </c>
      <c r="L370" s="6">
        <f t="shared" ref="L370" si="246">SUM(J370:K370)</f>
        <v>98000</v>
      </c>
      <c r="M370" s="6"/>
      <c r="N370" s="6"/>
      <c r="O370" s="6">
        <f t="shared" ref="O370" si="247">L370+(L370*15%)</f>
        <v>112700</v>
      </c>
      <c r="P370" s="3" t="s">
        <v>927</v>
      </c>
      <c r="Q370" s="40" t="s">
        <v>1037</v>
      </c>
    </row>
    <row r="371" spans="1:17" ht="19.5" hidden="1" customHeight="1">
      <c r="A371" s="3">
        <f>SUBTOTAL(103,$B$2:B371)-1</f>
        <v>2</v>
      </c>
      <c r="B371" s="34" t="s">
        <v>895</v>
      </c>
      <c r="C371" s="3" t="s">
        <v>35</v>
      </c>
      <c r="D371" s="4">
        <v>46210</v>
      </c>
      <c r="E371" s="4" t="s">
        <v>399</v>
      </c>
      <c r="F371" s="4" t="s">
        <v>18</v>
      </c>
      <c r="G371" s="15" t="s">
        <v>134</v>
      </c>
      <c r="H371" s="3" t="s">
        <v>20</v>
      </c>
      <c r="I371" s="3" t="s">
        <v>896</v>
      </c>
      <c r="J371" s="6">
        <v>12000</v>
      </c>
      <c r="K371" s="6">
        <v>2000</v>
      </c>
      <c r="L371" s="6">
        <f t="shared" ref="L371" si="248">SUM(J371:K371)</f>
        <v>14000</v>
      </c>
      <c r="M371" s="6"/>
      <c r="N371" s="6"/>
      <c r="O371" s="6">
        <f t="shared" ref="O371" si="249">L371+(L371*15%)</f>
        <v>16100</v>
      </c>
      <c r="P371" s="3" t="s">
        <v>927</v>
      </c>
    </row>
    <row r="372" spans="1:17" ht="19.5" hidden="1" customHeight="1">
      <c r="A372" s="3">
        <f>SUBTOTAL(103,$B$2:B372)-1</f>
        <v>2</v>
      </c>
      <c r="B372" s="34" t="s">
        <v>897</v>
      </c>
      <c r="C372" s="10" t="s">
        <v>66</v>
      </c>
      <c r="D372" s="4">
        <v>46210</v>
      </c>
      <c r="E372" s="4" t="s">
        <v>784</v>
      </c>
      <c r="F372" s="4" t="s">
        <v>898</v>
      </c>
      <c r="G372" s="15" t="s">
        <v>899</v>
      </c>
      <c r="H372" s="3"/>
      <c r="I372" s="3" t="s">
        <v>900</v>
      </c>
      <c r="J372" s="6">
        <v>44</v>
      </c>
      <c r="K372" s="6"/>
      <c r="L372" s="6">
        <f t="shared" ref="L372" si="250">SUM(J372:K372)</f>
        <v>44</v>
      </c>
      <c r="M372" s="6"/>
      <c r="N372" s="6"/>
      <c r="O372" s="6">
        <f t="shared" ref="O372" si="251">L372+(L372*15%)</f>
        <v>50.6</v>
      </c>
      <c r="P372" s="3" t="s">
        <v>927</v>
      </c>
    </row>
    <row r="373" spans="1:17" ht="19.5" hidden="1" customHeight="1">
      <c r="A373" s="3">
        <f>SUBTOTAL(103,$B$2:B373)-1</f>
        <v>2</v>
      </c>
      <c r="B373" s="20" t="s">
        <v>901</v>
      </c>
      <c r="C373" s="3" t="s">
        <v>66</v>
      </c>
      <c r="D373" s="4">
        <v>46210</v>
      </c>
      <c r="E373" s="4" t="s">
        <v>269</v>
      </c>
      <c r="F373" s="4" t="s">
        <v>270</v>
      </c>
      <c r="G373" s="15" t="s">
        <v>906</v>
      </c>
      <c r="H373" s="3"/>
      <c r="I373" s="3"/>
      <c r="J373" s="6"/>
      <c r="K373" s="6"/>
      <c r="L373" s="6">
        <f t="shared" ref="L373" si="252">SUM(J373:K373)</f>
        <v>0</v>
      </c>
      <c r="M373" s="6"/>
      <c r="N373" s="6"/>
      <c r="O373" s="6">
        <f t="shared" ref="O373" si="253">L373+(L373*15%)</f>
        <v>0</v>
      </c>
      <c r="P373" s="3" t="s">
        <v>1035</v>
      </c>
    </row>
    <row r="374" spans="1:17" ht="19.5" hidden="1" customHeight="1">
      <c r="A374" s="3">
        <f>SUBTOTAL(103,$B$2:B374)-1</f>
        <v>2</v>
      </c>
      <c r="B374" s="20" t="s">
        <v>903</v>
      </c>
      <c r="C374" s="3" t="s">
        <v>66</v>
      </c>
      <c r="D374" s="4">
        <v>46210</v>
      </c>
      <c r="E374" s="4" t="s">
        <v>937</v>
      </c>
      <c r="F374" s="4" t="s">
        <v>936</v>
      </c>
      <c r="G374" s="15" t="s">
        <v>904</v>
      </c>
      <c r="H374" s="3"/>
      <c r="I374" s="3"/>
      <c r="J374" s="6"/>
      <c r="K374" s="6"/>
      <c r="L374" s="6">
        <f t="shared" ref="L374" si="254">SUM(J374:K374)</f>
        <v>0</v>
      </c>
      <c r="M374" s="6"/>
      <c r="N374" s="6"/>
      <c r="O374" s="6">
        <f t="shared" ref="O374" si="255">L374+(L374*15%)</f>
        <v>0</v>
      </c>
      <c r="P374" s="3" t="s">
        <v>1011</v>
      </c>
    </row>
    <row r="375" spans="1:17" ht="19.5" hidden="1" customHeight="1">
      <c r="A375" s="3">
        <f>SUBTOTAL(103,$B$2:B375)-1</f>
        <v>2</v>
      </c>
      <c r="B375" s="34" t="s">
        <v>905</v>
      </c>
      <c r="C375" s="3" t="s">
        <v>66</v>
      </c>
      <c r="D375" s="4">
        <v>46210</v>
      </c>
      <c r="E375" s="4" t="s">
        <v>902</v>
      </c>
      <c r="F375" s="4" t="s">
        <v>219</v>
      </c>
      <c r="G375" s="15" t="s">
        <v>899</v>
      </c>
      <c r="H375" s="3"/>
      <c r="I375" s="3"/>
      <c r="J375" s="6"/>
      <c r="K375" s="6"/>
      <c r="L375" s="6">
        <f t="shared" ref="L375" si="256">SUM(J375:K375)</f>
        <v>0</v>
      </c>
      <c r="M375" s="6"/>
      <c r="N375" s="6"/>
      <c r="O375" s="6">
        <f t="shared" ref="O375" si="257">L375+(L375*15%)</f>
        <v>0</v>
      </c>
      <c r="P375" s="3" t="s">
        <v>927</v>
      </c>
    </row>
    <row r="376" spans="1:17" ht="19.5" hidden="1" customHeight="1">
      <c r="A376" s="3">
        <f>SUBTOTAL(103,$B$2:B376)-1</f>
        <v>2</v>
      </c>
      <c r="B376" s="35" t="s">
        <v>907</v>
      </c>
      <c r="C376" s="24" t="s">
        <v>140</v>
      </c>
      <c r="D376" s="25">
        <v>46210</v>
      </c>
      <c r="E376" s="25" t="s">
        <v>956</v>
      </c>
      <c r="F376" s="25" t="s">
        <v>957</v>
      </c>
      <c r="G376" s="30" t="s">
        <v>958</v>
      </c>
      <c r="H376" s="24"/>
      <c r="I376" s="24"/>
      <c r="J376" s="32">
        <v>15600</v>
      </c>
      <c r="K376" s="32"/>
      <c r="L376" s="32">
        <f t="shared" ref="L376" si="258">SUM(J376:K376)</f>
        <v>15600</v>
      </c>
      <c r="M376" s="32"/>
      <c r="N376" s="32"/>
      <c r="O376" s="32">
        <f t="shared" ref="O376" si="259">L376+(L376*15%)</f>
        <v>17940</v>
      </c>
      <c r="P376" s="24" t="s">
        <v>1005</v>
      </c>
    </row>
    <row r="377" spans="1:17" ht="19.5" hidden="1" customHeight="1">
      <c r="A377" s="3">
        <f>SUBTOTAL(103,$B$2:B377)-1</f>
        <v>2</v>
      </c>
      <c r="B377" s="34" t="s">
        <v>909</v>
      </c>
      <c r="C377" s="3" t="s">
        <v>185</v>
      </c>
      <c r="D377" s="4">
        <v>46210</v>
      </c>
      <c r="E377" s="4" t="s">
        <v>93</v>
      </c>
      <c r="F377" s="4" t="s">
        <v>908</v>
      </c>
      <c r="G377" s="15" t="s">
        <v>72</v>
      </c>
      <c r="H377" s="3"/>
      <c r="I377" s="3"/>
      <c r="J377" s="6">
        <v>107548.89</v>
      </c>
      <c r="K377" s="6"/>
      <c r="L377" s="6">
        <f t="shared" ref="L377" si="260">SUM(J377:K377)</f>
        <v>107548.89</v>
      </c>
      <c r="M377" s="6"/>
      <c r="N377" s="6"/>
      <c r="O377" s="6">
        <f t="shared" ref="O377" si="261">L377+(L377*15%)</f>
        <v>123681.22349999999</v>
      </c>
      <c r="P377" s="3" t="s">
        <v>927</v>
      </c>
    </row>
    <row r="378" spans="1:17" ht="19.5" hidden="1" customHeight="1">
      <c r="A378" s="3">
        <f>SUBTOTAL(103,$B$2:B378)-1</f>
        <v>2</v>
      </c>
      <c r="B378" s="34" t="s">
        <v>911</v>
      </c>
      <c r="C378" s="3" t="s">
        <v>157</v>
      </c>
      <c r="D378" s="4">
        <v>46210</v>
      </c>
      <c r="E378" s="4" t="s">
        <v>93</v>
      </c>
      <c r="F378" s="4" t="s">
        <v>908</v>
      </c>
      <c r="G378" s="15" t="s">
        <v>910</v>
      </c>
      <c r="H378" s="3"/>
      <c r="I378" s="3"/>
      <c r="J378" s="6">
        <v>3168</v>
      </c>
      <c r="K378" s="6"/>
      <c r="L378" s="6">
        <f t="shared" ref="L378" si="262">SUM(J378:K378)</f>
        <v>3168</v>
      </c>
      <c r="M378" s="6"/>
      <c r="N378" s="6"/>
      <c r="O378" s="6">
        <f t="shared" ref="O378" si="263">L378+(L378*15%)</f>
        <v>3643.2</v>
      </c>
      <c r="P378" s="3" t="s">
        <v>927</v>
      </c>
    </row>
    <row r="379" spans="1:17" ht="19.5" hidden="1" customHeight="1">
      <c r="A379" s="3">
        <f>SUBTOTAL(103,$B$2:B379)-1</f>
        <v>2</v>
      </c>
      <c r="B379" s="34" t="s">
        <v>912</v>
      </c>
      <c r="C379" s="3" t="s">
        <v>40</v>
      </c>
      <c r="D379" s="4">
        <v>46230</v>
      </c>
      <c r="E379" s="4" t="s">
        <v>203</v>
      </c>
      <c r="F379" s="4" t="s">
        <v>913</v>
      </c>
      <c r="G379" s="15" t="s">
        <v>914</v>
      </c>
      <c r="H379" s="3"/>
      <c r="I379" s="3"/>
      <c r="J379" s="6">
        <v>14700</v>
      </c>
      <c r="K379" s="6"/>
      <c r="L379" s="6">
        <f t="shared" ref="L379" si="264">SUM(J379:K379)</f>
        <v>14700</v>
      </c>
      <c r="M379" s="6"/>
      <c r="N379" s="6"/>
      <c r="O379" s="6">
        <f t="shared" ref="O379" si="265">L379+(L379*15%)</f>
        <v>16905</v>
      </c>
      <c r="P379" s="3" t="s">
        <v>927</v>
      </c>
    </row>
    <row r="380" spans="1:17" ht="19.5" hidden="1" customHeight="1">
      <c r="A380" s="3">
        <f>SUBTOTAL(103,$B$2:B380)-1</f>
        <v>2</v>
      </c>
      <c r="B380" s="34" t="s">
        <v>915</v>
      </c>
      <c r="C380" s="3" t="s">
        <v>40</v>
      </c>
      <c r="D380" s="4">
        <v>46230</v>
      </c>
      <c r="E380" s="4" t="s">
        <v>916</v>
      </c>
      <c r="F380" s="4" t="s">
        <v>960</v>
      </c>
      <c r="G380" s="15" t="s">
        <v>917</v>
      </c>
      <c r="H380" s="3"/>
      <c r="I380" s="3"/>
      <c r="J380" s="6">
        <v>25200</v>
      </c>
      <c r="K380" s="6"/>
      <c r="L380" s="6">
        <f t="shared" ref="L380" si="266">SUM(J380:K380)</f>
        <v>25200</v>
      </c>
      <c r="M380" s="6"/>
      <c r="N380" s="6"/>
      <c r="O380" s="6">
        <f t="shared" ref="O380" si="267">L380+(L380*15%)</f>
        <v>28980</v>
      </c>
      <c r="P380" s="3" t="s">
        <v>927</v>
      </c>
    </row>
    <row r="381" spans="1:17" ht="19.5" hidden="1" customHeight="1">
      <c r="A381" s="3">
        <f>SUBTOTAL(103,$B$2:B381)-1</f>
        <v>2</v>
      </c>
      <c r="B381" s="34" t="s">
        <v>918</v>
      </c>
      <c r="C381" s="3" t="s">
        <v>40</v>
      </c>
      <c r="D381" s="4">
        <v>46230</v>
      </c>
      <c r="E381" s="4" t="s">
        <v>916</v>
      </c>
      <c r="F381" s="4" t="s">
        <v>960</v>
      </c>
      <c r="G381" s="15" t="s">
        <v>205</v>
      </c>
      <c r="H381" s="3"/>
      <c r="I381" s="3"/>
      <c r="J381" s="6">
        <v>93829</v>
      </c>
      <c r="K381" s="6"/>
      <c r="L381" s="6">
        <f t="shared" ref="L381" si="268">SUM(J381:K381)</f>
        <v>93829</v>
      </c>
      <c r="M381" s="6"/>
      <c r="N381" s="6"/>
      <c r="O381" s="6">
        <f t="shared" ref="O381" si="269">L381+(L381*15%)</f>
        <v>107903.35</v>
      </c>
      <c r="P381" s="3" t="s">
        <v>927</v>
      </c>
    </row>
    <row r="382" spans="1:17" ht="19.5" hidden="1" customHeight="1">
      <c r="A382" s="3">
        <f>SUBTOTAL(103,$B$2:B382)-1</f>
        <v>2</v>
      </c>
      <c r="B382" s="34" t="s">
        <v>919</v>
      </c>
      <c r="C382" s="3" t="s">
        <v>35</v>
      </c>
      <c r="D382" s="4">
        <v>46234</v>
      </c>
      <c r="E382" s="4" t="s">
        <v>920</v>
      </c>
      <c r="F382" s="4" t="s">
        <v>913</v>
      </c>
      <c r="G382" s="15" t="s">
        <v>921</v>
      </c>
      <c r="H382" s="3"/>
      <c r="I382" s="3"/>
      <c r="J382" s="6">
        <v>20000</v>
      </c>
      <c r="K382" s="6"/>
      <c r="L382" s="6">
        <f t="shared" ref="L382" si="270">SUM(J382:K382)</f>
        <v>20000</v>
      </c>
      <c r="M382" s="6"/>
      <c r="N382" s="6"/>
      <c r="O382" s="6">
        <f t="shared" ref="O382" si="271">L382+(L382*15%)</f>
        <v>23000</v>
      </c>
      <c r="P382" s="3" t="s">
        <v>927</v>
      </c>
      <c r="Q382" s="18" t="s">
        <v>1035</v>
      </c>
    </row>
    <row r="383" spans="1:17" ht="19.5" hidden="1" customHeight="1">
      <c r="A383" s="3">
        <f>SUBTOTAL(103,$B$2:B383)-1</f>
        <v>2</v>
      </c>
      <c r="B383" s="34" t="s">
        <v>922</v>
      </c>
      <c r="C383" s="3" t="s">
        <v>66</v>
      </c>
      <c r="D383" s="4">
        <v>46234</v>
      </c>
      <c r="E383" s="4" t="s">
        <v>1175</v>
      </c>
      <c r="F383" s="4" t="s">
        <v>924</v>
      </c>
      <c r="G383" s="15" t="s">
        <v>923</v>
      </c>
      <c r="H383" s="3"/>
      <c r="I383" s="3"/>
      <c r="J383" s="6"/>
      <c r="K383" s="6"/>
      <c r="L383" s="6">
        <f t="shared" ref="L383" si="272">SUM(J383:K383)</f>
        <v>0</v>
      </c>
      <c r="M383" s="6"/>
      <c r="N383" s="6"/>
      <c r="O383" s="6">
        <f t="shared" ref="O383" si="273">L383+(L383*15%)</f>
        <v>0</v>
      </c>
      <c r="P383" s="3" t="s">
        <v>927</v>
      </c>
      <c r="Q383" s="40" t="s">
        <v>1037</v>
      </c>
    </row>
    <row r="384" spans="1:17" ht="19.5" hidden="1" customHeight="1">
      <c r="A384" s="3">
        <f>SUBTOTAL(103,$B$2:B384)-1</f>
        <v>2</v>
      </c>
      <c r="B384" s="34" t="s">
        <v>925</v>
      </c>
      <c r="C384" s="3" t="s">
        <v>35</v>
      </c>
      <c r="D384" s="4">
        <v>46234</v>
      </c>
      <c r="E384" s="4" t="s">
        <v>24</v>
      </c>
      <c r="F384" s="4" t="s">
        <v>25</v>
      </c>
      <c r="G384" s="15" t="s">
        <v>33</v>
      </c>
      <c r="H384" s="3"/>
      <c r="I384" s="3" t="s">
        <v>934</v>
      </c>
      <c r="J384" s="6">
        <v>95000</v>
      </c>
      <c r="K384" s="6">
        <v>8000</v>
      </c>
      <c r="L384" s="6">
        <f t="shared" ref="L384" si="274">SUM(J384:K384)</f>
        <v>103000</v>
      </c>
      <c r="M384" s="6"/>
      <c r="N384" s="6"/>
      <c r="O384" s="6">
        <f t="shared" ref="O384" si="275">L384+(L384*15%)</f>
        <v>118450</v>
      </c>
      <c r="P384" s="3" t="s">
        <v>927</v>
      </c>
      <c r="Q384" s="40" t="s">
        <v>1037</v>
      </c>
    </row>
    <row r="385" spans="1:17" ht="19.5" hidden="1" customHeight="1">
      <c r="A385" s="3">
        <f>SUBTOTAL(103,$B$2:B385)-1</f>
        <v>2</v>
      </c>
      <c r="B385" s="34" t="s">
        <v>926</v>
      </c>
      <c r="C385" s="3" t="s">
        <v>872</v>
      </c>
      <c r="D385" s="4">
        <v>46235</v>
      </c>
      <c r="E385" s="4" t="s">
        <v>50</v>
      </c>
      <c r="F385" s="4" t="s">
        <v>51</v>
      </c>
      <c r="G385" s="15" t="s">
        <v>928</v>
      </c>
      <c r="H385" s="3"/>
      <c r="I385" s="3" t="s">
        <v>929</v>
      </c>
      <c r="J385" s="6">
        <v>7000</v>
      </c>
      <c r="K385" s="6"/>
      <c r="L385" s="6">
        <f t="shared" ref="L385" si="276">SUM(J385:K385)</f>
        <v>7000</v>
      </c>
      <c r="M385" s="6"/>
      <c r="N385" s="6"/>
      <c r="O385" s="6">
        <f t="shared" ref="O385" si="277">L385+(L385*15%)</f>
        <v>8050</v>
      </c>
      <c r="P385" s="3" t="s">
        <v>927</v>
      </c>
    </row>
    <row r="386" spans="1:17" ht="19.5" hidden="1" customHeight="1">
      <c r="A386" s="3">
        <f>SUBTOTAL(103,$B$2:B386)-1</f>
        <v>2</v>
      </c>
      <c r="B386" s="20" t="s">
        <v>930</v>
      </c>
      <c r="C386" s="3" t="s">
        <v>872</v>
      </c>
      <c r="D386" s="4">
        <v>46235</v>
      </c>
      <c r="E386" s="4" t="s">
        <v>931</v>
      </c>
      <c r="F386" s="4" t="s">
        <v>932</v>
      </c>
      <c r="G386" s="15" t="s">
        <v>928</v>
      </c>
      <c r="H386" s="3"/>
      <c r="I386" s="3" t="s">
        <v>933</v>
      </c>
      <c r="J386" s="6">
        <v>7000</v>
      </c>
      <c r="K386" s="6"/>
      <c r="L386" s="6">
        <f t="shared" ref="L386" si="278">SUM(J386:K386)</f>
        <v>7000</v>
      </c>
      <c r="M386" s="6"/>
      <c r="N386" s="6"/>
      <c r="O386" s="6">
        <f t="shared" ref="O386" si="279">L386+(L386*15%)</f>
        <v>8050</v>
      </c>
      <c r="P386" s="3" t="s">
        <v>1006</v>
      </c>
    </row>
    <row r="387" spans="1:17" ht="19.5" hidden="1" customHeight="1">
      <c r="A387" s="3">
        <f>SUBTOTAL(103,$B$2:B387)-1</f>
        <v>2</v>
      </c>
      <c r="B387" s="34" t="s">
        <v>935</v>
      </c>
      <c r="C387" s="3" t="s">
        <v>63</v>
      </c>
      <c r="D387" s="4">
        <v>46235</v>
      </c>
      <c r="E387" s="4" t="s">
        <v>441</v>
      </c>
      <c r="F387" s="4" t="s">
        <v>442</v>
      </c>
      <c r="G387" s="15" t="s">
        <v>939</v>
      </c>
      <c r="H387" s="3"/>
      <c r="I387" s="3" t="s">
        <v>933</v>
      </c>
      <c r="J387" s="6">
        <v>7000</v>
      </c>
      <c r="K387" s="6"/>
      <c r="L387" s="6">
        <f t="shared" ref="L387" si="280">SUM(J387:K387)</f>
        <v>7000</v>
      </c>
      <c r="M387" s="6"/>
      <c r="N387" s="6"/>
      <c r="O387" s="6">
        <f t="shared" ref="O387" si="281">L387+(L387*15%)</f>
        <v>8050</v>
      </c>
      <c r="P387" s="3" t="s">
        <v>927</v>
      </c>
    </row>
    <row r="388" spans="1:17" ht="19.5" hidden="1" customHeight="1">
      <c r="A388" s="3">
        <f>SUBTOTAL(103,$B$2:B388)-1</f>
        <v>2</v>
      </c>
      <c r="B388" s="34" t="s">
        <v>940</v>
      </c>
      <c r="C388" s="3" t="s">
        <v>66</v>
      </c>
      <c r="D388" s="4">
        <v>46235</v>
      </c>
      <c r="E388" s="4" t="s">
        <v>886</v>
      </c>
      <c r="F388" s="4" t="s">
        <v>887</v>
      </c>
      <c r="G388" s="15" t="s">
        <v>941</v>
      </c>
      <c r="H388" s="3"/>
      <c r="I388" s="3"/>
      <c r="J388" s="6"/>
      <c r="K388" s="6"/>
      <c r="L388" s="6">
        <f t="shared" ref="L388" si="282">SUM(J388:K388)</f>
        <v>0</v>
      </c>
      <c r="M388" s="6"/>
      <c r="N388" s="6"/>
      <c r="O388" s="6">
        <f t="shared" ref="O388" si="283">L388+(L388*15%)</f>
        <v>0</v>
      </c>
      <c r="P388" s="3" t="s">
        <v>927</v>
      </c>
    </row>
    <row r="389" spans="1:17" ht="19.5" hidden="1" customHeight="1">
      <c r="A389" s="3">
        <f>SUBTOTAL(103,$B$2:B389)-1</f>
        <v>2</v>
      </c>
      <c r="B389" s="34" t="s">
        <v>942</v>
      </c>
      <c r="C389" s="3" t="s">
        <v>66</v>
      </c>
      <c r="D389" s="4">
        <v>46235</v>
      </c>
      <c r="E389" s="4" t="s">
        <v>943</v>
      </c>
      <c r="F389" s="4" t="s">
        <v>944</v>
      </c>
      <c r="G389" s="15" t="s">
        <v>830</v>
      </c>
      <c r="H389" s="3"/>
      <c r="I389" s="3"/>
      <c r="J389" s="6"/>
      <c r="K389" s="6"/>
      <c r="L389" s="6">
        <f t="shared" ref="L389" si="284">SUM(J389:K389)</f>
        <v>0</v>
      </c>
      <c r="M389" s="6"/>
      <c r="N389" s="6"/>
      <c r="O389" s="6">
        <f t="shared" ref="O389" si="285">L389+(L389*15%)</f>
        <v>0</v>
      </c>
      <c r="P389" s="3" t="s">
        <v>927</v>
      </c>
      <c r="Q389" s="40" t="s">
        <v>1037</v>
      </c>
    </row>
    <row r="390" spans="1:17" ht="19.5" hidden="1" customHeight="1">
      <c r="A390" s="3">
        <f>SUBTOTAL(103,$B$2:B390)-1</f>
        <v>2</v>
      </c>
      <c r="B390" s="34" t="s">
        <v>945</v>
      </c>
      <c r="C390" s="3" t="s">
        <v>66</v>
      </c>
      <c r="D390" s="4">
        <v>46235</v>
      </c>
      <c r="E390" s="4" t="s">
        <v>784</v>
      </c>
      <c r="F390" s="4" t="s">
        <v>785</v>
      </c>
      <c r="G390" s="15" t="s">
        <v>946</v>
      </c>
      <c r="H390" s="3"/>
      <c r="I390" s="3"/>
      <c r="J390" s="6"/>
      <c r="K390" s="6"/>
      <c r="L390" s="6">
        <f t="shared" ref="L390" si="286">SUM(J390:K390)</f>
        <v>0</v>
      </c>
      <c r="M390" s="6"/>
      <c r="N390" s="6"/>
      <c r="O390" s="6">
        <f t="shared" ref="O390" si="287">L390+(L390*15%)</f>
        <v>0</v>
      </c>
      <c r="P390" s="3" t="s">
        <v>927</v>
      </c>
    </row>
    <row r="391" spans="1:17" ht="19.5" hidden="1" customHeight="1">
      <c r="A391" s="3">
        <f>SUBTOTAL(103,$B$2:B391)-1</f>
        <v>2</v>
      </c>
      <c r="B391" s="34" t="s">
        <v>947</v>
      </c>
      <c r="C391" s="3" t="s">
        <v>66</v>
      </c>
      <c r="D391" s="4">
        <v>46235</v>
      </c>
      <c r="E391" s="4" t="s">
        <v>316</v>
      </c>
      <c r="F391" s="4" t="s">
        <v>317</v>
      </c>
      <c r="G391" s="15" t="s">
        <v>948</v>
      </c>
      <c r="H391" s="3"/>
      <c r="I391" s="3"/>
      <c r="J391" s="6"/>
      <c r="K391" s="6"/>
      <c r="L391" s="6">
        <f t="shared" ref="L391" si="288">SUM(J391:K391)</f>
        <v>0</v>
      </c>
      <c r="M391" s="6"/>
      <c r="N391" s="6"/>
      <c r="O391" s="6">
        <f t="shared" ref="O391" si="289">L391+(L391*15%)</f>
        <v>0</v>
      </c>
      <c r="P391" s="3" t="s">
        <v>927</v>
      </c>
      <c r="Q391" s="18" t="s">
        <v>1012</v>
      </c>
    </row>
    <row r="392" spans="1:17" ht="19.5" hidden="1" customHeight="1">
      <c r="A392" s="3">
        <f>SUBTOTAL(103,$B$2:B392)-1</f>
        <v>2</v>
      </c>
      <c r="B392" s="34" t="s">
        <v>953</v>
      </c>
      <c r="C392" s="3" t="s">
        <v>189</v>
      </c>
      <c r="D392" s="4">
        <v>46237</v>
      </c>
      <c r="E392" s="4" t="s">
        <v>203</v>
      </c>
      <c r="F392" s="4" t="s">
        <v>204</v>
      </c>
      <c r="G392" s="15" t="s">
        <v>205</v>
      </c>
      <c r="H392" s="3"/>
      <c r="I392" s="3"/>
      <c r="J392" s="6">
        <v>150657.20000000001</v>
      </c>
      <c r="K392" s="6"/>
      <c r="L392" s="6">
        <f t="shared" ref="L392" si="290">SUM(J392:K392)</f>
        <v>150657.20000000001</v>
      </c>
      <c r="M392" s="6"/>
      <c r="N392" s="6"/>
      <c r="O392" s="6">
        <f t="shared" ref="O392" si="291">L392+(L392*15%)</f>
        <v>173255.78000000003</v>
      </c>
      <c r="P392" s="3" t="s">
        <v>927</v>
      </c>
    </row>
    <row r="393" spans="1:17" ht="19.5" hidden="1" customHeight="1">
      <c r="A393" s="3">
        <f>SUBTOTAL(103,$B$2:B393)-1</f>
        <v>2</v>
      </c>
      <c r="B393" s="34" t="s">
        <v>954</v>
      </c>
      <c r="C393" s="3" t="s">
        <v>955</v>
      </c>
      <c r="D393" s="4">
        <v>46237</v>
      </c>
      <c r="E393" s="4" t="s">
        <v>120</v>
      </c>
      <c r="F393" s="4" t="s">
        <v>121</v>
      </c>
      <c r="G393" s="15" t="s">
        <v>205</v>
      </c>
      <c r="H393" s="3"/>
      <c r="I393" s="3"/>
      <c r="J393" s="6"/>
      <c r="K393" s="6"/>
      <c r="L393" s="6">
        <f t="shared" ref="L393" si="292">SUM(J393:K393)</f>
        <v>0</v>
      </c>
      <c r="M393" s="6"/>
      <c r="N393" s="6"/>
      <c r="O393" s="6">
        <f t="shared" ref="O393" si="293">L393+(L393*15%)</f>
        <v>0</v>
      </c>
      <c r="P393" s="3" t="s">
        <v>927</v>
      </c>
    </row>
    <row r="394" spans="1:17" ht="19.5" hidden="1" customHeight="1">
      <c r="A394" s="3">
        <f>SUBTOTAL(103,$B$2:B394)-1</f>
        <v>2</v>
      </c>
      <c r="B394" s="34" t="s">
        <v>959</v>
      </c>
      <c r="C394" s="3" t="s">
        <v>35</v>
      </c>
      <c r="D394" s="4">
        <v>46237</v>
      </c>
      <c r="E394" s="4" t="s">
        <v>916</v>
      </c>
      <c r="F394" s="4" t="s">
        <v>960</v>
      </c>
      <c r="G394" s="15" t="s">
        <v>961</v>
      </c>
      <c r="H394" s="3"/>
      <c r="I394" s="3"/>
      <c r="J394" s="6">
        <f>3120*4</f>
        <v>12480</v>
      </c>
      <c r="K394" s="6"/>
      <c r="L394" s="6">
        <f t="shared" ref="L394" si="294">SUM(J394:K394)</f>
        <v>12480</v>
      </c>
      <c r="M394" s="6"/>
      <c r="N394" s="6"/>
      <c r="O394" s="6">
        <f t="shared" ref="O394" si="295">L394+(L394*15%)</f>
        <v>14352</v>
      </c>
      <c r="P394" s="3" t="s">
        <v>927</v>
      </c>
      <c r="Q394" s="18" t="s">
        <v>1035</v>
      </c>
    </row>
    <row r="395" spans="1:17" ht="19.5" hidden="1" customHeight="1">
      <c r="A395" s="3">
        <f>SUBTOTAL(103,$B$2:B395)-1</f>
        <v>2</v>
      </c>
      <c r="B395" s="20" t="s">
        <v>962</v>
      </c>
      <c r="C395" s="3" t="s">
        <v>66</v>
      </c>
      <c r="D395" s="4">
        <v>46240</v>
      </c>
      <c r="E395" s="4" t="s">
        <v>762</v>
      </c>
      <c r="F395" s="4" t="s">
        <v>763</v>
      </c>
      <c r="G395" s="15" t="s">
        <v>1107</v>
      </c>
      <c r="H395" s="3"/>
      <c r="I395" s="3"/>
      <c r="J395" s="6">
        <v>0</v>
      </c>
      <c r="K395" s="6"/>
      <c r="L395" s="6">
        <f t="shared" ref="L395" si="296">SUM(J395:K395)</f>
        <v>0</v>
      </c>
      <c r="M395" s="6"/>
      <c r="N395" s="6"/>
      <c r="O395" s="6">
        <f t="shared" ref="O395" si="297">L395+(L395*15%)</f>
        <v>0</v>
      </c>
      <c r="P395" s="3" t="s">
        <v>927</v>
      </c>
    </row>
    <row r="396" spans="1:17" ht="19.5" hidden="1" customHeight="1">
      <c r="A396" s="3">
        <f>SUBTOTAL(103,$B$2:B396)-1</f>
        <v>2</v>
      </c>
      <c r="B396" s="34" t="s">
        <v>963</v>
      </c>
      <c r="C396" s="3" t="s">
        <v>66</v>
      </c>
      <c r="D396" s="4">
        <v>46240</v>
      </c>
      <c r="E396" s="4" t="s">
        <v>50</v>
      </c>
      <c r="F396" s="4" t="s">
        <v>51</v>
      </c>
      <c r="G396" s="15" t="s">
        <v>964</v>
      </c>
      <c r="H396" s="3"/>
      <c r="I396" s="3"/>
      <c r="J396" s="6">
        <v>20</v>
      </c>
      <c r="K396" s="6"/>
      <c r="L396" s="6">
        <f t="shared" ref="L396" si="298">SUM(J396:K396)</f>
        <v>20</v>
      </c>
      <c r="M396" s="6"/>
      <c r="N396" s="6"/>
      <c r="O396" s="6">
        <f t="shared" ref="O396" si="299">L396+(L396*15%)</f>
        <v>23</v>
      </c>
      <c r="P396" s="3" t="s">
        <v>927</v>
      </c>
    </row>
    <row r="397" spans="1:17" ht="19.5" hidden="1" customHeight="1">
      <c r="A397" s="3">
        <f>SUBTOTAL(103,$B$2:B397)-1</f>
        <v>2</v>
      </c>
      <c r="B397" s="20" t="s">
        <v>1004</v>
      </c>
      <c r="C397" s="3" t="s">
        <v>185</v>
      </c>
      <c r="D397" s="4">
        <v>46242</v>
      </c>
      <c r="E397" s="4" t="s">
        <v>163</v>
      </c>
      <c r="F397" s="4" t="s">
        <v>164</v>
      </c>
      <c r="G397" s="15" t="s">
        <v>299</v>
      </c>
      <c r="H397" s="3"/>
      <c r="I397" s="3"/>
      <c r="J397" s="6"/>
      <c r="K397" s="6"/>
      <c r="L397" s="6"/>
      <c r="M397" s="6"/>
      <c r="N397" s="6"/>
      <c r="O397" s="6"/>
      <c r="P397" s="3" t="s">
        <v>1045</v>
      </c>
      <c r="Q397" s="18" t="s">
        <v>1030</v>
      </c>
    </row>
    <row r="398" spans="1:17" ht="19.5" hidden="1" customHeight="1">
      <c r="A398" s="3">
        <f>SUBTOTAL(103,$B$2:B398)-1</f>
        <v>2</v>
      </c>
      <c r="B398" s="34" t="s">
        <v>965</v>
      </c>
      <c r="C398" s="3" t="s">
        <v>66</v>
      </c>
      <c r="D398" s="4">
        <v>46240</v>
      </c>
      <c r="E398" s="4" t="s">
        <v>544</v>
      </c>
      <c r="F398" s="4" t="s">
        <v>545</v>
      </c>
      <c r="G398" s="15" t="s">
        <v>966</v>
      </c>
      <c r="H398" s="3"/>
      <c r="I398" s="3"/>
      <c r="J398" s="6"/>
      <c r="K398" s="6"/>
      <c r="L398" s="6">
        <f t="shared" ref="L398" si="300">SUM(J398:K398)</f>
        <v>0</v>
      </c>
      <c r="M398" s="6"/>
      <c r="N398" s="6"/>
      <c r="O398" s="6">
        <f t="shared" ref="O398" si="301">L398+(L398*15%)</f>
        <v>0</v>
      </c>
      <c r="P398" s="3" t="s">
        <v>927</v>
      </c>
    </row>
    <row r="399" spans="1:17" ht="19.5" hidden="1" customHeight="1">
      <c r="A399" s="3">
        <f>SUBTOTAL(103,$B$2:B399)-1</f>
        <v>2</v>
      </c>
      <c r="B399" s="20" t="s">
        <v>967</v>
      </c>
      <c r="C399" s="3" t="s">
        <v>66</v>
      </c>
      <c r="D399" s="4">
        <v>46240</v>
      </c>
      <c r="E399" s="4" t="s">
        <v>784</v>
      </c>
      <c r="F399" s="4" t="s">
        <v>785</v>
      </c>
      <c r="G399" s="15" t="s">
        <v>279</v>
      </c>
      <c r="H399" s="3"/>
      <c r="I399" s="3"/>
      <c r="J399" s="6">
        <v>25</v>
      </c>
      <c r="K399" s="6"/>
      <c r="L399" s="6">
        <f t="shared" ref="L399" si="302">SUM(J399:K399)</f>
        <v>25</v>
      </c>
      <c r="M399" s="6"/>
      <c r="N399" s="6"/>
      <c r="O399" s="6">
        <f t="shared" ref="O399" si="303">L399+(L399*15%)</f>
        <v>28.75</v>
      </c>
      <c r="P399" s="3" t="s">
        <v>927</v>
      </c>
      <c r="Q399" s="18" t="s">
        <v>1033</v>
      </c>
    </row>
    <row r="400" spans="1:17" ht="19.5" hidden="1" customHeight="1">
      <c r="A400" s="3">
        <f>SUBTOTAL(103,$B$2:B400)-1</f>
        <v>2</v>
      </c>
      <c r="B400" s="34" t="s">
        <v>968</v>
      </c>
      <c r="C400" s="3" t="s">
        <v>66</v>
      </c>
      <c r="D400" s="4">
        <v>46240</v>
      </c>
      <c r="E400" s="4" t="s">
        <v>886</v>
      </c>
      <c r="F400" s="4" t="s">
        <v>887</v>
      </c>
      <c r="G400" s="15" t="s">
        <v>970</v>
      </c>
      <c r="H400" s="3"/>
      <c r="I400" s="3"/>
      <c r="J400" s="6"/>
      <c r="K400" s="6"/>
      <c r="L400" s="6">
        <f t="shared" ref="L400" si="304">SUM(J400:K400)</f>
        <v>0</v>
      </c>
      <c r="M400" s="6"/>
      <c r="N400" s="6"/>
      <c r="O400" s="6">
        <f t="shared" ref="O400" si="305">L400+(L400*15%)</f>
        <v>0</v>
      </c>
      <c r="P400" s="3" t="s">
        <v>927</v>
      </c>
    </row>
    <row r="401" spans="1:17" ht="19.5" hidden="1" customHeight="1">
      <c r="A401" s="3">
        <f>SUBTOTAL(103,$B$2:B401)-1</f>
        <v>2</v>
      </c>
      <c r="B401" s="34" t="s">
        <v>969</v>
      </c>
      <c r="C401" s="3" t="s">
        <v>66</v>
      </c>
      <c r="D401" s="4">
        <v>46240</v>
      </c>
      <c r="E401" s="4" t="s">
        <v>650</v>
      </c>
      <c r="F401" s="4" t="s">
        <v>67</v>
      </c>
      <c r="G401" s="15" t="s">
        <v>830</v>
      </c>
      <c r="H401" s="3"/>
      <c r="I401" s="3"/>
      <c r="J401" s="6"/>
      <c r="K401" s="6"/>
      <c r="L401" s="6">
        <f t="shared" ref="L401" si="306">SUM(J401:K401)</f>
        <v>0</v>
      </c>
      <c r="M401" s="6"/>
      <c r="N401" s="6"/>
      <c r="O401" s="6">
        <f t="shared" ref="O401" si="307">L401+(L401*15%)</f>
        <v>0</v>
      </c>
      <c r="P401" s="3" t="s">
        <v>927</v>
      </c>
    </row>
    <row r="402" spans="1:17" ht="19.5" hidden="1" customHeight="1">
      <c r="A402" s="3">
        <f>SUBTOTAL(103,$B$2:B402)-1</f>
        <v>2</v>
      </c>
      <c r="B402" s="34" t="s">
        <v>971</v>
      </c>
      <c r="C402" s="3" t="s">
        <v>35</v>
      </c>
      <c r="D402" s="4">
        <v>46240</v>
      </c>
      <c r="E402" s="4" t="s">
        <v>993</v>
      </c>
      <c r="F402" s="4" t="s">
        <v>994</v>
      </c>
      <c r="G402" s="15" t="s">
        <v>995</v>
      </c>
      <c r="H402" s="3"/>
      <c r="I402" s="3"/>
      <c r="J402" s="6">
        <v>90000</v>
      </c>
      <c r="K402" s="6"/>
      <c r="L402" s="6">
        <f t="shared" ref="L402" si="308">SUM(J402:K402)</f>
        <v>90000</v>
      </c>
      <c r="M402" s="6"/>
      <c r="N402" s="6"/>
      <c r="O402" s="6">
        <f t="shared" ref="O402" si="309">L402+(L402*15%)</f>
        <v>103500</v>
      </c>
      <c r="P402" s="3" t="s">
        <v>927</v>
      </c>
      <c r="Q402" s="18" t="s">
        <v>1035</v>
      </c>
    </row>
    <row r="403" spans="1:17" ht="19.5" hidden="1" customHeight="1">
      <c r="A403" s="3">
        <f>SUBTOTAL(103,$B$2:B403)-1</f>
        <v>2</v>
      </c>
      <c r="B403" s="34" t="s">
        <v>972</v>
      </c>
      <c r="C403" s="3" t="s">
        <v>66</v>
      </c>
      <c r="D403" s="4">
        <v>46240</v>
      </c>
      <c r="E403" s="4" t="s">
        <v>477</v>
      </c>
      <c r="F403" s="4" t="s">
        <v>1034</v>
      </c>
      <c r="G403" s="15" t="s">
        <v>982</v>
      </c>
      <c r="H403" s="3"/>
      <c r="I403" s="3"/>
      <c r="J403" s="6"/>
      <c r="K403" s="6"/>
      <c r="L403" s="6">
        <f t="shared" ref="L403" si="310">SUM(J403:K403)</f>
        <v>0</v>
      </c>
      <c r="M403" s="6"/>
      <c r="N403" s="6"/>
      <c r="O403" s="6">
        <f t="shared" ref="O403" si="311">L403+(L403*15%)</f>
        <v>0</v>
      </c>
      <c r="P403" s="3" t="s">
        <v>927</v>
      </c>
      <c r="Q403" s="18" t="s">
        <v>1032</v>
      </c>
    </row>
    <row r="404" spans="1:17" ht="19.5" hidden="1" customHeight="1">
      <c r="A404" s="3">
        <f>SUBTOTAL(103,$B$2:B404)-1</f>
        <v>2</v>
      </c>
      <c r="B404" s="20" t="s">
        <v>973</v>
      </c>
      <c r="C404" s="3" t="s">
        <v>66</v>
      </c>
      <c r="D404" s="4">
        <v>46240</v>
      </c>
      <c r="E404" s="4" t="s">
        <v>1176</v>
      </c>
      <c r="F404" s="4" t="s">
        <v>974</v>
      </c>
      <c r="G404" s="15" t="s">
        <v>975</v>
      </c>
      <c r="H404" s="3"/>
      <c r="I404" s="3"/>
      <c r="J404" s="6"/>
      <c r="K404" s="6"/>
      <c r="L404" s="6">
        <f t="shared" ref="L404" si="312">SUM(J404:K404)</f>
        <v>0</v>
      </c>
      <c r="M404" s="6"/>
      <c r="N404" s="6"/>
      <c r="O404" s="6">
        <f t="shared" ref="O404" si="313">L404+(L404*15%)</f>
        <v>0</v>
      </c>
      <c r="P404" s="3" t="s">
        <v>927</v>
      </c>
    </row>
    <row r="405" spans="1:17" ht="19.5" hidden="1" customHeight="1">
      <c r="A405" s="3">
        <f>SUBTOTAL(103,$B$2:B405)-1</f>
        <v>2</v>
      </c>
      <c r="B405" s="34" t="s">
        <v>976</v>
      </c>
      <c r="C405" s="3" t="s">
        <v>938</v>
      </c>
      <c r="D405" s="4">
        <v>46240</v>
      </c>
      <c r="E405" s="4" t="s">
        <v>441</v>
      </c>
      <c r="F405" s="4" t="s">
        <v>442</v>
      </c>
      <c r="G405" s="15" t="s">
        <v>981</v>
      </c>
      <c r="H405" s="3"/>
      <c r="I405" s="3"/>
      <c r="J405" s="6">
        <v>4462</v>
      </c>
      <c r="K405" s="6"/>
      <c r="L405" s="6">
        <f t="shared" ref="L405" si="314">SUM(J405:K405)</f>
        <v>4462</v>
      </c>
      <c r="M405" s="6"/>
      <c r="N405" s="6"/>
      <c r="O405" s="6">
        <f t="shared" ref="O405" si="315">L405+(L405*15%)</f>
        <v>5131.3</v>
      </c>
      <c r="P405" s="3" t="s">
        <v>927</v>
      </c>
    </row>
    <row r="406" spans="1:17" ht="19.5" hidden="1" customHeight="1">
      <c r="A406" s="3">
        <f>SUBTOTAL(103,$B$2:B406)-1</f>
        <v>2</v>
      </c>
      <c r="B406" s="20" t="s">
        <v>978</v>
      </c>
      <c r="C406" s="3" t="s">
        <v>66</v>
      </c>
      <c r="D406" s="4">
        <v>46240</v>
      </c>
      <c r="E406" s="4" t="s">
        <v>979</v>
      </c>
      <c r="F406" s="4" t="s">
        <v>977</v>
      </c>
      <c r="G406" s="15" t="s">
        <v>980</v>
      </c>
      <c r="H406" s="3"/>
      <c r="I406" s="3"/>
      <c r="J406" s="6">
        <v>37290</v>
      </c>
      <c r="K406" s="6"/>
      <c r="L406" s="6">
        <f t="shared" ref="L406" si="316">SUM(J406:K406)</f>
        <v>37290</v>
      </c>
      <c r="M406" s="6"/>
      <c r="N406" s="6"/>
      <c r="O406" s="6">
        <f t="shared" ref="O406" si="317">L406+(L406*15%)</f>
        <v>42883.5</v>
      </c>
      <c r="P406" s="3" t="s">
        <v>927</v>
      </c>
    </row>
    <row r="407" spans="1:17" ht="19.5" hidden="1" customHeight="1">
      <c r="A407" s="3">
        <f>SUBTOTAL(103,$B$2:B407)-1</f>
        <v>2</v>
      </c>
      <c r="B407" s="34" t="s">
        <v>983</v>
      </c>
      <c r="C407" s="3" t="s">
        <v>66</v>
      </c>
      <c r="D407" s="4">
        <v>46240</v>
      </c>
      <c r="E407" s="4" t="s">
        <v>441</v>
      </c>
      <c r="F407" s="4" t="s">
        <v>442</v>
      </c>
      <c r="G407" s="15" t="s">
        <v>982</v>
      </c>
      <c r="H407" s="3"/>
      <c r="I407" s="3"/>
      <c r="J407" s="6">
        <v>45</v>
      </c>
      <c r="K407" s="6"/>
      <c r="L407" s="6">
        <f t="shared" ref="L407" si="318">SUM(J407:K407)</f>
        <v>45</v>
      </c>
      <c r="M407" s="6"/>
      <c r="N407" s="6"/>
      <c r="O407" s="6">
        <f t="shared" ref="O407" si="319">L407+(L407*15%)</f>
        <v>51.75</v>
      </c>
      <c r="P407" s="3" t="s">
        <v>927</v>
      </c>
    </row>
    <row r="408" spans="1:17" ht="19.5" hidden="1" customHeight="1">
      <c r="A408" s="3">
        <f>SUBTOTAL(103,$B$2:B408)-1</f>
        <v>2</v>
      </c>
      <c r="B408" s="34" t="s">
        <v>984</v>
      </c>
      <c r="C408" s="3" t="s">
        <v>40</v>
      </c>
      <c r="D408" s="4">
        <v>46240</v>
      </c>
      <c r="E408" s="4" t="s">
        <v>203</v>
      </c>
      <c r="F408" s="4" t="s">
        <v>913</v>
      </c>
      <c r="G408" s="15" t="s">
        <v>985</v>
      </c>
      <c r="H408" s="3"/>
      <c r="I408" s="3"/>
      <c r="J408" s="6">
        <v>26550</v>
      </c>
      <c r="K408" s="6"/>
      <c r="L408" s="6">
        <f t="shared" ref="L408" si="320">SUM(J408:K408)</f>
        <v>26550</v>
      </c>
      <c r="M408" s="6"/>
      <c r="N408" s="6"/>
      <c r="O408" s="6">
        <f t="shared" ref="O408" si="321">L408+(L408*15%)</f>
        <v>30532.5</v>
      </c>
      <c r="P408" s="3" t="s">
        <v>927</v>
      </c>
    </row>
    <row r="409" spans="1:17" ht="19.5" hidden="1" customHeight="1">
      <c r="A409" s="3">
        <f>SUBTOTAL(103,$B$2:B409)-1</f>
        <v>2</v>
      </c>
      <c r="B409" s="34" t="s">
        <v>986</v>
      </c>
      <c r="C409" s="3" t="s">
        <v>40</v>
      </c>
      <c r="D409" s="4">
        <v>46240</v>
      </c>
      <c r="E409" s="4" t="s">
        <v>246</v>
      </c>
      <c r="F409" s="4" t="s">
        <v>247</v>
      </c>
      <c r="G409" s="15" t="s">
        <v>987</v>
      </c>
      <c r="H409" s="3"/>
      <c r="I409" s="3"/>
      <c r="J409" s="6">
        <v>26550</v>
      </c>
      <c r="K409" s="6"/>
      <c r="L409" s="6">
        <f t="shared" ref="L409" si="322">SUM(J409:K409)</f>
        <v>26550</v>
      </c>
      <c r="M409" s="6"/>
      <c r="N409" s="6"/>
      <c r="O409" s="6">
        <f t="shared" ref="O409" si="323">L409+(L409*15%)</f>
        <v>30532.5</v>
      </c>
      <c r="P409" s="3" t="s">
        <v>927</v>
      </c>
    </row>
    <row r="410" spans="1:17" ht="19.5" hidden="1" customHeight="1">
      <c r="A410" s="3">
        <f>SUBTOTAL(103,$B$2:B410)-1</f>
        <v>2</v>
      </c>
      <c r="B410" s="34" t="s">
        <v>988</v>
      </c>
      <c r="C410" s="3" t="s">
        <v>40</v>
      </c>
      <c r="D410" s="4">
        <v>46240</v>
      </c>
      <c r="E410" s="4" t="s">
        <v>989</v>
      </c>
      <c r="F410" s="4" t="s">
        <v>990</v>
      </c>
      <c r="G410" s="15" t="s">
        <v>205</v>
      </c>
      <c r="H410" s="3"/>
      <c r="I410" s="3"/>
      <c r="J410" s="6">
        <v>99126.25</v>
      </c>
      <c r="K410" s="6"/>
      <c r="L410" s="6">
        <f t="shared" ref="L410" si="324">SUM(J410:K410)</f>
        <v>99126.25</v>
      </c>
      <c r="M410" s="6"/>
      <c r="N410" s="6"/>
      <c r="O410" s="6">
        <f t="shared" ref="O410" si="325">L410+(L410*15%)</f>
        <v>113995.1875</v>
      </c>
      <c r="P410" s="3" t="s">
        <v>927</v>
      </c>
    </row>
    <row r="411" spans="1:17" ht="19.5" hidden="1" customHeight="1">
      <c r="A411" s="3">
        <f>SUBTOTAL(103,$B$2:B411)-1</f>
        <v>2</v>
      </c>
      <c r="B411" s="20" t="s">
        <v>991</v>
      </c>
      <c r="C411" s="3" t="s">
        <v>63</v>
      </c>
      <c r="D411" s="4">
        <v>46321</v>
      </c>
      <c r="E411" s="4" t="s">
        <v>163</v>
      </c>
      <c r="F411" s="4" t="s">
        <v>164</v>
      </c>
      <c r="G411" s="15" t="s">
        <v>1143</v>
      </c>
      <c r="H411" s="3"/>
      <c r="I411" s="3"/>
      <c r="J411" s="6">
        <v>11500</v>
      </c>
      <c r="K411" s="6"/>
      <c r="L411" s="6">
        <f t="shared" ref="L411" si="326">SUM(J411:K411)</f>
        <v>11500</v>
      </c>
      <c r="M411" s="6"/>
      <c r="N411" s="6"/>
      <c r="O411" s="6">
        <f t="shared" ref="O411" si="327">L411+(L411*15%)</f>
        <v>13225</v>
      </c>
      <c r="P411" s="3" t="s">
        <v>927</v>
      </c>
    </row>
    <row r="412" spans="1:17" s="39" customFormat="1" ht="19.5" hidden="1" customHeight="1">
      <c r="A412" s="36">
        <f>SUBTOTAL(103,$B$2:B412)-1</f>
        <v>2</v>
      </c>
      <c r="B412" s="28" t="s">
        <v>996</v>
      </c>
      <c r="C412" s="36" t="s">
        <v>66</v>
      </c>
      <c r="D412" s="37">
        <v>46242</v>
      </c>
      <c r="E412" s="37" t="s">
        <v>1099</v>
      </c>
      <c r="F412" s="37" t="s">
        <v>1100</v>
      </c>
      <c r="G412" s="15" t="s">
        <v>1101</v>
      </c>
      <c r="H412" s="36"/>
      <c r="I412" s="36"/>
      <c r="J412" s="38"/>
      <c r="K412" s="38"/>
      <c r="L412" s="38">
        <f t="shared" ref="L412" si="328">SUM(J412:K412)</f>
        <v>0</v>
      </c>
      <c r="M412" s="38"/>
      <c r="N412" s="38"/>
      <c r="O412" s="38">
        <f t="shared" ref="O412" si="329">L412+(L412*15%)</f>
        <v>0</v>
      </c>
      <c r="P412" s="36" t="s">
        <v>1059</v>
      </c>
      <c r="Q412" s="42" t="s">
        <v>1044</v>
      </c>
    </row>
    <row r="413" spans="1:17" ht="19.5" hidden="1" customHeight="1">
      <c r="A413" s="3">
        <f>SUBTOTAL(103,$B$2:B413)-1</f>
        <v>2</v>
      </c>
      <c r="B413" s="34" t="s">
        <v>997</v>
      </c>
      <c r="C413" s="3" t="s">
        <v>40</v>
      </c>
      <c r="D413" s="4">
        <v>46242</v>
      </c>
      <c r="E413" s="4" t="s">
        <v>637</v>
      </c>
      <c r="F413" s="4" t="s">
        <v>689</v>
      </c>
      <c r="G413" s="15" t="s">
        <v>205</v>
      </c>
      <c r="H413" s="3"/>
      <c r="I413" s="3"/>
      <c r="J413" s="6">
        <v>21405</v>
      </c>
      <c r="K413" s="6"/>
      <c r="L413" s="6">
        <f t="shared" ref="L413" si="330">SUM(J413:K413)</f>
        <v>21405</v>
      </c>
      <c r="M413" s="6"/>
      <c r="N413" s="6"/>
      <c r="O413" s="6">
        <f t="shared" ref="O413" si="331">L413+(L413*15%)</f>
        <v>24615.75</v>
      </c>
      <c r="P413" s="3" t="s">
        <v>927</v>
      </c>
      <c r="Q413" s="18" t="s">
        <v>1031</v>
      </c>
    </row>
    <row r="414" spans="1:17" ht="19.5" hidden="1" customHeight="1">
      <c r="A414" s="3">
        <f>SUBTOTAL(103,$B$2:B414)-1</f>
        <v>2</v>
      </c>
      <c r="B414" s="34" t="s">
        <v>1000</v>
      </c>
      <c r="C414" s="3" t="s">
        <v>167</v>
      </c>
      <c r="D414" s="4">
        <v>46242</v>
      </c>
      <c r="E414" s="4" t="s">
        <v>1008</v>
      </c>
      <c r="F414" s="4" t="s">
        <v>1009</v>
      </c>
      <c r="G414" s="15" t="s">
        <v>1010</v>
      </c>
      <c r="H414" s="3"/>
      <c r="I414" s="3"/>
      <c r="J414" s="6"/>
      <c r="K414" s="6"/>
      <c r="L414" s="6">
        <f t="shared" ref="L414" si="332">SUM(J414:K414)</f>
        <v>0</v>
      </c>
      <c r="M414" s="6"/>
      <c r="N414" s="6"/>
      <c r="O414" s="6">
        <f t="shared" ref="O414" si="333">L414+(L414*15%)</f>
        <v>0</v>
      </c>
      <c r="P414" s="3" t="s">
        <v>927</v>
      </c>
      <c r="Q414" s="18" t="s">
        <v>1035</v>
      </c>
    </row>
    <row r="415" spans="1:17" ht="19.5" hidden="1" customHeight="1">
      <c r="A415" s="3">
        <f>SUBTOTAL(103,$B$2:B415)-1</f>
        <v>2</v>
      </c>
      <c r="B415" s="34" t="s">
        <v>1001</v>
      </c>
      <c r="C415" s="3" t="s">
        <v>66</v>
      </c>
      <c r="D415" s="4">
        <v>46242</v>
      </c>
      <c r="E415" s="4" t="s">
        <v>1002</v>
      </c>
      <c r="F415" s="4" t="s">
        <v>1003</v>
      </c>
      <c r="G415" s="15"/>
      <c r="H415" s="3"/>
      <c r="I415" s="3"/>
      <c r="J415" s="6">
        <v>31341</v>
      </c>
      <c r="K415" s="6"/>
      <c r="L415" s="6">
        <f t="shared" ref="L415" si="334">SUM(J415:K415)</f>
        <v>31341</v>
      </c>
      <c r="M415" s="6"/>
      <c r="N415" s="6"/>
      <c r="O415" s="6">
        <f t="shared" ref="O415" si="335">L415+(L415*15%)</f>
        <v>36042.15</v>
      </c>
      <c r="P415" s="3" t="s">
        <v>927</v>
      </c>
    </row>
    <row r="416" spans="1:17" ht="19.5" hidden="1" customHeight="1">
      <c r="A416" s="3">
        <f>SUBTOTAL(103,$B$2:B416)-1</f>
        <v>2</v>
      </c>
      <c r="B416" s="34" t="s">
        <v>1013</v>
      </c>
      <c r="C416" s="3" t="s">
        <v>63</v>
      </c>
      <c r="D416" s="4">
        <v>46242</v>
      </c>
      <c r="E416" s="4" t="s">
        <v>873</v>
      </c>
      <c r="F416" s="4" t="s">
        <v>874</v>
      </c>
      <c r="G416" s="15" t="s">
        <v>749</v>
      </c>
      <c r="H416" s="3"/>
      <c r="I416" s="3"/>
      <c r="J416" s="6">
        <v>12000</v>
      </c>
      <c r="K416" s="6"/>
      <c r="L416" s="6">
        <f t="shared" ref="L416" si="336">SUM(J416:K416)</f>
        <v>12000</v>
      </c>
      <c r="M416" s="6"/>
      <c r="N416" s="6"/>
      <c r="O416" s="6">
        <f t="shared" ref="O416" si="337">L416+(L416*15%)</f>
        <v>13800</v>
      </c>
      <c r="P416" s="3" t="s">
        <v>927</v>
      </c>
    </row>
    <row r="417" spans="1:17" ht="19.5" hidden="1" customHeight="1">
      <c r="A417" s="3">
        <f>SUBTOTAL(103,$B$2:B417)-1</f>
        <v>2</v>
      </c>
      <c r="B417" s="34" t="s">
        <v>1014</v>
      </c>
      <c r="C417" s="3" t="s">
        <v>66</v>
      </c>
      <c r="D417" s="4">
        <v>46242</v>
      </c>
      <c r="E417" s="4" t="s">
        <v>1192</v>
      </c>
      <c r="F417" s="4" t="s">
        <v>1015</v>
      </c>
      <c r="G417" s="15" t="s">
        <v>1016</v>
      </c>
      <c r="H417" s="3"/>
      <c r="I417" s="3"/>
      <c r="J417" s="6"/>
      <c r="K417" s="6"/>
      <c r="L417" s="6">
        <f t="shared" ref="L417:L418" si="338">SUM(J417:K417)</f>
        <v>0</v>
      </c>
      <c r="M417" s="6"/>
      <c r="N417" s="6"/>
      <c r="O417" s="6">
        <f t="shared" ref="O417:O418" si="339">L417+(L417*15%)</f>
        <v>0</v>
      </c>
      <c r="P417" s="3" t="s">
        <v>927</v>
      </c>
    </row>
    <row r="418" spans="1:17" ht="19.5" hidden="1" customHeight="1">
      <c r="A418" s="3">
        <f>SUBTOTAL(103,$B$2:B418)-1</f>
        <v>2</v>
      </c>
      <c r="B418" s="34" t="s">
        <v>1017</v>
      </c>
      <c r="C418" s="3" t="s">
        <v>35</v>
      </c>
      <c r="D418" s="4">
        <v>46240</v>
      </c>
      <c r="E418" s="4" t="s">
        <v>161</v>
      </c>
      <c r="F418" s="4" t="s">
        <v>701</v>
      </c>
      <c r="G418" s="15" t="s">
        <v>1018</v>
      </c>
      <c r="H418" s="3"/>
      <c r="I418" s="3"/>
      <c r="J418" s="6">
        <v>90000</v>
      </c>
      <c r="K418" s="6"/>
      <c r="L418" s="6">
        <f t="shared" si="338"/>
        <v>90000</v>
      </c>
      <c r="M418" s="6"/>
      <c r="N418" s="6"/>
      <c r="O418" s="6">
        <f t="shared" si="339"/>
        <v>103500</v>
      </c>
      <c r="P418" s="3" t="s">
        <v>927</v>
      </c>
      <c r="Q418" s="18" t="s">
        <v>1035</v>
      </c>
    </row>
    <row r="419" spans="1:17" ht="19.5" hidden="1" customHeight="1">
      <c r="A419" s="3">
        <f>SUBTOTAL(103,$B$2:B419)-1</f>
        <v>2</v>
      </c>
      <c r="B419" s="34" t="s">
        <v>1019</v>
      </c>
      <c r="C419" s="3" t="s">
        <v>140</v>
      </c>
      <c r="D419" s="4">
        <v>46240</v>
      </c>
      <c r="E419" s="4" t="s">
        <v>1020</v>
      </c>
      <c r="F419" s="4" t="s">
        <v>1021</v>
      </c>
      <c r="G419" s="15" t="s">
        <v>1022</v>
      </c>
      <c r="H419" s="3"/>
      <c r="I419" s="3"/>
      <c r="J419" s="6">
        <v>18500</v>
      </c>
      <c r="K419" s="6"/>
      <c r="L419" s="6">
        <f t="shared" ref="L419" si="340">SUM(J419:K419)</f>
        <v>18500</v>
      </c>
      <c r="M419" s="6"/>
      <c r="N419" s="6"/>
      <c r="O419" s="6">
        <f t="shared" ref="O419" si="341">L419+(L419*15%)</f>
        <v>21275</v>
      </c>
      <c r="P419" s="3" t="s">
        <v>927</v>
      </c>
    </row>
    <row r="420" spans="1:17" ht="19.5" hidden="1" customHeight="1">
      <c r="A420" s="3">
        <f>SUBTOTAL(103,$B$2:B420)-1</f>
        <v>2</v>
      </c>
      <c r="B420" s="35" t="s">
        <v>1023</v>
      </c>
      <c r="C420" s="24" t="s">
        <v>66</v>
      </c>
      <c r="D420" s="25">
        <v>46240</v>
      </c>
      <c r="E420" s="25" t="s">
        <v>269</v>
      </c>
      <c r="F420" s="25" t="s">
        <v>270</v>
      </c>
      <c r="G420" s="30" t="s">
        <v>1024</v>
      </c>
      <c r="H420" s="24"/>
      <c r="I420" s="24"/>
      <c r="J420" s="32"/>
      <c r="K420" s="32"/>
      <c r="L420" s="32">
        <f t="shared" ref="L420" si="342">SUM(J420:K420)</f>
        <v>0</v>
      </c>
      <c r="M420" s="32"/>
      <c r="N420" s="32"/>
      <c r="O420" s="32">
        <f t="shared" ref="O420" si="343">L420+(L420*15%)</f>
        <v>0</v>
      </c>
      <c r="P420" s="24" t="s">
        <v>1060</v>
      </c>
    </row>
    <row r="421" spans="1:17" ht="19.5" hidden="1" customHeight="1">
      <c r="A421" s="3">
        <f>SUBTOTAL(103,$B$2:B421)-1</f>
        <v>2</v>
      </c>
      <c r="B421" s="34" t="s">
        <v>1025</v>
      </c>
      <c r="C421" s="3" t="s">
        <v>66</v>
      </c>
      <c r="D421" s="4">
        <v>46240</v>
      </c>
      <c r="E421" s="4" t="s">
        <v>1020</v>
      </c>
      <c r="F421" s="4" t="s">
        <v>1021</v>
      </c>
      <c r="G421" s="15" t="s">
        <v>830</v>
      </c>
      <c r="H421" s="3"/>
      <c r="I421" s="3"/>
      <c r="J421" s="6"/>
      <c r="K421" s="6"/>
      <c r="L421" s="6">
        <f t="shared" ref="L421" si="344">SUM(J421:K421)</f>
        <v>0</v>
      </c>
      <c r="M421" s="6"/>
      <c r="N421" s="6"/>
      <c r="O421" s="6">
        <f t="shared" ref="O421" si="345">L421+(L421*15%)</f>
        <v>0</v>
      </c>
      <c r="P421" s="3" t="s">
        <v>927</v>
      </c>
    </row>
    <row r="422" spans="1:17" ht="19.5" hidden="1" customHeight="1">
      <c r="A422" s="3">
        <f>SUBTOTAL(103,$B$2:B422)-1</f>
        <v>2</v>
      </c>
      <c r="B422" s="34" t="s">
        <v>1026</v>
      </c>
      <c r="C422" s="3" t="s">
        <v>167</v>
      </c>
      <c r="D422" s="4">
        <v>46240</v>
      </c>
      <c r="E422" s="4" t="s">
        <v>441</v>
      </c>
      <c r="F422" s="4" t="s">
        <v>442</v>
      </c>
      <c r="G422" s="15" t="s">
        <v>1027</v>
      </c>
      <c r="H422" s="3"/>
      <c r="I422" s="3"/>
      <c r="J422" s="6">
        <v>500</v>
      </c>
      <c r="K422" s="6"/>
      <c r="L422" s="6">
        <f t="shared" ref="L422" si="346">SUM(J422:K422)</f>
        <v>500</v>
      </c>
      <c r="M422" s="6"/>
      <c r="N422" s="6"/>
      <c r="O422" s="6">
        <f t="shared" ref="O422" si="347">L422+(L422*15%)</f>
        <v>575</v>
      </c>
      <c r="P422" s="3" t="s">
        <v>927</v>
      </c>
    </row>
    <row r="423" spans="1:17" ht="19.5" hidden="1" customHeight="1">
      <c r="A423" s="3">
        <f>SUBTOTAL(103,$B$2:B423)-1</f>
        <v>2</v>
      </c>
      <c r="B423" s="34" t="s">
        <v>1028</v>
      </c>
      <c r="C423" s="3" t="s">
        <v>66</v>
      </c>
      <c r="D423" s="4">
        <v>46240</v>
      </c>
      <c r="E423" s="4" t="s">
        <v>762</v>
      </c>
      <c r="F423" s="4" t="s">
        <v>763</v>
      </c>
      <c r="G423" s="15" t="s">
        <v>1029</v>
      </c>
      <c r="H423" s="3"/>
      <c r="I423" s="3"/>
      <c r="J423" s="6"/>
      <c r="K423" s="6"/>
      <c r="L423" s="6">
        <f t="shared" ref="L423" si="348">SUM(J423:K423)</f>
        <v>0</v>
      </c>
      <c r="M423" s="6"/>
      <c r="N423" s="6"/>
      <c r="O423" s="6">
        <f t="shared" ref="O423" si="349">L423+(L423*15%)</f>
        <v>0</v>
      </c>
      <c r="P423" s="3" t="s">
        <v>927</v>
      </c>
      <c r="Q423" s="18" t="s">
        <v>1035</v>
      </c>
    </row>
    <row r="424" spans="1:17" ht="19.5" hidden="1" customHeight="1">
      <c r="A424" s="3">
        <f>SUBTOTAL(103,$B$2:B424)-1</f>
        <v>2</v>
      </c>
      <c r="B424" s="34" t="s">
        <v>1036</v>
      </c>
      <c r="C424" s="3" t="s">
        <v>1039</v>
      </c>
      <c r="D424" s="4">
        <v>46240</v>
      </c>
      <c r="E424" s="4" t="s">
        <v>1020</v>
      </c>
      <c r="F424" s="4" t="s">
        <v>1021</v>
      </c>
      <c r="G424" s="15" t="s">
        <v>749</v>
      </c>
      <c r="H424" s="3"/>
      <c r="I424" s="3"/>
      <c r="J424" s="6">
        <v>11500</v>
      </c>
      <c r="K424" s="6"/>
      <c r="L424" s="6">
        <f t="shared" ref="L424" si="350">SUM(J424:K424)</f>
        <v>11500</v>
      </c>
      <c r="M424" s="6"/>
      <c r="N424" s="6"/>
      <c r="O424" s="6">
        <f t="shared" ref="O424" si="351">L424+(L424*15%)</f>
        <v>13225</v>
      </c>
      <c r="P424" s="3" t="s">
        <v>927</v>
      </c>
      <c r="Q424" s="18" t="s">
        <v>1035</v>
      </c>
    </row>
    <row r="425" spans="1:17" ht="19.5" hidden="1" customHeight="1">
      <c r="A425" s="3">
        <f>SUBTOTAL(103,$B$2:B425)-1</f>
        <v>2</v>
      </c>
      <c r="B425" s="34" t="s">
        <v>1038</v>
      </c>
      <c r="C425" s="3" t="s">
        <v>1039</v>
      </c>
      <c r="D425" s="4">
        <v>46240</v>
      </c>
      <c r="E425" s="4" t="s">
        <v>873</v>
      </c>
      <c r="F425" s="4" t="s">
        <v>1040</v>
      </c>
      <c r="G425" s="15" t="s">
        <v>749</v>
      </c>
      <c r="H425" s="3"/>
      <c r="I425" s="3"/>
      <c r="J425" s="6">
        <v>11500</v>
      </c>
      <c r="K425" s="6"/>
      <c r="L425" s="6">
        <f t="shared" ref="L425" si="352">SUM(J425:K425)</f>
        <v>11500</v>
      </c>
      <c r="M425" s="6"/>
      <c r="N425" s="6"/>
      <c r="O425" s="6">
        <f t="shared" ref="O425" si="353">L425+(L425*15%)</f>
        <v>13225</v>
      </c>
      <c r="P425" s="3" t="s">
        <v>927</v>
      </c>
      <c r="Q425" s="18" t="s">
        <v>1035</v>
      </c>
    </row>
    <row r="426" spans="1:17" ht="19.5" hidden="1" customHeight="1">
      <c r="A426" s="3">
        <f>SUBTOTAL(103,$B$2:B426)-1</f>
        <v>2</v>
      </c>
      <c r="B426" s="34" t="s">
        <v>1041</v>
      </c>
      <c r="C426" s="3" t="s">
        <v>40</v>
      </c>
      <c r="D426" s="4">
        <v>46240</v>
      </c>
      <c r="E426" s="4" t="s">
        <v>637</v>
      </c>
      <c r="F426" s="4" t="s">
        <v>689</v>
      </c>
      <c r="G426" s="15" t="s">
        <v>205</v>
      </c>
      <c r="H426" s="3"/>
      <c r="I426" s="3"/>
      <c r="J426" s="6">
        <v>79943.600000000006</v>
      </c>
      <c r="K426" s="6"/>
      <c r="L426" s="6">
        <f t="shared" ref="L426" si="354">SUM(J426:K426)</f>
        <v>79943.600000000006</v>
      </c>
      <c r="M426" s="6"/>
      <c r="N426" s="6"/>
      <c r="O426" s="6">
        <f t="shared" ref="O426" si="355">L426+(L426*15%)</f>
        <v>91935.140000000014</v>
      </c>
      <c r="P426" s="3" t="s">
        <v>927</v>
      </c>
      <c r="Q426" s="18" t="s">
        <v>1035</v>
      </c>
    </row>
    <row r="427" spans="1:17" ht="19.5" hidden="1" customHeight="1">
      <c r="A427" s="3">
        <f>SUBTOTAL(103,$B$2:B427)-1</f>
        <v>2</v>
      </c>
      <c r="B427" s="34" t="s">
        <v>1042</v>
      </c>
      <c r="C427" s="3" t="s">
        <v>40</v>
      </c>
      <c r="D427" s="4">
        <v>46240</v>
      </c>
      <c r="E427" s="4" t="s">
        <v>892</v>
      </c>
      <c r="F427" s="4" t="s">
        <v>587</v>
      </c>
      <c r="G427" s="15" t="s">
        <v>205</v>
      </c>
      <c r="H427" s="3"/>
      <c r="I427" s="3"/>
      <c r="J427" s="6">
        <v>114968</v>
      </c>
      <c r="K427" s="6"/>
      <c r="L427" s="6">
        <f t="shared" ref="L427" si="356">SUM(J427:K427)</f>
        <v>114968</v>
      </c>
      <c r="M427" s="6"/>
      <c r="N427" s="6"/>
      <c r="O427" s="6">
        <f t="shared" ref="O427" si="357">L427+(L427*15%)</f>
        <v>132213.20000000001</v>
      </c>
      <c r="P427" s="3" t="s">
        <v>927</v>
      </c>
      <c r="Q427" s="18" t="s">
        <v>1035</v>
      </c>
    </row>
    <row r="428" spans="1:17" ht="19.5" hidden="1" customHeight="1">
      <c r="A428" s="3">
        <f>SUBTOTAL(103,$B$2:B428)-1</f>
        <v>2</v>
      </c>
      <c r="B428" s="34" t="s">
        <v>1046</v>
      </c>
      <c r="C428" s="3" t="s">
        <v>40</v>
      </c>
      <c r="D428" s="4">
        <v>46240</v>
      </c>
      <c r="E428" s="4" t="s">
        <v>676</v>
      </c>
      <c r="F428" s="4" t="s">
        <v>713</v>
      </c>
      <c r="G428" s="15" t="s">
        <v>205</v>
      </c>
      <c r="H428" s="3"/>
      <c r="I428" s="3"/>
      <c r="J428" s="6">
        <v>12582</v>
      </c>
      <c r="K428" s="6"/>
      <c r="L428" s="6">
        <f t="shared" ref="L428" si="358">SUM(J428:K428)</f>
        <v>12582</v>
      </c>
      <c r="M428" s="6"/>
      <c r="N428" s="6"/>
      <c r="O428" s="6">
        <f t="shared" ref="O428" si="359">L428+(L428*15%)</f>
        <v>14469.3</v>
      </c>
      <c r="P428" s="3" t="s">
        <v>927</v>
      </c>
      <c r="Q428" s="18"/>
    </row>
    <row r="429" spans="1:17" ht="19.5" hidden="1" customHeight="1">
      <c r="A429" s="3">
        <f>SUBTOTAL(103,$B$2:B429)-1</f>
        <v>2</v>
      </c>
      <c r="B429" s="34" t="s">
        <v>1047</v>
      </c>
      <c r="C429" s="3" t="s">
        <v>40</v>
      </c>
      <c r="D429" s="4">
        <v>46240</v>
      </c>
      <c r="E429" s="4" t="s">
        <v>805</v>
      </c>
      <c r="F429" s="4" t="s">
        <v>796</v>
      </c>
      <c r="G429" s="15" t="s">
        <v>205</v>
      </c>
      <c r="H429" s="3"/>
      <c r="I429" s="3"/>
      <c r="J429" s="6">
        <v>15328</v>
      </c>
      <c r="K429" s="6"/>
      <c r="L429" s="6">
        <f t="shared" ref="L429" si="360">SUM(J429:K429)</f>
        <v>15328</v>
      </c>
      <c r="M429" s="6"/>
      <c r="N429" s="6"/>
      <c r="O429" s="6">
        <f t="shared" ref="O429" si="361">L429+(L429*15%)</f>
        <v>17627.2</v>
      </c>
      <c r="P429" s="3" t="s">
        <v>927</v>
      </c>
      <c r="Q429" s="18"/>
    </row>
    <row r="430" spans="1:17" ht="19.5" hidden="1" customHeight="1">
      <c r="A430" s="3">
        <f>SUBTOTAL(103,$B$2:B430)-1</f>
        <v>2</v>
      </c>
      <c r="B430" s="34" t="s">
        <v>1048</v>
      </c>
      <c r="C430" s="3" t="s">
        <v>40</v>
      </c>
      <c r="D430" s="4">
        <v>46240</v>
      </c>
      <c r="E430" s="4" t="s">
        <v>203</v>
      </c>
      <c r="F430" s="4"/>
      <c r="G430" s="15" t="s">
        <v>205</v>
      </c>
      <c r="H430" s="3"/>
      <c r="I430" s="3"/>
      <c r="J430" s="6">
        <v>241585.5</v>
      </c>
      <c r="K430" s="6"/>
      <c r="L430" s="6">
        <f t="shared" ref="L430" si="362">SUM(J430:K430)</f>
        <v>241585.5</v>
      </c>
      <c r="M430" s="6"/>
      <c r="N430" s="6"/>
      <c r="O430" s="6">
        <f t="shared" ref="O430" si="363">L430+(L430*15%)</f>
        <v>277823.32500000001</v>
      </c>
      <c r="P430" s="3" t="s">
        <v>927</v>
      </c>
      <c r="Q430" s="18"/>
    </row>
    <row r="431" spans="1:17" ht="19.5" hidden="1" customHeight="1">
      <c r="A431" s="3">
        <f>SUBTOTAL(103,$B$2:B431)-1</f>
        <v>2</v>
      </c>
      <c r="B431" s="34" t="s">
        <v>1049</v>
      </c>
      <c r="C431" s="3" t="s">
        <v>66</v>
      </c>
      <c r="D431" s="4">
        <v>46240</v>
      </c>
      <c r="E431" s="4" t="s">
        <v>762</v>
      </c>
      <c r="F431" s="4" t="s">
        <v>763</v>
      </c>
      <c r="G431" s="15" t="s">
        <v>899</v>
      </c>
      <c r="H431" s="3"/>
      <c r="I431" s="3"/>
      <c r="J431" s="6"/>
      <c r="K431" s="6"/>
      <c r="L431" s="6">
        <f t="shared" ref="L431" si="364">SUM(J431:K431)</f>
        <v>0</v>
      </c>
      <c r="M431" s="6"/>
      <c r="N431" s="6"/>
      <c r="O431" s="6">
        <f t="shared" ref="O431" si="365">L431+(L431*15%)</f>
        <v>0</v>
      </c>
      <c r="P431" s="3" t="s">
        <v>927</v>
      </c>
      <c r="Q431" s="18"/>
    </row>
    <row r="432" spans="1:17" ht="19.5" hidden="1" customHeight="1">
      <c r="A432" s="3">
        <f>SUBTOTAL(103,$B$2:B432)-1</f>
        <v>2</v>
      </c>
      <c r="B432" s="34" t="s">
        <v>1050</v>
      </c>
      <c r="C432" s="3" t="s">
        <v>66</v>
      </c>
      <c r="D432" s="4">
        <v>46240</v>
      </c>
      <c r="E432" s="4" t="s">
        <v>659</v>
      </c>
      <c r="F432" s="4" t="s">
        <v>660</v>
      </c>
      <c r="G432" s="15" t="s">
        <v>899</v>
      </c>
      <c r="H432" s="3"/>
      <c r="I432" s="3"/>
      <c r="J432" s="6"/>
      <c r="K432" s="6"/>
      <c r="L432" s="6">
        <f t="shared" ref="L432" si="366">SUM(J432:K432)</f>
        <v>0</v>
      </c>
      <c r="M432" s="6"/>
      <c r="N432" s="6"/>
      <c r="O432" s="6">
        <f t="shared" ref="O432" si="367">L432+(L432*15%)</f>
        <v>0</v>
      </c>
      <c r="P432" s="3" t="s">
        <v>927</v>
      </c>
      <c r="Q432" s="18"/>
    </row>
    <row r="433" spans="1:17" ht="19.5" hidden="1" customHeight="1">
      <c r="A433" s="3">
        <f>SUBTOTAL(103,$B$2:B433)-1</f>
        <v>2</v>
      </c>
      <c r="B433" s="34" t="s">
        <v>1051</v>
      </c>
      <c r="C433" s="3" t="s">
        <v>66</v>
      </c>
      <c r="D433" s="4">
        <v>46240</v>
      </c>
      <c r="E433" s="4" t="s">
        <v>665</v>
      </c>
      <c r="F433" s="4" t="s">
        <v>666</v>
      </c>
      <c r="G433" s="15" t="s">
        <v>899</v>
      </c>
      <c r="H433" s="3"/>
      <c r="I433" s="3"/>
      <c r="J433" s="6"/>
      <c r="K433" s="6"/>
      <c r="L433" s="6">
        <f t="shared" ref="L433" si="368">SUM(J433:K433)</f>
        <v>0</v>
      </c>
      <c r="M433" s="6"/>
      <c r="N433" s="6"/>
      <c r="O433" s="6">
        <f t="shared" ref="O433" si="369">L433+(L433*15%)</f>
        <v>0</v>
      </c>
      <c r="P433" s="3" t="s">
        <v>927</v>
      </c>
      <c r="Q433" s="18"/>
    </row>
    <row r="434" spans="1:17" ht="19.5" hidden="1" customHeight="1">
      <c r="A434" s="3">
        <f>SUBTOTAL(103,$B$2:B434)-1</f>
        <v>2</v>
      </c>
      <c r="B434" s="34" t="s">
        <v>1052</v>
      </c>
      <c r="C434" s="3" t="s">
        <v>66</v>
      </c>
      <c r="D434" s="4">
        <v>46240</v>
      </c>
      <c r="E434" s="4" t="s">
        <v>544</v>
      </c>
      <c r="F434" s="4" t="s">
        <v>545</v>
      </c>
      <c r="G434" s="15" t="s">
        <v>899</v>
      </c>
      <c r="H434" s="3"/>
      <c r="I434" s="3"/>
      <c r="J434" s="6"/>
      <c r="K434" s="6"/>
      <c r="L434" s="6">
        <f t="shared" ref="L434" si="370">SUM(J434:K434)</f>
        <v>0</v>
      </c>
      <c r="M434" s="6"/>
      <c r="N434" s="6"/>
      <c r="O434" s="6">
        <f t="shared" ref="O434" si="371">L434+(L434*15%)</f>
        <v>0</v>
      </c>
      <c r="P434" s="3" t="s">
        <v>927</v>
      </c>
      <c r="Q434" s="18"/>
    </row>
    <row r="435" spans="1:17" ht="19.5" hidden="1" customHeight="1">
      <c r="A435" s="3">
        <f>SUBTOTAL(103,$B$2:B435)-1</f>
        <v>2</v>
      </c>
      <c r="B435" s="34" t="s">
        <v>1053</v>
      </c>
      <c r="C435" s="3" t="s">
        <v>66</v>
      </c>
      <c r="D435" s="4">
        <v>46240</v>
      </c>
      <c r="E435" s="4" t="s">
        <v>316</v>
      </c>
      <c r="F435" s="4" t="s">
        <v>1054</v>
      </c>
      <c r="G435" s="15" t="s">
        <v>899</v>
      </c>
      <c r="H435" s="3"/>
      <c r="I435" s="3"/>
      <c r="J435" s="6"/>
      <c r="K435" s="6"/>
      <c r="L435" s="6">
        <f t="shared" ref="L435" si="372">SUM(J435:K435)</f>
        <v>0</v>
      </c>
      <c r="M435" s="6"/>
      <c r="N435" s="6"/>
      <c r="O435" s="6">
        <f t="shared" ref="O435" si="373">L435+(L435*15%)</f>
        <v>0</v>
      </c>
      <c r="P435" s="3" t="s">
        <v>927</v>
      </c>
      <c r="Q435" s="18"/>
    </row>
    <row r="436" spans="1:17" ht="19.5" hidden="1" customHeight="1">
      <c r="A436" s="3">
        <f>SUBTOTAL(103,$B$2:B436)-1</f>
        <v>2</v>
      </c>
      <c r="B436" s="34" t="s">
        <v>1055</v>
      </c>
      <c r="C436" s="3" t="s">
        <v>66</v>
      </c>
      <c r="D436" s="4">
        <v>46240</v>
      </c>
      <c r="E436" s="4" t="s">
        <v>502</v>
      </c>
      <c r="F436" s="4"/>
      <c r="G436" s="15" t="s">
        <v>899</v>
      </c>
      <c r="H436" s="3"/>
      <c r="I436" s="3"/>
      <c r="J436" s="6"/>
      <c r="K436" s="6"/>
      <c r="L436" s="6">
        <f t="shared" ref="L436" si="374">SUM(J436:K436)</f>
        <v>0</v>
      </c>
      <c r="M436" s="6"/>
      <c r="N436" s="6"/>
      <c r="O436" s="6">
        <f t="shared" ref="O436" si="375">L436+(L436*15%)</f>
        <v>0</v>
      </c>
      <c r="P436" s="3" t="s">
        <v>927</v>
      </c>
      <c r="Q436" s="18"/>
    </row>
    <row r="437" spans="1:17" ht="19.5" hidden="1" customHeight="1">
      <c r="A437" s="3">
        <f>SUBTOTAL(103,$B$2:B437)-1</f>
        <v>2</v>
      </c>
      <c r="B437" s="34" t="s">
        <v>1056</v>
      </c>
      <c r="C437" s="3" t="s">
        <v>66</v>
      </c>
      <c r="D437" s="4">
        <v>46240</v>
      </c>
      <c r="E437" s="4" t="s">
        <v>441</v>
      </c>
      <c r="F437" s="4"/>
      <c r="G437" s="15" t="s">
        <v>1057</v>
      </c>
      <c r="H437" s="3"/>
      <c r="I437" s="3"/>
      <c r="J437" s="6">
        <v>18</v>
      </c>
      <c r="K437" s="6"/>
      <c r="L437" s="6">
        <f t="shared" ref="L437" si="376">SUM(J437:K437)</f>
        <v>18</v>
      </c>
      <c r="M437" s="6"/>
      <c r="N437" s="6"/>
      <c r="O437" s="6">
        <f t="shared" ref="O437" si="377">L437+(L437*15%)</f>
        <v>20.7</v>
      </c>
      <c r="P437" s="3" t="s">
        <v>927</v>
      </c>
      <c r="Q437" s="18"/>
    </row>
    <row r="438" spans="1:17" ht="19.5" hidden="1" customHeight="1">
      <c r="A438" s="3">
        <f>SUBTOTAL(103,$B$2:B438)-1</f>
        <v>2</v>
      </c>
      <c r="B438" s="34" t="s">
        <v>1058</v>
      </c>
      <c r="C438" s="3" t="s">
        <v>40</v>
      </c>
      <c r="D438" s="4">
        <v>46240</v>
      </c>
      <c r="E438" s="4" t="s">
        <v>447</v>
      </c>
      <c r="F438" s="4" t="s">
        <v>448</v>
      </c>
      <c r="G438" s="15" t="s">
        <v>638</v>
      </c>
      <c r="H438" s="3"/>
      <c r="I438" s="3"/>
      <c r="J438" s="6"/>
      <c r="K438" s="6"/>
      <c r="L438" s="6">
        <f t="shared" ref="L438" si="378">SUM(J438:K438)</f>
        <v>0</v>
      </c>
      <c r="M438" s="6"/>
      <c r="N438" s="6"/>
      <c r="O438" s="6">
        <f t="shared" ref="O438" si="379">L438+(L438*15%)</f>
        <v>0</v>
      </c>
      <c r="P438" s="3" t="s">
        <v>927</v>
      </c>
      <c r="Q438" s="18"/>
    </row>
    <row r="439" spans="1:17" ht="19.5" hidden="1" customHeight="1">
      <c r="A439" s="3">
        <f>SUBTOTAL(103,$B$2:B439)-1</f>
        <v>2</v>
      </c>
      <c r="B439" s="34" t="s">
        <v>1063</v>
      </c>
      <c r="C439" s="3" t="s">
        <v>185</v>
      </c>
      <c r="D439" s="4">
        <v>46240</v>
      </c>
      <c r="E439" s="4" t="s">
        <v>1020</v>
      </c>
      <c r="F439" s="4" t="s">
        <v>1021</v>
      </c>
      <c r="G439" s="15" t="s">
        <v>72</v>
      </c>
      <c r="H439" s="3"/>
      <c r="I439" s="3"/>
      <c r="J439" s="6">
        <v>60182.68</v>
      </c>
      <c r="K439" s="6"/>
      <c r="L439" s="6">
        <f t="shared" ref="L439" si="380">SUM(J439:K439)</f>
        <v>60182.68</v>
      </c>
      <c r="M439" s="6"/>
      <c r="N439" s="6"/>
      <c r="O439" s="6">
        <f t="shared" ref="O439" si="381">L439+(L439*15%)</f>
        <v>69210.081999999995</v>
      </c>
      <c r="P439" s="3" t="s">
        <v>927</v>
      </c>
      <c r="Q439" s="18"/>
    </row>
    <row r="440" spans="1:17" ht="19.5" hidden="1" customHeight="1">
      <c r="A440" s="3">
        <f>SUBTOTAL(103,$B$2:B440)-1</f>
        <v>2</v>
      </c>
      <c r="B440" s="34" t="s">
        <v>1064</v>
      </c>
      <c r="C440" s="3" t="s">
        <v>185</v>
      </c>
      <c r="D440" s="4">
        <v>46240</v>
      </c>
      <c r="E440" s="4" t="s">
        <v>93</v>
      </c>
      <c r="F440" s="4" t="s">
        <v>90</v>
      </c>
      <c r="G440" s="15" t="s">
        <v>72</v>
      </c>
      <c r="H440" s="3"/>
      <c r="I440" s="3"/>
      <c r="J440" s="6">
        <v>76733.679999999993</v>
      </c>
      <c r="K440" s="6"/>
      <c r="L440" s="6">
        <f t="shared" ref="L440" si="382">SUM(J440:K440)</f>
        <v>76733.679999999993</v>
      </c>
      <c r="M440" s="6"/>
      <c r="N440" s="6"/>
      <c r="O440" s="6">
        <f t="shared" ref="O440" si="383">L440+(L440*15%)</f>
        <v>88243.731999999989</v>
      </c>
      <c r="P440" s="3" t="s">
        <v>927</v>
      </c>
      <c r="Q440" s="18"/>
    </row>
    <row r="441" spans="1:17" ht="19.5" hidden="1" customHeight="1">
      <c r="A441" s="3">
        <f>SUBTOTAL(103,$B$2:B441)-1</f>
        <v>2</v>
      </c>
      <c r="B441" s="34" t="s">
        <v>1065</v>
      </c>
      <c r="C441" s="3" t="s">
        <v>66</v>
      </c>
      <c r="D441" s="4">
        <v>46240</v>
      </c>
      <c r="E441" s="4" t="s">
        <v>461</v>
      </c>
      <c r="F441" s="4" t="s">
        <v>462</v>
      </c>
      <c r="G441" s="15" t="s">
        <v>1066</v>
      </c>
      <c r="H441" s="3"/>
      <c r="I441" s="3"/>
      <c r="J441" s="6">
        <v>95</v>
      </c>
      <c r="K441" s="6"/>
      <c r="L441" s="6">
        <f t="shared" ref="L441" si="384">SUM(J441:K441)</f>
        <v>95</v>
      </c>
      <c r="M441" s="6"/>
      <c r="N441" s="6"/>
      <c r="O441" s="6">
        <f t="shared" ref="O441" si="385">L441+(L441*15%)</f>
        <v>109.25</v>
      </c>
      <c r="P441" s="3" t="s">
        <v>927</v>
      </c>
      <c r="Q441" s="18"/>
    </row>
    <row r="442" spans="1:17" ht="19.5" hidden="1" customHeight="1">
      <c r="A442" s="3">
        <f>SUBTOTAL(103,$B$2:B442)-1</f>
        <v>2</v>
      </c>
      <c r="B442" s="34" t="s">
        <v>1067</v>
      </c>
      <c r="C442" s="3" t="s">
        <v>35</v>
      </c>
      <c r="D442" s="4">
        <v>46240</v>
      </c>
      <c r="E442" s="4" t="s">
        <v>161</v>
      </c>
      <c r="F442" s="4" t="s">
        <v>701</v>
      </c>
      <c r="G442" s="15" t="s">
        <v>1068</v>
      </c>
      <c r="H442" s="3"/>
      <c r="I442" s="3"/>
      <c r="J442" s="6">
        <v>19000</v>
      </c>
      <c r="K442" s="6">
        <v>4000</v>
      </c>
      <c r="L442" s="6">
        <f t="shared" ref="L442" si="386">SUM(J442:K442)</f>
        <v>23000</v>
      </c>
      <c r="M442" s="6"/>
      <c r="N442" s="6"/>
      <c r="O442" s="6">
        <f t="shared" ref="O442" si="387">L442+(L442*15%)</f>
        <v>26450</v>
      </c>
      <c r="P442" s="3" t="s">
        <v>927</v>
      </c>
      <c r="Q442" s="18"/>
    </row>
    <row r="443" spans="1:17" ht="19.5" hidden="1" customHeight="1">
      <c r="A443" s="3">
        <f>SUBTOTAL(103,$B$2:B443)-1</f>
        <v>2</v>
      </c>
      <c r="B443" s="34" t="s">
        <v>1069</v>
      </c>
      <c r="C443" s="3" t="s">
        <v>66</v>
      </c>
      <c r="D443" s="4">
        <v>46240</v>
      </c>
      <c r="E443" s="4" t="s">
        <v>719</v>
      </c>
      <c r="F443" s="4" t="s">
        <v>721</v>
      </c>
      <c r="G443" s="15" t="s">
        <v>1070</v>
      </c>
      <c r="H443" s="3"/>
      <c r="I443" s="3"/>
      <c r="J443" s="6"/>
      <c r="K443" s="6"/>
      <c r="L443" s="6">
        <f t="shared" ref="L443" si="388">SUM(J443:K443)</f>
        <v>0</v>
      </c>
      <c r="M443" s="6"/>
      <c r="N443" s="6"/>
      <c r="O443" s="6">
        <f t="shared" ref="O443" si="389">L443+(L443*15%)</f>
        <v>0</v>
      </c>
      <c r="P443" s="3" t="s">
        <v>927</v>
      </c>
      <c r="Q443" s="18"/>
    </row>
    <row r="444" spans="1:17" ht="19.5" customHeight="1">
      <c r="A444" s="3">
        <f>SUBTOTAL(103,$B$2:B444)-1</f>
        <v>3</v>
      </c>
      <c r="B444" s="34" t="s">
        <v>1071</v>
      </c>
      <c r="C444" s="3" t="s">
        <v>1072</v>
      </c>
      <c r="D444" s="4">
        <v>46240</v>
      </c>
      <c r="E444" s="4" t="s">
        <v>190</v>
      </c>
      <c r="F444" s="4" t="s">
        <v>191</v>
      </c>
      <c r="G444" s="15" t="s">
        <v>1073</v>
      </c>
      <c r="H444" s="3"/>
      <c r="I444" s="3"/>
      <c r="J444" s="6">
        <v>14990</v>
      </c>
      <c r="K444" s="6"/>
      <c r="L444" s="6">
        <f t="shared" ref="L444" si="390">SUM(J444:K444)</f>
        <v>14990</v>
      </c>
      <c r="M444" s="6"/>
      <c r="N444" s="6"/>
      <c r="O444" s="6">
        <f t="shared" ref="O444" si="391">L444+(L444*15%)</f>
        <v>17238.5</v>
      </c>
      <c r="P444" s="3" t="s">
        <v>927</v>
      </c>
      <c r="Q444" s="18"/>
    </row>
    <row r="445" spans="1:17" ht="19.5" hidden="1" customHeight="1">
      <c r="A445" s="3">
        <f>SUBTOTAL(103,$B$2:B445)-1</f>
        <v>3</v>
      </c>
      <c r="B445" s="34" t="s">
        <v>1074</v>
      </c>
      <c r="C445" s="3" t="s">
        <v>66</v>
      </c>
      <c r="D445" s="4">
        <v>46266</v>
      </c>
      <c r="E445" s="4" t="s">
        <v>1192</v>
      </c>
      <c r="F445" s="4" t="s">
        <v>1015</v>
      </c>
      <c r="G445" s="15" t="s">
        <v>1062</v>
      </c>
      <c r="H445" s="3"/>
      <c r="I445" s="3"/>
      <c r="J445" s="6">
        <v>19</v>
      </c>
      <c r="K445" s="6"/>
      <c r="L445" s="6">
        <f t="shared" ref="L445" si="392">SUM(J445:K445)</f>
        <v>19</v>
      </c>
      <c r="M445" s="6"/>
      <c r="N445" s="6"/>
      <c r="O445" s="6">
        <f t="shared" ref="O445" si="393">L445+(L445*15%)</f>
        <v>21.85</v>
      </c>
      <c r="P445" s="3" t="s">
        <v>927</v>
      </c>
      <c r="Q445" s="18"/>
    </row>
    <row r="446" spans="1:17" ht="19.5" hidden="1" customHeight="1">
      <c r="A446" s="3">
        <f>SUBTOTAL(103,$B$2:B446)-1</f>
        <v>3</v>
      </c>
      <c r="B446" s="20" t="s">
        <v>1075</v>
      </c>
      <c r="C446" s="3" t="s">
        <v>104</v>
      </c>
      <c r="D446" s="4">
        <v>46266</v>
      </c>
      <c r="E446" s="4" t="s">
        <v>105</v>
      </c>
      <c r="F446" s="4" t="s">
        <v>490</v>
      </c>
      <c r="G446" s="15" t="s">
        <v>881</v>
      </c>
      <c r="H446" s="3"/>
      <c r="I446" s="3"/>
      <c r="J446" s="6">
        <v>1.83</v>
      </c>
      <c r="K446" s="6"/>
      <c r="L446" s="6">
        <f t="shared" ref="L446" si="394">SUM(J446:K446)</f>
        <v>1.83</v>
      </c>
      <c r="M446" s="6"/>
      <c r="N446" s="6"/>
      <c r="O446" s="6">
        <f t="shared" ref="O446" si="395">L446+(L446*15%)</f>
        <v>2.1045000000000003</v>
      </c>
      <c r="P446" s="3" t="s">
        <v>927</v>
      </c>
      <c r="Q446" s="18"/>
    </row>
    <row r="447" spans="1:17" ht="19.5" hidden="1" customHeight="1">
      <c r="A447" s="3">
        <f>SUBTOTAL(103,$B$2:B447)-1</f>
        <v>3</v>
      </c>
      <c r="B447" s="34" t="s">
        <v>1076</v>
      </c>
      <c r="C447" s="3" t="s">
        <v>1077</v>
      </c>
      <c r="D447" s="4">
        <v>46266</v>
      </c>
      <c r="E447" s="4" t="s">
        <v>1020</v>
      </c>
      <c r="F447" s="4" t="s">
        <v>1021</v>
      </c>
      <c r="G447" s="15" t="s">
        <v>1022</v>
      </c>
      <c r="H447" s="3"/>
      <c r="I447" s="3"/>
      <c r="J447" s="6">
        <v>37000</v>
      </c>
      <c r="K447" s="6"/>
      <c r="L447" s="6">
        <f t="shared" ref="L447" si="396">SUM(J447:K447)</f>
        <v>37000</v>
      </c>
      <c r="M447" s="6"/>
      <c r="N447" s="6"/>
      <c r="O447" s="6">
        <f t="shared" ref="O447" si="397">L447+(L447*15%)</f>
        <v>42550</v>
      </c>
      <c r="P447" s="3" t="s">
        <v>927</v>
      </c>
      <c r="Q447" s="18"/>
    </row>
    <row r="448" spans="1:17" ht="19.5" hidden="1" customHeight="1">
      <c r="A448" s="3">
        <f>SUBTOTAL(103,$B$2:B448)-1</f>
        <v>3</v>
      </c>
      <c r="B448" s="31" t="s">
        <v>1078</v>
      </c>
      <c r="C448" s="3" t="s">
        <v>66</v>
      </c>
      <c r="D448" s="4">
        <v>46266</v>
      </c>
      <c r="E448" s="4" t="s">
        <v>99</v>
      </c>
      <c r="F448" s="4" t="s">
        <v>100</v>
      </c>
      <c r="G448" s="15" t="s">
        <v>1079</v>
      </c>
      <c r="H448" s="3"/>
      <c r="I448" s="3"/>
      <c r="J448" s="6"/>
      <c r="K448" s="6"/>
      <c r="L448" s="6">
        <f t="shared" ref="L448" si="398">SUM(J448:K448)</f>
        <v>0</v>
      </c>
      <c r="M448" s="6"/>
      <c r="N448" s="6"/>
      <c r="O448" s="6">
        <f t="shared" ref="O448" si="399">L448+(L448*15%)</f>
        <v>0</v>
      </c>
      <c r="P448" s="3" t="s">
        <v>1095</v>
      </c>
      <c r="Q448" s="18"/>
    </row>
    <row r="449" spans="1:17" ht="19.5" hidden="1" customHeight="1">
      <c r="A449" s="3">
        <f>SUBTOTAL(103,$B$2:B449)-1</f>
        <v>3</v>
      </c>
      <c r="B449" s="20" t="s">
        <v>1080</v>
      </c>
      <c r="C449" s="3" t="s">
        <v>992</v>
      </c>
      <c r="D449" s="4">
        <v>46266</v>
      </c>
      <c r="E449" s="4" t="s">
        <v>873</v>
      </c>
      <c r="F449" s="4" t="s">
        <v>874</v>
      </c>
      <c r="G449" s="15" t="s">
        <v>992</v>
      </c>
      <c r="H449" s="3"/>
      <c r="I449" s="3"/>
      <c r="J449" s="6">
        <v>11500</v>
      </c>
      <c r="K449" s="6"/>
      <c r="L449" s="6">
        <f t="shared" ref="L449" si="400">SUM(J449:K449)</f>
        <v>11500</v>
      </c>
      <c r="M449" s="6"/>
      <c r="N449" s="6"/>
      <c r="O449" s="6">
        <f t="shared" ref="O449" si="401">L449+(L449*15%)</f>
        <v>13225</v>
      </c>
      <c r="P449" s="3" t="s">
        <v>927</v>
      </c>
      <c r="Q449" s="18"/>
    </row>
    <row r="450" spans="1:17" ht="19.5" hidden="1" customHeight="1">
      <c r="A450" s="3">
        <f>SUBTOTAL(103,$B$2:B450)-1</f>
        <v>3</v>
      </c>
      <c r="B450" s="20" t="s">
        <v>1081</v>
      </c>
      <c r="C450" s="3" t="s">
        <v>1082</v>
      </c>
      <c r="D450" s="4">
        <v>46266</v>
      </c>
      <c r="E450" s="4" t="s">
        <v>233</v>
      </c>
      <c r="F450" s="4" t="s">
        <v>234</v>
      </c>
      <c r="G450" s="8" t="s">
        <v>236</v>
      </c>
      <c r="H450" s="3"/>
      <c r="I450" s="3"/>
      <c r="J450" s="6">
        <v>93769.4</v>
      </c>
      <c r="K450" s="6"/>
      <c r="L450" s="6">
        <f t="shared" ref="L450" si="402">SUM(J450:K450)</f>
        <v>93769.4</v>
      </c>
      <c r="M450" s="6"/>
      <c r="N450" s="6"/>
      <c r="O450" s="6">
        <f t="shared" ref="O450" si="403">L450+(L450*15%)</f>
        <v>107834.81</v>
      </c>
      <c r="P450" s="3" t="s">
        <v>927</v>
      </c>
      <c r="Q450" s="18"/>
    </row>
    <row r="451" spans="1:17" ht="19.5" hidden="1" customHeight="1">
      <c r="A451" s="3">
        <f>SUBTOTAL(103,$B$2:B451)-1</f>
        <v>3</v>
      </c>
      <c r="B451" s="20" t="s">
        <v>1083</v>
      </c>
      <c r="C451" s="3" t="s">
        <v>1084</v>
      </c>
      <c r="D451" s="4">
        <v>46266</v>
      </c>
      <c r="E451" s="4" t="s">
        <v>93</v>
      </c>
      <c r="F451" s="4" t="s">
        <v>90</v>
      </c>
      <c r="G451" s="8" t="s">
        <v>1085</v>
      </c>
      <c r="H451" s="3"/>
      <c r="I451" s="3"/>
      <c r="J451" s="6">
        <v>5280</v>
      </c>
      <c r="K451" s="6"/>
      <c r="L451" s="6">
        <f t="shared" ref="L451" si="404">SUM(J451:K451)</f>
        <v>5280</v>
      </c>
      <c r="M451" s="6"/>
      <c r="N451" s="6"/>
      <c r="O451" s="6">
        <f t="shared" ref="O451" si="405">L451+(L451*15%)</f>
        <v>6072</v>
      </c>
      <c r="P451" s="3" t="s">
        <v>927</v>
      </c>
      <c r="Q451" s="18"/>
    </row>
    <row r="452" spans="1:17" ht="19.5" hidden="1" customHeight="1">
      <c r="A452" s="3">
        <f>SUBTOTAL(103,$B$2:B452)-1</f>
        <v>3</v>
      </c>
      <c r="B452" s="20" t="s">
        <v>1086</v>
      </c>
      <c r="C452" s="3" t="s">
        <v>66</v>
      </c>
      <c r="D452" s="4">
        <v>46266</v>
      </c>
      <c r="E452" s="4" t="s">
        <v>1002</v>
      </c>
      <c r="F452" s="4" t="s">
        <v>1003</v>
      </c>
      <c r="G452" s="8" t="s">
        <v>1061</v>
      </c>
      <c r="H452" s="3"/>
      <c r="I452" s="3"/>
      <c r="J452" s="6">
        <v>15</v>
      </c>
      <c r="K452" s="6"/>
      <c r="L452" s="6">
        <f t="shared" ref="L452" si="406">SUM(J452:K452)</f>
        <v>15</v>
      </c>
      <c r="M452" s="6"/>
      <c r="N452" s="6"/>
      <c r="O452" s="6">
        <f t="shared" ref="O452" si="407">L452+(L452*15%)</f>
        <v>17.25</v>
      </c>
      <c r="P452" s="3" t="s">
        <v>927</v>
      </c>
      <c r="Q452" s="18"/>
    </row>
    <row r="453" spans="1:17" ht="19.5" hidden="1" customHeight="1">
      <c r="A453" s="3">
        <f>SUBTOTAL(103,$B$2:B453)-1</f>
        <v>3</v>
      </c>
      <c r="B453" s="20" t="s">
        <v>1087</v>
      </c>
      <c r="C453" s="3" t="s">
        <v>185</v>
      </c>
      <c r="D453" s="4">
        <v>46266</v>
      </c>
      <c r="E453" s="4" t="s">
        <v>93</v>
      </c>
      <c r="F453" s="4" t="s">
        <v>90</v>
      </c>
      <c r="G453" s="8" t="s">
        <v>1088</v>
      </c>
      <c r="H453" s="3"/>
      <c r="I453" s="3"/>
      <c r="J453" s="6">
        <f>41681+5775</f>
        <v>47456</v>
      </c>
      <c r="K453" s="6"/>
      <c r="L453" s="6">
        <f t="shared" ref="L453" si="408">SUM(J453:K453)</f>
        <v>47456</v>
      </c>
      <c r="M453" s="6"/>
      <c r="N453" s="6"/>
      <c r="O453" s="6">
        <f t="shared" ref="O453" si="409">L453+(L453*15%)</f>
        <v>54574.400000000001</v>
      </c>
      <c r="P453" s="3" t="s">
        <v>927</v>
      </c>
      <c r="Q453" s="18"/>
    </row>
    <row r="454" spans="1:17" ht="19.5" hidden="1" customHeight="1">
      <c r="A454" s="3">
        <f>SUBTOTAL(103,$B$2:B454)-1</f>
        <v>3</v>
      </c>
      <c r="B454" s="20" t="s">
        <v>1089</v>
      </c>
      <c r="C454" s="3" t="s">
        <v>1090</v>
      </c>
      <c r="D454" s="4">
        <v>46266</v>
      </c>
      <c r="E454" s="4" t="s">
        <v>516</v>
      </c>
      <c r="F454" s="4" t="s">
        <v>517</v>
      </c>
      <c r="G454" s="8" t="s">
        <v>1091</v>
      </c>
      <c r="H454" s="3"/>
      <c r="I454" s="3"/>
      <c r="J454" s="6"/>
      <c r="K454" s="6"/>
      <c r="L454" s="6">
        <f t="shared" ref="L454" si="410">SUM(J454:K454)</f>
        <v>0</v>
      </c>
      <c r="M454" s="6"/>
      <c r="N454" s="6"/>
      <c r="O454" s="6">
        <f t="shared" ref="O454" si="411">L454+(L454*15%)</f>
        <v>0</v>
      </c>
      <c r="P454" s="3" t="s">
        <v>927</v>
      </c>
      <c r="Q454" s="18"/>
    </row>
    <row r="455" spans="1:17" ht="19.5" hidden="1" customHeight="1">
      <c r="A455" s="3">
        <f>SUBTOTAL(103,$B$2:B455)-1</f>
        <v>3</v>
      </c>
      <c r="B455" s="20" t="s">
        <v>1092</v>
      </c>
      <c r="C455" s="3" t="s">
        <v>66</v>
      </c>
      <c r="D455" s="4">
        <v>46266</v>
      </c>
      <c r="E455" s="4" t="s">
        <v>99</v>
      </c>
      <c r="F455" s="4" t="s">
        <v>100</v>
      </c>
      <c r="G455" s="8" t="s">
        <v>279</v>
      </c>
      <c r="H455" s="3"/>
      <c r="I455" s="3" t="s">
        <v>345</v>
      </c>
      <c r="J455" s="6">
        <v>45</v>
      </c>
      <c r="K455" s="6"/>
      <c r="L455" s="6">
        <f t="shared" ref="L455" si="412">SUM(J455:K455)</f>
        <v>45</v>
      </c>
      <c r="M455" s="6"/>
      <c r="N455" s="6"/>
      <c r="O455" s="6">
        <f t="shared" ref="O455" si="413">L455+(L455*15%)</f>
        <v>51.75</v>
      </c>
      <c r="P455" s="3" t="s">
        <v>927</v>
      </c>
      <c r="Q455" s="18"/>
    </row>
    <row r="456" spans="1:17" ht="19.5" hidden="1" customHeight="1">
      <c r="A456" s="3">
        <f>SUBTOTAL(103,$B$2:B456)-1</f>
        <v>3</v>
      </c>
      <c r="B456" s="20" t="s">
        <v>1093</v>
      </c>
      <c r="C456" s="3" t="s">
        <v>66</v>
      </c>
      <c r="D456" s="4">
        <v>46266</v>
      </c>
      <c r="E456" s="4" t="s">
        <v>461</v>
      </c>
      <c r="F456" s="4" t="s">
        <v>462</v>
      </c>
      <c r="G456" s="8" t="s">
        <v>279</v>
      </c>
      <c r="H456" s="3"/>
      <c r="I456" s="3" t="s">
        <v>345</v>
      </c>
      <c r="J456" s="6">
        <v>45</v>
      </c>
      <c r="K456" s="6"/>
      <c r="L456" s="6">
        <f t="shared" ref="L456" si="414">SUM(J456:K456)</f>
        <v>45</v>
      </c>
      <c r="M456" s="6"/>
      <c r="N456" s="6"/>
      <c r="O456" s="6">
        <f t="shared" ref="O456" si="415">L456+(L456*15%)</f>
        <v>51.75</v>
      </c>
      <c r="P456" s="3" t="s">
        <v>927</v>
      </c>
      <c r="Q456" s="18"/>
    </row>
    <row r="457" spans="1:17" ht="19.5" hidden="1" customHeight="1">
      <c r="A457" s="3">
        <f>SUBTOTAL(103,$B$2:B457)-1</f>
        <v>3</v>
      </c>
      <c r="B457" s="20" t="s">
        <v>1094</v>
      </c>
      <c r="C457" s="3" t="s">
        <v>40</v>
      </c>
      <c r="D457" s="4">
        <v>46266</v>
      </c>
      <c r="E457" s="4" t="s">
        <v>203</v>
      </c>
      <c r="F457" s="4" t="s">
        <v>204</v>
      </c>
      <c r="G457" s="8" t="s">
        <v>205</v>
      </c>
      <c r="H457" s="3"/>
      <c r="I457" s="3"/>
      <c r="J457" s="6">
        <v>21975</v>
      </c>
      <c r="K457" s="6"/>
      <c r="L457" s="6">
        <f t="shared" ref="L457" si="416">SUM(J457:K457)</f>
        <v>21975</v>
      </c>
      <c r="M457" s="6"/>
      <c r="N457" s="6"/>
      <c r="O457" s="6">
        <f t="shared" ref="O457" si="417">L457+(L457*15%)</f>
        <v>25271.25</v>
      </c>
      <c r="P457" s="3" t="s">
        <v>927</v>
      </c>
      <c r="Q457" s="18"/>
    </row>
    <row r="458" spans="1:17" ht="19.5" hidden="1" customHeight="1">
      <c r="A458" s="3">
        <f>SUBTOTAL(103,$B$2:B458)-1</f>
        <v>3</v>
      </c>
      <c r="B458" s="20" t="s">
        <v>1097</v>
      </c>
      <c r="C458" s="3" t="s">
        <v>66</v>
      </c>
      <c r="D458" s="4">
        <v>46272</v>
      </c>
      <c r="E458" s="4" t="s">
        <v>441</v>
      </c>
      <c r="F458" s="4" t="s">
        <v>442</v>
      </c>
      <c r="G458" s="8" t="s">
        <v>1098</v>
      </c>
      <c r="H458" s="3"/>
      <c r="I458" s="3"/>
      <c r="J458" s="6">
        <v>35</v>
      </c>
      <c r="K458" s="6"/>
      <c r="L458" s="6">
        <f t="shared" ref="L458" si="418">SUM(J458:K458)</f>
        <v>35</v>
      </c>
      <c r="M458" s="6"/>
      <c r="N458" s="6"/>
      <c r="O458" s="6">
        <f t="shared" ref="O458" si="419">L458+(L458*15%)</f>
        <v>40.25</v>
      </c>
      <c r="P458" s="3" t="s">
        <v>927</v>
      </c>
      <c r="Q458" s="18"/>
    </row>
    <row r="459" spans="1:17" ht="19.5" hidden="1" customHeight="1">
      <c r="A459" s="3">
        <f>SUBTOTAL(103,$B$2:B459)-1</f>
        <v>3</v>
      </c>
      <c r="B459" s="20" t="s">
        <v>1102</v>
      </c>
      <c r="C459" s="3" t="s">
        <v>1103</v>
      </c>
      <c r="D459" s="4">
        <v>46272</v>
      </c>
      <c r="E459" s="4" t="s">
        <v>1104</v>
      </c>
      <c r="F459" s="4" t="s">
        <v>1105</v>
      </c>
      <c r="G459" s="8" t="s">
        <v>1106</v>
      </c>
      <c r="H459" s="3"/>
      <c r="I459" s="3"/>
      <c r="J459" s="6"/>
      <c r="K459" s="6"/>
      <c r="L459" s="6">
        <f t="shared" ref="L459:L465" si="420">SUM(J459:K459)</f>
        <v>0</v>
      </c>
      <c r="M459" s="6"/>
      <c r="N459" s="6"/>
      <c r="O459" s="6">
        <f t="shared" ref="O459:O465" si="421">L459+(L459*15%)</f>
        <v>0</v>
      </c>
      <c r="P459" s="3" t="s">
        <v>927</v>
      </c>
      <c r="Q459" s="18"/>
    </row>
    <row r="460" spans="1:17" ht="19.5" hidden="1" customHeight="1">
      <c r="A460" s="3">
        <f>SUBTOTAL(103,$B$2:B460)-1</f>
        <v>3</v>
      </c>
      <c r="B460" s="20" t="s">
        <v>1108</v>
      </c>
      <c r="C460" s="3" t="s">
        <v>938</v>
      </c>
      <c r="D460" s="4">
        <v>46272</v>
      </c>
      <c r="E460" s="4" t="s">
        <v>441</v>
      </c>
      <c r="F460" s="4" t="s">
        <v>442</v>
      </c>
      <c r="G460" s="15" t="s">
        <v>981</v>
      </c>
      <c r="H460" s="3"/>
      <c r="I460" s="3"/>
      <c r="J460" s="6">
        <v>6384</v>
      </c>
      <c r="K460" s="6"/>
      <c r="L460" s="6">
        <f t="shared" si="420"/>
        <v>6384</v>
      </c>
      <c r="M460" s="6"/>
      <c r="N460" s="6"/>
      <c r="O460" s="6">
        <f t="shared" si="421"/>
        <v>7341.6</v>
      </c>
      <c r="P460" s="3" t="s">
        <v>927</v>
      </c>
    </row>
    <row r="461" spans="1:17" ht="19.5" hidden="1" customHeight="1">
      <c r="A461" s="3">
        <f>SUBTOTAL(103,$B$2:B461)-1</f>
        <v>3</v>
      </c>
      <c r="B461" s="20" t="s">
        <v>1109</v>
      </c>
      <c r="C461" s="3" t="s">
        <v>66</v>
      </c>
      <c r="D461" s="4">
        <v>46272</v>
      </c>
      <c r="E461" s="4" t="s">
        <v>269</v>
      </c>
      <c r="F461" s="4" t="s">
        <v>270</v>
      </c>
      <c r="G461" s="15" t="s">
        <v>1110</v>
      </c>
      <c r="H461" s="3"/>
      <c r="I461" s="3" t="s">
        <v>1111</v>
      </c>
      <c r="J461" s="6">
        <v>92</v>
      </c>
      <c r="K461" s="6"/>
      <c r="L461" s="6">
        <f t="shared" si="420"/>
        <v>92</v>
      </c>
      <c r="M461" s="6"/>
      <c r="N461" s="6"/>
      <c r="O461" s="6">
        <f t="shared" si="421"/>
        <v>105.8</v>
      </c>
      <c r="P461" s="3" t="s">
        <v>927</v>
      </c>
    </row>
    <row r="462" spans="1:17" ht="19.5" hidden="1" customHeight="1">
      <c r="A462" s="3">
        <f>SUBTOTAL(103,$B$2:B462)-1</f>
        <v>3</v>
      </c>
      <c r="B462" s="20" t="s">
        <v>1112</v>
      </c>
      <c r="C462" s="3" t="s">
        <v>66</v>
      </c>
      <c r="D462" s="4">
        <v>46272</v>
      </c>
      <c r="E462" s="4" t="s">
        <v>461</v>
      </c>
      <c r="F462" s="4" t="s">
        <v>462</v>
      </c>
      <c r="G462" s="15" t="s">
        <v>654</v>
      </c>
      <c r="H462" s="3"/>
      <c r="I462" s="3"/>
      <c r="J462" s="6">
        <v>0</v>
      </c>
      <c r="K462" s="6"/>
      <c r="L462" s="6">
        <f t="shared" si="420"/>
        <v>0</v>
      </c>
      <c r="M462" s="6"/>
      <c r="N462" s="6"/>
      <c r="O462" s="6">
        <f t="shared" si="421"/>
        <v>0</v>
      </c>
      <c r="P462" s="3" t="s">
        <v>927</v>
      </c>
      <c r="Q462" s="18"/>
    </row>
    <row r="463" spans="1:17" ht="19.5" hidden="1" customHeight="1">
      <c r="A463" s="3">
        <f>SUBTOTAL(103,$B$2:B463)-1</f>
        <v>3</v>
      </c>
      <c r="B463" s="20" t="s">
        <v>1113</v>
      </c>
      <c r="C463" s="3" t="s">
        <v>66</v>
      </c>
      <c r="D463" s="4">
        <v>46272</v>
      </c>
      <c r="E463" s="4" t="s">
        <v>50</v>
      </c>
      <c r="F463" s="4" t="s">
        <v>51</v>
      </c>
      <c r="G463" s="15" t="s">
        <v>68</v>
      </c>
      <c r="H463" s="3"/>
      <c r="I463" s="3" t="s">
        <v>306</v>
      </c>
      <c r="J463" s="6">
        <v>38</v>
      </c>
      <c r="K463" s="6"/>
      <c r="L463" s="6">
        <f t="shared" si="420"/>
        <v>38</v>
      </c>
      <c r="M463" s="6"/>
      <c r="N463" s="6"/>
      <c r="O463" s="6">
        <f t="shared" si="421"/>
        <v>43.7</v>
      </c>
      <c r="P463" s="3" t="s">
        <v>927</v>
      </c>
    </row>
    <row r="464" spans="1:17" ht="25.5" hidden="1" customHeight="1">
      <c r="A464" s="3">
        <f>SUBTOTAL(103,$B$2:B464)-1</f>
        <v>3</v>
      </c>
      <c r="B464" s="20" t="s">
        <v>1114</v>
      </c>
      <c r="C464" s="3" t="s">
        <v>40</v>
      </c>
      <c r="D464" s="4">
        <v>46266</v>
      </c>
      <c r="E464" s="4" t="s">
        <v>203</v>
      </c>
      <c r="F464" s="4" t="s">
        <v>204</v>
      </c>
      <c r="G464" s="8" t="s">
        <v>1118</v>
      </c>
      <c r="H464" s="3"/>
      <c r="I464" s="3"/>
      <c r="J464" s="6">
        <v>72415.199999999997</v>
      </c>
      <c r="K464" s="6"/>
      <c r="L464" s="6">
        <f t="shared" si="420"/>
        <v>72415.199999999997</v>
      </c>
      <c r="M464" s="6"/>
      <c r="N464" s="6"/>
      <c r="O464" s="6">
        <f t="shared" si="421"/>
        <v>83277.48</v>
      </c>
      <c r="P464" s="3" t="s">
        <v>927</v>
      </c>
      <c r="Q464" s="18"/>
    </row>
    <row r="465" spans="1:17" ht="19.5" hidden="1" customHeight="1">
      <c r="A465" s="3">
        <f>SUBTOTAL(103,$B$2:B465)-1</f>
        <v>3</v>
      </c>
      <c r="B465" s="20" t="s">
        <v>1115</v>
      </c>
      <c r="C465" s="3" t="s">
        <v>40</v>
      </c>
      <c r="D465" s="4">
        <v>46266</v>
      </c>
      <c r="E465" s="4" t="s">
        <v>676</v>
      </c>
      <c r="F465" s="4" t="s">
        <v>713</v>
      </c>
      <c r="G465" s="15" t="s">
        <v>1119</v>
      </c>
      <c r="H465" s="3"/>
      <c r="I465" s="3"/>
      <c r="J465" s="6">
        <v>63510</v>
      </c>
      <c r="K465" s="6"/>
      <c r="L465" s="6">
        <f t="shared" si="420"/>
        <v>63510</v>
      </c>
      <c r="M465" s="6"/>
      <c r="N465" s="6"/>
      <c r="O465" s="6">
        <f t="shared" si="421"/>
        <v>73036.5</v>
      </c>
      <c r="P465" s="3" t="s">
        <v>927</v>
      </c>
      <c r="Q465" s="18"/>
    </row>
    <row r="466" spans="1:17" ht="28.5" hidden="1">
      <c r="A466" s="3">
        <f>SUBTOTAL(103,$B$2:B466)-1</f>
        <v>3</v>
      </c>
      <c r="B466" s="20" t="s">
        <v>1116</v>
      </c>
      <c r="C466" s="3" t="s">
        <v>40</v>
      </c>
      <c r="D466" s="4">
        <v>46266</v>
      </c>
      <c r="E466" s="4" t="s">
        <v>203</v>
      </c>
      <c r="F466" s="4" t="s">
        <v>204</v>
      </c>
      <c r="G466" s="8" t="s">
        <v>1120</v>
      </c>
      <c r="H466" s="3"/>
      <c r="I466" s="3"/>
      <c r="J466" s="6">
        <v>256089</v>
      </c>
      <c r="K466" s="6"/>
      <c r="L466" s="6">
        <f t="shared" ref="L466:L469" si="422">SUM(J466:K466)</f>
        <v>256089</v>
      </c>
      <c r="M466" s="6"/>
      <c r="N466" s="6"/>
      <c r="O466" s="6">
        <f t="shared" ref="O466:O469" si="423">L466+(L466*15%)</f>
        <v>294502.34999999998</v>
      </c>
      <c r="P466" s="3" t="s">
        <v>927</v>
      </c>
      <c r="Q466" s="18"/>
    </row>
    <row r="467" spans="1:17" ht="19.5" hidden="1" customHeight="1">
      <c r="A467" s="3">
        <f>SUBTOTAL(103,$B$2:B467)-1</f>
        <v>3</v>
      </c>
      <c r="B467" s="20" t="s">
        <v>1117</v>
      </c>
      <c r="C467" s="3" t="s">
        <v>938</v>
      </c>
      <c r="D467" s="4">
        <v>46272</v>
      </c>
      <c r="E467" s="4" t="s">
        <v>441</v>
      </c>
      <c r="F467" s="4" t="s">
        <v>442</v>
      </c>
      <c r="G467" s="15" t="s">
        <v>981</v>
      </c>
      <c r="H467" s="3"/>
      <c r="I467" s="3"/>
      <c r="J467" s="6">
        <v>0</v>
      </c>
      <c r="K467" s="6"/>
      <c r="L467" s="6">
        <f t="shared" si="422"/>
        <v>0</v>
      </c>
      <c r="M467" s="6"/>
      <c r="N467" s="6"/>
      <c r="O467" s="6">
        <f t="shared" si="423"/>
        <v>0</v>
      </c>
      <c r="P467" s="3" t="s">
        <v>927</v>
      </c>
    </row>
    <row r="468" spans="1:17" ht="19.5" hidden="1" customHeight="1">
      <c r="A468" s="3">
        <f>SUBTOTAL(103,$B$2:B468)-1</f>
        <v>3</v>
      </c>
      <c r="B468" s="20" t="s">
        <v>1121</v>
      </c>
      <c r="C468" s="3" t="s">
        <v>40</v>
      </c>
      <c r="D468" s="4">
        <v>46272</v>
      </c>
      <c r="E468" s="4" t="s">
        <v>246</v>
      </c>
      <c r="F468" s="4" t="s">
        <v>247</v>
      </c>
      <c r="G468" s="8" t="s">
        <v>1122</v>
      </c>
      <c r="H468" s="3"/>
      <c r="I468" s="3"/>
      <c r="J468" s="6">
        <v>16000</v>
      </c>
      <c r="K468" s="6"/>
      <c r="L468" s="6">
        <f t="shared" si="422"/>
        <v>16000</v>
      </c>
      <c r="M468" s="6"/>
      <c r="N468" s="6"/>
      <c r="O468" s="6">
        <f t="shared" si="423"/>
        <v>18400</v>
      </c>
      <c r="P468" s="3" t="s">
        <v>927</v>
      </c>
    </row>
    <row r="469" spans="1:17" ht="19.5" hidden="1" customHeight="1">
      <c r="A469" s="3">
        <f>SUBTOTAL(103,$B$2:B469)-1</f>
        <v>3</v>
      </c>
      <c r="B469" s="20" t="s">
        <v>1123</v>
      </c>
      <c r="C469" s="3" t="s">
        <v>40</v>
      </c>
      <c r="D469" s="4">
        <v>46266</v>
      </c>
      <c r="E469" s="4" t="s">
        <v>203</v>
      </c>
      <c r="F469" s="4" t="s">
        <v>204</v>
      </c>
      <c r="G469" s="8" t="s">
        <v>1124</v>
      </c>
      <c r="H469" s="3"/>
      <c r="I469" s="3"/>
      <c r="J469" s="6">
        <v>117800</v>
      </c>
      <c r="K469" s="6"/>
      <c r="L469" s="6">
        <f t="shared" si="422"/>
        <v>117800</v>
      </c>
      <c r="M469" s="6"/>
      <c r="N469" s="6"/>
      <c r="O469" s="6">
        <f t="shared" si="423"/>
        <v>135470</v>
      </c>
      <c r="P469" s="3" t="s">
        <v>927</v>
      </c>
      <c r="Q469" s="18"/>
    </row>
    <row r="470" spans="1:17" ht="19.5" hidden="1" customHeight="1">
      <c r="A470" s="3">
        <f>SUBTOTAL(103,$B$2:B470)-1</f>
        <v>3</v>
      </c>
      <c r="B470" s="44" t="s">
        <v>1125</v>
      </c>
      <c r="C470" s="3" t="s">
        <v>40</v>
      </c>
      <c r="D470" s="4">
        <v>46272</v>
      </c>
      <c r="E470" s="4" t="s">
        <v>246</v>
      </c>
      <c r="F470" s="4" t="s">
        <v>247</v>
      </c>
      <c r="G470" s="8" t="s">
        <v>1126</v>
      </c>
      <c r="H470" s="3"/>
      <c r="I470" s="3"/>
      <c r="J470" s="6">
        <v>208000</v>
      </c>
      <c r="K470" s="6"/>
      <c r="L470" s="6">
        <f t="shared" ref="L470" si="424">SUM(J470:K470)</f>
        <v>208000</v>
      </c>
      <c r="M470" s="6"/>
      <c r="N470" s="6"/>
      <c r="O470" s="6">
        <f t="shared" ref="O470" si="425">L470+(L470*15%)</f>
        <v>239200</v>
      </c>
      <c r="P470" s="3" t="s">
        <v>927</v>
      </c>
    </row>
    <row r="471" spans="1:17" ht="19.5" hidden="1" customHeight="1">
      <c r="A471" s="3">
        <f>SUBTOTAL(103,$B$2:B471)-1</f>
        <v>3</v>
      </c>
      <c r="B471" s="20" t="s">
        <v>1131</v>
      </c>
      <c r="C471" s="3" t="s">
        <v>40</v>
      </c>
      <c r="D471" s="4">
        <v>46272</v>
      </c>
      <c r="E471" s="4" t="s">
        <v>1128</v>
      </c>
      <c r="F471" s="4" t="s">
        <v>1129</v>
      </c>
      <c r="G471" s="8" t="s">
        <v>1130</v>
      </c>
      <c r="H471" s="3"/>
      <c r="I471" s="3"/>
      <c r="J471" s="6">
        <v>0</v>
      </c>
      <c r="K471" s="6"/>
      <c r="L471" s="6">
        <f t="shared" ref="L471:L485" si="426">SUM(J471:K471)</f>
        <v>0</v>
      </c>
      <c r="M471" s="6"/>
      <c r="N471" s="6"/>
      <c r="O471" s="6">
        <f t="shared" ref="O471:O481" si="427">L471+(L471*15%)</f>
        <v>0</v>
      </c>
      <c r="P471" s="3" t="s">
        <v>927</v>
      </c>
    </row>
    <row r="472" spans="1:17" ht="19.5" hidden="1" customHeight="1">
      <c r="A472" s="3">
        <f>SUBTOTAL(103,$B$2:B472)-1</f>
        <v>3</v>
      </c>
      <c r="B472" s="20" t="s">
        <v>1127</v>
      </c>
      <c r="C472" s="3" t="s">
        <v>40</v>
      </c>
      <c r="D472" s="4">
        <v>46266</v>
      </c>
      <c r="E472" s="4" t="s">
        <v>233</v>
      </c>
      <c r="F472" s="4" t="s">
        <v>234</v>
      </c>
      <c r="G472" s="8" t="s">
        <v>1124</v>
      </c>
      <c r="H472" s="3"/>
      <c r="I472" s="3"/>
      <c r="J472" s="6">
        <v>19600</v>
      </c>
      <c r="K472" s="6"/>
      <c r="L472" s="6">
        <f t="shared" si="426"/>
        <v>19600</v>
      </c>
      <c r="M472" s="6"/>
      <c r="N472" s="6"/>
      <c r="O472" s="6">
        <f t="shared" si="427"/>
        <v>22540</v>
      </c>
      <c r="P472" s="3" t="s">
        <v>927</v>
      </c>
      <c r="Q472" s="18"/>
    </row>
    <row r="473" spans="1:17" ht="19.5" hidden="1" customHeight="1">
      <c r="A473" s="3">
        <f>SUBTOTAL(103,$B$2:B473)-1</f>
        <v>3</v>
      </c>
      <c r="B473" s="20" t="s">
        <v>1132</v>
      </c>
      <c r="C473" s="3" t="s">
        <v>40</v>
      </c>
      <c r="D473" s="4">
        <v>46266</v>
      </c>
      <c r="E473" s="4" t="s">
        <v>203</v>
      </c>
      <c r="F473" s="4" t="s">
        <v>204</v>
      </c>
      <c r="G473" s="8" t="s">
        <v>1133</v>
      </c>
      <c r="H473" s="3"/>
      <c r="I473" s="3"/>
      <c r="J473" s="6">
        <v>26370</v>
      </c>
      <c r="K473" s="6"/>
      <c r="L473" s="6">
        <f t="shared" si="426"/>
        <v>26370</v>
      </c>
      <c r="M473" s="6"/>
      <c r="N473" s="6"/>
      <c r="O473" s="6">
        <f t="shared" si="427"/>
        <v>30325.5</v>
      </c>
      <c r="P473" s="3" t="s">
        <v>927</v>
      </c>
      <c r="Q473" s="18"/>
    </row>
    <row r="474" spans="1:17" ht="19.5" hidden="1" customHeight="1">
      <c r="A474" s="3">
        <f>SUBTOTAL(103,$B$2:B474)-1</f>
        <v>3</v>
      </c>
      <c r="B474" s="20" t="s">
        <v>1134</v>
      </c>
      <c r="C474" s="3" t="s">
        <v>40</v>
      </c>
      <c r="D474" s="4">
        <v>46272</v>
      </c>
      <c r="E474" s="4" t="s">
        <v>246</v>
      </c>
      <c r="F474" s="4" t="s">
        <v>247</v>
      </c>
      <c r="G474" s="8" t="s">
        <v>1135</v>
      </c>
      <c r="H474" s="3"/>
      <c r="I474" s="3"/>
      <c r="J474" s="6">
        <v>14000</v>
      </c>
      <c r="K474" s="6"/>
      <c r="L474" s="6">
        <f t="shared" si="426"/>
        <v>14000</v>
      </c>
      <c r="M474" s="6"/>
      <c r="N474" s="6"/>
      <c r="O474" s="6">
        <f t="shared" si="427"/>
        <v>16100</v>
      </c>
      <c r="P474" s="3" t="s">
        <v>927</v>
      </c>
    </row>
    <row r="475" spans="1:17" ht="19.5" hidden="1" customHeight="1">
      <c r="A475" s="3">
        <f>SUBTOTAL(103,$B$2:B475)-1</f>
        <v>3</v>
      </c>
      <c r="B475" s="20" t="s">
        <v>1136</v>
      </c>
      <c r="C475" s="3" t="s">
        <v>119</v>
      </c>
      <c r="D475" s="4">
        <v>46272</v>
      </c>
      <c r="E475" s="4" t="s">
        <v>120</v>
      </c>
      <c r="F475" s="4" t="s">
        <v>121</v>
      </c>
      <c r="G475" s="15" t="s">
        <v>1137</v>
      </c>
      <c r="H475" s="3"/>
      <c r="I475" s="3"/>
      <c r="J475" s="6">
        <v>23500</v>
      </c>
      <c r="K475" s="6"/>
      <c r="L475" s="6">
        <f t="shared" si="426"/>
        <v>23500</v>
      </c>
      <c r="M475" s="6"/>
      <c r="N475" s="6"/>
      <c r="O475" s="6">
        <f t="shared" si="427"/>
        <v>27025</v>
      </c>
      <c r="P475" s="3" t="s">
        <v>927</v>
      </c>
    </row>
    <row r="476" spans="1:17" ht="19.5" hidden="1" customHeight="1">
      <c r="A476" s="3">
        <f>SUBTOTAL(103,$B$2:B476)-1</f>
        <v>3</v>
      </c>
      <c r="B476" s="20" t="s">
        <v>1138</v>
      </c>
      <c r="C476" s="3" t="s">
        <v>70</v>
      </c>
      <c r="D476" s="4">
        <v>46272</v>
      </c>
      <c r="E476" s="4" t="s">
        <v>163</v>
      </c>
      <c r="F476" s="4" t="s">
        <v>164</v>
      </c>
      <c r="G476" s="15" t="s">
        <v>1139</v>
      </c>
      <c r="H476" s="3"/>
      <c r="I476" s="3"/>
      <c r="J476" s="6">
        <v>6800</v>
      </c>
      <c r="K476" s="6"/>
      <c r="L476" s="6">
        <f t="shared" si="426"/>
        <v>6800</v>
      </c>
      <c r="M476" s="6"/>
      <c r="N476" s="6"/>
      <c r="O476" s="6">
        <f t="shared" si="427"/>
        <v>7820</v>
      </c>
      <c r="P476" s="3" t="s">
        <v>927</v>
      </c>
      <c r="Q476" s="18"/>
    </row>
    <row r="477" spans="1:17" ht="19.5" hidden="1" customHeight="1">
      <c r="A477" s="3">
        <f>SUBTOTAL(103,$B$2:B477)-1</f>
        <v>3</v>
      </c>
      <c r="B477" s="20" t="s">
        <v>1140</v>
      </c>
      <c r="C477" s="3" t="s">
        <v>185</v>
      </c>
      <c r="D477" s="4">
        <v>46266</v>
      </c>
      <c r="E477" s="4" t="s">
        <v>93</v>
      </c>
      <c r="F477" s="4" t="s">
        <v>90</v>
      </c>
      <c r="G477" s="8" t="s">
        <v>72</v>
      </c>
      <c r="H477" s="3"/>
      <c r="I477" s="3"/>
      <c r="J477" s="6">
        <v>500</v>
      </c>
      <c r="K477" s="6"/>
      <c r="L477" s="6">
        <f t="shared" si="426"/>
        <v>500</v>
      </c>
      <c r="M477" s="6"/>
      <c r="N477" s="6"/>
      <c r="O477" s="6">
        <f t="shared" si="427"/>
        <v>575</v>
      </c>
      <c r="P477" s="3" t="s">
        <v>927</v>
      </c>
      <c r="Q477" s="18"/>
    </row>
    <row r="478" spans="1:17" ht="19.5" hidden="1" customHeight="1">
      <c r="A478" s="3">
        <f>SUBTOTAL(103,$B$2:B478)-1</f>
        <v>3</v>
      </c>
      <c r="B478" s="20" t="s">
        <v>1141</v>
      </c>
      <c r="C478" s="3" t="s">
        <v>185</v>
      </c>
      <c r="D478" s="4">
        <v>46266</v>
      </c>
      <c r="E478" s="4" t="s">
        <v>1020</v>
      </c>
      <c r="F478" s="4" t="s">
        <v>1021</v>
      </c>
      <c r="G478" s="15" t="s">
        <v>72</v>
      </c>
      <c r="H478" s="3"/>
      <c r="I478" s="3"/>
      <c r="J478" s="6">
        <v>51917.89</v>
      </c>
      <c r="K478" s="6"/>
      <c r="L478" s="6">
        <f t="shared" si="426"/>
        <v>51917.89</v>
      </c>
      <c r="M478" s="6"/>
      <c r="N478" s="6"/>
      <c r="O478" s="6">
        <f t="shared" si="427"/>
        <v>59705.573499999999</v>
      </c>
      <c r="P478" s="3" t="s">
        <v>927</v>
      </c>
      <c r="Q478" s="18"/>
    </row>
    <row r="479" spans="1:17" ht="19.5" hidden="1" customHeight="1">
      <c r="A479" s="3">
        <f>SUBTOTAL(103,$B$2:B479)-1</f>
        <v>3</v>
      </c>
      <c r="B479" s="20" t="s">
        <v>1142</v>
      </c>
      <c r="C479" s="3" t="s">
        <v>185</v>
      </c>
      <c r="D479" s="4">
        <v>46321</v>
      </c>
      <c r="E479" s="4" t="s">
        <v>93</v>
      </c>
      <c r="F479" s="4" t="s">
        <v>90</v>
      </c>
      <c r="G479" s="8" t="s">
        <v>72</v>
      </c>
      <c r="H479" s="3"/>
      <c r="I479" s="3"/>
      <c r="J479" s="6">
        <v>139090</v>
      </c>
      <c r="K479" s="6"/>
      <c r="L479" s="6">
        <f t="shared" si="426"/>
        <v>139090</v>
      </c>
      <c r="M479" s="6"/>
      <c r="N479" s="6"/>
      <c r="O479" s="6">
        <f t="shared" si="427"/>
        <v>159953.5</v>
      </c>
      <c r="P479" s="3" t="s">
        <v>927</v>
      </c>
      <c r="Q479" s="18"/>
    </row>
    <row r="480" spans="1:17" ht="19.5" hidden="1" customHeight="1">
      <c r="A480" s="3">
        <f>SUBTOTAL(103,$B$2:B480)-1</f>
        <v>3</v>
      </c>
      <c r="B480" s="20" t="s">
        <v>1144</v>
      </c>
      <c r="C480" s="3" t="s">
        <v>66</v>
      </c>
      <c r="D480" s="4">
        <v>46321</v>
      </c>
      <c r="E480" s="4" t="s">
        <v>650</v>
      </c>
      <c r="F480" s="4" t="s">
        <v>67</v>
      </c>
      <c r="G480" s="15" t="s">
        <v>1145</v>
      </c>
      <c r="H480" s="3"/>
      <c r="I480" s="3" t="s">
        <v>1146</v>
      </c>
      <c r="J480" s="6">
        <v>50</v>
      </c>
      <c r="K480" s="6"/>
      <c r="L480" s="6">
        <f t="shared" si="426"/>
        <v>50</v>
      </c>
      <c r="M480" s="6"/>
      <c r="N480" s="6"/>
      <c r="O480" s="6">
        <f t="shared" si="427"/>
        <v>57.5</v>
      </c>
      <c r="P480" s="3" t="s">
        <v>927</v>
      </c>
    </row>
    <row r="481" spans="1:17" ht="19.5" hidden="1" customHeight="1">
      <c r="A481" s="3">
        <f>SUBTOTAL(103,$B$2:B481)-1</f>
        <v>3</v>
      </c>
      <c r="B481" s="20" t="s">
        <v>1147</v>
      </c>
      <c r="C481" s="3" t="s">
        <v>66</v>
      </c>
      <c r="D481" s="4">
        <v>46321</v>
      </c>
      <c r="E481" s="4" t="s">
        <v>530</v>
      </c>
      <c r="F481" s="4" t="s">
        <v>531</v>
      </c>
      <c r="G481" s="8" t="s">
        <v>1148</v>
      </c>
      <c r="H481" s="3"/>
      <c r="I481" s="3"/>
      <c r="J481" s="6">
        <v>19</v>
      </c>
      <c r="K481" s="6"/>
      <c r="L481" s="6">
        <f t="shared" si="426"/>
        <v>19</v>
      </c>
      <c r="M481" s="6"/>
      <c r="N481" s="6"/>
      <c r="O481" s="6">
        <f t="shared" si="427"/>
        <v>21.85</v>
      </c>
      <c r="P481" s="3" t="s">
        <v>927</v>
      </c>
    </row>
    <row r="482" spans="1:17" ht="19.5" hidden="1" customHeight="1">
      <c r="A482" s="3">
        <f>SUBTOTAL(103,$B$2:B482)-1</f>
        <v>3</v>
      </c>
      <c r="B482" s="20" t="s">
        <v>1149</v>
      </c>
      <c r="C482" s="3" t="s">
        <v>66</v>
      </c>
      <c r="D482" s="4">
        <v>46321</v>
      </c>
      <c r="E482" s="4" t="s">
        <v>355</v>
      </c>
      <c r="F482" s="4" t="s">
        <v>356</v>
      </c>
      <c r="G482" s="8" t="s">
        <v>305</v>
      </c>
      <c r="H482" s="3"/>
      <c r="I482" s="3"/>
      <c r="J482" s="12">
        <v>15</v>
      </c>
      <c r="K482" s="12"/>
      <c r="L482" s="12">
        <f t="shared" si="426"/>
        <v>15</v>
      </c>
      <c r="M482" s="12"/>
      <c r="N482" s="12"/>
      <c r="O482" s="12">
        <f t="shared" ref="O482" si="428">L482+(L482*15%)+M482</f>
        <v>17.25</v>
      </c>
      <c r="P482" s="3" t="s">
        <v>927</v>
      </c>
    </row>
    <row r="483" spans="1:17" ht="19.5" hidden="1" customHeight="1">
      <c r="A483" s="3">
        <f>SUBTOTAL(103,$B$2:B483)-1</f>
        <v>3</v>
      </c>
      <c r="B483" s="20" t="s">
        <v>1150</v>
      </c>
      <c r="C483" s="3" t="s">
        <v>40</v>
      </c>
      <c r="D483" s="4">
        <v>46321</v>
      </c>
      <c r="E483" s="4" t="s">
        <v>203</v>
      </c>
      <c r="F483" s="4" t="s">
        <v>204</v>
      </c>
      <c r="G483" s="8" t="s">
        <v>1124</v>
      </c>
      <c r="H483" s="3"/>
      <c r="I483" s="3"/>
      <c r="J483" s="6">
        <v>24000</v>
      </c>
      <c r="K483" s="6"/>
      <c r="L483" s="6">
        <f t="shared" si="426"/>
        <v>24000</v>
      </c>
      <c r="M483" s="6"/>
      <c r="N483" s="6"/>
      <c r="O483" s="6">
        <f t="shared" ref="O483:O492" si="429">L483+(L483*15%)</f>
        <v>27600</v>
      </c>
      <c r="P483" s="3" t="s">
        <v>927</v>
      </c>
      <c r="Q483" s="18"/>
    </row>
    <row r="484" spans="1:17" ht="25.5" hidden="1" customHeight="1">
      <c r="A484" s="3">
        <f>SUBTOTAL(103,$B$2:B484)-1</f>
        <v>3</v>
      </c>
      <c r="B484" s="20" t="s">
        <v>1151</v>
      </c>
      <c r="C484" s="3" t="s">
        <v>40</v>
      </c>
      <c r="D484" s="4">
        <v>46321</v>
      </c>
      <c r="E484" s="4" t="s">
        <v>1152</v>
      </c>
      <c r="F484" s="4" t="s">
        <v>1153</v>
      </c>
      <c r="G484" s="8" t="s">
        <v>1154</v>
      </c>
      <c r="H484" s="3"/>
      <c r="I484" s="3"/>
      <c r="J484" s="6">
        <v>84142</v>
      </c>
      <c r="K484" s="6"/>
      <c r="L484" s="6">
        <f t="shared" si="426"/>
        <v>84142</v>
      </c>
      <c r="M484" s="6"/>
      <c r="N484" s="6"/>
      <c r="O484" s="6">
        <f t="shared" si="429"/>
        <v>96763.3</v>
      </c>
      <c r="P484" s="3" t="s">
        <v>927</v>
      </c>
      <c r="Q484" s="18"/>
    </row>
    <row r="485" spans="1:17" ht="19.5" hidden="1" customHeight="1">
      <c r="A485" s="3">
        <f>SUBTOTAL(103,$B$2:B485)-1</f>
        <v>3</v>
      </c>
      <c r="B485" s="20" t="s">
        <v>1155</v>
      </c>
      <c r="C485" s="3" t="s">
        <v>66</v>
      </c>
      <c r="D485" s="4">
        <v>46321</v>
      </c>
      <c r="E485" s="4" t="s">
        <v>979</v>
      </c>
      <c r="F485" s="4" t="s">
        <v>977</v>
      </c>
      <c r="G485" s="15" t="s">
        <v>980</v>
      </c>
      <c r="H485" s="3"/>
      <c r="I485" s="3"/>
      <c r="J485" s="6">
        <v>37290</v>
      </c>
      <c r="K485" s="6"/>
      <c r="L485" s="6">
        <f t="shared" si="426"/>
        <v>37290</v>
      </c>
      <c r="M485" s="6"/>
      <c r="N485" s="6"/>
      <c r="O485" s="6">
        <f t="shared" si="429"/>
        <v>42883.5</v>
      </c>
      <c r="P485" s="3" t="s">
        <v>927</v>
      </c>
    </row>
    <row r="486" spans="1:17" ht="19.5" hidden="1" customHeight="1">
      <c r="A486" s="3">
        <f>SUBTOTAL(103,$B$2:B486)-1</f>
        <v>3</v>
      </c>
      <c r="B486" s="20" t="s">
        <v>1156</v>
      </c>
      <c r="C486" s="3" t="s">
        <v>185</v>
      </c>
      <c r="D486" s="4">
        <v>46321</v>
      </c>
      <c r="E486" s="4" t="s">
        <v>93</v>
      </c>
      <c r="F486" s="4" t="s">
        <v>90</v>
      </c>
      <c r="G486" s="8" t="s">
        <v>72</v>
      </c>
      <c r="H486" s="3"/>
      <c r="I486" s="3"/>
      <c r="J486" s="6">
        <v>5294</v>
      </c>
      <c r="K486" s="6"/>
      <c r="L486" s="6">
        <f t="shared" ref="L486:L499" si="430">SUM(J486:K486)</f>
        <v>5294</v>
      </c>
      <c r="M486" s="6"/>
      <c r="N486" s="6"/>
      <c r="O486" s="6">
        <f t="shared" si="429"/>
        <v>6088.1</v>
      </c>
      <c r="P486" s="3" t="s">
        <v>927</v>
      </c>
      <c r="Q486" s="18"/>
    </row>
    <row r="487" spans="1:17" ht="19.5" hidden="1" customHeight="1">
      <c r="A487" s="3">
        <f>SUBTOTAL(103,$B$2:B487)-1</f>
        <v>3</v>
      </c>
      <c r="B487" s="20" t="s">
        <v>1157</v>
      </c>
      <c r="C487" s="3" t="s">
        <v>35</v>
      </c>
      <c r="D487" s="4">
        <v>46321</v>
      </c>
      <c r="E487" s="4" t="s">
        <v>399</v>
      </c>
      <c r="F487" s="4" t="s">
        <v>18</v>
      </c>
      <c r="G487" s="15" t="s">
        <v>134</v>
      </c>
      <c r="H487" s="3" t="s">
        <v>20</v>
      </c>
      <c r="I487" s="3" t="s">
        <v>1158</v>
      </c>
      <c r="J487" s="6">
        <v>3500</v>
      </c>
      <c r="K487" s="6">
        <v>1000</v>
      </c>
      <c r="L487" s="6">
        <f t="shared" si="430"/>
        <v>4500</v>
      </c>
      <c r="M487" s="6"/>
      <c r="N487" s="6"/>
      <c r="O487" s="6">
        <f t="shared" si="429"/>
        <v>5175</v>
      </c>
      <c r="P487" s="3" t="s">
        <v>927</v>
      </c>
    </row>
    <row r="488" spans="1:17" ht="19.5" hidden="1" customHeight="1">
      <c r="A488" s="3">
        <f>SUBTOTAL(103,$B$2:B488)-1</f>
        <v>3</v>
      </c>
      <c r="B488" s="44" t="s">
        <v>1159</v>
      </c>
      <c r="C488" s="3" t="s">
        <v>872</v>
      </c>
      <c r="D488" s="4">
        <v>46321</v>
      </c>
      <c r="E488" s="4" t="s">
        <v>163</v>
      </c>
      <c r="F488" s="4" t="s">
        <v>164</v>
      </c>
      <c r="G488" s="15" t="s">
        <v>841</v>
      </c>
      <c r="H488" s="3"/>
      <c r="I488" s="3" t="s">
        <v>1160</v>
      </c>
      <c r="J488" s="6">
        <v>7000</v>
      </c>
      <c r="K488" s="6"/>
      <c r="L488" s="6">
        <f t="shared" si="430"/>
        <v>7000</v>
      </c>
      <c r="M488" s="6"/>
      <c r="N488" s="6"/>
      <c r="O488" s="6">
        <f t="shared" si="429"/>
        <v>8050</v>
      </c>
      <c r="P488" s="3" t="s">
        <v>1179</v>
      </c>
    </row>
    <row r="489" spans="1:17" ht="19.5" hidden="1" customHeight="1">
      <c r="A489" s="3">
        <f>SUBTOTAL(103,$B$2:B489)-1</f>
        <v>3</v>
      </c>
      <c r="B489" s="23" t="s">
        <v>1161</v>
      </c>
      <c r="C489" s="3" t="s">
        <v>35</v>
      </c>
      <c r="D489" s="4">
        <v>46321</v>
      </c>
      <c r="E489" s="4" t="s">
        <v>24</v>
      </c>
      <c r="F489" s="4" t="s">
        <v>25</v>
      </c>
      <c r="G489" s="15" t="s">
        <v>180</v>
      </c>
      <c r="H489" s="3"/>
      <c r="I489" s="3" t="s">
        <v>1162</v>
      </c>
      <c r="J489" s="6">
        <v>106000</v>
      </c>
      <c r="K489" s="6">
        <v>5000</v>
      </c>
      <c r="L489" s="6">
        <f t="shared" si="430"/>
        <v>111000</v>
      </c>
      <c r="M489" s="6"/>
      <c r="N489" s="6"/>
      <c r="O489" s="6">
        <f t="shared" si="429"/>
        <v>127650</v>
      </c>
      <c r="P489" s="3" t="s">
        <v>1185</v>
      </c>
    </row>
    <row r="490" spans="1:17" ht="19.5" hidden="1" customHeight="1">
      <c r="A490" s="3">
        <f>SUBTOTAL(103,$B$2:B490)-1</f>
        <v>3</v>
      </c>
      <c r="B490" s="44" t="s">
        <v>1163</v>
      </c>
      <c r="C490" s="3" t="s">
        <v>66</v>
      </c>
      <c r="D490" s="4">
        <v>46321</v>
      </c>
      <c r="E490" s="4" t="s">
        <v>50</v>
      </c>
      <c r="F490" s="4" t="s">
        <v>51</v>
      </c>
      <c r="G490" s="15" t="s">
        <v>1164</v>
      </c>
      <c r="H490" s="3"/>
      <c r="I490" s="3"/>
      <c r="J490" s="6">
        <v>0</v>
      </c>
      <c r="K490" s="6"/>
      <c r="L490" s="6">
        <f t="shared" si="430"/>
        <v>0</v>
      </c>
      <c r="M490" s="6"/>
      <c r="N490" s="6"/>
      <c r="O490" s="6">
        <f t="shared" si="429"/>
        <v>0</v>
      </c>
      <c r="P490" s="3" t="s">
        <v>1179</v>
      </c>
    </row>
    <row r="491" spans="1:17" ht="19.5" hidden="1" customHeight="1">
      <c r="A491" s="3">
        <f>SUBTOTAL(103,$B$2:B491)-1</f>
        <v>3</v>
      </c>
      <c r="B491" s="44" t="s">
        <v>1165</v>
      </c>
      <c r="C491" s="3" t="s">
        <v>66</v>
      </c>
      <c r="D491" s="4">
        <v>46321</v>
      </c>
      <c r="E491" s="4" t="s">
        <v>719</v>
      </c>
      <c r="F491" s="4" t="s">
        <v>721</v>
      </c>
      <c r="G491" s="15" t="s">
        <v>1166</v>
      </c>
      <c r="H491" s="3"/>
      <c r="I491" s="3" t="s">
        <v>1181</v>
      </c>
      <c r="J491" s="6">
        <v>0</v>
      </c>
      <c r="K491" s="6"/>
      <c r="L491" s="6">
        <f t="shared" si="430"/>
        <v>0</v>
      </c>
      <c r="M491" s="6"/>
      <c r="N491" s="6"/>
      <c r="O491" s="6">
        <f t="shared" si="429"/>
        <v>0</v>
      </c>
      <c r="P491" s="3" t="s">
        <v>1179</v>
      </c>
      <c r="Q491" s="18"/>
    </row>
    <row r="492" spans="1:17" ht="19.5" hidden="1" customHeight="1">
      <c r="A492" s="3">
        <f>SUBTOTAL(103,$B$2:B492)-1</f>
        <v>3</v>
      </c>
      <c r="B492" s="44" t="s">
        <v>1167</v>
      </c>
      <c r="C492" s="3" t="s">
        <v>66</v>
      </c>
      <c r="D492" s="4">
        <v>46321</v>
      </c>
      <c r="E492" s="4" t="s">
        <v>784</v>
      </c>
      <c r="F492" s="4" t="s">
        <v>785</v>
      </c>
      <c r="G492" s="15" t="s">
        <v>1168</v>
      </c>
      <c r="H492" s="3"/>
      <c r="I492" s="3" t="s">
        <v>1180</v>
      </c>
      <c r="J492" s="6">
        <v>0</v>
      </c>
      <c r="K492" s="6"/>
      <c r="L492" s="6">
        <f t="shared" si="430"/>
        <v>0</v>
      </c>
      <c r="M492" s="6"/>
      <c r="N492" s="6"/>
      <c r="O492" s="6">
        <f t="shared" si="429"/>
        <v>0</v>
      </c>
      <c r="P492" s="3" t="s">
        <v>1179</v>
      </c>
      <c r="Q492" s="18"/>
    </row>
    <row r="493" spans="1:17" ht="19.5" hidden="1" customHeight="1">
      <c r="A493" s="3">
        <f>SUBTOTAL(103,$B$2:B493)-1</f>
        <v>3</v>
      </c>
      <c r="B493" s="44" t="s">
        <v>1169</v>
      </c>
      <c r="C493" s="3" t="s">
        <v>66</v>
      </c>
      <c r="D493" s="4">
        <v>46321</v>
      </c>
      <c r="E493" s="4" t="s">
        <v>1170</v>
      </c>
      <c r="F493" s="4" t="s">
        <v>1171</v>
      </c>
      <c r="G493" s="8" t="s">
        <v>68</v>
      </c>
      <c r="H493" s="3"/>
      <c r="I493" s="3"/>
      <c r="J493" s="12">
        <v>35</v>
      </c>
      <c r="K493" s="12"/>
      <c r="L493" s="12">
        <f t="shared" si="430"/>
        <v>35</v>
      </c>
      <c r="M493" s="12"/>
      <c r="N493" s="12"/>
      <c r="O493" s="12">
        <f t="shared" ref="O493" si="431">L493+(L493*15%)+M493</f>
        <v>40.25</v>
      </c>
      <c r="P493" s="3" t="s">
        <v>1179</v>
      </c>
    </row>
    <row r="494" spans="1:17" ht="19.5" hidden="1" customHeight="1">
      <c r="A494" s="3">
        <f>SUBTOTAL(103,$B$2:B494)-1</f>
        <v>3</v>
      </c>
      <c r="B494" s="44" t="s">
        <v>1177</v>
      </c>
      <c r="C494" s="3" t="s">
        <v>66</v>
      </c>
      <c r="D494" s="4">
        <v>46321</v>
      </c>
      <c r="E494" s="4" t="s">
        <v>873</v>
      </c>
      <c r="F494" s="4" t="s">
        <v>1040</v>
      </c>
      <c r="G494" s="15" t="s">
        <v>1195</v>
      </c>
      <c r="H494" s="3"/>
      <c r="I494" s="3" t="s">
        <v>1196</v>
      </c>
      <c r="J494" s="6">
        <v>0</v>
      </c>
      <c r="K494" s="6"/>
      <c r="L494" s="6">
        <f t="shared" si="430"/>
        <v>0</v>
      </c>
      <c r="M494" s="6"/>
      <c r="N494" s="6"/>
      <c r="O494" s="6">
        <f t="shared" ref="O494:O499" si="432">L494+(L494*15%)</f>
        <v>0</v>
      </c>
      <c r="P494" s="3" t="s">
        <v>1179</v>
      </c>
      <c r="Q494" s="18"/>
    </row>
    <row r="495" spans="1:17" ht="19.5" hidden="1" customHeight="1">
      <c r="A495" s="3">
        <f>SUBTOTAL(103,$B$2:B495)-1</f>
        <v>3</v>
      </c>
      <c r="B495" s="23" t="s">
        <v>1178</v>
      </c>
      <c r="C495" s="3" t="s">
        <v>35</v>
      </c>
      <c r="D495" s="4">
        <v>46321</v>
      </c>
      <c r="E495" s="4" t="s">
        <v>217</v>
      </c>
      <c r="F495" s="4" t="s">
        <v>219</v>
      </c>
      <c r="G495" s="8" t="s">
        <v>64</v>
      </c>
      <c r="H495" s="3"/>
      <c r="I495" s="3"/>
      <c r="J495" s="6">
        <v>11000</v>
      </c>
      <c r="K495" s="6"/>
      <c r="L495" s="6">
        <f t="shared" si="430"/>
        <v>11000</v>
      </c>
      <c r="M495" s="6"/>
      <c r="N495" s="6"/>
      <c r="O495" s="6">
        <f t="shared" si="432"/>
        <v>12650</v>
      </c>
      <c r="P495" s="3" t="s">
        <v>1179</v>
      </c>
      <c r="Q495" s="40" t="s">
        <v>1191</v>
      </c>
    </row>
    <row r="496" spans="1:17" ht="19.5" hidden="1" customHeight="1">
      <c r="A496" s="3">
        <f>SUBTOTAL(103,$B$2:B496)-1</f>
        <v>3</v>
      </c>
      <c r="B496" s="20" t="s">
        <v>1184</v>
      </c>
      <c r="C496" s="3" t="s">
        <v>66</v>
      </c>
      <c r="D496" s="4">
        <v>46321</v>
      </c>
      <c r="E496" s="4" t="s">
        <v>1192</v>
      </c>
      <c r="F496" s="4" t="s">
        <v>1015</v>
      </c>
      <c r="G496" s="15" t="s">
        <v>1193</v>
      </c>
      <c r="H496" s="3"/>
      <c r="I496" s="3" t="s">
        <v>1194</v>
      </c>
      <c r="J496" s="6"/>
      <c r="K496" s="6"/>
      <c r="L496" s="6">
        <f t="shared" si="430"/>
        <v>0</v>
      </c>
      <c r="M496" s="6"/>
      <c r="N496" s="6"/>
      <c r="O496" s="6">
        <f t="shared" si="432"/>
        <v>0</v>
      </c>
      <c r="P496" s="3"/>
    </row>
    <row r="497" spans="1:17" ht="19.5" hidden="1" customHeight="1">
      <c r="A497" s="3">
        <f>SUBTOTAL(103,$B$2:B497)-1</f>
        <v>3</v>
      </c>
      <c r="B497" s="20" t="s">
        <v>1186</v>
      </c>
      <c r="C497" s="3" t="s">
        <v>40</v>
      </c>
      <c r="D497" s="4">
        <v>46321</v>
      </c>
      <c r="E497" s="4" t="s">
        <v>1187</v>
      </c>
      <c r="F497" s="4" t="s">
        <v>1188</v>
      </c>
      <c r="G497" s="8" t="s">
        <v>1189</v>
      </c>
      <c r="H497" s="3"/>
      <c r="I497" s="3" t="s">
        <v>1190</v>
      </c>
      <c r="J497" s="6">
        <v>66000</v>
      </c>
      <c r="K497" s="6"/>
      <c r="L497" s="6">
        <f t="shared" si="430"/>
        <v>66000</v>
      </c>
      <c r="M497" s="6"/>
      <c r="N497" s="6"/>
      <c r="O497" s="6">
        <f t="shared" si="432"/>
        <v>75900</v>
      </c>
      <c r="P497" s="3" t="s">
        <v>927</v>
      </c>
      <c r="Q497" s="18"/>
    </row>
    <row r="498" spans="1:17" ht="19.5" hidden="1" customHeight="1">
      <c r="A498" s="3">
        <f>SUBTOTAL(103,$B$2:B498)-1</f>
        <v>3</v>
      </c>
      <c r="B498" s="34" t="s">
        <v>1197</v>
      </c>
      <c r="C498" s="3" t="s">
        <v>40</v>
      </c>
      <c r="D498" s="4">
        <v>46321</v>
      </c>
      <c r="E498" s="4" t="s">
        <v>916</v>
      </c>
      <c r="F498" s="4" t="s">
        <v>960</v>
      </c>
      <c r="G498" s="15" t="s">
        <v>64</v>
      </c>
      <c r="H498" s="3"/>
      <c r="I498" s="3"/>
      <c r="J498" s="6">
        <v>11000</v>
      </c>
      <c r="K498" s="6"/>
      <c r="L498" s="6">
        <f t="shared" si="430"/>
        <v>11000</v>
      </c>
      <c r="M498" s="6"/>
      <c r="N498" s="6"/>
      <c r="O498" s="6">
        <f t="shared" si="432"/>
        <v>12650</v>
      </c>
      <c r="P498" s="3" t="s">
        <v>927</v>
      </c>
      <c r="Q498" s="18" t="s">
        <v>1035</v>
      </c>
    </row>
    <row r="499" spans="1:17" ht="19.5" hidden="1" customHeight="1">
      <c r="A499" s="3">
        <f>SUBTOTAL(103,$B$2:B499)-1</f>
        <v>3</v>
      </c>
      <c r="B499" s="20" t="s">
        <v>1198</v>
      </c>
      <c r="C499" s="3" t="s">
        <v>35</v>
      </c>
      <c r="D499" s="4">
        <v>46321</v>
      </c>
      <c r="E499" s="4" t="s">
        <v>213</v>
      </c>
      <c r="F499" s="4" t="s">
        <v>214</v>
      </c>
      <c r="G499" s="8" t="s">
        <v>26</v>
      </c>
      <c r="H499" s="3" t="s">
        <v>20</v>
      </c>
      <c r="I499" s="3" t="s">
        <v>702</v>
      </c>
      <c r="J499" s="6">
        <v>34000</v>
      </c>
      <c r="K499" s="6"/>
      <c r="L499" s="6">
        <f t="shared" si="430"/>
        <v>34000</v>
      </c>
      <c r="M499" s="6"/>
      <c r="N499" s="6"/>
      <c r="O499" s="6">
        <f t="shared" si="432"/>
        <v>39100</v>
      </c>
      <c r="P499" s="3"/>
    </row>
  </sheetData>
  <autoFilter ref="A2:P499" xr:uid="{00000000-0001-0000-0000-000000000000}">
    <filterColumn colId="4">
      <filters>
        <filter val="Fortune Arabia Trading Company"/>
      </filters>
    </filterColumn>
  </autoFilter>
  <mergeCells count="1">
    <mergeCell ref="A1:P1"/>
  </mergeCells>
  <phoneticPr fontId="7" type="noConversion"/>
  <printOptions horizontalCentered="1" headings="1"/>
  <pageMargins left="0.1" right="0.1" top="0.3" bottom="0.1" header="0.3" footer="0.1"/>
  <pageSetup paperSize="9" scale="80" fitToHeight="0" orientation="landscape" r:id="rId1"/>
  <ignoredErrors>
    <ignoredError sqref="O120 O20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F89F3-7557-4C20-9EF0-0FB2EC7248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shadab khan</cp:lastModifiedBy>
  <cp:lastPrinted>2026-09-19T13:08:03Z</cp:lastPrinted>
  <dcterms:created xsi:type="dcterms:W3CDTF">2023-08-06T05:23:57Z</dcterms:created>
  <dcterms:modified xsi:type="dcterms:W3CDTF">2026-10-24T06:45:28Z</dcterms:modified>
</cp:coreProperties>
</file>