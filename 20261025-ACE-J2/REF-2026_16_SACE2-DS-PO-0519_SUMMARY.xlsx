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hadab\po\20261025-ACE-J2\"/>
    </mc:Choice>
  </mc:AlternateContent>
  <xr:revisionPtr revIDLastSave="0" documentId="13_ncr:1_{BA34B93E-417B-4FD8-A08B-7BCED27EC2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소모품_1차'!$A$1:$V$91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2" i="1" l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S7" i="1" l="1"/>
  <c r="O7" i="1"/>
  <c r="U25" i="1" l="1"/>
  <c r="U13" i="1"/>
  <c r="U22" i="1"/>
  <c r="U10" i="1"/>
  <c r="U21" i="1"/>
  <c r="U9" i="1"/>
  <c r="U26" i="1"/>
  <c r="U24" i="1"/>
  <c r="Q7" i="1"/>
  <c r="U8" i="1"/>
  <c r="U31" i="1"/>
  <c r="U19" i="1"/>
  <c r="U7" i="1"/>
  <c r="U30" i="1"/>
  <c r="U18" i="1"/>
  <c r="U29" i="1"/>
  <c r="U17" i="1"/>
  <c r="U28" i="1"/>
  <c r="U16" i="1"/>
  <c r="U27" i="1"/>
  <c r="U15" i="1"/>
  <c r="U14" i="1"/>
  <c r="U12" i="1"/>
  <c r="U23" i="1"/>
  <c r="U11" i="1"/>
  <c r="U20" i="1"/>
  <c r="M76" i="1"/>
  <c r="B91" i="1"/>
  <c r="G75" i="1"/>
  <c r="S6" i="1" l="1"/>
  <c r="O6" i="1" l="1"/>
  <c r="K6" i="1" l="1"/>
  <c r="R75" i="1" l="1"/>
  <c r="N75" i="1"/>
  <c r="J75" i="1"/>
  <c r="C82" i="1" s="1"/>
  <c r="O76" i="1" l="1"/>
  <c r="O77" i="1" s="1"/>
  <c r="C84" i="1"/>
  <c r="C83" i="1"/>
  <c r="K76" i="1" l="1"/>
  <c r="K77" i="1" s="1"/>
  <c r="Q6" i="1"/>
  <c r="U6" i="1" l="1"/>
  <c r="S76" i="1"/>
  <c r="S77" i="1" s="1"/>
  <c r="O78" i="1"/>
  <c r="J83" i="1" l="1"/>
  <c r="S78" i="1"/>
  <c r="J84" i="1" l="1"/>
  <c r="N83" i="1"/>
  <c r="R83" i="1" l="1"/>
  <c r="N84" i="1"/>
  <c r="R84" i="1"/>
  <c r="K78" i="1" l="1"/>
  <c r="Q76" i="1"/>
  <c r="U76" i="1"/>
  <c r="E82" i="1" l="1"/>
  <c r="U78" i="1"/>
  <c r="Q78" i="1"/>
  <c r="J82" i="1"/>
  <c r="L83" i="1" l="1"/>
  <c r="L84" i="1"/>
  <c r="R82" i="1"/>
  <c r="N82" i="1"/>
  <c r="T83" i="1"/>
  <c r="P84" i="1"/>
  <c r="T84" i="1"/>
  <c r="P83" i="1"/>
  <c r="Q82" i="1" l="1"/>
  <c r="P82" i="1"/>
  <c r="U82" i="1"/>
  <c r="T82" i="1"/>
  <c r="G76" i="1"/>
  <c r="G77" i="1" s="1"/>
  <c r="G78" i="1" l="1"/>
  <c r="I78" i="1" s="1"/>
</calcChain>
</file>

<file path=xl/sharedStrings.xml><?xml version="1.0" encoding="utf-8"?>
<sst xmlns="http://schemas.openxmlformats.org/spreadsheetml/2006/main" count="502" uniqueCount="187">
  <si>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</si>
  <si>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</si>
  <si>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</si>
  <si>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</si>
  <si>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</si>
  <si>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</si>
  <si>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</si>
  <si>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</si>
  <si>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</si>
  <si>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</si>
  <si>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</si>
  <si>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</si>
  <si>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</si>
  <si>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</si>
  <si>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</si>
  <si>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</si>
  <si>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</si>
  <si>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</si>
  <si>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</si>
  <si>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</si>
  <si>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</si>
  <si>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</si>
  <si>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</si>
  <si>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</si>
  <si>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</si>
  <si>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</si>
  <si>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</si>
  <si>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</si>
  <si>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</si>
  <si>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</si>
  <si>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</si>
  <si>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</si>
  <si>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</si>
  <si>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</si>
  <si>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</si>
  <si>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</si>
  <si>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</si>
  <si>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</si>
  <si>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</si>
  <si>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</si>
  <si>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</si>
  <si>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</si>
  <si>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</si>
  <si>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</si>
  <si>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</si>
  <si>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</si>
  <si>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</si>
  <si>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</si>
  <si>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</si>
  <si>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</si>
  <si>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</si>
  <si>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</si>
  <si>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</si>
  <si>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</si>
  <si>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</si>
  <si>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</si>
  <si>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■ Bid Price (Unit Price) Review &amp; Compression Sheet</t>
  </si>
  <si>
    <t>Previous Price</t>
  </si>
  <si>
    <t>EA</t>
  </si>
  <si>
    <t>ACE JUBAIL (ABDULLAH AL BUAINAIN GEN CONT. EST)</t>
  </si>
  <si>
    <t xml:space="preserve">HOUSE OF TRADES COMPANY </t>
  </si>
  <si>
    <t>GULF RESOURCE TRADING CO. L.L.C.</t>
  </si>
  <si>
    <t xml:space="preserve">ALUMINUM TAG PLATE </t>
  </si>
  <si>
    <t xml:space="preserve">ARC WELDING GLOVES </t>
  </si>
  <si>
    <t xml:space="preserve">FIRE EXTINGUISHER, REFILLING </t>
  </si>
  <si>
    <t>BROOM+HANDLE</t>
  </si>
  <si>
    <t xml:space="preserve">PAINT MARKER </t>
  </si>
  <si>
    <t>CARBIDE BURR CONICAL</t>
  </si>
  <si>
    <t xml:space="preserve">CARBIDE BURR FLAME </t>
  </si>
  <si>
    <t>CARBIDE BURR TAPPER</t>
  </si>
  <si>
    <t xml:space="preserve">PE. SAND BAG </t>
  </si>
  <si>
    <t xml:space="preserve">COTTON GLOVES </t>
  </si>
  <si>
    <t xml:space="preserve">COTTON RAG MIXER </t>
  </si>
  <si>
    <t xml:space="preserve">KNIFE BLADE </t>
  </si>
  <si>
    <t xml:space="preserve">COTTON RAG WHITE </t>
  </si>
  <si>
    <t>CUTTING DISC CS,</t>
  </si>
  <si>
    <t xml:space="preserve">DOOR HASP </t>
  </si>
  <si>
    <t>DOOR HINGE</t>
  </si>
  <si>
    <t xml:space="preserve">DOOR HINGE </t>
  </si>
  <si>
    <t>DUCT TAPE</t>
  </si>
  <si>
    <t>ENAMEL PAINT</t>
  </si>
  <si>
    <t xml:space="preserve">FACE SHIELD FRAME </t>
  </si>
  <si>
    <t>FACE SHIELD VISOR</t>
  </si>
  <si>
    <t>FLAP DISC CS,</t>
  </si>
  <si>
    <t>FLAP WHEEL</t>
  </si>
  <si>
    <t>HACK SAW BLADE</t>
  </si>
  <si>
    <t>HAND WIRE BRUSH</t>
  </si>
  <si>
    <t>LACQUER THINNER</t>
  </si>
  <si>
    <t xml:space="preserve">NYLON ROPE </t>
  </si>
  <si>
    <t>NYLON ROPE</t>
  </si>
  <si>
    <t xml:space="preserve">PADLOCK </t>
  </si>
  <si>
    <t>PAINT BRUSH</t>
  </si>
  <si>
    <t xml:space="preserve">PAINT BRUSH </t>
  </si>
  <si>
    <t>PAINT MAEKER</t>
  </si>
  <si>
    <t xml:space="preserve">PAINT REMOVER </t>
  </si>
  <si>
    <t>PVC COATED TIE WIRE</t>
  </si>
  <si>
    <t>SILICONE WHITE</t>
  </si>
  <si>
    <t>SPRAY PAINT</t>
  </si>
  <si>
    <t xml:space="preserve">TARPAULIN SHEET </t>
  </si>
  <si>
    <t xml:space="preserve">WALKI TALKI </t>
  </si>
  <si>
    <t>WELDING APRON</t>
  </si>
  <si>
    <t>WELDING GLASS</t>
  </si>
  <si>
    <t>WELDING ARM</t>
  </si>
  <si>
    <t>WELDING HELMET FITTING ACCESSORIES</t>
  </si>
  <si>
    <t>WELDING TIG GLOVES</t>
  </si>
  <si>
    <t>FIRE BLANKET</t>
  </si>
  <si>
    <t xml:space="preserve">TIG GLOVES  </t>
  </si>
  <si>
    <t>WIRE CUP BRUSH</t>
  </si>
  <si>
    <t xml:space="preserve">TIG GLOVES   </t>
  </si>
  <si>
    <t xml:space="preserve">WOOD NAIL </t>
  </si>
  <si>
    <t>WOOD NAIL</t>
  </si>
  <si>
    <t xml:space="preserve">FLAP WHEEL </t>
  </si>
  <si>
    <t xml:space="preserve">ENAMEL PAINT </t>
  </si>
  <si>
    <t xml:space="preserve">W20mm x L100mm, 5mm Hole </t>
  </si>
  <si>
    <t>16" RED</t>
  </si>
  <si>
    <t>4.5 KG , UL</t>
  </si>
  <si>
    <t xml:space="preserve"> 40CM,  GERMANY</t>
  </si>
  <si>
    <t xml:space="preserve"> BLACK</t>
  </si>
  <si>
    <t xml:space="preserve"> Ø12 X 25L</t>
  </si>
  <si>
    <t xml:space="preserve"> 50 KG</t>
  </si>
  <si>
    <t>35GM 10G</t>
  </si>
  <si>
    <t>10KG</t>
  </si>
  <si>
    <t xml:space="preserve"> SMALL</t>
  </si>
  <si>
    <t xml:space="preserve"> BIG</t>
  </si>
  <si>
    <t xml:space="preserve"> 4"x 3mm</t>
  </si>
  <si>
    <t>1.5" H/DUTY</t>
  </si>
  <si>
    <t>3" H/DUTY</t>
  </si>
  <si>
    <t xml:space="preserve"> 3.5" H/DUTY</t>
  </si>
  <si>
    <t>4" H/DUTY</t>
  </si>
  <si>
    <t xml:space="preserve"> 2" X 30YD KSA</t>
  </si>
  <si>
    <t>BLUE 3KG</t>
  </si>
  <si>
    <t>ORANGE 3KG</t>
  </si>
  <si>
    <t>15"</t>
  </si>
  <si>
    <t xml:space="preserve"> 15" </t>
  </si>
  <si>
    <t xml:space="preserve"> 4" X 80GT</t>
  </si>
  <si>
    <t xml:space="preserve"> CS, Ø40 X 20L</t>
  </si>
  <si>
    <t xml:space="preserve"> 12", CS</t>
  </si>
  <si>
    <t xml:space="preserve"> CS</t>
  </si>
  <si>
    <t xml:space="preserve"> SS</t>
  </si>
  <si>
    <t xml:space="preserve"> 5ltr, ITALY</t>
  </si>
  <si>
    <t>Ø2MM X 100YD</t>
  </si>
  <si>
    <t xml:space="preserve"> Ø4MM X 100YD</t>
  </si>
  <si>
    <t xml:space="preserve"> Ø8MM X 100YD</t>
  </si>
  <si>
    <t>Ø5MM X 100YD</t>
  </si>
  <si>
    <t xml:space="preserve"> Ø12MM X 100YD</t>
  </si>
  <si>
    <t xml:space="preserve"> Ø14MM X 100YD</t>
  </si>
  <si>
    <t>40MM H/DUTY</t>
  </si>
  <si>
    <t>60MM H/DUTY</t>
  </si>
  <si>
    <t xml:space="preserve"> 1" ITALY</t>
  </si>
  <si>
    <t>2" ITALY</t>
  </si>
  <si>
    <t>3" ITALY</t>
  </si>
  <si>
    <t>WHITE</t>
  </si>
  <si>
    <t xml:space="preserve">4LT, ITALY </t>
  </si>
  <si>
    <t>6KG</t>
  </si>
  <si>
    <t xml:space="preserve"> UAE</t>
  </si>
  <si>
    <t xml:space="preserve"> RED, UAE</t>
  </si>
  <si>
    <t xml:space="preserve"> YELLOW, UAE</t>
  </si>
  <si>
    <t>4 X 4YD</t>
  </si>
  <si>
    <t>BF-888S BAOFENG (2EA/SET)</t>
  </si>
  <si>
    <t xml:space="preserve"> LEATHER</t>
  </si>
  <si>
    <t>CLEAR</t>
  </si>
  <si>
    <t xml:space="preserve"> SLEEVE LEATHER</t>
  </si>
  <si>
    <t xml:space="preserve"> 10" SOFT</t>
  </si>
  <si>
    <t xml:space="preserve"> 1M x 50M x 0.43TK</t>
  </si>
  <si>
    <t xml:space="preserve"> 14" LONG</t>
  </si>
  <si>
    <t xml:space="preserve"> 10" , SOFT</t>
  </si>
  <si>
    <t xml:space="preserve"> CS, M10 X 3"</t>
  </si>
  <si>
    <t>14" , LONG</t>
  </si>
  <si>
    <t>1" X 16PK</t>
  </si>
  <si>
    <t xml:space="preserve"> 1.5" X 16PK</t>
  </si>
  <si>
    <t xml:space="preserve"> 2" X 16PK</t>
  </si>
  <si>
    <t>3" X 16PK</t>
  </si>
  <si>
    <t xml:space="preserve"> 4" X 16PK</t>
  </si>
  <si>
    <t>SS, Ø40 X 20L</t>
  </si>
  <si>
    <t>Ø3MM X 100YD</t>
  </si>
  <si>
    <t xml:space="preserve"> Ø6MM X 100YD</t>
  </si>
  <si>
    <t xml:space="preserve"> RED, 3KG</t>
  </si>
  <si>
    <t>YELLOW ,3KG</t>
  </si>
  <si>
    <t>PAIR</t>
  </si>
  <si>
    <t>SET</t>
  </si>
  <si>
    <t>BDL</t>
  </si>
  <si>
    <t>CAN</t>
  </si>
  <si>
    <t>GAL</t>
  </si>
  <si>
    <t>ROLL</t>
  </si>
  <si>
    <t>BOX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</si>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</sst>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5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3C0BB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2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</cellStyleXfs>
  <cellXfs count="417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3" fontId="30" fillId="0" borderId="0" xfId="0" applyNumberFormat="1" applyFont="1" applyAlignment="1">
      <alignment horizontal="left" vertical="center" wrapText="1"/>
    </xf>
    <xf numFmtId="3" fontId="36" fillId="0" borderId="0" xfId="0" applyNumberFormat="1" applyFont="1" applyAlignment="1">
      <alignment horizontal="left" vertical="center" wrapText="1"/>
    </xf>
    <xf numFmtId="0" fontId="34" fillId="0" borderId="27" xfId="0" quotePrefix="1" applyFont="1" applyBorder="1" applyAlignment="1">
      <alignment horizontal="center" vertical="center"/>
    </xf>
    <xf numFmtId="0" fontId="37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3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3" fillId="0" borderId="33" xfId="2" applyFont="1" applyFill="1" applyBorder="1" applyAlignment="1">
      <alignment horizontal="center" vertical="center"/>
    </xf>
    <xf numFmtId="9" fontId="33" fillId="0" borderId="43" xfId="2" applyFont="1" applyFill="1" applyBorder="1" applyAlignment="1">
      <alignment vertical="center"/>
    </xf>
    <xf numFmtId="3" fontId="38" fillId="0" borderId="44" xfId="0" quotePrefix="1" applyNumberFormat="1" applyFont="1" applyBorder="1" applyAlignment="1">
      <alignment vertical="center" wrapText="1"/>
    </xf>
    <xf numFmtId="0" fontId="33" fillId="0" borderId="45" xfId="0" quotePrefix="1" applyFont="1" applyBorder="1" applyAlignment="1">
      <alignment horizontal="center" vertical="center"/>
    </xf>
    <xf numFmtId="166" fontId="40" fillId="0" borderId="49" xfId="3" applyNumberFormat="1" applyFont="1" applyBorder="1">
      <alignment vertical="center"/>
    </xf>
    <xf numFmtId="167" fontId="40" fillId="0" borderId="50" xfId="3" applyNumberFormat="1" applyFont="1" applyBorder="1">
      <alignment vertical="center"/>
    </xf>
    <xf numFmtId="167" fontId="40" fillId="0" borderId="51" xfId="3" applyNumberFormat="1" applyFont="1" applyBorder="1">
      <alignment vertical="center"/>
    </xf>
    <xf numFmtId="9" fontId="40" fillId="0" borderId="52" xfId="2" applyFont="1" applyFill="1" applyBorder="1" applyAlignment="1">
      <alignment vertical="center"/>
    </xf>
    <xf numFmtId="166" fontId="40" fillId="0" borderId="53" xfId="3" applyNumberFormat="1" applyFont="1" applyBorder="1">
      <alignment vertical="center"/>
    </xf>
    <xf numFmtId="9" fontId="40" fillId="0" borderId="48" xfId="2" applyFont="1" applyFill="1" applyBorder="1" applyAlignment="1">
      <alignment vertical="center"/>
    </xf>
    <xf numFmtId="3" fontId="38" fillId="0" borderId="54" xfId="0" quotePrefix="1" applyNumberFormat="1" applyFont="1" applyBorder="1" applyAlignment="1">
      <alignment vertical="center" wrapText="1"/>
    </xf>
    <xf numFmtId="166" fontId="37" fillId="0" borderId="58" xfId="1" applyNumberFormat="1" applyFont="1" applyFill="1" applyBorder="1" applyAlignment="1">
      <alignment horizontal="right" vertical="center"/>
    </xf>
    <xf numFmtId="40" fontId="37" fillId="0" borderId="59" xfId="1" applyNumberFormat="1" applyFont="1" applyFill="1" applyBorder="1" applyAlignment="1">
      <alignment horizontal="right" vertical="center"/>
    </xf>
    <xf numFmtId="40" fontId="37" fillId="0" borderId="60" xfId="1" applyNumberFormat="1" applyFont="1" applyFill="1" applyBorder="1" applyAlignment="1">
      <alignment horizontal="right" vertical="center"/>
    </xf>
    <xf numFmtId="9" fontId="37" fillId="0" borderId="57" xfId="2" applyFont="1" applyFill="1" applyBorder="1" applyAlignment="1">
      <alignment horizontal="center" vertical="center"/>
    </xf>
    <xf numFmtId="40" fontId="37" fillId="0" borderId="58" xfId="1" applyNumberFormat="1" applyFont="1" applyFill="1" applyBorder="1" applyAlignment="1">
      <alignment horizontal="right" vertical="center"/>
    </xf>
    <xf numFmtId="9" fontId="37" fillId="0" borderId="56" xfId="2" applyFont="1" applyFill="1" applyBorder="1" applyAlignment="1">
      <alignment horizontal="center" vertical="center"/>
    </xf>
    <xf numFmtId="165" fontId="37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1" fillId="4" borderId="0" xfId="0" quotePrefix="1" applyFont="1" applyFill="1" applyAlignment="1">
      <alignment horizontal="center" vertical="center"/>
    </xf>
    <xf numFmtId="0" fontId="34" fillId="4" borderId="0" xfId="0" quotePrefix="1" applyFont="1" applyFill="1" applyAlignment="1">
      <alignment horizontal="left" vertical="center" wrapText="1"/>
    </xf>
    <xf numFmtId="40" fontId="41" fillId="0" borderId="0" xfId="1" applyNumberFormat="1" applyFont="1" applyFill="1" applyBorder="1" applyAlignment="1">
      <alignment horizontal="center" vertical="center" wrapText="1" shrinkToFit="1"/>
    </xf>
    <xf numFmtId="40" fontId="42" fillId="0" borderId="0" xfId="1" applyNumberFormat="1" applyFont="1" applyFill="1" applyBorder="1" applyAlignment="1">
      <alignment horizontal="center" vertical="center" shrinkToFit="1"/>
    </xf>
    <xf numFmtId="169" fontId="42" fillId="4" borderId="0" xfId="2" applyNumberFormat="1" applyFont="1" applyFill="1" applyBorder="1" applyAlignment="1">
      <alignment vertical="center" shrinkToFit="1"/>
    </xf>
    <xf numFmtId="164" fontId="41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3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 applyAlignment="1">
      <alignment horizontal="center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3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3" fillId="0" borderId="91" xfId="0" applyFont="1" applyBorder="1" applyAlignment="1">
      <alignment horizontal="left" vertical="center"/>
    </xf>
    <xf numFmtId="0" fontId="44" fillId="0" borderId="92" xfId="0" applyFont="1" applyBorder="1" applyAlignment="1">
      <alignment horizontal="left" vertical="center"/>
    </xf>
    <xf numFmtId="0" fontId="44" fillId="0" borderId="92" xfId="0" applyFont="1" applyBorder="1" applyAlignment="1">
      <alignment horizontal="center" vertical="center"/>
    </xf>
    <xf numFmtId="0" fontId="44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25" xfId="0" applyFont="1" applyBorder="1" applyAlignment="1">
      <alignment horizontal="center" vertical="center"/>
    </xf>
    <xf numFmtId="2" fontId="1" fillId="0" borderId="82" xfId="0" applyNumberFormat="1" applyFont="1" applyBorder="1" applyAlignment="1">
      <alignment horizontal="center" vertical="center"/>
    </xf>
    <xf numFmtId="166" fontId="44" fillId="0" borderId="82" xfId="3" applyNumberFormat="1" applyFont="1" applyBorder="1">
      <alignment vertical="center"/>
    </xf>
    <xf numFmtId="166" fontId="44" fillId="0" borderId="25" xfId="3" applyNumberFormat="1" applyFont="1" applyBorder="1">
      <alignment vertical="center"/>
    </xf>
    <xf numFmtId="167" fontId="44" fillId="0" borderId="25" xfId="3" applyNumberFormat="1" applyFont="1" applyBorder="1">
      <alignment vertical="center"/>
    </xf>
    <xf numFmtId="0" fontId="1" fillId="0" borderId="81" xfId="0" applyFont="1" applyBorder="1" applyAlignment="1">
      <alignment horizontal="left" vertical="center"/>
    </xf>
    <xf numFmtId="0" fontId="44" fillId="0" borderId="25" xfId="4" applyFont="1" applyBorder="1" applyAlignment="1">
      <alignment vertical="center" wrapText="1"/>
    </xf>
    <xf numFmtId="9" fontId="44" fillId="0" borderId="25" xfId="2" applyFont="1" applyFill="1" applyBorder="1" applyAlignment="1">
      <alignment vertical="center"/>
    </xf>
    <xf numFmtId="168" fontId="31" fillId="0" borderId="39" xfId="3" applyNumberFormat="1" applyFont="1" applyBorder="1" applyAlignment="1">
      <alignment horizontal="right" vertical="center"/>
    </xf>
    <xf numFmtId="168" fontId="40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7" fillId="0" borderId="58" xfId="2" applyFont="1" applyFill="1" applyBorder="1" applyAlignment="1">
      <alignment horizontal="right" vertical="center"/>
    </xf>
    <xf numFmtId="9" fontId="1" fillId="0" borderId="82" xfId="0" applyNumberFormat="1" applyFont="1" applyBorder="1" applyAlignment="1">
      <alignment horizontal="center" vertical="center"/>
    </xf>
    <xf numFmtId="3" fontId="35" fillId="0" borderId="105" xfId="0" quotePrefix="1" applyNumberFormat="1" applyFont="1" applyBorder="1" applyAlignment="1">
      <alignment vertical="center" wrapText="1"/>
    </xf>
    <xf numFmtId="0" fontId="34" fillId="0" borderId="106" xfId="0" quotePrefix="1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 wrapText="1"/>
    </xf>
    <xf numFmtId="167" fontId="44" fillId="0" borderId="81" xfId="3" applyNumberFormat="1" applyFont="1" applyBorder="1" applyAlignment="1">
      <alignment horizontal="center" vertical="center" wrapText="1"/>
    </xf>
    <xf numFmtId="167" fontId="44" fillId="0" borderId="25" xfId="3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40" fontId="37" fillId="0" borderId="95" xfId="1" applyNumberFormat="1" applyFont="1" applyFill="1" applyBorder="1" applyAlignment="1">
      <alignment horizontal="center" vertical="center"/>
    </xf>
    <xf numFmtId="40" fontId="37" fillId="0" borderId="96" xfId="1" applyNumberFormat="1" applyFont="1" applyFill="1" applyBorder="1" applyAlignment="1">
      <alignment horizontal="center" vertical="center"/>
    </xf>
    <xf numFmtId="2" fontId="34" fillId="4" borderId="79" xfId="0" applyNumberFormat="1" applyFont="1" applyFill="1" applyBorder="1" applyAlignment="1">
      <alignment horizontal="center" vertical="center" wrapText="1"/>
    </xf>
    <xf numFmtId="2" fontId="34" fillId="4" borderId="97" xfId="0" applyNumberFormat="1" applyFont="1" applyFill="1" applyBorder="1" applyAlignment="1">
      <alignment horizontal="center" vertical="center" wrapText="1"/>
    </xf>
    <xf numFmtId="2" fontId="40" fillId="0" borderId="46" xfId="3" applyNumberFormat="1" applyFont="1" applyBorder="1" applyAlignment="1">
      <alignment horizontal="center" vertical="center"/>
    </xf>
    <xf numFmtId="2" fontId="40" fillId="0" borderId="49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9" fillId="0" borderId="46" xfId="0" applyFont="1" applyBorder="1" applyAlignment="1">
      <alignment horizontal="right" vertical="center"/>
    </xf>
    <xf numFmtId="0" fontId="39" fillId="0" borderId="47" xfId="0" applyFont="1" applyBorder="1" applyAlignment="1">
      <alignment horizontal="right" vertical="center"/>
    </xf>
    <xf numFmtId="0" fontId="39" fillId="0" borderId="48" xfId="0" applyFont="1" applyBorder="1" applyAlignment="1">
      <alignment horizontal="right" vertical="center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  <xf numFmtId="169" fontId="43" fillId="0" borderId="51" xfId="1" applyNumberFormat="1" applyFont="1" applyFill="1" applyBorder="1" applyAlignment="1">
      <alignment horizontal="center" vertical="center" shrinkToFit="1"/>
    </xf>
    <xf numFmtId="169" fontId="43" fillId="0" borderId="48" xfId="1" applyNumberFormat="1" applyFont="1" applyFill="1" applyBorder="1" applyAlignment="1">
      <alignment horizontal="center" vertical="center" shrinkToFit="1"/>
    </xf>
    <xf numFmtId="40" fontId="43" fillId="0" borderId="46" xfId="1" applyNumberFormat="1" applyFont="1" applyFill="1" applyBorder="1" applyAlignment="1">
      <alignment horizontal="center" vertical="center" shrinkToFit="1"/>
    </xf>
    <xf numFmtId="40" fontId="43" fillId="0" borderId="49" xfId="1" applyNumberFormat="1" applyFont="1" applyFill="1" applyBorder="1" applyAlignment="1">
      <alignment horizontal="center" vertical="center" shrinkToFi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0" fontId="28" fillId="4" borderId="80" xfId="0" quotePrefix="1" applyFont="1" applyFill="1" applyBorder="1" applyAlignment="1">
      <alignment horizontal="left" vertical="center" wrapText="1"/>
    </xf>
    <xf numFmtId="40" fontId="43" fillId="0" borderId="79" xfId="1" applyNumberFormat="1" applyFont="1" applyFill="1" applyBorder="1" applyAlignment="1">
      <alignment horizontal="center" vertical="center" shrinkToFit="1"/>
    </xf>
    <xf numFmtId="40" fontId="43" fillId="0" borderId="83" xfId="1" applyNumberFormat="1" applyFont="1" applyFill="1" applyBorder="1" applyAlignment="1">
      <alignment horizontal="center" vertical="center" shrinkToFit="1"/>
    </xf>
    <xf numFmtId="169" fontId="43" fillId="4" borderId="84" xfId="2" applyNumberFormat="1" applyFont="1" applyFill="1" applyBorder="1" applyAlignment="1">
      <alignment horizontal="center" vertical="center" shrinkToFit="1"/>
    </xf>
    <xf numFmtId="169" fontId="43" fillId="4" borderId="80" xfId="2" applyNumberFormat="1" applyFont="1" applyFill="1" applyBorder="1" applyAlignment="1">
      <alignment horizontal="center" vertical="center" shrinkToFi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0" fontId="28" fillId="4" borderId="48" xfId="0" quotePrefix="1" applyFont="1" applyFill="1" applyBorder="1" applyAlignment="1">
      <alignment horizontal="left" vertical="center" wrapTex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8" fillId="4" borderId="72" xfId="0" quotePrefix="1" applyFont="1" applyFill="1" applyBorder="1" applyAlignment="1">
      <alignment horizontal="left" vertical="center" wrapText="1"/>
    </xf>
    <xf numFmtId="40" fontId="43" fillId="0" borderId="71" xfId="1" applyNumberFormat="1" applyFont="1" applyFill="1" applyBorder="1" applyAlignment="1">
      <alignment horizontal="center" vertical="center" shrinkToFit="1"/>
    </xf>
    <xf numFmtId="40" fontId="43" fillId="0" borderId="75" xfId="1" applyNumberFormat="1" applyFont="1" applyFill="1" applyBorder="1" applyAlignment="1">
      <alignment horizontal="center" vertical="center" shrinkToFit="1"/>
    </xf>
    <xf numFmtId="169" fontId="43" fillId="4" borderId="76" xfId="2" applyNumberFormat="1" applyFont="1" applyFill="1" applyBorder="1" applyAlignment="1">
      <alignment horizontal="center" vertical="center" shrinkToFit="1"/>
    </xf>
    <xf numFmtId="169" fontId="43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4" fontId="24" fillId="2" borderId="10" xfId="1" applyFont="1" applyFill="1" applyBorder="1" applyAlignment="1">
      <alignment horizontal="center" vertical="center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/>
    </xf>
    <xf numFmtId="166" fontId="31" fillId="0" borderId="10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24" fillId="2" borderId="107" xfId="0" applyFont="1" applyFill="1" applyBorder="1" applyAlignment="1">
      <alignment horizontal="center" vertical="center"/>
    </xf>
    <xf numFmtId="0" fontId="24" fillId="2" borderId="108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4" fillId="2" borderId="109" xfId="0" applyFont="1" applyFill="1" applyBorder="1" applyAlignment="1">
      <alignment horizontal="center" vertical="center"/>
    </xf>
    <xf numFmtId="164" fontId="27" fillId="3" borderId="110" xfId="1" applyFont="1" applyFill="1" applyBorder="1" applyAlignment="1">
      <alignment horizontal="center" vertical="center"/>
    </xf>
    <xf numFmtId="9" fontId="27" fillId="3" borderId="111" xfId="1" applyNumberFormat="1" applyFont="1" applyFill="1" applyBorder="1" applyAlignment="1">
      <alignment horizontal="center" vertical="center"/>
    </xf>
    <xf numFmtId="40" fontId="27" fillId="3" borderId="112" xfId="1" applyNumberFormat="1" applyFont="1" applyFill="1" applyBorder="1" applyAlignment="1">
      <alignment horizontal="center" vertical="center"/>
    </xf>
    <xf numFmtId="40" fontId="27" fillId="3" borderId="113" xfId="1" applyNumberFormat="1" applyFont="1" applyFill="1" applyBorder="1" applyAlignment="1">
      <alignment horizontal="center" vertical="center" wrapText="1"/>
    </xf>
    <xf numFmtId="9" fontId="27" fillId="3" borderId="111" xfId="1" applyNumberFormat="1" applyFont="1" applyFill="1" applyBorder="1" applyAlignment="1">
      <alignment horizontal="center" vertical="center" wrapText="1"/>
    </xf>
    <xf numFmtId="164" fontId="24" fillId="2" borderId="26" xfId="1" applyFont="1" applyFill="1" applyBorder="1" applyAlignment="1">
      <alignment horizontal="center" vertical="center"/>
    </xf>
    <xf numFmtId="0" fontId="26" fillId="2" borderId="114" xfId="0" quotePrefix="1" applyFont="1" applyFill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0" fontId="1" fillId="0" borderId="114" xfId="0" applyFont="1" applyBorder="1" applyAlignment="1">
      <alignment horizontal="left" vertical="center" wrapText="1"/>
    </xf>
    <xf numFmtId="0" fontId="1" fillId="0" borderId="114" xfId="0" applyFont="1" applyBorder="1" applyAlignment="1">
      <alignment horizontal="center" vertical="center"/>
    </xf>
    <xf numFmtId="2" fontId="1" fillId="0" borderId="116" xfId="0" applyNumberFormat="1" applyFont="1" applyBorder="1" applyAlignment="1">
      <alignment horizontal="center" vertical="center"/>
    </xf>
    <xf numFmtId="9" fontId="1" fillId="0" borderId="116" xfId="0" applyNumberFormat="1" applyFont="1" applyBorder="1" applyAlignment="1">
      <alignment horizontal="center" vertical="center"/>
    </xf>
    <xf numFmtId="166" fontId="44" fillId="0" borderId="116" xfId="3" applyNumberFormat="1" applyFont="1" applyBorder="1">
      <alignment vertical="center"/>
    </xf>
    <xf numFmtId="166" fontId="44" fillId="0" borderId="114" xfId="3" applyNumberFormat="1" applyFont="1" applyBorder="1">
      <alignment vertical="center"/>
    </xf>
    <xf numFmtId="9" fontId="44" fillId="0" borderId="114" xfId="2" applyFont="1" applyFill="1" applyBorder="1" applyAlignment="1">
      <alignment vertical="center"/>
    </xf>
    <xf numFmtId="167" fontId="44" fillId="0" borderId="114" xfId="3" applyNumberFormat="1" applyFont="1" applyBorder="1">
      <alignment vertical="center"/>
    </xf>
    <xf numFmtId="3" fontId="29" fillId="0" borderId="114" xfId="0" quotePrefix="1" applyNumberFormat="1" applyFont="1" applyBorder="1" applyAlignment="1">
      <alignment horizontal="center" vertical="center" wrapText="1"/>
    </xf>
    <xf numFmtId="0" fontId="26" fillId="2" borderId="25" xfId="0" quotePrefix="1" applyFont="1" applyFill="1" applyBorder="1" applyAlignment="1">
      <alignment horizontal="center" vertical="center"/>
    </xf>
    <xf numFmtId="3" fontId="29" fillId="0" borderId="25" xfId="0" quotePrefix="1" applyNumberFormat="1" applyFont="1" applyBorder="1" applyAlignment="1">
      <alignment horizontal="center" vertical="center" wrapText="1"/>
    </xf>
    <xf numFmtId="3" fontId="29" fillId="0" borderId="82" xfId="0" quotePrefix="1" applyNumberFormat="1" applyFont="1" applyBorder="1" applyAlignment="1">
      <alignment horizontal="center" vertical="center" wrapText="1"/>
    </xf>
    <xf numFmtId="0" fontId="26" fillId="2" borderId="117" xfId="0" quotePrefix="1" applyFont="1" applyFill="1" applyBorder="1" applyAlignment="1">
      <alignment horizontal="center" vertical="center"/>
    </xf>
    <xf numFmtId="0" fontId="1" fillId="0" borderId="118" xfId="0" applyFont="1" applyBorder="1" applyAlignment="1">
      <alignment horizontal="left" vertical="center" wrapText="1"/>
    </xf>
    <xf numFmtId="0" fontId="1" fillId="0" borderId="117" xfId="0" applyFont="1" applyBorder="1" applyAlignment="1">
      <alignment horizontal="left" vertical="center" wrapText="1"/>
    </xf>
    <xf numFmtId="0" fontId="1" fillId="0" borderId="117" xfId="0" applyFont="1" applyBorder="1" applyAlignment="1">
      <alignment horizontal="center" vertical="center"/>
    </xf>
    <xf numFmtId="2" fontId="1" fillId="0" borderId="119" xfId="0" applyNumberFormat="1" applyFont="1" applyBorder="1" applyAlignment="1">
      <alignment horizontal="center" vertical="center"/>
    </xf>
    <xf numFmtId="9" fontId="1" fillId="0" borderId="119" xfId="0" applyNumberFormat="1" applyFont="1" applyBorder="1" applyAlignment="1">
      <alignment horizontal="center" vertical="center"/>
    </xf>
    <xf numFmtId="166" fontId="44" fillId="0" borderId="119" xfId="3" applyNumberFormat="1" applyFont="1" applyBorder="1">
      <alignment vertical="center"/>
    </xf>
    <xf numFmtId="166" fontId="44" fillId="0" borderId="117" xfId="3" applyNumberFormat="1" applyFont="1" applyBorder="1">
      <alignment vertical="center"/>
    </xf>
    <xf numFmtId="9" fontId="44" fillId="0" borderId="117" xfId="2" applyFont="1" applyFill="1" applyBorder="1" applyAlignment="1">
      <alignment vertical="center"/>
    </xf>
    <xf numFmtId="168" fontId="44" fillId="0" borderId="117" xfId="3" applyNumberFormat="1" applyFont="1" applyBorder="1">
      <alignment vertical="center"/>
    </xf>
    <xf numFmtId="167" fontId="44" fillId="0" borderId="117" xfId="3" applyNumberFormat="1" applyFont="1" applyBorder="1">
      <alignment vertical="center"/>
    </xf>
    <xf numFmtId="3" fontId="32" fillId="0" borderId="117" xfId="0" quotePrefix="1" applyNumberFormat="1" applyFont="1" applyBorder="1" applyAlignment="1">
      <alignment horizontal="center" vertical="center" wrapText="1"/>
    </xf>
    <xf numFmtId="0" fontId="1" fillId="0" borderId="118" xfId="0" applyFont="1" applyBorder="1" applyAlignment="1">
      <alignment horizontal="left" vertical="center"/>
    </xf>
    <xf numFmtId="9" fontId="1" fillId="0" borderId="117" xfId="0" applyNumberFormat="1" applyFont="1" applyBorder="1" applyAlignment="1">
      <alignment horizontal="center" vertical="center"/>
    </xf>
    <xf numFmtId="167" fontId="44" fillId="0" borderId="114" xfId="3" applyNumberFormat="1" applyFont="1" applyBorder="1" applyAlignment="1">
      <alignment horizontal="center" vertical="center" wrapText="1"/>
    </xf>
    <xf numFmtId="167" fontId="44" fillId="0" borderId="117" xfId="3" applyNumberFormat="1" applyFont="1" applyBorder="1" applyAlignment="1">
      <alignment horizontal="center" vertical="center" wrapText="1"/>
    </xf>
    <xf numFmtId="167" fontId="44" fillId="0" borderId="118" xfId="3" applyNumberFormat="1" applyFont="1" applyBorder="1" applyAlignment="1">
      <alignment horizontal="center" vertical="center" wrapText="1"/>
    </xf>
    <xf numFmtId="3" fontId="29" fillId="0" borderId="117" xfId="0" quotePrefix="1" applyNumberFormat="1" applyFont="1" applyBorder="1" applyAlignment="1">
      <alignment horizontal="center" vertical="center" wrapText="1"/>
    </xf>
  </cellXfs>
  <cellStyles count="5">
    <cellStyle name="Comma [0]" xfId="1" builtinId="6"/>
    <cellStyle name="Normal" xfId="0" builtinId="0"/>
    <cellStyle name="Percent" xfId="2" builtinId="5"/>
    <cellStyle name="표준 3" xfId="3" xr:uid="{00000000-0005-0000-0000-000003000000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239" t="s">
        <v>37</v>
      </c>
      <c r="R1" s="239"/>
      <c r="S1" s="239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293" t="s">
        <v>2</v>
      </c>
      <c r="C4" s="295" t="s">
        <v>3</v>
      </c>
      <c r="D4" s="297" t="s">
        <v>4</v>
      </c>
      <c r="E4" s="299" t="s">
        <v>5</v>
      </c>
      <c r="F4" s="301" t="s">
        <v>6</v>
      </c>
      <c r="G4" s="278" t="s">
        <v>7</v>
      </c>
      <c r="H4" s="279"/>
      <c r="I4" s="279"/>
      <c r="J4" s="280"/>
      <c r="K4" s="278" t="s">
        <v>8</v>
      </c>
      <c r="L4" s="279"/>
      <c r="M4" s="279"/>
      <c r="N4" s="280"/>
      <c r="O4" s="278" t="s">
        <v>9</v>
      </c>
      <c r="P4" s="279"/>
      <c r="Q4" s="279"/>
      <c r="R4" s="280"/>
      <c r="S4" s="281" t="s">
        <v>10</v>
      </c>
      <c r="T4" s="17"/>
    </row>
    <row r="5" spans="1:24" ht="33.75" customHeight="1" thickBot="1">
      <c r="B5" s="294"/>
      <c r="C5" s="296"/>
      <c r="D5" s="298"/>
      <c r="E5" s="300"/>
      <c r="F5" s="302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282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283"/>
      <c r="J6" s="29"/>
      <c r="K6" s="30"/>
      <c r="L6" s="28"/>
      <c r="M6" s="283"/>
      <c r="N6" s="29"/>
      <c r="O6" s="27"/>
      <c r="P6" s="28"/>
      <c r="Q6" s="283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284"/>
      <c r="J7" s="39"/>
      <c r="K7" s="40"/>
      <c r="L7" s="38"/>
      <c r="M7" s="284"/>
      <c r="N7" s="39"/>
      <c r="O7" s="37"/>
      <c r="P7" s="38"/>
      <c r="Q7" s="284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285"/>
      <c r="J8" s="48"/>
      <c r="K8" s="49"/>
      <c r="L8" s="47"/>
      <c r="M8" s="285"/>
      <c r="N8" s="48"/>
      <c r="O8" s="46"/>
      <c r="P8" s="47"/>
      <c r="Q8" s="285"/>
      <c r="R8" s="48"/>
      <c r="S8" s="50"/>
      <c r="T8" s="32"/>
    </row>
    <row r="9" spans="1:24" s="7" customFormat="1" ht="30" customHeight="1">
      <c r="A9" s="8"/>
      <c r="B9" s="51"/>
      <c r="C9" s="286" t="s">
        <v>21</v>
      </c>
      <c r="D9" s="287"/>
      <c r="E9" s="287"/>
      <c r="F9" s="287"/>
      <c r="G9" s="288"/>
      <c r="H9" s="289"/>
      <c r="I9" s="289"/>
      <c r="J9" s="290"/>
      <c r="K9" s="288"/>
      <c r="L9" s="289"/>
      <c r="M9" s="289"/>
      <c r="N9" s="290"/>
      <c r="O9" s="288"/>
      <c r="P9" s="289"/>
      <c r="Q9" s="289"/>
      <c r="R9" s="290"/>
      <c r="S9" s="52"/>
      <c r="T9" s="32"/>
    </row>
    <row r="10" spans="1:24" s="7" customFormat="1" ht="30" customHeight="1">
      <c r="A10" s="8"/>
      <c r="B10" s="53"/>
      <c r="C10" s="54"/>
      <c r="D10" s="291" t="s">
        <v>22</v>
      </c>
      <c r="E10" s="291"/>
      <c r="F10" s="292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275" t="s">
        <v>23</v>
      </c>
      <c r="D11" s="276"/>
      <c r="E11" s="276"/>
      <c r="F11" s="277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268" t="s">
        <v>24</v>
      </c>
      <c r="C12" s="269"/>
      <c r="D12" s="269"/>
      <c r="E12" s="269"/>
      <c r="F12" s="270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273" t="s">
        <v>27</v>
      </c>
      <c r="D15" s="274"/>
      <c r="E15" s="271" t="s">
        <v>28</v>
      </c>
      <c r="F15" s="272"/>
      <c r="G15" s="252" t="s">
        <v>29</v>
      </c>
      <c r="H15" s="253"/>
      <c r="I15" s="254" t="s">
        <v>30</v>
      </c>
      <c r="J15" s="255"/>
      <c r="K15" s="252" t="s">
        <v>31</v>
      </c>
      <c r="L15" s="253"/>
      <c r="M15" s="254" t="s">
        <v>32</v>
      </c>
      <c r="N15" s="255"/>
      <c r="O15" s="252" t="s">
        <v>31</v>
      </c>
      <c r="P15" s="253"/>
      <c r="Q15" s="254" t="s">
        <v>32</v>
      </c>
      <c r="R15" s="255"/>
      <c r="S15" s="89" t="s">
        <v>33</v>
      </c>
      <c r="T15" s="90"/>
    </row>
    <row r="16" spans="1:24" s="79" customFormat="1" ht="25.15" customHeight="1" thickTop="1">
      <c r="B16" s="91"/>
      <c r="C16" s="256"/>
      <c r="D16" s="257"/>
      <c r="E16" s="258"/>
      <c r="F16" s="259"/>
      <c r="G16" s="264"/>
      <c r="H16" s="265"/>
      <c r="I16" s="266"/>
      <c r="J16" s="267"/>
      <c r="K16" s="264"/>
      <c r="L16" s="265"/>
      <c r="M16" s="266"/>
      <c r="N16" s="267"/>
      <c r="O16" s="264"/>
      <c r="P16" s="265"/>
      <c r="Q16" s="266"/>
      <c r="R16" s="267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248"/>
      <c r="D17" s="249"/>
      <c r="E17" s="260"/>
      <c r="F17" s="261"/>
      <c r="G17" s="250"/>
      <c r="H17" s="251"/>
      <c r="I17" s="240"/>
      <c r="J17" s="241"/>
      <c r="K17" s="250"/>
      <c r="L17" s="251"/>
      <c r="M17" s="240"/>
      <c r="N17" s="241"/>
      <c r="O17" s="250"/>
      <c r="P17" s="251"/>
      <c r="Q17" s="240"/>
      <c r="R17" s="241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242"/>
      <c r="D18" s="243"/>
      <c r="E18" s="262"/>
      <c r="F18" s="263"/>
      <c r="G18" s="244"/>
      <c r="H18" s="245"/>
      <c r="I18" s="246"/>
      <c r="J18" s="247"/>
      <c r="K18" s="244"/>
      <c r="L18" s="245"/>
      <c r="M18" s="246"/>
      <c r="N18" s="247"/>
      <c r="O18" s="244"/>
      <c r="P18" s="245"/>
      <c r="Q18" s="246"/>
      <c r="R18" s="247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B4:B5"/>
    <mergeCell ref="C4:C5"/>
    <mergeCell ref="D4:D5"/>
    <mergeCell ref="E4:E5"/>
    <mergeCell ref="F4:F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12:F12"/>
    <mergeCell ref="E15:F15"/>
    <mergeCell ref="G15:H15"/>
    <mergeCell ref="I15:J15"/>
    <mergeCell ref="K15:L15"/>
    <mergeCell ref="C15:D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A97"/>
  <sheetViews>
    <sheetView showGridLines="0" tabSelected="1" topLeftCell="E64" zoomScale="130" zoomScaleNormal="130" zoomScaleSheetLayoutView="110" workbookViewId="0">
      <selection activeCell="R75" sqref="R75:U75"/>
    </sheetView>
  </sheetViews>
  <sheetFormatPr defaultColWidth="9" defaultRowHeight="18" customHeight="1"/>
  <cols>
    <col min="1" max="1" width="3.140625" style="134" customWidth="1"/>
    <col min="2" max="2" width="5.140625" style="134" customWidth="1"/>
    <col min="3" max="3" width="25.85546875" style="139" customWidth="1"/>
    <col min="4" max="4" width="31.28515625" style="140" customWidth="1"/>
    <col min="5" max="5" width="8.7109375" style="134" customWidth="1"/>
    <col min="6" max="6" width="5.7109375" style="134" customWidth="1"/>
    <col min="7" max="7" width="9" style="134" customWidth="1"/>
    <col min="8" max="8" width="12.42578125" style="134" customWidth="1"/>
    <col min="9" max="9" width="8.140625" style="134" bestFit="1" customWidth="1"/>
    <col min="10" max="10" width="13.140625" style="134" customWidth="1"/>
    <col min="11" max="11" width="12.140625" style="134" customWidth="1"/>
    <col min="12" max="12" width="11.140625" style="134" customWidth="1"/>
    <col min="13" max="13" width="6.28515625" style="219" bestFit="1" customWidth="1"/>
    <col min="14" max="14" width="11.28515625" style="134" bestFit="1" customWidth="1"/>
    <col min="15" max="15" width="13.85546875" style="134" bestFit="1" customWidth="1"/>
    <col min="16" max="16" width="12.140625" style="134" customWidth="1"/>
    <col min="17" max="17" width="8.140625" style="219" customWidth="1"/>
    <col min="18" max="18" width="12.28515625" style="219" bestFit="1" customWidth="1"/>
    <col min="19" max="19" width="13.85546875" style="219" bestFit="1" customWidth="1"/>
    <col min="20" max="20" width="9.7109375" style="219" customWidth="1"/>
    <col min="21" max="21" width="8.85546875" style="219" bestFit="1" customWidth="1"/>
    <col min="22" max="22" width="14.28515625" style="134" customWidth="1"/>
    <col min="23" max="23" width="2" style="134" customWidth="1"/>
    <col min="24" max="27" width="9" style="133"/>
    <col min="28" max="16384" width="9" style="134"/>
  </cols>
  <sheetData>
    <row r="1" spans="1:23" ht="24.95" customHeight="1" thickBot="1">
      <c r="A1" s="127" t="s">
        <v>56</v>
      </c>
      <c r="B1" s="128"/>
      <c r="C1" s="129"/>
      <c r="D1" s="130"/>
      <c r="E1" s="128"/>
      <c r="F1" s="128"/>
      <c r="G1" s="128"/>
      <c r="H1" s="128"/>
      <c r="I1" s="128"/>
      <c r="J1" s="128"/>
      <c r="K1" s="128"/>
      <c r="L1" s="128"/>
      <c r="M1" s="131"/>
      <c r="N1" s="128"/>
      <c r="O1" s="128"/>
      <c r="P1" s="128"/>
      <c r="Q1" s="131"/>
      <c r="R1" s="131"/>
      <c r="S1" s="131"/>
      <c r="T1" s="131"/>
      <c r="U1" s="131"/>
      <c r="V1" s="220">
        <v>46321</v>
      </c>
      <c r="W1" s="132"/>
    </row>
    <row r="2" spans="1:23" ht="15" customHeight="1" thickTop="1">
      <c r="A2" s="135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8"/>
      <c r="N2" s="135"/>
      <c r="O2" s="135"/>
      <c r="P2" s="135"/>
      <c r="Q2" s="138"/>
      <c r="R2" s="138"/>
      <c r="S2" s="138"/>
      <c r="T2" s="138"/>
      <c r="U2" s="138"/>
      <c r="V2" s="135"/>
      <c r="W2" s="135"/>
    </row>
    <row r="3" spans="1:23" ht="18" customHeight="1" thickBot="1">
      <c r="A3" s="303" t="s">
        <v>43</v>
      </c>
      <c r="B3" s="303"/>
      <c r="C3" s="303"/>
      <c r="M3" s="141"/>
      <c r="Q3" s="141"/>
      <c r="R3" s="141"/>
      <c r="S3" s="141"/>
      <c r="T3" s="141"/>
      <c r="U3" s="141"/>
      <c r="V3" s="142" t="s">
        <v>1</v>
      </c>
      <c r="W3" s="142"/>
    </row>
    <row r="4" spans="1:23" ht="32.25" customHeight="1">
      <c r="B4" s="369" t="s">
        <v>2</v>
      </c>
      <c r="C4" s="370" t="s">
        <v>3</v>
      </c>
      <c r="D4" s="371" t="s">
        <v>4</v>
      </c>
      <c r="E4" s="372" t="s">
        <v>5</v>
      </c>
      <c r="F4" s="373" t="s">
        <v>41</v>
      </c>
      <c r="G4" s="313" t="s">
        <v>57</v>
      </c>
      <c r="H4" s="314"/>
      <c r="I4" s="315"/>
      <c r="J4" s="359" t="s">
        <v>59</v>
      </c>
      <c r="K4" s="360"/>
      <c r="L4" s="360"/>
      <c r="M4" s="361"/>
      <c r="N4" s="359" t="s">
        <v>61</v>
      </c>
      <c r="O4" s="360"/>
      <c r="P4" s="360"/>
      <c r="Q4" s="361"/>
      <c r="R4" s="359" t="s">
        <v>60</v>
      </c>
      <c r="S4" s="360"/>
      <c r="T4" s="360"/>
      <c r="U4" s="361"/>
      <c r="V4" s="358" t="s">
        <v>42</v>
      </c>
      <c r="W4" s="144"/>
    </row>
    <row r="5" spans="1:23" ht="27" customHeight="1">
      <c r="B5" s="374"/>
      <c r="C5" s="375"/>
      <c r="D5" s="376"/>
      <c r="E5" s="377"/>
      <c r="F5" s="378"/>
      <c r="G5" s="379" t="s">
        <v>39</v>
      </c>
      <c r="H5" s="379" t="s">
        <v>40</v>
      </c>
      <c r="I5" s="380" t="s">
        <v>14</v>
      </c>
      <c r="J5" s="379" t="s">
        <v>39</v>
      </c>
      <c r="K5" s="381" t="s">
        <v>40</v>
      </c>
      <c r="L5" s="382" t="s">
        <v>13</v>
      </c>
      <c r="M5" s="380" t="s">
        <v>14</v>
      </c>
      <c r="N5" s="379" t="s">
        <v>39</v>
      </c>
      <c r="O5" s="381" t="s">
        <v>40</v>
      </c>
      <c r="P5" s="382" t="s">
        <v>17</v>
      </c>
      <c r="Q5" s="383" t="s">
        <v>18</v>
      </c>
      <c r="R5" s="379" t="s">
        <v>39</v>
      </c>
      <c r="S5" s="381" t="s">
        <v>40</v>
      </c>
      <c r="T5" s="382" t="s">
        <v>19</v>
      </c>
      <c r="U5" s="383" t="s">
        <v>20</v>
      </c>
      <c r="V5" s="384"/>
      <c r="W5" s="144"/>
    </row>
    <row r="6" spans="1:23" s="145" customFormat="1" ht="20.100000000000001" customHeight="1">
      <c r="B6" s="385">
        <v>1</v>
      </c>
      <c r="C6" s="386" t="s">
        <v>62</v>
      </c>
      <c r="D6" s="387" t="s">
        <v>113</v>
      </c>
      <c r="E6" s="388" t="s">
        <v>58</v>
      </c>
      <c r="F6" s="388">
        <v>2000</v>
      </c>
      <c r="G6" s="389" t="s">
        <v>185</v>
      </c>
      <c r="H6" s="389" t="s">
        <v>185</v>
      </c>
      <c r="I6" s="390">
        <v>0</v>
      </c>
      <c r="J6" s="392">
        <v>1.5</v>
      </c>
      <c r="K6" s="392">
        <f>J6*F6</f>
        <v>3000</v>
      </c>
      <c r="L6" s="413"/>
      <c r="M6" s="393">
        <v>1</v>
      </c>
      <c r="N6" s="391">
        <v>1.55</v>
      </c>
      <c r="O6" s="394">
        <f>N6*F6</f>
        <v>3100</v>
      </c>
      <c r="P6" s="413"/>
      <c r="Q6" s="393">
        <f>O6/K6</f>
        <v>1.0333333333333334</v>
      </c>
      <c r="R6" s="391">
        <v>1.55</v>
      </c>
      <c r="S6" s="394">
        <f>R6*F6</f>
        <v>3100</v>
      </c>
      <c r="T6" s="413"/>
      <c r="U6" s="393">
        <f>S6/K6</f>
        <v>1.0333333333333334</v>
      </c>
      <c r="V6" s="395"/>
      <c r="W6" s="146"/>
    </row>
    <row r="7" spans="1:23" s="145" customFormat="1" ht="20.100000000000001" customHeight="1">
      <c r="B7" s="396">
        <v>2</v>
      </c>
      <c r="C7" s="226" t="s">
        <v>63</v>
      </c>
      <c r="D7" s="236" t="s">
        <v>114</v>
      </c>
      <c r="E7" s="221" t="s">
        <v>178</v>
      </c>
      <c r="F7" s="221">
        <v>924</v>
      </c>
      <c r="G7" s="222" t="s">
        <v>185</v>
      </c>
      <c r="H7" s="222" t="s">
        <v>185</v>
      </c>
      <c r="I7" s="233" t="s">
        <v>186</v>
      </c>
      <c r="J7" s="224">
        <v>8.5</v>
      </c>
      <c r="K7" s="224">
        <f t="shared" ref="K7:K70" si="0">J7*F7</f>
        <v>7854</v>
      </c>
      <c r="L7" s="237"/>
      <c r="M7" s="228">
        <v>1</v>
      </c>
      <c r="N7" s="223">
        <v>8.6</v>
      </c>
      <c r="O7" s="225">
        <f t="shared" ref="O7:O73" si="1">N7*F7</f>
        <v>7946.4</v>
      </c>
      <c r="P7" s="238"/>
      <c r="Q7" s="228">
        <f>O7/K7</f>
        <v>1.0117647058823529</v>
      </c>
      <c r="R7" s="223">
        <v>8.6</v>
      </c>
      <c r="S7" s="225">
        <f>R7*F7</f>
        <v>7946.4</v>
      </c>
      <c r="T7" s="238"/>
      <c r="U7" s="228">
        <f>S7/K7</f>
        <v>1.0117647058823529</v>
      </c>
      <c r="V7" s="397"/>
      <c r="W7" s="146"/>
    </row>
    <row r="8" spans="1:23" s="145" customFormat="1" ht="20.100000000000001" customHeight="1">
      <c r="B8" s="396">
        <v>3</v>
      </c>
      <c r="C8" s="226" t="s">
        <v>64</v>
      </c>
      <c r="D8" s="236" t="s">
        <v>115</v>
      </c>
      <c r="E8" s="221" t="s">
        <v>58</v>
      </c>
      <c r="F8" s="221">
        <v>77</v>
      </c>
      <c r="G8" s="222" t="s">
        <v>185</v>
      </c>
      <c r="H8" s="222" t="s">
        <v>185</v>
      </c>
      <c r="I8" s="233" t="s">
        <v>186</v>
      </c>
      <c r="J8" s="224">
        <v>40</v>
      </c>
      <c r="K8" s="224">
        <f t="shared" si="0"/>
        <v>3080</v>
      </c>
      <c r="L8" s="237"/>
      <c r="M8" s="228">
        <v>1</v>
      </c>
      <c r="N8" s="223">
        <v>41</v>
      </c>
      <c r="O8" s="225">
        <f t="shared" si="1"/>
        <v>3157</v>
      </c>
      <c r="P8" s="238"/>
      <c r="Q8" s="228">
        <f t="shared" ref="Q8:Q71" si="2">O8/K8</f>
        <v>1.0249999999999999</v>
      </c>
      <c r="R8" s="223">
        <v>41</v>
      </c>
      <c r="S8" s="225">
        <f t="shared" ref="S8:S71" si="3">R8*F8</f>
        <v>3157</v>
      </c>
      <c r="T8" s="238"/>
      <c r="U8" s="228">
        <f t="shared" ref="U8:U74" si="4">S8/K8</f>
        <v>1.0249999999999999</v>
      </c>
      <c r="V8" s="397"/>
      <c r="W8" s="146"/>
    </row>
    <row r="9" spans="1:23" s="145" customFormat="1" ht="20.100000000000001" customHeight="1">
      <c r="B9" s="396">
        <v>4</v>
      </c>
      <c r="C9" s="226" t="s">
        <v>65</v>
      </c>
      <c r="D9" s="236" t="s">
        <v>116</v>
      </c>
      <c r="E9" s="221" t="s">
        <v>179</v>
      </c>
      <c r="F9" s="221">
        <v>284</v>
      </c>
      <c r="G9" s="222" t="s">
        <v>185</v>
      </c>
      <c r="H9" s="222" t="s">
        <v>185</v>
      </c>
      <c r="I9" s="233" t="s">
        <v>186</v>
      </c>
      <c r="J9" s="224">
        <v>12</v>
      </c>
      <c r="K9" s="224">
        <f t="shared" si="0"/>
        <v>3408</v>
      </c>
      <c r="L9" s="237"/>
      <c r="M9" s="228">
        <v>1</v>
      </c>
      <c r="N9" s="223">
        <v>13</v>
      </c>
      <c r="O9" s="225">
        <f t="shared" si="1"/>
        <v>3692</v>
      </c>
      <c r="P9" s="238"/>
      <c r="Q9" s="228">
        <f t="shared" si="2"/>
        <v>1.0833333333333333</v>
      </c>
      <c r="R9" s="223">
        <v>13</v>
      </c>
      <c r="S9" s="225">
        <f t="shared" si="3"/>
        <v>3692</v>
      </c>
      <c r="T9" s="238"/>
      <c r="U9" s="228">
        <f t="shared" si="4"/>
        <v>1.0833333333333333</v>
      </c>
      <c r="V9" s="397"/>
      <c r="W9" s="146"/>
    </row>
    <row r="10" spans="1:23" s="145" customFormat="1" ht="20.100000000000001" customHeight="1">
      <c r="B10" s="396">
        <v>5</v>
      </c>
      <c r="C10" s="226" t="s">
        <v>66</v>
      </c>
      <c r="D10" s="236" t="s">
        <v>117</v>
      </c>
      <c r="E10" s="221" t="s">
        <v>58</v>
      </c>
      <c r="F10" s="221">
        <v>3340</v>
      </c>
      <c r="G10" s="222" t="s">
        <v>185</v>
      </c>
      <c r="H10" s="222" t="s">
        <v>185</v>
      </c>
      <c r="I10" s="233" t="s">
        <v>186</v>
      </c>
      <c r="J10" s="224">
        <v>3</v>
      </c>
      <c r="K10" s="224">
        <f t="shared" si="0"/>
        <v>10020</v>
      </c>
      <c r="L10" s="237"/>
      <c r="M10" s="228">
        <v>1</v>
      </c>
      <c r="N10" s="223">
        <v>3</v>
      </c>
      <c r="O10" s="225">
        <f t="shared" si="1"/>
        <v>10020</v>
      </c>
      <c r="P10" s="238"/>
      <c r="Q10" s="228">
        <f t="shared" si="2"/>
        <v>1</v>
      </c>
      <c r="R10" s="223">
        <v>3</v>
      </c>
      <c r="S10" s="225">
        <f t="shared" si="3"/>
        <v>10020</v>
      </c>
      <c r="T10" s="238"/>
      <c r="U10" s="228">
        <f t="shared" si="4"/>
        <v>1</v>
      </c>
      <c r="V10" s="397"/>
      <c r="W10" s="146"/>
    </row>
    <row r="11" spans="1:23" s="145" customFormat="1" ht="20.100000000000001" customHeight="1">
      <c r="B11" s="396">
        <v>6</v>
      </c>
      <c r="C11" s="226" t="s">
        <v>67</v>
      </c>
      <c r="D11" s="236" t="s">
        <v>118</v>
      </c>
      <c r="E11" s="221" t="s">
        <v>58</v>
      </c>
      <c r="F11" s="221">
        <v>50</v>
      </c>
      <c r="G11" s="222" t="s">
        <v>185</v>
      </c>
      <c r="H11" s="222" t="s">
        <v>185</v>
      </c>
      <c r="I11" s="233" t="s">
        <v>186</v>
      </c>
      <c r="J11" s="224">
        <v>45</v>
      </c>
      <c r="K11" s="224">
        <f t="shared" si="0"/>
        <v>2250</v>
      </c>
      <c r="L11" s="237"/>
      <c r="M11" s="228">
        <v>1</v>
      </c>
      <c r="N11" s="223">
        <v>45</v>
      </c>
      <c r="O11" s="225">
        <f t="shared" si="1"/>
        <v>2250</v>
      </c>
      <c r="P11" s="238"/>
      <c r="Q11" s="228">
        <f t="shared" si="2"/>
        <v>1</v>
      </c>
      <c r="R11" s="223">
        <v>45</v>
      </c>
      <c r="S11" s="225">
        <f t="shared" si="3"/>
        <v>2250</v>
      </c>
      <c r="T11" s="238"/>
      <c r="U11" s="228">
        <f t="shared" si="4"/>
        <v>1</v>
      </c>
      <c r="V11" s="397"/>
      <c r="W11" s="146"/>
    </row>
    <row r="12" spans="1:23" s="145" customFormat="1" ht="20.100000000000001" customHeight="1">
      <c r="B12" s="396">
        <v>7</v>
      </c>
      <c r="C12" s="226" t="s">
        <v>68</v>
      </c>
      <c r="D12" s="236" t="s">
        <v>118</v>
      </c>
      <c r="E12" s="221" t="s">
        <v>58</v>
      </c>
      <c r="F12" s="221">
        <v>130</v>
      </c>
      <c r="G12" s="222" t="s">
        <v>185</v>
      </c>
      <c r="H12" s="222" t="s">
        <v>185</v>
      </c>
      <c r="I12" s="233" t="s">
        <v>186</v>
      </c>
      <c r="J12" s="224">
        <v>45</v>
      </c>
      <c r="K12" s="224">
        <f t="shared" si="0"/>
        <v>5850</v>
      </c>
      <c r="L12" s="237"/>
      <c r="M12" s="228">
        <v>1</v>
      </c>
      <c r="N12" s="223">
        <v>45</v>
      </c>
      <c r="O12" s="225">
        <f t="shared" si="1"/>
        <v>5850</v>
      </c>
      <c r="P12" s="238"/>
      <c r="Q12" s="228">
        <f t="shared" si="2"/>
        <v>1</v>
      </c>
      <c r="R12" s="223">
        <v>45</v>
      </c>
      <c r="S12" s="225">
        <f t="shared" si="3"/>
        <v>5850</v>
      </c>
      <c r="T12" s="238"/>
      <c r="U12" s="228">
        <f t="shared" si="4"/>
        <v>1</v>
      </c>
      <c r="V12" s="397"/>
      <c r="W12" s="146"/>
    </row>
    <row r="13" spans="1:23" s="145" customFormat="1" ht="20.100000000000001" customHeight="1">
      <c r="B13" s="396">
        <v>8</v>
      </c>
      <c r="C13" s="226" t="s">
        <v>69</v>
      </c>
      <c r="D13" s="236" t="s">
        <v>118</v>
      </c>
      <c r="E13" s="221" t="s">
        <v>58</v>
      </c>
      <c r="F13" s="221">
        <v>80</v>
      </c>
      <c r="G13" s="222" t="s">
        <v>185</v>
      </c>
      <c r="H13" s="222" t="s">
        <v>185</v>
      </c>
      <c r="I13" s="233" t="s">
        <v>186</v>
      </c>
      <c r="J13" s="224">
        <v>45</v>
      </c>
      <c r="K13" s="224">
        <f t="shared" si="0"/>
        <v>3600</v>
      </c>
      <c r="L13" s="237"/>
      <c r="M13" s="228">
        <v>1</v>
      </c>
      <c r="N13" s="223">
        <v>45</v>
      </c>
      <c r="O13" s="225">
        <f t="shared" si="1"/>
        <v>3600</v>
      </c>
      <c r="P13" s="238"/>
      <c r="Q13" s="228">
        <f t="shared" si="2"/>
        <v>1</v>
      </c>
      <c r="R13" s="223">
        <v>45</v>
      </c>
      <c r="S13" s="225">
        <f t="shared" si="3"/>
        <v>3600</v>
      </c>
      <c r="T13" s="238"/>
      <c r="U13" s="228">
        <f t="shared" si="4"/>
        <v>1</v>
      </c>
      <c r="V13" s="397"/>
      <c r="W13" s="146"/>
    </row>
    <row r="14" spans="1:23" s="145" customFormat="1" ht="20.100000000000001" customHeight="1">
      <c r="B14" s="396">
        <v>9</v>
      </c>
      <c r="C14" s="226" t="s">
        <v>70</v>
      </c>
      <c r="D14" s="236" t="s">
        <v>119</v>
      </c>
      <c r="E14" s="221" t="s">
        <v>58</v>
      </c>
      <c r="F14" s="221">
        <v>500</v>
      </c>
      <c r="G14" s="222" t="s">
        <v>185</v>
      </c>
      <c r="H14" s="222" t="s">
        <v>185</v>
      </c>
      <c r="I14" s="233" t="s">
        <v>186</v>
      </c>
      <c r="J14" s="224">
        <v>3</v>
      </c>
      <c r="K14" s="224">
        <f t="shared" si="0"/>
        <v>1500</v>
      </c>
      <c r="L14" s="237"/>
      <c r="M14" s="228">
        <v>1</v>
      </c>
      <c r="N14" s="223">
        <v>3.25</v>
      </c>
      <c r="O14" s="225">
        <f t="shared" si="1"/>
        <v>1625</v>
      </c>
      <c r="P14" s="238"/>
      <c r="Q14" s="228">
        <f t="shared" si="2"/>
        <v>1.0833333333333333</v>
      </c>
      <c r="R14" s="223">
        <v>3.25</v>
      </c>
      <c r="S14" s="225">
        <f t="shared" si="3"/>
        <v>1625</v>
      </c>
      <c r="T14" s="238"/>
      <c r="U14" s="228">
        <f t="shared" si="4"/>
        <v>1.0833333333333333</v>
      </c>
      <c r="V14" s="397"/>
      <c r="W14" s="146"/>
    </row>
    <row r="15" spans="1:23" s="145" customFormat="1" ht="20.100000000000001" customHeight="1">
      <c r="B15" s="396">
        <v>10</v>
      </c>
      <c r="C15" s="226" t="s">
        <v>71</v>
      </c>
      <c r="D15" s="236" t="s">
        <v>120</v>
      </c>
      <c r="E15" s="221" t="s">
        <v>178</v>
      </c>
      <c r="F15" s="221">
        <v>5600</v>
      </c>
      <c r="G15" s="222" t="s">
        <v>185</v>
      </c>
      <c r="H15" s="222" t="s">
        <v>185</v>
      </c>
      <c r="I15" s="233" t="s">
        <v>186</v>
      </c>
      <c r="J15" s="224">
        <v>0.5</v>
      </c>
      <c r="K15" s="224">
        <f t="shared" si="0"/>
        <v>2800</v>
      </c>
      <c r="L15" s="237"/>
      <c r="M15" s="228">
        <v>1</v>
      </c>
      <c r="N15" s="223">
        <v>0.5</v>
      </c>
      <c r="O15" s="225">
        <f t="shared" si="1"/>
        <v>2800</v>
      </c>
      <c r="P15" s="238"/>
      <c r="Q15" s="228">
        <f t="shared" si="2"/>
        <v>1</v>
      </c>
      <c r="R15" s="223">
        <v>0.5</v>
      </c>
      <c r="S15" s="225">
        <f t="shared" si="3"/>
        <v>2800</v>
      </c>
      <c r="T15" s="238"/>
      <c r="U15" s="228">
        <f t="shared" si="4"/>
        <v>1</v>
      </c>
      <c r="V15" s="397"/>
      <c r="W15" s="146"/>
    </row>
    <row r="16" spans="1:23" s="145" customFormat="1" ht="20.100000000000001" customHeight="1">
      <c r="B16" s="396">
        <v>11</v>
      </c>
      <c r="C16" s="226" t="s">
        <v>72</v>
      </c>
      <c r="D16" s="236" t="s">
        <v>121</v>
      </c>
      <c r="E16" s="221" t="s">
        <v>180</v>
      </c>
      <c r="F16" s="221">
        <v>30</v>
      </c>
      <c r="G16" s="222" t="s">
        <v>185</v>
      </c>
      <c r="H16" s="222" t="s">
        <v>185</v>
      </c>
      <c r="I16" s="233" t="s">
        <v>186</v>
      </c>
      <c r="J16" s="224">
        <v>40</v>
      </c>
      <c r="K16" s="224">
        <f t="shared" si="0"/>
        <v>1200</v>
      </c>
      <c r="L16" s="237"/>
      <c r="M16" s="228">
        <v>1</v>
      </c>
      <c r="N16" s="223">
        <v>41</v>
      </c>
      <c r="O16" s="225">
        <f t="shared" si="1"/>
        <v>1230</v>
      </c>
      <c r="P16" s="238"/>
      <c r="Q16" s="228">
        <f t="shared" si="2"/>
        <v>1.0249999999999999</v>
      </c>
      <c r="R16" s="223">
        <v>41</v>
      </c>
      <c r="S16" s="225">
        <f t="shared" si="3"/>
        <v>1230</v>
      </c>
      <c r="T16" s="238"/>
      <c r="U16" s="228">
        <f t="shared" si="4"/>
        <v>1.0249999999999999</v>
      </c>
      <c r="V16" s="397"/>
      <c r="W16" s="146"/>
    </row>
    <row r="17" spans="2:23" s="145" customFormat="1" ht="20.100000000000001" customHeight="1">
      <c r="B17" s="396">
        <v>12</v>
      </c>
      <c r="C17" s="226" t="s">
        <v>73</v>
      </c>
      <c r="D17" s="236" t="s">
        <v>122</v>
      </c>
      <c r="E17" s="221" t="s">
        <v>58</v>
      </c>
      <c r="F17" s="221">
        <v>520</v>
      </c>
      <c r="G17" s="222" t="s">
        <v>185</v>
      </c>
      <c r="H17" s="222" t="s">
        <v>185</v>
      </c>
      <c r="I17" s="233" t="s">
        <v>186</v>
      </c>
      <c r="J17" s="224">
        <v>0.3</v>
      </c>
      <c r="K17" s="224">
        <f t="shared" si="0"/>
        <v>156</v>
      </c>
      <c r="L17" s="237"/>
      <c r="M17" s="228">
        <v>1</v>
      </c>
      <c r="N17" s="223">
        <v>0.3</v>
      </c>
      <c r="O17" s="225">
        <f t="shared" si="1"/>
        <v>156</v>
      </c>
      <c r="P17" s="238"/>
      <c r="Q17" s="228">
        <f t="shared" si="2"/>
        <v>1</v>
      </c>
      <c r="R17" s="223">
        <v>0.3</v>
      </c>
      <c r="S17" s="225">
        <f t="shared" si="3"/>
        <v>156</v>
      </c>
      <c r="T17" s="238"/>
      <c r="U17" s="228">
        <f t="shared" si="4"/>
        <v>1</v>
      </c>
      <c r="V17" s="397"/>
      <c r="W17" s="146"/>
    </row>
    <row r="18" spans="2:23" s="145" customFormat="1" ht="20.100000000000001" customHeight="1">
      <c r="B18" s="396">
        <v>13</v>
      </c>
      <c r="C18" s="226" t="s">
        <v>74</v>
      </c>
      <c r="D18" s="236" t="s">
        <v>121</v>
      </c>
      <c r="E18" s="221" t="s">
        <v>180</v>
      </c>
      <c r="F18" s="221">
        <v>20</v>
      </c>
      <c r="G18" s="222" t="s">
        <v>185</v>
      </c>
      <c r="H18" s="222" t="s">
        <v>185</v>
      </c>
      <c r="I18" s="233" t="s">
        <v>186</v>
      </c>
      <c r="J18" s="224">
        <v>70</v>
      </c>
      <c r="K18" s="224">
        <f t="shared" si="0"/>
        <v>1400</v>
      </c>
      <c r="L18" s="237"/>
      <c r="M18" s="228">
        <v>1</v>
      </c>
      <c r="N18" s="223">
        <v>70</v>
      </c>
      <c r="O18" s="225">
        <f t="shared" si="1"/>
        <v>1400</v>
      </c>
      <c r="P18" s="238"/>
      <c r="Q18" s="228">
        <f t="shared" si="2"/>
        <v>1</v>
      </c>
      <c r="R18" s="223">
        <v>70</v>
      </c>
      <c r="S18" s="225">
        <f t="shared" si="3"/>
        <v>1400</v>
      </c>
      <c r="T18" s="238"/>
      <c r="U18" s="228">
        <f t="shared" si="4"/>
        <v>1</v>
      </c>
      <c r="V18" s="397"/>
      <c r="W18" s="146"/>
    </row>
    <row r="19" spans="2:23" s="145" customFormat="1" ht="20.100000000000001" customHeight="1">
      <c r="B19" s="396">
        <v>14</v>
      </c>
      <c r="C19" s="226" t="s">
        <v>73</v>
      </c>
      <c r="D19" s="236" t="s">
        <v>123</v>
      </c>
      <c r="E19" s="221" t="s">
        <v>58</v>
      </c>
      <c r="F19" s="221">
        <v>600</v>
      </c>
      <c r="G19" s="222" t="s">
        <v>185</v>
      </c>
      <c r="H19" s="222" t="s">
        <v>185</v>
      </c>
      <c r="I19" s="233" t="s">
        <v>186</v>
      </c>
      <c r="J19" s="224">
        <v>0.4</v>
      </c>
      <c r="K19" s="224">
        <f t="shared" si="0"/>
        <v>240</v>
      </c>
      <c r="L19" s="237"/>
      <c r="M19" s="228">
        <v>1</v>
      </c>
      <c r="N19" s="223">
        <v>0.4</v>
      </c>
      <c r="O19" s="225">
        <f t="shared" si="1"/>
        <v>240</v>
      </c>
      <c r="P19" s="238"/>
      <c r="Q19" s="228">
        <f t="shared" si="2"/>
        <v>1</v>
      </c>
      <c r="R19" s="223">
        <v>0.4</v>
      </c>
      <c r="S19" s="225">
        <f t="shared" si="3"/>
        <v>240</v>
      </c>
      <c r="T19" s="238"/>
      <c r="U19" s="228">
        <f t="shared" si="4"/>
        <v>1</v>
      </c>
      <c r="V19" s="397"/>
      <c r="W19" s="146"/>
    </row>
    <row r="20" spans="2:23" s="145" customFormat="1" ht="20.100000000000001" customHeight="1">
      <c r="B20" s="396">
        <v>15</v>
      </c>
      <c r="C20" s="226" t="s">
        <v>75</v>
      </c>
      <c r="D20" s="236" t="s">
        <v>124</v>
      </c>
      <c r="E20" s="221" t="s">
        <v>58</v>
      </c>
      <c r="F20" s="221">
        <v>300</v>
      </c>
      <c r="G20" s="222" t="s">
        <v>185</v>
      </c>
      <c r="H20" s="222" t="s">
        <v>185</v>
      </c>
      <c r="I20" s="233" t="s">
        <v>186</v>
      </c>
      <c r="J20" s="224">
        <v>1.8</v>
      </c>
      <c r="K20" s="224">
        <f t="shared" si="0"/>
        <v>540</v>
      </c>
      <c r="L20" s="237"/>
      <c r="M20" s="228">
        <v>1</v>
      </c>
      <c r="N20" s="223">
        <v>1.8</v>
      </c>
      <c r="O20" s="225">
        <f t="shared" si="1"/>
        <v>540</v>
      </c>
      <c r="P20" s="238"/>
      <c r="Q20" s="228">
        <f t="shared" si="2"/>
        <v>1</v>
      </c>
      <c r="R20" s="223">
        <v>1.8</v>
      </c>
      <c r="S20" s="225">
        <f t="shared" si="3"/>
        <v>540</v>
      </c>
      <c r="T20" s="238"/>
      <c r="U20" s="228">
        <f t="shared" si="4"/>
        <v>1</v>
      </c>
      <c r="V20" s="397"/>
      <c r="W20" s="146"/>
    </row>
    <row r="21" spans="2:23" s="145" customFormat="1" ht="20.100000000000001" customHeight="1">
      <c r="B21" s="396">
        <v>16</v>
      </c>
      <c r="C21" s="226" t="s">
        <v>76</v>
      </c>
      <c r="D21" s="236" t="s">
        <v>125</v>
      </c>
      <c r="E21" s="221" t="s">
        <v>179</v>
      </c>
      <c r="F21" s="221">
        <v>20</v>
      </c>
      <c r="G21" s="222" t="s">
        <v>185</v>
      </c>
      <c r="H21" s="222" t="s">
        <v>185</v>
      </c>
      <c r="I21" s="233" t="s">
        <v>186</v>
      </c>
      <c r="J21" s="224">
        <v>3</v>
      </c>
      <c r="K21" s="224">
        <f t="shared" si="0"/>
        <v>60</v>
      </c>
      <c r="L21" s="237"/>
      <c r="M21" s="228">
        <v>1</v>
      </c>
      <c r="N21" s="223">
        <v>3</v>
      </c>
      <c r="O21" s="225">
        <f t="shared" si="1"/>
        <v>60</v>
      </c>
      <c r="P21" s="238"/>
      <c r="Q21" s="228">
        <f t="shared" si="2"/>
        <v>1</v>
      </c>
      <c r="R21" s="223">
        <v>3</v>
      </c>
      <c r="S21" s="225">
        <f t="shared" si="3"/>
        <v>60</v>
      </c>
      <c r="T21" s="238"/>
      <c r="U21" s="228">
        <f t="shared" si="4"/>
        <v>1</v>
      </c>
      <c r="V21" s="397"/>
      <c r="W21" s="146"/>
    </row>
    <row r="22" spans="2:23" s="145" customFormat="1" ht="20.100000000000001" customHeight="1">
      <c r="B22" s="396">
        <v>17</v>
      </c>
      <c r="C22" s="226" t="s">
        <v>76</v>
      </c>
      <c r="D22" s="236" t="s">
        <v>126</v>
      </c>
      <c r="E22" s="221" t="s">
        <v>179</v>
      </c>
      <c r="F22" s="221">
        <v>30</v>
      </c>
      <c r="G22" s="222" t="s">
        <v>185</v>
      </c>
      <c r="H22" s="222" t="s">
        <v>185</v>
      </c>
      <c r="I22" s="233" t="s">
        <v>186</v>
      </c>
      <c r="J22" s="224">
        <v>4</v>
      </c>
      <c r="K22" s="224">
        <f t="shared" si="0"/>
        <v>120</v>
      </c>
      <c r="L22" s="237"/>
      <c r="M22" s="228">
        <v>1</v>
      </c>
      <c r="N22" s="223">
        <v>4.0999999999999996</v>
      </c>
      <c r="O22" s="225">
        <f t="shared" si="1"/>
        <v>122.99999999999999</v>
      </c>
      <c r="P22" s="238"/>
      <c r="Q22" s="228">
        <f t="shared" si="2"/>
        <v>1.0249999999999999</v>
      </c>
      <c r="R22" s="223">
        <v>4.0999999999999996</v>
      </c>
      <c r="S22" s="225">
        <f t="shared" si="3"/>
        <v>122.99999999999999</v>
      </c>
      <c r="T22" s="238"/>
      <c r="U22" s="228">
        <f t="shared" si="4"/>
        <v>1.0249999999999999</v>
      </c>
      <c r="V22" s="397"/>
      <c r="W22" s="146"/>
    </row>
    <row r="23" spans="2:23" s="145" customFormat="1" ht="20.100000000000001" customHeight="1">
      <c r="B23" s="396">
        <v>18</v>
      </c>
      <c r="C23" s="226" t="s">
        <v>77</v>
      </c>
      <c r="D23" s="236" t="s">
        <v>127</v>
      </c>
      <c r="E23" s="221" t="s">
        <v>179</v>
      </c>
      <c r="F23" s="221">
        <v>20</v>
      </c>
      <c r="G23" s="222" t="s">
        <v>185</v>
      </c>
      <c r="H23" s="222" t="s">
        <v>185</v>
      </c>
      <c r="I23" s="233" t="s">
        <v>186</v>
      </c>
      <c r="J23" s="224">
        <v>6</v>
      </c>
      <c r="K23" s="224">
        <f t="shared" si="0"/>
        <v>120</v>
      </c>
      <c r="L23" s="237"/>
      <c r="M23" s="228">
        <v>1</v>
      </c>
      <c r="N23" s="223">
        <v>6.2</v>
      </c>
      <c r="O23" s="225">
        <f t="shared" si="1"/>
        <v>124</v>
      </c>
      <c r="P23" s="238"/>
      <c r="Q23" s="228">
        <f t="shared" si="2"/>
        <v>1.0333333333333334</v>
      </c>
      <c r="R23" s="223">
        <v>6.2</v>
      </c>
      <c r="S23" s="225">
        <f t="shared" si="3"/>
        <v>124</v>
      </c>
      <c r="T23" s="238"/>
      <c r="U23" s="228">
        <f t="shared" si="4"/>
        <v>1.0333333333333334</v>
      </c>
      <c r="V23" s="397"/>
      <c r="W23" s="146"/>
    </row>
    <row r="24" spans="2:23" s="145" customFormat="1" ht="20.100000000000001" customHeight="1">
      <c r="B24" s="396">
        <v>19</v>
      </c>
      <c r="C24" s="226" t="s">
        <v>78</v>
      </c>
      <c r="D24" s="236" t="s">
        <v>128</v>
      </c>
      <c r="E24" s="221" t="s">
        <v>179</v>
      </c>
      <c r="F24" s="221">
        <v>65</v>
      </c>
      <c r="G24" s="222" t="s">
        <v>185</v>
      </c>
      <c r="H24" s="222" t="s">
        <v>185</v>
      </c>
      <c r="I24" s="233" t="s">
        <v>186</v>
      </c>
      <c r="J24" s="224">
        <v>8</v>
      </c>
      <c r="K24" s="224">
        <f t="shared" si="0"/>
        <v>520</v>
      </c>
      <c r="L24" s="237"/>
      <c r="M24" s="228">
        <v>1</v>
      </c>
      <c r="N24" s="223">
        <v>8.5</v>
      </c>
      <c r="O24" s="225">
        <f t="shared" si="1"/>
        <v>552.5</v>
      </c>
      <c r="P24" s="238"/>
      <c r="Q24" s="228">
        <f t="shared" si="2"/>
        <v>1.0625</v>
      </c>
      <c r="R24" s="223">
        <v>8.5</v>
      </c>
      <c r="S24" s="225">
        <f t="shared" si="3"/>
        <v>552.5</v>
      </c>
      <c r="T24" s="238"/>
      <c r="U24" s="228">
        <f t="shared" si="4"/>
        <v>1.0625</v>
      </c>
      <c r="V24" s="397"/>
      <c r="W24" s="146"/>
    </row>
    <row r="25" spans="2:23" s="145" customFormat="1" ht="20.100000000000001" customHeight="1">
      <c r="B25" s="396">
        <v>20</v>
      </c>
      <c r="C25" s="226" t="s">
        <v>79</v>
      </c>
      <c r="D25" s="236" t="s">
        <v>129</v>
      </c>
      <c r="E25" s="221" t="s">
        <v>58</v>
      </c>
      <c r="F25" s="221">
        <v>240</v>
      </c>
      <c r="G25" s="222" t="s">
        <v>185</v>
      </c>
      <c r="H25" s="222" t="s">
        <v>185</v>
      </c>
      <c r="I25" s="233" t="s">
        <v>186</v>
      </c>
      <c r="J25" s="224">
        <v>4</v>
      </c>
      <c r="K25" s="224">
        <f t="shared" si="0"/>
        <v>960</v>
      </c>
      <c r="L25" s="237"/>
      <c r="M25" s="228">
        <v>1</v>
      </c>
      <c r="N25" s="223">
        <v>4</v>
      </c>
      <c r="O25" s="225">
        <f t="shared" si="1"/>
        <v>960</v>
      </c>
      <c r="P25" s="238"/>
      <c r="Q25" s="228">
        <f t="shared" si="2"/>
        <v>1</v>
      </c>
      <c r="R25" s="223">
        <v>4</v>
      </c>
      <c r="S25" s="225">
        <f t="shared" si="3"/>
        <v>960</v>
      </c>
      <c r="T25" s="238"/>
      <c r="U25" s="228">
        <f t="shared" si="4"/>
        <v>1</v>
      </c>
      <c r="V25" s="397"/>
      <c r="W25" s="146"/>
    </row>
    <row r="26" spans="2:23" s="145" customFormat="1" ht="20.100000000000001" customHeight="1">
      <c r="B26" s="396">
        <v>21</v>
      </c>
      <c r="C26" s="226" t="s">
        <v>80</v>
      </c>
      <c r="D26" s="236" t="s">
        <v>130</v>
      </c>
      <c r="E26" s="221" t="s">
        <v>181</v>
      </c>
      <c r="F26" s="221">
        <v>24</v>
      </c>
      <c r="G26" s="222" t="s">
        <v>185</v>
      </c>
      <c r="H26" s="222" t="s">
        <v>185</v>
      </c>
      <c r="I26" s="233" t="s">
        <v>186</v>
      </c>
      <c r="J26" s="224">
        <v>45</v>
      </c>
      <c r="K26" s="224">
        <f t="shared" si="0"/>
        <v>1080</v>
      </c>
      <c r="L26" s="237"/>
      <c r="M26" s="228">
        <v>1</v>
      </c>
      <c r="N26" s="223">
        <v>45</v>
      </c>
      <c r="O26" s="225">
        <f t="shared" si="1"/>
        <v>1080</v>
      </c>
      <c r="P26" s="238"/>
      <c r="Q26" s="228">
        <f t="shared" si="2"/>
        <v>1</v>
      </c>
      <c r="R26" s="223">
        <v>45</v>
      </c>
      <c r="S26" s="225">
        <f t="shared" si="3"/>
        <v>1080</v>
      </c>
      <c r="T26" s="238"/>
      <c r="U26" s="228">
        <f t="shared" si="4"/>
        <v>1</v>
      </c>
      <c r="V26" s="397"/>
      <c r="W26" s="146"/>
    </row>
    <row r="27" spans="2:23" s="145" customFormat="1" ht="20.100000000000001" customHeight="1">
      <c r="B27" s="396">
        <v>22</v>
      </c>
      <c r="C27" s="226" t="s">
        <v>80</v>
      </c>
      <c r="D27" s="236" t="s">
        <v>131</v>
      </c>
      <c r="E27" s="221" t="s">
        <v>181</v>
      </c>
      <c r="F27" s="221">
        <v>20</v>
      </c>
      <c r="G27" s="222" t="s">
        <v>185</v>
      </c>
      <c r="H27" s="222" t="s">
        <v>185</v>
      </c>
      <c r="I27" s="233" t="s">
        <v>186</v>
      </c>
      <c r="J27" s="224">
        <v>45</v>
      </c>
      <c r="K27" s="224">
        <f t="shared" si="0"/>
        <v>900</v>
      </c>
      <c r="L27" s="237"/>
      <c r="M27" s="228">
        <v>1</v>
      </c>
      <c r="N27" s="223">
        <v>45</v>
      </c>
      <c r="O27" s="225">
        <f t="shared" si="1"/>
        <v>900</v>
      </c>
      <c r="P27" s="238"/>
      <c r="Q27" s="228">
        <f t="shared" si="2"/>
        <v>1</v>
      </c>
      <c r="R27" s="223">
        <v>45</v>
      </c>
      <c r="S27" s="225">
        <f t="shared" si="3"/>
        <v>900</v>
      </c>
      <c r="T27" s="238"/>
      <c r="U27" s="228">
        <f t="shared" si="4"/>
        <v>1</v>
      </c>
      <c r="V27" s="397"/>
      <c r="W27" s="146"/>
    </row>
    <row r="28" spans="2:23" s="145" customFormat="1" ht="20.100000000000001" customHeight="1">
      <c r="B28" s="396">
        <v>23</v>
      </c>
      <c r="C28" s="226" t="s">
        <v>81</v>
      </c>
      <c r="D28" s="236" t="s">
        <v>132</v>
      </c>
      <c r="E28" s="221" t="s">
        <v>58</v>
      </c>
      <c r="F28" s="221">
        <v>810</v>
      </c>
      <c r="G28" s="222" t="s">
        <v>185</v>
      </c>
      <c r="H28" s="222" t="s">
        <v>185</v>
      </c>
      <c r="I28" s="233" t="s">
        <v>186</v>
      </c>
      <c r="J28" s="224">
        <v>4.5</v>
      </c>
      <c r="K28" s="224">
        <f t="shared" si="0"/>
        <v>3645</v>
      </c>
      <c r="L28" s="237"/>
      <c r="M28" s="228">
        <v>1</v>
      </c>
      <c r="N28" s="223">
        <v>4.5999999999999996</v>
      </c>
      <c r="O28" s="225">
        <f t="shared" si="1"/>
        <v>3725.9999999999995</v>
      </c>
      <c r="P28" s="238"/>
      <c r="Q28" s="228">
        <f t="shared" si="2"/>
        <v>1.0222222222222221</v>
      </c>
      <c r="R28" s="223">
        <v>4.5999999999999996</v>
      </c>
      <c r="S28" s="225">
        <f t="shared" si="3"/>
        <v>3725.9999999999995</v>
      </c>
      <c r="T28" s="238"/>
      <c r="U28" s="228">
        <f t="shared" si="4"/>
        <v>1.0222222222222221</v>
      </c>
      <c r="V28" s="397"/>
      <c r="W28" s="146"/>
    </row>
    <row r="29" spans="2:23" s="145" customFormat="1" ht="20.100000000000001" customHeight="1">
      <c r="B29" s="396">
        <v>24</v>
      </c>
      <c r="C29" s="226" t="s">
        <v>82</v>
      </c>
      <c r="D29" s="236" t="s">
        <v>133</v>
      </c>
      <c r="E29" s="221" t="s">
        <v>58</v>
      </c>
      <c r="F29" s="221">
        <v>920</v>
      </c>
      <c r="G29" s="222" t="s">
        <v>185</v>
      </c>
      <c r="H29" s="222" t="s">
        <v>185</v>
      </c>
      <c r="I29" s="233" t="s">
        <v>186</v>
      </c>
      <c r="J29" s="224">
        <v>4</v>
      </c>
      <c r="K29" s="224">
        <f t="shared" si="0"/>
        <v>3680</v>
      </c>
      <c r="L29" s="237"/>
      <c r="M29" s="228">
        <v>1</v>
      </c>
      <c r="N29" s="223">
        <v>4.2</v>
      </c>
      <c r="O29" s="225">
        <f t="shared" si="1"/>
        <v>3864</v>
      </c>
      <c r="P29" s="238"/>
      <c r="Q29" s="228">
        <f t="shared" si="2"/>
        <v>1.05</v>
      </c>
      <c r="R29" s="223">
        <v>4.2</v>
      </c>
      <c r="S29" s="225">
        <f t="shared" si="3"/>
        <v>3864</v>
      </c>
      <c r="T29" s="238"/>
      <c r="U29" s="228">
        <f t="shared" si="4"/>
        <v>1.05</v>
      </c>
      <c r="V29" s="397"/>
      <c r="W29" s="146"/>
    </row>
    <row r="30" spans="2:23" s="145" customFormat="1" ht="20.100000000000001" customHeight="1">
      <c r="B30" s="396">
        <v>25</v>
      </c>
      <c r="C30" s="226" t="s">
        <v>83</v>
      </c>
      <c r="D30" s="236" t="s">
        <v>134</v>
      </c>
      <c r="E30" s="221" t="s">
        <v>58</v>
      </c>
      <c r="F30" s="221">
        <v>3800</v>
      </c>
      <c r="G30" s="222" t="s">
        <v>185</v>
      </c>
      <c r="H30" s="222" t="s">
        <v>185</v>
      </c>
      <c r="I30" s="233" t="s">
        <v>186</v>
      </c>
      <c r="J30" s="224">
        <v>2.2999999999999998</v>
      </c>
      <c r="K30" s="224">
        <f t="shared" si="0"/>
        <v>8740</v>
      </c>
      <c r="L30" s="237"/>
      <c r="M30" s="228">
        <v>1</v>
      </c>
      <c r="N30" s="223">
        <v>2.4</v>
      </c>
      <c r="O30" s="225">
        <f t="shared" si="1"/>
        <v>9120</v>
      </c>
      <c r="P30" s="238"/>
      <c r="Q30" s="228">
        <f t="shared" si="2"/>
        <v>1.0434782608695652</v>
      </c>
      <c r="R30" s="223">
        <v>2.4500000000000002</v>
      </c>
      <c r="S30" s="225">
        <f t="shared" si="3"/>
        <v>9310</v>
      </c>
      <c r="T30" s="238"/>
      <c r="U30" s="228">
        <f t="shared" si="4"/>
        <v>1.0652173913043479</v>
      </c>
      <c r="V30" s="397"/>
      <c r="W30" s="146"/>
    </row>
    <row r="31" spans="2:23" s="145" customFormat="1" ht="20.100000000000001" customHeight="1">
      <c r="B31" s="396">
        <v>26</v>
      </c>
      <c r="C31" s="226" t="s">
        <v>84</v>
      </c>
      <c r="D31" s="236" t="s">
        <v>135</v>
      </c>
      <c r="E31" s="221" t="s">
        <v>58</v>
      </c>
      <c r="F31" s="221">
        <v>1150</v>
      </c>
      <c r="G31" s="222" t="s">
        <v>185</v>
      </c>
      <c r="H31" s="222" t="s">
        <v>185</v>
      </c>
      <c r="I31" s="233" t="s">
        <v>186</v>
      </c>
      <c r="J31" s="224">
        <v>4.5</v>
      </c>
      <c r="K31" s="224">
        <f t="shared" si="0"/>
        <v>5175</v>
      </c>
      <c r="L31" s="237"/>
      <c r="M31" s="228">
        <v>1</v>
      </c>
      <c r="N31" s="223">
        <v>4.55</v>
      </c>
      <c r="O31" s="225">
        <f t="shared" si="1"/>
        <v>5232.5</v>
      </c>
      <c r="P31" s="238"/>
      <c r="Q31" s="228">
        <f t="shared" si="2"/>
        <v>1.0111111111111111</v>
      </c>
      <c r="R31" s="223">
        <v>4.5999999999999996</v>
      </c>
      <c r="S31" s="225">
        <f t="shared" si="3"/>
        <v>5290</v>
      </c>
      <c r="T31" s="238"/>
      <c r="U31" s="228">
        <f t="shared" si="4"/>
        <v>1.0222222222222221</v>
      </c>
      <c r="V31" s="397"/>
      <c r="W31" s="146"/>
    </row>
    <row r="32" spans="2:23" s="145" customFormat="1" ht="20.100000000000001" customHeight="1">
      <c r="B32" s="396">
        <v>27</v>
      </c>
      <c r="C32" s="226" t="s">
        <v>85</v>
      </c>
      <c r="D32" s="236" t="s">
        <v>136</v>
      </c>
      <c r="E32" s="221" t="s">
        <v>58</v>
      </c>
      <c r="F32" s="221">
        <v>400</v>
      </c>
      <c r="G32" s="222" t="s">
        <v>185</v>
      </c>
      <c r="H32" s="222" t="s">
        <v>185</v>
      </c>
      <c r="I32" s="233" t="s">
        <v>186</v>
      </c>
      <c r="J32" s="224">
        <v>1.5</v>
      </c>
      <c r="K32" s="224">
        <f t="shared" si="0"/>
        <v>600</v>
      </c>
      <c r="L32" s="237"/>
      <c r="M32" s="228">
        <v>1</v>
      </c>
      <c r="N32" s="223">
        <v>1.5</v>
      </c>
      <c r="O32" s="225">
        <f t="shared" si="1"/>
        <v>600</v>
      </c>
      <c r="P32" s="238"/>
      <c r="Q32" s="228">
        <f t="shared" si="2"/>
        <v>1</v>
      </c>
      <c r="R32" s="223">
        <v>1.5</v>
      </c>
      <c r="S32" s="225">
        <f t="shared" si="3"/>
        <v>600</v>
      </c>
      <c r="T32" s="238"/>
      <c r="U32" s="228">
        <f t="shared" si="4"/>
        <v>1</v>
      </c>
      <c r="V32" s="397"/>
      <c r="W32" s="146"/>
    </row>
    <row r="33" spans="2:23" s="145" customFormat="1" ht="20.100000000000001" customHeight="1">
      <c r="B33" s="396">
        <v>28</v>
      </c>
      <c r="C33" s="226" t="s">
        <v>86</v>
      </c>
      <c r="D33" s="236" t="s">
        <v>137</v>
      </c>
      <c r="E33" s="221" t="s">
        <v>58</v>
      </c>
      <c r="F33" s="221">
        <v>172</v>
      </c>
      <c r="G33" s="222" t="s">
        <v>185</v>
      </c>
      <c r="H33" s="222" t="s">
        <v>185</v>
      </c>
      <c r="I33" s="233" t="s">
        <v>186</v>
      </c>
      <c r="J33" s="224">
        <v>3</v>
      </c>
      <c r="K33" s="224">
        <f t="shared" si="0"/>
        <v>516</v>
      </c>
      <c r="L33" s="237"/>
      <c r="M33" s="228">
        <v>1</v>
      </c>
      <c r="N33" s="223">
        <v>3</v>
      </c>
      <c r="O33" s="225">
        <f t="shared" si="1"/>
        <v>516</v>
      </c>
      <c r="P33" s="238"/>
      <c r="Q33" s="228">
        <f t="shared" si="2"/>
        <v>1</v>
      </c>
      <c r="R33" s="223">
        <v>3</v>
      </c>
      <c r="S33" s="225">
        <f t="shared" si="3"/>
        <v>516</v>
      </c>
      <c r="T33" s="238"/>
      <c r="U33" s="228">
        <f t="shared" si="4"/>
        <v>1</v>
      </c>
      <c r="V33" s="397"/>
      <c r="W33" s="146"/>
    </row>
    <row r="34" spans="2:23" s="145" customFormat="1" ht="20.100000000000001" customHeight="1">
      <c r="B34" s="396">
        <v>29</v>
      </c>
      <c r="C34" s="226" t="s">
        <v>86</v>
      </c>
      <c r="D34" s="236" t="s">
        <v>138</v>
      </c>
      <c r="E34" s="221" t="s">
        <v>58</v>
      </c>
      <c r="F34" s="221">
        <v>84</v>
      </c>
      <c r="G34" s="222" t="s">
        <v>185</v>
      </c>
      <c r="H34" s="222" t="s">
        <v>185</v>
      </c>
      <c r="I34" s="233" t="s">
        <v>186</v>
      </c>
      <c r="J34" s="224">
        <v>7.5</v>
      </c>
      <c r="K34" s="224">
        <f t="shared" si="0"/>
        <v>630</v>
      </c>
      <c r="L34" s="237"/>
      <c r="M34" s="228">
        <v>1</v>
      </c>
      <c r="N34" s="223">
        <v>8</v>
      </c>
      <c r="O34" s="225">
        <f t="shared" si="1"/>
        <v>672</v>
      </c>
      <c r="P34" s="238"/>
      <c r="Q34" s="228">
        <f t="shared" si="2"/>
        <v>1.0666666666666667</v>
      </c>
      <c r="R34" s="223">
        <v>8</v>
      </c>
      <c r="S34" s="225">
        <f t="shared" si="3"/>
        <v>672</v>
      </c>
      <c r="T34" s="238"/>
      <c r="U34" s="228">
        <f t="shared" si="4"/>
        <v>1.0666666666666667</v>
      </c>
      <c r="V34" s="397"/>
      <c r="W34" s="146"/>
    </row>
    <row r="35" spans="2:23" s="145" customFormat="1" ht="20.100000000000001" customHeight="1">
      <c r="B35" s="396">
        <v>30</v>
      </c>
      <c r="C35" s="226" t="s">
        <v>87</v>
      </c>
      <c r="D35" s="236" t="s">
        <v>139</v>
      </c>
      <c r="E35" s="221" t="s">
        <v>182</v>
      </c>
      <c r="F35" s="221">
        <v>24</v>
      </c>
      <c r="G35" s="222" t="s">
        <v>185</v>
      </c>
      <c r="H35" s="222" t="s">
        <v>185</v>
      </c>
      <c r="I35" s="233" t="s">
        <v>186</v>
      </c>
      <c r="J35" s="224">
        <v>19</v>
      </c>
      <c r="K35" s="224">
        <f t="shared" si="0"/>
        <v>456</v>
      </c>
      <c r="L35" s="237"/>
      <c r="M35" s="228">
        <v>1</v>
      </c>
      <c r="N35" s="223">
        <v>19</v>
      </c>
      <c r="O35" s="225">
        <f t="shared" si="1"/>
        <v>456</v>
      </c>
      <c r="P35" s="238"/>
      <c r="Q35" s="228">
        <f t="shared" si="2"/>
        <v>1</v>
      </c>
      <c r="R35" s="223">
        <v>19</v>
      </c>
      <c r="S35" s="225">
        <f t="shared" si="3"/>
        <v>456</v>
      </c>
      <c r="T35" s="238"/>
      <c r="U35" s="228">
        <f t="shared" si="4"/>
        <v>1</v>
      </c>
      <c r="V35" s="397"/>
      <c r="W35" s="146"/>
    </row>
    <row r="36" spans="2:23" s="145" customFormat="1" ht="20.100000000000001" customHeight="1">
      <c r="B36" s="396">
        <v>31</v>
      </c>
      <c r="C36" s="226" t="s">
        <v>88</v>
      </c>
      <c r="D36" s="236" t="s">
        <v>140</v>
      </c>
      <c r="E36" s="221" t="s">
        <v>183</v>
      </c>
      <c r="F36" s="221">
        <v>50</v>
      </c>
      <c r="G36" s="222" t="s">
        <v>185</v>
      </c>
      <c r="H36" s="222" t="s">
        <v>185</v>
      </c>
      <c r="I36" s="233" t="s">
        <v>186</v>
      </c>
      <c r="J36" s="224">
        <v>4</v>
      </c>
      <c r="K36" s="224">
        <f t="shared" si="0"/>
        <v>200</v>
      </c>
      <c r="L36" s="237"/>
      <c r="M36" s="228">
        <v>1</v>
      </c>
      <c r="N36" s="223">
        <v>4</v>
      </c>
      <c r="O36" s="225">
        <f t="shared" si="1"/>
        <v>200</v>
      </c>
      <c r="P36" s="238"/>
      <c r="Q36" s="228">
        <f t="shared" si="2"/>
        <v>1</v>
      </c>
      <c r="R36" s="223">
        <v>4</v>
      </c>
      <c r="S36" s="225">
        <f t="shared" si="3"/>
        <v>200</v>
      </c>
      <c r="T36" s="238"/>
      <c r="U36" s="228">
        <f t="shared" si="4"/>
        <v>1</v>
      </c>
      <c r="V36" s="397"/>
      <c r="W36" s="146"/>
    </row>
    <row r="37" spans="2:23" s="145" customFormat="1" ht="20.100000000000001" customHeight="1">
      <c r="B37" s="396">
        <v>32</v>
      </c>
      <c r="C37" s="226" t="s">
        <v>89</v>
      </c>
      <c r="D37" s="236" t="s">
        <v>141</v>
      </c>
      <c r="E37" s="221" t="s">
        <v>183</v>
      </c>
      <c r="F37" s="221">
        <v>120</v>
      </c>
      <c r="G37" s="222" t="s">
        <v>185</v>
      </c>
      <c r="H37" s="222" t="s">
        <v>185</v>
      </c>
      <c r="I37" s="233" t="s">
        <v>186</v>
      </c>
      <c r="J37" s="224">
        <v>12</v>
      </c>
      <c r="K37" s="224">
        <f t="shared" si="0"/>
        <v>1440</v>
      </c>
      <c r="L37" s="237"/>
      <c r="M37" s="228">
        <v>1</v>
      </c>
      <c r="N37" s="223">
        <v>12</v>
      </c>
      <c r="O37" s="225">
        <f t="shared" si="1"/>
        <v>1440</v>
      </c>
      <c r="P37" s="238"/>
      <c r="Q37" s="228">
        <f t="shared" si="2"/>
        <v>1</v>
      </c>
      <c r="R37" s="223">
        <v>12</v>
      </c>
      <c r="S37" s="225">
        <f t="shared" si="3"/>
        <v>1440</v>
      </c>
      <c r="T37" s="238"/>
      <c r="U37" s="228">
        <f t="shared" si="4"/>
        <v>1</v>
      </c>
      <c r="V37" s="397"/>
      <c r="W37" s="146"/>
    </row>
    <row r="38" spans="2:23" s="145" customFormat="1" ht="20.100000000000001" customHeight="1">
      <c r="B38" s="396">
        <v>33</v>
      </c>
      <c r="C38" s="226" t="s">
        <v>89</v>
      </c>
      <c r="D38" s="236" t="s">
        <v>142</v>
      </c>
      <c r="E38" s="221" t="s">
        <v>183</v>
      </c>
      <c r="F38" s="221">
        <v>36</v>
      </c>
      <c r="G38" s="222" t="s">
        <v>185</v>
      </c>
      <c r="H38" s="222" t="s">
        <v>185</v>
      </c>
      <c r="I38" s="233" t="s">
        <v>186</v>
      </c>
      <c r="J38" s="224">
        <v>40</v>
      </c>
      <c r="K38" s="224">
        <f t="shared" si="0"/>
        <v>1440</v>
      </c>
      <c r="L38" s="237"/>
      <c r="M38" s="228">
        <v>1</v>
      </c>
      <c r="N38" s="223">
        <v>40</v>
      </c>
      <c r="O38" s="225">
        <f t="shared" si="1"/>
        <v>1440</v>
      </c>
      <c r="P38" s="238"/>
      <c r="Q38" s="228">
        <f t="shared" si="2"/>
        <v>1</v>
      </c>
      <c r="R38" s="223">
        <v>40</v>
      </c>
      <c r="S38" s="225">
        <f t="shared" si="3"/>
        <v>1440</v>
      </c>
      <c r="T38" s="238"/>
      <c r="U38" s="228">
        <f t="shared" si="4"/>
        <v>1</v>
      </c>
      <c r="V38" s="397"/>
      <c r="W38" s="146"/>
    </row>
    <row r="39" spans="2:23" s="145" customFormat="1" ht="20.100000000000001" customHeight="1">
      <c r="B39" s="396">
        <v>34</v>
      </c>
      <c r="C39" s="226" t="s">
        <v>88</v>
      </c>
      <c r="D39" s="236" t="s">
        <v>143</v>
      </c>
      <c r="E39" s="221" t="s">
        <v>183</v>
      </c>
      <c r="F39" s="221">
        <v>80</v>
      </c>
      <c r="G39" s="222" t="s">
        <v>185</v>
      </c>
      <c r="H39" s="222" t="s">
        <v>185</v>
      </c>
      <c r="I39" s="233" t="s">
        <v>186</v>
      </c>
      <c r="J39" s="224">
        <v>15</v>
      </c>
      <c r="K39" s="224">
        <f t="shared" si="0"/>
        <v>1200</v>
      </c>
      <c r="L39" s="237"/>
      <c r="M39" s="228">
        <v>1</v>
      </c>
      <c r="N39" s="223">
        <v>15</v>
      </c>
      <c r="O39" s="225">
        <f t="shared" si="1"/>
        <v>1200</v>
      </c>
      <c r="P39" s="238"/>
      <c r="Q39" s="228">
        <f t="shared" si="2"/>
        <v>1</v>
      </c>
      <c r="R39" s="223">
        <v>15</v>
      </c>
      <c r="S39" s="225">
        <f t="shared" si="3"/>
        <v>1200</v>
      </c>
      <c r="T39" s="238"/>
      <c r="U39" s="228">
        <f t="shared" si="4"/>
        <v>1</v>
      </c>
      <c r="V39" s="397"/>
      <c r="W39" s="146"/>
    </row>
    <row r="40" spans="2:23" s="145" customFormat="1" ht="20.100000000000001" customHeight="1">
      <c r="B40" s="396">
        <v>35</v>
      </c>
      <c r="C40" s="226" t="s">
        <v>89</v>
      </c>
      <c r="D40" s="236" t="s">
        <v>144</v>
      </c>
      <c r="E40" s="221" t="s">
        <v>183</v>
      </c>
      <c r="F40" s="221">
        <v>30</v>
      </c>
      <c r="G40" s="222" t="s">
        <v>185</v>
      </c>
      <c r="H40" s="222" t="s">
        <v>185</v>
      </c>
      <c r="I40" s="233" t="s">
        <v>186</v>
      </c>
      <c r="J40" s="224">
        <v>85</v>
      </c>
      <c r="K40" s="224">
        <f t="shared" si="0"/>
        <v>2550</v>
      </c>
      <c r="L40" s="237"/>
      <c r="M40" s="228">
        <v>1</v>
      </c>
      <c r="N40" s="223">
        <v>85</v>
      </c>
      <c r="O40" s="225">
        <f t="shared" si="1"/>
        <v>2550</v>
      </c>
      <c r="P40" s="238"/>
      <c r="Q40" s="228">
        <f t="shared" si="2"/>
        <v>1</v>
      </c>
      <c r="R40" s="223">
        <v>85</v>
      </c>
      <c r="S40" s="225">
        <f t="shared" si="3"/>
        <v>2550</v>
      </c>
      <c r="T40" s="238"/>
      <c r="U40" s="228">
        <f t="shared" si="4"/>
        <v>1</v>
      </c>
      <c r="V40" s="397"/>
      <c r="W40" s="146"/>
    </row>
    <row r="41" spans="2:23" s="145" customFormat="1" ht="20.100000000000001" customHeight="1">
      <c r="B41" s="396">
        <v>36</v>
      </c>
      <c r="C41" s="226" t="s">
        <v>89</v>
      </c>
      <c r="D41" s="236" t="s">
        <v>145</v>
      </c>
      <c r="E41" s="221" t="s">
        <v>183</v>
      </c>
      <c r="F41" s="221">
        <v>15</v>
      </c>
      <c r="G41" s="222" t="s">
        <v>185</v>
      </c>
      <c r="H41" s="222" t="s">
        <v>185</v>
      </c>
      <c r="I41" s="233" t="s">
        <v>186</v>
      </c>
      <c r="J41" s="224">
        <v>120</v>
      </c>
      <c r="K41" s="224">
        <f t="shared" si="0"/>
        <v>1800</v>
      </c>
      <c r="L41" s="237"/>
      <c r="M41" s="228">
        <v>1</v>
      </c>
      <c r="N41" s="223">
        <v>120</v>
      </c>
      <c r="O41" s="225">
        <f t="shared" si="1"/>
        <v>1800</v>
      </c>
      <c r="P41" s="238"/>
      <c r="Q41" s="228">
        <f t="shared" si="2"/>
        <v>1</v>
      </c>
      <c r="R41" s="223">
        <v>120</v>
      </c>
      <c r="S41" s="225">
        <f t="shared" si="3"/>
        <v>1800</v>
      </c>
      <c r="T41" s="238"/>
      <c r="U41" s="228">
        <f t="shared" si="4"/>
        <v>1</v>
      </c>
      <c r="V41" s="397"/>
      <c r="W41" s="146"/>
    </row>
    <row r="42" spans="2:23" s="145" customFormat="1" ht="20.100000000000001" customHeight="1">
      <c r="B42" s="396">
        <v>37</v>
      </c>
      <c r="C42" s="226" t="s">
        <v>90</v>
      </c>
      <c r="D42" s="236" t="s">
        <v>146</v>
      </c>
      <c r="E42" s="221" t="s">
        <v>58</v>
      </c>
      <c r="F42" s="221">
        <v>95</v>
      </c>
      <c r="G42" s="222" t="s">
        <v>185</v>
      </c>
      <c r="H42" s="222" t="s">
        <v>185</v>
      </c>
      <c r="I42" s="233" t="s">
        <v>186</v>
      </c>
      <c r="J42" s="224">
        <v>5</v>
      </c>
      <c r="K42" s="224">
        <f t="shared" si="0"/>
        <v>475</v>
      </c>
      <c r="L42" s="237"/>
      <c r="M42" s="228">
        <v>1</v>
      </c>
      <c r="N42" s="223">
        <v>5</v>
      </c>
      <c r="O42" s="225">
        <f t="shared" si="1"/>
        <v>475</v>
      </c>
      <c r="P42" s="238"/>
      <c r="Q42" s="228">
        <f t="shared" si="2"/>
        <v>1</v>
      </c>
      <c r="R42" s="223">
        <v>5</v>
      </c>
      <c r="S42" s="225">
        <f t="shared" si="3"/>
        <v>475</v>
      </c>
      <c r="T42" s="238"/>
      <c r="U42" s="228">
        <f t="shared" si="4"/>
        <v>1</v>
      </c>
      <c r="V42" s="397"/>
      <c r="W42" s="146"/>
    </row>
    <row r="43" spans="2:23" s="145" customFormat="1" ht="20.100000000000001" customHeight="1">
      <c r="B43" s="396">
        <v>38</v>
      </c>
      <c r="C43" s="226" t="s">
        <v>90</v>
      </c>
      <c r="D43" s="236" t="s">
        <v>147</v>
      </c>
      <c r="E43" s="221" t="s">
        <v>58</v>
      </c>
      <c r="F43" s="221">
        <v>105</v>
      </c>
      <c r="G43" s="222" t="s">
        <v>185</v>
      </c>
      <c r="H43" s="222" t="s">
        <v>185</v>
      </c>
      <c r="I43" s="233" t="s">
        <v>186</v>
      </c>
      <c r="J43" s="224">
        <v>7</v>
      </c>
      <c r="K43" s="224">
        <f t="shared" si="0"/>
        <v>735</v>
      </c>
      <c r="L43" s="237"/>
      <c r="M43" s="228">
        <v>1</v>
      </c>
      <c r="N43" s="223">
        <v>7</v>
      </c>
      <c r="O43" s="225">
        <f t="shared" si="1"/>
        <v>735</v>
      </c>
      <c r="P43" s="238"/>
      <c r="Q43" s="228">
        <f t="shared" si="2"/>
        <v>1</v>
      </c>
      <c r="R43" s="223">
        <v>7</v>
      </c>
      <c r="S43" s="225">
        <f t="shared" si="3"/>
        <v>735</v>
      </c>
      <c r="T43" s="238"/>
      <c r="U43" s="228">
        <f t="shared" si="4"/>
        <v>1</v>
      </c>
      <c r="V43" s="397"/>
      <c r="W43" s="146"/>
    </row>
    <row r="44" spans="2:23" s="145" customFormat="1" ht="20.100000000000001" customHeight="1">
      <c r="B44" s="396">
        <v>39</v>
      </c>
      <c r="C44" s="226" t="s">
        <v>91</v>
      </c>
      <c r="D44" s="236" t="s">
        <v>148</v>
      </c>
      <c r="E44" s="221" t="s">
        <v>58</v>
      </c>
      <c r="F44" s="221">
        <v>120</v>
      </c>
      <c r="G44" s="222" t="s">
        <v>185</v>
      </c>
      <c r="H44" s="222" t="s">
        <v>185</v>
      </c>
      <c r="I44" s="233" t="s">
        <v>186</v>
      </c>
      <c r="J44" s="224">
        <v>2</v>
      </c>
      <c r="K44" s="224">
        <f t="shared" si="0"/>
        <v>240</v>
      </c>
      <c r="L44" s="237"/>
      <c r="M44" s="228">
        <v>1</v>
      </c>
      <c r="N44" s="223">
        <v>2</v>
      </c>
      <c r="O44" s="225">
        <f t="shared" si="1"/>
        <v>240</v>
      </c>
      <c r="P44" s="238"/>
      <c r="Q44" s="228">
        <f t="shared" si="2"/>
        <v>1</v>
      </c>
      <c r="R44" s="223">
        <v>2</v>
      </c>
      <c r="S44" s="225">
        <f t="shared" si="3"/>
        <v>240</v>
      </c>
      <c r="T44" s="238"/>
      <c r="U44" s="228">
        <f t="shared" si="4"/>
        <v>1</v>
      </c>
      <c r="V44" s="397"/>
      <c r="W44" s="146"/>
    </row>
    <row r="45" spans="2:23" s="145" customFormat="1" ht="20.100000000000001" customHeight="1">
      <c r="B45" s="396">
        <v>40</v>
      </c>
      <c r="C45" s="226" t="s">
        <v>92</v>
      </c>
      <c r="D45" s="236" t="s">
        <v>149</v>
      </c>
      <c r="E45" s="221" t="s">
        <v>58</v>
      </c>
      <c r="F45" s="221">
        <v>120</v>
      </c>
      <c r="G45" s="222" t="s">
        <v>185</v>
      </c>
      <c r="H45" s="222" t="s">
        <v>185</v>
      </c>
      <c r="I45" s="233" t="s">
        <v>186</v>
      </c>
      <c r="J45" s="224">
        <v>8</v>
      </c>
      <c r="K45" s="224">
        <f t="shared" si="0"/>
        <v>960</v>
      </c>
      <c r="L45" s="237"/>
      <c r="M45" s="228">
        <v>1</v>
      </c>
      <c r="N45" s="223">
        <v>8</v>
      </c>
      <c r="O45" s="225">
        <f t="shared" si="1"/>
        <v>960</v>
      </c>
      <c r="P45" s="238"/>
      <c r="Q45" s="228">
        <f t="shared" si="2"/>
        <v>1</v>
      </c>
      <c r="R45" s="223">
        <v>8</v>
      </c>
      <c r="S45" s="225">
        <f t="shared" si="3"/>
        <v>960</v>
      </c>
      <c r="T45" s="238"/>
      <c r="U45" s="228">
        <f t="shared" si="4"/>
        <v>1</v>
      </c>
      <c r="V45" s="397"/>
      <c r="W45" s="146"/>
    </row>
    <row r="46" spans="2:23" s="145" customFormat="1" ht="20.100000000000001" customHeight="1">
      <c r="B46" s="396">
        <v>41</v>
      </c>
      <c r="C46" s="226" t="s">
        <v>92</v>
      </c>
      <c r="D46" s="236" t="s">
        <v>150</v>
      </c>
      <c r="E46" s="221" t="s">
        <v>58</v>
      </c>
      <c r="F46" s="221">
        <v>132</v>
      </c>
      <c r="G46" s="222" t="s">
        <v>185</v>
      </c>
      <c r="H46" s="222" t="s">
        <v>185</v>
      </c>
      <c r="I46" s="233" t="s">
        <v>186</v>
      </c>
      <c r="J46" s="224">
        <v>5.5</v>
      </c>
      <c r="K46" s="224">
        <f t="shared" si="0"/>
        <v>726</v>
      </c>
      <c r="L46" s="237"/>
      <c r="M46" s="228">
        <v>1</v>
      </c>
      <c r="N46" s="223">
        <v>5.5</v>
      </c>
      <c r="O46" s="225">
        <f t="shared" si="1"/>
        <v>726</v>
      </c>
      <c r="P46" s="238"/>
      <c r="Q46" s="228">
        <f t="shared" si="2"/>
        <v>1</v>
      </c>
      <c r="R46" s="223">
        <v>5.5</v>
      </c>
      <c r="S46" s="225">
        <f t="shared" si="3"/>
        <v>726</v>
      </c>
      <c r="T46" s="238"/>
      <c r="U46" s="228">
        <f t="shared" si="4"/>
        <v>1</v>
      </c>
      <c r="V46" s="397"/>
      <c r="W46" s="146"/>
    </row>
    <row r="47" spans="2:23" s="145" customFormat="1" ht="20.100000000000001" customHeight="1">
      <c r="B47" s="396">
        <v>42</v>
      </c>
      <c r="C47" s="226" t="s">
        <v>93</v>
      </c>
      <c r="D47" s="236" t="s">
        <v>151</v>
      </c>
      <c r="E47" s="221" t="s">
        <v>58</v>
      </c>
      <c r="F47" s="221">
        <v>1708</v>
      </c>
      <c r="G47" s="222" t="s">
        <v>185</v>
      </c>
      <c r="H47" s="222" t="s">
        <v>185</v>
      </c>
      <c r="I47" s="233" t="s">
        <v>186</v>
      </c>
      <c r="J47" s="224">
        <v>3</v>
      </c>
      <c r="K47" s="224">
        <f t="shared" si="0"/>
        <v>5124</v>
      </c>
      <c r="L47" s="237"/>
      <c r="M47" s="228">
        <v>1</v>
      </c>
      <c r="N47" s="223">
        <v>2.95</v>
      </c>
      <c r="O47" s="225">
        <f t="shared" si="1"/>
        <v>5038.6000000000004</v>
      </c>
      <c r="P47" s="238"/>
      <c r="Q47" s="228">
        <f t="shared" si="2"/>
        <v>0.98333333333333339</v>
      </c>
      <c r="R47" s="223">
        <v>3</v>
      </c>
      <c r="S47" s="225">
        <f t="shared" si="3"/>
        <v>5124</v>
      </c>
      <c r="T47" s="238"/>
      <c r="U47" s="228">
        <f t="shared" si="4"/>
        <v>1</v>
      </c>
      <c r="V47" s="397"/>
      <c r="W47" s="146"/>
    </row>
    <row r="48" spans="2:23" s="145" customFormat="1" ht="20.100000000000001" customHeight="1">
      <c r="B48" s="396">
        <v>43</v>
      </c>
      <c r="C48" s="226" t="s">
        <v>94</v>
      </c>
      <c r="D48" s="236" t="s">
        <v>152</v>
      </c>
      <c r="E48" s="221" t="s">
        <v>181</v>
      </c>
      <c r="F48" s="221">
        <v>6</v>
      </c>
      <c r="G48" s="222" t="s">
        <v>185</v>
      </c>
      <c r="H48" s="222" t="s">
        <v>185</v>
      </c>
      <c r="I48" s="233" t="s">
        <v>186</v>
      </c>
      <c r="J48" s="224">
        <v>85</v>
      </c>
      <c r="K48" s="224">
        <f t="shared" si="0"/>
        <v>510</v>
      </c>
      <c r="L48" s="237"/>
      <c r="M48" s="228">
        <v>1</v>
      </c>
      <c r="N48" s="223">
        <v>85</v>
      </c>
      <c r="O48" s="225">
        <f t="shared" si="1"/>
        <v>510</v>
      </c>
      <c r="P48" s="238"/>
      <c r="Q48" s="228">
        <f t="shared" si="2"/>
        <v>1</v>
      </c>
      <c r="R48" s="223">
        <v>85</v>
      </c>
      <c r="S48" s="225">
        <f t="shared" si="3"/>
        <v>510</v>
      </c>
      <c r="T48" s="238"/>
      <c r="U48" s="228">
        <f t="shared" si="4"/>
        <v>1</v>
      </c>
      <c r="V48" s="397"/>
      <c r="W48" s="146"/>
    </row>
    <row r="49" spans="2:23" s="145" customFormat="1" ht="21.75" customHeight="1">
      <c r="B49" s="399">
        <v>44</v>
      </c>
      <c r="C49" s="411" t="s">
        <v>95</v>
      </c>
      <c r="D49" s="401" t="s">
        <v>153</v>
      </c>
      <c r="E49" s="402" t="s">
        <v>183</v>
      </c>
      <c r="F49" s="402">
        <v>101</v>
      </c>
      <c r="G49" s="403" t="s">
        <v>185</v>
      </c>
      <c r="H49" s="403" t="s">
        <v>185</v>
      </c>
      <c r="I49" s="412" t="s">
        <v>186</v>
      </c>
      <c r="J49" s="406">
        <v>35</v>
      </c>
      <c r="K49" s="406">
        <f t="shared" si="0"/>
        <v>3535</v>
      </c>
      <c r="L49" s="415"/>
      <c r="M49" s="407">
        <v>1</v>
      </c>
      <c r="N49" s="405">
        <v>35</v>
      </c>
      <c r="O49" s="409">
        <f t="shared" si="1"/>
        <v>3535</v>
      </c>
      <c r="P49" s="414"/>
      <c r="Q49" s="407">
        <f t="shared" si="2"/>
        <v>1</v>
      </c>
      <c r="R49" s="406">
        <v>35</v>
      </c>
      <c r="S49" s="409">
        <f t="shared" si="3"/>
        <v>3535</v>
      </c>
      <c r="T49" s="414"/>
      <c r="U49" s="407">
        <f t="shared" si="4"/>
        <v>1</v>
      </c>
      <c r="V49" s="416"/>
      <c r="W49" s="146"/>
    </row>
    <row r="50" spans="2:23" s="145" customFormat="1" ht="20.100000000000001" customHeight="1">
      <c r="B50" s="396">
        <v>45</v>
      </c>
      <c r="C50" s="226" t="s">
        <v>96</v>
      </c>
      <c r="D50" s="236" t="s">
        <v>154</v>
      </c>
      <c r="E50" s="221" t="s">
        <v>58</v>
      </c>
      <c r="F50" s="221">
        <v>480</v>
      </c>
      <c r="G50" s="222" t="s">
        <v>185</v>
      </c>
      <c r="H50" s="222" t="s">
        <v>185</v>
      </c>
      <c r="I50" s="233" t="s">
        <v>186</v>
      </c>
      <c r="J50" s="224">
        <v>4</v>
      </c>
      <c r="K50" s="224">
        <f t="shared" si="0"/>
        <v>1920</v>
      </c>
      <c r="L50" s="237"/>
      <c r="M50" s="228">
        <v>1</v>
      </c>
      <c r="N50" s="223">
        <v>3.95</v>
      </c>
      <c r="O50" s="225">
        <f t="shared" si="1"/>
        <v>1896</v>
      </c>
      <c r="P50" s="238"/>
      <c r="Q50" s="228">
        <f t="shared" si="2"/>
        <v>0.98750000000000004</v>
      </c>
      <c r="R50" s="223">
        <v>4</v>
      </c>
      <c r="S50" s="225">
        <f t="shared" si="3"/>
        <v>1920</v>
      </c>
      <c r="T50" s="238"/>
      <c r="U50" s="228">
        <f t="shared" si="4"/>
        <v>1</v>
      </c>
      <c r="V50" s="397"/>
      <c r="W50" s="146"/>
    </row>
    <row r="51" spans="2:23" s="145" customFormat="1" ht="20.100000000000001" customHeight="1">
      <c r="B51" s="396">
        <v>46</v>
      </c>
      <c r="C51" s="226" t="s">
        <v>97</v>
      </c>
      <c r="D51" s="236" t="s">
        <v>155</v>
      </c>
      <c r="E51" s="221" t="s">
        <v>58</v>
      </c>
      <c r="F51" s="221">
        <v>24</v>
      </c>
      <c r="G51" s="222" t="s">
        <v>185</v>
      </c>
      <c r="H51" s="222" t="s">
        <v>185</v>
      </c>
      <c r="I51" s="233" t="s">
        <v>186</v>
      </c>
      <c r="J51" s="224">
        <v>4</v>
      </c>
      <c r="K51" s="224">
        <f t="shared" si="0"/>
        <v>96</v>
      </c>
      <c r="L51" s="237"/>
      <c r="M51" s="228">
        <v>1</v>
      </c>
      <c r="N51" s="223">
        <v>9</v>
      </c>
      <c r="O51" s="225">
        <f t="shared" si="1"/>
        <v>216</v>
      </c>
      <c r="P51" s="238"/>
      <c r="Q51" s="228">
        <f t="shared" si="2"/>
        <v>2.25</v>
      </c>
      <c r="R51" s="223">
        <v>9</v>
      </c>
      <c r="S51" s="225">
        <f t="shared" si="3"/>
        <v>216</v>
      </c>
      <c r="T51" s="238"/>
      <c r="U51" s="228">
        <f t="shared" si="4"/>
        <v>2.25</v>
      </c>
      <c r="V51" s="397"/>
      <c r="W51" s="146"/>
    </row>
    <row r="52" spans="2:23" s="145" customFormat="1" ht="20.100000000000001" customHeight="1">
      <c r="B52" s="396">
        <v>47</v>
      </c>
      <c r="C52" s="226" t="s">
        <v>97</v>
      </c>
      <c r="D52" s="236" t="s">
        <v>156</v>
      </c>
      <c r="E52" s="221" t="s">
        <v>58</v>
      </c>
      <c r="F52" s="221">
        <v>24</v>
      </c>
      <c r="G52" s="222" t="s">
        <v>185</v>
      </c>
      <c r="H52" s="222" t="s">
        <v>185</v>
      </c>
      <c r="I52" s="233" t="s">
        <v>186</v>
      </c>
      <c r="J52" s="224">
        <v>4</v>
      </c>
      <c r="K52" s="224">
        <f t="shared" si="0"/>
        <v>96</v>
      </c>
      <c r="L52" s="237"/>
      <c r="M52" s="228">
        <v>1</v>
      </c>
      <c r="N52" s="223">
        <v>5</v>
      </c>
      <c r="O52" s="225">
        <f t="shared" si="1"/>
        <v>120</v>
      </c>
      <c r="P52" s="238"/>
      <c r="Q52" s="228">
        <f t="shared" si="2"/>
        <v>1.25</v>
      </c>
      <c r="R52" s="223">
        <v>5</v>
      </c>
      <c r="S52" s="225">
        <f t="shared" si="3"/>
        <v>120</v>
      </c>
      <c r="T52" s="238"/>
      <c r="U52" s="228">
        <f t="shared" si="4"/>
        <v>1.25</v>
      </c>
      <c r="V52" s="397"/>
      <c r="W52" s="146"/>
    </row>
    <row r="53" spans="2:23" s="145" customFormat="1" ht="20.100000000000001" customHeight="1">
      <c r="B53" s="396">
        <v>48</v>
      </c>
      <c r="C53" s="226" t="s">
        <v>98</v>
      </c>
      <c r="D53" s="236" t="s">
        <v>157</v>
      </c>
      <c r="E53" s="221" t="s">
        <v>58</v>
      </c>
      <c r="F53" s="221">
        <v>235</v>
      </c>
      <c r="G53" s="222" t="s">
        <v>185</v>
      </c>
      <c r="H53" s="222" t="s">
        <v>185</v>
      </c>
      <c r="I53" s="233" t="s">
        <v>186</v>
      </c>
      <c r="J53" s="224">
        <v>9</v>
      </c>
      <c r="K53" s="224">
        <f t="shared" si="0"/>
        <v>2115</v>
      </c>
      <c r="L53" s="237"/>
      <c r="M53" s="228">
        <v>1</v>
      </c>
      <c r="N53" s="223">
        <v>10</v>
      </c>
      <c r="O53" s="225">
        <f t="shared" si="1"/>
        <v>2350</v>
      </c>
      <c r="P53" s="238"/>
      <c r="Q53" s="228">
        <f t="shared" si="2"/>
        <v>1.1111111111111112</v>
      </c>
      <c r="R53" s="223">
        <v>10</v>
      </c>
      <c r="S53" s="225">
        <f t="shared" si="3"/>
        <v>2350</v>
      </c>
      <c r="T53" s="238"/>
      <c r="U53" s="228">
        <f t="shared" si="4"/>
        <v>1.1111111111111112</v>
      </c>
      <c r="V53" s="397"/>
      <c r="W53" s="146"/>
    </row>
    <row r="54" spans="2:23" s="145" customFormat="1" ht="20.100000000000001" customHeight="1">
      <c r="B54" s="396">
        <v>49</v>
      </c>
      <c r="C54" s="226" t="s">
        <v>99</v>
      </c>
      <c r="D54" s="236" t="s">
        <v>158</v>
      </c>
      <c r="E54" s="221" t="s">
        <v>179</v>
      </c>
      <c r="F54" s="221">
        <v>26</v>
      </c>
      <c r="G54" s="222" t="s">
        <v>185</v>
      </c>
      <c r="H54" s="222" t="s">
        <v>185</v>
      </c>
      <c r="I54" s="233" t="s">
        <v>186</v>
      </c>
      <c r="J54" s="224">
        <v>320</v>
      </c>
      <c r="K54" s="224">
        <f t="shared" si="0"/>
        <v>8320</v>
      </c>
      <c r="L54" s="237"/>
      <c r="M54" s="228">
        <v>1</v>
      </c>
      <c r="N54" s="223">
        <v>325</v>
      </c>
      <c r="O54" s="225">
        <f t="shared" si="1"/>
        <v>8450</v>
      </c>
      <c r="P54" s="238"/>
      <c r="Q54" s="228">
        <f t="shared" si="2"/>
        <v>1.015625</v>
      </c>
      <c r="R54" s="223">
        <v>325</v>
      </c>
      <c r="S54" s="225">
        <f t="shared" si="3"/>
        <v>8450</v>
      </c>
      <c r="T54" s="238"/>
      <c r="U54" s="228">
        <f t="shared" si="4"/>
        <v>1.015625</v>
      </c>
      <c r="V54" s="397"/>
      <c r="W54" s="146"/>
    </row>
    <row r="55" spans="2:23" s="145" customFormat="1" ht="20.100000000000001" customHeight="1">
      <c r="B55" s="396">
        <v>50</v>
      </c>
      <c r="C55" s="226" t="s">
        <v>100</v>
      </c>
      <c r="D55" s="236" t="s">
        <v>159</v>
      </c>
      <c r="E55" s="221" t="s">
        <v>58</v>
      </c>
      <c r="F55" s="221">
        <v>500</v>
      </c>
      <c r="G55" s="222" t="s">
        <v>185</v>
      </c>
      <c r="H55" s="222" t="s">
        <v>185</v>
      </c>
      <c r="I55" s="233" t="s">
        <v>186</v>
      </c>
      <c r="J55" s="224">
        <v>14</v>
      </c>
      <c r="K55" s="224">
        <f t="shared" si="0"/>
        <v>7000</v>
      </c>
      <c r="L55" s="237"/>
      <c r="M55" s="228">
        <v>1</v>
      </c>
      <c r="N55" s="223">
        <v>15</v>
      </c>
      <c r="O55" s="225">
        <f t="shared" si="1"/>
        <v>7500</v>
      </c>
      <c r="P55" s="238"/>
      <c r="Q55" s="228">
        <f t="shared" si="2"/>
        <v>1.0714285714285714</v>
      </c>
      <c r="R55" s="223">
        <v>15</v>
      </c>
      <c r="S55" s="225">
        <f t="shared" si="3"/>
        <v>7500</v>
      </c>
      <c r="T55" s="238"/>
      <c r="U55" s="228">
        <f t="shared" si="4"/>
        <v>1.0714285714285714</v>
      </c>
      <c r="V55" s="397"/>
      <c r="W55" s="146"/>
    </row>
    <row r="56" spans="2:23" s="145" customFormat="1" ht="20.100000000000001" customHeight="1">
      <c r="B56" s="396">
        <v>51</v>
      </c>
      <c r="C56" s="226" t="s">
        <v>101</v>
      </c>
      <c r="D56" s="236" t="s">
        <v>160</v>
      </c>
      <c r="E56" s="221" t="s">
        <v>58</v>
      </c>
      <c r="F56" s="221">
        <v>5000</v>
      </c>
      <c r="G56" s="222" t="s">
        <v>185</v>
      </c>
      <c r="H56" s="222" t="s">
        <v>185</v>
      </c>
      <c r="I56" s="233" t="s">
        <v>186</v>
      </c>
      <c r="J56" s="224">
        <v>0.3</v>
      </c>
      <c r="K56" s="224">
        <f t="shared" si="0"/>
        <v>1500</v>
      </c>
      <c r="L56" s="237"/>
      <c r="M56" s="228">
        <v>1</v>
      </c>
      <c r="N56" s="223">
        <v>0.75</v>
      </c>
      <c r="O56" s="225">
        <f t="shared" si="1"/>
        <v>3750</v>
      </c>
      <c r="P56" s="238"/>
      <c r="Q56" s="228">
        <f t="shared" si="2"/>
        <v>2.5</v>
      </c>
      <c r="R56" s="223">
        <v>0.8</v>
      </c>
      <c r="S56" s="225">
        <f t="shared" si="3"/>
        <v>4000</v>
      </c>
      <c r="T56" s="238"/>
      <c r="U56" s="228">
        <f t="shared" si="4"/>
        <v>2.6666666666666665</v>
      </c>
      <c r="V56" s="397"/>
      <c r="W56" s="146"/>
    </row>
    <row r="57" spans="2:23" s="145" customFormat="1" ht="20.100000000000001" customHeight="1">
      <c r="B57" s="396">
        <v>52</v>
      </c>
      <c r="C57" s="226" t="s">
        <v>102</v>
      </c>
      <c r="D57" s="236" t="s">
        <v>161</v>
      </c>
      <c r="E57" s="221" t="s">
        <v>178</v>
      </c>
      <c r="F57" s="221">
        <v>60</v>
      </c>
      <c r="G57" s="222" t="s">
        <v>185</v>
      </c>
      <c r="H57" s="222" t="s">
        <v>185</v>
      </c>
      <c r="I57" s="233" t="s">
        <v>186</v>
      </c>
      <c r="J57" s="224">
        <v>14</v>
      </c>
      <c r="K57" s="224">
        <f t="shared" si="0"/>
        <v>840</v>
      </c>
      <c r="L57" s="237"/>
      <c r="M57" s="228">
        <v>1</v>
      </c>
      <c r="N57" s="223">
        <v>15</v>
      </c>
      <c r="O57" s="225">
        <f t="shared" si="1"/>
        <v>900</v>
      </c>
      <c r="P57" s="238"/>
      <c r="Q57" s="228">
        <f t="shared" si="2"/>
        <v>1.0714285714285714</v>
      </c>
      <c r="R57" s="223">
        <v>15</v>
      </c>
      <c r="S57" s="225">
        <f t="shared" si="3"/>
        <v>900</v>
      </c>
      <c r="T57" s="238"/>
      <c r="U57" s="228">
        <f t="shared" si="4"/>
        <v>1.0714285714285714</v>
      </c>
      <c r="V57" s="397"/>
      <c r="W57" s="146"/>
    </row>
    <row r="58" spans="2:23" s="145" customFormat="1" ht="20.100000000000001" customHeight="1">
      <c r="B58" s="396">
        <v>53</v>
      </c>
      <c r="C58" s="226" t="s">
        <v>103</v>
      </c>
      <c r="D58" s="236"/>
      <c r="E58" s="221" t="s">
        <v>179</v>
      </c>
      <c r="F58" s="221">
        <v>540</v>
      </c>
      <c r="G58" s="222" t="s">
        <v>185</v>
      </c>
      <c r="H58" s="222" t="s">
        <v>185</v>
      </c>
      <c r="I58" s="233" t="s">
        <v>186</v>
      </c>
      <c r="J58" s="224">
        <v>15</v>
      </c>
      <c r="K58" s="224">
        <f t="shared" si="0"/>
        <v>8100</v>
      </c>
      <c r="L58" s="237"/>
      <c r="M58" s="228">
        <v>1</v>
      </c>
      <c r="N58" s="223">
        <v>17</v>
      </c>
      <c r="O58" s="225">
        <f t="shared" si="1"/>
        <v>9180</v>
      </c>
      <c r="P58" s="238"/>
      <c r="Q58" s="228">
        <f t="shared" si="2"/>
        <v>1.1333333333333333</v>
      </c>
      <c r="R58" s="223">
        <v>17</v>
      </c>
      <c r="S58" s="225">
        <f t="shared" si="3"/>
        <v>9180</v>
      </c>
      <c r="T58" s="238"/>
      <c r="U58" s="228">
        <f t="shared" si="4"/>
        <v>1.1333333333333333</v>
      </c>
      <c r="V58" s="397"/>
      <c r="W58" s="146"/>
    </row>
    <row r="59" spans="2:23" s="145" customFormat="1" ht="20.100000000000001" customHeight="1">
      <c r="B59" s="396">
        <v>54</v>
      </c>
      <c r="C59" s="226" t="s">
        <v>104</v>
      </c>
      <c r="D59" s="236" t="s">
        <v>162</v>
      </c>
      <c r="E59" s="221" t="s">
        <v>178</v>
      </c>
      <c r="F59" s="221">
        <v>2036</v>
      </c>
      <c r="G59" s="222" t="s">
        <v>185</v>
      </c>
      <c r="H59" s="222" t="s">
        <v>185</v>
      </c>
      <c r="I59" s="233" t="s">
        <v>186</v>
      </c>
      <c r="J59" s="224">
        <v>6.5</v>
      </c>
      <c r="K59" s="224">
        <f t="shared" si="0"/>
        <v>13234</v>
      </c>
      <c r="L59" s="237"/>
      <c r="M59" s="228">
        <v>1</v>
      </c>
      <c r="N59" s="223">
        <v>6.9</v>
      </c>
      <c r="O59" s="225">
        <f t="shared" si="1"/>
        <v>14048.400000000001</v>
      </c>
      <c r="P59" s="238"/>
      <c r="Q59" s="228">
        <f t="shared" si="2"/>
        <v>1.0615384615384615</v>
      </c>
      <c r="R59" s="223">
        <v>7</v>
      </c>
      <c r="S59" s="225">
        <f t="shared" si="3"/>
        <v>14252</v>
      </c>
      <c r="T59" s="238"/>
      <c r="U59" s="228">
        <f t="shared" si="4"/>
        <v>1.0769230769230769</v>
      </c>
      <c r="V59" s="397"/>
      <c r="W59" s="146"/>
    </row>
    <row r="60" spans="2:23" s="145" customFormat="1" ht="20.100000000000001" customHeight="1">
      <c r="B60" s="396">
        <v>55</v>
      </c>
      <c r="C60" s="226" t="s">
        <v>105</v>
      </c>
      <c r="D60" s="236" t="s">
        <v>163</v>
      </c>
      <c r="E60" s="221" t="s">
        <v>183</v>
      </c>
      <c r="F60" s="221">
        <v>15</v>
      </c>
      <c r="G60" s="222" t="s">
        <v>185</v>
      </c>
      <c r="H60" s="222" t="s">
        <v>185</v>
      </c>
      <c r="I60" s="233" t="s">
        <v>186</v>
      </c>
      <c r="J60" s="224">
        <v>480</v>
      </c>
      <c r="K60" s="224">
        <f t="shared" si="0"/>
        <v>7200</v>
      </c>
      <c r="L60" s="237"/>
      <c r="M60" s="228">
        <v>1</v>
      </c>
      <c r="N60" s="223">
        <v>495</v>
      </c>
      <c r="O60" s="225">
        <f t="shared" si="1"/>
        <v>7425</v>
      </c>
      <c r="P60" s="238"/>
      <c r="Q60" s="228">
        <f t="shared" si="2"/>
        <v>1.03125</v>
      </c>
      <c r="R60" s="223">
        <v>495</v>
      </c>
      <c r="S60" s="225">
        <f t="shared" si="3"/>
        <v>7425</v>
      </c>
      <c r="T60" s="238"/>
      <c r="U60" s="228">
        <f t="shared" si="4"/>
        <v>1.03125</v>
      </c>
      <c r="V60" s="397"/>
      <c r="W60" s="146"/>
    </row>
    <row r="61" spans="2:23" s="145" customFormat="1" ht="20.100000000000001" customHeight="1">
      <c r="B61" s="396">
        <v>56</v>
      </c>
      <c r="C61" s="226" t="s">
        <v>104</v>
      </c>
      <c r="D61" s="227" t="s">
        <v>164</v>
      </c>
      <c r="E61" s="221" t="s">
        <v>178</v>
      </c>
      <c r="F61" s="221">
        <v>1304</v>
      </c>
      <c r="G61" s="222" t="s">
        <v>185</v>
      </c>
      <c r="H61" s="222" t="s">
        <v>185</v>
      </c>
      <c r="I61" s="233" t="s">
        <v>186</v>
      </c>
      <c r="J61" s="224">
        <v>7.5</v>
      </c>
      <c r="K61" s="224">
        <f t="shared" si="0"/>
        <v>9780</v>
      </c>
      <c r="L61" s="237"/>
      <c r="M61" s="228">
        <v>1</v>
      </c>
      <c r="N61" s="223">
        <v>7.9</v>
      </c>
      <c r="O61" s="225">
        <f t="shared" si="1"/>
        <v>10301.6</v>
      </c>
      <c r="P61" s="238"/>
      <c r="Q61" s="228">
        <f t="shared" si="2"/>
        <v>1.0533333333333335</v>
      </c>
      <c r="R61" s="223">
        <v>8</v>
      </c>
      <c r="S61" s="225">
        <f t="shared" si="3"/>
        <v>10432</v>
      </c>
      <c r="T61" s="238"/>
      <c r="U61" s="228">
        <f t="shared" si="4"/>
        <v>1.0666666666666667</v>
      </c>
      <c r="V61" s="397"/>
      <c r="W61" s="146"/>
    </row>
    <row r="62" spans="2:23" s="145" customFormat="1" ht="20.100000000000001" customHeight="1">
      <c r="B62" s="396">
        <v>57</v>
      </c>
      <c r="C62" s="226" t="s">
        <v>106</v>
      </c>
      <c r="D62" s="227" t="s">
        <v>165</v>
      </c>
      <c r="E62" s="221" t="s">
        <v>178</v>
      </c>
      <c r="F62" s="221">
        <v>280</v>
      </c>
      <c r="G62" s="222" t="s">
        <v>185</v>
      </c>
      <c r="H62" s="222" t="s">
        <v>185</v>
      </c>
      <c r="I62" s="233" t="s">
        <v>186</v>
      </c>
      <c r="J62" s="224">
        <v>6.5</v>
      </c>
      <c r="K62" s="224">
        <f t="shared" si="0"/>
        <v>1820</v>
      </c>
      <c r="L62" s="237"/>
      <c r="M62" s="228">
        <v>1</v>
      </c>
      <c r="N62" s="223">
        <v>8</v>
      </c>
      <c r="O62" s="225">
        <f t="shared" si="1"/>
        <v>2240</v>
      </c>
      <c r="P62" s="238"/>
      <c r="Q62" s="228">
        <f t="shared" si="2"/>
        <v>1.2307692307692308</v>
      </c>
      <c r="R62" s="223">
        <v>8</v>
      </c>
      <c r="S62" s="225">
        <f t="shared" si="3"/>
        <v>2240</v>
      </c>
      <c r="T62" s="237"/>
      <c r="U62" s="228">
        <f t="shared" si="4"/>
        <v>1.2307692307692308</v>
      </c>
      <c r="V62" s="398"/>
      <c r="W62" s="146"/>
    </row>
    <row r="63" spans="2:23" s="145" customFormat="1" ht="20.100000000000001" customHeight="1">
      <c r="B63" s="396">
        <v>58</v>
      </c>
      <c r="C63" s="226" t="s">
        <v>107</v>
      </c>
      <c r="D63" s="227" t="s">
        <v>166</v>
      </c>
      <c r="E63" s="221" t="s">
        <v>58</v>
      </c>
      <c r="F63" s="221">
        <v>1700</v>
      </c>
      <c r="G63" s="222" t="s">
        <v>185</v>
      </c>
      <c r="H63" s="222" t="s">
        <v>185</v>
      </c>
      <c r="I63" s="233" t="s">
        <v>186</v>
      </c>
      <c r="J63" s="224">
        <v>9</v>
      </c>
      <c r="K63" s="224">
        <f t="shared" si="0"/>
        <v>15300</v>
      </c>
      <c r="L63" s="237"/>
      <c r="M63" s="228">
        <v>1</v>
      </c>
      <c r="N63" s="223">
        <v>10</v>
      </c>
      <c r="O63" s="225">
        <f t="shared" si="1"/>
        <v>17000</v>
      </c>
      <c r="P63" s="238"/>
      <c r="Q63" s="228">
        <f t="shared" si="2"/>
        <v>1.1111111111111112</v>
      </c>
      <c r="R63" s="223">
        <v>10</v>
      </c>
      <c r="S63" s="225">
        <f t="shared" si="3"/>
        <v>17000</v>
      </c>
      <c r="T63" s="237"/>
      <c r="U63" s="228">
        <f t="shared" si="4"/>
        <v>1.1111111111111112</v>
      </c>
      <c r="V63" s="398"/>
      <c r="W63" s="146"/>
    </row>
    <row r="64" spans="2:23" s="145" customFormat="1" ht="20.100000000000001" customHeight="1">
      <c r="B64" s="396">
        <v>59</v>
      </c>
      <c r="C64" s="226" t="s">
        <v>108</v>
      </c>
      <c r="D64" s="227" t="s">
        <v>167</v>
      </c>
      <c r="E64" s="221" t="s">
        <v>178</v>
      </c>
      <c r="F64" s="221">
        <v>280</v>
      </c>
      <c r="G64" s="222" t="s">
        <v>185</v>
      </c>
      <c r="H64" s="222" t="s">
        <v>185</v>
      </c>
      <c r="I64" s="233" t="s">
        <v>186</v>
      </c>
      <c r="J64" s="224">
        <v>7.5</v>
      </c>
      <c r="K64" s="224">
        <f t="shared" si="0"/>
        <v>2100</v>
      </c>
      <c r="L64" s="237"/>
      <c r="M64" s="228">
        <v>1</v>
      </c>
      <c r="N64" s="223">
        <v>9</v>
      </c>
      <c r="O64" s="225">
        <f t="shared" si="1"/>
        <v>2520</v>
      </c>
      <c r="P64" s="238"/>
      <c r="Q64" s="228">
        <f t="shared" si="2"/>
        <v>1.2</v>
      </c>
      <c r="R64" s="223">
        <v>9</v>
      </c>
      <c r="S64" s="225">
        <f t="shared" si="3"/>
        <v>2520</v>
      </c>
      <c r="T64" s="237"/>
      <c r="U64" s="228">
        <f t="shared" si="4"/>
        <v>1.2</v>
      </c>
      <c r="V64" s="398"/>
      <c r="W64" s="146"/>
    </row>
    <row r="65" spans="1:27" s="145" customFormat="1" ht="20.100000000000001" customHeight="1">
      <c r="B65" s="396">
        <v>60</v>
      </c>
      <c r="C65" s="226" t="s">
        <v>109</v>
      </c>
      <c r="D65" s="227" t="s">
        <v>168</v>
      </c>
      <c r="E65" s="221" t="s">
        <v>184</v>
      </c>
      <c r="F65" s="221">
        <v>9</v>
      </c>
      <c r="G65" s="222" t="s">
        <v>185</v>
      </c>
      <c r="H65" s="222" t="s">
        <v>185</v>
      </c>
      <c r="I65" s="233" t="s">
        <v>186</v>
      </c>
      <c r="J65" s="224">
        <v>35</v>
      </c>
      <c r="K65" s="224">
        <f t="shared" si="0"/>
        <v>315</v>
      </c>
      <c r="L65" s="237"/>
      <c r="M65" s="228">
        <v>1</v>
      </c>
      <c r="N65" s="223">
        <v>37</v>
      </c>
      <c r="O65" s="225">
        <f t="shared" si="1"/>
        <v>333</v>
      </c>
      <c r="P65" s="238"/>
      <c r="Q65" s="228">
        <f t="shared" si="2"/>
        <v>1.0571428571428572</v>
      </c>
      <c r="R65" s="223">
        <v>37</v>
      </c>
      <c r="S65" s="225">
        <f t="shared" si="3"/>
        <v>333</v>
      </c>
      <c r="T65" s="237"/>
      <c r="U65" s="228">
        <f t="shared" si="4"/>
        <v>1.0571428571428572</v>
      </c>
      <c r="V65" s="398"/>
      <c r="W65" s="146"/>
    </row>
    <row r="66" spans="1:27" s="145" customFormat="1" ht="20.100000000000001" customHeight="1">
      <c r="B66" s="396">
        <v>61</v>
      </c>
      <c r="C66" s="226" t="s">
        <v>110</v>
      </c>
      <c r="D66" s="227" t="s">
        <v>169</v>
      </c>
      <c r="E66" s="221" t="s">
        <v>184</v>
      </c>
      <c r="F66" s="221">
        <v>5</v>
      </c>
      <c r="G66" s="222" t="s">
        <v>185</v>
      </c>
      <c r="H66" s="222" t="s">
        <v>185</v>
      </c>
      <c r="I66" s="233" t="s">
        <v>186</v>
      </c>
      <c r="J66" s="224">
        <v>35</v>
      </c>
      <c r="K66" s="224">
        <f t="shared" si="0"/>
        <v>175</v>
      </c>
      <c r="L66" s="237"/>
      <c r="M66" s="228">
        <v>1</v>
      </c>
      <c r="N66" s="223">
        <v>37</v>
      </c>
      <c r="O66" s="225">
        <f t="shared" si="1"/>
        <v>185</v>
      </c>
      <c r="P66" s="238"/>
      <c r="Q66" s="228">
        <f t="shared" si="2"/>
        <v>1.0571428571428572</v>
      </c>
      <c r="R66" s="223">
        <v>37</v>
      </c>
      <c r="S66" s="225">
        <f t="shared" si="3"/>
        <v>185</v>
      </c>
      <c r="T66" s="237"/>
      <c r="U66" s="228">
        <f t="shared" si="4"/>
        <v>1.0571428571428572</v>
      </c>
      <c r="V66" s="398"/>
      <c r="W66" s="146"/>
    </row>
    <row r="67" spans="1:27" s="145" customFormat="1" ht="20.100000000000001" customHeight="1">
      <c r="B67" s="396">
        <v>62</v>
      </c>
      <c r="C67" s="226" t="s">
        <v>110</v>
      </c>
      <c r="D67" s="227" t="s">
        <v>170</v>
      </c>
      <c r="E67" s="221" t="s">
        <v>184</v>
      </c>
      <c r="F67" s="221">
        <v>23</v>
      </c>
      <c r="G67" s="222" t="s">
        <v>185</v>
      </c>
      <c r="H67" s="222" t="s">
        <v>185</v>
      </c>
      <c r="I67" s="233" t="s">
        <v>186</v>
      </c>
      <c r="J67" s="224">
        <v>25</v>
      </c>
      <c r="K67" s="224">
        <f t="shared" si="0"/>
        <v>575</v>
      </c>
      <c r="L67" s="237"/>
      <c r="M67" s="228">
        <v>1</v>
      </c>
      <c r="N67" s="223">
        <v>26</v>
      </c>
      <c r="O67" s="225">
        <f t="shared" si="1"/>
        <v>598</v>
      </c>
      <c r="P67" s="238"/>
      <c r="Q67" s="228">
        <f t="shared" si="2"/>
        <v>1.04</v>
      </c>
      <c r="R67" s="223">
        <v>26</v>
      </c>
      <c r="S67" s="225">
        <f t="shared" si="3"/>
        <v>598</v>
      </c>
      <c r="T67" s="237"/>
      <c r="U67" s="228">
        <f t="shared" si="4"/>
        <v>1.04</v>
      </c>
      <c r="V67" s="398"/>
      <c r="W67" s="146"/>
    </row>
    <row r="68" spans="1:27" s="145" customFormat="1" ht="20.100000000000001" customHeight="1">
      <c r="B68" s="396">
        <v>63</v>
      </c>
      <c r="C68" s="226" t="s">
        <v>109</v>
      </c>
      <c r="D68" s="227" t="s">
        <v>171</v>
      </c>
      <c r="E68" s="221" t="s">
        <v>184</v>
      </c>
      <c r="F68" s="221">
        <v>18</v>
      </c>
      <c r="G68" s="222" t="s">
        <v>185</v>
      </c>
      <c r="H68" s="222" t="s">
        <v>185</v>
      </c>
      <c r="I68" s="233" t="s">
        <v>186</v>
      </c>
      <c r="J68" s="224">
        <v>25</v>
      </c>
      <c r="K68" s="224">
        <f t="shared" si="0"/>
        <v>450</v>
      </c>
      <c r="L68" s="237"/>
      <c r="M68" s="228">
        <v>1</v>
      </c>
      <c r="N68" s="223">
        <v>26</v>
      </c>
      <c r="O68" s="225">
        <f t="shared" si="1"/>
        <v>468</v>
      </c>
      <c r="P68" s="238"/>
      <c r="Q68" s="228">
        <f t="shared" si="2"/>
        <v>1.04</v>
      </c>
      <c r="R68" s="223">
        <v>26</v>
      </c>
      <c r="S68" s="225">
        <f t="shared" si="3"/>
        <v>468</v>
      </c>
      <c r="T68" s="237"/>
      <c r="U68" s="228">
        <f t="shared" si="4"/>
        <v>1.04</v>
      </c>
      <c r="V68" s="398"/>
      <c r="W68" s="146"/>
    </row>
    <row r="69" spans="1:27" s="145" customFormat="1" ht="20.100000000000001" customHeight="1">
      <c r="B69" s="396">
        <v>64</v>
      </c>
      <c r="C69" s="226" t="s">
        <v>110</v>
      </c>
      <c r="D69" s="227" t="s">
        <v>172</v>
      </c>
      <c r="E69" s="221" t="s">
        <v>184</v>
      </c>
      <c r="F69" s="221">
        <v>3</v>
      </c>
      <c r="G69" s="222" t="s">
        <v>185</v>
      </c>
      <c r="H69" s="222" t="s">
        <v>185</v>
      </c>
      <c r="I69" s="233" t="s">
        <v>186</v>
      </c>
      <c r="J69" s="224">
        <v>25</v>
      </c>
      <c r="K69" s="224">
        <f t="shared" si="0"/>
        <v>75</v>
      </c>
      <c r="L69" s="237"/>
      <c r="M69" s="228">
        <v>1</v>
      </c>
      <c r="N69" s="223">
        <v>26</v>
      </c>
      <c r="O69" s="225">
        <f t="shared" si="1"/>
        <v>78</v>
      </c>
      <c r="P69" s="238"/>
      <c r="Q69" s="228">
        <f t="shared" si="2"/>
        <v>1.04</v>
      </c>
      <c r="R69" s="223">
        <v>26</v>
      </c>
      <c r="S69" s="225">
        <f t="shared" si="3"/>
        <v>78</v>
      </c>
      <c r="T69" s="237"/>
      <c r="U69" s="228">
        <f t="shared" si="4"/>
        <v>1.04</v>
      </c>
      <c r="V69" s="398"/>
      <c r="W69" s="146"/>
    </row>
    <row r="70" spans="1:27" s="145" customFormat="1" ht="20.100000000000001" customHeight="1">
      <c r="B70" s="396">
        <v>65</v>
      </c>
      <c r="C70" s="226" t="s">
        <v>111</v>
      </c>
      <c r="D70" s="227" t="s">
        <v>173</v>
      </c>
      <c r="E70" s="221" t="s">
        <v>58</v>
      </c>
      <c r="F70" s="221">
        <v>300</v>
      </c>
      <c r="G70" s="222" t="s">
        <v>185</v>
      </c>
      <c r="H70" s="222" t="s">
        <v>185</v>
      </c>
      <c r="I70" s="233" t="s">
        <v>186</v>
      </c>
      <c r="J70" s="224">
        <v>7.5</v>
      </c>
      <c r="K70" s="224">
        <f t="shared" si="0"/>
        <v>2250</v>
      </c>
      <c r="L70" s="237"/>
      <c r="M70" s="228">
        <v>1</v>
      </c>
      <c r="N70" s="223">
        <v>8</v>
      </c>
      <c r="O70" s="225">
        <f t="shared" si="1"/>
        <v>2400</v>
      </c>
      <c r="P70" s="238"/>
      <c r="Q70" s="228">
        <f t="shared" si="2"/>
        <v>1.0666666666666667</v>
      </c>
      <c r="R70" s="223">
        <v>8</v>
      </c>
      <c r="S70" s="225">
        <f t="shared" si="3"/>
        <v>2400</v>
      </c>
      <c r="T70" s="237"/>
      <c r="U70" s="228">
        <f t="shared" si="4"/>
        <v>1.0666666666666667</v>
      </c>
      <c r="V70" s="398"/>
      <c r="W70" s="146"/>
    </row>
    <row r="71" spans="1:27" s="145" customFormat="1" ht="20.100000000000001" customHeight="1">
      <c r="B71" s="396">
        <v>66</v>
      </c>
      <c r="C71" s="226" t="s">
        <v>88</v>
      </c>
      <c r="D71" s="227" t="s">
        <v>174</v>
      </c>
      <c r="E71" s="221" t="s">
        <v>183</v>
      </c>
      <c r="F71" s="221">
        <v>50</v>
      </c>
      <c r="G71" s="222" t="s">
        <v>185</v>
      </c>
      <c r="H71" s="222" t="s">
        <v>185</v>
      </c>
      <c r="I71" s="233" t="s">
        <v>186</v>
      </c>
      <c r="J71" s="224">
        <v>7</v>
      </c>
      <c r="K71" s="224">
        <f t="shared" ref="K71:K74" si="5">J71*F71</f>
        <v>350</v>
      </c>
      <c r="L71" s="237"/>
      <c r="M71" s="228">
        <v>1</v>
      </c>
      <c r="N71" s="223">
        <v>8</v>
      </c>
      <c r="O71" s="225">
        <f t="shared" si="1"/>
        <v>400</v>
      </c>
      <c r="P71" s="238"/>
      <c r="Q71" s="228">
        <f t="shared" si="2"/>
        <v>1.1428571428571428</v>
      </c>
      <c r="R71" s="223">
        <v>8</v>
      </c>
      <c r="S71" s="225">
        <f t="shared" si="3"/>
        <v>400</v>
      </c>
      <c r="T71" s="237"/>
      <c r="U71" s="228">
        <f t="shared" si="4"/>
        <v>1.1428571428571428</v>
      </c>
      <c r="V71" s="398"/>
      <c r="W71" s="146"/>
    </row>
    <row r="72" spans="1:27" s="145" customFormat="1" ht="20.100000000000001" customHeight="1">
      <c r="B72" s="396">
        <v>67</v>
      </c>
      <c r="C72" s="226" t="s">
        <v>89</v>
      </c>
      <c r="D72" s="227" t="s">
        <v>175</v>
      </c>
      <c r="E72" s="221" t="s">
        <v>183</v>
      </c>
      <c r="F72" s="221">
        <v>20</v>
      </c>
      <c r="G72" s="222" t="s">
        <v>185</v>
      </c>
      <c r="H72" s="222" t="s">
        <v>185</v>
      </c>
      <c r="I72" s="233" t="s">
        <v>186</v>
      </c>
      <c r="J72" s="224">
        <v>22</v>
      </c>
      <c r="K72" s="224">
        <f t="shared" si="5"/>
        <v>440</v>
      </c>
      <c r="L72" s="237"/>
      <c r="M72" s="228">
        <v>1</v>
      </c>
      <c r="N72" s="223">
        <v>22</v>
      </c>
      <c r="O72" s="225">
        <f t="shared" si="1"/>
        <v>440</v>
      </c>
      <c r="P72" s="238"/>
      <c r="Q72" s="228">
        <f t="shared" ref="Q72:Q74" si="6">O72/K72</f>
        <v>1</v>
      </c>
      <c r="R72" s="223">
        <v>22</v>
      </c>
      <c r="S72" s="225">
        <f t="shared" ref="S72:S74" si="7">R72*F72</f>
        <v>440</v>
      </c>
      <c r="T72" s="237"/>
      <c r="U72" s="228">
        <f t="shared" si="4"/>
        <v>1</v>
      </c>
      <c r="V72" s="398"/>
      <c r="W72" s="146"/>
    </row>
    <row r="73" spans="1:27" s="145" customFormat="1" ht="20.100000000000001" customHeight="1">
      <c r="B73" s="396">
        <v>68</v>
      </c>
      <c r="C73" s="226" t="s">
        <v>80</v>
      </c>
      <c r="D73" s="227" t="s">
        <v>176</v>
      </c>
      <c r="E73" s="221" t="s">
        <v>181</v>
      </c>
      <c r="F73" s="221">
        <v>8</v>
      </c>
      <c r="G73" s="222" t="s">
        <v>185</v>
      </c>
      <c r="H73" s="222" t="s">
        <v>185</v>
      </c>
      <c r="I73" s="233" t="s">
        <v>186</v>
      </c>
      <c r="J73" s="224">
        <v>45</v>
      </c>
      <c r="K73" s="224">
        <f t="shared" si="5"/>
        <v>360</v>
      </c>
      <c r="L73" s="238"/>
      <c r="M73" s="228">
        <v>1</v>
      </c>
      <c r="N73" s="223">
        <v>45</v>
      </c>
      <c r="O73" s="225">
        <f t="shared" si="1"/>
        <v>360</v>
      </c>
      <c r="P73" s="238"/>
      <c r="Q73" s="228">
        <f t="shared" si="6"/>
        <v>1</v>
      </c>
      <c r="R73" s="223">
        <v>45</v>
      </c>
      <c r="S73" s="225">
        <f t="shared" si="7"/>
        <v>360</v>
      </c>
      <c r="T73" s="238"/>
      <c r="U73" s="228">
        <f t="shared" si="4"/>
        <v>1</v>
      </c>
      <c r="V73" s="397"/>
      <c r="W73" s="146"/>
    </row>
    <row r="74" spans="1:27" s="145" customFormat="1" ht="20.100000000000001" customHeight="1">
      <c r="B74" s="399">
        <v>69</v>
      </c>
      <c r="C74" s="400" t="s">
        <v>112</v>
      </c>
      <c r="D74" s="401" t="s">
        <v>177</v>
      </c>
      <c r="E74" s="402" t="s">
        <v>181</v>
      </c>
      <c r="F74" s="402">
        <v>4</v>
      </c>
      <c r="G74" s="403" t="s">
        <v>185</v>
      </c>
      <c r="H74" s="403" t="s">
        <v>185</v>
      </c>
      <c r="I74" s="404" t="s">
        <v>186</v>
      </c>
      <c r="J74" s="406">
        <v>45</v>
      </c>
      <c r="K74" s="406">
        <f t="shared" si="5"/>
        <v>180</v>
      </c>
      <c r="L74" s="414"/>
      <c r="M74" s="407">
        <v>1</v>
      </c>
      <c r="N74" s="408">
        <v>46</v>
      </c>
      <c r="O74" s="409">
        <f t="shared" ref="O74" si="8">N74*F74</f>
        <v>184</v>
      </c>
      <c r="P74" s="414"/>
      <c r="Q74" s="407">
        <f t="shared" si="6"/>
        <v>1.0222222222222221</v>
      </c>
      <c r="R74" s="406">
        <v>46</v>
      </c>
      <c r="S74" s="409">
        <f t="shared" si="7"/>
        <v>184</v>
      </c>
      <c r="T74" s="414"/>
      <c r="U74" s="407">
        <f t="shared" si="4"/>
        <v>1.0222222222222221</v>
      </c>
      <c r="V74" s="410"/>
      <c r="W74" s="146"/>
    </row>
    <row r="75" spans="1:27" s="133" customFormat="1" ht="33" customHeight="1">
      <c r="A75" s="134"/>
      <c r="B75" s="235"/>
      <c r="C75" s="322" t="s">
        <v>21</v>
      </c>
      <c r="D75" s="323"/>
      <c r="E75" s="323"/>
      <c r="F75" s="323"/>
      <c r="G75" s="310" t="str">
        <f>G4</f>
        <v>Previous Price</v>
      </c>
      <c r="H75" s="311"/>
      <c r="I75" s="312"/>
      <c r="J75" s="310" t="str">
        <f>J4</f>
        <v>ACE JUBAIL (ABDULLAH AL BUAINAIN GEN CONT. EST)</v>
      </c>
      <c r="K75" s="362"/>
      <c r="L75" s="362"/>
      <c r="M75" s="363"/>
      <c r="N75" s="310" t="str">
        <f>N4</f>
        <v>GULF RESOURCE TRADING CO. L.L.C.</v>
      </c>
      <c r="O75" s="362"/>
      <c r="P75" s="362"/>
      <c r="Q75" s="363"/>
      <c r="R75" s="364" t="str">
        <f>R4</f>
        <v xml:space="preserve">HOUSE OF TRADES COMPANY </v>
      </c>
      <c r="S75" s="365"/>
      <c r="T75" s="365"/>
      <c r="U75" s="366"/>
      <c r="V75" s="234"/>
      <c r="W75" s="147"/>
    </row>
    <row r="76" spans="1:27" s="133" customFormat="1" ht="21.75" customHeight="1">
      <c r="A76" s="134"/>
      <c r="B76" s="148"/>
      <c r="C76" s="149"/>
      <c r="D76" s="367" t="s">
        <v>22</v>
      </c>
      <c r="E76" s="367"/>
      <c r="F76" s="368"/>
      <c r="G76" s="306">
        <f>SUM(H6:H74)</f>
        <v>0</v>
      </c>
      <c r="H76" s="307"/>
      <c r="I76" s="152"/>
      <c r="J76" s="231"/>
      <c r="K76" s="229">
        <f>SUM(K6:K74)</f>
        <v>179626</v>
      </c>
      <c r="L76" s="151"/>
      <c r="M76" s="152">
        <f>AVERAGE(M6:M65)</f>
        <v>1</v>
      </c>
      <c r="N76" s="153"/>
      <c r="O76" s="229">
        <f>SUM(O6:O74)</f>
        <v>189785</v>
      </c>
      <c r="P76" s="150"/>
      <c r="Q76" s="154">
        <f>O76/K76</f>
        <v>1.0565564005210828</v>
      </c>
      <c r="R76" s="153"/>
      <c r="S76" s="229">
        <f>SUM(S6:S74)</f>
        <v>190725.9</v>
      </c>
      <c r="T76" s="150"/>
      <c r="U76" s="155">
        <f>S76/K76</f>
        <v>1.0617945063632213</v>
      </c>
      <c r="V76" s="156"/>
      <c r="W76" s="147"/>
    </row>
    <row r="77" spans="1:27" ht="21.75" customHeight="1" thickBot="1">
      <c r="B77" s="157"/>
      <c r="C77" s="319" t="s">
        <v>23</v>
      </c>
      <c r="D77" s="320"/>
      <c r="E77" s="320"/>
      <c r="F77" s="321"/>
      <c r="G77" s="308">
        <f>G76*15%</f>
        <v>0</v>
      </c>
      <c r="H77" s="309"/>
      <c r="I77" s="161"/>
      <c r="J77" s="158"/>
      <c r="K77" s="230">
        <f>K76*15%</f>
        <v>26943.899999999998</v>
      </c>
      <c r="L77" s="160"/>
      <c r="M77" s="161"/>
      <c r="N77" s="162"/>
      <c r="O77" s="230">
        <f>O76*15%</f>
        <v>28467.75</v>
      </c>
      <c r="P77" s="160"/>
      <c r="Q77" s="161"/>
      <c r="R77" s="162"/>
      <c r="S77" s="230">
        <f>S76*15%</f>
        <v>28608.884999999998</v>
      </c>
      <c r="T77" s="159"/>
      <c r="U77" s="163"/>
      <c r="V77" s="164"/>
      <c r="W77" s="147"/>
    </row>
    <row r="78" spans="1:27" ht="25.15" customHeight="1" thickBot="1">
      <c r="B78" s="316" t="s">
        <v>45</v>
      </c>
      <c r="C78" s="317"/>
      <c r="D78" s="317"/>
      <c r="E78" s="317"/>
      <c r="F78" s="318"/>
      <c r="G78" s="304">
        <f>SUM(G76:H77)</f>
        <v>0</v>
      </c>
      <c r="H78" s="305"/>
      <c r="I78" s="232">
        <f>G78/K78</f>
        <v>0</v>
      </c>
      <c r="J78" s="232"/>
      <c r="K78" s="166">
        <f>SUM(K76:K77)</f>
        <v>206569.9</v>
      </c>
      <c r="L78" s="167"/>
      <c r="M78" s="168">
        <v>1</v>
      </c>
      <c r="N78" s="169"/>
      <c r="O78" s="166">
        <f>SUM(O76:O77)</f>
        <v>218252.75</v>
      </c>
      <c r="P78" s="167"/>
      <c r="Q78" s="170">
        <f>O78/K78</f>
        <v>1.0565564005210828</v>
      </c>
      <c r="R78" s="165"/>
      <c r="S78" s="166">
        <f>SUM(S76:S77)</f>
        <v>219334.785</v>
      </c>
      <c r="T78" s="167"/>
      <c r="U78" s="168">
        <f>S78/K78</f>
        <v>1.0617945063632215</v>
      </c>
      <c r="V78" s="171"/>
      <c r="W78" s="172"/>
    </row>
    <row r="79" spans="1:27" s="173" customFormat="1" ht="12" customHeight="1">
      <c r="B79" s="174"/>
      <c r="C79" s="175"/>
      <c r="D79" s="175"/>
      <c r="E79" s="176"/>
      <c r="F79" s="176"/>
      <c r="G79" s="176"/>
      <c r="H79" s="176"/>
      <c r="I79" s="176"/>
      <c r="J79" s="177"/>
      <c r="K79" s="177"/>
      <c r="L79" s="177"/>
      <c r="M79" s="178"/>
      <c r="N79" s="177"/>
      <c r="O79" s="177"/>
      <c r="P79" s="177"/>
      <c r="Q79" s="178"/>
      <c r="R79" s="178"/>
      <c r="S79" s="178"/>
      <c r="T79" s="178"/>
      <c r="U79" s="178"/>
      <c r="V79" s="179"/>
      <c r="W79" s="180"/>
      <c r="X79" s="181"/>
      <c r="Y79" s="181"/>
      <c r="Z79" s="181"/>
      <c r="AA79" s="181"/>
    </row>
    <row r="80" spans="1:27" ht="18" customHeight="1" thickBot="1">
      <c r="A80" s="135" t="s">
        <v>44</v>
      </c>
      <c r="B80" s="135"/>
      <c r="C80" s="136"/>
      <c r="D80" s="137"/>
      <c r="E80" s="135"/>
      <c r="F80" s="135"/>
      <c r="G80" s="135"/>
      <c r="H80" s="135"/>
      <c r="I80" s="135"/>
      <c r="J80" s="135"/>
      <c r="K80" s="135"/>
      <c r="L80" s="135"/>
      <c r="M80" s="138"/>
      <c r="N80" s="135"/>
      <c r="O80" s="135"/>
      <c r="P80" s="135"/>
      <c r="Q80" s="138"/>
      <c r="R80" s="138"/>
      <c r="S80" s="138"/>
      <c r="T80" s="138"/>
      <c r="U80" s="138"/>
      <c r="V80" s="142" t="s">
        <v>25</v>
      </c>
      <c r="W80" s="142"/>
    </row>
    <row r="81" spans="1:27" ht="23.25" customHeight="1" thickBot="1">
      <c r="B81" s="143" t="s">
        <v>46</v>
      </c>
      <c r="C81" s="355" t="s">
        <v>47</v>
      </c>
      <c r="D81" s="356"/>
      <c r="E81" s="355" t="s">
        <v>48</v>
      </c>
      <c r="F81" s="357"/>
      <c r="G81" s="357"/>
      <c r="H81" s="357"/>
      <c r="I81" s="356"/>
      <c r="J81" s="345" t="s">
        <v>49</v>
      </c>
      <c r="K81" s="346"/>
      <c r="L81" s="347" t="s">
        <v>50</v>
      </c>
      <c r="M81" s="348"/>
      <c r="N81" s="345" t="s">
        <v>51</v>
      </c>
      <c r="O81" s="346"/>
      <c r="P81" s="347" t="s">
        <v>50</v>
      </c>
      <c r="Q81" s="348"/>
      <c r="R81" s="345" t="s">
        <v>51</v>
      </c>
      <c r="S81" s="346"/>
      <c r="T81" s="347" t="s">
        <v>50</v>
      </c>
      <c r="U81" s="348"/>
      <c r="V81" s="182" t="s">
        <v>52</v>
      </c>
      <c r="W81" s="183"/>
    </row>
    <row r="82" spans="1:27" s="173" customFormat="1" ht="25.15" customHeight="1" thickTop="1">
      <c r="B82" s="184">
        <v>1</v>
      </c>
      <c r="C82" s="349" t="str">
        <f>+J75</f>
        <v>ACE JUBAIL (ABDULLAH AL BUAINAIN GEN CONT. EST)</v>
      </c>
      <c r="D82" s="350"/>
      <c r="E82" s="336">
        <f>K78</f>
        <v>206569.9</v>
      </c>
      <c r="F82" s="337"/>
      <c r="G82" s="337"/>
      <c r="H82" s="337"/>
      <c r="I82" s="338"/>
      <c r="J82" s="351">
        <f>K78</f>
        <v>206569.9</v>
      </c>
      <c r="K82" s="352"/>
      <c r="L82" s="353">
        <v>1</v>
      </c>
      <c r="M82" s="354"/>
      <c r="N82" s="351">
        <f>E82</f>
        <v>206569.9</v>
      </c>
      <c r="O82" s="352"/>
      <c r="P82" s="353">
        <f>N82/E82</f>
        <v>1</v>
      </c>
      <c r="Q82" s="354">
        <f>N82/E82</f>
        <v>1</v>
      </c>
      <c r="R82" s="351">
        <f>E82</f>
        <v>206569.9</v>
      </c>
      <c r="S82" s="352"/>
      <c r="T82" s="353">
        <f>R82/E82</f>
        <v>1</v>
      </c>
      <c r="U82" s="354">
        <f>R82/E82</f>
        <v>1</v>
      </c>
      <c r="V82" s="185"/>
      <c r="W82" s="186"/>
      <c r="X82" s="181"/>
      <c r="Y82" s="181"/>
      <c r="Z82" s="181"/>
      <c r="AA82" s="181"/>
    </row>
    <row r="83" spans="1:27" s="173" customFormat="1" ht="25.15" customHeight="1">
      <c r="B83" s="187">
        <v>2</v>
      </c>
      <c r="C83" s="328" t="str">
        <f>+N75</f>
        <v>GULF RESOURCE TRADING CO. L.L.C.</v>
      </c>
      <c r="D83" s="329"/>
      <c r="E83" s="339"/>
      <c r="F83" s="340"/>
      <c r="G83" s="340"/>
      <c r="H83" s="340"/>
      <c r="I83" s="341"/>
      <c r="J83" s="330">
        <f>O78</f>
        <v>218252.75</v>
      </c>
      <c r="K83" s="331"/>
      <c r="L83" s="332">
        <f>J83/E82</f>
        <v>1.0565564005210828</v>
      </c>
      <c r="M83" s="333"/>
      <c r="N83" s="330">
        <f>J83</f>
        <v>218252.75</v>
      </c>
      <c r="O83" s="331"/>
      <c r="P83" s="332">
        <f>N83/E82</f>
        <v>1.0565564005210828</v>
      </c>
      <c r="Q83" s="333">
        <v>1</v>
      </c>
      <c r="R83" s="330">
        <f>N83</f>
        <v>218252.75</v>
      </c>
      <c r="S83" s="331"/>
      <c r="T83" s="332">
        <f>R83/E82</f>
        <v>1.0565564005210828</v>
      </c>
      <c r="U83" s="333">
        <v>1</v>
      </c>
      <c r="V83" s="188"/>
      <c r="W83" s="186"/>
      <c r="X83" s="181"/>
      <c r="Y83" s="181"/>
      <c r="Z83" s="181"/>
      <c r="AA83" s="181"/>
    </row>
    <row r="84" spans="1:27" s="173" customFormat="1" ht="25.15" customHeight="1" thickBot="1">
      <c r="B84" s="189">
        <v>3</v>
      </c>
      <c r="C84" s="334" t="str">
        <f>+R75</f>
        <v xml:space="preserve">HOUSE OF TRADES COMPANY </v>
      </c>
      <c r="D84" s="335"/>
      <c r="E84" s="342"/>
      <c r="F84" s="343"/>
      <c r="G84" s="343"/>
      <c r="H84" s="343"/>
      <c r="I84" s="344"/>
      <c r="J84" s="326">
        <f>S78</f>
        <v>219334.785</v>
      </c>
      <c r="K84" s="327"/>
      <c r="L84" s="324">
        <f>J84/E82</f>
        <v>1.0617945063632215</v>
      </c>
      <c r="M84" s="325"/>
      <c r="N84" s="326">
        <f>J84</f>
        <v>219334.785</v>
      </c>
      <c r="O84" s="327"/>
      <c r="P84" s="324">
        <f>N84/E82</f>
        <v>1.0617945063632215</v>
      </c>
      <c r="Q84" s="325"/>
      <c r="R84" s="326">
        <f>J84</f>
        <v>219334.785</v>
      </c>
      <c r="S84" s="327"/>
      <c r="T84" s="324">
        <f>R84/E82</f>
        <v>1.0617945063632215</v>
      </c>
      <c r="U84" s="325"/>
      <c r="V84" s="190"/>
      <c r="W84" s="186"/>
      <c r="X84" s="181"/>
      <c r="Y84" s="181"/>
      <c r="Z84" s="181"/>
      <c r="AA84" s="181"/>
    </row>
    <row r="85" spans="1:27" s="173" customFormat="1" ht="12" customHeight="1">
      <c r="B85" s="174"/>
      <c r="C85" s="175"/>
      <c r="D85" s="175"/>
      <c r="E85" s="176"/>
      <c r="F85" s="176"/>
      <c r="G85" s="176"/>
      <c r="H85" s="176"/>
      <c r="I85" s="176"/>
      <c r="J85" s="177"/>
      <c r="K85" s="177"/>
      <c r="L85" s="177"/>
      <c r="M85" s="178"/>
      <c r="N85" s="177"/>
      <c r="O85" s="177"/>
      <c r="P85" s="177"/>
      <c r="Q85" s="178"/>
      <c r="R85" s="178"/>
      <c r="S85" s="178"/>
      <c r="T85" s="178"/>
      <c r="U85" s="178"/>
      <c r="V85" s="179"/>
      <c r="W85" s="180"/>
      <c r="X85" s="181"/>
      <c r="Y85" s="181"/>
      <c r="Z85" s="181"/>
      <c r="AA85" s="181"/>
    </row>
    <row r="86" spans="1:27" ht="18" customHeight="1" thickBot="1">
      <c r="A86" s="135" t="s">
        <v>53</v>
      </c>
      <c r="B86" s="135"/>
      <c r="C86" s="136"/>
      <c r="D86" s="137"/>
      <c r="E86" s="135"/>
      <c r="F86" s="135"/>
      <c r="G86" s="135"/>
      <c r="H86" s="135"/>
      <c r="I86" s="135"/>
      <c r="J86" s="135"/>
      <c r="K86" s="135"/>
      <c r="L86" s="135"/>
      <c r="M86" s="138"/>
      <c r="N86" s="135"/>
      <c r="O86" s="135"/>
      <c r="P86" s="135"/>
      <c r="Q86" s="138"/>
      <c r="R86" s="138"/>
      <c r="S86" s="138"/>
      <c r="T86" s="138"/>
      <c r="U86" s="138"/>
      <c r="V86" s="135"/>
      <c r="W86" s="135"/>
    </row>
    <row r="87" spans="1:27" ht="19.899999999999999" customHeight="1">
      <c r="A87" s="135"/>
      <c r="B87" s="191" t="s">
        <v>55</v>
      </c>
      <c r="C87" s="192"/>
      <c r="D87" s="193"/>
      <c r="E87" s="194"/>
      <c r="F87" s="195"/>
      <c r="G87" s="195"/>
      <c r="H87" s="195"/>
      <c r="I87" s="195"/>
      <c r="J87" s="195"/>
      <c r="K87" s="195"/>
      <c r="L87" s="195"/>
      <c r="M87" s="196"/>
      <c r="N87" s="195"/>
      <c r="O87" s="195"/>
      <c r="P87" s="195"/>
      <c r="Q87" s="196"/>
      <c r="R87" s="196"/>
      <c r="S87" s="196"/>
      <c r="T87" s="196"/>
      <c r="U87" s="196"/>
      <c r="V87" s="197"/>
      <c r="W87" s="135"/>
    </row>
    <row r="88" spans="1:27" ht="19.899999999999999" customHeight="1" thickBot="1">
      <c r="A88" s="135"/>
      <c r="B88" s="198"/>
      <c r="C88" s="199"/>
      <c r="D88" s="200"/>
      <c r="E88" s="201"/>
      <c r="F88" s="202"/>
      <c r="G88" s="202"/>
      <c r="H88" s="202"/>
      <c r="I88" s="202"/>
      <c r="J88" s="202"/>
      <c r="K88" s="202"/>
      <c r="L88" s="202"/>
      <c r="M88" s="203"/>
      <c r="N88" s="202"/>
      <c r="O88" s="202"/>
      <c r="P88" s="202"/>
      <c r="Q88" s="203"/>
      <c r="R88" s="203"/>
      <c r="S88" s="203"/>
      <c r="T88" s="203"/>
      <c r="U88" s="203"/>
      <c r="V88" s="204"/>
      <c r="W88" s="135"/>
    </row>
    <row r="89" spans="1:27" s="173" customFormat="1" ht="12" customHeight="1">
      <c r="B89" s="174"/>
      <c r="C89" s="175"/>
      <c r="D89" s="175"/>
      <c r="E89" s="176"/>
      <c r="F89" s="176"/>
      <c r="G89" s="176"/>
      <c r="H89" s="176"/>
      <c r="I89" s="176"/>
      <c r="J89" s="177"/>
      <c r="K89" s="177"/>
      <c r="L89" s="177"/>
      <c r="M89" s="178"/>
      <c r="N89" s="177"/>
      <c r="O89" s="177"/>
      <c r="P89" s="177"/>
      <c r="Q89" s="178"/>
      <c r="R89" s="178"/>
      <c r="S89" s="178"/>
      <c r="T89" s="178"/>
      <c r="U89" s="178"/>
      <c r="V89" s="179"/>
      <c r="W89" s="180"/>
      <c r="X89" s="181"/>
      <c r="Y89" s="181"/>
      <c r="Z89" s="181"/>
      <c r="AA89" s="181"/>
    </row>
    <row r="90" spans="1:27" ht="18" customHeight="1" thickBot="1">
      <c r="A90" s="135" t="s">
        <v>54</v>
      </c>
      <c r="B90" s="135"/>
      <c r="C90" s="136"/>
      <c r="D90" s="137"/>
      <c r="E90" s="135"/>
      <c r="F90" s="135"/>
      <c r="G90" s="135"/>
      <c r="H90" s="135"/>
      <c r="I90" s="135"/>
      <c r="J90" s="135"/>
      <c r="K90" s="135"/>
      <c r="L90" s="135"/>
      <c r="M90" s="138"/>
      <c r="N90" s="135"/>
      <c r="O90" s="135"/>
      <c r="P90" s="135"/>
      <c r="Q90" s="138"/>
      <c r="R90" s="138"/>
      <c r="S90" s="138"/>
      <c r="T90" s="138"/>
      <c r="U90" s="138"/>
      <c r="V90" s="135"/>
      <c r="W90" s="135"/>
    </row>
    <row r="91" spans="1:27" ht="24.95" customHeight="1" thickBot="1">
      <c r="A91" s="135"/>
      <c r="B91" s="205" t="str">
        <f>CONCATENATE("1) Selected"," ' ",J4," ' ","asthevendorofferingthelowestpricewhilemeetingallrequiredqualitystandards.")</f>
        <v>1) Selected ' ACE JUBAIL (ABDULLAH AL BUAINAIN GEN CONT. EST) ' asthevendorofferingthelowestpricewhilemeetingallrequiredqualitystandards.</v>
      </c>
      <c r="C91" s="206"/>
      <c r="D91" s="207"/>
      <c r="E91" s="208"/>
      <c r="F91" s="209"/>
      <c r="G91" s="209"/>
      <c r="H91" s="209"/>
      <c r="I91" s="209"/>
      <c r="J91" s="209"/>
      <c r="K91" s="209"/>
      <c r="L91" s="209"/>
      <c r="M91" s="210"/>
      <c r="N91" s="209"/>
      <c r="O91" s="209"/>
      <c r="P91" s="209"/>
      <c r="Q91" s="210"/>
      <c r="R91" s="210"/>
      <c r="S91" s="210"/>
      <c r="T91" s="210"/>
      <c r="U91" s="210"/>
      <c r="V91" s="211"/>
      <c r="W91" s="135"/>
    </row>
    <row r="92" spans="1:27" ht="18" customHeight="1">
      <c r="A92" s="135"/>
      <c r="B92" s="212"/>
      <c r="C92" s="213"/>
      <c r="D92" s="214"/>
      <c r="E92" s="212"/>
      <c r="F92" s="135"/>
      <c r="G92" s="135"/>
      <c r="H92" s="135"/>
      <c r="I92" s="135"/>
      <c r="J92" s="135"/>
      <c r="K92" s="135"/>
      <c r="L92" s="135"/>
      <c r="M92" s="138"/>
      <c r="N92" s="135"/>
      <c r="O92" s="135"/>
      <c r="P92" s="135"/>
      <c r="Q92" s="138"/>
      <c r="R92" s="138"/>
      <c r="S92" s="138"/>
      <c r="T92" s="138"/>
      <c r="U92" s="138"/>
      <c r="V92" s="135"/>
      <c r="W92" s="135"/>
    </row>
    <row r="93" spans="1:27" s="218" customFormat="1" ht="15" customHeight="1">
      <c r="A93" s="134"/>
      <c r="B93" s="215"/>
      <c r="C93" s="216"/>
      <c r="D93" s="217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133"/>
      <c r="Y93" s="133"/>
      <c r="Z93" s="133"/>
      <c r="AA93" s="133"/>
    </row>
    <row r="94" spans="1:27" s="218" customFormat="1" ht="18" customHeight="1">
      <c r="A94" s="134"/>
      <c r="B94" s="134"/>
      <c r="C94" s="139"/>
      <c r="D94" s="217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134"/>
      <c r="W94" s="134"/>
      <c r="X94" s="133"/>
      <c r="Y94" s="133"/>
      <c r="Z94" s="133"/>
      <c r="AA94" s="133"/>
    </row>
    <row r="95" spans="1:27" s="218" customFormat="1" ht="18" customHeight="1">
      <c r="A95" s="134"/>
      <c r="B95" s="134"/>
      <c r="C95" s="139"/>
      <c r="D95" s="217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134"/>
      <c r="W95" s="134"/>
      <c r="X95" s="133"/>
      <c r="Y95" s="133"/>
      <c r="Z95" s="133"/>
      <c r="AA95" s="133"/>
    </row>
    <row r="96" spans="1:27" s="218" customFormat="1" ht="18" customHeight="1">
      <c r="A96" s="134"/>
      <c r="B96" s="134"/>
      <c r="C96" s="139"/>
      <c r="D96" s="217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134"/>
      <c r="W96" s="134"/>
      <c r="X96" s="133"/>
      <c r="Y96" s="133"/>
      <c r="Z96" s="133"/>
      <c r="AA96" s="133"/>
    </row>
    <row r="97" spans="1:27" s="218" customFormat="1" ht="18" customHeight="1">
      <c r="A97" s="134"/>
      <c r="B97" s="134"/>
      <c r="C97" s="139"/>
      <c r="D97" s="217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134"/>
      <c r="W97" s="134"/>
      <c r="X97" s="133"/>
      <c r="Y97" s="133"/>
      <c r="Z97" s="133"/>
      <c r="AA97" s="133"/>
    </row>
  </sheetData>
  <mergeCells count="52">
    <mergeCell ref="J75:M75"/>
    <mergeCell ref="N75:Q75"/>
    <mergeCell ref="R75:U75"/>
    <mergeCell ref="D76:F76"/>
    <mergeCell ref="B4:B5"/>
    <mergeCell ref="C4:C5"/>
    <mergeCell ref="D4:D5"/>
    <mergeCell ref="E4:E5"/>
    <mergeCell ref="F4:F5"/>
    <mergeCell ref="N4:Q4"/>
    <mergeCell ref="R4:U4"/>
    <mergeCell ref="V4:V5"/>
    <mergeCell ref="J4:M4"/>
    <mergeCell ref="R81:S81"/>
    <mergeCell ref="T81:U81"/>
    <mergeCell ref="C82:D82"/>
    <mergeCell ref="J82:K82"/>
    <mergeCell ref="L82:M82"/>
    <mergeCell ref="N82:O82"/>
    <mergeCell ref="P82:Q82"/>
    <mergeCell ref="R82:S82"/>
    <mergeCell ref="T82:U82"/>
    <mergeCell ref="P81:Q81"/>
    <mergeCell ref="J81:K81"/>
    <mergeCell ref="L81:M81"/>
    <mergeCell ref="N81:O81"/>
    <mergeCell ref="C81:D81"/>
    <mergeCell ref="E81:I81"/>
    <mergeCell ref="P84:Q84"/>
    <mergeCell ref="R84:S84"/>
    <mergeCell ref="T84:U84"/>
    <mergeCell ref="C83:D83"/>
    <mergeCell ref="J83:K83"/>
    <mergeCell ref="L83:M83"/>
    <mergeCell ref="N83:O83"/>
    <mergeCell ref="P83:Q83"/>
    <mergeCell ref="R83:S83"/>
    <mergeCell ref="T83:U83"/>
    <mergeCell ref="C84:D84"/>
    <mergeCell ref="J84:K84"/>
    <mergeCell ref="L84:M84"/>
    <mergeCell ref="N84:O84"/>
    <mergeCell ref="E82:I84"/>
    <mergeCell ref="A3:C3"/>
    <mergeCell ref="G78:H78"/>
    <mergeCell ref="G76:H76"/>
    <mergeCell ref="G77:H77"/>
    <mergeCell ref="G75:I75"/>
    <mergeCell ref="G4:I4"/>
    <mergeCell ref="B78:F78"/>
    <mergeCell ref="C77:F77"/>
    <mergeCell ref="C75:F75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Q76 U76 U6 Q6" evalError="1"/>
    <ignoredError sqref="P83" formula="1"/>
    <ignoredError sqref="M7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shadab khan</cp:lastModifiedBy>
  <cp:lastPrinted>2026-10-26T04:15:35Z</cp:lastPrinted>
  <dcterms:created xsi:type="dcterms:W3CDTF">2023-08-14T07:13:42Z</dcterms:created>
  <dcterms:modified xsi:type="dcterms:W3CDTF">2026-10-26T04:16:06Z</dcterms:modified>
</cp:coreProperties>
</file>