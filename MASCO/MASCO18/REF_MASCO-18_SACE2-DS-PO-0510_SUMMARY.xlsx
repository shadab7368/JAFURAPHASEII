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hadab\PO\MASCO\MASCO18\"/>
    </mc:Choice>
  </mc:AlternateContent>
  <xr:revisionPtr revIDLastSave="0" documentId="13_ncr:1_{7C8974D4-1D20-4D0A-9C1F-C4C674150A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소모품_1차'!$A$1:$V$40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H22" i="1"/>
  <c r="H21" i="1"/>
  <c r="H20" i="1"/>
  <c r="H19" i="1"/>
  <c r="H18" i="1"/>
  <c r="H15" i="1"/>
  <c r="H16" i="1"/>
  <c r="H14" i="1"/>
  <c r="H13" i="1"/>
  <c r="H12" i="1"/>
  <c r="H6" i="1" l="1"/>
  <c r="K7" i="1"/>
  <c r="K8" i="1"/>
  <c r="K9" i="1"/>
  <c r="K10" i="1"/>
  <c r="K11" i="1"/>
  <c r="K12" i="1"/>
  <c r="K13" i="1"/>
  <c r="K14" i="1"/>
  <c r="K15" i="1"/>
  <c r="I15" i="1" s="1"/>
  <c r="K16" i="1"/>
  <c r="I16" i="1" s="1"/>
  <c r="K17" i="1"/>
  <c r="K18" i="1"/>
  <c r="I18" i="1" s="1"/>
  <c r="K19" i="1"/>
  <c r="K20" i="1"/>
  <c r="K21" i="1"/>
  <c r="K22" i="1"/>
  <c r="K23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7" i="1"/>
  <c r="O7" i="1"/>
  <c r="O8" i="1"/>
  <c r="Q8" i="1" s="1"/>
  <c r="O9" i="1"/>
  <c r="O10" i="1"/>
  <c r="O11" i="1"/>
  <c r="O12" i="1"/>
  <c r="O13" i="1"/>
  <c r="O14" i="1"/>
  <c r="O15" i="1"/>
  <c r="O16" i="1"/>
  <c r="O17" i="1"/>
  <c r="O18" i="1"/>
  <c r="O19" i="1"/>
  <c r="Q19" i="1" s="1"/>
  <c r="O20" i="1"/>
  <c r="O21" i="1"/>
  <c r="O22" i="1"/>
  <c r="O23" i="1"/>
  <c r="I12" i="1"/>
  <c r="I13" i="1"/>
  <c r="I14" i="1"/>
  <c r="I19" i="1"/>
  <c r="I22" i="1"/>
  <c r="Q18" i="1" l="1"/>
  <c r="Q15" i="1"/>
  <c r="Q9" i="1"/>
  <c r="Q21" i="1"/>
  <c r="Q20" i="1"/>
  <c r="U18" i="1"/>
  <c r="Q17" i="1"/>
  <c r="U7" i="1"/>
  <c r="U11" i="1"/>
  <c r="Q14" i="1"/>
  <c r="U8" i="1"/>
  <c r="U12" i="1"/>
  <c r="Q11" i="1"/>
  <c r="Q10" i="1"/>
  <c r="U21" i="1"/>
  <c r="I21" i="1"/>
  <c r="Q7" i="1"/>
  <c r="U19" i="1"/>
  <c r="U14" i="1"/>
  <c r="Q13" i="1"/>
  <c r="Q23" i="1"/>
  <c r="U22" i="1"/>
  <c r="U20" i="1"/>
  <c r="I20" i="1"/>
  <c r="Q12" i="1"/>
  <c r="U23" i="1"/>
  <c r="Q22" i="1"/>
  <c r="U10" i="1"/>
  <c r="U9" i="1"/>
  <c r="U13" i="1"/>
  <c r="U16" i="1"/>
  <c r="U17" i="1"/>
  <c r="U15" i="1"/>
  <c r="Q16" i="1"/>
  <c r="M25" i="1"/>
  <c r="B40" i="1"/>
  <c r="G24" i="1"/>
  <c r="S6" i="1" l="1"/>
  <c r="O6" i="1" l="1"/>
  <c r="K6" i="1" l="1"/>
  <c r="I6" i="1" s="1"/>
  <c r="R24" i="1" l="1"/>
  <c r="N24" i="1"/>
  <c r="J24" i="1"/>
  <c r="C31" i="1" s="1"/>
  <c r="O25" i="1" l="1"/>
  <c r="O26" i="1" s="1"/>
  <c r="C33" i="1"/>
  <c r="C32" i="1"/>
  <c r="K25" i="1" l="1"/>
  <c r="K26" i="1" s="1"/>
  <c r="Q6" i="1"/>
  <c r="U6" i="1" l="1"/>
  <c r="S25" i="1"/>
  <c r="S26" i="1" s="1"/>
  <c r="O27" i="1"/>
  <c r="J32" i="1" l="1"/>
  <c r="S27" i="1"/>
  <c r="J33" i="1" l="1"/>
  <c r="N32" i="1"/>
  <c r="R32" i="1" l="1"/>
  <c r="N33" i="1"/>
  <c r="R33" i="1"/>
  <c r="K27" i="1" l="1"/>
  <c r="Q25" i="1"/>
  <c r="U25" i="1"/>
  <c r="E31" i="1" l="1"/>
  <c r="U27" i="1"/>
  <c r="Q27" i="1"/>
  <c r="J31" i="1"/>
  <c r="L32" i="1" l="1"/>
  <c r="L33" i="1"/>
  <c r="R31" i="1"/>
  <c r="N31" i="1"/>
  <c r="T32" i="1"/>
  <c r="P33" i="1"/>
  <c r="T33" i="1"/>
  <c r="P32" i="1"/>
  <c r="Q31" i="1" l="1"/>
  <c r="P31" i="1"/>
  <c r="U31" i="1"/>
  <c r="T31" i="1"/>
  <c r="G25" i="1"/>
  <c r="G26" i="1" s="1"/>
  <c r="G27" i="1" l="1"/>
</calcChain>
</file>

<file path=xl/sharedStrings.xml><?xml version="1.0" encoding="utf-8"?>
<sst xmlns="http://schemas.openxmlformats.org/spreadsheetml/2006/main" count="158" uniqueCount="85">
  <si>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</si>
  <si>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</si>
  <si>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</si>
  <si>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</si>
  <si>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</si>
  <si>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</si>
  <si>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</si>
  <si>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</si>
  <si>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</si>
  <si>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</si>
  <si>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</si>
  <si>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</si>
  <si>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</si>
  <si>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</si>
  <si>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</si>
  <si>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</si>
  <si>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</si>
  <si>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</si>
  <si>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</si>
  <si>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</si>
  <si>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</si>
  <si>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</si>
  <si>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</si>
  <si>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</si>
  <si>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</si>
  <si>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</si>
  <si>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</si>
  <si>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</si>
  <si>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</si>
  <si>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</si>
  <si>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</si>
  <si>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</si>
  <si>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</si>
  <si>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</si>
  <si>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</si>
  <si>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</si>
  <si>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</si>
  <si>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</si>
  <si>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</si>
  <si>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</si>
  <si>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</si>
  <si>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</si>
  <si>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</si>
  <si>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</si>
  <si>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</si>
  <si>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</si>
  <si>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</si>
  <si>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</si>
  <si>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</si>
  <si>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</si>
  <si>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</si>
  <si>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</si>
  <si>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</si>
  <si>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</si>
  <si>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</si>
  <si>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</si>
  <si>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</si>
  <si>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</si>
  <si>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MASCO (MOHAMMED BIN ALI BIN SALMAN AL SHALAB CONTRACTING COMPANY)</t>
  </si>
  <si>
    <t>ALHARAM PERFECT MACHINERY EQUIPMENT CO LLC</t>
  </si>
  <si>
    <t>DURRA MOHAMMED AL SHALAB CONTRACTING ESTABLISHMENT</t>
  </si>
  <si>
    <t>Full Thread Bolt(Galva)</t>
  </si>
  <si>
    <t>Hex Nut (Galva)</t>
  </si>
  <si>
    <t>Flat Washer (Galva)</t>
  </si>
  <si>
    <t>1/2" x 3.5mtr</t>
  </si>
  <si>
    <t>1" x 3.5mtr</t>
  </si>
  <si>
    <t>3/4" x 3.5mtr</t>
  </si>
  <si>
    <t>5/8" x 3.5mtr</t>
  </si>
  <si>
    <t>7/8" x 3.5mtr</t>
  </si>
  <si>
    <t>1 1/2" x 3.5mtr</t>
  </si>
  <si>
    <t>1/2"</t>
  </si>
  <si>
    <t>1"</t>
  </si>
  <si>
    <t>3/4"</t>
  </si>
  <si>
    <t>5/8"</t>
  </si>
  <si>
    <t>7/8"</t>
  </si>
  <si>
    <t>1 1/2"</t>
  </si>
  <si>
    <t>1/2"(STD)</t>
  </si>
  <si>
    <t>1" (STD)</t>
  </si>
  <si>
    <t>3/4" (STD)</t>
  </si>
  <si>
    <t>5/8" (STD)</t>
  </si>
  <si>
    <t>7/8" (STD)</t>
  </si>
  <si>
    <t>1 1/2"(STD)</t>
  </si>
  <si>
    <t>Pcs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</si>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</sst>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391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5" fillId="0" borderId="0" xfId="0" applyNumberFormat="1" applyFont="1" applyAlignment="1">
      <alignment horizontal="left" vertical="center" wrapText="1"/>
    </xf>
    <xf numFmtId="0" fontId="33" fillId="0" borderId="27" xfId="0" quotePrefix="1" applyFont="1" applyBorder="1" applyAlignment="1">
      <alignment horizontal="center" vertical="center"/>
    </xf>
    <xf numFmtId="0" fontId="36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2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2" fillId="0" borderId="33" xfId="2" applyFont="1" applyFill="1" applyBorder="1" applyAlignment="1">
      <alignment horizontal="center" vertical="center"/>
    </xf>
    <xf numFmtId="9" fontId="32" fillId="0" borderId="43" xfId="2" applyFont="1" applyFill="1" applyBorder="1" applyAlignment="1">
      <alignment vertical="center"/>
    </xf>
    <xf numFmtId="3" fontId="37" fillId="0" borderId="44" xfId="0" quotePrefix="1" applyNumberFormat="1" applyFont="1" applyBorder="1" applyAlignment="1">
      <alignment vertical="center" wrapText="1"/>
    </xf>
    <xf numFmtId="0" fontId="32" fillId="0" borderId="45" xfId="0" quotePrefix="1" applyFont="1" applyBorder="1" applyAlignment="1">
      <alignment horizontal="center" vertical="center"/>
    </xf>
    <xf numFmtId="166" fontId="39" fillId="0" borderId="49" xfId="3" applyNumberFormat="1" applyFont="1" applyBorder="1">
      <alignment vertical="center"/>
    </xf>
    <xf numFmtId="167" fontId="39" fillId="0" borderId="50" xfId="3" applyNumberFormat="1" applyFont="1" applyBorder="1">
      <alignment vertical="center"/>
    </xf>
    <xf numFmtId="167" fontId="39" fillId="0" borderId="51" xfId="3" applyNumberFormat="1" applyFont="1" applyBorder="1">
      <alignment vertical="center"/>
    </xf>
    <xf numFmtId="9" fontId="39" fillId="0" borderId="52" xfId="2" applyFont="1" applyFill="1" applyBorder="1" applyAlignment="1">
      <alignment vertical="center"/>
    </xf>
    <xf numFmtId="166" fontId="39" fillId="0" borderId="53" xfId="3" applyNumberFormat="1" applyFont="1" applyBorder="1">
      <alignment vertical="center"/>
    </xf>
    <xf numFmtId="9" fontId="39" fillId="0" borderId="48" xfId="2" applyFont="1" applyFill="1" applyBorder="1" applyAlignment="1">
      <alignment vertical="center"/>
    </xf>
    <xf numFmtId="3" fontId="37" fillId="0" borderId="54" xfId="0" quotePrefix="1" applyNumberFormat="1" applyFont="1" applyBorder="1" applyAlignment="1">
      <alignment vertical="center" wrapText="1"/>
    </xf>
    <xf numFmtId="166" fontId="36" fillId="0" borderId="58" xfId="1" applyNumberFormat="1" applyFont="1" applyFill="1" applyBorder="1" applyAlignment="1">
      <alignment horizontal="right" vertical="center"/>
    </xf>
    <xf numFmtId="40" fontId="36" fillId="0" borderId="59" xfId="1" applyNumberFormat="1" applyFont="1" applyFill="1" applyBorder="1" applyAlignment="1">
      <alignment horizontal="right" vertical="center"/>
    </xf>
    <xf numFmtId="40" fontId="36" fillId="0" borderId="60" xfId="1" applyNumberFormat="1" applyFont="1" applyFill="1" applyBorder="1" applyAlignment="1">
      <alignment horizontal="right" vertical="center"/>
    </xf>
    <xf numFmtId="9" fontId="36" fillId="0" borderId="57" xfId="2" applyFont="1" applyFill="1" applyBorder="1" applyAlignment="1">
      <alignment horizontal="center" vertical="center"/>
    </xf>
    <xf numFmtId="40" fontId="36" fillId="0" borderId="58" xfId="1" applyNumberFormat="1" applyFont="1" applyFill="1" applyBorder="1" applyAlignment="1">
      <alignment horizontal="right" vertical="center"/>
    </xf>
    <xf numFmtId="9" fontId="36" fillId="0" borderId="56" xfId="2" applyFont="1" applyFill="1" applyBorder="1" applyAlignment="1">
      <alignment horizontal="center" vertical="center"/>
    </xf>
    <xf numFmtId="165" fontId="36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0" fillId="4" borderId="0" xfId="0" quotePrefix="1" applyFont="1" applyFill="1" applyAlignment="1">
      <alignment horizontal="center" vertical="center"/>
    </xf>
    <xf numFmtId="0" fontId="33" fillId="4" borderId="0" xfId="0" quotePrefix="1" applyFont="1" applyFill="1" applyAlignment="1">
      <alignment horizontal="left" vertical="center" wrapText="1"/>
    </xf>
    <xf numFmtId="40" fontId="40" fillId="0" borderId="0" xfId="1" applyNumberFormat="1" applyFont="1" applyFill="1" applyBorder="1" applyAlignment="1">
      <alignment horizontal="center" vertical="center" wrapText="1" shrinkToFit="1"/>
    </xf>
    <xf numFmtId="40" fontId="41" fillId="0" borderId="0" xfId="1" applyNumberFormat="1" applyFont="1" applyFill="1" applyBorder="1" applyAlignment="1">
      <alignment horizontal="center" vertical="center" shrinkToFit="1"/>
    </xf>
    <xf numFmtId="169" fontId="41" fillId="4" borderId="0" xfId="2" applyNumberFormat="1" applyFont="1" applyFill="1" applyBorder="1" applyAlignment="1">
      <alignment vertical="center" shrinkToFit="1"/>
    </xf>
    <xf numFmtId="164" fontId="40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2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2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2" fillId="0" borderId="91" xfId="0" applyFont="1" applyBorder="1" applyAlignment="1">
      <alignment horizontal="left" vertical="center"/>
    </xf>
    <xf numFmtId="0" fontId="43" fillId="0" borderId="92" xfId="0" applyFont="1" applyBorder="1" applyAlignment="1">
      <alignment horizontal="left" vertical="center"/>
    </xf>
    <xf numFmtId="0" fontId="43" fillId="0" borderId="92" xfId="0" applyFont="1" applyBorder="1" applyAlignment="1">
      <alignment horizontal="center" vertical="center"/>
    </xf>
    <xf numFmtId="0" fontId="43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3" fillId="0" borderId="82" xfId="3" applyNumberFormat="1" applyFont="1" applyBorder="1">
      <alignment vertical="center"/>
    </xf>
    <xf numFmtId="166" fontId="43" fillId="0" borderId="25" xfId="3" applyNumberFormat="1" applyFont="1" applyBorder="1">
      <alignment vertical="center"/>
    </xf>
    <xf numFmtId="9" fontId="43" fillId="0" borderId="22" xfId="2" applyFont="1" applyFill="1" applyBorder="1" applyAlignment="1">
      <alignment vertical="center"/>
    </xf>
    <xf numFmtId="167" fontId="43" fillId="0" borderId="25" xfId="3" applyNumberFormat="1" applyFont="1" applyBorder="1">
      <alignment vertical="center"/>
    </xf>
    <xf numFmtId="167" fontId="43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9" fontId="43" fillId="0" borderId="25" xfId="2" applyFont="1" applyFill="1" applyBorder="1" applyAlignment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39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6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3" fontId="34" fillId="0" borderId="105" xfId="0" quotePrefix="1" applyNumberFormat="1" applyFont="1" applyBorder="1" applyAlignment="1">
      <alignment vertical="center" wrapText="1"/>
    </xf>
    <xf numFmtId="0" fontId="33" fillId="0" borderId="106" xfId="0" quotePrefix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3" fillId="4" borderId="36" xfId="0" applyFont="1" applyFill="1" applyBorder="1" applyAlignment="1">
      <alignment horizontal="right" vertical="center" wrapText="1"/>
    </xf>
    <xf numFmtId="0" fontId="33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3" fillId="0" borderId="22" xfId="3" applyNumberFormat="1" applyFont="1" applyBorder="1" applyAlignment="1">
      <alignment horizontal="center" vertical="center" wrapText="1"/>
    </xf>
    <xf numFmtId="167" fontId="43" fillId="0" borderId="81" xfId="3" applyNumberFormat="1" applyFont="1" applyBorder="1" applyAlignment="1">
      <alignment horizontal="center" vertical="center" wrapText="1"/>
    </xf>
    <xf numFmtId="167" fontId="43" fillId="0" borderId="25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2" fillId="0" borderId="71" xfId="1" applyNumberFormat="1" applyFont="1" applyFill="1" applyBorder="1" applyAlignment="1">
      <alignment horizontal="center" vertical="center" shrinkToFit="1"/>
    </xf>
    <xf numFmtId="40" fontId="42" fillId="0" borderId="75" xfId="1" applyNumberFormat="1" applyFont="1" applyFill="1" applyBorder="1" applyAlignment="1">
      <alignment horizontal="center" vertical="center" shrinkToFit="1"/>
    </xf>
    <xf numFmtId="169" fontId="42" fillId="4" borderId="76" xfId="2" applyNumberFormat="1" applyFont="1" applyFill="1" applyBorder="1" applyAlignment="1">
      <alignment horizontal="center" vertical="center" shrinkToFit="1"/>
    </xf>
    <xf numFmtId="169" fontId="42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2" fillId="0" borderId="51" xfId="1" applyNumberFormat="1" applyFont="1" applyFill="1" applyBorder="1" applyAlignment="1">
      <alignment horizontal="center" vertical="center" shrinkToFit="1"/>
    </xf>
    <xf numFmtId="169" fontId="42" fillId="0" borderId="48" xfId="1" applyNumberFormat="1" applyFont="1" applyFill="1" applyBorder="1" applyAlignment="1">
      <alignment horizontal="center" vertical="center" shrinkToFit="1"/>
    </xf>
    <xf numFmtId="40" fontId="42" fillId="0" borderId="46" xfId="1" applyNumberFormat="1" applyFont="1" applyFill="1" applyBorder="1" applyAlignment="1">
      <alignment horizontal="center" vertical="center" shrinkToFit="1"/>
    </xf>
    <xf numFmtId="40" fontId="42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2" fillId="0" borderId="79" xfId="1" applyNumberFormat="1" applyFont="1" applyFill="1" applyBorder="1" applyAlignment="1">
      <alignment horizontal="center" vertical="center" shrinkToFit="1"/>
    </xf>
    <xf numFmtId="40" fontId="42" fillId="0" borderId="83" xfId="1" applyNumberFormat="1" applyFont="1" applyFill="1" applyBorder="1" applyAlignment="1">
      <alignment horizontal="center" vertical="center" shrinkToFit="1"/>
    </xf>
    <xf numFmtId="169" fontId="42" fillId="4" borderId="84" xfId="2" applyNumberFormat="1" applyFont="1" applyFill="1" applyBorder="1" applyAlignment="1">
      <alignment horizontal="center" vertical="center" shrinkToFit="1"/>
    </xf>
    <xf numFmtId="169" fontId="42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6" fillId="0" borderId="95" xfId="1" applyNumberFormat="1" applyFont="1" applyFill="1" applyBorder="1" applyAlignment="1">
      <alignment horizontal="center" vertical="center"/>
    </xf>
    <xf numFmtId="40" fontId="36" fillId="0" borderId="96" xfId="1" applyNumberFormat="1" applyFont="1" applyFill="1" applyBorder="1" applyAlignment="1">
      <alignment horizontal="center" vertical="center"/>
    </xf>
    <xf numFmtId="2" fontId="33" fillId="4" borderId="79" xfId="0" applyNumberFormat="1" applyFont="1" applyFill="1" applyBorder="1" applyAlignment="1">
      <alignment horizontal="center" vertical="center" wrapText="1"/>
    </xf>
    <xf numFmtId="2" fontId="33" fillId="4" borderId="97" xfId="0" applyNumberFormat="1" applyFont="1" applyFill="1" applyBorder="1" applyAlignment="1">
      <alignment horizontal="center" vertical="center" wrapText="1"/>
    </xf>
    <xf numFmtId="2" fontId="39" fillId="0" borderId="46" xfId="3" applyNumberFormat="1" applyFont="1" applyBorder="1" applyAlignment="1">
      <alignment horizontal="center" vertical="center"/>
    </xf>
    <xf numFmtId="2" fontId="39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6" fillId="2" borderId="55" xfId="0" applyFont="1" applyFill="1" applyBorder="1" applyAlignment="1">
      <alignment horizontal="center" vertical="center"/>
    </xf>
    <xf numFmtId="0" fontId="36" fillId="2" borderId="56" xfId="0" applyFont="1" applyFill="1" applyBorder="1" applyAlignment="1">
      <alignment horizontal="center" vertical="center"/>
    </xf>
    <xf numFmtId="0" fontId="36" fillId="2" borderId="57" xfId="0" applyFont="1" applyFill="1" applyBorder="1" applyAlignment="1">
      <alignment horizontal="center" vertical="center"/>
    </xf>
    <xf numFmtId="0" fontId="38" fillId="0" borderId="46" xfId="0" applyFont="1" applyBorder="1" applyAlignment="1">
      <alignment horizontal="right" vertical="center"/>
    </xf>
    <xf numFmtId="0" fontId="38" fillId="0" borderId="47" xfId="0" applyFont="1" applyBorder="1" applyAlignment="1">
      <alignment horizontal="right" vertical="center"/>
    </xf>
    <xf numFmtId="0" fontId="38" fillId="0" borderId="48" xfId="0" applyFont="1" applyBorder="1" applyAlignment="1">
      <alignment horizontal="right" vertical="center"/>
    </xf>
    <xf numFmtId="0" fontId="33" fillId="0" borderId="100" xfId="0" applyFont="1" applyBorder="1" applyAlignment="1">
      <alignment horizontal="center" vertical="center" wrapText="1"/>
    </xf>
    <xf numFmtId="0" fontId="33" fillId="0" borderId="101" xfId="0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98" t="s">
        <v>37</v>
      </c>
      <c r="R1" s="298"/>
      <c r="S1" s="298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47" t="s">
        <v>2</v>
      </c>
      <c r="C4" s="249" t="s">
        <v>3</v>
      </c>
      <c r="D4" s="251" t="s">
        <v>4</v>
      </c>
      <c r="E4" s="253" t="s">
        <v>5</v>
      </c>
      <c r="F4" s="255" t="s">
        <v>6</v>
      </c>
      <c r="G4" s="260" t="s">
        <v>7</v>
      </c>
      <c r="H4" s="261"/>
      <c r="I4" s="261"/>
      <c r="J4" s="262"/>
      <c r="K4" s="260" t="s">
        <v>8</v>
      </c>
      <c r="L4" s="261"/>
      <c r="M4" s="261"/>
      <c r="N4" s="262"/>
      <c r="O4" s="260" t="s">
        <v>9</v>
      </c>
      <c r="P4" s="261"/>
      <c r="Q4" s="261"/>
      <c r="R4" s="262"/>
      <c r="S4" s="263" t="s">
        <v>10</v>
      </c>
      <c r="T4" s="17"/>
    </row>
    <row r="5" spans="1:24" ht="33.75" customHeight="1" thickBot="1">
      <c r="B5" s="248"/>
      <c r="C5" s="250"/>
      <c r="D5" s="252"/>
      <c r="E5" s="254"/>
      <c r="F5" s="256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64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65"/>
      <c r="J6" s="29"/>
      <c r="K6" s="30"/>
      <c r="L6" s="28"/>
      <c r="M6" s="265"/>
      <c r="N6" s="29"/>
      <c r="O6" s="27"/>
      <c r="P6" s="28"/>
      <c r="Q6" s="265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66"/>
      <c r="J7" s="39"/>
      <c r="K7" s="40"/>
      <c r="L7" s="38"/>
      <c r="M7" s="266"/>
      <c r="N7" s="39"/>
      <c r="O7" s="37"/>
      <c r="P7" s="38"/>
      <c r="Q7" s="266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67"/>
      <c r="J8" s="48"/>
      <c r="K8" s="49"/>
      <c r="L8" s="47"/>
      <c r="M8" s="267"/>
      <c r="N8" s="48"/>
      <c r="O8" s="46"/>
      <c r="P8" s="47"/>
      <c r="Q8" s="267"/>
      <c r="R8" s="48"/>
      <c r="S8" s="50"/>
      <c r="T8" s="32"/>
    </row>
    <row r="9" spans="1:24" s="7" customFormat="1" ht="30" customHeight="1">
      <c r="A9" s="8"/>
      <c r="B9" s="51"/>
      <c r="C9" s="268" t="s">
        <v>21</v>
      </c>
      <c r="D9" s="269"/>
      <c r="E9" s="269"/>
      <c r="F9" s="269"/>
      <c r="G9" s="270"/>
      <c r="H9" s="271"/>
      <c r="I9" s="271"/>
      <c r="J9" s="272"/>
      <c r="K9" s="270"/>
      <c r="L9" s="271"/>
      <c r="M9" s="271"/>
      <c r="N9" s="272"/>
      <c r="O9" s="270"/>
      <c r="P9" s="271"/>
      <c r="Q9" s="271"/>
      <c r="R9" s="272"/>
      <c r="S9" s="52"/>
      <c r="T9" s="32"/>
    </row>
    <row r="10" spans="1:24" s="7" customFormat="1" ht="30" customHeight="1">
      <c r="A10" s="8"/>
      <c r="B10" s="53"/>
      <c r="C10" s="54"/>
      <c r="D10" s="273" t="s">
        <v>22</v>
      </c>
      <c r="E10" s="273"/>
      <c r="F10" s="274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57" t="s">
        <v>23</v>
      </c>
      <c r="D11" s="258"/>
      <c r="E11" s="258"/>
      <c r="F11" s="259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75" t="s">
        <v>24</v>
      </c>
      <c r="C12" s="276"/>
      <c r="D12" s="276"/>
      <c r="E12" s="276"/>
      <c r="F12" s="277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84" t="s">
        <v>27</v>
      </c>
      <c r="D15" s="285"/>
      <c r="E15" s="278" t="s">
        <v>28</v>
      </c>
      <c r="F15" s="279"/>
      <c r="G15" s="280" t="s">
        <v>29</v>
      </c>
      <c r="H15" s="281"/>
      <c r="I15" s="282" t="s">
        <v>30</v>
      </c>
      <c r="J15" s="283"/>
      <c r="K15" s="280" t="s">
        <v>31</v>
      </c>
      <c r="L15" s="281"/>
      <c r="M15" s="282" t="s">
        <v>32</v>
      </c>
      <c r="N15" s="283"/>
      <c r="O15" s="280" t="s">
        <v>31</v>
      </c>
      <c r="P15" s="281"/>
      <c r="Q15" s="282" t="s">
        <v>32</v>
      </c>
      <c r="R15" s="283"/>
      <c r="S15" s="89" t="s">
        <v>33</v>
      </c>
      <c r="T15" s="90"/>
    </row>
    <row r="16" spans="1:24" s="79" customFormat="1" ht="25.15" customHeight="1" thickTop="1">
      <c r="B16" s="91"/>
      <c r="C16" s="286"/>
      <c r="D16" s="287"/>
      <c r="E16" s="288"/>
      <c r="F16" s="289"/>
      <c r="G16" s="294"/>
      <c r="H16" s="295"/>
      <c r="I16" s="296"/>
      <c r="J16" s="297"/>
      <c r="K16" s="294"/>
      <c r="L16" s="295"/>
      <c r="M16" s="296"/>
      <c r="N16" s="297"/>
      <c r="O16" s="294"/>
      <c r="P16" s="295"/>
      <c r="Q16" s="296"/>
      <c r="R16" s="297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07"/>
      <c r="D17" s="308"/>
      <c r="E17" s="290"/>
      <c r="F17" s="291"/>
      <c r="G17" s="309"/>
      <c r="H17" s="310"/>
      <c r="I17" s="299"/>
      <c r="J17" s="300"/>
      <c r="K17" s="309"/>
      <c r="L17" s="310"/>
      <c r="M17" s="299"/>
      <c r="N17" s="300"/>
      <c r="O17" s="309"/>
      <c r="P17" s="310"/>
      <c r="Q17" s="299"/>
      <c r="R17" s="300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01"/>
      <c r="D18" s="302"/>
      <c r="E18" s="292"/>
      <c r="F18" s="293"/>
      <c r="G18" s="303"/>
      <c r="H18" s="304"/>
      <c r="I18" s="305"/>
      <c r="J18" s="306"/>
      <c r="K18" s="303"/>
      <c r="L18" s="304"/>
      <c r="M18" s="305"/>
      <c r="N18" s="306"/>
      <c r="O18" s="303"/>
      <c r="P18" s="304"/>
      <c r="Q18" s="305"/>
      <c r="R18" s="306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46"/>
  <sheetViews>
    <sheetView showGridLines="0" tabSelected="1" topLeftCell="C17" zoomScale="130" zoomScaleNormal="130" zoomScaleSheetLayoutView="110" workbookViewId="0">
      <selection activeCell="J25" sqref="J25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5.85546875" style="139" customWidth="1"/>
    <col min="4" max="4" width="31.285156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7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7" customWidth="1"/>
    <col min="18" max="18" width="12.28515625" style="227" bestFit="1" customWidth="1"/>
    <col min="19" max="19" width="13.85546875" style="227" bestFit="1" customWidth="1"/>
    <col min="20" max="20" width="9.7109375" style="227" customWidth="1"/>
    <col min="21" max="21" width="8.85546875" style="227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8">
        <v>46320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71" t="s">
        <v>43</v>
      </c>
      <c r="B3" s="371"/>
      <c r="C3" s="371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19" t="s">
        <v>2</v>
      </c>
      <c r="C4" s="321" t="s">
        <v>3</v>
      </c>
      <c r="D4" s="323" t="s">
        <v>4</v>
      </c>
      <c r="E4" s="325" t="s">
        <v>5</v>
      </c>
      <c r="F4" s="327" t="s">
        <v>41</v>
      </c>
      <c r="G4" s="380" t="s">
        <v>57</v>
      </c>
      <c r="H4" s="381"/>
      <c r="I4" s="382"/>
      <c r="J4" s="329" t="s">
        <v>58</v>
      </c>
      <c r="K4" s="330"/>
      <c r="L4" s="330"/>
      <c r="M4" s="331"/>
      <c r="N4" s="329" t="s">
        <v>59</v>
      </c>
      <c r="O4" s="330"/>
      <c r="P4" s="330"/>
      <c r="Q4" s="331"/>
      <c r="R4" s="329" t="s">
        <v>60</v>
      </c>
      <c r="S4" s="330"/>
      <c r="T4" s="330"/>
      <c r="U4" s="331"/>
      <c r="V4" s="332" t="s">
        <v>42</v>
      </c>
      <c r="W4" s="144"/>
    </row>
    <row r="5" spans="1:23" ht="27" customHeight="1" thickBot="1">
      <c r="B5" s="320"/>
      <c r="C5" s="322"/>
      <c r="D5" s="324"/>
      <c r="E5" s="326"/>
      <c r="F5" s="328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33"/>
      <c r="W5" s="144"/>
    </row>
    <row r="6" spans="1:23" s="150" customFormat="1" ht="20.100000000000001" customHeight="1" thickTop="1">
      <c r="B6" s="151">
        <v>1</v>
      </c>
      <c r="C6" s="237" t="s">
        <v>61</v>
      </c>
      <c r="D6" s="229" t="s">
        <v>64</v>
      </c>
      <c r="E6" s="230" t="s">
        <v>82</v>
      </c>
      <c r="F6" s="230">
        <v>115</v>
      </c>
      <c r="G6" s="231">
        <v>38</v>
      </c>
      <c r="H6" s="231">
        <f>G6*F6</f>
        <v>4370</v>
      </c>
      <c r="I6" s="243">
        <f>H6/K6</f>
        <v>1</v>
      </c>
      <c r="J6" s="232">
        <v>38</v>
      </c>
      <c r="K6" s="233">
        <f>J6*F6</f>
        <v>4370</v>
      </c>
      <c r="L6" s="334"/>
      <c r="M6" s="234">
        <v>1</v>
      </c>
      <c r="N6" s="232">
        <v>38</v>
      </c>
      <c r="O6" s="235">
        <f>N6*F6</f>
        <v>4370</v>
      </c>
      <c r="P6" s="334"/>
      <c r="Q6" s="234">
        <f>O6/K6</f>
        <v>1</v>
      </c>
      <c r="R6" s="232">
        <v>40</v>
      </c>
      <c r="S6" s="236">
        <f>R6*F6</f>
        <v>4600</v>
      </c>
      <c r="T6" s="334"/>
      <c r="U6" s="234">
        <f>S6/K6</f>
        <v>1.0526315789473684</v>
      </c>
      <c r="V6" s="152"/>
      <c r="W6" s="153"/>
    </row>
    <row r="7" spans="1:23" s="150" customFormat="1" ht="20.100000000000001" customHeight="1">
      <c r="B7" s="151">
        <v>2</v>
      </c>
      <c r="C7" s="237" t="s">
        <v>61</v>
      </c>
      <c r="D7" s="246" t="s">
        <v>65</v>
      </c>
      <c r="E7" s="230" t="s">
        <v>82</v>
      </c>
      <c r="F7" s="230">
        <v>50</v>
      </c>
      <c r="G7" s="231" t="s">
        <v>83</v>
      </c>
      <c r="H7" s="231" t="s">
        <v>83</v>
      </c>
      <c r="I7" s="243">
        <v>0</v>
      </c>
      <c r="J7" s="232">
        <v>157</v>
      </c>
      <c r="K7" s="233">
        <f t="shared" ref="K7:K23" si="0">J7*F7</f>
        <v>7850</v>
      </c>
      <c r="L7" s="335"/>
      <c r="M7" s="238">
        <v>1</v>
      </c>
      <c r="N7" s="232">
        <v>157</v>
      </c>
      <c r="O7" s="235">
        <f t="shared" ref="O7:O23" si="1">N7*F7</f>
        <v>7850</v>
      </c>
      <c r="P7" s="336"/>
      <c r="Q7" s="238">
        <f>O7/K7</f>
        <v>1</v>
      </c>
      <c r="R7" s="232">
        <v>162</v>
      </c>
      <c r="S7" s="235">
        <f>R7*F7</f>
        <v>8100</v>
      </c>
      <c r="T7" s="336"/>
      <c r="U7" s="238">
        <f>S7/K7</f>
        <v>1.0318471337579618</v>
      </c>
      <c r="V7" s="154"/>
      <c r="W7" s="153"/>
    </row>
    <row r="8" spans="1:23" s="150" customFormat="1" ht="20.100000000000001" customHeight="1">
      <c r="B8" s="151">
        <v>3</v>
      </c>
      <c r="C8" s="237" t="s">
        <v>61</v>
      </c>
      <c r="D8" s="246" t="s">
        <v>66</v>
      </c>
      <c r="E8" s="230" t="s">
        <v>82</v>
      </c>
      <c r="F8" s="230">
        <v>50</v>
      </c>
      <c r="G8" s="231" t="s">
        <v>83</v>
      </c>
      <c r="H8" s="231" t="s">
        <v>83</v>
      </c>
      <c r="I8" s="243">
        <v>0</v>
      </c>
      <c r="J8" s="232">
        <v>90</v>
      </c>
      <c r="K8" s="233">
        <f t="shared" si="0"/>
        <v>4500</v>
      </c>
      <c r="L8" s="335"/>
      <c r="M8" s="238">
        <v>1</v>
      </c>
      <c r="N8" s="232">
        <v>90</v>
      </c>
      <c r="O8" s="235">
        <f t="shared" si="1"/>
        <v>4500</v>
      </c>
      <c r="P8" s="336"/>
      <c r="Q8" s="238">
        <f t="shared" ref="Q8:Q23" si="2">O8/K8</f>
        <v>1</v>
      </c>
      <c r="R8" s="232">
        <v>88</v>
      </c>
      <c r="S8" s="235">
        <f t="shared" ref="S8:S23" si="3">R8*F8</f>
        <v>4400</v>
      </c>
      <c r="T8" s="336"/>
      <c r="U8" s="238">
        <f t="shared" ref="U8:U23" si="4">S8/K8</f>
        <v>0.97777777777777775</v>
      </c>
      <c r="V8" s="154"/>
      <c r="W8" s="153"/>
    </row>
    <row r="9" spans="1:23" s="150" customFormat="1" ht="20.100000000000001" customHeight="1">
      <c r="B9" s="151">
        <v>4</v>
      </c>
      <c r="C9" s="237" t="s">
        <v>61</v>
      </c>
      <c r="D9" s="246" t="s">
        <v>67</v>
      </c>
      <c r="E9" s="230" t="s">
        <v>82</v>
      </c>
      <c r="F9" s="230">
        <v>550</v>
      </c>
      <c r="G9" s="231" t="s">
        <v>83</v>
      </c>
      <c r="H9" s="231" t="s">
        <v>83</v>
      </c>
      <c r="I9" s="243">
        <v>0</v>
      </c>
      <c r="J9" s="232">
        <v>100</v>
      </c>
      <c r="K9" s="233">
        <f t="shared" si="0"/>
        <v>55000</v>
      </c>
      <c r="L9" s="335"/>
      <c r="M9" s="238">
        <v>1</v>
      </c>
      <c r="N9" s="232">
        <v>105</v>
      </c>
      <c r="O9" s="235">
        <f t="shared" si="1"/>
        <v>57750</v>
      </c>
      <c r="P9" s="336"/>
      <c r="Q9" s="238">
        <f t="shared" si="2"/>
        <v>1.05</v>
      </c>
      <c r="R9" s="232">
        <v>110</v>
      </c>
      <c r="S9" s="235">
        <f t="shared" si="3"/>
        <v>60500</v>
      </c>
      <c r="T9" s="336"/>
      <c r="U9" s="238">
        <f t="shared" si="4"/>
        <v>1.1000000000000001</v>
      </c>
      <c r="V9" s="154"/>
      <c r="W9" s="153"/>
    </row>
    <row r="10" spans="1:23" s="150" customFormat="1" ht="20.100000000000001" customHeight="1">
      <c r="B10" s="151">
        <v>5</v>
      </c>
      <c r="C10" s="237" t="s">
        <v>61</v>
      </c>
      <c r="D10" s="246" t="s">
        <v>68</v>
      </c>
      <c r="E10" s="230" t="s">
        <v>82</v>
      </c>
      <c r="F10" s="230">
        <v>50</v>
      </c>
      <c r="G10" s="231" t="s">
        <v>83</v>
      </c>
      <c r="H10" s="231" t="s">
        <v>83</v>
      </c>
      <c r="I10" s="243">
        <v>0</v>
      </c>
      <c r="J10" s="232">
        <v>120</v>
      </c>
      <c r="K10" s="233">
        <f t="shared" si="0"/>
        <v>6000</v>
      </c>
      <c r="L10" s="335"/>
      <c r="M10" s="238">
        <v>1</v>
      </c>
      <c r="N10" s="232">
        <v>120</v>
      </c>
      <c r="O10" s="235">
        <f t="shared" si="1"/>
        <v>6000</v>
      </c>
      <c r="P10" s="336"/>
      <c r="Q10" s="238">
        <f t="shared" si="2"/>
        <v>1</v>
      </c>
      <c r="R10" s="232">
        <v>125</v>
      </c>
      <c r="S10" s="235">
        <f t="shared" si="3"/>
        <v>6250</v>
      </c>
      <c r="T10" s="336"/>
      <c r="U10" s="238">
        <f t="shared" si="4"/>
        <v>1.0416666666666667</v>
      </c>
      <c r="V10" s="154"/>
      <c r="W10" s="153"/>
    </row>
    <row r="11" spans="1:23" s="150" customFormat="1" ht="20.100000000000001" customHeight="1">
      <c r="B11" s="151">
        <v>6</v>
      </c>
      <c r="C11" s="237" t="s">
        <v>61</v>
      </c>
      <c r="D11" s="246" t="s">
        <v>69</v>
      </c>
      <c r="E11" s="230" t="s">
        <v>82</v>
      </c>
      <c r="F11" s="230">
        <v>50</v>
      </c>
      <c r="G11" s="231" t="s">
        <v>83</v>
      </c>
      <c r="H11" s="231" t="s">
        <v>83</v>
      </c>
      <c r="I11" s="243">
        <v>0</v>
      </c>
      <c r="J11" s="232">
        <v>380</v>
      </c>
      <c r="K11" s="233">
        <f t="shared" si="0"/>
        <v>19000</v>
      </c>
      <c r="L11" s="335"/>
      <c r="M11" s="238">
        <v>1</v>
      </c>
      <c r="N11" s="232">
        <v>380</v>
      </c>
      <c r="O11" s="235">
        <f t="shared" si="1"/>
        <v>19000</v>
      </c>
      <c r="P11" s="336"/>
      <c r="Q11" s="238">
        <f t="shared" si="2"/>
        <v>1</v>
      </c>
      <c r="R11" s="232">
        <v>380</v>
      </c>
      <c r="S11" s="235">
        <f t="shared" si="3"/>
        <v>19000</v>
      </c>
      <c r="T11" s="336"/>
      <c r="U11" s="238">
        <f t="shared" si="4"/>
        <v>1</v>
      </c>
      <c r="V11" s="154"/>
      <c r="W11" s="153"/>
    </row>
    <row r="12" spans="1:23" s="150" customFormat="1" ht="20.100000000000001" customHeight="1">
      <c r="B12" s="151">
        <v>7</v>
      </c>
      <c r="C12" s="237" t="s">
        <v>62</v>
      </c>
      <c r="D12" s="246" t="s">
        <v>70</v>
      </c>
      <c r="E12" s="230" t="s">
        <v>82</v>
      </c>
      <c r="F12" s="230">
        <v>4340</v>
      </c>
      <c r="G12" s="231">
        <v>1</v>
      </c>
      <c r="H12" s="231">
        <f>F12*G12</f>
        <v>4340</v>
      </c>
      <c r="I12" s="243">
        <f t="shared" ref="I7:I23" si="5">H12/K12</f>
        <v>2.7777777777777781</v>
      </c>
      <c r="J12" s="232">
        <v>0.36</v>
      </c>
      <c r="K12" s="233">
        <f t="shared" si="0"/>
        <v>1562.3999999999999</v>
      </c>
      <c r="L12" s="335"/>
      <c r="M12" s="238">
        <v>1</v>
      </c>
      <c r="N12" s="232">
        <v>0.5</v>
      </c>
      <c r="O12" s="235">
        <f t="shared" si="1"/>
        <v>2170</v>
      </c>
      <c r="P12" s="336"/>
      <c r="Q12" s="238">
        <f t="shared" si="2"/>
        <v>1.3888888888888891</v>
      </c>
      <c r="R12" s="232">
        <v>0.75</v>
      </c>
      <c r="S12" s="235">
        <f t="shared" si="3"/>
        <v>3255</v>
      </c>
      <c r="T12" s="336"/>
      <c r="U12" s="238">
        <f t="shared" si="4"/>
        <v>2.0833333333333335</v>
      </c>
      <c r="V12" s="154"/>
      <c r="W12" s="153"/>
    </row>
    <row r="13" spans="1:23" s="150" customFormat="1" ht="20.100000000000001" customHeight="1">
      <c r="B13" s="151">
        <v>8</v>
      </c>
      <c r="C13" s="237" t="s">
        <v>62</v>
      </c>
      <c r="D13" s="246" t="s">
        <v>71</v>
      </c>
      <c r="E13" s="230" t="s">
        <v>82</v>
      </c>
      <c r="F13" s="230">
        <v>2000</v>
      </c>
      <c r="G13" s="231">
        <v>4</v>
      </c>
      <c r="H13" s="231">
        <f>F13*G13</f>
        <v>8000</v>
      </c>
      <c r="I13" s="243">
        <f t="shared" si="5"/>
        <v>1.6528925619834711</v>
      </c>
      <c r="J13" s="232">
        <v>2.42</v>
      </c>
      <c r="K13" s="233">
        <f t="shared" si="0"/>
        <v>4840</v>
      </c>
      <c r="L13" s="335"/>
      <c r="M13" s="238">
        <v>1</v>
      </c>
      <c r="N13" s="232">
        <v>2.6</v>
      </c>
      <c r="O13" s="235">
        <f t="shared" si="1"/>
        <v>5200</v>
      </c>
      <c r="P13" s="336"/>
      <c r="Q13" s="238">
        <f t="shared" si="2"/>
        <v>1.0743801652892562</v>
      </c>
      <c r="R13" s="232">
        <v>2.5</v>
      </c>
      <c r="S13" s="235">
        <f t="shared" si="3"/>
        <v>5000</v>
      </c>
      <c r="T13" s="336"/>
      <c r="U13" s="238">
        <f t="shared" si="4"/>
        <v>1.0330578512396693</v>
      </c>
      <c r="V13" s="154"/>
      <c r="W13" s="153"/>
    </row>
    <row r="14" spans="1:23" s="150" customFormat="1" ht="36.75" customHeight="1">
      <c r="B14" s="151">
        <v>9</v>
      </c>
      <c r="C14" s="237" t="s">
        <v>62</v>
      </c>
      <c r="D14" s="246" t="s">
        <v>72</v>
      </c>
      <c r="E14" s="230" t="s">
        <v>82</v>
      </c>
      <c r="F14" s="230">
        <v>2000</v>
      </c>
      <c r="G14" s="231">
        <v>2</v>
      </c>
      <c r="H14" s="231">
        <f>F14*G14</f>
        <v>4000</v>
      </c>
      <c r="I14" s="243">
        <f t="shared" si="5"/>
        <v>1.2987012987012987</v>
      </c>
      <c r="J14" s="232">
        <v>1.54</v>
      </c>
      <c r="K14" s="233">
        <f t="shared" si="0"/>
        <v>3080</v>
      </c>
      <c r="L14" s="335"/>
      <c r="M14" s="238">
        <v>1</v>
      </c>
      <c r="N14" s="232">
        <v>1.5</v>
      </c>
      <c r="O14" s="235">
        <f t="shared" si="1"/>
        <v>3000</v>
      </c>
      <c r="P14" s="336"/>
      <c r="Q14" s="238">
        <f t="shared" si="2"/>
        <v>0.97402597402597402</v>
      </c>
      <c r="R14" s="232">
        <v>1.6</v>
      </c>
      <c r="S14" s="235">
        <f t="shared" si="3"/>
        <v>3200</v>
      </c>
      <c r="T14" s="336"/>
      <c r="U14" s="238">
        <f t="shared" si="4"/>
        <v>1.0389610389610389</v>
      </c>
      <c r="V14" s="154"/>
      <c r="W14" s="153"/>
    </row>
    <row r="15" spans="1:23" s="150" customFormat="1" ht="20.100000000000001" customHeight="1">
      <c r="B15" s="151">
        <v>10</v>
      </c>
      <c r="C15" s="237" t="s">
        <v>62</v>
      </c>
      <c r="D15" s="246" t="s">
        <v>73</v>
      </c>
      <c r="E15" s="230" t="s">
        <v>82</v>
      </c>
      <c r="F15" s="230">
        <v>4000</v>
      </c>
      <c r="G15" s="231">
        <v>1</v>
      </c>
      <c r="H15" s="231">
        <f t="shared" ref="H15:H16" si="6">F15*G15</f>
        <v>4000</v>
      </c>
      <c r="I15" s="243">
        <f t="shared" si="5"/>
        <v>1.2987012987012987</v>
      </c>
      <c r="J15" s="232">
        <v>0.77</v>
      </c>
      <c r="K15" s="233">
        <f t="shared" si="0"/>
        <v>3080</v>
      </c>
      <c r="L15" s="335"/>
      <c r="M15" s="238">
        <v>1</v>
      </c>
      <c r="N15" s="232">
        <v>0.85</v>
      </c>
      <c r="O15" s="235">
        <f t="shared" si="1"/>
        <v>3400</v>
      </c>
      <c r="P15" s="336"/>
      <c r="Q15" s="238">
        <f t="shared" si="2"/>
        <v>1.1038961038961039</v>
      </c>
      <c r="R15" s="232">
        <v>1</v>
      </c>
      <c r="S15" s="235">
        <f t="shared" si="3"/>
        <v>4000</v>
      </c>
      <c r="T15" s="336"/>
      <c r="U15" s="238">
        <f t="shared" si="4"/>
        <v>1.2987012987012987</v>
      </c>
      <c r="V15" s="154"/>
      <c r="W15" s="153"/>
    </row>
    <row r="16" spans="1:23" s="150" customFormat="1" ht="20.100000000000001" customHeight="1">
      <c r="B16" s="151">
        <v>11</v>
      </c>
      <c r="C16" s="237" t="s">
        <v>62</v>
      </c>
      <c r="D16" s="246" t="s">
        <v>74</v>
      </c>
      <c r="E16" s="230" t="s">
        <v>82</v>
      </c>
      <c r="F16" s="230">
        <v>2000</v>
      </c>
      <c r="G16" s="231">
        <v>3</v>
      </c>
      <c r="H16" s="231">
        <f t="shared" si="6"/>
        <v>6000</v>
      </c>
      <c r="I16" s="243">
        <f t="shared" si="5"/>
        <v>1.6042780748663101</v>
      </c>
      <c r="J16" s="232">
        <v>1.87</v>
      </c>
      <c r="K16" s="233">
        <f t="shared" si="0"/>
        <v>3740</v>
      </c>
      <c r="L16" s="335"/>
      <c r="M16" s="238">
        <v>1</v>
      </c>
      <c r="N16" s="232">
        <v>1.95</v>
      </c>
      <c r="O16" s="235">
        <f t="shared" si="1"/>
        <v>3900</v>
      </c>
      <c r="P16" s="336"/>
      <c r="Q16" s="238">
        <f t="shared" si="2"/>
        <v>1.0427807486631016</v>
      </c>
      <c r="R16" s="232">
        <v>2</v>
      </c>
      <c r="S16" s="235">
        <f t="shared" si="3"/>
        <v>4000</v>
      </c>
      <c r="T16" s="336"/>
      <c r="U16" s="238">
        <f t="shared" si="4"/>
        <v>1.0695187165775402</v>
      </c>
      <c r="V16" s="154"/>
      <c r="W16" s="153"/>
    </row>
    <row r="17" spans="1:27" s="150" customFormat="1" ht="20.100000000000001" customHeight="1">
      <c r="B17" s="151">
        <v>12</v>
      </c>
      <c r="C17" s="237" t="s">
        <v>62</v>
      </c>
      <c r="D17" s="246" t="s">
        <v>75</v>
      </c>
      <c r="E17" s="230" t="s">
        <v>82</v>
      </c>
      <c r="F17" s="230">
        <v>2000</v>
      </c>
      <c r="G17" s="231" t="s">
        <v>84</v>
      </c>
      <c r="H17" s="231" t="s">
        <v>84</v>
      </c>
      <c r="I17" s="243">
        <v>0</v>
      </c>
      <c r="J17" s="232">
        <v>7.7</v>
      </c>
      <c r="K17" s="233">
        <f t="shared" si="0"/>
        <v>15400</v>
      </c>
      <c r="L17" s="335"/>
      <c r="M17" s="238">
        <v>1</v>
      </c>
      <c r="N17" s="232">
        <v>8</v>
      </c>
      <c r="O17" s="235">
        <f t="shared" si="1"/>
        <v>16000</v>
      </c>
      <c r="P17" s="336"/>
      <c r="Q17" s="238">
        <f t="shared" si="2"/>
        <v>1.0389610389610389</v>
      </c>
      <c r="R17" s="232">
        <v>7.95</v>
      </c>
      <c r="S17" s="235">
        <f t="shared" si="3"/>
        <v>15900</v>
      </c>
      <c r="T17" s="336"/>
      <c r="U17" s="238">
        <f t="shared" si="4"/>
        <v>1.0324675324675325</v>
      </c>
      <c r="V17" s="154"/>
      <c r="W17" s="153"/>
    </row>
    <row r="18" spans="1:27" s="150" customFormat="1" ht="20.100000000000001" customHeight="1">
      <c r="B18" s="151">
        <v>13</v>
      </c>
      <c r="C18" s="237" t="s">
        <v>63</v>
      </c>
      <c r="D18" s="246" t="s">
        <v>76</v>
      </c>
      <c r="E18" s="230" t="s">
        <v>82</v>
      </c>
      <c r="F18" s="230">
        <v>4340</v>
      </c>
      <c r="G18" s="231">
        <v>0.4</v>
      </c>
      <c r="H18" s="231">
        <f>F18*G18</f>
        <v>1736</v>
      </c>
      <c r="I18" s="243">
        <f t="shared" si="5"/>
        <v>1.8181818181818183</v>
      </c>
      <c r="J18" s="232">
        <v>0.22</v>
      </c>
      <c r="K18" s="233">
        <f t="shared" si="0"/>
        <v>954.8</v>
      </c>
      <c r="L18" s="335"/>
      <c r="M18" s="238">
        <v>1</v>
      </c>
      <c r="N18" s="232">
        <v>0.3</v>
      </c>
      <c r="O18" s="235">
        <f t="shared" si="1"/>
        <v>1302</v>
      </c>
      <c r="P18" s="336"/>
      <c r="Q18" s="238">
        <f t="shared" si="2"/>
        <v>1.3636363636363638</v>
      </c>
      <c r="R18" s="232">
        <v>0.32</v>
      </c>
      <c r="S18" s="235">
        <f t="shared" si="3"/>
        <v>1388.8</v>
      </c>
      <c r="T18" s="336"/>
      <c r="U18" s="238">
        <f t="shared" si="4"/>
        <v>1.4545454545454546</v>
      </c>
      <c r="V18" s="154"/>
      <c r="W18" s="153"/>
    </row>
    <row r="19" spans="1:27" s="150" customFormat="1" ht="20.100000000000001" customHeight="1">
      <c r="B19" s="151">
        <v>14</v>
      </c>
      <c r="C19" s="237" t="s">
        <v>63</v>
      </c>
      <c r="D19" s="246" t="s">
        <v>77</v>
      </c>
      <c r="E19" s="230" t="s">
        <v>82</v>
      </c>
      <c r="F19" s="230">
        <v>2000</v>
      </c>
      <c r="G19" s="231">
        <v>2</v>
      </c>
      <c r="H19" s="231">
        <f>F19*G19</f>
        <v>4000</v>
      </c>
      <c r="I19" s="243">
        <f t="shared" si="5"/>
        <v>2.5974025974025974</v>
      </c>
      <c r="J19" s="232">
        <v>0.77</v>
      </c>
      <c r="K19" s="233">
        <f t="shared" si="0"/>
        <v>1540</v>
      </c>
      <c r="L19" s="335"/>
      <c r="M19" s="238">
        <v>1</v>
      </c>
      <c r="N19" s="232">
        <v>0.75</v>
      </c>
      <c r="O19" s="235">
        <f t="shared" si="1"/>
        <v>1500</v>
      </c>
      <c r="P19" s="336"/>
      <c r="Q19" s="238">
        <f t="shared" si="2"/>
        <v>0.97402597402597402</v>
      </c>
      <c r="R19" s="232">
        <v>0.8</v>
      </c>
      <c r="S19" s="235">
        <f t="shared" si="3"/>
        <v>1600</v>
      </c>
      <c r="T19" s="336"/>
      <c r="U19" s="238">
        <f t="shared" si="4"/>
        <v>1.0389610389610389</v>
      </c>
      <c r="V19" s="154"/>
      <c r="W19" s="153"/>
    </row>
    <row r="20" spans="1:27" s="150" customFormat="1" ht="20.100000000000001" customHeight="1">
      <c r="B20" s="151">
        <v>15</v>
      </c>
      <c r="C20" s="237" t="s">
        <v>63</v>
      </c>
      <c r="D20" s="246" t="s">
        <v>78</v>
      </c>
      <c r="E20" s="230" t="s">
        <v>82</v>
      </c>
      <c r="F20" s="230">
        <v>2000</v>
      </c>
      <c r="G20" s="231">
        <v>1</v>
      </c>
      <c r="H20" s="231">
        <f>F20*G20</f>
        <v>2000</v>
      </c>
      <c r="I20" s="243">
        <f t="shared" si="5"/>
        <v>2.2727272727272729</v>
      </c>
      <c r="J20" s="232">
        <v>0.44</v>
      </c>
      <c r="K20" s="233">
        <f t="shared" si="0"/>
        <v>880</v>
      </c>
      <c r="L20" s="335"/>
      <c r="M20" s="238">
        <v>1</v>
      </c>
      <c r="N20" s="232">
        <v>0.5</v>
      </c>
      <c r="O20" s="235">
        <f t="shared" si="1"/>
        <v>1000</v>
      </c>
      <c r="P20" s="336"/>
      <c r="Q20" s="238">
        <f t="shared" si="2"/>
        <v>1.1363636363636365</v>
      </c>
      <c r="R20" s="232">
        <v>0.5</v>
      </c>
      <c r="S20" s="235">
        <f t="shared" si="3"/>
        <v>1000</v>
      </c>
      <c r="T20" s="336"/>
      <c r="U20" s="238">
        <f t="shared" si="4"/>
        <v>1.1363636363636365</v>
      </c>
      <c r="V20" s="154"/>
      <c r="W20" s="153"/>
    </row>
    <row r="21" spans="1:27" s="150" customFormat="1" ht="20.100000000000001" customHeight="1">
      <c r="B21" s="151">
        <v>16</v>
      </c>
      <c r="C21" s="237" t="s">
        <v>63</v>
      </c>
      <c r="D21" s="246" t="s">
        <v>79</v>
      </c>
      <c r="E21" s="230" t="s">
        <v>82</v>
      </c>
      <c r="F21" s="230">
        <v>4000</v>
      </c>
      <c r="G21" s="231">
        <v>1</v>
      </c>
      <c r="H21" s="231">
        <f>F21*G21</f>
        <v>4000</v>
      </c>
      <c r="I21" s="243">
        <f t="shared" si="5"/>
        <v>2.2727272727272729</v>
      </c>
      <c r="J21" s="232">
        <v>0.44</v>
      </c>
      <c r="K21" s="233">
        <f t="shared" si="0"/>
        <v>1760</v>
      </c>
      <c r="L21" s="335"/>
      <c r="M21" s="238">
        <v>1</v>
      </c>
      <c r="N21" s="232">
        <v>0.6</v>
      </c>
      <c r="O21" s="235">
        <f t="shared" si="1"/>
        <v>2400</v>
      </c>
      <c r="P21" s="336"/>
      <c r="Q21" s="238">
        <f t="shared" si="2"/>
        <v>1.3636363636363635</v>
      </c>
      <c r="R21" s="232">
        <v>0.65</v>
      </c>
      <c r="S21" s="235">
        <f t="shared" si="3"/>
        <v>2600</v>
      </c>
      <c r="T21" s="336"/>
      <c r="U21" s="238">
        <f t="shared" si="4"/>
        <v>1.4772727272727273</v>
      </c>
      <c r="V21" s="154"/>
      <c r="W21" s="153"/>
    </row>
    <row r="22" spans="1:27" s="150" customFormat="1" ht="20.100000000000001" customHeight="1">
      <c r="B22" s="151">
        <v>17</v>
      </c>
      <c r="C22" s="237" t="s">
        <v>63</v>
      </c>
      <c r="D22" s="246" t="s">
        <v>80</v>
      </c>
      <c r="E22" s="230" t="s">
        <v>82</v>
      </c>
      <c r="F22" s="230">
        <v>2000</v>
      </c>
      <c r="G22" s="231">
        <v>1</v>
      </c>
      <c r="H22" s="231">
        <f>F22*G22</f>
        <v>2000</v>
      </c>
      <c r="I22" s="243">
        <f t="shared" si="5"/>
        <v>1.639344262295082</v>
      </c>
      <c r="J22" s="232">
        <v>0.61</v>
      </c>
      <c r="K22" s="233">
        <f t="shared" si="0"/>
        <v>1220</v>
      </c>
      <c r="L22" s="335"/>
      <c r="M22" s="238">
        <v>1</v>
      </c>
      <c r="N22" s="232">
        <v>0.75</v>
      </c>
      <c r="O22" s="235">
        <f t="shared" si="1"/>
        <v>1500</v>
      </c>
      <c r="P22" s="336"/>
      <c r="Q22" s="238">
        <f t="shared" si="2"/>
        <v>1.2295081967213115</v>
      </c>
      <c r="R22" s="232">
        <v>0.8</v>
      </c>
      <c r="S22" s="235">
        <f t="shared" si="3"/>
        <v>1600</v>
      </c>
      <c r="T22" s="336"/>
      <c r="U22" s="238">
        <f t="shared" si="4"/>
        <v>1.3114754098360655</v>
      </c>
      <c r="V22" s="154"/>
      <c r="W22" s="153"/>
    </row>
    <row r="23" spans="1:27" s="150" customFormat="1" ht="20.100000000000001" customHeight="1">
      <c r="B23" s="151">
        <v>18</v>
      </c>
      <c r="C23" s="237" t="s">
        <v>63</v>
      </c>
      <c r="D23" s="246" t="s">
        <v>81</v>
      </c>
      <c r="E23" s="230" t="s">
        <v>82</v>
      </c>
      <c r="F23" s="230">
        <v>2000</v>
      </c>
      <c r="G23" s="231" t="s">
        <v>83</v>
      </c>
      <c r="H23" s="231" t="s">
        <v>84</v>
      </c>
      <c r="I23" s="243">
        <v>0</v>
      </c>
      <c r="J23" s="232">
        <v>1.71</v>
      </c>
      <c r="K23" s="233">
        <f t="shared" si="0"/>
        <v>3420</v>
      </c>
      <c r="L23" s="335"/>
      <c r="M23" s="238">
        <v>1</v>
      </c>
      <c r="N23" s="232">
        <v>1.75</v>
      </c>
      <c r="O23" s="235">
        <f t="shared" si="1"/>
        <v>3500</v>
      </c>
      <c r="P23" s="336"/>
      <c r="Q23" s="238">
        <f t="shared" si="2"/>
        <v>1.0233918128654971</v>
      </c>
      <c r="R23" s="232">
        <v>1.75</v>
      </c>
      <c r="S23" s="235">
        <f t="shared" si="3"/>
        <v>3500</v>
      </c>
      <c r="T23" s="336"/>
      <c r="U23" s="238">
        <f t="shared" si="4"/>
        <v>1.0233918128654971</v>
      </c>
      <c r="V23" s="154"/>
      <c r="W23" s="153"/>
    </row>
    <row r="24" spans="1:27" s="133" customFormat="1" ht="33" customHeight="1">
      <c r="A24" s="134"/>
      <c r="B24" s="245"/>
      <c r="C24" s="389" t="s">
        <v>21</v>
      </c>
      <c r="D24" s="390"/>
      <c r="E24" s="390"/>
      <c r="F24" s="390"/>
      <c r="G24" s="311" t="str">
        <f>G4</f>
        <v>Previous Price</v>
      </c>
      <c r="H24" s="378"/>
      <c r="I24" s="379"/>
      <c r="J24" s="311" t="str">
        <f>J4</f>
        <v>MASCO (MOHAMMED BIN ALI BIN SALMAN AL SHALAB CONTRACTING COMPANY)</v>
      </c>
      <c r="K24" s="312"/>
      <c r="L24" s="312"/>
      <c r="M24" s="313"/>
      <c r="N24" s="311" t="str">
        <f>N4</f>
        <v>ALHARAM PERFECT MACHINERY EQUIPMENT CO LLC</v>
      </c>
      <c r="O24" s="312"/>
      <c r="P24" s="312"/>
      <c r="Q24" s="313"/>
      <c r="R24" s="314" t="str">
        <f>R4</f>
        <v>DURRA MOHAMMED AL SHALAB CONTRACTING ESTABLISHMENT</v>
      </c>
      <c r="S24" s="315"/>
      <c r="T24" s="315"/>
      <c r="U24" s="316"/>
      <c r="V24" s="244"/>
      <c r="W24" s="155"/>
    </row>
    <row r="25" spans="1:27" s="133" customFormat="1" ht="21.75" customHeight="1">
      <c r="A25" s="134"/>
      <c r="B25" s="156"/>
      <c r="C25" s="157"/>
      <c r="D25" s="317" t="s">
        <v>22</v>
      </c>
      <c r="E25" s="317"/>
      <c r="F25" s="318"/>
      <c r="G25" s="374">
        <f>SUM(H6:H23)</f>
        <v>44446</v>
      </c>
      <c r="H25" s="375"/>
      <c r="I25" s="160">
        <f>AVERAGE(I6:I23)</f>
        <v>1.1240407908535668</v>
      </c>
      <c r="J25" s="241"/>
      <c r="K25" s="239">
        <f>SUM(K6:K23)</f>
        <v>138197.20000000001</v>
      </c>
      <c r="L25" s="159"/>
      <c r="M25" s="160">
        <f>AVERAGE(M6:M23)</f>
        <v>1</v>
      </c>
      <c r="N25" s="161"/>
      <c r="O25" s="239">
        <f>SUM(O6:O23)</f>
        <v>144342</v>
      </c>
      <c r="P25" s="158"/>
      <c r="Q25" s="162">
        <f>O25/K25</f>
        <v>1.0444639978234</v>
      </c>
      <c r="R25" s="161"/>
      <c r="S25" s="239">
        <f>SUM(S6:S23)</f>
        <v>149893.79999999999</v>
      </c>
      <c r="T25" s="158"/>
      <c r="U25" s="163">
        <f>S25/K25</f>
        <v>1.0846370259310607</v>
      </c>
      <c r="V25" s="164"/>
      <c r="W25" s="155"/>
    </row>
    <row r="26" spans="1:27" ht="21.75" customHeight="1" thickBot="1">
      <c r="B26" s="165"/>
      <c r="C26" s="386" t="s">
        <v>23</v>
      </c>
      <c r="D26" s="387"/>
      <c r="E26" s="387"/>
      <c r="F26" s="388"/>
      <c r="G26" s="376">
        <f>G25*15%</f>
        <v>6666.9</v>
      </c>
      <c r="H26" s="377"/>
      <c r="I26" s="169"/>
      <c r="J26" s="166"/>
      <c r="K26" s="240">
        <f>K25*15%</f>
        <v>20729.580000000002</v>
      </c>
      <c r="L26" s="168"/>
      <c r="M26" s="169"/>
      <c r="N26" s="170"/>
      <c r="O26" s="240">
        <f>O25*15%</f>
        <v>21651.3</v>
      </c>
      <c r="P26" s="168"/>
      <c r="Q26" s="169"/>
      <c r="R26" s="170"/>
      <c r="S26" s="240">
        <f>S25*15%</f>
        <v>22484.069999999996</v>
      </c>
      <c r="T26" s="167"/>
      <c r="U26" s="171"/>
      <c r="V26" s="172"/>
      <c r="W26" s="155"/>
    </row>
    <row r="27" spans="1:27" ht="25.15" customHeight="1" thickBot="1">
      <c r="B27" s="383" t="s">
        <v>45</v>
      </c>
      <c r="C27" s="384"/>
      <c r="D27" s="384"/>
      <c r="E27" s="384"/>
      <c r="F27" s="385"/>
      <c r="G27" s="372">
        <f>SUM(G25:H26)</f>
        <v>51112.9</v>
      </c>
      <c r="H27" s="373"/>
      <c r="I27" s="242">
        <f>AVERAGE(I6:I23)</f>
        <v>1.1240407908535668</v>
      </c>
      <c r="J27" s="242"/>
      <c r="K27" s="174">
        <f>SUM(K25:K26)</f>
        <v>158926.78000000003</v>
      </c>
      <c r="L27" s="175"/>
      <c r="M27" s="176">
        <v>1</v>
      </c>
      <c r="N27" s="177"/>
      <c r="O27" s="174">
        <f>SUM(O25:O26)</f>
        <v>165993.29999999999</v>
      </c>
      <c r="P27" s="175"/>
      <c r="Q27" s="178">
        <f>O27/K27</f>
        <v>1.0444639978233998</v>
      </c>
      <c r="R27" s="173"/>
      <c r="S27" s="174">
        <f>SUM(S25:S26)</f>
        <v>172377.87</v>
      </c>
      <c r="T27" s="175"/>
      <c r="U27" s="176">
        <f>S27/K27</f>
        <v>1.0846370259310607</v>
      </c>
      <c r="V27" s="179"/>
      <c r="W27" s="180"/>
    </row>
    <row r="28" spans="1:27" s="181" customFormat="1" ht="12" customHeight="1">
      <c r="B28" s="182"/>
      <c r="C28" s="183"/>
      <c r="D28" s="183"/>
      <c r="E28" s="184"/>
      <c r="F28" s="184"/>
      <c r="G28" s="184"/>
      <c r="H28" s="184"/>
      <c r="I28" s="184"/>
      <c r="J28" s="185"/>
      <c r="K28" s="185"/>
      <c r="L28" s="185"/>
      <c r="M28" s="186"/>
      <c r="N28" s="185"/>
      <c r="O28" s="185"/>
      <c r="P28" s="185"/>
      <c r="Q28" s="186"/>
      <c r="R28" s="186"/>
      <c r="S28" s="186"/>
      <c r="T28" s="186"/>
      <c r="U28" s="186"/>
      <c r="V28" s="187"/>
      <c r="W28" s="188"/>
      <c r="X28" s="189"/>
      <c r="Y28" s="189"/>
      <c r="Z28" s="189"/>
      <c r="AA28" s="189"/>
    </row>
    <row r="29" spans="1:27" ht="18" customHeight="1" thickBot="1">
      <c r="A29" s="135" t="s">
        <v>44</v>
      </c>
      <c r="B29" s="135"/>
      <c r="C29" s="136"/>
      <c r="D29" s="137"/>
      <c r="E29" s="135"/>
      <c r="F29" s="135"/>
      <c r="G29" s="135"/>
      <c r="H29" s="135"/>
      <c r="I29" s="135"/>
      <c r="J29" s="135"/>
      <c r="K29" s="135"/>
      <c r="L29" s="135"/>
      <c r="M29" s="138"/>
      <c r="N29" s="135"/>
      <c r="O29" s="135"/>
      <c r="P29" s="135"/>
      <c r="Q29" s="138"/>
      <c r="R29" s="138"/>
      <c r="S29" s="138"/>
      <c r="T29" s="138"/>
      <c r="U29" s="138"/>
      <c r="V29" s="142" t="s">
        <v>25</v>
      </c>
      <c r="W29" s="142"/>
    </row>
    <row r="30" spans="1:27" ht="23.25" customHeight="1" thickBot="1">
      <c r="B30" s="143" t="s">
        <v>46</v>
      </c>
      <c r="C30" s="347" t="s">
        <v>47</v>
      </c>
      <c r="D30" s="348"/>
      <c r="E30" s="347" t="s">
        <v>48</v>
      </c>
      <c r="F30" s="349"/>
      <c r="G30" s="349"/>
      <c r="H30" s="349"/>
      <c r="I30" s="348"/>
      <c r="J30" s="337" t="s">
        <v>49</v>
      </c>
      <c r="K30" s="338"/>
      <c r="L30" s="339" t="s">
        <v>50</v>
      </c>
      <c r="M30" s="340"/>
      <c r="N30" s="337" t="s">
        <v>51</v>
      </c>
      <c r="O30" s="338"/>
      <c r="P30" s="339" t="s">
        <v>50</v>
      </c>
      <c r="Q30" s="340"/>
      <c r="R30" s="337" t="s">
        <v>51</v>
      </c>
      <c r="S30" s="338"/>
      <c r="T30" s="339" t="s">
        <v>50</v>
      </c>
      <c r="U30" s="340"/>
      <c r="V30" s="190" t="s">
        <v>52</v>
      </c>
      <c r="W30" s="191"/>
    </row>
    <row r="31" spans="1:27" s="181" customFormat="1" ht="25.15" customHeight="1" thickTop="1">
      <c r="B31" s="192">
        <v>1</v>
      </c>
      <c r="C31" s="341" t="str">
        <f>+J24</f>
        <v>MASCO (MOHAMMED BIN ALI BIN SALMAN AL SHALAB CONTRACTING COMPANY)</v>
      </c>
      <c r="D31" s="342"/>
      <c r="E31" s="362">
        <f>K27</f>
        <v>158926.78000000003</v>
      </c>
      <c r="F31" s="363"/>
      <c r="G31" s="363"/>
      <c r="H31" s="363"/>
      <c r="I31" s="364"/>
      <c r="J31" s="343">
        <f>K27</f>
        <v>158926.78000000003</v>
      </c>
      <c r="K31" s="344"/>
      <c r="L31" s="345">
        <v>1</v>
      </c>
      <c r="M31" s="346"/>
      <c r="N31" s="343">
        <f>E31</f>
        <v>158926.78000000003</v>
      </c>
      <c r="O31" s="344"/>
      <c r="P31" s="345">
        <f>N31/E31</f>
        <v>1</v>
      </c>
      <c r="Q31" s="346">
        <f>N31/E31</f>
        <v>1</v>
      </c>
      <c r="R31" s="343">
        <f>E31</f>
        <v>158926.78000000003</v>
      </c>
      <c r="S31" s="344"/>
      <c r="T31" s="345">
        <f>R31/E31</f>
        <v>1</v>
      </c>
      <c r="U31" s="346">
        <f>R31/E31</f>
        <v>1</v>
      </c>
      <c r="V31" s="193"/>
      <c r="W31" s="194"/>
      <c r="X31" s="189"/>
      <c r="Y31" s="189"/>
      <c r="Z31" s="189"/>
      <c r="AA31" s="189"/>
    </row>
    <row r="32" spans="1:27" s="181" customFormat="1" ht="25.15" customHeight="1">
      <c r="B32" s="195">
        <v>2</v>
      </c>
      <c r="C32" s="354" t="str">
        <f>+N24</f>
        <v>ALHARAM PERFECT MACHINERY EQUIPMENT CO LLC</v>
      </c>
      <c r="D32" s="355"/>
      <c r="E32" s="365"/>
      <c r="F32" s="366"/>
      <c r="G32" s="366"/>
      <c r="H32" s="366"/>
      <c r="I32" s="367"/>
      <c r="J32" s="356">
        <f>O27</f>
        <v>165993.29999999999</v>
      </c>
      <c r="K32" s="357"/>
      <c r="L32" s="358">
        <f>J32/E31</f>
        <v>1.0444639978233998</v>
      </c>
      <c r="M32" s="359"/>
      <c r="N32" s="356">
        <f>J32</f>
        <v>165993.29999999999</v>
      </c>
      <c r="O32" s="357"/>
      <c r="P32" s="358">
        <f>N32/E31</f>
        <v>1.0444639978233998</v>
      </c>
      <c r="Q32" s="359">
        <v>1</v>
      </c>
      <c r="R32" s="356">
        <f>N32</f>
        <v>165993.29999999999</v>
      </c>
      <c r="S32" s="357"/>
      <c r="T32" s="358">
        <f>R32/E31</f>
        <v>1.0444639978233998</v>
      </c>
      <c r="U32" s="359">
        <v>1</v>
      </c>
      <c r="V32" s="196"/>
      <c r="W32" s="194"/>
      <c r="X32" s="189"/>
      <c r="Y32" s="189"/>
      <c r="Z32" s="189"/>
      <c r="AA32" s="189"/>
    </row>
    <row r="33" spans="1:27" s="181" customFormat="1" ht="25.15" customHeight="1" thickBot="1">
      <c r="B33" s="197">
        <v>3</v>
      </c>
      <c r="C33" s="360" t="str">
        <f>+R24</f>
        <v>DURRA MOHAMMED AL SHALAB CONTRACTING ESTABLISHMENT</v>
      </c>
      <c r="D33" s="361"/>
      <c r="E33" s="368"/>
      <c r="F33" s="369"/>
      <c r="G33" s="369"/>
      <c r="H33" s="369"/>
      <c r="I33" s="370"/>
      <c r="J33" s="352">
        <f>S27</f>
        <v>172377.87</v>
      </c>
      <c r="K33" s="353"/>
      <c r="L33" s="350">
        <f>J33/E31</f>
        <v>1.0846370259310607</v>
      </c>
      <c r="M33" s="351"/>
      <c r="N33" s="352">
        <f>J33</f>
        <v>172377.87</v>
      </c>
      <c r="O33" s="353"/>
      <c r="P33" s="350">
        <f>N33/E31</f>
        <v>1.0846370259310607</v>
      </c>
      <c r="Q33" s="351"/>
      <c r="R33" s="352">
        <f>J33</f>
        <v>172377.87</v>
      </c>
      <c r="S33" s="353"/>
      <c r="T33" s="350">
        <f>R33/E31</f>
        <v>1.0846370259310607</v>
      </c>
      <c r="U33" s="351"/>
      <c r="V33" s="198"/>
      <c r="W33" s="194"/>
      <c r="X33" s="189"/>
      <c r="Y33" s="189"/>
      <c r="Z33" s="189"/>
      <c r="AA33" s="189"/>
    </row>
    <row r="34" spans="1:27" s="181" customFormat="1" ht="12" customHeight="1">
      <c r="B34" s="182"/>
      <c r="C34" s="183"/>
      <c r="D34" s="183"/>
      <c r="E34" s="184"/>
      <c r="F34" s="184"/>
      <c r="G34" s="184"/>
      <c r="H34" s="184"/>
      <c r="I34" s="184"/>
      <c r="J34" s="185"/>
      <c r="K34" s="185"/>
      <c r="L34" s="185"/>
      <c r="M34" s="186"/>
      <c r="N34" s="185"/>
      <c r="O34" s="185"/>
      <c r="P34" s="185"/>
      <c r="Q34" s="186"/>
      <c r="R34" s="186"/>
      <c r="S34" s="186"/>
      <c r="T34" s="186"/>
      <c r="U34" s="186"/>
      <c r="V34" s="187"/>
      <c r="W34" s="188"/>
      <c r="X34" s="189"/>
      <c r="Y34" s="189"/>
      <c r="Z34" s="189"/>
      <c r="AA34" s="189"/>
    </row>
    <row r="35" spans="1:27" ht="18" customHeight="1" thickBot="1">
      <c r="A35" s="135" t="s">
        <v>53</v>
      </c>
      <c r="B35" s="135"/>
      <c r="C35" s="136"/>
      <c r="D35" s="137"/>
      <c r="E35" s="135"/>
      <c r="F35" s="135"/>
      <c r="G35" s="135"/>
      <c r="H35" s="135"/>
      <c r="I35" s="135"/>
      <c r="J35" s="135"/>
      <c r="K35" s="135"/>
      <c r="L35" s="135"/>
      <c r="M35" s="138"/>
      <c r="N35" s="135"/>
      <c r="O35" s="135"/>
      <c r="P35" s="135"/>
      <c r="Q35" s="138"/>
      <c r="R35" s="138"/>
      <c r="S35" s="138"/>
      <c r="T35" s="138"/>
      <c r="U35" s="138"/>
      <c r="V35" s="135"/>
      <c r="W35" s="135"/>
    </row>
    <row r="36" spans="1:27" ht="19.899999999999999" customHeight="1">
      <c r="A36" s="135"/>
      <c r="B36" s="199" t="s">
        <v>55</v>
      </c>
      <c r="C36" s="200"/>
      <c r="D36" s="201"/>
      <c r="E36" s="202"/>
      <c r="F36" s="203"/>
      <c r="G36" s="203"/>
      <c r="H36" s="203"/>
      <c r="I36" s="203"/>
      <c r="J36" s="203"/>
      <c r="K36" s="203"/>
      <c r="L36" s="203"/>
      <c r="M36" s="204"/>
      <c r="N36" s="203"/>
      <c r="O36" s="203"/>
      <c r="P36" s="203"/>
      <c r="Q36" s="204"/>
      <c r="R36" s="204"/>
      <c r="S36" s="204"/>
      <c r="T36" s="204"/>
      <c r="U36" s="204"/>
      <c r="V36" s="205"/>
      <c r="W36" s="135"/>
    </row>
    <row r="37" spans="1:27" ht="19.899999999999999" customHeight="1" thickBot="1">
      <c r="A37" s="135"/>
      <c r="B37" s="206"/>
      <c r="C37" s="207"/>
      <c r="D37" s="208"/>
      <c r="E37" s="209"/>
      <c r="F37" s="210"/>
      <c r="G37" s="210"/>
      <c r="H37" s="210"/>
      <c r="I37" s="210"/>
      <c r="J37" s="210"/>
      <c r="K37" s="210"/>
      <c r="L37" s="210"/>
      <c r="M37" s="211"/>
      <c r="N37" s="210"/>
      <c r="O37" s="210"/>
      <c r="P37" s="210"/>
      <c r="Q37" s="211"/>
      <c r="R37" s="211"/>
      <c r="S37" s="211"/>
      <c r="T37" s="211"/>
      <c r="U37" s="211"/>
      <c r="V37" s="212"/>
      <c r="W37" s="135"/>
    </row>
    <row r="38" spans="1:27" s="181" customFormat="1" ht="12" customHeight="1">
      <c r="B38" s="182"/>
      <c r="C38" s="183"/>
      <c r="D38" s="183"/>
      <c r="E38" s="184"/>
      <c r="F38" s="184"/>
      <c r="G38" s="184"/>
      <c r="H38" s="184"/>
      <c r="I38" s="184"/>
      <c r="J38" s="185"/>
      <c r="K38" s="185"/>
      <c r="L38" s="185"/>
      <c r="M38" s="186"/>
      <c r="N38" s="185"/>
      <c r="O38" s="185"/>
      <c r="P38" s="185"/>
      <c r="Q38" s="186"/>
      <c r="R38" s="186"/>
      <c r="S38" s="186"/>
      <c r="T38" s="186"/>
      <c r="U38" s="186"/>
      <c r="V38" s="187"/>
      <c r="W38" s="188"/>
      <c r="X38" s="189"/>
      <c r="Y38" s="189"/>
      <c r="Z38" s="189"/>
      <c r="AA38" s="189"/>
    </row>
    <row r="39" spans="1:27" ht="18" customHeight="1" thickBot="1">
      <c r="A39" s="135" t="s">
        <v>54</v>
      </c>
      <c r="B39" s="135"/>
      <c r="C39" s="136"/>
      <c r="D39" s="137"/>
      <c r="E39" s="135"/>
      <c r="F39" s="135"/>
      <c r="G39" s="135"/>
      <c r="H39" s="135"/>
      <c r="I39" s="135"/>
      <c r="J39" s="135"/>
      <c r="K39" s="135"/>
      <c r="L39" s="135"/>
      <c r="M39" s="138"/>
      <c r="N39" s="135"/>
      <c r="O39" s="135"/>
      <c r="P39" s="135"/>
      <c r="Q39" s="138"/>
      <c r="R39" s="138"/>
      <c r="S39" s="138"/>
      <c r="T39" s="138"/>
      <c r="U39" s="138"/>
      <c r="V39" s="135"/>
      <c r="W39" s="135"/>
    </row>
    <row r="40" spans="1:27" ht="24.95" customHeight="1" thickBot="1">
      <c r="A40" s="135"/>
      <c r="B40" s="213" t="str">
        <f>CONCATENATE("1) Selected"," ' ",J4," ' ","asthevendorofferingthelowestpricewhilemeetingallrequiredqualitystandards.")</f>
        <v>1) Selected ' MASCO (MOHAMMED BIN ALI BIN SALMAN AL SHALAB CONTRACTING COMPANY) ' asthevendorofferingthelowestpricewhilemeetingallrequiredqualitystandards.</v>
      </c>
      <c r="C40" s="214"/>
      <c r="D40" s="215"/>
      <c r="E40" s="216"/>
      <c r="F40" s="217"/>
      <c r="G40" s="217"/>
      <c r="H40" s="217"/>
      <c r="I40" s="217"/>
      <c r="J40" s="217"/>
      <c r="K40" s="217"/>
      <c r="L40" s="217"/>
      <c r="M40" s="218"/>
      <c r="N40" s="217"/>
      <c r="O40" s="217"/>
      <c r="P40" s="217"/>
      <c r="Q40" s="218"/>
      <c r="R40" s="218"/>
      <c r="S40" s="218"/>
      <c r="T40" s="218"/>
      <c r="U40" s="218"/>
      <c r="V40" s="219"/>
      <c r="W40" s="135"/>
    </row>
    <row r="41" spans="1:27" ht="18" customHeight="1">
      <c r="A41" s="135"/>
      <c r="B41" s="220"/>
      <c r="C41" s="221"/>
      <c r="D41" s="222"/>
      <c r="E41" s="220"/>
      <c r="F41" s="135"/>
      <c r="G41" s="135"/>
      <c r="H41" s="135"/>
      <c r="I41" s="135"/>
      <c r="J41" s="135"/>
      <c r="K41" s="135"/>
      <c r="L41" s="135"/>
      <c r="M41" s="138"/>
      <c r="N41" s="135"/>
      <c r="O41" s="135"/>
      <c r="P41" s="135"/>
      <c r="Q41" s="138"/>
      <c r="R41" s="138"/>
      <c r="S41" s="138"/>
      <c r="T41" s="138"/>
      <c r="U41" s="138"/>
      <c r="V41" s="135"/>
      <c r="W41" s="135"/>
    </row>
    <row r="42" spans="1:27" s="226" customFormat="1" ht="15" customHeight="1">
      <c r="A42" s="134"/>
      <c r="B42" s="223"/>
      <c r="C42" s="224"/>
      <c r="D42" s="225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133"/>
      <c r="Y42" s="133"/>
      <c r="Z42" s="133"/>
      <c r="AA42" s="133"/>
    </row>
    <row r="43" spans="1:27" s="226" customFormat="1" ht="18" customHeight="1">
      <c r="A43" s="134"/>
      <c r="B43" s="134"/>
      <c r="C43" s="139"/>
      <c r="D43" s="225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134"/>
      <c r="W43" s="134"/>
      <c r="X43" s="133"/>
      <c r="Y43" s="133"/>
      <c r="Z43" s="133"/>
      <c r="AA43" s="133"/>
    </row>
    <row r="44" spans="1:27" s="226" customFormat="1" ht="18" customHeight="1">
      <c r="A44" s="134"/>
      <c r="B44" s="134"/>
      <c r="C44" s="139"/>
      <c r="D44" s="225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134"/>
      <c r="W44" s="134"/>
      <c r="X44" s="133"/>
      <c r="Y44" s="133"/>
      <c r="Z44" s="133"/>
      <c r="AA44" s="133"/>
    </row>
    <row r="45" spans="1:27" s="226" customFormat="1" ht="18" customHeight="1">
      <c r="A45" s="134"/>
      <c r="B45" s="134"/>
      <c r="C45" s="139"/>
      <c r="D45" s="225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134"/>
      <c r="W45" s="134"/>
      <c r="X45" s="133"/>
      <c r="Y45" s="133"/>
      <c r="Z45" s="133"/>
      <c r="AA45" s="133"/>
    </row>
    <row r="46" spans="1:27" s="226" customFormat="1" ht="18" customHeight="1">
      <c r="A46" s="134"/>
      <c r="B46" s="134"/>
      <c r="C46" s="139"/>
      <c r="D46" s="225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134"/>
      <c r="W46" s="134"/>
      <c r="X46" s="133"/>
      <c r="Y46" s="133"/>
      <c r="Z46" s="133"/>
      <c r="AA46" s="133"/>
    </row>
  </sheetData>
  <mergeCells count="55">
    <mergeCell ref="A3:C3"/>
    <mergeCell ref="G27:H27"/>
    <mergeCell ref="G25:H25"/>
    <mergeCell ref="G26:H26"/>
    <mergeCell ref="G24:I24"/>
    <mergeCell ref="G4:I4"/>
    <mergeCell ref="B27:F27"/>
    <mergeCell ref="C26:F26"/>
    <mergeCell ref="C24:F24"/>
    <mergeCell ref="P33:Q33"/>
    <mergeCell ref="R33:S33"/>
    <mergeCell ref="T33:U33"/>
    <mergeCell ref="C32:D32"/>
    <mergeCell ref="J32:K32"/>
    <mergeCell ref="L32:M32"/>
    <mergeCell ref="N32:O32"/>
    <mergeCell ref="P32:Q32"/>
    <mergeCell ref="R32:S32"/>
    <mergeCell ref="T32:U32"/>
    <mergeCell ref="C33:D33"/>
    <mergeCell ref="J33:K33"/>
    <mergeCell ref="L33:M33"/>
    <mergeCell ref="N33:O33"/>
    <mergeCell ref="E31:I33"/>
    <mergeCell ref="R30:S30"/>
    <mergeCell ref="T30:U30"/>
    <mergeCell ref="C31:D31"/>
    <mergeCell ref="J31:K31"/>
    <mergeCell ref="L31:M31"/>
    <mergeCell ref="N31:O31"/>
    <mergeCell ref="P31:Q31"/>
    <mergeCell ref="R31:S31"/>
    <mergeCell ref="T31:U31"/>
    <mergeCell ref="P30:Q30"/>
    <mergeCell ref="J30:K30"/>
    <mergeCell ref="L30:M30"/>
    <mergeCell ref="N30:O30"/>
    <mergeCell ref="C30:D30"/>
    <mergeCell ref="E30:I30"/>
    <mergeCell ref="V4:V5"/>
    <mergeCell ref="L6:L23"/>
    <mergeCell ref="P6:P23"/>
    <mergeCell ref="T6:T23"/>
    <mergeCell ref="J4:M4"/>
    <mergeCell ref="J24:M24"/>
    <mergeCell ref="N24:Q24"/>
    <mergeCell ref="R24:U24"/>
    <mergeCell ref="D25:F25"/>
    <mergeCell ref="B4:B5"/>
    <mergeCell ref="C4:C5"/>
    <mergeCell ref="D4:D5"/>
    <mergeCell ref="E4:E5"/>
    <mergeCell ref="F4:F5"/>
    <mergeCell ref="N4:Q4"/>
    <mergeCell ref="R4:U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25 U25 U6 Q6" evalError="1"/>
    <ignoredError sqref="P32" formula="1"/>
    <ignoredError sqref="M2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2026-10-25T07:18:09Z</cp:lastPrinted>
  <dcterms:created xsi:type="dcterms:W3CDTF">2023-08-14T07:13:42Z</dcterms:created>
  <dcterms:modified xsi:type="dcterms:W3CDTF">2026-10-26T05:25:46Z</dcterms:modified>
</cp:coreProperties>
</file>