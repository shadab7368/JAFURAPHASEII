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전산볼트\Again\"/>
    </mc:Choice>
  </mc:AlternateContent>
  <xr:revisionPtr revIDLastSave="0" documentId="13_ncr:1_{B0E2E4FF-3AAD-4787-94AC-5979915BC26F}" xr6:coauthVersionLast="47" xr6:coauthVersionMax="47" xr10:uidLastSave="{00000000-0000-0000-0000-000000000000}"/>
  <bookViews>
    <workbookView xWindow="-28920" yWindow="855" windowWidth="29040" windowHeight="15720" xr2:uid="{7BA89639-94D9-4F60-8C5F-C77E190BFE4C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1" i="1" l="1"/>
  <c r="I21" i="1"/>
  <c r="G21" i="1"/>
  <c r="K20" i="1"/>
  <c r="I20" i="1"/>
  <c r="G20" i="1"/>
  <c r="K19" i="1"/>
  <c r="I19" i="1"/>
  <c r="G19" i="1"/>
  <c r="K18" i="1"/>
  <c r="I18" i="1"/>
  <c r="G18" i="1"/>
  <c r="K17" i="1"/>
  <c r="I17" i="1"/>
  <c r="G17" i="1"/>
  <c r="K16" i="1"/>
  <c r="I16" i="1"/>
  <c r="G16" i="1"/>
  <c r="K15" i="1"/>
  <c r="I15" i="1"/>
  <c r="G15" i="1"/>
  <c r="K14" i="1"/>
  <c r="I14" i="1"/>
  <c r="G14" i="1"/>
  <c r="K13" i="1"/>
  <c r="I13" i="1"/>
  <c r="G13" i="1"/>
  <c r="K12" i="1"/>
  <c r="I12" i="1"/>
  <c r="G12" i="1"/>
  <c r="K11" i="1"/>
  <c r="I11" i="1"/>
  <c r="G11" i="1"/>
  <c r="K10" i="1"/>
  <c r="I10" i="1"/>
  <c r="G10" i="1"/>
  <c r="K9" i="1"/>
  <c r="I9" i="1"/>
  <c r="G9" i="1"/>
  <c r="K8" i="1"/>
  <c r="I8" i="1"/>
  <c r="G8" i="1"/>
  <c r="K7" i="1"/>
  <c r="I7" i="1"/>
  <c r="G7" i="1"/>
  <c r="K6" i="1"/>
  <c r="I6" i="1"/>
  <c r="G6" i="1"/>
  <c r="K5" i="1"/>
  <c r="I5" i="1"/>
  <c r="G5" i="1"/>
  <c r="K4" i="1"/>
  <c r="K22" i="1" s="1"/>
  <c r="I4" i="1"/>
  <c r="I22" i="1" s="1"/>
  <c r="G4" i="1"/>
  <c r="G22" i="1" s="1"/>
</calcChain>
</file>

<file path=xl/sharedStrings.xml><?xml version="1.0" encoding="utf-8"?>
<sst xmlns="http://schemas.openxmlformats.org/spreadsheetml/2006/main" count="88" uniqueCount="38">
  <si>
    <t>Compare- Full Thread Bolt, Nut, Flat Washer (Galva)</t>
    <phoneticPr fontId="2" type="noConversion"/>
  </si>
  <si>
    <t>Masco</t>
    <phoneticPr fontId="2" type="noConversion"/>
  </si>
  <si>
    <t>AL Haram</t>
    <phoneticPr fontId="2" type="noConversion"/>
  </si>
  <si>
    <t>DMC</t>
    <phoneticPr fontId="2" type="noConversion"/>
  </si>
  <si>
    <t>No</t>
    <phoneticPr fontId="2" type="noConversion"/>
  </si>
  <si>
    <t>Item</t>
    <phoneticPr fontId="2" type="noConversion"/>
  </si>
  <si>
    <t>Size</t>
    <phoneticPr fontId="2" type="noConversion"/>
  </si>
  <si>
    <t>Q'ty</t>
    <phoneticPr fontId="2" type="noConversion"/>
  </si>
  <si>
    <t>Unit</t>
    <phoneticPr fontId="2" type="noConversion"/>
  </si>
  <si>
    <t>UP</t>
    <phoneticPr fontId="2" type="noConversion"/>
  </si>
  <si>
    <t>Amount</t>
    <phoneticPr fontId="2" type="noConversion"/>
  </si>
  <si>
    <t>Remark</t>
    <phoneticPr fontId="2" type="noConversion"/>
  </si>
  <si>
    <t>Full Thread Bolt(Galva)</t>
    <phoneticPr fontId="2" type="noConversion"/>
  </si>
  <si>
    <t>1/2" x 3.5mtr</t>
    <phoneticPr fontId="2" type="noConversion"/>
  </si>
  <si>
    <t>Pcs</t>
    <phoneticPr fontId="2" type="noConversion"/>
  </si>
  <si>
    <t xml:space="preserve">ASTM A307 Grade A, </t>
    <phoneticPr fontId="2" type="noConversion"/>
  </si>
  <si>
    <t>1" x 3.5mtr</t>
    <phoneticPr fontId="2" type="noConversion"/>
  </si>
  <si>
    <t>"</t>
    <phoneticPr fontId="2" type="noConversion"/>
  </si>
  <si>
    <t>3/4" x 3.5mtr</t>
    <phoneticPr fontId="2" type="noConversion"/>
  </si>
  <si>
    <t>5/8" x 3.5mtr</t>
    <phoneticPr fontId="2" type="noConversion"/>
  </si>
  <si>
    <t>7/8" x 3.5mtr</t>
    <phoneticPr fontId="2" type="noConversion"/>
  </si>
  <si>
    <t>1 1/2" x 3.5mtr</t>
    <phoneticPr fontId="2" type="noConversion"/>
  </si>
  <si>
    <t>Hex Nut (Galva)</t>
    <phoneticPr fontId="2" type="noConversion"/>
  </si>
  <si>
    <t>1/2"</t>
    <phoneticPr fontId="2" type="noConversion"/>
  </si>
  <si>
    <t>ASME B18.2.2 Hex Nut</t>
    <phoneticPr fontId="2" type="noConversion"/>
  </si>
  <si>
    <t>1"</t>
    <phoneticPr fontId="2" type="noConversion"/>
  </si>
  <si>
    <t>3/4"</t>
    <phoneticPr fontId="2" type="noConversion"/>
  </si>
  <si>
    <t>5/8"</t>
    <phoneticPr fontId="2" type="noConversion"/>
  </si>
  <si>
    <t>7/8"</t>
    <phoneticPr fontId="2" type="noConversion"/>
  </si>
  <si>
    <t>1 1/2"</t>
    <phoneticPr fontId="2" type="noConversion"/>
  </si>
  <si>
    <t>Flat Washer (Galva)</t>
    <phoneticPr fontId="2" type="noConversion"/>
  </si>
  <si>
    <t>1/2"(STD)</t>
    <phoneticPr fontId="2" type="noConversion"/>
  </si>
  <si>
    <t>ASME B18.22.1 Type A (Narrow)</t>
  </si>
  <si>
    <t>1" (STD)</t>
    <phoneticPr fontId="2" type="noConversion"/>
  </si>
  <si>
    <t>3/4" (STD)</t>
    <phoneticPr fontId="2" type="noConversion"/>
  </si>
  <si>
    <t>5/8" (STD)</t>
    <phoneticPr fontId="2" type="noConversion"/>
  </si>
  <si>
    <t>7/8" (STD)</t>
    <phoneticPr fontId="2" type="noConversion"/>
  </si>
  <si>
    <t>1 1/2"(STD)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</si>
</sst>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#,##0.00_);[Red]\(#,##0.00\)"/>
  </numFmts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>
      <alignment vertical="center"/>
    </xf>
    <xf numFmtId="177" fontId="4" fillId="0" borderId="1" xfId="0" applyNumberFormat="1" applyFont="1" applyFill="1" applyBorder="1">
      <alignment vertical="center"/>
    </xf>
    <xf numFmtId="176" fontId="4" fillId="0" borderId="1" xfId="0" applyNumberFormat="1" applyFont="1" applyFill="1" applyBorder="1" applyAlignment="1">
      <alignment horizontal="right" vertical="center"/>
    </xf>
    <xf numFmtId="176" fontId="3" fillId="0" borderId="1" xfId="0" applyNumberFormat="1" applyFont="1" applyFill="1" applyBorder="1" applyAlignment="1">
      <alignment horizontal="right" vertical="center"/>
    </xf>
    <xf numFmtId="178" fontId="3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>
      <alignment vertical="center"/>
    </xf>
    <xf numFmtId="177" fontId="4" fillId="0" borderId="0" xfId="0" applyNumberFormat="1" applyFont="1" applyFill="1">
      <alignment vertical="center"/>
    </xf>
    <xf numFmtId="176" fontId="4" fillId="0" borderId="0" xfId="0" applyNumberFormat="1" applyFont="1" applyFill="1" applyAlignment="1">
      <alignment horizontal="right" vertical="center"/>
    </xf>
    <xf numFmtId="178" fontId="4" fillId="0" borderId="0" xfId="0" applyNumberFormat="1" applyFont="1" applyFill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F8E53-33F1-4C73-AF3A-C5DA1603849E}">
  <dimension ref="A2:L25"/>
  <sheetViews>
    <sheetView tabSelected="1" workbookViewId="0">
      <selection activeCell="F15" sqref="F15"/>
    </sheetView>
  </sheetViews>
  <sheetFormatPr defaultRowHeight="17.399999999999999" x14ac:dyDescent="0.4"/>
  <cols>
    <col min="1" max="1" width="4.3984375" style="2" customWidth="1"/>
    <col min="2" max="2" width="26.69921875" customWidth="1"/>
    <col min="3" max="3" width="14.69921875" style="2" customWidth="1"/>
    <col min="4" max="4" width="7.59765625" customWidth="1"/>
    <col min="5" max="5" width="7" customWidth="1"/>
    <col min="6" max="6" width="8.19921875" customWidth="1"/>
    <col min="7" max="7" width="10.3984375" customWidth="1"/>
    <col min="8" max="8" width="7" customWidth="1"/>
    <col min="9" max="9" width="11" customWidth="1"/>
    <col min="10" max="10" width="7" customWidth="1"/>
    <col min="11" max="11" width="10.3984375" customWidth="1"/>
    <col min="12" max="12" width="25.69921875" customWidth="1"/>
  </cols>
  <sheetData>
    <row r="2" spans="1:12" x14ac:dyDescent="0.4">
      <c r="A2" s="1" t="s">
        <v>0</v>
      </c>
      <c r="F2" s="3" t="s">
        <v>1</v>
      </c>
      <c r="H2" s="3" t="s">
        <v>2</v>
      </c>
      <c r="J2" s="3" t="s">
        <v>3</v>
      </c>
    </row>
    <row r="3" spans="1:12" x14ac:dyDescent="0.4">
      <c r="A3" s="4" t="s">
        <v>4</v>
      </c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5" t="s">
        <v>9</v>
      </c>
      <c r="I3" s="5" t="s">
        <v>10</v>
      </c>
      <c r="J3" s="5" t="s">
        <v>9</v>
      </c>
      <c r="K3" s="5" t="s">
        <v>10</v>
      </c>
      <c r="L3" s="4" t="s">
        <v>11</v>
      </c>
    </row>
    <row r="4" spans="1:12" x14ac:dyDescent="0.4">
      <c r="A4" s="4">
        <v>1</v>
      </c>
      <c r="B4" s="6" t="s">
        <v>12</v>
      </c>
      <c r="C4" s="4" t="s">
        <v>13</v>
      </c>
      <c r="D4" s="7">
        <v>115</v>
      </c>
      <c r="E4" s="4" t="s">
        <v>14</v>
      </c>
      <c r="F4" s="8">
        <v>38</v>
      </c>
      <c r="G4" s="8">
        <f>F4*D4</f>
        <v>4370</v>
      </c>
      <c r="H4" s="9">
        <v>38</v>
      </c>
      <c r="I4" s="9">
        <f>H4*D4</f>
        <v>4370</v>
      </c>
      <c r="J4" s="10">
        <v>40</v>
      </c>
      <c r="K4" s="10">
        <f>J4*D4</f>
        <v>4600</v>
      </c>
      <c r="L4" s="6" t="s">
        <v>15</v>
      </c>
    </row>
    <row r="5" spans="1:12" x14ac:dyDescent="0.4">
      <c r="A5" s="4">
        <v>2</v>
      </c>
      <c r="B5" s="6" t="s">
        <v>12</v>
      </c>
      <c r="C5" s="4" t="s">
        <v>16</v>
      </c>
      <c r="D5" s="7">
        <v>50</v>
      </c>
      <c r="E5" s="4" t="s">
        <v>14</v>
      </c>
      <c r="F5" s="8">
        <v>157</v>
      </c>
      <c r="G5" s="8">
        <f t="shared" ref="G5:G21" si="0">F5*D5</f>
        <v>7850</v>
      </c>
      <c r="H5" s="9">
        <v>157</v>
      </c>
      <c r="I5" s="9">
        <f t="shared" ref="I5:I21" si="1">H5*D5</f>
        <v>7850</v>
      </c>
      <c r="J5" s="10">
        <v>162</v>
      </c>
      <c r="K5" s="10">
        <f t="shared" ref="K5:K21" si="2">J5*D5</f>
        <v>8100</v>
      </c>
      <c r="L5" s="4" t="s">
        <v>17</v>
      </c>
    </row>
    <row r="6" spans="1:12" x14ac:dyDescent="0.4">
      <c r="A6" s="4">
        <v>3</v>
      </c>
      <c r="B6" s="6" t="s">
        <v>12</v>
      </c>
      <c r="C6" s="4" t="s">
        <v>18</v>
      </c>
      <c r="D6" s="7">
        <v>50</v>
      </c>
      <c r="E6" s="4" t="s">
        <v>14</v>
      </c>
      <c r="F6" s="8">
        <v>90</v>
      </c>
      <c r="G6" s="8">
        <f t="shared" si="0"/>
        <v>4500</v>
      </c>
      <c r="H6" s="9">
        <v>90</v>
      </c>
      <c r="I6" s="9">
        <f t="shared" si="1"/>
        <v>4500</v>
      </c>
      <c r="J6" s="10">
        <v>88</v>
      </c>
      <c r="K6" s="10">
        <f t="shared" si="2"/>
        <v>4400</v>
      </c>
      <c r="L6" s="4" t="s">
        <v>17</v>
      </c>
    </row>
    <row r="7" spans="1:12" x14ac:dyDescent="0.4">
      <c r="A7" s="4">
        <v>4</v>
      </c>
      <c r="B7" s="6" t="s">
        <v>12</v>
      </c>
      <c r="C7" s="4" t="s">
        <v>19</v>
      </c>
      <c r="D7" s="7">
        <v>550</v>
      </c>
      <c r="E7" s="4" t="s">
        <v>14</v>
      </c>
      <c r="F7" s="8">
        <v>100</v>
      </c>
      <c r="G7" s="8">
        <f t="shared" si="0"/>
        <v>55000</v>
      </c>
      <c r="H7" s="9">
        <v>105</v>
      </c>
      <c r="I7" s="9">
        <f t="shared" si="1"/>
        <v>57750</v>
      </c>
      <c r="J7" s="10">
        <v>110</v>
      </c>
      <c r="K7" s="10">
        <f t="shared" si="2"/>
        <v>60500</v>
      </c>
      <c r="L7" s="4" t="s">
        <v>17</v>
      </c>
    </row>
    <row r="8" spans="1:12" x14ac:dyDescent="0.4">
      <c r="A8" s="4">
        <v>5</v>
      </c>
      <c r="B8" s="6" t="s">
        <v>12</v>
      </c>
      <c r="C8" s="4" t="s">
        <v>20</v>
      </c>
      <c r="D8" s="7">
        <v>50</v>
      </c>
      <c r="E8" s="4" t="s">
        <v>14</v>
      </c>
      <c r="F8" s="8">
        <v>120</v>
      </c>
      <c r="G8" s="8">
        <f t="shared" si="0"/>
        <v>6000</v>
      </c>
      <c r="H8" s="9">
        <v>120</v>
      </c>
      <c r="I8" s="9">
        <f t="shared" si="1"/>
        <v>6000</v>
      </c>
      <c r="J8" s="10">
        <v>125</v>
      </c>
      <c r="K8" s="10">
        <f t="shared" si="2"/>
        <v>6250</v>
      </c>
      <c r="L8" s="4" t="s">
        <v>17</v>
      </c>
    </row>
    <row r="9" spans="1:12" x14ac:dyDescent="0.4">
      <c r="A9" s="4">
        <v>6</v>
      </c>
      <c r="B9" s="6" t="s">
        <v>12</v>
      </c>
      <c r="C9" s="4" t="s">
        <v>21</v>
      </c>
      <c r="D9" s="7">
        <v>50</v>
      </c>
      <c r="E9" s="4" t="s">
        <v>14</v>
      </c>
      <c r="F9" s="8">
        <v>380</v>
      </c>
      <c r="G9" s="8">
        <f t="shared" si="0"/>
        <v>19000</v>
      </c>
      <c r="H9" s="9">
        <v>380</v>
      </c>
      <c r="I9" s="9">
        <f t="shared" si="1"/>
        <v>19000</v>
      </c>
      <c r="J9" s="10">
        <v>380</v>
      </c>
      <c r="K9" s="10">
        <f t="shared" si="2"/>
        <v>19000</v>
      </c>
      <c r="L9" s="4" t="s">
        <v>17</v>
      </c>
    </row>
    <row r="10" spans="1:12" x14ac:dyDescent="0.4">
      <c r="A10" s="4">
        <v>7</v>
      </c>
      <c r="B10" s="6" t="s">
        <v>22</v>
      </c>
      <c r="C10" s="4" t="s">
        <v>23</v>
      </c>
      <c r="D10" s="7">
        <v>4340</v>
      </c>
      <c r="E10" s="4" t="s">
        <v>14</v>
      </c>
      <c r="F10" s="8">
        <v>0.36</v>
      </c>
      <c r="G10" s="8">
        <f t="shared" si="0"/>
        <v>1562.3999999999999</v>
      </c>
      <c r="H10" s="9">
        <v>0.5</v>
      </c>
      <c r="I10" s="9">
        <f t="shared" si="1"/>
        <v>2170</v>
      </c>
      <c r="J10" s="10">
        <v>0.75</v>
      </c>
      <c r="K10" s="10">
        <f t="shared" si="2"/>
        <v>3255</v>
      </c>
      <c r="L10" s="6" t="s">
        <v>24</v>
      </c>
    </row>
    <row r="11" spans="1:12" x14ac:dyDescent="0.4">
      <c r="A11" s="4">
        <v>8</v>
      </c>
      <c r="B11" s="6" t="s">
        <v>22</v>
      </c>
      <c r="C11" s="4" t="s">
        <v>25</v>
      </c>
      <c r="D11" s="7">
        <v>2000</v>
      </c>
      <c r="E11" s="4" t="s">
        <v>14</v>
      </c>
      <c r="F11" s="8">
        <v>2.42</v>
      </c>
      <c r="G11" s="8">
        <f t="shared" si="0"/>
        <v>4840</v>
      </c>
      <c r="H11" s="9">
        <v>2.6</v>
      </c>
      <c r="I11" s="9">
        <f t="shared" si="1"/>
        <v>5200</v>
      </c>
      <c r="J11" s="10">
        <v>2.5</v>
      </c>
      <c r="K11" s="10">
        <f t="shared" si="2"/>
        <v>5000</v>
      </c>
      <c r="L11" s="4" t="s">
        <v>17</v>
      </c>
    </row>
    <row r="12" spans="1:12" x14ac:dyDescent="0.4">
      <c r="A12" s="4">
        <v>9</v>
      </c>
      <c r="B12" s="6" t="s">
        <v>22</v>
      </c>
      <c r="C12" s="4" t="s">
        <v>26</v>
      </c>
      <c r="D12" s="7">
        <v>2000</v>
      </c>
      <c r="E12" s="4" t="s">
        <v>14</v>
      </c>
      <c r="F12" s="8">
        <v>1.54</v>
      </c>
      <c r="G12" s="8">
        <f t="shared" si="0"/>
        <v>3080</v>
      </c>
      <c r="H12" s="9">
        <v>1.5</v>
      </c>
      <c r="I12" s="9">
        <f t="shared" si="1"/>
        <v>3000</v>
      </c>
      <c r="J12" s="10">
        <v>1.6</v>
      </c>
      <c r="K12" s="10">
        <f t="shared" si="2"/>
        <v>3200</v>
      </c>
      <c r="L12" s="4" t="s">
        <v>17</v>
      </c>
    </row>
    <row r="13" spans="1:12" x14ac:dyDescent="0.4">
      <c r="A13" s="4">
        <v>10</v>
      </c>
      <c r="B13" s="6" t="s">
        <v>22</v>
      </c>
      <c r="C13" s="4" t="s">
        <v>27</v>
      </c>
      <c r="D13" s="7">
        <v>4000</v>
      </c>
      <c r="E13" s="4" t="s">
        <v>14</v>
      </c>
      <c r="F13" s="8">
        <v>0.77</v>
      </c>
      <c r="G13" s="8">
        <f t="shared" si="0"/>
        <v>3080</v>
      </c>
      <c r="H13" s="9">
        <v>0.85</v>
      </c>
      <c r="I13" s="9">
        <f t="shared" si="1"/>
        <v>3400</v>
      </c>
      <c r="J13" s="10">
        <v>1</v>
      </c>
      <c r="K13" s="10">
        <f t="shared" si="2"/>
        <v>4000</v>
      </c>
      <c r="L13" s="4" t="s">
        <v>17</v>
      </c>
    </row>
    <row r="14" spans="1:12" x14ac:dyDescent="0.4">
      <c r="A14" s="4">
        <v>11</v>
      </c>
      <c r="B14" s="6" t="s">
        <v>22</v>
      </c>
      <c r="C14" s="4" t="s">
        <v>28</v>
      </c>
      <c r="D14" s="7">
        <v>2000</v>
      </c>
      <c r="E14" s="4" t="s">
        <v>14</v>
      </c>
      <c r="F14" s="8">
        <v>1.87</v>
      </c>
      <c r="G14" s="8">
        <f t="shared" si="0"/>
        <v>3740</v>
      </c>
      <c r="H14" s="9">
        <v>1.95</v>
      </c>
      <c r="I14" s="9">
        <f t="shared" si="1"/>
        <v>3900</v>
      </c>
      <c r="J14" s="10">
        <v>2</v>
      </c>
      <c r="K14" s="10">
        <f t="shared" si="2"/>
        <v>4000</v>
      </c>
      <c r="L14" s="4" t="s">
        <v>17</v>
      </c>
    </row>
    <row r="15" spans="1:12" x14ac:dyDescent="0.4">
      <c r="A15" s="4">
        <v>12</v>
      </c>
      <c r="B15" s="6" t="s">
        <v>22</v>
      </c>
      <c r="C15" s="4" t="s">
        <v>29</v>
      </c>
      <c r="D15" s="7">
        <v>2000</v>
      </c>
      <c r="E15" s="4" t="s">
        <v>14</v>
      </c>
      <c r="F15" s="8">
        <v>7.7</v>
      </c>
      <c r="G15" s="8">
        <f t="shared" si="0"/>
        <v>15400</v>
      </c>
      <c r="H15" s="9">
        <v>8</v>
      </c>
      <c r="I15" s="9">
        <f t="shared" si="1"/>
        <v>16000</v>
      </c>
      <c r="J15" s="10">
        <v>7.95</v>
      </c>
      <c r="K15" s="10">
        <f t="shared" si="2"/>
        <v>15900</v>
      </c>
      <c r="L15" s="4" t="s">
        <v>17</v>
      </c>
    </row>
    <row r="16" spans="1:12" x14ac:dyDescent="0.4">
      <c r="A16" s="4">
        <v>13</v>
      </c>
      <c r="B16" s="6" t="s">
        <v>30</v>
      </c>
      <c r="C16" s="4" t="s">
        <v>31</v>
      </c>
      <c r="D16" s="7">
        <v>4340</v>
      </c>
      <c r="E16" s="4" t="s">
        <v>14</v>
      </c>
      <c r="F16" s="8">
        <v>0.22</v>
      </c>
      <c r="G16" s="8">
        <f t="shared" si="0"/>
        <v>954.8</v>
      </c>
      <c r="H16" s="9">
        <v>0.3</v>
      </c>
      <c r="I16" s="9">
        <f t="shared" si="1"/>
        <v>1302</v>
      </c>
      <c r="J16" s="10">
        <v>0.32</v>
      </c>
      <c r="K16" s="10">
        <f t="shared" si="2"/>
        <v>1388.8</v>
      </c>
      <c r="L16" s="6" t="s">
        <v>32</v>
      </c>
    </row>
    <row r="17" spans="1:12" x14ac:dyDescent="0.4">
      <c r="A17" s="4">
        <v>14</v>
      </c>
      <c r="B17" s="6" t="s">
        <v>30</v>
      </c>
      <c r="C17" s="4" t="s">
        <v>33</v>
      </c>
      <c r="D17" s="7">
        <v>2000</v>
      </c>
      <c r="E17" s="4" t="s">
        <v>14</v>
      </c>
      <c r="F17" s="8">
        <v>0.77</v>
      </c>
      <c r="G17" s="8">
        <f t="shared" si="0"/>
        <v>1540</v>
      </c>
      <c r="H17" s="9">
        <v>0.75</v>
      </c>
      <c r="I17" s="9">
        <f t="shared" si="1"/>
        <v>1500</v>
      </c>
      <c r="J17" s="10">
        <v>0.8</v>
      </c>
      <c r="K17" s="10">
        <f t="shared" si="2"/>
        <v>1600</v>
      </c>
      <c r="L17" s="4" t="s">
        <v>17</v>
      </c>
    </row>
    <row r="18" spans="1:12" x14ac:dyDescent="0.4">
      <c r="A18" s="4">
        <v>15</v>
      </c>
      <c r="B18" s="6" t="s">
        <v>30</v>
      </c>
      <c r="C18" s="4" t="s">
        <v>34</v>
      </c>
      <c r="D18" s="7">
        <v>2000</v>
      </c>
      <c r="E18" s="4" t="s">
        <v>14</v>
      </c>
      <c r="F18" s="8">
        <v>0.44</v>
      </c>
      <c r="G18" s="8">
        <f t="shared" si="0"/>
        <v>880</v>
      </c>
      <c r="H18" s="9">
        <v>0.5</v>
      </c>
      <c r="I18" s="9">
        <f t="shared" si="1"/>
        <v>1000</v>
      </c>
      <c r="J18" s="10">
        <v>0.5</v>
      </c>
      <c r="K18" s="10">
        <f t="shared" si="2"/>
        <v>1000</v>
      </c>
      <c r="L18" s="4" t="s">
        <v>17</v>
      </c>
    </row>
    <row r="19" spans="1:12" x14ac:dyDescent="0.4">
      <c r="A19" s="4">
        <v>16</v>
      </c>
      <c r="B19" s="6" t="s">
        <v>30</v>
      </c>
      <c r="C19" s="4" t="s">
        <v>35</v>
      </c>
      <c r="D19" s="7">
        <v>4000</v>
      </c>
      <c r="E19" s="4" t="s">
        <v>14</v>
      </c>
      <c r="F19" s="8">
        <v>0.44</v>
      </c>
      <c r="G19" s="8">
        <f t="shared" si="0"/>
        <v>1760</v>
      </c>
      <c r="H19" s="9">
        <v>0.6</v>
      </c>
      <c r="I19" s="9">
        <f t="shared" si="1"/>
        <v>2400</v>
      </c>
      <c r="J19" s="10">
        <v>0.65</v>
      </c>
      <c r="K19" s="10">
        <f t="shared" si="2"/>
        <v>2600</v>
      </c>
      <c r="L19" s="4" t="s">
        <v>17</v>
      </c>
    </row>
    <row r="20" spans="1:12" x14ac:dyDescent="0.4">
      <c r="A20" s="4">
        <v>17</v>
      </c>
      <c r="B20" s="6" t="s">
        <v>30</v>
      </c>
      <c r="C20" s="4" t="s">
        <v>36</v>
      </c>
      <c r="D20" s="7">
        <v>2000</v>
      </c>
      <c r="E20" s="4" t="s">
        <v>14</v>
      </c>
      <c r="F20" s="8">
        <v>0.61</v>
      </c>
      <c r="G20" s="8">
        <f t="shared" si="0"/>
        <v>1220</v>
      </c>
      <c r="H20" s="9">
        <v>0.75</v>
      </c>
      <c r="I20" s="9">
        <f t="shared" si="1"/>
        <v>1500</v>
      </c>
      <c r="J20" s="10">
        <v>0.8</v>
      </c>
      <c r="K20" s="10">
        <f t="shared" si="2"/>
        <v>1600</v>
      </c>
      <c r="L20" s="4" t="s">
        <v>17</v>
      </c>
    </row>
    <row r="21" spans="1:12" x14ac:dyDescent="0.4">
      <c r="A21" s="4">
        <v>18</v>
      </c>
      <c r="B21" s="6" t="s">
        <v>30</v>
      </c>
      <c r="C21" s="4" t="s">
        <v>37</v>
      </c>
      <c r="D21" s="7">
        <v>2000</v>
      </c>
      <c r="E21" s="4" t="s">
        <v>14</v>
      </c>
      <c r="F21" s="8">
        <v>1.71</v>
      </c>
      <c r="G21" s="8">
        <f t="shared" si="0"/>
        <v>3420</v>
      </c>
      <c r="H21" s="9">
        <v>1.75</v>
      </c>
      <c r="I21" s="9">
        <f t="shared" si="1"/>
        <v>3500</v>
      </c>
      <c r="J21" s="10">
        <v>1.75</v>
      </c>
      <c r="K21" s="10">
        <f t="shared" si="2"/>
        <v>3500</v>
      </c>
      <c r="L21" s="4" t="s">
        <v>17</v>
      </c>
    </row>
    <row r="22" spans="1:12" x14ac:dyDescent="0.4">
      <c r="A22" s="11"/>
      <c r="B22" s="12"/>
      <c r="C22" s="11"/>
      <c r="D22" s="13"/>
      <c r="E22" s="11"/>
      <c r="F22" s="14"/>
      <c r="G22" s="14">
        <f>SUM(G4:G21)</f>
        <v>138197.20000000001</v>
      </c>
      <c r="H22" s="14"/>
      <c r="I22" s="14">
        <f>SUM(I4:I21)</f>
        <v>144342</v>
      </c>
      <c r="J22" s="15"/>
      <c r="K22" s="15">
        <f>SUM(K4:K21)</f>
        <v>149893.79999999999</v>
      </c>
      <c r="L22" s="12"/>
    </row>
    <row r="23" spans="1:12" x14ac:dyDescent="0.4">
      <c r="A23" s="16"/>
      <c r="B23" s="17"/>
      <c r="C23" s="16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4">
      <c r="A24" s="16"/>
      <c r="B24" s="17"/>
      <c r="C24" s="16"/>
      <c r="D24" s="17"/>
      <c r="E24" s="17"/>
      <c r="F24" s="17"/>
      <c r="G24" s="17"/>
      <c r="H24" s="17"/>
      <c r="I24" s="17"/>
      <c r="J24" s="17"/>
      <c r="K24" s="17"/>
      <c r="L24" s="17"/>
    </row>
    <row r="25" spans="1:12" x14ac:dyDescent="0.4">
      <c r="A25" s="16"/>
      <c r="B25" s="17"/>
      <c r="C25" s="16"/>
      <c r="D25" s="17"/>
      <c r="E25" s="17"/>
      <c r="F25" s="17"/>
      <c r="G25" s="17"/>
      <c r="H25" s="17"/>
      <c r="I25" s="17"/>
      <c r="J25" s="17"/>
      <c r="K25" s="17"/>
      <c r="L25" s="1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2026-10-19T06:33:29Z</dcterms:created>
  <dcterms:modified xsi:type="dcterms:W3CDTF">2026-10-19T07:05:09Z</dcterms:modified>
</cp:coreProperties>
</file>