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dab\PO\MASCO\MASCO16\"/>
    </mc:Choice>
  </mc:AlternateContent>
  <xr:revisionPtr revIDLastSave="0" documentId="13_ncr:1_{9FB22D23-FDCC-43D4-AFE8-05B13A8AB0ED}" xr6:coauthVersionLast="47" xr6:coauthVersionMax="47" xr10:uidLastSave="{00000000-0000-0000-0000-000000000000}"/>
  <bookViews>
    <workbookView xWindow="-120" yWindow="-120" windowWidth="29040" windowHeight="15720" xr2:uid="{6C3D19CC-9D8F-4137-A90E-EEC0B24E38AA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3" i="3"/>
  <c r="H43" i="3" s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3" i="3"/>
  <c r="L43" i="3" s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3" i="3"/>
  <c r="J43" i="3" l="1"/>
</calcChain>
</file>

<file path=xl/sharedStrings.xml><?xml version="1.0" encoding="utf-8"?>
<sst xmlns="http://schemas.openxmlformats.org/spreadsheetml/2006/main" count="136" uniqueCount="80">
  <si>
    <t>No.</t>
  </si>
  <si>
    <t>Item</t>
  </si>
  <si>
    <t>Description</t>
  </si>
  <si>
    <t>Unit</t>
  </si>
  <si>
    <t xml:space="preserve">Q'ty </t>
    <phoneticPr fontId="0" type="noConversion"/>
  </si>
  <si>
    <t>Remarks</t>
  </si>
  <si>
    <t>Manual pipe bending machine</t>
    <phoneticPr fontId="3" type="noConversion"/>
  </si>
  <si>
    <t>Suitable for steel pipe od 10–25 mm, bending angle up to 180°</t>
    <phoneticPr fontId="3" type="noConversion"/>
  </si>
  <si>
    <t>PCS</t>
  </si>
  <si>
    <t>Tube bender</t>
    <phoneticPr fontId="3" type="noConversion"/>
  </si>
  <si>
    <t>1/2"</t>
  </si>
  <si>
    <t>PCS</t>
    <phoneticPr fontId="3" type="noConversion"/>
  </si>
  <si>
    <t xml:space="preserve">3/4" </t>
    <phoneticPr fontId="3" type="noConversion"/>
  </si>
  <si>
    <t>Tube cutting tool (Blade width: 5 mm)</t>
    <phoneticPr fontId="3" type="noConversion"/>
  </si>
  <si>
    <t>Tube cutter blade</t>
    <phoneticPr fontId="3" type="noConversion"/>
  </si>
  <si>
    <t>approx. 28 mm od × 5 mm width</t>
    <phoneticPr fontId="3" type="noConversion"/>
  </si>
  <si>
    <t>Spray gun for snoop leak detector</t>
    <phoneticPr fontId="3" type="noConversion"/>
  </si>
  <si>
    <t>Water pump pliers</t>
    <phoneticPr fontId="3" type="noConversion"/>
  </si>
  <si>
    <t>12"</t>
  </si>
  <si>
    <t>7"</t>
  </si>
  <si>
    <t>50mm X 7.5m</t>
    <phoneticPr fontId="3" type="noConversion"/>
  </si>
  <si>
    <t>Brick Cutting Hammer</t>
    <phoneticPr fontId="3" type="noConversion"/>
  </si>
  <si>
    <t>600 g</t>
    <phoneticPr fontId="3" type="noConversion"/>
  </si>
  <si>
    <t>ALUMINUM MAGNETIC LEVEL</t>
  </si>
  <si>
    <t>24"</t>
  </si>
  <si>
    <t>SCRAPER</t>
  </si>
  <si>
    <t>2"</t>
  </si>
  <si>
    <t>3"</t>
  </si>
  <si>
    <t>Cordless drill/driver</t>
    <phoneticPr fontId="3" type="noConversion"/>
  </si>
  <si>
    <t>BOSCH GSR 18 VE-2-LI, 18 V LI-ION, 2.6 AH, 2-SPEED, 0–400 / 0–1,800 RPM</t>
    <phoneticPr fontId="3" type="noConversion"/>
  </si>
  <si>
    <t>Cordless reciprocating saw</t>
    <phoneticPr fontId="3" type="noConversion"/>
  </si>
  <si>
    <t>Makita BJR182RFE, 18v li-ion</t>
    <phoneticPr fontId="3" type="noConversion"/>
  </si>
  <si>
    <t>Hot air gun</t>
    <phoneticPr fontId="3" type="noConversion"/>
  </si>
  <si>
    <t>STEINEL HL 1910 E, 2000 W, 50–600°C, 3-STAGE AIRFLOW</t>
    <phoneticPr fontId="3" type="noConversion"/>
  </si>
  <si>
    <t>DIAGONAL CUTTING PLIERS</t>
  </si>
  <si>
    <t>7"</t>
    <phoneticPr fontId="3" type="noConversion"/>
  </si>
  <si>
    <t>ADJUSTABLE WRENCH</t>
  </si>
  <si>
    <t>6"</t>
    <phoneticPr fontId="3" type="noConversion"/>
  </si>
  <si>
    <t>12"</t>
    <phoneticPr fontId="3" type="noConversion"/>
  </si>
  <si>
    <t>STEEL PIPE WRENCH</t>
  </si>
  <si>
    <t>10"</t>
    <phoneticPr fontId="3" type="noConversion"/>
  </si>
  <si>
    <t>SCREW DRIVER</t>
    <phoneticPr fontId="3" type="noConversion"/>
  </si>
  <si>
    <t>HACKSAW FRAME</t>
  </si>
  <si>
    <t>HACKSAW BLADE</t>
  </si>
  <si>
    <t>COMBINATION WRENCH</t>
  </si>
  <si>
    <t>8mm</t>
    <phoneticPr fontId="3" type="noConversion"/>
  </si>
  <si>
    <t>10mm</t>
    <phoneticPr fontId="3" type="noConversion"/>
  </si>
  <si>
    <t>14mm</t>
    <phoneticPr fontId="3" type="noConversion"/>
  </si>
  <si>
    <t>17mm</t>
    <phoneticPr fontId="3" type="noConversion"/>
  </si>
  <si>
    <t>19mm</t>
    <phoneticPr fontId="3" type="noConversion"/>
  </si>
  <si>
    <t>21mm</t>
    <phoneticPr fontId="3" type="noConversion"/>
  </si>
  <si>
    <t>RATCHET WRENCH</t>
  </si>
  <si>
    <t>14 X 19mm</t>
    <phoneticPr fontId="3" type="noConversion"/>
  </si>
  <si>
    <t>DISPOSABLE COVERALL</t>
  </si>
  <si>
    <t>Cordless circular saw blade</t>
    <phoneticPr fontId="3" type="noConversion"/>
  </si>
  <si>
    <t>165 mm od × 18 mm bore × 1.0 mm thickness, 6-5/16", carbide tipped</t>
    <phoneticPr fontId="3" type="noConversion"/>
  </si>
  <si>
    <t>Loctite 567 thread sealant</t>
    <phoneticPr fontId="3" type="noConversion"/>
  </si>
  <si>
    <t>50 ml/tube</t>
    <phoneticPr fontId="3" type="noConversion"/>
  </si>
  <si>
    <t>Chemical gloves</t>
    <phoneticPr fontId="3" type="noConversion"/>
  </si>
  <si>
    <t>NITRILE, CHEMICAL RESISTANT, REUSABLE, LONG CUFF, EN 374</t>
    <phoneticPr fontId="3" type="noConversion"/>
  </si>
  <si>
    <t>12" x 24T</t>
    <phoneticPr fontId="3" type="noConversion"/>
  </si>
  <si>
    <t>6mm X L200</t>
    <phoneticPr fontId="3" type="noConversion"/>
  </si>
  <si>
    <t>Precision screwdriver set</t>
    <phoneticPr fontId="3" type="noConversion"/>
  </si>
  <si>
    <t>CHROME VANADIUM STEEL, PHILLIPS &amp; SLOTTED, ASSORTED SIZES</t>
    <phoneticPr fontId="3" type="noConversion"/>
  </si>
  <si>
    <t>Magnetic nut setter bit</t>
    <phoneticPr fontId="3" type="noConversion"/>
  </si>
  <si>
    <t>100 mm length × 8 mm hex</t>
  </si>
  <si>
    <t>100 mm length × 10 mm hex</t>
    <phoneticPr fontId="3" type="noConversion"/>
  </si>
  <si>
    <t>100 mm length × 14 mm hex</t>
    <phoneticPr fontId="3" type="noConversion"/>
  </si>
  <si>
    <t>Diagonal Cutting Pliers</t>
  </si>
  <si>
    <t>Cargo Lashing Belt</t>
  </si>
  <si>
    <t>12mm ~ 50mm(1/2" - 2")</t>
  </si>
  <si>
    <t>500 ml capacity</t>
  </si>
  <si>
    <t>Free size</t>
  </si>
  <si>
    <t>24mm</t>
  </si>
  <si>
    <t>KASWELD</t>
  </si>
  <si>
    <t>ALHARAM</t>
  </si>
  <si>
    <t>UP</t>
  </si>
  <si>
    <t>TOTAL</t>
  </si>
  <si>
    <t>MASCO</t>
  </si>
  <si>
    <t>DMC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</si>
</sst>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"/>
  </numFmts>
  <fonts count="8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 Light"/>
      <family val="3"/>
      <charset val="129"/>
    </font>
    <font>
      <sz val="8"/>
      <name val="Calibri"/>
      <family val="2"/>
      <charset val="129"/>
      <scheme val="minor"/>
    </font>
    <font>
      <sz val="12"/>
      <color rgb="FF000000"/>
      <name val="Calibri Light"/>
      <family val="3"/>
      <charset val="129"/>
      <scheme val="major"/>
    </font>
    <font>
      <sz val="12"/>
      <name val="Calibri Light"/>
      <family val="3"/>
      <charset val="129"/>
      <scheme val="major"/>
    </font>
    <font>
      <sz val="12"/>
      <color theme="1"/>
      <name val="Calibri"/>
      <family val="2"/>
      <charset val="129"/>
      <scheme val="minor"/>
    </font>
    <font>
      <sz val="12"/>
      <color theme="1"/>
      <name val="Calibri Light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5" fillId="0" borderId="1" xfId="1" applyFont="1" applyBorder="1" applyAlignment="1">
      <alignment horizontal="left" vertical="center"/>
    </xf>
    <xf numFmtId="0" fontId="5" fillId="0" borderId="1" xfId="2" applyFont="1" applyBorder="1" applyAlignment="1">
      <alignment horizontal="left" vertical="center" wrapText="1"/>
    </xf>
    <xf numFmtId="0" fontId="5" fillId="0" borderId="1" xfId="2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right" vertical="center"/>
    </xf>
    <xf numFmtId="0" fontId="5" fillId="0" borderId="1" xfId="2" applyFont="1" applyBorder="1" applyAlignment="1">
      <alignment vertical="center"/>
    </xf>
    <xf numFmtId="0" fontId="5" fillId="0" borderId="1" xfId="2" applyFont="1" applyBorder="1" applyAlignment="1">
      <alignment horizontal="left" vertical="center"/>
    </xf>
    <xf numFmtId="49" fontId="5" fillId="0" borderId="1" xfId="4" applyNumberFormat="1" applyFont="1" applyFill="1" applyBorder="1" applyAlignment="1">
      <alignment vertical="center"/>
    </xf>
    <xf numFmtId="164" fontId="5" fillId="0" borderId="1" xfId="1" quotePrefix="1" applyNumberFormat="1" applyFont="1" applyBorder="1" applyAlignment="1">
      <alignment horizontal="right" vertical="center"/>
    </xf>
    <xf numFmtId="49" fontId="5" fillId="0" borderId="1" xfId="4" applyNumberFormat="1" applyFont="1" applyFill="1" applyBorder="1" applyAlignment="1">
      <alignment vertical="center" wrapText="1"/>
    </xf>
    <xf numFmtId="49" fontId="5" fillId="0" borderId="1" xfId="4" applyNumberFormat="1" applyFont="1" applyFill="1" applyBorder="1" applyAlignment="1">
      <alignment horizontal="left" vertical="center" wrapText="1"/>
    </xf>
    <xf numFmtId="0" fontId="5" fillId="0" borderId="1" xfId="2" applyFont="1" applyBorder="1" applyAlignment="1">
      <alignment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shrinkToFit="1"/>
    </xf>
    <xf numFmtId="2" fontId="4" fillId="0" borderId="1" xfId="1" applyNumberFormat="1" applyFont="1" applyBorder="1" applyAlignment="1">
      <alignment horizontal="right" vertical="center"/>
    </xf>
    <xf numFmtId="2" fontId="4" fillId="0" borderId="0" xfId="1" applyNumberFormat="1" applyFont="1" applyAlignment="1">
      <alignment horizontal="right" vertical="center"/>
    </xf>
    <xf numFmtId="2" fontId="5" fillId="0" borderId="0" xfId="1" quotePrefix="1" applyNumberFormat="1" applyFont="1" applyAlignment="1">
      <alignment horizontal="right" vertical="center"/>
    </xf>
    <xf numFmtId="0" fontId="2" fillId="4" borderId="0" xfId="1" applyFont="1" applyFill="1" applyAlignment="1">
      <alignment horizontal="center" vertical="center"/>
    </xf>
    <xf numFmtId="2" fontId="4" fillId="3" borderId="0" xfId="1" applyNumberFormat="1" applyFont="1" applyFill="1" applyAlignment="1">
      <alignment horizontal="right" vertical="center"/>
    </xf>
    <xf numFmtId="0" fontId="6" fillId="0" borderId="0" xfId="0" applyFont="1">
      <alignment vertical="center"/>
    </xf>
    <xf numFmtId="0" fontId="6" fillId="3" borderId="0" xfId="0" applyFont="1" applyFill="1">
      <alignment vertical="center"/>
    </xf>
    <xf numFmtId="0" fontId="6" fillId="3" borderId="1" xfId="0" applyFont="1" applyFill="1" applyBorder="1">
      <alignment vertical="center"/>
    </xf>
    <xf numFmtId="0" fontId="4" fillId="3" borderId="0" xfId="3" applyFont="1" applyFill="1" applyAlignment="1">
      <alignment vertical="center" wrapText="1"/>
    </xf>
    <xf numFmtId="0" fontId="6" fillId="0" borderId="1" xfId="0" applyFont="1" applyBorder="1">
      <alignment vertical="center"/>
    </xf>
    <xf numFmtId="0" fontId="4" fillId="0" borderId="0" xfId="3" applyFont="1" applyAlignment="1">
      <alignment vertical="center" wrapText="1"/>
    </xf>
    <xf numFmtId="2" fontId="6" fillId="0" borderId="0" xfId="0" applyNumberFormat="1" applyFont="1">
      <alignment vertical="center"/>
    </xf>
    <xf numFmtId="10" fontId="6" fillId="0" borderId="0" xfId="0" applyNumberFormat="1" applyFont="1">
      <alignment vertical="center"/>
    </xf>
    <xf numFmtId="0" fontId="4" fillId="0" borderId="1" xfId="1" applyFont="1" applyBorder="1" applyAlignment="1">
      <alignment horizontal="center" vertical="center"/>
    </xf>
    <xf numFmtId="2" fontId="5" fillId="0" borderId="1" xfId="1" quotePrefix="1" applyNumberFormat="1" applyFont="1" applyBorder="1" applyAlignment="1">
      <alignment horizontal="right" vertical="center"/>
    </xf>
    <xf numFmtId="0" fontId="7" fillId="0" borderId="1" xfId="0" applyFont="1" applyBorder="1">
      <alignment vertical="center"/>
    </xf>
    <xf numFmtId="40" fontId="4" fillId="3" borderId="1" xfId="1" applyNumberFormat="1" applyFont="1" applyFill="1" applyBorder="1" applyAlignment="1">
      <alignment horizontal="right" vertical="center"/>
    </xf>
    <xf numFmtId="40" fontId="4" fillId="0" borderId="1" xfId="1" applyNumberFormat="1" applyFont="1" applyBorder="1" applyAlignment="1">
      <alignment horizontal="right" vertical="center"/>
    </xf>
    <xf numFmtId="40" fontId="6" fillId="0" borderId="1" xfId="0" applyNumberFormat="1" applyFont="1" applyBorder="1">
      <alignment vertical="center"/>
    </xf>
    <xf numFmtId="40" fontId="5" fillId="0" borderId="1" xfId="1" quotePrefix="1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</cellXfs>
  <cellStyles count="5">
    <cellStyle name="Normal" xfId="0" builtinId="0"/>
    <cellStyle name="Normal 15" xfId="3" xr:uid="{A4E3A80C-63F4-4E19-A9B0-E317B77A42C5}"/>
    <cellStyle name="Normal 2 27" xfId="2" xr:uid="{49AC910A-B76A-4275-B750-16F4F63A9AB2}"/>
    <cellStyle name="백분율 3 2 2 2 2 24" xfId="4" xr:uid="{7FDB8966-C3C4-4C57-ABF1-8FF56DD2E8DB}"/>
    <cellStyle name="표준 3 2 2 2 2 24" xfId="1" xr:uid="{3D22645D-8A29-4831-A053-8D863FD00C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263156-C88E-41D6-92AB-7620CACF1C2D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WRtvSJEIYMbGmTV-_4Yz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CFE35-5CEE-4B0E-9682-58E704C903A6}">
  <dimension ref="A1:T58"/>
  <sheetViews>
    <sheetView tabSelected="1" topLeftCell="A22" zoomScale="80" zoomScaleNormal="80" workbookViewId="0">
      <selection activeCell="K3" sqref="K3:K42"/>
    </sheetView>
  </sheetViews>
  <sheetFormatPr defaultColWidth="8.85546875" defaultRowHeight="15.75"/>
  <cols>
    <col min="1" max="1" width="7" style="19" customWidth="1"/>
    <col min="2" max="2" width="34.85546875" style="19" customWidth="1"/>
    <col min="3" max="3" width="36.140625" style="19" customWidth="1"/>
    <col min="4" max="4" width="8.28515625" style="19" customWidth="1"/>
    <col min="5" max="5" width="7.5703125" style="19" customWidth="1"/>
    <col min="6" max="6" width="11" style="19" hidden="1" customWidth="1"/>
    <col min="7" max="8" width="13" style="19" customWidth="1"/>
    <col min="9" max="9" width="11.5703125" style="19" bestFit="1" customWidth="1"/>
    <col min="10" max="10" width="17.85546875" style="19" customWidth="1"/>
    <col min="11" max="12" width="13" style="19" customWidth="1"/>
    <col min="13" max="13" width="12.42578125" style="19" customWidth="1"/>
    <col min="14" max="14" width="14.85546875" style="19" customWidth="1"/>
    <col min="15" max="15" width="10.140625" style="19" customWidth="1"/>
    <col min="16" max="16" width="13.28515625" style="19" customWidth="1"/>
    <col min="17" max="17" width="12.140625" style="19" customWidth="1"/>
    <col min="18" max="18" width="9.5703125" style="19" customWidth="1"/>
    <col min="19" max="16384" width="8.85546875" style="19"/>
  </cols>
  <sheetData>
    <row r="1" spans="1:20" ht="23.45" customHeight="1">
      <c r="G1" s="34" t="s">
        <v>78</v>
      </c>
      <c r="H1" s="34"/>
      <c r="I1" s="34" t="s">
        <v>75</v>
      </c>
      <c r="J1" s="34"/>
      <c r="K1" s="34" t="s">
        <v>79</v>
      </c>
      <c r="L1" s="34"/>
      <c r="M1" s="20"/>
      <c r="N1" s="20"/>
      <c r="O1" s="20"/>
      <c r="P1" s="20"/>
      <c r="Q1" s="20"/>
      <c r="R1" s="20"/>
      <c r="S1" s="20"/>
      <c r="T1" s="20"/>
    </row>
    <row r="2" spans="1:20" ht="32.450000000000003" customHeight="1">
      <c r="A2" s="12" t="s">
        <v>0</v>
      </c>
      <c r="B2" s="12" t="s">
        <v>1</v>
      </c>
      <c r="C2" s="13" t="s">
        <v>2</v>
      </c>
      <c r="D2" s="12" t="s">
        <v>3</v>
      </c>
      <c r="E2" s="12" t="s">
        <v>4</v>
      </c>
      <c r="F2" s="12" t="s">
        <v>74</v>
      </c>
      <c r="G2" s="12" t="s">
        <v>76</v>
      </c>
      <c r="H2" s="12" t="s">
        <v>77</v>
      </c>
      <c r="I2" s="12" t="s">
        <v>76</v>
      </c>
      <c r="J2" s="12" t="s">
        <v>77</v>
      </c>
      <c r="K2" s="12" t="s">
        <v>76</v>
      </c>
      <c r="L2" s="12" t="s">
        <v>77</v>
      </c>
      <c r="M2" s="12" t="s">
        <v>5</v>
      </c>
      <c r="N2" s="17"/>
      <c r="O2" s="17"/>
      <c r="P2" s="17"/>
      <c r="Q2" s="17"/>
      <c r="S2" s="20"/>
      <c r="T2" s="20"/>
    </row>
    <row r="3" spans="1:20" ht="31.5">
      <c r="A3" s="27">
        <v>1</v>
      </c>
      <c r="B3" s="1" t="s">
        <v>6</v>
      </c>
      <c r="C3" s="2" t="s">
        <v>7</v>
      </c>
      <c r="D3" s="3" t="s">
        <v>8</v>
      </c>
      <c r="E3" s="4">
        <v>50</v>
      </c>
      <c r="F3" s="14"/>
      <c r="G3" s="30">
        <v>800</v>
      </c>
      <c r="H3" s="31">
        <f t="shared" ref="H3:H42" si="0">G3*E3</f>
        <v>40000</v>
      </c>
      <c r="I3" s="32">
        <v>1400</v>
      </c>
      <c r="J3" s="32">
        <f>I3*E3</f>
        <v>70000</v>
      </c>
      <c r="K3" s="31">
        <v>1350</v>
      </c>
      <c r="L3" s="31">
        <f>K3*E3</f>
        <v>67500</v>
      </c>
      <c r="M3" s="21"/>
      <c r="N3" s="18"/>
      <c r="O3" s="18"/>
      <c r="P3" s="18"/>
      <c r="Q3" s="18"/>
      <c r="R3" s="22"/>
      <c r="S3" s="20"/>
      <c r="T3" s="20"/>
    </row>
    <row r="4" spans="1:20">
      <c r="A4" s="27">
        <v>2</v>
      </c>
      <c r="B4" s="1" t="s">
        <v>9</v>
      </c>
      <c r="C4" s="5" t="s">
        <v>10</v>
      </c>
      <c r="D4" s="3" t="s">
        <v>11</v>
      </c>
      <c r="E4" s="4">
        <v>20</v>
      </c>
      <c r="F4" s="14"/>
      <c r="G4" s="31">
        <v>77</v>
      </c>
      <c r="H4" s="31">
        <f t="shared" si="0"/>
        <v>1540</v>
      </c>
      <c r="I4" s="31">
        <v>112</v>
      </c>
      <c r="J4" s="32">
        <f t="shared" ref="J4:J42" si="1">I4*E4</f>
        <v>2240</v>
      </c>
      <c r="K4" s="31">
        <v>107</v>
      </c>
      <c r="L4" s="31">
        <f t="shared" ref="L4:L42" si="2">K4*E4</f>
        <v>2140</v>
      </c>
      <c r="M4" s="23"/>
      <c r="N4" s="15"/>
      <c r="O4" s="15"/>
      <c r="P4" s="15"/>
      <c r="Q4" s="15"/>
      <c r="R4" s="24"/>
    </row>
    <row r="5" spans="1:20">
      <c r="A5" s="27">
        <v>3</v>
      </c>
      <c r="B5" s="1" t="s">
        <v>9</v>
      </c>
      <c r="C5" s="5" t="s">
        <v>12</v>
      </c>
      <c r="D5" s="3" t="s">
        <v>11</v>
      </c>
      <c r="E5" s="4">
        <v>40</v>
      </c>
      <c r="F5" s="14"/>
      <c r="G5" s="31">
        <v>105</v>
      </c>
      <c r="H5" s="31">
        <f t="shared" si="0"/>
        <v>4200</v>
      </c>
      <c r="I5" s="31">
        <v>110</v>
      </c>
      <c r="J5" s="32">
        <f t="shared" si="1"/>
        <v>4400</v>
      </c>
      <c r="K5" s="31">
        <v>235</v>
      </c>
      <c r="L5" s="31">
        <f t="shared" si="2"/>
        <v>9400</v>
      </c>
      <c r="M5" s="23"/>
      <c r="N5" s="15"/>
      <c r="O5" s="15"/>
      <c r="P5" s="15"/>
      <c r="Q5" s="15"/>
      <c r="R5" s="24"/>
    </row>
    <row r="6" spans="1:20">
      <c r="A6" s="27">
        <v>4</v>
      </c>
      <c r="B6" s="1" t="s">
        <v>13</v>
      </c>
      <c r="C6" s="5" t="s">
        <v>70</v>
      </c>
      <c r="D6" s="3" t="s">
        <v>11</v>
      </c>
      <c r="E6" s="4">
        <v>100</v>
      </c>
      <c r="F6" s="14"/>
      <c r="G6" s="31">
        <v>65</v>
      </c>
      <c r="H6" s="31">
        <f t="shared" si="0"/>
        <v>6500</v>
      </c>
      <c r="I6" s="31">
        <v>100</v>
      </c>
      <c r="J6" s="32">
        <f t="shared" si="1"/>
        <v>10000</v>
      </c>
      <c r="K6" s="31">
        <v>70</v>
      </c>
      <c r="L6" s="31">
        <f t="shared" si="2"/>
        <v>7000</v>
      </c>
      <c r="M6" s="23"/>
      <c r="N6" s="15"/>
      <c r="O6" s="15"/>
      <c r="P6" s="15"/>
      <c r="Q6" s="15"/>
      <c r="R6" s="24"/>
    </row>
    <row r="7" spans="1:20">
      <c r="A7" s="27">
        <v>5</v>
      </c>
      <c r="B7" s="1" t="s">
        <v>14</v>
      </c>
      <c r="C7" s="6" t="s">
        <v>15</v>
      </c>
      <c r="D7" s="3" t="s">
        <v>8</v>
      </c>
      <c r="E7" s="4">
        <v>1000</v>
      </c>
      <c r="F7" s="14"/>
      <c r="G7" s="31">
        <v>15</v>
      </c>
      <c r="H7" s="31">
        <f t="shared" si="0"/>
        <v>15000</v>
      </c>
      <c r="I7" s="31">
        <v>8.75</v>
      </c>
      <c r="J7" s="32">
        <f t="shared" si="1"/>
        <v>8750</v>
      </c>
      <c r="K7" s="31">
        <v>22</v>
      </c>
      <c r="L7" s="31">
        <f t="shared" si="2"/>
        <v>22000</v>
      </c>
      <c r="M7" s="23"/>
      <c r="N7" s="15"/>
      <c r="O7" s="15"/>
      <c r="P7" s="15"/>
      <c r="Q7" s="15"/>
      <c r="R7" s="24"/>
    </row>
    <row r="8" spans="1:20">
      <c r="A8" s="27">
        <v>6</v>
      </c>
      <c r="B8" s="1" t="s">
        <v>16</v>
      </c>
      <c r="C8" s="6" t="s">
        <v>71</v>
      </c>
      <c r="D8" s="3" t="s">
        <v>8</v>
      </c>
      <c r="E8" s="4">
        <v>100</v>
      </c>
      <c r="F8" s="14"/>
      <c r="G8" s="31">
        <v>17</v>
      </c>
      <c r="H8" s="31">
        <f t="shared" si="0"/>
        <v>1700</v>
      </c>
      <c r="I8" s="31">
        <v>15</v>
      </c>
      <c r="J8" s="32">
        <f t="shared" si="1"/>
        <v>1500</v>
      </c>
      <c r="K8" s="31">
        <v>12</v>
      </c>
      <c r="L8" s="31">
        <f t="shared" si="2"/>
        <v>1200</v>
      </c>
      <c r="M8" s="23"/>
      <c r="N8" s="15"/>
      <c r="O8" s="15"/>
      <c r="P8" s="15"/>
      <c r="Q8" s="15"/>
      <c r="R8" s="24"/>
    </row>
    <row r="9" spans="1:20">
      <c r="A9" s="27">
        <v>7</v>
      </c>
      <c r="B9" s="1" t="s">
        <v>17</v>
      </c>
      <c r="C9" s="5" t="s">
        <v>18</v>
      </c>
      <c r="D9" s="3" t="s">
        <v>11</v>
      </c>
      <c r="E9" s="4">
        <v>30</v>
      </c>
      <c r="F9" s="14"/>
      <c r="G9" s="31">
        <v>24</v>
      </c>
      <c r="H9" s="31">
        <f t="shared" si="0"/>
        <v>720</v>
      </c>
      <c r="I9" s="31">
        <v>20</v>
      </c>
      <c r="J9" s="32">
        <f t="shared" si="1"/>
        <v>600</v>
      </c>
      <c r="K9" s="31">
        <v>45</v>
      </c>
      <c r="L9" s="31">
        <f t="shared" si="2"/>
        <v>1350</v>
      </c>
      <c r="M9" s="23"/>
      <c r="N9" s="15"/>
      <c r="O9" s="15"/>
      <c r="P9" s="15"/>
      <c r="Q9" s="15"/>
      <c r="R9" s="24"/>
    </row>
    <row r="10" spans="1:20">
      <c r="A10" s="27">
        <v>8</v>
      </c>
      <c r="B10" s="1" t="s">
        <v>68</v>
      </c>
      <c r="C10" s="5" t="s">
        <v>19</v>
      </c>
      <c r="D10" s="3" t="s">
        <v>11</v>
      </c>
      <c r="E10" s="4">
        <v>40</v>
      </c>
      <c r="F10" s="14"/>
      <c r="G10" s="31">
        <v>15</v>
      </c>
      <c r="H10" s="31">
        <f t="shared" si="0"/>
        <v>600</v>
      </c>
      <c r="I10" s="31">
        <v>22</v>
      </c>
      <c r="J10" s="32">
        <f t="shared" si="1"/>
        <v>880</v>
      </c>
      <c r="K10" s="31">
        <v>23</v>
      </c>
      <c r="L10" s="31">
        <f t="shared" si="2"/>
        <v>920</v>
      </c>
      <c r="M10" s="23"/>
      <c r="N10" s="15"/>
      <c r="O10" s="15"/>
      <c r="P10" s="15"/>
      <c r="Q10" s="15"/>
      <c r="R10" s="24"/>
    </row>
    <row r="11" spans="1:20">
      <c r="A11" s="27">
        <v>9</v>
      </c>
      <c r="B11" s="1" t="s">
        <v>69</v>
      </c>
      <c r="C11" s="5" t="s">
        <v>20</v>
      </c>
      <c r="D11" s="3" t="s">
        <v>11</v>
      </c>
      <c r="E11" s="4">
        <v>50</v>
      </c>
      <c r="F11" s="14"/>
      <c r="G11" s="31">
        <v>34</v>
      </c>
      <c r="H11" s="31">
        <f t="shared" si="0"/>
        <v>1700</v>
      </c>
      <c r="I11" s="31">
        <v>50</v>
      </c>
      <c r="J11" s="32">
        <f t="shared" si="1"/>
        <v>2500</v>
      </c>
      <c r="K11" s="31">
        <v>40</v>
      </c>
      <c r="L11" s="31">
        <f t="shared" si="2"/>
        <v>2000</v>
      </c>
      <c r="M11" s="23"/>
      <c r="N11" s="15"/>
      <c r="O11" s="15"/>
      <c r="P11" s="15"/>
      <c r="Q11" s="15"/>
      <c r="R11" s="24"/>
    </row>
    <row r="12" spans="1:20">
      <c r="A12" s="27">
        <v>10</v>
      </c>
      <c r="B12" s="1" t="s">
        <v>21</v>
      </c>
      <c r="C12" s="5" t="s">
        <v>22</v>
      </c>
      <c r="D12" s="3" t="s">
        <v>11</v>
      </c>
      <c r="E12" s="4">
        <v>50</v>
      </c>
      <c r="F12" s="14"/>
      <c r="G12" s="31">
        <v>28</v>
      </c>
      <c r="H12" s="31">
        <f t="shared" si="0"/>
        <v>1400</v>
      </c>
      <c r="I12" s="31">
        <v>16</v>
      </c>
      <c r="J12" s="32">
        <f t="shared" si="1"/>
        <v>800</v>
      </c>
      <c r="K12" s="31">
        <v>25</v>
      </c>
      <c r="L12" s="31">
        <f t="shared" si="2"/>
        <v>1250</v>
      </c>
      <c r="M12" s="23"/>
      <c r="N12" s="15"/>
      <c r="O12" s="15"/>
      <c r="P12" s="15"/>
      <c r="Q12" s="15"/>
      <c r="R12" s="24"/>
    </row>
    <row r="13" spans="1:20">
      <c r="A13" s="27">
        <v>11</v>
      </c>
      <c r="B13" s="1" t="s">
        <v>23</v>
      </c>
      <c r="C13" s="5" t="s">
        <v>18</v>
      </c>
      <c r="D13" s="3" t="s">
        <v>11</v>
      </c>
      <c r="E13" s="4">
        <v>50</v>
      </c>
      <c r="F13" s="14">
        <v>15</v>
      </c>
      <c r="G13" s="31">
        <v>18</v>
      </c>
      <c r="H13" s="31">
        <f t="shared" si="0"/>
        <v>900</v>
      </c>
      <c r="I13" s="31">
        <v>15</v>
      </c>
      <c r="J13" s="32">
        <f t="shared" si="1"/>
        <v>750</v>
      </c>
      <c r="K13" s="31">
        <v>55</v>
      </c>
      <c r="L13" s="31">
        <f t="shared" si="2"/>
        <v>2750</v>
      </c>
      <c r="M13" s="23"/>
      <c r="N13" s="15"/>
      <c r="O13" s="15"/>
      <c r="P13" s="15"/>
      <c r="Q13" s="15"/>
      <c r="R13" s="24"/>
    </row>
    <row r="14" spans="1:20">
      <c r="A14" s="27">
        <v>12</v>
      </c>
      <c r="B14" s="1" t="s">
        <v>23</v>
      </c>
      <c r="C14" s="5" t="s">
        <v>24</v>
      </c>
      <c r="D14" s="3" t="s">
        <v>11</v>
      </c>
      <c r="E14" s="4">
        <v>40</v>
      </c>
      <c r="F14" s="14">
        <v>18</v>
      </c>
      <c r="G14" s="31">
        <v>25</v>
      </c>
      <c r="H14" s="31">
        <f t="shared" si="0"/>
        <v>1000</v>
      </c>
      <c r="I14" s="31">
        <v>35</v>
      </c>
      <c r="J14" s="32">
        <f t="shared" si="1"/>
        <v>1400</v>
      </c>
      <c r="K14" s="31">
        <v>75</v>
      </c>
      <c r="L14" s="31">
        <f t="shared" si="2"/>
        <v>3000</v>
      </c>
      <c r="M14" s="23"/>
      <c r="N14" s="15"/>
      <c r="O14" s="15"/>
      <c r="P14" s="15"/>
      <c r="Q14" s="15"/>
      <c r="R14" s="24"/>
    </row>
    <row r="15" spans="1:20">
      <c r="A15" s="27">
        <v>13</v>
      </c>
      <c r="B15" s="1" t="s">
        <v>25</v>
      </c>
      <c r="C15" s="7" t="s">
        <v>26</v>
      </c>
      <c r="D15" s="3" t="s">
        <v>11</v>
      </c>
      <c r="E15" s="8">
        <v>200</v>
      </c>
      <c r="F15" s="28"/>
      <c r="G15" s="33">
        <v>2.25</v>
      </c>
      <c r="H15" s="31">
        <f t="shared" si="0"/>
        <v>450</v>
      </c>
      <c r="I15" s="33">
        <v>2</v>
      </c>
      <c r="J15" s="32">
        <f t="shared" si="1"/>
        <v>400</v>
      </c>
      <c r="K15" s="33">
        <v>3</v>
      </c>
      <c r="L15" s="31">
        <f t="shared" si="2"/>
        <v>600</v>
      </c>
      <c r="M15" s="23"/>
      <c r="N15" s="15"/>
      <c r="O15" s="16"/>
      <c r="P15" s="15"/>
      <c r="Q15" s="16"/>
      <c r="R15" s="24"/>
    </row>
    <row r="16" spans="1:20">
      <c r="A16" s="27">
        <v>14</v>
      </c>
      <c r="B16" s="1" t="s">
        <v>25</v>
      </c>
      <c r="C16" s="7" t="s">
        <v>27</v>
      </c>
      <c r="D16" s="3" t="s">
        <v>11</v>
      </c>
      <c r="E16" s="8">
        <v>150</v>
      </c>
      <c r="F16" s="28"/>
      <c r="G16" s="33">
        <v>2.5</v>
      </c>
      <c r="H16" s="31">
        <f t="shared" si="0"/>
        <v>375</v>
      </c>
      <c r="I16" s="33">
        <v>2.1</v>
      </c>
      <c r="J16" s="32">
        <f t="shared" si="1"/>
        <v>315</v>
      </c>
      <c r="K16" s="33">
        <v>4</v>
      </c>
      <c r="L16" s="31">
        <f t="shared" si="2"/>
        <v>600</v>
      </c>
      <c r="M16" s="23"/>
      <c r="N16" s="15"/>
      <c r="O16" s="16"/>
      <c r="P16" s="15"/>
      <c r="Q16" s="16"/>
      <c r="R16" s="24"/>
    </row>
    <row r="17" spans="1:18" ht="33" customHeight="1">
      <c r="A17" s="27">
        <v>15</v>
      </c>
      <c r="B17" s="1" t="s">
        <v>28</v>
      </c>
      <c r="C17" s="9" t="s">
        <v>29</v>
      </c>
      <c r="D17" s="3" t="s">
        <v>11</v>
      </c>
      <c r="E17" s="8">
        <v>20</v>
      </c>
      <c r="F17" s="28"/>
      <c r="G17" s="33">
        <v>540</v>
      </c>
      <c r="H17" s="31">
        <f t="shared" si="0"/>
        <v>10800</v>
      </c>
      <c r="I17" s="33">
        <v>650</v>
      </c>
      <c r="J17" s="32">
        <f t="shared" si="1"/>
        <v>13000</v>
      </c>
      <c r="K17" s="33">
        <v>730</v>
      </c>
      <c r="L17" s="31">
        <f t="shared" si="2"/>
        <v>14600</v>
      </c>
      <c r="M17" s="23"/>
      <c r="N17" s="15"/>
      <c r="O17" s="16"/>
      <c r="P17" s="15"/>
      <c r="Q17" s="16"/>
      <c r="R17" s="24"/>
    </row>
    <row r="18" spans="1:18">
      <c r="A18" s="27">
        <v>16</v>
      </c>
      <c r="B18" s="1" t="s">
        <v>30</v>
      </c>
      <c r="C18" s="5" t="s">
        <v>31</v>
      </c>
      <c r="D18" s="3" t="s">
        <v>11</v>
      </c>
      <c r="E18" s="4">
        <v>20</v>
      </c>
      <c r="F18" s="14"/>
      <c r="G18" s="31">
        <v>1610</v>
      </c>
      <c r="H18" s="31">
        <f t="shared" si="0"/>
        <v>32200</v>
      </c>
      <c r="I18" s="32">
        <v>1820</v>
      </c>
      <c r="J18" s="32">
        <f t="shared" si="1"/>
        <v>36400</v>
      </c>
      <c r="K18" s="31">
        <v>2350</v>
      </c>
      <c r="L18" s="31">
        <f t="shared" si="2"/>
        <v>47000</v>
      </c>
      <c r="M18" s="23"/>
      <c r="N18" s="15"/>
      <c r="O18" s="15"/>
      <c r="P18" s="15"/>
      <c r="Q18" s="15"/>
      <c r="R18" s="24"/>
    </row>
    <row r="19" spans="1:18" ht="31.5">
      <c r="A19" s="27">
        <v>17</v>
      </c>
      <c r="B19" s="1" t="s">
        <v>32</v>
      </c>
      <c r="C19" s="10" t="s">
        <v>33</v>
      </c>
      <c r="D19" s="3" t="s">
        <v>8</v>
      </c>
      <c r="E19" s="4">
        <v>20</v>
      </c>
      <c r="F19" s="14"/>
      <c r="G19" s="31">
        <v>185</v>
      </c>
      <c r="H19" s="31">
        <f t="shared" si="0"/>
        <v>3700</v>
      </c>
      <c r="I19" s="31">
        <v>650</v>
      </c>
      <c r="J19" s="32">
        <f t="shared" si="1"/>
        <v>13000</v>
      </c>
      <c r="K19" s="31">
        <v>730</v>
      </c>
      <c r="L19" s="31">
        <f t="shared" si="2"/>
        <v>14600</v>
      </c>
      <c r="M19" s="23"/>
      <c r="N19" s="15"/>
      <c r="O19" s="15"/>
      <c r="P19" s="15"/>
      <c r="Q19" s="15"/>
      <c r="R19" s="24"/>
    </row>
    <row r="20" spans="1:18">
      <c r="A20" s="27">
        <v>18</v>
      </c>
      <c r="B20" s="1" t="s">
        <v>34</v>
      </c>
      <c r="C20" s="5" t="s">
        <v>35</v>
      </c>
      <c r="D20" s="3" t="s">
        <v>8</v>
      </c>
      <c r="E20" s="4">
        <v>30</v>
      </c>
      <c r="F20" s="14"/>
      <c r="G20" s="31">
        <v>15</v>
      </c>
      <c r="H20" s="31">
        <f t="shared" si="0"/>
        <v>450</v>
      </c>
      <c r="I20" s="31">
        <v>15</v>
      </c>
      <c r="J20" s="32">
        <f t="shared" si="1"/>
        <v>450</v>
      </c>
      <c r="K20" s="31">
        <v>25</v>
      </c>
      <c r="L20" s="31">
        <f t="shared" si="2"/>
        <v>750</v>
      </c>
      <c r="M20" s="23"/>
      <c r="N20" s="15"/>
      <c r="O20" s="15"/>
      <c r="P20" s="15"/>
      <c r="Q20" s="15"/>
      <c r="R20" s="24"/>
    </row>
    <row r="21" spans="1:18">
      <c r="A21" s="27">
        <v>19</v>
      </c>
      <c r="B21" s="1" t="s">
        <v>36</v>
      </c>
      <c r="C21" s="5" t="s">
        <v>37</v>
      </c>
      <c r="D21" s="3" t="s">
        <v>8</v>
      </c>
      <c r="E21" s="4">
        <v>20</v>
      </c>
      <c r="F21" s="14">
        <v>10</v>
      </c>
      <c r="G21" s="31">
        <v>12</v>
      </c>
      <c r="H21" s="31">
        <f t="shared" si="0"/>
        <v>240</v>
      </c>
      <c r="I21" s="31">
        <v>30</v>
      </c>
      <c r="J21" s="32">
        <f t="shared" si="1"/>
        <v>600</v>
      </c>
      <c r="K21" s="31">
        <v>21</v>
      </c>
      <c r="L21" s="31">
        <f t="shared" si="2"/>
        <v>420</v>
      </c>
      <c r="M21" s="23"/>
      <c r="N21" s="15"/>
      <c r="O21" s="15"/>
      <c r="P21" s="15"/>
      <c r="Q21" s="15"/>
      <c r="R21" s="24"/>
    </row>
    <row r="22" spans="1:18">
      <c r="A22" s="27">
        <v>20</v>
      </c>
      <c r="B22" s="1" t="s">
        <v>36</v>
      </c>
      <c r="C22" s="5" t="s">
        <v>38</v>
      </c>
      <c r="D22" s="3" t="s">
        <v>8</v>
      </c>
      <c r="E22" s="4">
        <v>30</v>
      </c>
      <c r="F22" s="14">
        <v>20</v>
      </c>
      <c r="G22" s="31">
        <v>17</v>
      </c>
      <c r="H22" s="31">
        <f t="shared" si="0"/>
        <v>510</v>
      </c>
      <c r="I22" s="31">
        <v>25</v>
      </c>
      <c r="J22" s="32">
        <f t="shared" si="1"/>
        <v>750</v>
      </c>
      <c r="K22" s="31">
        <v>52</v>
      </c>
      <c r="L22" s="31">
        <f t="shared" si="2"/>
        <v>1560</v>
      </c>
      <c r="M22" s="23"/>
      <c r="N22" s="15"/>
      <c r="O22" s="15"/>
      <c r="P22" s="15"/>
      <c r="Q22" s="15"/>
      <c r="R22" s="24"/>
    </row>
    <row r="23" spans="1:18">
      <c r="A23" s="27">
        <v>21</v>
      </c>
      <c r="B23" s="1" t="s">
        <v>39</v>
      </c>
      <c r="C23" s="5" t="s">
        <v>40</v>
      </c>
      <c r="D23" s="3" t="s">
        <v>8</v>
      </c>
      <c r="E23" s="4">
        <v>20</v>
      </c>
      <c r="F23" s="14">
        <v>18</v>
      </c>
      <c r="G23" s="31">
        <v>20</v>
      </c>
      <c r="H23" s="31">
        <f t="shared" si="0"/>
        <v>400</v>
      </c>
      <c r="I23" s="31">
        <v>25</v>
      </c>
      <c r="J23" s="32">
        <f t="shared" si="1"/>
        <v>500</v>
      </c>
      <c r="K23" s="31">
        <v>39</v>
      </c>
      <c r="L23" s="31">
        <f t="shared" si="2"/>
        <v>780</v>
      </c>
      <c r="M23" s="23"/>
      <c r="N23" s="15"/>
      <c r="O23" s="15"/>
      <c r="P23" s="15"/>
      <c r="Q23" s="15"/>
      <c r="R23" s="24"/>
    </row>
    <row r="24" spans="1:18">
      <c r="A24" s="27">
        <v>22</v>
      </c>
      <c r="B24" s="1" t="s">
        <v>41</v>
      </c>
      <c r="C24" s="10" t="s">
        <v>61</v>
      </c>
      <c r="D24" s="3" t="s">
        <v>8</v>
      </c>
      <c r="E24" s="4">
        <v>50</v>
      </c>
      <c r="F24" s="14"/>
      <c r="G24" s="31">
        <v>7</v>
      </c>
      <c r="H24" s="31">
        <f t="shared" si="0"/>
        <v>350</v>
      </c>
      <c r="I24" s="31">
        <v>7</v>
      </c>
      <c r="J24" s="32">
        <f t="shared" si="1"/>
        <v>350</v>
      </c>
      <c r="K24" s="31">
        <v>14</v>
      </c>
      <c r="L24" s="31">
        <f t="shared" si="2"/>
        <v>700</v>
      </c>
      <c r="M24" s="23"/>
      <c r="N24" s="15"/>
      <c r="O24" s="15"/>
      <c r="P24" s="15"/>
      <c r="Q24" s="15"/>
      <c r="R24" s="24"/>
    </row>
    <row r="25" spans="1:18" ht="47.25">
      <c r="A25" s="27">
        <v>23</v>
      </c>
      <c r="B25" s="1" t="s">
        <v>62</v>
      </c>
      <c r="C25" s="11" t="s">
        <v>63</v>
      </c>
      <c r="D25" s="3" t="s">
        <v>8</v>
      </c>
      <c r="E25" s="4">
        <v>1</v>
      </c>
      <c r="F25" s="14"/>
      <c r="G25" s="31">
        <v>30</v>
      </c>
      <c r="H25" s="31">
        <f t="shared" si="0"/>
        <v>30</v>
      </c>
      <c r="I25" s="32">
        <v>35</v>
      </c>
      <c r="J25" s="32">
        <f t="shared" si="1"/>
        <v>35</v>
      </c>
      <c r="K25" s="31">
        <v>23</v>
      </c>
      <c r="L25" s="31">
        <f t="shared" si="2"/>
        <v>23</v>
      </c>
      <c r="M25" s="23"/>
      <c r="N25" s="15"/>
      <c r="O25" s="15"/>
      <c r="P25" s="15"/>
      <c r="Q25" s="15"/>
      <c r="R25" s="24"/>
    </row>
    <row r="26" spans="1:18">
      <c r="A26" s="27">
        <v>24</v>
      </c>
      <c r="B26" s="1" t="s">
        <v>42</v>
      </c>
      <c r="C26" s="5" t="s">
        <v>38</v>
      </c>
      <c r="D26" s="3" t="s">
        <v>8</v>
      </c>
      <c r="E26" s="4">
        <v>100</v>
      </c>
      <c r="F26" s="14"/>
      <c r="G26" s="31">
        <v>12</v>
      </c>
      <c r="H26" s="31">
        <f t="shared" si="0"/>
        <v>1200</v>
      </c>
      <c r="I26" s="31">
        <v>15</v>
      </c>
      <c r="J26" s="32">
        <f t="shared" si="1"/>
        <v>1500</v>
      </c>
      <c r="K26" s="31">
        <v>31</v>
      </c>
      <c r="L26" s="31">
        <f t="shared" si="2"/>
        <v>3100</v>
      </c>
      <c r="M26" s="23"/>
      <c r="N26" s="15"/>
      <c r="O26" s="15"/>
      <c r="P26" s="15"/>
      <c r="Q26" s="15"/>
      <c r="R26" s="24"/>
    </row>
    <row r="27" spans="1:18">
      <c r="A27" s="27">
        <v>25</v>
      </c>
      <c r="B27" s="1" t="s">
        <v>43</v>
      </c>
      <c r="C27" s="10" t="s">
        <v>60</v>
      </c>
      <c r="D27" s="3" t="s">
        <v>8</v>
      </c>
      <c r="E27" s="4">
        <v>1000</v>
      </c>
      <c r="F27" s="14"/>
      <c r="G27" s="31">
        <v>0.8</v>
      </c>
      <c r="H27" s="31">
        <f t="shared" si="0"/>
        <v>800</v>
      </c>
      <c r="I27" s="31">
        <v>3.5</v>
      </c>
      <c r="J27" s="32">
        <f t="shared" si="1"/>
        <v>3500</v>
      </c>
      <c r="K27" s="31">
        <v>2</v>
      </c>
      <c r="L27" s="31">
        <f t="shared" si="2"/>
        <v>2000</v>
      </c>
      <c r="M27" s="23"/>
      <c r="N27" s="15"/>
      <c r="O27" s="15"/>
      <c r="P27" s="15"/>
      <c r="Q27" s="15"/>
      <c r="R27" s="24"/>
    </row>
    <row r="28" spans="1:18">
      <c r="A28" s="27">
        <v>26</v>
      </c>
      <c r="B28" s="1" t="s">
        <v>64</v>
      </c>
      <c r="C28" s="29" t="s">
        <v>65</v>
      </c>
      <c r="D28" s="3" t="s">
        <v>8</v>
      </c>
      <c r="E28" s="4">
        <v>30</v>
      </c>
      <c r="F28" s="14"/>
      <c r="G28" s="31">
        <v>1.5</v>
      </c>
      <c r="H28" s="31">
        <f t="shared" si="0"/>
        <v>45</v>
      </c>
      <c r="I28" s="31">
        <v>4</v>
      </c>
      <c r="J28" s="32">
        <f t="shared" si="1"/>
        <v>120</v>
      </c>
      <c r="K28" s="31">
        <v>6</v>
      </c>
      <c r="L28" s="31">
        <f t="shared" si="2"/>
        <v>180</v>
      </c>
      <c r="M28" s="23"/>
      <c r="N28" s="15"/>
      <c r="O28" s="15"/>
      <c r="P28" s="15"/>
      <c r="Q28" s="15"/>
      <c r="R28" s="24"/>
    </row>
    <row r="29" spans="1:18">
      <c r="A29" s="27">
        <v>27</v>
      </c>
      <c r="B29" s="1" t="s">
        <v>64</v>
      </c>
      <c r="C29" s="29" t="s">
        <v>66</v>
      </c>
      <c r="D29" s="3" t="s">
        <v>8</v>
      </c>
      <c r="E29" s="4">
        <v>30</v>
      </c>
      <c r="F29" s="14"/>
      <c r="G29" s="31">
        <v>2.2000000000000002</v>
      </c>
      <c r="H29" s="31">
        <f t="shared" si="0"/>
        <v>66</v>
      </c>
      <c r="I29" s="31">
        <v>4.2</v>
      </c>
      <c r="J29" s="32">
        <f t="shared" si="1"/>
        <v>126</v>
      </c>
      <c r="K29" s="31">
        <v>6</v>
      </c>
      <c r="L29" s="31">
        <f t="shared" si="2"/>
        <v>180</v>
      </c>
      <c r="M29" s="23"/>
      <c r="N29" s="15"/>
      <c r="O29" s="15"/>
      <c r="P29" s="15"/>
      <c r="Q29" s="15"/>
      <c r="R29" s="24"/>
    </row>
    <row r="30" spans="1:18">
      <c r="A30" s="27">
        <v>28</v>
      </c>
      <c r="B30" s="1" t="s">
        <v>64</v>
      </c>
      <c r="C30" s="29" t="s">
        <v>67</v>
      </c>
      <c r="D30" s="3" t="s">
        <v>8</v>
      </c>
      <c r="E30" s="4">
        <v>30</v>
      </c>
      <c r="F30" s="14"/>
      <c r="G30" s="31">
        <v>5</v>
      </c>
      <c r="H30" s="31">
        <f t="shared" si="0"/>
        <v>150</v>
      </c>
      <c r="I30" s="31">
        <v>5</v>
      </c>
      <c r="J30" s="32">
        <f t="shared" si="1"/>
        <v>150</v>
      </c>
      <c r="K30" s="31">
        <v>12</v>
      </c>
      <c r="L30" s="31">
        <f t="shared" si="2"/>
        <v>360</v>
      </c>
      <c r="M30" s="23"/>
      <c r="N30" s="15"/>
      <c r="O30" s="15"/>
      <c r="P30" s="15"/>
      <c r="Q30" s="15"/>
      <c r="R30" s="24"/>
    </row>
    <row r="31" spans="1:18">
      <c r="A31" s="27">
        <v>29</v>
      </c>
      <c r="B31" s="1" t="s">
        <v>44</v>
      </c>
      <c r="C31" s="10" t="s">
        <v>45</v>
      </c>
      <c r="D31" s="3" t="s">
        <v>8</v>
      </c>
      <c r="E31" s="4">
        <v>10</v>
      </c>
      <c r="F31" s="14"/>
      <c r="G31" s="31">
        <v>4</v>
      </c>
      <c r="H31" s="31">
        <f t="shared" si="0"/>
        <v>40</v>
      </c>
      <c r="I31" s="31">
        <v>6</v>
      </c>
      <c r="J31" s="32">
        <f t="shared" si="1"/>
        <v>60</v>
      </c>
      <c r="K31" s="31">
        <v>7</v>
      </c>
      <c r="L31" s="31">
        <f t="shared" si="2"/>
        <v>70</v>
      </c>
      <c r="M31" s="23"/>
      <c r="N31" s="15"/>
      <c r="O31" s="15"/>
      <c r="P31" s="15"/>
      <c r="Q31" s="15"/>
      <c r="R31" s="24"/>
    </row>
    <row r="32" spans="1:18">
      <c r="A32" s="27">
        <v>30</v>
      </c>
      <c r="B32" s="1" t="s">
        <v>44</v>
      </c>
      <c r="C32" s="10" t="s">
        <v>46</v>
      </c>
      <c r="D32" s="3" t="s">
        <v>8</v>
      </c>
      <c r="E32" s="4">
        <v>10</v>
      </c>
      <c r="F32" s="14"/>
      <c r="G32" s="31">
        <v>4.5</v>
      </c>
      <c r="H32" s="31">
        <f t="shared" si="0"/>
        <v>45</v>
      </c>
      <c r="I32" s="31">
        <v>7</v>
      </c>
      <c r="J32" s="32">
        <f t="shared" si="1"/>
        <v>70</v>
      </c>
      <c r="K32" s="31">
        <v>7</v>
      </c>
      <c r="L32" s="31">
        <f t="shared" si="2"/>
        <v>70</v>
      </c>
      <c r="M32" s="23"/>
      <c r="N32" s="15"/>
      <c r="O32" s="15"/>
      <c r="P32" s="15"/>
      <c r="Q32" s="15"/>
      <c r="R32" s="24"/>
    </row>
    <row r="33" spans="1:18">
      <c r="A33" s="27">
        <v>31</v>
      </c>
      <c r="B33" s="1" t="s">
        <v>44</v>
      </c>
      <c r="C33" s="10" t="s">
        <v>47</v>
      </c>
      <c r="D33" s="3" t="s">
        <v>8</v>
      </c>
      <c r="E33" s="4">
        <v>10</v>
      </c>
      <c r="F33" s="14"/>
      <c r="G33" s="31">
        <v>6</v>
      </c>
      <c r="H33" s="31">
        <f t="shared" si="0"/>
        <v>60</v>
      </c>
      <c r="I33" s="31">
        <v>8</v>
      </c>
      <c r="J33" s="32">
        <f t="shared" si="1"/>
        <v>80</v>
      </c>
      <c r="K33" s="31">
        <v>10</v>
      </c>
      <c r="L33" s="31">
        <f t="shared" si="2"/>
        <v>100</v>
      </c>
      <c r="M33" s="23"/>
      <c r="N33" s="15"/>
      <c r="O33" s="15"/>
      <c r="P33" s="15"/>
      <c r="Q33" s="15"/>
      <c r="R33" s="24"/>
    </row>
    <row r="34" spans="1:18">
      <c r="A34" s="27">
        <v>32</v>
      </c>
      <c r="B34" s="1" t="s">
        <v>44</v>
      </c>
      <c r="C34" s="10" t="s">
        <v>48</v>
      </c>
      <c r="D34" s="3" t="s">
        <v>8</v>
      </c>
      <c r="E34" s="4">
        <v>10</v>
      </c>
      <c r="F34" s="14"/>
      <c r="G34" s="31">
        <v>7.5</v>
      </c>
      <c r="H34" s="31">
        <f t="shared" si="0"/>
        <v>75</v>
      </c>
      <c r="I34" s="31">
        <v>9</v>
      </c>
      <c r="J34" s="32">
        <f t="shared" si="1"/>
        <v>90</v>
      </c>
      <c r="K34" s="31">
        <v>13</v>
      </c>
      <c r="L34" s="31">
        <f t="shared" si="2"/>
        <v>130</v>
      </c>
      <c r="M34" s="23"/>
      <c r="N34" s="15"/>
      <c r="O34" s="15"/>
      <c r="P34" s="15"/>
      <c r="Q34" s="15"/>
      <c r="R34" s="24"/>
    </row>
    <row r="35" spans="1:18">
      <c r="A35" s="27">
        <v>33</v>
      </c>
      <c r="B35" s="1" t="s">
        <v>44</v>
      </c>
      <c r="C35" s="10" t="s">
        <v>49</v>
      </c>
      <c r="D35" s="3" t="s">
        <v>8</v>
      </c>
      <c r="E35" s="4">
        <v>10</v>
      </c>
      <c r="F35" s="14"/>
      <c r="G35" s="31">
        <v>9</v>
      </c>
      <c r="H35" s="31">
        <f t="shared" si="0"/>
        <v>90</v>
      </c>
      <c r="I35" s="31">
        <v>10</v>
      </c>
      <c r="J35" s="32">
        <f t="shared" si="1"/>
        <v>100</v>
      </c>
      <c r="K35" s="31">
        <v>15</v>
      </c>
      <c r="L35" s="31">
        <f t="shared" si="2"/>
        <v>150</v>
      </c>
      <c r="M35" s="23"/>
      <c r="N35" s="15"/>
      <c r="O35" s="15"/>
      <c r="P35" s="15"/>
      <c r="Q35" s="15"/>
      <c r="R35" s="24"/>
    </row>
    <row r="36" spans="1:18">
      <c r="A36" s="27">
        <v>34</v>
      </c>
      <c r="B36" s="1" t="s">
        <v>44</v>
      </c>
      <c r="C36" s="10" t="s">
        <v>50</v>
      </c>
      <c r="D36" s="3" t="s">
        <v>8</v>
      </c>
      <c r="E36" s="4">
        <v>10</v>
      </c>
      <c r="F36" s="14"/>
      <c r="G36" s="31">
        <v>10</v>
      </c>
      <c r="H36" s="31">
        <f t="shared" si="0"/>
        <v>100</v>
      </c>
      <c r="I36" s="31">
        <v>11</v>
      </c>
      <c r="J36" s="32">
        <f t="shared" si="1"/>
        <v>110</v>
      </c>
      <c r="K36" s="31">
        <v>17</v>
      </c>
      <c r="L36" s="31">
        <f t="shared" si="2"/>
        <v>170</v>
      </c>
      <c r="M36" s="23"/>
      <c r="N36" s="15"/>
      <c r="O36" s="15"/>
      <c r="P36" s="15"/>
      <c r="Q36" s="15"/>
      <c r="R36" s="24"/>
    </row>
    <row r="37" spans="1:18">
      <c r="A37" s="27">
        <v>35</v>
      </c>
      <c r="B37" s="1" t="s">
        <v>44</v>
      </c>
      <c r="C37" s="10" t="s">
        <v>73</v>
      </c>
      <c r="D37" s="3" t="s">
        <v>8</v>
      </c>
      <c r="E37" s="4">
        <v>30</v>
      </c>
      <c r="F37" s="14"/>
      <c r="G37" s="31">
        <v>12</v>
      </c>
      <c r="H37" s="31">
        <f t="shared" si="0"/>
        <v>360</v>
      </c>
      <c r="I37" s="31">
        <v>12</v>
      </c>
      <c r="J37" s="32">
        <f t="shared" si="1"/>
        <v>360</v>
      </c>
      <c r="K37" s="31">
        <v>25</v>
      </c>
      <c r="L37" s="31">
        <f t="shared" si="2"/>
        <v>750</v>
      </c>
      <c r="M37" s="23"/>
      <c r="N37" s="15"/>
      <c r="O37" s="15"/>
      <c r="P37" s="15"/>
      <c r="Q37" s="15"/>
      <c r="R37" s="24"/>
    </row>
    <row r="38" spans="1:18">
      <c r="A38" s="27">
        <v>36</v>
      </c>
      <c r="B38" s="1" t="s">
        <v>51</v>
      </c>
      <c r="C38" s="10" t="s">
        <v>52</v>
      </c>
      <c r="D38" s="3" t="s">
        <v>8</v>
      </c>
      <c r="E38" s="4">
        <v>40</v>
      </c>
      <c r="F38" s="14"/>
      <c r="G38" s="31">
        <v>23</v>
      </c>
      <c r="H38" s="31">
        <f t="shared" si="0"/>
        <v>920</v>
      </c>
      <c r="I38" s="31">
        <v>21</v>
      </c>
      <c r="J38" s="32">
        <f t="shared" si="1"/>
        <v>840</v>
      </c>
      <c r="K38" s="31">
        <v>55</v>
      </c>
      <c r="L38" s="31">
        <f t="shared" si="2"/>
        <v>2200</v>
      </c>
      <c r="M38" s="23"/>
      <c r="N38" s="15"/>
      <c r="O38" s="15"/>
      <c r="P38" s="15"/>
      <c r="Q38" s="15"/>
      <c r="R38" s="24"/>
    </row>
    <row r="39" spans="1:18" ht="31.5">
      <c r="A39" s="27">
        <v>37</v>
      </c>
      <c r="B39" s="1" t="s">
        <v>58</v>
      </c>
      <c r="C39" s="2" t="s">
        <v>59</v>
      </c>
      <c r="D39" s="3" t="s">
        <v>8</v>
      </c>
      <c r="E39" s="4">
        <v>500</v>
      </c>
      <c r="F39" s="14"/>
      <c r="G39" s="31">
        <v>5</v>
      </c>
      <c r="H39" s="31">
        <f t="shared" si="0"/>
        <v>2500</v>
      </c>
      <c r="I39" s="31">
        <v>8</v>
      </c>
      <c r="J39" s="32">
        <f t="shared" si="1"/>
        <v>4000</v>
      </c>
      <c r="K39" s="31">
        <v>7</v>
      </c>
      <c r="L39" s="31">
        <f t="shared" si="2"/>
        <v>3500</v>
      </c>
      <c r="M39" s="23"/>
      <c r="N39" s="15"/>
      <c r="O39" s="15"/>
      <c r="P39" s="15"/>
      <c r="Q39" s="15"/>
      <c r="R39" s="24"/>
    </row>
    <row r="40" spans="1:18">
      <c r="A40" s="27">
        <v>38</v>
      </c>
      <c r="B40" s="1" t="s">
        <v>53</v>
      </c>
      <c r="C40" s="6" t="s">
        <v>72</v>
      </c>
      <c r="D40" s="3" t="s">
        <v>8</v>
      </c>
      <c r="E40" s="4">
        <v>3000</v>
      </c>
      <c r="F40" s="14">
        <v>3.5</v>
      </c>
      <c r="G40" s="31">
        <v>3.85</v>
      </c>
      <c r="H40" s="31">
        <f t="shared" si="0"/>
        <v>11550</v>
      </c>
      <c r="I40" s="31">
        <v>4</v>
      </c>
      <c r="J40" s="32">
        <f t="shared" si="1"/>
        <v>12000</v>
      </c>
      <c r="K40" s="31">
        <v>5</v>
      </c>
      <c r="L40" s="31">
        <f t="shared" si="2"/>
        <v>15000</v>
      </c>
      <c r="M40" s="23"/>
      <c r="N40" s="15"/>
      <c r="O40" s="15"/>
      <c r="P40" s="15"/>
      <c r="Q40" s="15"/>
      <c r="R40" s="24"/>
    </row>
    <row r="41" spans="1:18" ht="31.5">
      <c r="A41" s="27">
        <v>39</v>
      </c>
      <c r="B41" s="1" t="s">
        <v>54</v>
      </c>
      <c r="C41" s="2" t="s">
        <v>55</v>
      </c>
      <c r="D41" s="3" t="s">
        <v>8</v>
      </c>
      <c r="E41" s="4">
        <v>500</v>
      </c>
      <c r="F41" s="14"/>
      <c r="G41" s="31">
        <v>80</v>
      </c>
      <c r="H41" s="31">
        <f t="shared" si="0"/>
        <v>40000</v>
      </c>
      <c r="I41" s="31">
        <v>85</v>
      </c>
      <c r="J41" s="32">
        <f t="shared" si="1"/>
        <v>42500</v>
      </c>
      <c r="K41" s="31">
        <v>55</v>
      </c>
      <c r="L41" s="31">
        <f t="shared" si="2"/>
        <v>27500</v>
      </c>
      <c r="M41" s="23"/>
      <c r="N41" s="15"/>
      <c r="O41" s="15"/>
      <c r="P41" s="15"/>
      <c r="Q41" s="15"/>
      <c r="R41" s="24"/>
    </row>
    <row r="42" spans="1:18" ht="33.6" customHeight="1">
      <c r="A42" s="27">
        <v>40</v>
      </c>
      <c r="B42" s="1" t="s">
        <v>56</v>
      </c>
      <c r="C42" s="6" t="s">
        <v>57</v>
      </c>
      <c r="D42" s="3" t="s">
        <v>8</v>
      </c>
      <c r="E42" s="4">
        <v>200</v>
      </c>
      <c r="F42" s="14"/>
      <c r="G42" s="31">
        <v>82</v>
      </c>
      <c r="H42" s="31">
        <f t="shared" si="0"/>
        <v>16400</v>
      </c>
      <c r="I42" s="31">
        <v>85</v>
      </c>
      <c r="J42" s="32">
        <f t="shared" si="1"/>
        <v>17000</v>
      </c>
      <c r="K42" s="31">
        <v>75</v>
      </c>
      <c r="L42" s="31">
        <f t="shared" si="2"/>
        <v>15000</v>
      </c>
      <c r="M42" s="23"/>
      <c r="N42" s="15"/>
      <c r="O42" s="15"/>
      <c r="P42" s="15"/>
      <c r="Q42" s="15"/>
      <c r="R42" s="24"/>
    </row>
    <row r="43" spans="1:18">
      <c r="A43" s="23"/>
      <c r="B43" s="23"/>
      <c r="C43" s="23"/>
      <c r="D43" s="23"/>
      <c r="E43" s="23"/>
      <c r="F43" s="23"/>
      <c r="G43" s="32"/>
      <c r="H43" s="32">
        <f>SUM(H3:H42)</f>
        <v>199166</v>
      </c>
      <c r="I43" s="32"/>
      <c r="J43" s="32">
        <f>SUM(J3:J42)</f>
        <v>252226</v>
      </c>
      <c r="K43" s="32"/>
      <c r="L43" s="32">
        <f>SUM(L3:L42)</f>
        <v>272603</v>
      </c>
      <c r="M43" s="23"/>
      <c r="P43" s="25"/>
    </row>
    <row r="44" spans="1:18">
      <c r="P44" s="15"/>
    </row>
    <row r="45" spans="1:18">
      <c r="P45" s="25"/>
    </row>
    <row r="58" spans="14:14">
      <c r="N58" s="26"/>
    </row>
  </sheetData>
  <mergeCells count="3">
    <mergeCell ref="I1:J1"/>
    <mergeCell ref="K1:L1"/>
    <mergeCell ref="G1:H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 박</dc:creator>
  <cp:lastModifiedBy>shadab khan</cp:lastModifiedBy>
  <dcterms:created xsi:type="dcterms:W3CDTF">2026-10-09T04:47:00Z</dcterms:created>
  <dcterms:modified xsi:type="dcterms:W3CDTF">2026-10-27T06:40:03Z</dcterms:modified>
</cp:coreProperties>
</file>