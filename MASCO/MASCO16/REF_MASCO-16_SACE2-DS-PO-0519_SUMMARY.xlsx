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MASCO\MASCO16\"/>
    </mc:Choice>
  </mc:AlternateContent>
  <xr:revisionPtr revIDLastSave="0" documentId="13_ncr:1_{6E231BDB-5C8E-4BCC-A020-07FE6F0410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소모품_1차'!$A$1:$V$62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10" i="1"/>
  <c r="I10" i="1" s="1"/>
  <c r="H11" i="1"/>
  <c r="H13" i="1"/>
  <c r="I13" i="1" s="1"/>
  <c r="H16" i="1"/>
  <c r="I16" i="1" s="1"/>
  <c r="H17" i="1"/>
  <c r="I17" i="1" s="1"/>
  <c r="H18" i="1"/>
  <c r="I18" i="1" s="1"/>
  <c r="H19" i="1"/>
  <c r="I19" i="1" s="1"/>
  <c r="H23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42" i="1"/>
  <c r="I42" i="1" s="1"/>
  <c r="H43" i="1"/>
  <c r="I43" i="1" s="1"/>
  <c r="H45" i="1"/>
  <c r="I45" i="1" s="1"/>
  <c r="I11" i="1"/>
  <c r="U8" i="1" l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7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7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8" i="1"/>
  <c r="O9" i="1"/>
  <c r="O10" i="1"/>
  <c r="O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7" i="1"/>
  <c r="M47" i="1" l="1"/>
  <c r="B62" i="1"/>
  <c r="G46" i="1"/>
  <c r="O6" i="1" l="1"/>
  <c r="K6" i="1" l="1"/>
  <c r="I49" i="1" l="1"/>
  <c r="I47" i="1"/>
  <c r="R46" i="1"/>
  <c r="N46" i="1"/>
  <c r="J46" i="1"/>
  <c r="C53" i="1" s="1"/>
  <c r="O47" i="1" l="1"/>
  <c r="O48" i="1" s="1"/>
  <c r="C55" i="1"/>
  <c r="C54" i="1"/>
  <c r="K47" i="1" l="1"/>
  <c r="K48" i="1" s="1"/>
  <c r="Q6" i="1"/>
  <c r="U6" i="1" l="1"/>
  <c r="S47" i="1"/>
  <c r="S48" i="1" s="1"/>
  <c r="O49" i="1"/>
  <c r="J54" i="1" l="1"/>
  <c r="S49" i="1"/>
  <c r="J55" i="1" l="1"/>
  <c r="N54" i="1"/>
  <c r="R54" i="1" l="1"/>
  <c r="N55" i="1"/>
  <c r="R55" i="1"/>
  <c r="K49" i="1" l="1"/>
  <c r="Q47" i="1"/>
  <c r="U47" i="1"/>
  <c r="E53" i="1" l="1"/>
  <c r="U49" i="1"/>
  <c r="Q49" i="1"/>
  <c r="J53" i="1"/>
  <c r="L54" i="1" l="1"/>
  <c r="L55" i="1"/>
  <c r="R53" i="1"/>
  <c r="N53" i="1"/>
  <c r="T54" i="1"/>
  <c r="P55" i="1"/>
  <c r="T55" i="1"/>
  <c r="P54" i="1"/>
  <c r="Q53" i="1" l="1"/>
  <c r="P53" i="1"/>
  <c r="U53" i="1"/>
  <c r="T53" i="1"/>
  <c r="G47" i="1"/>
  <c r="G48" i="1" s="1"/>
  <c r="G49" i="1" l="1"/>
</calcChain>
</file>

<file path=xl/sharedStrings.xml><?xml version="1.0" encoding="utf-8"?>
<sst xmlns="http://schemas.openxmlformats.org/spreadsheetml/2006/main" count="254" uniqueCount="127">
  <si>
    <t>1. 가격 검토표</t>
    <phoneticPr fontId="6" type="noConversion"/>
  </si>
  <si>
    <t>[Currency : SAR]</t>
    <phoneticPr fontId="6" type="noConversion"/>
  </si>
  <si>
    <t>No.</t>
    <phoneticPr fontId="6" type="noConversion"/>
  </si>
  <si>
    <t>Item Name</t>
    <phoneticPr fontId="6" type="noConversion"/>
  </si>
  <si>
    <t>Specification</t>
    <phoneticPr fontId="6" type="noConversion"/>
  </si>
  <si>
    <t>Unit measure</t>
    <phoneticPr fontId="6" type="noConversion"/>
  </si>
  <si>
    <t>수량</t>
    <phoneticPr fontId="6" type="noConversion"/>
  </si>
  <si>
    <t>입찰(견적) 금액 ①</t>
    <phoneticPr fontId="6" type="noConversion"/>
  </si>
  <si>
    <t>검토 금액 ②</t>
    <phoneticPr fontId="6" type="noConversion"/>
  </si>
  <si>
    <t>검토 금액 ③</t>
    <phoneticPr fontId="6" type="noConversion"/>
  </si>
  <si>
    <t>비 고</t>
    <phoneticPr fontId="6" type="noConversion"/>
  </si>
  <si>
    <t>단가</t>
    <phoneticPr fontId="6" type="noConversion"/>
  </si>
  <si>
    <t>총액</t>
    <phoneticPr fontId="6" type="noConversion"/>
  </si>
  <si>
    <t>Spec. or Brand</t>
    <phoneticPr fontId="6" type="noConversion"/>
  </si>
  <si>
    <t>%</t>
    <phoneticPr fontId="6" type="noConversion"/>
  </si>
  <si>
    <t>단가</t>
    <phoneticPr fontId="6" type="noConversion"/>
  </si>
  <si>
    <t>총액</t>
    <phoneticPr fontId="6" type="noConversion"/>
  </si>
  <si>
    <t>Spec. or Brand</t>
    <phoneticPr fontId="6" type="noConversion"/>
  </si>
  <si>
    <t>% (②/①)</t>
    <phoneticPr fontId="6" type="noConversion"/>
  </si>
  <si>
    <t>Spec. or Brand</t>
    <phoneticPr fontId="6" type="noConversion"/>
  </si>
  <si>
    <t>% (③/①)</t>
    <phoneticPr fontId="6" type="noConversion"/>
  </si>
  <si>
    <t>Supplier Company</t>
    <phoneticPr fontId="6" type="noConversion"/>
  </si>
  <si>
    <t>Total Taxable Amount</t>
    <phoneticPr fontId="6" type="noConversion"/>
  </si>
  <si>
    <t>15 % VAT for Total Taxable amount</t>
    <phoneticPr fontId="6" type="noConversion"/>
  </si>
  <si>
    <t xml:space="preserve"> 합계  ④</t>
    <phoneticPr fontId="6" type="noConversion"/>
  </si>
  <si>
    <t>[Currency : SAR]</t>
    <phoneticPr fontId="6" type="noConversion"/>
  </si>
  <si>
    <t>순</t>
    <phoneticPr fontId="6" type="noConversion"/>
  </si>
  <si>
    <t>업체명</t>
    <phoneticPr fontId="6" type="noConversion"/>
  </si>
  <si>
    <t>예산 ④</t>
    <phoneticPr fontId="6" type="noConversion"/>
  </si>
  <si>
    <t>입찰(견적) 금액</t>
    <phoneticPr fontId="6" type="noConversion"/>
  </si>
  <si>
    <t>예산 (%)</t>
    <phoneticPr fontId="6" type="noConversion"/>
  </si>
  <si>
    <t>검토 금액</t>
    <phoneticPr fontId="6" type="noConversion"/>
  </si>
  <si>
    <t>예산 (%)</t>
    <phoneticPr fontId="6" type="noConversion"/>
  </si>
  <si>
    <t>비고</t>
  </si>
  <si>
    <t>3. 입찰 (견적) 현황 &amp; 특기사항</t>
    <phoneticPr fontId="6" type="noConversion"/>
  </si>
  <si>
    <t>4. 결과</t>
    <phoneticPr fontId="6" type="noConversion"/>
  </si>
  <si>
    <t xml:space="preserve">■ 입찰가 (단가) 검토서 / </t>
    <phoneticPr fontId="6" type="noConversion"/>
  </si>
  <si>
    <t xml:space="preserve">Date : </t>
    <phoneticPr fontId="6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</si>
  <si>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</si>
  <si>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</si>
  <si>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</si>
  <si>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</si>
  <si>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</si>
  <si>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</si>
  <si>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</si>
  <si>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</si>
  <si>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</si>
  <si>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</si>
  <si>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</si>
  <si>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</si>
  <si>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</si>
  <si>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</si>
  <si>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</si>
  <si>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</si>
  <si>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</si>
  <si>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</si>
  <si>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</si>
  <si>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</si>
  <si>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MASCO (MOHAMMED BIN ALI BIN SALMAN AL SHALAB CONTRACTING COMPANY)</t>
  </si>
  <si>
    <t>ALHARAM PERFECT MACHINERY EQUIPMENT CO LLC</t>
  </si>
  <si>
    <t>DURRA MOHAMMED AL SHALAB CONTRACTING ESTABLISHMENT</t>
  </si>
  <si>
    <t>1/2"</t>
  </si>
  <si>
    <t>Manual pipe bending machine</t>
  </si>
  <si>
    <t>Tube bender</t>
  </si>
  <si>
    <t>Tube cutting tool (Blade width: 5 mm)</t>
  </si>
  <si>
    <t>Tube cutter blade</t>
  </si>
  <si>
    <t>Spray gun for snoop leak detector</t>
  </si>
  <si>
    <t>Water pump pliers</t>
  </si>
  <si>
    <t>Diagonal Cutting Pliers</t>
  </si>
  <si>
    <t>Cargo Lashing Belt</t>
  </si>
  <si>
    <t>Brick Cutting Hammer</t>
  </si>
  <si>
    <t>ALUMINUM MAGNETIC LEVEL</t>
  </si>
  <si>
    <t>SCRAPER</t>
  </si>
  <si>
    <t>Cordless drill/driver</t>
  </si>
  <si>
    <t>Cordless reciprocating saw</t>
  </si>
  <si>
    <t>Hot air gun</t>
  </si>
  <si>
    <t>DIAGONAL CUTTING PLIERS</t>
  </si>
  <si>
    <t>ADJUSTABLE WRENCH</t>
  </si>
  <si>
    <t>STEEL PIPE WRENCH</t>
  </si>
  <si>
    <t>SCREW DRIVER</t>
  </si>
  <si>
    <t>Precision screwdriver set</t>
  </si>
  <si>
    <t>HACKSAW FRAME</t>
  </si>
  <si>
    <t>HACKSAW BLADE</t>
  </si>
  <si>
    <t>Magnetic nut setter bit</t>
  </si>
  <si>
    <t>COMBINATION WRENCH</t>
  </si>
  <si>
    <t>RATCHET WRENCH</t>
  </si>
  <si>
    <t>Chemical gloves</t>
  </si>
  <si>
    <t>DISPOSABLE COVERALL</t>
  </si>
  <si>
    <t>Cordless circular saw blade</t>
  </si>
  <si>
    <t>Loctite 567 thread sealant</t>
  </si>
  <si>
    <t>Suitable for steel pipe od 10–25 mm, bending angle up to 180°</t>
  </si>
  <si>
    <t xml:space="preserve">3/4" </t>
  </si>
  <si>
    <t>12mm ~ 50mm(1/2" - 2")</t>
  </si>
  <si>
    <t>approx. 28 mm od × 5 mm width</t>
  </si>
  <si>
    <t>500 ml capacity</t>
  </si>
  <si>
    <t>12"</t>
  </si>
  <si>
    <t>7"</t>
  </si>
  <si>
    <t>50mm X 7.5m</t>
  </si>
  <si>
    <t>600 g</t>
  </si>
  <si>
    <t>24"</t>
  </si>
  <si>
    <t>2"</t>
  </si>
  <si>
    <t>3"</t>
  </si>
  <si>
    <t>BOSCH GSR 18 VE-2-LI, 18 V LI-ION, 2.6 AH, 2-SPEED, 0–400 / 0–1,800 RPM</t>
  </si>
  <si>
    <t>Makita BJR182RFE, 18v li-ion</t>
  </si>
  <si>
    <t>STEINEL HL 1910 E, 2000 W, 50–600°C, 3-STAGE AIRFLOW</t>
  </si>
  <si>
    <t>6"</t>
  </si>
  <si>
    <t>10"</t>
  </si>
  <si>
    <t>6mm X L200</t>
  </si>
  <si>
    <t>CHROME VANADIUM STEEL, PHILLIPS &amp; SLOTTED, ASSORTED SIZES</t>
  </si>
  <si>
    <t>12" x 24T</t>
  </si>
  <si>
    <t>100 mm length × 8 mm hex</t>
  </si>
  <si>
    <t>100 mm length × 10 mm hex</t>
  </si>
  <si>
    <t>100 mm length × 14 mm hex</t>
  </si>
  <si>
    <t>8mm</t>
  </si>
  <si>
    <t>10mm</t>
  </si>
  <si>
    <t>14mm</t>
  </si>
  <si>
    <t>17mm</t>
  </si>
  <si>
    <t>19mm</t>
  </si>
  <si>
    <t>21mm</t>
  </si>
  <si>
    <t>24mm</t>
  </si>
  <si>
    <t>14 X 19mm</t>
  </si>
  <si>
    <t>NITRILE, CHEMICAL RESISTANT, REUSABLE, LONG CUFF, EN 374</t>
  </si>
  <si>
    <t>Free size</t>
  </si>
  <si>
    <t>165 mm od × 18 mm bore × 1.0 mm thickness, 6-5/16", carbide tipped</t>
  </si>
  <si>
    <t>50 ml/tube</t>
  </si>
  <si>
    <t>PCS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</si>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</sst>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6">
    <font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5" fillId="0" borderId="0">
      <alignment vertical="center"/>
    </xf>
  </cellStyleXfs>
  <cellXfs count="405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>
      <alignment vertical="center"/>
    </xf>
    <xf numFmtId="0" fontId="7" fillId="0" borderId="0" xfId="0" applyFont="1" applyAlignment="1">
      <alignment horizontal="right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0" xfId="1" applyFont="1" applyFill="1" applyBorder="1" applyAlignment="1">
      <alignment horizontal="center" vertical="center"/>
    </xf>
    <xf numFmtId="164" fontId="10" fillId="3" borderId="16" xfId="1" applyFont="1" applyFill="1" applyBorder="1" applyAlignment="1">
      <alignment horizontal="center" vertical="center"/>
    </xf>
    <xf numFmtId="40" fontId="10" fillId="3" borderId="17" xfId="1" applyNumberFormat="1" applyFont="1" applyFill="1" applyBorder="1" applyAlignment="1">
      <alignment horizontal="center" vertical="center"/>
    </xf>
    <xf numFmtId="40" fontId="10" fillId="3" borderId="18" xfId="1" applyNumberFormat="1" applyFont="1" applyFill="1" applyBorder="1" applyAlignment="1">
      <alignment horizontal="center" vertical="center" wrapText="1"/>
    </xf>
    <xf numFmtId="9" fontId="10" fillId="3" borderId="19" xfId="1" applyNumberFormat="1" applyFont="1" applyFill="1" applyBorder="1" applyAlignment="1">
      <alignment horizontal="center" vertical="center"/>
    </xf>
    <xf numFmtId="9" fontId="10" fillId="3" borderId="19" xfId="1" applyNumberFormat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166" fontId="12" fillId="0" borderId="22" xfId="3" applyNumberFormat="1" applyFont="1" applyBorder="1">
      <alignment vertical="center"/>
    </xf>
    <xf numFmtId="167" fontId="12" fillId="0" borderId="22" xfId="3" applyNumberFormat="1" applyFont="1" applyBorder="1">
      <alignment vertical="center"/>
    </xf>
    <xf numFmtId="9" fontId="12" fillId="0" borderId="22" xfId="2" applyFont="1" applyFill="1" applyBorder="1" applyAlignment="1">
      <alignment vertical="center"/>
    </xf>
    <xf numFmtId="168" fontId="12" fillId="0" borderId="22" xfId="3" applyNumberFormat="1" applyFont="1" applyBorder="1">
      <alignment vertical="center"/>
    </xf>
    <xf numFmtId="3" fontId="13" fillId="0" borderId="23" xfId="0" quotePrefix="1" applyNumberFormat="1" applyFont="1" applyBorder="1" applyAlignment="1">
      <alignment horizontal="center" vertical="center" wrapText="1"/>
    </xf>
    <xf numFmtId="3" fontId="14" fillId="0" borderId="0" xfId="0" applyNumberFormat="1" applyFont="1" applyAlignment="1">
      <alignment horizontal="left" vertical="center" wrapText="1"/>
    </xf>
    <xf numFmtId="0" fontId="11" fillId="2" borderId="24" xfId="0" quotePrefix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/>
    </xf>
    <xf numFmtId="166" fontId="12" fillId="0" borderId="25" xfId="3" applyNumberFormat="1" applyFont="1" applyBorder="1">
      <alignment vertical="center"/>
    </xf>
    <xf numFmtId="167" fontId="12" fillId="0" borderId="25" xfId="3" applyNumberFormat="1" applyFont="1" applyBorder="1">
      <alignment vertical="center"/>
    </xf>
    <xf numFmtId="9" fontId="12" fillId="0" borderId="25" xfId="2" applyFont="1" applyFill="1" applyBorder="1" applyAlignment="1">
      <alignment vertical="center"/>
    </xf>
    <xf numFmtId="168" fontId="12" fillId="0" borderId="25" xfId="3" applyNumberFormat="1" applyFont="1" applyBorder="1">
      <alignment vertical="center"/>
    </xf>
    <xf numFmtId="3" fontId="13" fillId="0" borderId="26" xfId="0" quotePrefix="1" applyNumberFormat="1" applyFont="1" applyBorder="1" applyAlignment="1">
      <alignment horizontal="center" vertical="center" wrapText="1"/>
    </xf>
    <xf numFmtId="0" fontId="11" fillId="2" borderId="27" xfId="0" quotePrefix="1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center" vertical="center"/>
    </xf>
    <xf numFmtId="166" fontId="12" fillId="0" borderId="28" xfId="3" applyNumberFormat="1" applyFont="1" applyBorder="1">
      <alignment vertical="center"/>
    </xf>
    <xf numFmtId="167" fontId="12" fillId="0" borderId="28" xfId="3" applyNumberFormat="1" applyFont="1" applyBorder="1">
      <alignment vertical="center"/>
    </xf>
    <xf numFmtId="9" fontId="12" fillId="0" borderId="28" xfId="2" applyFont="1" applyFill="1" applyBorder="1" applyAlignment="1">
      <alignment vertical="center"/>
    </xf>
    <xf numFmtId="168" fontId="12" fillId="0" borderId="28" xfId="3" applyNumberFormat="1" applyFont="1" applyBorder="1">
      <alignment vertical="center"/>
    </xf>
    <xf numFmtId="3" fontId="13" fillId="0" borderId="29" xfId="0" quotePrefix="1" applyNumberFormat="1" applyFont="1" applyBorder="1" applyAlignment="1">
      <alignment horizontal="center" vertical="center" wrapText="1"/>
    </xf>
    <xf numFmtId="0" fontId="11" fillId="0" borderId="27" xfId="0" quotePrefix="1" applyFont="1" applyBorder="1" applyAlignment="1">
      <alignment horizontal="center" vertical="center"/>
    </xf>
    <xf numFmtId="3" fontId="13" fillId="0" borderId="29" xfId="0" quotePrefix="1" applyNumberFormat="1" applyFont="1" applyBorder="1" applyAlignment="1">
      <alignment vertical="center" wrapText="1"/>
    </xf>
    <xf numFmtId="0" fontId="15" fillId="0" borderId="27" xfId="0" quotePrefix="1" applyFont="1" applyBorder="1" applyAlignment="1">
      <alignment horizontal="center" vertical="center"/>
    </xf>
    <xf numFmtId="0" fontId="16" fillId="0" borderId="35" xfId="0" applyFont="1" applyBorder="1" applyAlignment="1">
      <alignment vertical="center" wrapText="1"/>
    </xf>
    <xf numFmtId="167" fontId="12" fillId="0" borderId="38" xfId="3" applyNumberFormat="1" applyFont="1" applyBorder="1" applyAlignment="1">
      <alignment horizontal="right" vertical="center"/>
    </xf>
    <xf numFmtId="167" fontId="12" fillId="0" borderId="39" xfId="3" applyNumberFormat="1" applyFont="1" applyBorder="1" applyAlignment="1">
      <alignment horizontal="right" vertical="center"/>
    </xf>
    <xf numFmtId="167" fontId="12" fillId="0" borderId="40" xfId="3" applyNumberFormat="1" applyFont="1" applyBorder="1" applyAlignment="1">
      <alignment horizontal="right" vertical="center"/>
    </xf>
    <xf numFmtId="9" fontId="11" fillId="0" borderId="41" xfId="2" applyFont="1" applyFill="1" applyBorder="1" applyAlignment="1">
      <alignment horizontal="center" vertical="center"/>
    </xf>
    <xf numFmtId="167" fontId="12" fillId="0" borderId="42" xfId="3" applyNumberFormat="1" applyFont="1" applyBorder="1" applyAlignment="1">
      <alignment horizontal="right" vertical="center"/>
    </xf>
    <xf numFmtId="9" fontId="11" fillId="0" borderId="33" xfId="2" applyFont="1" applyFill="1" applyBorder="1" applyAlignment="1">
      <alignment horizontal="center" vertical="center"/>
    </xf>
    <xf numFmtId="9" fontId="11" fillId="0" borderId="43" xfId="2" applyFont="1" applyFill="1" applyBorder="1" applyAlignment="1">
      <alignment vertical="center"/>
    </xf>
    <xf numFmtId="3" fontId="17" fillId="0" borderId="44" xfId="0" quotePrefix="1" applyNumberFormat="1" applyFont="1" applyBorder="1" applyAlignment="1">
      <alignment vertical="center" wrapText="1"/>
    </xf>
    <xf numFmtId="0" fontId="11" fillId="0" borderId="45" xfId="0" quotePrefix="1" applyFont="1" applyBorder="1" applyAlignment="1">
      <alignment horizontal="center" vertical="center"/>
    </xf>
    <xf numFmtId="166" fontId="19" fillId="0" borderId="49" xfId="3" applyNumberFormat="1" applyFont="1" applyBorder="1">
      <alignment vertical="center"/>
    </xf>
    <xf numFmtId="167" fontId="19" fillId="0" borderId="50" xfId="3" applyNumberFormat="1" applyFont="1" applyBorder="1">
      <alignment vertical="center"/>
    </xf>
    <xf numFmtId="167" fontId="19" fillId="0" borderId="51" xfId="3" applyNumberFormat="1" applyFont="1" applyBorder="1">
      <alignment vertical="center"/>
    </xf>
    <xf numFmtId="9" fontId="19" fillId="0" borderId="52" xfId="2" applyFont="1" applyFill="1" applyBorder="1" applyAlignment="1">
      <alignment vertical="center"/>
    </xf>
    <xf numFmtId="166" fontId="19" fillId="0" borderId="53" xfId="3" applyNumberFormat="1" applyFont="1" applyBorder="1">
      <alignment vertical="center"/>
    </xf>
    <xf numFmtId="9" fontId="19" fillId="0" borderId="48" xfId="2" applyFont="1" applyFill="1" applyBorder="1" applyAlignment="1">
      <alignment vertical="center"/>
    </xf>
    <xf numFmtId="3" fontId="17" fillId="0" borderId="54" xfId="0" quotePrefix="1" applyNumberFormat="1" applyFont="1" applyBorder="1" applyAlignment="1">
      <alignment vertical="center" wrapText="1"/>
    </xf>
    <xf numFmtId="166" fontId="16" fillId="0" borderId="58" xfId="1" applyNumberFormat="1" applyFont="1" applyFill="1" applyBorder="1" applyAlignment="1">
      <alignment horizontal="right" vertical="center"/>
    </xf>
    <xf numFmtId="40" fontId="16" fillId="0" borderId="59" xfId="1" applyNumberFormat="1" applyFont="1" applyFill="1" applyBorder="1" applyAlignment="1">
      <alignment horizontal="right" vertical="center"/>
    </xf>
    <xf numFmtId="40" fontId="16" fillId="0" borderId="60" xfId="1" applyNumberFormat="1" applyFont="1" applyFill="1" applyBorder="1" applyAlignment="1">
      <alignment horizontal="right" vertical="center"/>
    </xf>
    <xf numFmtId="9" fontId="16" fillId="0" borderId="57" xfId="2" applyFont="1" applyFill="1" applyBorder="1" applyAlignment="1">
      <alignment horizontal="center" vertical="center"/>
    </xf>
    <xf numFmtId="40" fontId="16" fillId="0" borderId="58" xfId="1" applyNumberFormat="1" applyFont="1" applyFill="1" applyBorder="1" applyAlignment="1">
      <alignment horizontal="right" vertical="center"/>
    </xf>
    <xf numFmtId="9" fontId="16" fillId="0" borderId="56" xfId="2" applyFont="1" applyFill="1" applyBorder="1" applyAlignment="1">
      <alignment horizontal="center" vertical="center"/>
    </xf>
    <xf numFmtId="165" fontId="16" fillId="0" borderId="61" xfId="1" applyNumberFormat="1" applyFont="1" applyFill="1" applyBorder="1" applyAlignment="1">
      <alignment vertical="center" shrinkToFit="1"/>
    </xf>
    <xf numFmtId="164" fontId="7" fillId="0" borderId="0" xfId="1" applyFont="1" applyFill="1" applyBorder="1" applyAlignment="1">
      <alignment vertical="center" shrinkToFit="1"/>
    </xf>
    <xf numFmtId="0" fontId="9" fillId="4" borderId="0" xfId="0" applyFont="1" applyFill="1">
      <alignment vertical="center"/>
    </xf>
    <xf numFmtId="0" fontId="20" fillId="4" borderId="0" xfId="0" quotePrefix="1" applyFont="1" applyFill="1" applyAlignment="1">
      <alignment horizontal="center" vertical="center"/>
    </xf>
    <xf numFmtId="0" fontId="15" fillId="4" borderId="0" xfId="0" quotePrefix="1" applyFont="1" applyFill="1" applyAlignment="1">
      <alignment horizontal="left" vertical="center" wrapText="1"/>
    </xf>
    <xf numFmtId="40" fontId="20" fillId="0" borderId="0" xfId="1" applyNumberFormat="1" applyFont="1" applyFill="1" applyBorder="1" applyAlignment="1">
      <alignment horizontal="center" vertical="center" wrapText="1" shrinkToFit="1"/>
    </xf>
    <xf numFmtId="40" fontId="21" fillId="0" borderId="0" xfId="1" applyNumberFormat="1" applyFont="1" applyFill="1" applyBorder="1" applyAlignment="1">
      <alignment horizontal="center" vertical="center" shrinkToFit="1"/>
    </xf>
    <xf numFmtId="169" fontId="21" fillId="4" borderId="0" xfId="2" applyNumberFormat="1" applyFont="1" applyFill="1" applyBorder="1" applyAlignment="1">
      <alignment vertical="center" shrinkToFit="1"/>
    </xf>
    <xf numFmtId="164" fontId="20" fillId="4" borderId="0" xfId="1" applyFont="1" applyFill="1" applyBorder="1" applyAlignment="1">
      <alignment horizontal="left" vertical="center" shrinkToFit="1"/>
    </xf>
    <xf numFmtId="164" fontId="9" fillId="0" borderId="0" xfId="1" applyFont="1" applyFill="1" applyBorder="1" applyAlignment="1">
      <alignment horizontal="left" vertical="center" shrinkToFit="1"/>
    </xf>
    <xf numFmtId="0" fontId="8" fillId="4" borderId="0" xfId="0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2" fillId="2" borderId="70" xfId="0" quotePrefix="1" applyFont="1" applyFill="1" applyBorder="1" applyAlignment="1">
      <alignment horizontal="center" vertical="center"/>
    </xf>
    <xf numFmtId="164" fontId="8" fillId="4" borderId="77" xfId="1" applyFont="1" applyFill="1" applyBorder="1" applyAlignment="1">
      <alignment horizontal="left" vertical="center" wrapText="1" shrinkToFit="1"/>
    </xf>
    <xf numFmtId="164" fontId="7" fillId="0" borderId="0" xfId="1" applyFont="1" applyFill="1" applyBorder="1" applyAlignment="1">
      <alignment horizontal="left" vertical="center" shrinkToFit="1"/>
    </xf>
    <xf numFmtId="0" fontId="22" fillId="2" borderId="78" xfId="0" quotePrefix="1" applyFont="1" applyFill="1" applyBorder="1" applyAlignment="1">
      <alignment horizontal="center" vertical="center"/>
    </xf>
    <xf numFmtId="164" fontId="8" fillId="4" borderId="85" xfId="1" applyFont="1" applyFill="1" applyBorder="1" applyAlignment="1">
      <alignment horizontal="left" vertical="center" wrapText="1" shrinkToFit="1"/>
    </xf>
    <xf numFmtId="0" fontId="22" fillId="2" borderId="45" xfId="0" quotePrefix="1" applyFont="1" applyFill="1" applyBorder="1" applyAlignment="1">
      <alignment horizontal="center" vertical="center"/>
    </xf>
    <xf numFmtId="164" fontId="22" fillId="4" borderId="87" xfId="1" applyFont="1" applyFill="1" applyBorder="1" applyAlignment="1">
      <alignment horizontal="left" vertical="center" shrinkToFit="1"/>
    </xf>
    <xf numFmtId="0" fontId="23" fillId="0" borderId="88" xfId="0" applyFont="1" applyBorder="1" applyAlignment="1">
      <alignment horizontal="left" vertical="center"/>
    </xf>
    <xf numFmtId="0" fontId="9" fillId="0" borderId="62" xfId="0" quotePrefix="1" applyFont="1" applyBorder="1" applyAlignment="1">
      <alignment horizontal="left" vertical="center"/>
    </xf>
    <xf numFmtId="0" fontId="9" fillId="0" borderId="62" xfId="0" applyFont="1" applyBorder="1" applyAlignment="1">
      <alignment horizontal="center" vertical="center"/>
    </xf>
    <xf numFmtId="0" fontId="9" fillId="0" borderId="62" xfId="0" applyFont="1" applyBorder="1">
      <alignment vertical="center"/>
    </xf>
    <xf numFmtId="0" fontId="7" fillId="0" borderId="62" xfId="0" applyFont="1" applyBorder="1">
      <alignment vertical="center"/>
    </xf>
    <xf numFmtId="9" fontId="7" fillId="0" borderId="62" xfId="0" applyNumberFormat="1" applyFont="1" applyBorder="1">
      <alignment vertical="center"/>
    </xf>
    <xf numFmtId="0" fontId="7" fillId="0" borderId="89" xfId="0" applyFont="1" applyBorder="1">
      <alignment vertical="center"/>
    </xf>
    <xf numFmtId="0" fontId="23" fillId="0" borderId="55" xfId="0" applyFont="1" applyBorder="1" applyAlignment="1">
      <alignment horizontal="left" vertical="center"/>
    </xf>
    <xf numFmtId="0" fontId="9" fillId="0" borderId="56" xfId="0" quotePrefix="1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/>
    </xf>
    <xf numFmtId="0" fontId="9" fillId="0" borderId="56" xfId="0" applyFont="1" applyBorder="1">
      <alignment vertical="center"/>
    </xf>
    <xf numFmtId="0" fontId="7" fillId="0" borderId="56" xfId="0" applyFont="1" applyBorder="1">
      <alignment vertical="center"/>
    </xf>
    <xf numFmtId="9" fontId="7" fillId="0" borderId="56" xfId="0" applyNumberFormat="1" applyFont="1" applyBorder="1">
      <alignment vertical="center"/>
    </xf>
    <xf numFmtId="0" fontId="7" fillId="0" borderId="90" xfId="0" applyFont="1" applyBorder="1">
      <alignment vertical="center"/>
    </xf>
    <xf numFmtId="0" fontId="23" fillId="0" borderId="91" xfId="0" applyFont="1" applyBorder="1" applyAlignment="1">
      <alignment horizontal="left" vertical="center"/>
    </xf>
    <xf numFmtId="0" fontId="24" fillId="0" borderId="92" xfId="0" applyFont="1" applyBorder="1" applyAlignment="1">
      <alignment horizontal="left" vertical="center"/>
    </xf>
    <xf numFmtId="0" fontId="24" fillId="0" borderId="92" xfId="0" applyFont="1" applyBorder="1" applyAlignment="1">
      <alignment horizontal="center" vertical="center"/>
    </xf>
    <xf numFmtId="0" fontId="24" fillId="0" borderId="92" xfId="0" applyFont="1" applyBorder="1">
      <alignment vertical="center"/>
    </xf>
    <xf numFmtId="0" fontId="7" fillId="0" borderId="92" xfId="0" applyFont="1" applyBorder="1">
      <alignment vertical="center"/>
    </xf>
    <xf numFmtId="9" fontId="7" fillId="0" borderId="92" xfId="0" applyNumberFormat="1" applyFont="1" applyBorder="1">
      <alignment vertical="center"/>
    </xf>
    <xf numFmtId="0" fontId="7" fillId="0" borderId="93" xfId="0" applyFont="1" applyBorder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70" fontId="8" fillId="0" borderId="0" xfId="0" applyNumberFormat="1" applyFont="1">
      <alignment vertical="center"/>
    </xf>
    <xf numFmtId="9" fontId="9" fillId="0" borderId="0" xfId="0" applyNumberFormat="1" applyFont="1">
      <alignment vertical="center"/>
    </xf>
    <xf numFmtId="0" fontId="27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9" fontId="26" fillId="0" borderId="1" xfId="0" applyNumberFormat="1" applyFont="1" applyBorder="1">
      <alignment vertical="center"/>
    </xf>
    <xf numFmtId="0" fontId="26" fillId="0" borderId="0" xfId="0" applyFont="1" applyAlignment="1">
      <alignment horizontal="right" wrapText="1"/>
    </xf>
    <xf numFmtId="0" fontId="28" fillId="0" borderId="0" xfId="0" applyFont="1">
      <alignment vertical="center"/>
    </xf>
    <xf numFmtId="0" fontId="3" fillId="0" borderId="0" xfId="0" applyFont="1">
      <alignment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9" fontId="26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2" borderId="2" xfId="0" applyFont="1" applyFill="1" applyBorder="1" applyAlignment="1">
      <alignment horizontal="center" vertical="center"/>
    </xf>
    <xf numFmtId="164" fontId="26" fillId="0" borderId="0" xfId="1" applyFont="1" applyFill="1" applyBorder="1" applyAlignment="1">
      <alignment horizontal="center" vertical="center"/>
    </xf>
    <xf numFmtId="164" fontId="29" fillId="3" borderId="16" xfId="1" applyFont="1" applyFill="1" applyBorder="1" applyAlignment="1">
      <alignment horizontal="center" vertical="center"/>
    </xf>
    <xf numFmtId="40" fontId="29" fillId="3" borderId="17" xfId="1" applyNumberFormat="1" applyFont="1" applyFill="1" applyBorder="1" applyAlignment="1">
      <alignment horizontal="center" vertical="center"/>
    </xf>
    <xf numFmtId="40" fontId="29" fillId="3" borderId="18" xfId="1" applyNumberFormat="1" applyFont="1" applyFill="1" applyBorder="1" applyAlignment="1">
      <alignment horizontal="center" vertical="center" wrapText="1"/>
    </xf>
    <xf numFmtId="9" fontId="29" fillId="3" borderId="19" xfId="1" applyNumberFormat="1" applyFont="1" applyFill="1" applyBorder="1" applyAlignment="1">
      <alignment horizontal="center" vertical="center"/>
    </xf>
    <xf numFmtId="9" fontId="29" fillId="3" borderId="19" xfId="1" applyNumberFormat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28" fillId="2" borderId="24" xfId="0" quotePrefix="1" applyFont="1" applyFill="1" applyBorder="1" applyAlignment="1">
      <alignment horizontal="center" vertical="center"/>
    </xf>
    <xf numFmtId="3" fontId="31" fillId="0" borderId="23" xfId="0" quotePrefix="1" applyNumberFormat="1" applyFont="1" applyBorder="1" applyAlignment="1">
      <alignment horizontal="center" vertical="center" wrapText="1"/>
    </xf>
    <xf numFmtId="3" fontId="32" fillId="0" borderId="0" xfId="0" applyNumberFormat="1" applyFont="1" applyAlignment="1">
      <alignment horizontal="left" vertical="center" wrapText="1"/>
    </xf>
    <xf numFmtId="3" fontId="31" fillId="0" borderId="26" xfId="0" quotePrefix="1" applyNumberFormat="1" applyFont="1" applyBorder="1" applyAlignment="1">
      <alignment horizontal="center" vertical="center" wrapText="1"/>
    </xf>
    <xf numFmtId="3" fontId="37" fillId="0" borderId="0" xfId="0" applyNumberFormat="1" applyFont="1" applyAlignment="1">
      <alignment horizontal="left" vertical="center" wrapText="1"/>
    </xf>
    <xf numFmtId="0" fontId="35" fillId="0" borderId="27" xfId="0" quotePrefix="1" applyFont="1" applyBorder="1" applyAlignment="1">
      <alignment horizontal="center" vertical="center"/>
    </xf>
    <xf numFmtId="0" fontId="38" fillId="0" borderId="35" xfId="0" applyFont="1" applyBorder="1" applyAlignment="1">
      <alignment vertical="center" wrapText="1"/>
    </xf>
    <xf numFmtId="167" fontId="33" fillId="0" borderId="39" xfId="3" applyNumberFormat="1" applyFont="1" applyBorder="1" applyAlignment="1">
      <alignment horizontal="right" vertical="center"/>
    </xf>
    <xf numFmtId="167" fontId="33" fillId="0" borderId="40" xfId="3" applyNumberFormat="1" applyFont="1" applyBorder="1" applyAlignment="1">
      <alignment horizontal="right" vertical="center"/>
    </xf>
    <xf numFmtId="9" fontId="34" fillId="0" borderId="41" xfId="2" applyFont="1" applyFill="1" applyBorder="1" applyAlignment="1">
      <alignment horizontal="center" vertical="center"/>
    </xf>
    <xf numFmtId="167" fontId="33" fillId="0" borderId="42" xfId="3" applyNumberFormat="1" applyFont="1" applyBorder="1" applyAlignment="1">
      <alignment horizontal="right" vertical="center"/>
    </xf>
    <xf numFmtId="9" fontId="34" fillId="0" borderId="33" xfId="2" applyFont="1" applyFill="1" applyBorder="1" applyAlignment="1">
      <alignment horizontal="center" vertical="center"/>
    </xf>
    <xf numFmtId="9" fontId="34" fillId="0" borderId="43" xfId="2" applyFont="1" applyFill="1" applyBorder="1" applyAlignment="1">
      <alignment vertical="center"/>
    </xf>
    <xf numFmtId="3" fontId="39" fillId="0" borderId="44" xfId="0" quotePrefix="1" applyNumberFormat="1" applyFont="1" applyBorder="1" applyAlignment="1">
      <alignment vertical="center" wrapText="1"/>
    </xf>
    <xf numFmtId="0" fontId="34" fillId="0" borderId="45" xfId="0" quotePrefix="1" applyFont="1" applyBorder="1" applyAlignment="1">
      <alignment horizontal="center" vertical="center"/>
    </xf>
    <xf numFmtId="166" fontId="41" fillId="0" borderId="49" xfId="3" applyNumberFormat="1" applyFont="1" applyBorder="1">
      <alignment vertical="center"/>
    </xf>
    <xf numFmtId="167" fontId="41" fillId="0" borderId="50" xfId="3" applyNumberFormat="1" applyFont="1" applyBorder="1">
      <alignment vertical="center"/>
    </xf>
    <xf numFmtId="167" fontId="41" fillId="0" borderId="51" xfId="3" applyNumberFormat="1" applyFont="1" applyBorder="1">
      <alignment vertical="center"/>
    </xf>
    <xf numFmtId="9" fontId="41" fillId="0" borderId="52" xfId="2" applyFont="1" applyFill="1" applyBorder="1" applyAlignment="1">
      <alignment vertical="center"/>
    </xf>
    <xf numFmtId="166" fontId="41" fillId="0" borderId="53" xfId="3" applyNumberFormat="1" applyFont="1" applyBorder="1">
      <alignment vertical="center"/>
    </xf>
    <xf numFmtId="9" fontId="41" fillId="0" borderId="48" xfId="2" applyFont="1" applyFill="1" applyBorder="1" applyAlignment="1">
      <alignment vertical="center"/>
    </xf>
    <xf numFmtId="3" fontId="39" fillId="0" borderId="54" xfId="0" quotePrefix="1" applyNumberFormat="1" applyFont="1" applyBorder="1" applyAlignment="1">
      <alignment vertical="center" wrapText="1"/>
    </xf>
    <xf numFmtId="166" fontId="38" fillId="0" borderId="58" xfId="1" applyNumberFormat="1" applyFont="1" applyFill="1" applyBorder="1" applyAlignment="1">
      <alignment horizontal="right" vertical="center"/>
    </xf>
    <xf numFmtId="40" fontId="38" fillId="0" borderId="59" xfId="1" applyNumberFormat="1" applyFont="1" applyFill="1" applyBorder="1" applyAlignment="1">
      <alignment horizontal="right" vertical="center"/>
    </xf>
    <xf numFmtId="40" fontId="38" fillId="0" borderId="60" xfId="1" applyNumberFormat="1" applyFont="1" applyFill="1" applyBorder="1" applyAlignment="1">
      <alignment horizontal="right" vertical="center"/>
    </xf>
    <xf numFmtId="9" fontId="38" fillId="0" borderId="57" xfId="2" applyFont="1" applyFill="1" applyBorder="1" applyAlignment="1">
      <alignment horizontal="center" vertical="center"/>
    </xf>
    <xf numFmtId="40" fontId="38" fillId="0" borderId="58" xfId="1" applyNumberFormat="1" applyFont="1" applyFill="1" applyBorder="1" applyAlignment="1">
      <alignment horizontal="right" vertical="center"/>
    </xf>
    <xf numFmtId="9" fontId="38" fillId="0" borderId="56" xfId="2" applyFont="1" applyFill="1" applyBorder="1" applyAlignment="1">
      <alignment horizontal="center" vertical="center"/>
    </xf>
    <xf numFmtId="165" fontId="38" fillId="0" borderId="61" xfId="1" applyNumberFormat="1" applyFont="1" applyFill="1" applyBorder="1" applyAlignment="1">
      <alignment vertical="center" shrinkToFit="1"/>
    </xf>
    <xf numFmtId="164" fontId="26" fillId="0" borderId="0" xfId="1" applyFont="1" applyFill="1" applyBorder="1" applyAlignment="1">
      <alignment vertical="center" shrinkToFit="1"/>
    </xf>
    <xf numFmtId="0" fontId="3" fillId="4" borderId="0" xfId="0" applyFont="1" applyFill="1">
      <alignment vertical="center"/>
    </xf>
    <xf numFmtId="0" fontId="42" fillId="4" borderId="0" xfId="0" quotePrefix="1" applyFont="1" applyFill="1" applyAlignment="1">
      <alignment horizontal="center" vertical="center"/>
    </xf>
    <xf numFmtId="0" fontId="35" fillId="4" borderId="0" xfId="0" quotePrefix="1" applyFont="1" applyFill="1" applyAlignment="1">
      <alignment horizontal="left" vertical="center" wrapText="1"/>
    </xf>
    <xf numFmtId="40" fontId="42" fillId="0" borderId="0" xfId="1" applyNumberFormat="1" applyFont="1" applyFill="1" applyBorder="1" applyAlignment="1">
      <alignment horizontal="center" vertical="center" wrapText="1" shrinkToFit="1"/>
    </xf>
    <xf numFmtId="40" fontId="43" fillId="0" borderId="0" xfId="1" applyNumberFormat="1" applyFont="1" applyFill="1" applyBorder="1" applyAlignment="1">
      <alignment horizontal="center" vertical="center" shrinkToFit="1"/>
    </xf>
    <xf numFmtId="169" fontId="43" fillId="4" borderId="0" xfId="2" applyNumberFormat="1" applyFont="1" applyFill="1" applyBorder="1" applyAlignment="1">
      <alignment vertical="center" shrinkToFit="1"/>
    </xf>
    <xf numFmtId="164" fontId="42" fillId="4" borderId="0" xfId="1" applyFont="1" applyFill="1" applyBorder="1" applyAlignment="1">
      <alignment horizontal="left" vertical="center" shrinkToFit="1"/>
    </xf>
    <xf numFmtId="164" fontId="3" fillId="0" borderId="0" xfId="1" applyFont="1" applyFill="1" applyBorder="1" applyAlignment="1">
      <alignment horizontal="left" vertical="center" shrinkToFit="1"/>
    </xf>
    <xf numFmtId="0" fontId="28" fillId="4" borderId="0" xfId="0" applyFont="1" applyFill="1">
      <alignment vertical="center"/>
    </xf>
    <xf numFmtId="0" fontId="26" fillId="2" borderId="69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0" fillId="2" borderId="70" xfId="0" quotePrefix="1" applyFont="1" applyFill="1" applyBorder="1" applyAlignment="1">
      <alignment horizontal="center" vertical="center"/>
    </xf>
    <xf numFmtId="164" fontId="28" fillId="4" borderId="77" xfId="1" applyFont="1" applyFill="1" applyBorder="1" applyAlignment="1">
      <alignment horizontal="left" vertical="center" wrapText="1" shrinkToFit="1"/>
    </xf>
    <xf numFmtId="164" fontId="26" fillId="0" borderId="0" xfId="1" applyFont="1" applyFill="1" applyBorder="1" applyAlignment="1">
      <alignment horizontal="left" vertical="center" shrinkToFit="1"/>
    </xf>
    <xf numFmtId="0" fontId="30" fillId="2" borderId="78" xfId="0" quotePrefix="1" applyFont="1" applyFill="1" applyBorder="1" applyAlignment="1">
      <alignment horizontal="center" vertical="center"/>
    </xf>
    <xf numFmtId="164" fontId="28" fillId="4" borderId="85" xfId="1" applyFont="1" applyFill="1" applyBorder="1" applyAlignment="1">
      <alignment horizontal="left" vertical="center" wrapText="1" shrinkToFit="1"/>
    </xf>
    <xf numFmtId="0" fontId="30" fillId="2" borderId="45" xfId="0" quotePrefix="1" applyFont="1" applyFill="1" applyBorder="1" applyAlignment="1">
      <alignment horizontal="center" vertical="center"/>
    </xf>
    <xf numFmtId="164" fontId="30" fillId="4" borderId="87" xfId="1" applyFont="1" applyFill="1" applyBorder="1" applyAlignment="1">
      <alignment horizontal="left" vertical="center" shrinkToFit="1"/>
    </xf>
    <xf numFmtId="0" fontId="44" fillId="0" borderId="88" xfId="0" applyFont="1" applyBorder="1" applyAlignment="1">
      <alignment horizontal="left" vertical="center"/>
    </xf>
    <xf numFmtId="0" fontId="3" fillId="0" borderId="62" xfId="0" quotePrefix="1" applyFont="1" applyBorder="1" applyAlignment="1">
      <alignment horizontal="left" vertical="center"/>
    </xf>
    <xf numFmtId="0" fontId="3" fillId="0" borderId="62" xfId="0" applyFont="1" applyBorder="1" applyAlignment="1">
      <alignment horizontal="center" vertical="center"/>
    </xf>
    <xf numFmtId="0" fontId="3" fillId="0" borderId="62" xfId="0" applyFont="1" applyBorder="1">
      <alignment vertical="center"/>
    </xf>
    <xf numFmtId="0" fontId="26" fillId="0" borderId="62" xfId="0" applyFont="1" applyBorder="1">
      <alignment vertical="center"/>
    </xf>
    <xf numFmtId="9" fontId="26" fillId="0" borderId="62" xfId="0" applyNumberFormat="1" applyFont="1" applyBorder="1">
      <alignment vertical="center"/>
    </xf>
    <xf numFmtId="0" fontId="26" fillId="0" borderId="89" xfId="0" applyFont="1" applyBorder="1">
      <alignment vertical="center"/>
    </xf>
    <xf numFmtId="0" fontId="44" fillId="0" borderId="55" xfId="0" applyFont="1" applyBorder="1" applyAlignment="1">
      <alignment horizontal="left" vertical="center"/>
    </xf>
    <xf numFmtId="0" fontId="3" fillId="0" borderId="56" xfId="0" quotePrefix="1" applyFont="1" applyBorder="1" applyAlignment="1">
      <alignment horizontal="left"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>
      <alignment vertical="center"/>
    </xf>
    <xf numFmtId="0" fontId="26" fillId="0" borderId="56" xfId="0" applyFont="1" applyBorder="1">
      <alignment vertical="center"/>
    </xf>
    <xf numFmtId="9" fontId="26" fillId="0" borderId="56" xfId="0" applyNumberFormat="1" applyFont="1" applyBorder="1">
      <alignment vertical="center"/>
    </xf>
    <xf numFmtId="0" fontId="26" fillId="0" borderId="90" xfId="0" applyFont="1" applyBorder="1">
      <alignment vertical="center"/>
    </xf>
    <xf numFmtId="0" fontId="44" fillId="0" borderId="91" xfId="0" applyFont="1" applyBorder="1" applyAlignment="1">
      <alignment horizontal="left" vertical="center"/>
    </xf>
    <xf numFmtId="0" fontId="45" fillId="0" borderId="92" xfId="0" applyFont="1" applyBorder="1" applyAlignment="1">
      <alignment horizontal="left" vertical="center"/>
    </xf>
    <xf numFmtId="0" fontId="45" fillId="0" borderId="92" xfId="0" applyFont="1" applyBorder="1" applyAlignment="1">
      <alignment horizontal="center" vertical="center"/>
    </xf>
    <xf numFmtId="0" fontId="45" fillId="0" borderId="92" xfId="0" applyFont="1" applyBorder="1">
      <alignment vertical="center"/>
    </xf>
    <xf numFmtId="0" fontId="26" fillId="0" borderId="92" xfId="0" applyFont="1" applyBorder="1">
      <alignment vertical="center"/>
    </xf>
    <xf numFmtId="9" fontId="26" fillId="0" borderId="92" xfId="0" applyNumberFormat="1" applyFont="1" applyBorder="1">
      <alignment vertical="center"/>
    </xf>
    <xf numFmtId="0" fontId="26" fillId="0" borderId="93" xfId="0" applyFont="1" applyBorder="1">
      <alignment vertical="center"/>
    </xf>
    <xf numFmtId="0" fontId="45" fillId="0" borderId="0" xfId="0" applyFont="1">
      <alignment vertical="center"/>
    </xf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70" fontId="28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171" fontId="26" fillId="0" borderId="1" xfId="0" applyNumberFormat="1" applyFont="1" applyBorder="1" applyAlignment="1">
      <alignment horizontal="right" wrapText="1"/>
    </xf>
    <xf numFmtId="0" fontId="3" fillId="0" borderId="25" xfId="0" applyFont="1" applyBorder="1" applyAlignment="1">
      <alignment horizontal="center" vertical="center"/>
    </xf>
    <xf numFmtId="2" fontId="3" fillId="0" borderId="82" xfId="0" applyNumberFormat="1" applyFont="1" applyBorder="1" applyAlignment="1">
      <alignment horizontal="center" vertical="center"/>
    </xf>
    <xf numFmtId="166" fontId="45" fillId="0" borderId="82" xfId="3" applyNumberFormat="1" applyFont="1" applyBorder="1">
      <alignment vertical="center"/>
    </xf>
    <xf numFmtId="166" fontId="45" fillId="0" borderId="25" xfId="3" applyNumberFormat="1" applyFont="1" applyBorder="1">
      <alignment vertical="center"/>
    </xf>
    <xf numFmtId="9" fontId="45" fillId="0" borderId="22" xfId="2" applyFont="1" applyFill="1" applyBorder="1" applyAlignment="1">
      <alignment vertical="center"/>
    </xf>
    <xf numFmtId="167" fontId="45" fillId="0" borderId="25" xfId="3" applyNumberFormat="1" applyFont="1" applyBorder="1">
      <alignment vertical="center"/>
    </xf>
    <xf numFmtId="167" fontId="45" fillId="0" borderId="22" xfId="3" applyNumberFormat="1" applyFont="1" applyBorder="1">
      <alignment vertical="center"/>
    </xf>
    <xf numFmtId="9" fontId="45" fillId="0" borderId="25" xfId="2" applyFont="1" applyFill="1" applyBorder="1" applyAlignment="1">
      <alignment vertical="center"/>
    </xf>
    <xf numFmtId="168" fontId="33" fillId="0" borderId="39" xfId="3" applyNumberFormat="1" applyFont="1" applyBorder="1" applyAlignment="1">
      <alignment horizontal="right" vertical="center"/>
    </xf>
    <xf numFmtId="168" fontId="41" fillId="0" borderId="50" xfId="3" applyNumberFormat="1" applyFont="1" applyBorder="1">
      <alignment vertical="center"/>
    </xf>
    <xf numFmtId="167" fontId="33" fillId="0" borderId="98" xfId="3" applyNumberFormat="1" applyFont="1" applyBorder="1" applyAlignment="1">
      <alignment horizontal="right" vertical="center"/>
    </xf>
    <xf numFmtId="9" fontId="38" fillId="0" borderId="58" xfId="2" applyFont="1" applyFill="1" applyBorder="1" applyAlignment="1">
      <alignment horizontal="right" vertical="center"/>
    </xf>
    <xf numFmtId="9" fontId="3" fillId="0" borderId="82" xfId="0" applyNumberFormat="1" applyFont="1" applyBorder="1" applyAlignment="1">
      <alignment horizontal="center" vertical="center"/>
    </xf>
    <xf numFmtId="3" fontId="36" fillId="0" borderId="105" xfId="0" quotePrefix="1" applyNumberFormat="1" applyFont="1" applyBorder="1" applyAlignment="1">
      <alignment vertical="center" wrapText="1"/>
    </xf>
    <xf numFmtId="0" fontId="35" fillId="0" borderId="106" xfId="0" quotePrefix="1" applyFont="1" applyBorder="1" applyAlignment="1">
      <alignment horizontal="center" vertical="center"/>
    </xf>
    <xf numFmtId="167" fontId="45" fillId="0" borderId="22" xfId="3" applyNumberFormat="1" applyFont="1" applyBorder="1" applyAlignment="1">
      <alignment horizontal="center" vertical="center" wrapText="1"/>
    </xf>
    <xf numFmtId="167" fontId="45" fillId="0" borderId="81" xfId="3" applyNumberFormat="1" applyFont="1" applyBorder="1" applyAlignment="1">
      <alignment horizontal="center" vertical="center" wrapText="1"/>
    </xf>
    <xf numFmtId="167" fontId="45" fillId="0" borderId="25" xfId="3" applyNumberFormat="1" applyFont="1" applyBorder="1" applyAlignment="1">
      <alignment horizontal="center" vertical="center" wrapText="1"/>
    </xf>
    <xf numFmtId="0" fontId="2" fillId="0" borderId="81" xfId="0" applyFont="1" applyBorder="1" applyAlignment="1">
      <alignment horizontal="left" vertical="center" wrapText="1" indent="1"/>
    </xf>
    <xf numFmtId="0" fontId="2" fillId="0" borderId="22" xfId="0" applyFont="1" applyBorder="1" applyAlignment="1">
      <alignment horizontal="left" vertical="center" wrapText="1" indent="1"/>
    </xf>
    <xf numFmtId="0" fontId="2" fillId="0" borderId="25" xfId="0" applyFont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right" vertical="center"/>
    </xf>
    <xf numFmtId="0" fontId="18" fillId="0" borderId="47" xfId="0" applyFont="1" applyBorder="1" applyAlignment="1">
      <alignment horizontal="right" vertical="center"/>
    </xf>
    <xf numFmtId="0" fontId="18" fillId="0" borderId="48" xfId="0" applyFont="1" applyBorder="1" applyAlignment="1">
      <alignment horizontal="right" vertical="center"/>
    </xf>
    <xf numFmtId="164" fontId="7" fillId="2" borderId="7" xfId="1" applyFont="1" applyFill="1" applyBorder="1" applyAlignment="1">
      <alignment horizontal="center" vertical="center"/>
    </xf>
    <xf numFmtId="164" fontId="7" fillId="2" borderId="8" xfId="1" applyFont="1" applyFill="1" applyBorder="1" applyAlignment="1">
      <alignment horizontal="center" vertical="center"/>
    </xf>
    <xf numFmtId="164" fontId="7" fillId="2" borderId="9" xfId="1" applyFont="1" applyFill="1" applyBorder="1" applyAlignment="1">
      <alignment horizontal="center" vertical="center"/>
    </xf>
    <xf numFmtId="164" fontId="7" fillId="2" borderId="10" xfId="1" applyFont="1" applyFill="1" applyBorder="1" applyAlignment="1">
      <alignment horizontal="center" vertical="center"/>
    </xf>
    <xf numFmtId="164" fontId="7" fillId="2" borderId="20" xfId="1" applyFont="1" applyFill="1" applyBorder="1" applyAlignment="1">
      <alignment horizontal="center" vertical="center"/>
    </xf>
    <xf numFmtId="167" fontId="12" fillId="0" borderId="22" xfId="3" applyNumberFormat="1" applyFont="1" applyBorder="1" applyAlignment="1">
      <alignment horizontal="center" vertical="center" wrapText="1"/>
    </xf>
    <xf numFmtId="167" fontId="12" fillId="0" borderId="25" xfId="3" applyNumberFormat="1" applyFont="1" applyBorder="1" applyAlignment="1">
      <alignment horizontal="center" vertical="center" wrapText="1"/>
    </xf>
    <xf numFmtId="167" fontId="12" fillId="0" borderId="28" xfId="3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66" fontId="12" fillId="0" borderId="32" xfId="3" applyNumberFormat="1" applyFont="1" applyBorder="1" applyAlignment="1">
      <alignment horizontal="center" vertical="center"/>
    </xf>
    <xf numFmtId="166" fontId="12" fillId="0" borderId="33" xfId="3" applyNumberFormat="1" applyFont="1" applyBorder="1" applyAlignment="1">
      <alignment horizontal="center" vertical="center"/>
    </xf>
    <xf numFmtId="166" fontId="12" fillId="0" borderId="34" xfId="3" applyNumberFormat="1" applyFont="1" applyBorder="1" applyAlignment="1">
      <alignment horizontal="center" vertical="center"/>
    </xf>
    <xf numFmtId="0" fontId="15" fillId="4" borderId="36" xfId="0" applyFont="1" applyFill="1" applyBorder="1" applyAlignment="1">
      <alignment horizontal="right" vertical="center" wrapText="1"/>
    </xf>
    <xf numFmtId="0" fontId="15" fillId="4" borderId="37" xfId="0" applyFont="1" applyFill="1" applyBorder="1" applyAlignment="1">
      <alignment horizontal="right" vertical="center" wrapText="1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7" fillId="2" borderId="63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 shrinkToFit="1"/>
    </xf>
    <xf numFmtId="0" fontId="7" fillId="2" borderId="66" xfId="0" applyFont="1" applyFill="1" applyBorder="1" applyAlignment="1">
      <alignment horizontal="center" vertical="center" shrinkToFit="1"/>
    </xf>
    <xf numFmtId="0" fontId="7" fillId="2" borderId="67" xfId="0" applyFont="1" applyFill="1" applyBorder="1" applyAlignment="1">
      <alignment horizontal="center" vertical="center" shrinkToFit="1"/>
    </xf>
    <xf numFmtId="0" fontId="7" fillId="2" borderId="68" xfId="0" applyFont="1" applyFill="1" applyBorder="1" applyAlignment="1">
      <alignment horizontal="center" vertical="center" shrinkToFit="1"/>
    </xf>
    <xf numFmtId="0" fontId="7" fillId="2" borderId="65" xfId="0" applyFont="1" applyFill="1" applyBorder="1" applyAlignment="1">
      <alignment horizontal="center" vertical="center"/>
    </xf>
    <xf numFmtId="0" fontId="7" fillId="2" borderId="68" xfId="0" applyFont="1" applyFill="1" applyBorder="1" applyAlignment="1">
      <alignment horizontal="center" vertical="center"/>
    </xf>
    <xf numFmtId="0" fontId="22" fillId="4" borderId="71" xfId="0" quotePrefix="1" applyFont="1" applyFill="1" applyBorder="1" applyAlignment="1">
      <alignment horizontal="left" vertical="center" wrapText="1"/>
    </xf>
    <xf numFmtId="0" fontId="22" fillId="4" borderId="72" xfId="0" quotePrefix="1" applyFont="1" applyFill="1" applyBorder="1" applyAlignment="1">
      <alignment horizontal="left" vertical="center" wrapText="1"/>
    </xf>
    <xf numFmtId="168" fontId="22" fillId="0" borderId="73" xfId="1" applyNumberFormat="1" applyFont="1" applyFill="1" applyBorder="1" applyAlignment="1">
      <alignment horizontal="center" vertical="center" shrinkToFit="1"/>
    </xf>
    <xf numFmtId="168" fontId="22" fillId="0" borderId="74" xfId="1" applyNumberFormat="1" applyFont="1" applyFill="1" applyBorder="1" applyAlignment="1">
      <alignment horizontal="center" vertical="center" shrinkToFit="1"/>
    </xf>
    <xf numFmtId="168" fontId="22" fillId="0" borderId="81" xfId="1" applyNumberFormat="1" applyFont="1" applyFill="1" applyBorder="1" applyAlignment="1">
      <alignment horizontal="center" vertical="center" shrinkToFit="1"/>
    </xf>
    <xf numFmtId="168" fontId="22" fillId="0" borderId="82" xfId="1" applyNumberFormat="1" applyFont="1" applyFill="1" applyBorder="1" applyAlignment="1">
      <alignment horizontal="center" vertical="center" shrinkToFit="1"/>
    </xf>
    <xf numFmtId="168" fontId="22" fillId="0" borderId="86" xfId="1" applyNumberFormat="1" applyFont="1" applyFill="1" applyBorder="1" applyAlignment="1">
      <alignment horizontal="center" vertical="center" shrinkToFit="1"/>
    </xf>
    <xf numFmtId="168" fontId="22" fillId="0" borderId="57" xfId="1" applyNumberFormat="1" applyFont="1" applyFill="1" applyBorder="1" applyAlignment="1">
      <alignment horizontal="center" vertical="center" shrinkToFit="1"/>
    </xf>
    <xf numFmtId="40" fontId="23" fillId="0" borderId="71" xfId="1" applyNumberFormat="1" applyFont="1" applyFill="1" applyBorder="1" applyAlignment="1">
      <alignment horizontal="center" vertical="center" shrinkToFit="1"/>
    </xf>
    <xf numFmtId="40" fontId="23" fillId="0" borderId="75" xfId="1" applyNumberFormat="1" applyFont="1" applyFill="1" applyBorder="1" applyAlignment="1">
      <alignment horizontal="center" vertical="center" shrinkToFit="1"/>
    </xf>
    <xf numFmtId="169" fontId="23" fillId="4" borderId="76" xfId="2" applyNumberFormat="1" applyFont="1" applyFill="1" applyBorder="1" applyAlignment="1">
      <alignment horizontal="center" vertical="center" shrinkToFit="1"/>
    </xf>
    <xf numFmtId="169" fontId="23" fillId="4" borderId="72" xfId="2" applyNumberFormat="1" applyFont="1" applyFill="1" applyBorder="1" applyAlignment="1">
      <alignment horizontal="center" vertical="center" shrinkToFit="1"/>
    </xf>
    <xf numFmtId="14" fontId="7" fillId="0" borderId="1" xfId="0" applyNumberFormat="1" applyFont="1" applyBorder="1" applyAlignment="1">
      <alignment horizontal="left" wrapText="1"/>
    </xf>
    <xf numFmtId="169" fontId="23" fillId="4" borderId="84" xfId="2" applyNumberFormat="1" applyFont="1" applyFill="1" applyBorder="1" applyAlignment="1">
      <alignment horizontal="center" vertical="center" shrinkToFit="1"/>
    </xf>
    <xf numFmtId="169" fontId="23" fillId="4" borderId="80" xfId="2" applyNumberFormat="1" applyFont="1" applyFill="1" applyBorder="1" applyAlignment="1">
      <alignment horizontal="center" vertical="center" shrinkToFit="1"/>
    </xf>
    <xf numFmtId="0" fontId="22" fillId="4" borderId="46" xfId="0" quotePrefix="1" applyFont="1" applyFill="1" applyBorder="1" applyAlignment="1">
      <alignment horizontal="left" vertical="center" wrapText="1"/>
    </xf>
    <xf numFmtId="0" fontId="22" fillId="4" borderId="48" xfId="0" quotePrefix="1" applyFont="1" applyFill="1" applyBorder="1" applyAlignment="1">
      <alignment horizontal="left" vertical="center" wrapText="1"/>
    </xf>
    <xf numFmtId="40" fontId="23" fillId="0" borderId="46" xfId="1" applyNumberFormat="1" applyFont="1" applyFill="1" applyBorder="1" applyAlignment="1">
      <alignment horizontal="center" vertical="center" shrinkToFit="1"/>
    </xf>
    <xf numFmtId="40" fontId="23" fillId="0" borderId="49" xfId="1" applyNumberFormat="1" applyFont="1" applyFill="1" applyBorder="1" applyAlignment="1">
      <alignment horizontal="center" vertical="center" shrinkToFit="1"/>
    </xf>
    <xf numFmtId="169" fontId="23" fillId="0" borderId="51" xfId="1" applyNumberFormat="1" applyFont="1" applyFill="1" applyBorder="1" applyAlignment="1">
      <alignment horizontal="center" vertical="center" shrinkToFit="1"/>
    </xf>
    <xf numFmtId="169" fontId="23" fillId="0" borderId="48" xfId="1" applyNumberFormat="1" applyFont="1" applyFill="1" applyBorder="1" applyAlignment="1">
      <alignment horizontal="center" vertical="center" shrinkToFit="1"/>
    </xf>
    <xf numFmtId="0" fontId="22" fillId="4" borderId="79" xfId="0" quotePrefix="1" applyFont="1" applyFill="1" applyBorder="1" applyAlignment="1">
      <alignment horizontal="left" vertical="center" wrapText="1"/>
    </xf>
    <xf numFmtId="0" fontId="22" fillId="4" borderId="80" xfId="0" quotePrefix="1" applyFont="1" applyFill="1" applyBorder="1" applyAlignment="1">
      <alignment horizontal="left" vertical="center" wrapText="1"/>
    </xf>
    <xf numFmtId="40" fontId="23" fillId="0" borderId="79" xfId="1" applyNumberFormat="1" applyFont="1" applyFill="1" applyBorder="1" applyAlignment="1">
      <alignment horizontal="center" vertical="center" shrinkToFit="1"/>
    </xf>
    <xf numFmtId="40" fontId="23" fillId="0" borderId="83" xfId="1" applyNumberFormat="1" applyFont="1" applyFill="1" applyBorder="1" applyAlignment="1">
      <alignment horizontal="center" vertical="center" shrinkToFit="1"/>
    </xf>
    <xf numFmtId="166" fontId="33" fillId="0" borderId="102" xfId="3" quotePrefix="1" applyNumberFormat="1" applyFont="1" applyBorder="1" applyAlignment="1">
      <alignment horizontal="center" vertical="center"/>
    </xf>
    <xf numFmtId="166" fontId="33" fillId="0" borderId="103" xfId="3" applyNumberFormat="1" applyFont="1" applyBorder="1" applyAlignment="1">
      <alignment horizontal="center" vertical="center"/>
    </xf>
    <xf numFmtId="166" fontId="33" fillId="0" borderId="104" xfId="3" applyNumberFormat="1" applyFont="1" applyBorder="1" applyAlignment="1">
      <alignment horizontal="center" vertical="center"/>
    </xf>
    <xf numFmtId="166" fontId="33" fillId="0" borderId="102" xfId="3" quotePrefix="1" applyNumberFormat="1" applyFont="1" applyBorder="1" applyAlignment="1">
      <alignment horizontal="center" vertical="center" wrapText="1"/>
    </xf>
    <xf numFmtId="166" fontId="33" fillId="0" borderId="103" xfId="3" applyNumberFormat="1" applyFont="1" applyBorder="1" applyAlignment="1">
      <alignment horizontal="center" vertical="center" wrapText="1"/>
    </xf>
    <xf numFmtId="166" fontId="33" fillId="0" borderId="104" xfId="3" applyNumberFormat="1" applyFont="1" applyBorder="1" applyAlignment="1">
      <alignment horizontal="center" vertical="center" wrapText="1"/>
    </xf>
    <xf numFmtId="0" fontId="35" fillId="4" borderId="36" xfId="0" applyFont="1" applyFill="1" applyBorder="1" applyAlignment="1">
      <alignment horizontal="right" vertical="center" wrapText="1"/>
    </xf>
    <xf numFmtId="0" fontId="35" fillId="4" borderId="37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164" fontId="26" fillId="2" borderId="7" xfId="1" applyFont="1" applyFill="1" applyBorder="1" applyAlignment="1">
      <alignment horizontal="center" vertical="center" wrapText="1"/>
    </xf>
    <xf numFmtId="164" fontId="26" fillId="2" borderId="8" xfId="1" applyFont="1" applyFill="1" applyBorder="1" applyAlignment="1">
      <alignment horizontal="center" vertical="center" wrapText="1"/>
    </xf>
    <xf numFmtId="164" fontId="26" fillId="2" borderId="9" xfId="1" applyFont="1" applyFill="1" applyBorder="1" applyAlignment="1">
      <alignment horizontal="center" vertical="center" wrapText="1"/>
    </xf>
    <xf numFmtId="164" fontId="26" fillId="2" borderId="10" xfId="1" applyFont="1" applyFill="1" applyBorder="1" applyAlignment="1">
      <alignment horizontal="center" vertical="center"/>
    </xf>
    <xf numFmtId="164" fontId="26" fillId="2" borderId="20" xfId="1" applyFont="1" applyFill="1" applyBorder="1" applyAlignment="1">
      <alignment horizontal="center" vertical="center"/>
    </xf>
    <xf numFmtId="0" fontId="26" fillId="2" borderId="65" xfId="0" applyFont="1" applyFill="1" applyBorder="1" applyAlignment="1">
      <alignment horizontal="center" vertical="center" shrinkToFit="1"/>
    </xf>
    <xf numFmtId="0" fontId="26" fillId="2" borderId="66" xfId="0" applyFont="1" applyFill="1" applyBorder="1" applyAlignment="1">
      <alignment horizontal="center" vertical="center" shrinkToFit="1"/>
    </xf>
    <xf numFmtId="0" fontId="26" fillId="2" borderId="67" xfId="0" applyFont="1" applyFill="1" applyBorder="1" applyAlignment="1">
      <alignment horizontal="center" vertical="center" shrinkToFit="1"/>
    </xf>
    <xf numFmtId="0" fontId="26" fillId="2" borderId="68" xfId="0" applyFont="1" applyFill="1" applyBorder="1" applyAlignment="1">
      <alignment horizontal="center" vertical="center" shrinkToFit="1"/>
    </xf>
    <xf numFmtId="166" fontId="30" fillId="4" borderId="71" xfId="0" quotePrefix="1" applyNumberFormat="1" applyFont="1" applyFill="1" applyBorder="1" applyAlignment="1">
      <alignment horizontal="left" vertical="center" wrapText="1"/>
    </xf>
    <xf numFmtId="0" fontId="30" fillId="4" borderId="72" xfId="0" quotePrefix="1" applyFont="1" applyFill="1" applyBorder="1" applyAlignment="1">
      <alignment horizontal="left" vertical="center" wrapText="1"/>
    </xf>
    <xf numFmtId="40" fontId="44" fillId="0" borderId="71" xfId="1" applyNumberFormat="1" applyFont="1" applyFill="1" applyBorder="1" applyAlignment="1">
      <alignment horizontal="center" vertical="center" shrinkToFit="1"/>
    </xf>
    <xf numFmtId="40" fontId="44" fillId="0" borderId="75" xfId="1" applyNumberFormat="1" applyFont="1" applyFill="1" applyBorder="1" applyAlignment="1">
      <alignment horizontal="center" vertical="center" shrinkToFit="1"/>
    </xf>
    <xf numFmtId="169" fontId="44" fillId="4" borderId="76" xfId="2" applyNumberFormat="1" applyFont="1" applyFill="1" applyBorder="1" applyAlignment="1">
      <alignment horizontal="center" vertical="center" shrinkToFit="1"/>
    </xf>
    <xf numFmtId="169" fontId="44" fillId="4" borderId="72" xfId="2" applyNumberFormat="1" applyFont="1" applyFill="1" applyBorder="1" applyAlignment="1">
      <alignment horizontal="center" vertical="center" shrinkToFit="1"/>
    </xf>
    <xf numFmtId="0" fontId="26" fillId="2" borderId="65" xfId="0" applyFont="1" applyFill="1" applyBorder="1" applyAlignment="1">
      <alignment horizontal="center" vertical="center"/>
    </xf>
    <xf numFmtId="0" fontId="26" fillId="2" borderId="68" xfId="0" applyFont="1" applyFill="1" applyBorder="1" applyAlignment="1">
      <alignment horizontal="center" vertical="center"/>
    </xf>
    <xf numFmtId="0" fontId="26" fillId="2" borderId="99" xfId="0" applyFont="1" applyFill="1" applyBorder="1" applyAlignment="1">
      <alignment horizontal="center" vertical="center"/>
    </xf>
    <xf numFmtId="169" fontId="44" fillId="0" borderId="51" xfId="1" applyNumberFormat="1" applyFont="1" applyFill="1" applyBorder="1" applyAlignment="1">
      <alignment horizontal="center" vertical="center" shrinkToFit="1"/>
    </xf>
    <xf numFmtId="169" fontId="44" fillId="0" borderId="48" xfId="1" applyNumberFormat="1" applyFont="1" applyFill="1" applyBorder="1" applyAlignment="1">
      <alignment horizontal="center" vertical="center" shrinkToFit="1"/>
    </xf>
    <xf numFmtId="40" fontId="44" fillId="0" borderId="46" xfId="1" applyNumberFormat="1" applyFont="1" applyFill="1" applyBorder="1" applyAlignment="1">
      <alignment horizontal="center" vertical="center" shrinkToFit="1"/>
    </xf>
    <xf numFmtId="40" fontId="44" fillId="0" borderId="49" xfId="1" applyNumberFormat="1" applyFont="1" applyFill="1" applyBorder="1" applyAlignment="1">
      <alignment horizontal="center" vertical="center" shrinkToFit="1"/>
    </xf>
    <xf numFmtId="166" fontId="30" fillId="4" borderId="79" xfId="0" quotePrefix="1" applyNumberFormat="1" applyFont="1" applyFill="1" applyBorder="1" applyAlignment="1">
      <alignment horizontal="left" vertical="center" wrapText="1"/>
    </xf>
    <xf numFmtId="0" fontId="30" fillId="4" borderId="80" xfId="0" quotePrefix="1" applyFont="1" applyFill="1" applyBorder="1" applyAlignment="1">
      <alignment horizontal="left" vertical="center" wrapText="1"/>
    </xf>
    <xf numFmtId="40" fontId="44" fillId="0" borderId="79" xfId="1" applyNumberFormat="1" applyFont="1" applyFill="1" applyBorder="1" applyAlignment="1">
      <alignment horizontal="center" vertical="center" shrinkToFit="1"/>
    </xf>
    <xf numFmtId="40" fontId="44" fillId="0" borderId="83" xfId="1" applyNumberFormat="1" applyFont="1" applyFill="1" applyBorder="1" applyAlignment="1">
      <alignment horizontal="center" vertical="center" shrinkToFit="1"/>
    </xf>
    <xf numFmtId="169" fontId="44" fillId="4" borderId="84" xfId="2" applyNumberFormat="1" applyFont="1" applyFill="1" applyBorder="1" applyAlignment="1">
      <alignment horizontal="center" vertical="center" shrinkToFit="1"/>
    </xf>
    <xf numFmtId="169" fontId="44" fillId="4" borderId="80" xfId="2" applyNumberFormat="1" applyFont="1" applyFill="1" applyBorder="1" applyAlignment="1">
      <alignment horizontal="center" vertical="center" shrinkToFit="1"/>
    </xf>
    <xf numFmtId="166" fontId="30" fillId="4" borderId="46" xfId="0" quotePrefix="1" applyNumberFormat="1" applyFont="1" applyFill="1" applyBorder="1" applyAlignment="1">
      <alignment horizontal="left" vertical="center" wrapText="1"/>
    </xf>
    <xf numFmtId="0" fontId="30" fillId="4" borderId="48" xfId="0" quotePrefix="1" applyFont="1" applyFill="1" applyBorder="1" applyAlignment="1">
      <alignment horizontal="left" vertical="center" wrapText="1"/>
    </xf>
    <xf numFmtId="168" fontId="30" fillId="0" borderId="73" xfId="1" applyNumberFormat="1" applyFont="1" applyFill="1" applyBorder="1" applyAlignment="1">
      <alignment horizontal="center" vertical="center" shrinkToFit="1"/>
    </xf>
    <xf numFmtId="168" fontId="30" fillId="0" borderId="94" xfId="1" applyNumberFormat="1" applyFont="1" applyFill="1" applyBorder="1" applyAlignment="1">
      <alignment horizontal="center" vertical="center" shrinkToFit="1"/>
    </xf>
    <xf numFmtId="168" fontId="30" fillId="0" borderId="74" xfId="1" applyNumberFormat="1" applyFont="1" applyFill="1" applyBorder="1" applyAlignment="1">
      <alignment horizontal="center" vertical="center" shrinkToFit="1"/>
    </xf>
    <xf numFmtId="168" fontId="30" fillId="0" borderId="81" xfId="1" applyNumberFormat="1" applyFont="1" applyFill="1" applyBorder="1" applyAlignment="1">
      <alignment horizontal="center" vertical="center" shrinkToFit="1"/>
    </xf>
    <xf numFmtId="168" fontId="30" fillId="0" borderId="0" xfId="1" applyNumberFormat="1" applyFont="1" applyFill="1" applyBorder="1" applyAlignment="1">
      <alignment horizontal="center" vertical="center" shrinkToFit="1"/>
    </xf>
    <xf numFmtId="168" fontId="30" fillId="0" borderId="82" xfId="1" applyNumberFormat="1" applyFont="1" applyFill="1" applyBorder="1" applyAlignment="1">
      <alignment horizontal="center" vertical="center" shrinkToFit="1"/>
    </xf>
    <xf numFmtId="168" fontId="30" fillId="0" borderId="86" xfId="1" applyNumberFormat="1" applyFont="1" applyFill="1" applyBorder="1" applyAlignment="1">
      <alignment horizontal="center" vertical="center" shrinkToFit="1"/>
    </xf>
    <xf numFmtId="168" fontId="30" fillId="0" borderId="56" xfId="1" applyNumberFormat="1" applyFont="1" applyFill="1" applyBorder="1" applyAlignment="1">
      <alignment horizontal="center" vertical="center" shrinkToFit="1"/>
    </xf>
    <xf numFmtId="168" fontId="30" fillId="0" borderId="57" xfId="1" applyNumberFormat="1" applyFont="1" applyFill="1" applyBorder="1" applyAlignment="1">
      <alignment horizontal="center" vertical="center" shrinkToFit="1"/>
    </xf>
    <xf numFmtId="0" fontId="26" fillId="0" borderId="0" xfId="0" applyFont="1" applyAlignment="1">
      <alignment horizontal="left" vertical="center" wrapText="1"/>
    </xf>
    <xf numFmtId="40" fontId="38" fillId="0" borderId="95" xfId="1" applyNumberFormat="1" applyFont="1" applyFill="1" applyBorder="1" applyAlignment="1">
      <alignment horizontal="center" vertical="center"/>
    </xf>
    <xf numFmtId="40" fontId="38" fillId="0" borderId="96" xfId="1" applyNumberFormat="1" applyFont="1" applyFill="1" applyBorder="1" applyAlignment="1">
      <alignment horizontal="center" vertical="center"/>
    </xf>
    <xf numFmtId="2" fontId="35" fillId="4" borderId="79" xfId="0" applyNumberFormat="1" applyFont="1" applyFill="1" applyBorder="1" applyAlignment="1">
      <alignment horizontal="center" vertical="center" wrapText="1"/>
    </xf>
    <xf numFmtId="2" fontId="35" fillId="4" borderId="97" xfId="0" applyNumberFormat="1" applyFont="1" applyFill="1" applyBorder="1" applyAlignment="1">
      <alignment horizontal="center" vertical="center" wrapText="1"/>
    </xf>
    <xf numFmtId="2" fontId="41" fillId="0" borderId="46" xfId="3" applyNumberFormat="1" applyFont="1" applyBorder="1" applyAlignment="1">
      <alignment horizontal="center" vertical="center"/>
    </xf>
    <xf numFmtId="2" fontId="41" fillId="0" borderId="49" xfId="3" applyNumberFormat="1" applyFont="1" applyBorder="1" applyAlignment="1">
      <alignment horizontal="center" vertical="center"/>
    </xf>
    <xf numFmtId="166" fontId="33" fillId="0" borderId="103" xfId="3" quotePrefix="1" applyNumberFormat="1" applyFont="1" applyBorder="1" applyAlignment="1">
      <alignment horizontal="center" vertical="center"/>
    </xf>
    <xf numFmtId="166" fontId="33" fillId="0" borderId="104" xfId="3" quotePrefix="1" applyNumberFormat="1" applyFont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38" fillId="2" borderId="55" xfId="0" applyFont="1" applyFill="1" applyBorder="1" applyAlignment="1">
      <alignment horizontal="center" vertical="center"/>
    </xf>
    <xf numFmtId="0" fontId="38" fillId="2" borderId="56" xfId="0" applyFont="1" applyFill="1" applyBorder="1" applyAlignment="1">
      <alignment horizontal="center" vertical="center"/>
    </xf>
    <xf numFmtId="0" fontId="38" fillId="2" borderId="57" xfId="0" applyFont="1" applyFill="1" applyBorder="1" applyAlignment="1">
      <alignment horizontal="center" vertical="center"/>
    </xf>
    <xf numFmtId="0" fontId="40" fillId="0" borderId="46" xfId="0" applyFont="1" applyBorder="1" applyAlignment="1">
      <alignment horizontal="right" vertical="center"/>
    </xf>
    <xf numFmtId="0" fontId="40" fillId="0" borderId="47" xfId="0" applyFont="1" applyBorder="1" applyAlignment="1">
      <alignment horizontal="right" vertical="center"/>
    </xf>
    <xf numFmtId="0" fontId="40" fillId="0" borderId="48" xfId="0" applyFont="1" applyBorder="1" applyAlignment="1">
      <alignment horizontal="right" vertical="center"/>
    </xf>
    <xf numFmtId="0" fontId="35" fillId="0" borderId="100" xfId="0" applyFont="1" applyBorder="1" applyAlignment="1">
      <alignment horizontal="center" vertical="center" wrapText="1"/>
    </xf>
    <xf numFmtId="0" fontId="35" fillId="0" borderId="101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left" vertical="center" wrapText="1" indent="1"/>
    </xf>
    <xf numFmtId="0" fontId="28" fillId="2" borderId="107" xfId="0" quotePrefix="1" applyFont="1" applyFill="1" applyBorder="1" applyAlignment="1">
      <alignment horizontal="center" vertical="center"/>
    </xf>
    <xf numFmtId="0" fontId="1" fillId="0" borderId="108" xfId="0" applyFont="1" applyBorder="1" applyAlignment="1">
      <alignment horizontal="left" vertical="center" wrapText="1" indent="1"/>
    </xf>
    <xf numFmtId="0" fontId="2" fillId="0" borderId="109" xfId="0" applyFont="1" applyBorder="1" applyAlignment="1">
      <alignment horizontal="left" vertical="center" wrapText="1" indent="1"/>
    </xf>
    <xf numFmtId="0" fontId="3" fillId="0" borderId="109" xfId="0" applyFont="1" applyBorder="1" applyAlignment="1">
      <alignment horizontal="center" vertical="center"/>
    </xf>
    <xf numFmtId="2" fontId="3" fillId="0" borderId="110" xfId="0" applyNumberFormat="1" applyFont="1" applyBorder="1" applyAlignment="1">
      <alignment horizontal="center" vertical="center"/>
    </xf>
    <xf numFmtId="9" fontId="3" fillId="0" borderId="110" xfId="0" applyNumberFormat="1" applyFont="1" applyBorder="1" applyAlignment="1">
      <alignment horizontal="center" vertical="center"/>
    </xf>
    <xf numFmtId="166" fontId="45" fillId="0" borderId="110" xfId="3" applyNumberFormat="1" applyFont="1" applyBorder="1">
      <alignment vertical="center"/>
    </xf>
    <xf numFmtId="166" fontId="45" fillId="0" borderId="109" xfId="3" applyNumberFormat="1" applyFont="1" applyBorder="1">
      <alignment vertical="center"/>
    </xf>
    <xf numFmtId="167" fontId="45" fillId="0" borderId="108" xfId="3" applyNumberFormat="1" applyFont="1" applyBorder="1" applyAlignment="1">
      <alignment horizontal="center" vertical="center" wrapText="1"/>
    </xf>
    <xf numFmtId="9" fontId="45" fillId="0" borderId="109" xfId="2" applyFont="1" applyFill="1" applyBorder="1" applyAlignment="1">
      <alignment vertical="center"/>
    </xf>
    <xf numFmtId="167" fontId="45" fillId="0" borderId="109" xfId="3" applyNumberFormat="1" applyFont="1" applyBorder="1">
      <alignment vertical="center"/>
    </xf>
    <xf numFmtId="167" fontId="45" fillId="0" borderId="109" xfId="3" applyNumberFormat="1" applyFont="1" applyBorder="1" applyAlignment="1">
      <alignment horizontal="center" vertical="center" wrapText="1"/>
    </xf>
    <xf numFmtId="3" fontId="31" fillId="0" borderId="111" xfId="0" quotePrefix="1" applyNumberFormat="1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1" t="s">
        <v>37</v>
      </c>
      <c r="R1" s="301"/>
      <c r="S1" s="301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0" t="s">
        <v>2</v>
      </c>
      <c r="C4" s="252" t="s">
        <v>3</v>
      </c>
      <c r="D4" s="254" t="s">
        <v>4</v>
      </c>
      <c r="E4" s="256" t="s">
        <v>5</v>
      </c>
      <c r="F4" s="258" t="s">
        <v>6</v>
      </c>
      <c r="G4" s="263" t="s">
        <v>7</v>
      </c>
      <c r="H4" s="264"/>
      <c r="I4" s="264"/>
      <c r="J4" s="265"/>
      <c r="K4" s="263" t="s">
        <v>8</v>
      </c>
      <c r="L4" s="264"/>
      <c r="M4" s="264"/>
      <c r="N4" s="265"/>
      <c r="O4" s="263" t="s">
        <v>9</v>
      </c>
      <c r="P4" s="264"/>
      <c r="Q4" s="264"/>
      <c r="R4" s="265"/>
      <c r="S4" s="266" t="s">
        <v>10</v>
      </c>
      <c r="T4" s="17"/>
    </row>
    <row r="5" spans="1:24" ht="33.75" customHeight="1" thickBot="1">
      <c r="B5" s="251"/>
      <c r="C5" s="253"/>
      <c r="D5" s="255"/>
      <c r="E5" s="257"/>
      <c r="F5" s="259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67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68"/>
      <c r="J6" s="29"/>
      <c r="K6" s="30"/>
      <c r="L6" s="28"/>
      <c r="M6" s="268"/>
      <c r="N6" s="29"/>
      <c r="O6" s="27"/>
      <c r="P6" s="28"/>
      <c r="Q6" s="268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69"/>
      <c r="J7" s="39"/>
      <c r="K7" s="40"/>
      <c r="L7" s="38"/>
      <c r="M7" s="269"/>
      <c r="N7" s="39"/>
      <c r="O7" s="37"/>
      <c r="P7" s="38"/>
      <c r="Q7" s="269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0"/>
      <c r="J8" s="48"/>
      <c r="K8" s="49"/>
      <c r="L8" s="47"/>
      <c r="M8" s="270"/>
      <c r="N8" s="48"/>
      <c r="O8" s="46"/>
      <c r="P8" s="47"/>
      <c r="Q8" s="270"/>
      <c r="R8" s="48"/>
      <c r="S8" s="50"/>
      <c r="T8" s="32"/>
    </row>
    <row r="9" spans="1:24" s="7" customFormat="1" ht="30" customHeight="1">
      <c r="A9" s="8"/>
      <c r="B9" s="51"/>
      <c r="C9" s="271" t="s">
        <v>21</v>
      </c>
      <c r="D9" s="272"/>
      <c r="E9" s="272"/>
      <c r="F9" s="272"/>
      <c r="G9" s="273"/>
      <c r="H9" s="274"/>
      <c r="I9" s="274"/>
      <c r="J9" s="275"/>
      <c r="K9" s="273"/>
      <c r="L9" s="274"/>
      <c r="M9" s="274"/>
      <c r="N9" s="275"/>
      <c r="O9" s="273"/>
      <c r="P9" s="274"/>
      <c r="Q9" s="274"/>
      <c r="R9" s="275"/>
      <c r="S9" s="52"/>
      <c r="T9" s="32"/>
    </row>
    <row r="10" spans="1:24" s="7" customFormat="1" ht="30" customHeight="1">
      <c r="A10" s="8"/>
      <c r="B10" s="53"/>
      <c r="C10" s="54"/>
      <c r="D10" s="276" t="s">
        <v>22</v>
      </c>
      <c r="E10" s="276"/>
      <c r="F10" s="277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0" t="s">
        <v>23</v>
      </c>
      <c r="D11" s="261"/>
      <c r="E11" s="261"/>
      <c r="F11" s="262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78" t="s">
        <v>24</v>
      </c>
      <c r="C12" s="279"/>
      <c r="D12" s="279"/>
      <c r="E12" s="279"/>
      <c r="F12" s="280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87" t="s">
        <v>27</v>
      </c>
      <c r="D15" s="288"/>
      <c r="E15" s="281" t="s">
        <v>28</v>
      </c>
      <c r="F15" s="282"/>
      <c r="G15" s="283" t="s">
        <v>29</v>
      </c>
      <c r="H15" s="284"/>
      <c r="I15" s="285" t="s">
        <v>30</v>
      </c>
      <c r="J15" s="286"/>
      <c r="K15" s="283" t="s">
        <v>31</v>
      </c>
      <c r="L15" s="284"/>
      <c r="M15" s="285" t="s">
        <v>32</v>
      </c>
      <c r="N15" s="286"/>
      <c r="O15" s="283" t="s">
        <v>31</v>
      </c>
      <c r="P15" s="284"/>
      <c r="Q15" s="285" t="s">
        <v>32</v>
      </c>
      <c r="R15" s="286"/>
      <c r="S15" s="89" t="s">
        <v>33</v>
      </c>
      <c r="T15" s="90"/>
    </row>
    <row r="16" spans="1:24" s="79" customFormat="1" ht="25.15" customHeight="1" thickTop="1">
      <c r="B16" s="91"/>
      <c r="C16" s="289"/>
      <c r="D16" s="290"/>
      <c r="E16" s="291"/>
      <c r="F16" s="292"/>
      <c r="G16" s="297"/>
      <c r="H16" s="298"/>
      <c r="I16" s="299"/>
      <c r="J16" s="300"/>
      <c r="K16" s="297"/>
      <c r="L16" s="298"/>
      <c r="M16" s="299"/>
      <c r="N16" s="300"/>
      <c r="O16" s="297"/>
      <c r="P16" s="298"/>
      <c r="Q16" s="299"/>
      <c r="R16" s="300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0"/>
      <c r="D17" s="311"/>
      <c r="E17" s="293"/>
      <c r="F17" s="294"/>
      <c r="G17" s="312"/>
      <c r="H17" s="313"/>
      <c r="I17" s="302"/>
      <c r="J17" s="303"/>
      <c r="K17" s="312"/>
      <c r="L17" s="313"/>
      <c r="M17" s="302"/>
      <c r="N17" s="303"/>
      <c r="O17" s="312"/>
      <c r="P17" s="313"/>
      <c r="Q17" s="302"/>
      <c r="R17" s="303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4"/>
      <c r="D18" s="305"/>
      <c r="E18" s="295"/>
      <c r="F18" s="296"/>
      <c r="G18" s="306"/>
      <c r="H18" s="307"/>
      <c r="I18" s="308"/>
      <c r="J18" s="309"/>
      <c r="K18" s="306"/>
      <c r="L18" s="307"/>
      <c r="M18" s="308"/>
      <c r="N18" s="309"/>
      <c r="O18" s="306"/>
      <c r="P18" s="307"/>
      <c r="Q18" s="308"/>
      <c r="R18" s="309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6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68"/>
  <sheetViews>
    <sheetView showGridLines="0" tabSelected="1" topLeftCell="A31" zoomScaleNormal="100" zoomScaleSheetLayoutView="110" workbookViewId="0">
      <selection activeCell="F39" sqref="F39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5.85546875" style="139" customWidth="1"/>
    <col min="4" max="4" width="31.285156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7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7" customWidth="1"/>
    <col min="18" max="18" width="12.28515625" style="227" bestFit="1" customWidth="1"/>
    <col min="19" max="19" width="13.85546875" style="227" bestFit="1" customWidth="1"/>
    <col min="20" max="20" width="9.7109375" style="227" customWidth="1"/>
    <col min="21" max="21" width="8.85546875" style="227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8">
        <v>46319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1" t="s">
        <v>43</v>
      </c>
      <c r="B3" s="371"/>
      <c r="C3" s="371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2" t="s">
        <v>2</v>
      </c>
      <c r="C4" s="324" t="s">
        <v>3</v>
      </c>
      <c r="D4" s="326" t="s">
        <v>4</v>
      </c>
      <c r="E4" s="328" t="s">
        <v>5</v>
      </c>
      <c r="F4" s="330" t="s">
        <v>41</v>
      </c>
      <c r="G4" s="380" t="s">
        <v>57</v>
      </c>
      <c r="H4" s="381"/>
      <c r="I4" s="382"/>
      <c r="J4" s="332" t="s">
        <v>58</v>
      </c>
      <c r="K4" s="333"/>
      <c r="L4" s="333"/>
      <c r="M4" s="334"/>
      <c r="N4" s="332" t="s">
        <v>59</v>
      </c>
      <c r="O4" s="333"/>
      <c r="P4" s="333"/>
      <c r="Q4" s="334"/>
      <c r="R4" s="332" t="s">
        <v>60</v>
      </c>
      <c r="S4" s="333"/>
      <c r="T4" s="333"/>
      <c r="U4" s="334"/>
      <c r="V4" s="335" t="s">
        <v>42</v>
      </c>
      <c r="W4" s="144"/>
    </row>
    <row r="5" spans="1:23" ht="27" customHeight="1" thickBot="1">
      <c r="B5" s="323"/>
      <c r="C5" s="325"/>
      <c r="D5" s="327"/>
      <c r="E5" s="329"/>
      <c r="F5" s="331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36"/>
      <c r="W5" s="144"/>
    </row>
    <row r="6" spans="1:23" s="150" customFormat="1" ht="33" customHeight="1" thickTop="1">
      <c r="B6" s="151">
        <v>1</v>
      </c>
      <c r="C6" s="247" t="s">
        <v>62</v>
      </c>
      <c r="D6" s="248" t="s">
        <v>90</v>
      </c>
      <c r="E6" s="229" t="s">
        <v>125</v>
      </c>
      <c r="F6" s="229">
        <v>50</v>
      </c>
      <c r="G6" s="230" t="s">
        <v>126</v>
      </c>
      <c r="H6" s="230" t="s">
        <v>126</v>
      </c>
      <c r="I6" s="241">
        <v>1</v>
      </c>
      <c r="J6" s="231">
        <v>800</v>
      </c>
      <c r="K6" s="232">
        <f>J6*F6</f>
        <v>40000</v>
      </c>
      <c r="L6" s="244"/>
      <c r="M6" s="233">
        <v>1</v>
      </c>
      <c r="N6" s="231">
        <v>1400</v>
      </c>
      <c r="O6" s="234">
        <f>N6*F6</f>
        <v>70000</v>
      </c>
      <c r="P6" s="244"/>
      <c r="Q6" s="233">
        <f>O6/K6</f>
        <v>1.75</v>
      </c>
      <c r="R6" s="231">
        <v>1350</v>
      </c>
      <c r="S6" s="235">
        <f>R6*F6</f>
        <v>67500</v>
      </c>
      <c r="T6" s="244"/>
      <c r="U6" s="233">
        <f>S6/K6</f>
        <v>1.6875</v>
      </c>
      <c r="V6" s="152"/>
      <c r="W6" s="153"/>
    </row>
    <row r="7" spans="1:23" s="150" customFormat="1" ht="15.75" customHeight="1">
      <c r="B7" s="151">
        <v>2</v>
      </c>
      <c r="C7" s="247" t="s">
        <v>63</v>
      </c>
      <c r="D7" s="249" t="s">
        <v>61</v>
      </c>
      <c r="E7" s="229" t="s">
        <v>125</v>
      </c>
      <c r="F7" s="229">
        <v>20</v>
      </c>
      <c r="G7" s="230" t="s">
        <v>126</v>
      </c>
      <c r="H7" s="230" t="s">
        <v>126</v>
      </c>
      <c r="I7" s="241">
        <v>1</v>
      </c>
      <c r="J7" s="231">
        <v>77</v>
      </c>
      <c r="K7" s="232">
        <f>J7*F7</f>
        <v>1540</v>
      </c>
      <c r="L7" s="245"/>
      <c r="M7" s="236">
        <v>1</v>
      </c>
      <c r="N7" s="231">
        <v>112</v>
      </c>
      <c r="O7" s="234">
        <f>N7*F7</f>
        <v>2240</v>
      </c>
      <c r="P7" s="246"/>
      <c r="Q7" s="236">
        <f>O7/K7</f>
        <v>1.4545454545454546</v>
      </c>
      <c r="R7" s="231">
        <v>107</v>
      </c>
      <c r="S7" s="234">
        <f>R7*F7</f>
        <v>2140</v>
      </c>
      <c r="T7" s="246"/>
      <c r="U7" s="236">
        <f>S7/K7</f>
        <v>1.3896103896103895</v>
      </c>
      <c r="V7" s="154"/>
      <c r="W7" s="153"/>
    </row>
    <row r="8" spans="1:23" s="150" customFormat="1" ht="18" customHeight="1">
      <c r="B8" s="151">
        <v>3</v>
      </c>
      <c r="C8" s="247" t="s">
        <v>63</v>
      </c>
      <c r="D8" s="249" t="s">
        <v>91</v>
      </c>
      <c r="E8" s="229" t="s">
        <v>125</v>
      </c>
      <c r="F8" s="229">
        <v>40</v>
      </c>
      <c r="G8" s="230" t="s">
        <v>126</v>
      </c>
      <c r="H8" s="230" t="s">
        <v>126</v>
      </c>
      <c r="I8" s="241">
        <v>1</v>
      </c>
      <c r="J8" s="231">
        <v>105</v>
      </c>
      <c r="K8" s="232">
        <f t="shared" ref="K8:K45" si="0">J8*F8</f>
        <v>4200</v>
      </c>
      <c r="L8" s="245"/>
      <c r="M8" s="236">
        <v>1</v>
      </c>
      <c r="N8" s="231">
        <v>110</v>
      </c>
      <c r="O8" s="234">
        <f t="shared" ref="O8:O45" si="1">N8*F8</f>
        <v>4400</v>
      </c>
      <c r="P8" s="246"/>
      <c r="Q8" s="236">
        <f t="shared" ref="Q8:Q45" si="2">O8/K8</f>
        <v>1.0476190476190477</v>
      </c>
      <c r="R8" s="231">
        <v>235</v>
      </c>
      <c r="S8" s="234">
        <f t="shared" ref="S8:S45" si="3">R8*F8</f>
        <v>9400</v>
      </c>
      <c r="T8" s="246"/>
      <c r="U8" s="236">
        <f t="shared" ref="U8:U45" si="4">S8/K8</f>
        <v>2.2380952380952381</v>
      </c>
      <c r="V8" s="154"/>
      <c r="W8" s="153"/>
    </row>
    <row r="9" spans="1:23" s="150" customFormat="1" ht="26.25" customHeight="1">
      <c r="B9" s="151">
        <v>4</v>
      </c>
      <c r="C9" s="247" t="s">
        <v>64</v>
      </c>
      <c r="D9" s="249" t="s">
        <v>92</v>
      </c>
      <c r="E9" s="229" t="s">
        <v>125</v>
      </c>
      <c r="F9" s="229">
        <v>100</v>
      </c>
      <c r="G9" s="230" t="s">
        <v>126</v>
      </c>
      <c r="H9" s="230" t="s">
        <v>126</v>
      </c>
      <c r="I9" s="241">
        <v>1</v>
      </c>
      <c r="J9" s="231">
        <v>65</v>
      </c>
      <c r="K9" s="232">
        <f t="shared" si="0"/>
        <v>6500</v>
      </c>
      <c r="L9" s="245"/>
      <c r="M9" s="236">
        <v>1</v>
      </c>
      <c r="N9" s="231">
        <v>100</v>
      </c>
      <c r="O9" s="234">
        <f t="shared" si="1"/>
        <v>10000</v>
      </c>
      <c r="P9" s="246"/>
      <c r="Q9" s="236">
        <f t="shared" si="2"/>
        <v>1.5384615384615385</v>
      </c>
      <c r="R9" s="231">
        <v>70</v>
      </c>
      <c r="S9" s="234">
        <f t="shared" si="3"/>
        <v>7000</v>
      </c>
      <c r="T9" s="246"/>
      <c r="U9" s="236">
        <f t="shared" si="4"/>
        <v>1.0769230769230769</v>
      </c>
      <c r="V9" s="154"/>
      <c r="W9" s="153"/>
    </row>
    <row r="10" spans="1:23" s="150" customFormat="1" ht="20.100000000000001" customHeight="1">
      <c r="B10" s="151">
        <v>5</v>
      </c>
      <c r="C10" s="247" t="s">
        <v>65</v>
      </c>
      <c r="D10" s="249" t="s">
        <v>93</v>
      </c>
      <c r="E10" s="229" t="s">
        <v>125</v>
      </c>
      <c r="F10" s="229">
        <v>1000</v>
      </c>
      <c r="G10" s="230">
        <v>20</v>
      </c>
      <c r="H10" s="230">
        <f t="shared" ref="H8:H45" si="5">F10*G10</f>
        <v>20000</v>
      </c>
      <c r="I10" s="241">
        <f t="shared" ref="I8:I45" si="6">H10/K10</f>
        <v>1.3333333333333333</v>
      </c>
      <c r="J10" s="231">
        <v>15</v>
      </c>
      <c r="K10" s="232">
        <f t="shared" si="0"/>
        <v>15000</v>
      </c>
      <c r="L10" s="245"/>
      <c r="M10" s="236">
        <v>1</v>
      </c>
      <c r="N10" s="231">
        <v>8.75</v>
      </c>
      <c r="O10" s="234">
        <f t="shared" si="1"/>
        <v>8750</v>
      </c>
      <c r="P10" s="246"/>
      <c r="Q10" s="236">
        <f t="shared" si="2"/>
        <v>0.58333333333333337</v>
      </c>
      <c r="R10" s="231">
        <v>22</v>
      </c>
      <c r="S10" s="234">
        <f t="shared" si="3"/>
        <v>22000</v>
      </c>
      <c r="T10" s="246"/>
      <c r="U10" s="236">
        <f t="shared" si="4"/>
        <v>1.4666666666666666</v>
      </c>
      <c r="V10" s="154"/>
      <c r="W10" s="153"/>
    </row>
    <row r="11" spans="1:23" s="150" customFormat="1" ht="24.75" customHeight="1">
      <c r="B11" s="151">
        <v>6</v>
      </c>
      <c r="C11" s="391" t="s">
        <v>66</v>
      </c>
      <c r="D11" s="249" t="s">
        <v>94</v>
      </c>
      <c r="E11" s="229" t="s">
        <v>125</v>
      </c>
      <c r="F11" s="229">
        <v>100</v>
      </c>
      <c r="G11" s="230">
        <v>22</v>
      </c>
      <c r="H11" s="230">
        <f t="shared" si="5"/>
        <v>2200</v>
      </c>
      <c r="I11" s="241">
        <f t="shared" si="6"/>
        <v>1.2941176470588236</v>
      </c>
      <c r="J11" s="231">
        <v>17</v>
      </c>
      <c r="K11" s="232">
        <f t="shared" si="0"/>
        <v>1700</v>
      </c>
      <c r="L11" s="245"/>
      <c r="M11" s="236">
        <v>1</v>
      </c>
      <c r="N11" s="231">
        <v>15</v>
      </c>
      <c r="O11" s="234">
        <f t="shared" si="1"/>
        <v>1500</v>
      </c>
      <c r="P11" s="246"/>
      <c r="Q11" s="236">
        <f t="shared" si="2"/>
        <v>0.88235294117647056</v>
      </c>
      <c r="R11" s="231">
        <v>12</v>
      </c>
      <c r="S11" s="234">
        <f t="shared" si="3"/>
        <v>1200</v>
      </c>
      <c r="T11" s="246"/>
      <c r="U11" s="236">
        <f t="shared" si="4"/>
        <v>0.70588235294117652</v>
      </c>
      <c r="V11" s="154"/>
      <c r="W11" s="153"/>
    </row>
    <row r="12" spans="1:23" s="150" customFormat="1" ht="20.100000000000001" customHeight="1">
      <c r="B12" s="151">
        <v>7</v>
      </c>
      <c r="C12" s="391" t="s">
        <v>67</v>
      </c>
      <c r="D12" s="249" t="s">
        <v>95</v>
      </c>
      <c r="E12" s="229" t="s">
        <v>125</v>
      </c>
      <c r="F12" s="229">
        <v>30</v>
      </c>
      <c r="G12" s="230" t="s">
        <v>126</v>
      </c>
      <c r="H12" s="230" t="s">
        <v>126</v>
      </c>
      <c r="I12" s="241">
        <v>1</v>
      </c>
      <c r="J12" s="231">
        <v>24</v>
      </c>
      <c r="K12" s="232">
        <f t="shared" si="0"/>
        <v>720</v>
      </c>
      <c r="L12" s="245"/>
      <c r="M12" s="236">
        <v>1</v>
      </c>
      <c r="N12" s="231">
        <v>20</v>
      </c>
      <c r="O12" s="234">
        <f t="shared" si="1"/>
        <v>600</v>
      </c>
      <c r="P12" s="246"/>
      <c r="Q12" s="236">
        <f t="shared" si="2"/>
        <v>0.83333333333333337</v>
      </c>
      <c r="R12" s="231">
        <v>45</v>
      </c>
      <c r="S12" s="234">
        <f t="shared" si="3"/>
        <v>1350</v>
      </c>
      <c r="T12" s="246"/>
      <c r="U12" s="236">
        <f t="shared" si="4"/>
        <v>1.875</v>
      </c>
      <c r="V12" s="154"/>
      <c r="W12" s="153"/>
    </row>
    <row r="13" spans="1:23" s="150" customFormat="1" ht="20.100000000000001" customHeight="1">
      <c r="B13" s="151">
        <v>8</v>
      </c>
      <c r="C13" s="391" t="s">
        <v>68</v>
      </c>
      <c r="D13" s="249" t="s">
        <v>96</v>
      </c>
      <c r="E13" s="229" t="s">
        <v>125</v>
      </c>
      <c r="F13" s="229">
        <v>40</v>
      </c>
      <c r="G13" s="230">
        <v>38</v>
      </c>
      <c r="H13" s="230">
        <f t="shared" si="5"/>
        <v>1520</v>
      </c>
      <c r="I13" s="241">
        <f t="shared" si="6"/>
        <v>2.5333333333333332</v>
      </c>
      <c r="J13" s="231">
        <v>15</v>
      </c>
      <c r="K13" s="232">
        <f t="shared" si="0"/>
        <v>600</v>
      </c>
      <c r="L13" s="245"/>
      <c r="M13" s="236">
        <v>1</v>
      </c>
      <c r="N13" s="231">
        <v>22</v>
      </c>
      <c r="O13" s="234">
        <f t="shared" si="1"/>
        <v>880</v>
      </c>
      <c r="P13" s="246"/>
      <c r="Q13" s="236">
        <f t="shared" si="2"/>
        <v>1.4666666666666666</v>
      </c>
      <c r="R13" s="231">
        <v>23</v>
      </c>
      <c r="S13" s="234">
        <f t="shared" si="3"/>
        <v>920</v>
      </c>
      <c r="T13" s="246"/>
      <c r="U13" s="236">
        <f t="shared" si="4"/>
        <v>1.5333333333333334</v>
      </c>
      <c r="V13" s="154"/>
      <c r="W13" s="153"/>
    </row>
    <row r="14" spans="1:23" s="150" customFormat="1" ht="20.100000000000001" customHeight="1">
      <c r="B14" s="151">
        <v>9</v>
      </c>
      <c r="C14" s="391" t="s">
        <v>69</v>
      </c>
      <c r="D14" s="249" t="s">
        <v>97</v>
      </c>
      <c r="E14" s="229" t="s">
        <v>125</v>
      </c>
      <c r="F14" s="229">
        <v>50</v>
      </c>
      <c r="G14" s="230" t="s">
        <v>126</v>
      </c>
      <c r="H14" s="230" t="s">
        <v>126</v>
      </c>
      <c r="I14" s="241">
        <v>1</v>
      </c>
      <c r="J14" s="231">
        <v>34</v>
      </c>
      <c r="K14" s="232">
        <f t="shared" si="0"/>
        <v>1700</v>
      </c>
      <c r="L14" s="245"/>
      <c r="M14" s="236">
        <v>1</v>
      </c>
      <c r="N14" s="231">
        <v>50</v>
      </c>
      <c r="O14" s="234">
        <f t="shared" si="1"/>
        <v>2500</v>
      </c>
      <c r="P14" s="246"/>
      <c r="Q14" s="236">
        <f t="shared" si="2"/>
        <v>1.4705882352941178</v>
      </c>
      <c r="R14" s="231">
        <v>40</v>
      </c>
      <c r="S14" s="234">
        <f t="shared" si="3"/>
        <v>2000</v>
      </c>
      <c r="T14" s="246"/>
      <c r="U14" s="236">
        <f t="shared" si="4"/>
        <v>1.1764705882352942</v>
      </c>
      <c r="V14" s="154"/>
      <c r="W14" s="153"/>
    </row>
    <row r="15" spans="1:23" s="150" customFormat="1" ht="18.75" customHeight="1">
      <c r="B15" s="151">
        <v>10</v>
      </c>
      <c r="C15" s="391" t="s">
        <v>70</v>
      </c>
      <c r="D15" s="249" t="s">
        <v>98</v>
      </c>
      <c r="E15" s="229" t="s">
        <v>125</v>
      </c>
      <c r="F15" s="229">
        <v>50</v>
      </c>
      <c r="G15" s="230" t="s">
        <v>126</v>
      </c>
      <c r="H15" s="230" t="s">
        <v>126</v>
      </c>
      <c r="I15" s="241">
        <v>1</v>
      </c>
      <c r="J15" s="231">
        <v>28</v>
      </c>
      <c r="K15" s="232">
        <f t="shared" si="0"/>
        <v>1400</v>
      </c>
      <c r="L15" s="245"/>
      <c r="M15" s="236">
        <v>1</v>
      </c>
      <c r="N15" s="231">
        <v>16</v>
      </c>
      <c r="O15" s="234">
        <f t="shared" si="1"/>
        <v>800</v>
      </c>
      <c r="P15" s="246"/>
      <c r="Q15" s="236">
        <f t="shared" si="2"/>
        <v>0.5714285714285714</v>
      </c>
      <c r="R15" s="231">
        <v>25</v>
      </c>
      <c r="S15" s="234">
        <f t="shared" si="3"/>
        <v>1250</v>
      </c>
      <c r="T15" s="246"/>
      <c r="U15" s="236">
        <f t="shared" si="4"/>
        <v>0.8928571428571429</v>
      </c>
      <c r="V15" s="154"/>
      <c r="W15" s="153"/>
    </row>
    <row r="16" spans="1:23" s="150" customFormat="1" ht="30.75" customHeight="1">
      <c r="B16" s="151">
        <v>11</v>
      </c>
      <c r="C16" s="391" t="s">
        <v>71</v>
      </c>
      <c r="D16" s="249" t="s">
        <v>95</v>
      </c>
      <c r="E16" s="229" t="s">
        <v>125</v>
      </c>
      <c r="F16" s="229">
        <v>50</v>
      </c>
      <c r="G16" s="230">
        <v>18</v>
      </c>
      <c r="H16" s="230">
        <f t="shared" si="5"/>
        <v>900</v>
      </c>
      <c r="I16" s="241">
        <f t="shared" si="6"/>
        <v>1</v>
      </c>
      <c r="J16" s="231">
        <v>18</v>
      </c>
      <c r="K16" s="232">
        <f t="shared" si="0"/>
        <v>900</v>
      </c>
      <c r="L16" s="245"/>
      <c r="M16" s="236">
        <v>1</v>
      </c>
      <c r="N16" s="231">
        <v>15</v>
      </c>
      <c r="O16" s="234">
        <f t="shared" si="1"/>
        <v>750</v>
      </c>
      <c r="P16" s="246"/>
      <c r="Q16" s="236">
        <f t="shared" si="2"/>
        <v>0.83333333333333337</v>
      </c>
      <c r="R16" s="231">
        <v>55</v>
      </c>
      <c r="S16" s="234">
        <f t="shared" si="3"/>
        <v>2750</v>
      </c>
      <c r="T16" s="246"/>
      <c r="U16" s="236">
        <f t="shared" si="4"/>
        <v>3.0555555555555554</v>
      </c>
      <c r="V16" s="154"/>
      <c r="W16" s="153"/>
    </row>
    <row r="17" spans="2:23" s="150" customFormat="1" ht="30" customHeight="1">
      <c r="B17" s="151">
        <v>12</v>
      </c>
      <c r="C17" s="247" t="s">
        <v>71</v>
      </c>
      <c r="D17" s="249" t="s">
        <v>99</v>
      </c>
      <c r="E17" s="229" t="s">
        <v>125</v>
      </c>
      <c r="F17" s="229">
        <v>40</v>
      </c>
      <c r="G17" s="230">
        <v>27</v>
      </c>
      <c r="H17" s="230">
        <f t="shared" si="5"/>
        <v>1080</v>
      </c>
      <c r="I17" s="241">
        <f t="shared" si="6"/>
        <v>1.08</v>
      </c>
      <c r="J17" s="231">
        <v>25</v>
      </c>
      <c r="K17" s="232">
        <f t="shared" si="0"/>
        <v>1000</v>
      </c>
      <c r="L17" s="245"/>
      <c r="M17" s="236">
        <v>1</v>
      </c>
      <c r="N17" s="231">
        <v>35</v>
      </c>
      <c r="O17" s="234">
        <f t="shared" si="1"/>
        <v>1400</v>
      </c>
      <c r="P17" s="246"/>
      <c r="Q17" s="236">
        <f t="shared" si="2"/>
        <v>1.4</v>
      </c>
      <c r="R17" s="231">
        <v>75</v>
      </c>
      <c r="S17" s="234">
        <f t="shared" si="3"/>
        <v>3000</v>
      </c>
      <c r="T17" s="246"/>
      <c r="U17" s="236">
        <f t="shared" si="4"/>
        <v>3</v>
      </c>
      <c r="V17" s="154"/>
      <c r="W17" s="153"/>
    </row>
    <row r="18" spans="2:23" s="150" customFormat="1" ht="20.100000000000001" customHeight="1">
      <c r="B18" s="151">
        <v>13</v>
      </c>
      <c r="C18" s="391" t="s">
        <v>72</v>
      </c>
      <c r="D18" s="249" t="s">
        <v>100</v>
      </c>
      <c r="E18" s="229" t="s">
        <v>125</v>
      </c>
      <c r="F18" s="229">
        <v>200</v>
      </c>
      <c r="G18" s="230">
        <v>2.4</v>
      </c>
      <c r="H18" s="230">
        <f t="shared" si="5"/>
        <v>480</v>
      </c>
      <c r="I18" s="241">
        <f t="shared" si="6"/>
        <v>1.0666666666666667</v>
      </c>
      <c r="J18" s="231">
        <v>2.25</v>
      </c>
      <c r="K18" s="232">
        <f t="shared" si="0"/>
        <v>450</v>
      </c>
      <c r="L18" s="245"/>
      <c r="M18" s="236">
        <v>1</v>
      </c>
      <c r="N18" s="231">
        <v>2</v>
      </c>
      <c r="O18" s="234">
        <f t="shared" si="1"/>
        <v>400</v>
      </c>
      <c r="P18" s="246"/>
      <c r="Q18" s="236">
        <f t="shared" si="2"/>
        <v>0.88888888888888884</v>
      </c>
      <c r="R18" s="231">
        <v>3</v>
      </c>
      <c r="S18" s="234">
        <f t="shared" si="3"/>
        <v>600</v>
      </c>
      <c r="T18" s="246"/>
      <c r="U18" s="236">
        <f t="shared" si="4"/>
        <v>1.3333333333333333</v>
      </c>
      <c r="V18" s="154"/>
      <c r="W18" s="153"/>
    </row>
    <row r="19" spans="2:23" s="150" customFormat="1" ht="20.100000000000001" customHeight="1">
      <c r="B19" s="151">
        <v>14</v>
      </c>
      <c r="C19" s="247" t="s">
        <v>72</v>
      </c>
      <c r="D19" s="249" t="s">
        <v>101</v>
      </c>
      <c r="E19" s="229" t="s">
        <v>125</v>
      </c>
      <c r="F19" s="229">
        <v>150</v>
      </c>
      <c r="G19" s="230">
        <v>2.9</v>
      </c>
      <c r="H19" s="230">
        <f t="shared" si="5"/>
        <v>435</v>
      </c>
      <c r="I19" s="241">
        <f t="shared" si="6"/>
        <v>1.1599999999999999</v>
      </c>
      <c r="J19" s="231">
        <v>2.5</v>
      </c>
      <c r="K19" s="232">
        <f t="shared" si="0"/>
        <v>375</v>
      </c>
      <c r="L19" s="245"/>
      <c r="M19" s="236">
        <v>1</v>
      </c>
      <c r="N19" s="231">
        <v>2.1</v>
      </c>
      <c r="O19" s="234">
        <f t="shared" si="1"/>
        <v>315</v>
      </c>
      <c r="P19" s="246"/>
      <c r="Q19" s="236">
        <f t="shared" si="2"/>
        <v>0.84</v>
      </c>
      <c r="R19" s="231">
        <v>4</v>
      </c>
      <c r="S19" s="234">
        <f t="shared" si="3"/>
        <v>600</v>
      </c>
      <c r="T19" s="246"/>
      <c r="U19" s="236">
        <f t="shared" si="4"/>
        <v>1.6</v>
      </c>
      <c r="V19" s="154"/>
      <c r="W19" s="153"/>
    </row>
    <row r="20" spans="2:23" s="150" customFormat="1" ht="46.5" customHeight="1">
      <c r="B20" s="151">
        <v>15</v>
      </c>
      <c r="C20" s="391" t="s">
        <v>73</v>
      </c>
      <c r="D20" s="249" t="s">
        <v>102</v>
      </c>
      <c r="E20" s="229" t="s">
        <v>125</v>
      </c>
      <c r="F20" s="229">
        <v>20</v>
      </c>
      <c r="G20" s="230" t="s">
        <v>126</v>
      </c>
      <c r="H20" s="230" t="s">
        <v>126</v>
      </c>
      <c r="I20" s="241">
        <v>1</v>
      </c>
      <c r="J20" s="231">
        <v>540</v>
      </c>
      <c r="K20" s="232">
        <f t="shared" si="0"/>
        <v>10800</v>
      </c>
      <c r="L20" s="245"/>
      <c r="M20" s="236">
        <v>1</v>
      </c>
      <c r="N20" s="231">
        <v>650</v>
      </c>
      <c r="O20" s="234">
        <f t="shared" si="1"/>
        <v>13000</v>
      </c>
      <c r="P20" s="246"/>
      <c r="Q20" s="236">
        <f t="shared" si="2"/>
        <v>1.2037037037037037</v>
      </c>
      <c r="R20" s="231">
        <v>730</v>
      </c>
      <c r="S20" s="234">
        <f t="shared" si="3"/>
        <v>14600</v>
      </c>
      <c r="T20" s="246"/>
      <c r="U20" s="236">
        <f t="shared" si="4"/>
        <v>1.3518518518518519</v>
      </c>
      <c r="V20" s="154"/>
      <c r="W20" s="153"/>
    </row>
    <row r="21" spans="2:23" s="150" customFormat="1" ht="20.100000000000001" customHeight="1">
      <c r="B21" s="151">
        <v>16</v>
      </c>
      <c r="C21" s="391" t="s">
        <v>74</v>
      </c>
      <c r="D21" s="249" t="s">
        <v>103</v>
      </c>
      <c r="E21" s="229" t="s">
        <v>125</v>
      </c>
      <c r="F21" s="229">
        <v>20</v>
      </c>
      <c r="G21" s="230" t="s">
        <v>126</v>
      </c>
      <c r="H21" s="230" t="s">
        <v>126</v>
      </c>
      <c r="I21" s="241">
        <v>1</v>
      </c>
      <c r="J21" s="231">
        <v>1610</v>
      </c>
      <c r="K21" s="232">
        <f t="shared" si="0"/>
        <v>32200</v>
      </c>
      <c r="L21" s="245"/>
      <c r="M21" s="236">
        <v>1</v>
      </c>
      <c r="N21" s="231">
        <v>1820</v>
      </c>
      <c r="O21" s="234">
        <f t="shared" si="1"/>
        <v>36400</v>
      </c>
      <c r="P21" s="246"/>
      <c r="Q21" s="236">
        <f t="shared" si="2"/>
        <v>1.1304347826086956</v>
      </c>
      <c r="R21" s="231">
        <v>2350</v>
      </c>
      <c r="S21" s="234">
        <f t="shared" si="3"/>
        <v>47000</v>
      </c>
      <c r="T21" s="246"/>
      <c r="U21" s="236">
        <f t="shared" si="4"/>
        <v>1.4596273291925466</v>
      </c>
      <c r="V21" s="154"/>
      <c r="W21" s="153"/>
    </row>
    <row r="22" spans="2:23" s="150" customFormat="1" ht="33" customHeight="1">
      <c r="B22" s="151">
        <v>17</v>
      </c>
      <c r="C22" s="247" t="s">
        <v>75</v>
      </c>
      <c r="D22" s="249" t="s">
        <v>104</v>
      </c>
      <c r="E22" s="229" t="s">
        <v>125</v>
      </c>
      <c r="F22" s="229">
        <v>20</v>
      </c>
      <c r="G22" s="230" t="s">
        <v>126</v>
      </c>
      <c r="H22" s="230" t="s">
        <v>126</v>
      </c>
      <c r="I22" s="241">
        <v>1</v>
      </c>
      <c r="J22" s="231">
        <v>185</v>
      </c>
      <c r="K22" s="232">
        <f t="shared" si="0"/>
        <v>3700</v>
      </c>
      <c r="L22" s="245"/>
      <c r="M22" s="236">
        <v>1</v>
      </c>
      <c r="N22" s="231">
        <v>650</v>
      </c>
      <c r="O22" s="234">
        <f t="shared" si="1"/>
        <v>13000</v>
      </c>
      <c r="P22" s="246"/>
      <c r="Q22" s="236">
        <f t="shared" si="2"/>
        <v>3.5135135135135136</v>
      </c>
      <c r="R22" s="231">
        <v>730</v>
      </c>
      <c r="S22" s="234">
        <f t="shared" si="3"/>
        <v>14600</v>
      </c>
      <c r="T22" s="246"/>
      <c r="U22" s="236">
        <f t="shared" si="4"/>
        <v>3.9459459459459461</v>
      </c>
      <c r="V22" s="154"/>
      <c r="W22" s="153"/>
    </row>
    <row r="23" spans="2:23" s="150" customFormat="1" ht="30" customHeight="1">
      <c r="B23" s="151">
        <v>18</v>
      </c>
      <c r="C23" s="391" t="s">
        <v>76</v>
      </c>
      <c r="D23" s="249" t="s">
        <v>96</v>
      </c>
      <c r="E23" s="229" t="s">
        <v>125</v>
      </c>
      <c r="F23" s="229">
        <v>30</v>
      </c>
      <c r="G23" s="230">
        <v>38</v>
      </c>
      <c r="H23" s="230">
        <f t="shared" si="5"/>
        <v>1140</v>
      </c>
      <c r="I23" s="241">
        <f t="shared" si="6"/>
        <v>2.5333333333333332</v>
      </c>
      <c r="J23" s="231">
        <v>15</v>
      </c>
      <c r="K23" s="232">
        <f t="shared" si="0"/>
        <v>450</v>
      </c>
      <c r="L23" s="245"/>
      <c r="M23" s="236">
        <v>1</v>
      </c>
      <c r="N23" s="231">
        <v>15</v>
      </c>
      <c r="O23" s="234">
        <f t="shared" si="1"/>
        <v>450</v>
      </c>
      <c r="P23" s="246"/>
      <c r="Q23" s="236">
        <f t="shared" si="2"/>
        <v>1</v>
      </c>
      <c r="R23" s="231">
        <v>25</v>
      </c>
      <c r="S23" s="234">
        <f t="shared" si="3"/>
        <v>750</v>
      </c>
      <c r="T23" s="246"/>
      <c r="U23" s="236">
        <f t="shared" si="4"/>
        <v>1.6666666666666667</v>
      </c>
      <c r="V23" s="154"/>
      <c r="W23" s="153"/>
    </row>
    <row r="24" spans="2:23" s="150" customFormat="1" ht="20.100000000000001" customHeight="1">
      <c r="B24" s="151">
        <v>19</v>
      </c>
      <c r="C24" s="391" t="s">
        <v>77</v>
      </c>
      <c r="D24" s="249" t="s">
        <v>105</v>
      </c>
      <c r="E24" s="229" t="s">
        <v>125</v>
      </c>
      <c r="F24" s="229">
        <v>20</v>
      </c>
      <c r="G24" s="230">
        <v>12</v>
      </c>
      <c r="H24" s="230">
        <f t="shared" si="5"/>
        <v>240</v>
      </c>
      <c r="I24" s="241">
        <f t="shared" si="6"/>
        <v>1</v>
      </c>
      <c r="J24" s="231">
        <v>12</v>
      </c>
      <c r="K24" s="232">
        <f t="shared" si="0"/>
        <v>240</v>
      </c>
      <c r="L24" s="245"/>
      <c r="M24" s="236">
        <v>1</v>
      </c>
      <c r="N24" s="231">
        <v>30</v>
      </c>
      <c r="O24" s="234">
        <f t="shared" si="1"/>
        <v>600</v>
      </c>
      <c r="P24" s="246"/>
      <c r="Q24" s="236">
        <f t="shared" si="2"/>
        <v>2.5</v>
      </c>
      <c r="R24" s="231">
        <v>21</v>
      </c>
      <c r="S24" s="234">
        <f t="shared" si="3"/>
        <v>420</v>
      </c>
      <c r="T24" s="246"/>
      <c r="U24" s="236">
        <f t="shared" si="4"/>
        <v>1.75</v>
      </c>
      <c r="V24" s="154"/>
      <c r="W24" s="153"/>
    </row>
    <row r="25" spans="2:23" s="150" customFormat="1" ht="20.100000000000001" customHeight="1">
      <c r="B25" s="151">
        <v>20</v>
      </c>
      <c r="C25" s="247" t="s">
        <v>77</v>
      </c>
      <c r="D25" s="249" t="s">
        <v>95</v>
      </c>
      <c r="E25" s="229" t="s">
        <v>125</v>
      </c>
      <c r="F25" s="229">
        <v>30</v>
      </c>
      <c r="G25" s="230">
        <v>28</v>
      </c>
      <c r="H25" s="230">
        <f t="shared" si="5"/>
        <v>840</v>
      </c>
      <c r="I25" s="241">
        <f t="shared" si="6"/>
        <v>1.6470588235294117</v>
      </c>
      <c r="J25" s="231">
        <v>17</v>
      </c>
      <c r="K25" s="232">
        <f t="shared" si="0"/>
        <v>510</v>
      </c>
      <c r="L25" s="245"/>
      <c r="M25" s="236">
        <v>1</v>
      </c>
      <c r="N25" s="231">
        <v>25</v>
      </c>
      <c r="O25" s="234">
        <f t="shared" si="1"/>
        <v>750</v>
      </c>
      <c r="P25" s="246"/>
      <c r="Q25" s="236">
        <f t="shared" si="2"/>
        <v>1.4705882352941178</v>
      </c>
      <c r="R25" s="231">
        <v>52</v>
      </c>
      <c r="S25" s="234">
        <f t="shared" si="3"/>
        <v>1560</v>
      </c>
      <c r="T25" s="246"/>
      <c r="U25" s="236">
        <f t="shared" si="4"/>
        <v>3.0588235294117645</v>
      </c>
      <c r="V25" s="154"/>
      <c r="W25" s="153"/>
    </row>
    <row r="26" spans="2:23" s="150" customFormat="1" ht="20.100000000000001" customHeight="1">
      <c r="B26" s="151">
        <v>21</v>
      </c>
      <c r="C26" s="247" t="s">
        <v>78</v>
      </c>
      <c r="D26" s="249" t="s">
        <v>106</v>
      </c>
      <c r="E26" s="229" t="s">
        <v>125</v>
      </c>
      <c r="F26" s="229">
        <v>20</v>
      </c>
      <c r="G26" s="230">
        <v>20</v>
      </c>
      <c r="H26" s="230">
        <f t="shared" si="5"/>
        <v>400</v>
      </c>
      <c r="I26" s="241">
        <f t="shared" si="6"/>
        <v>1</v>
      </c>
      <c r="J26" s="231">
        <v>20</v>
      </c>
      <c r="K26" s="232">
        <f t="shared" si="0"/>
        <v>400</v>
      </c>
      <c r="L26" s="245"/>
      <c r="M26" s="236">
        <v>1</v>
      </c>
      <c r="N26" s="231">
        <v>25</v>
      </c>
      <c r="O26" s="234">
        <f t="shared" si="1"/>
        <v>500</v>
      </c>
      <c r="P26" s="246"/>
      <c r="Q26" s="236">
        <f t="shared" si="2"/>
        <v>1.25</v>
      </c>
      <c r="R26" s="231">
        <v>39</v>
      </c>
      <c r="S26" s="234">
        <f t="shared" si="3"/>
        <v>780</v>
      </c>
      <c r="T26" s="246"/>
      <c r="U26" s="236">
        <f t="shared" si="4"/>
        <v>1.95</v>
      </c>
      <c r="V26" s="154"/>
      <c r="W26" s="153"/>
    </row>
    <row r="27" spans="2:23" s="150" customFormat="1" ht="20.100000000000001" customHeight="1">
      <c r="B27" s="151">
        <v>22</v>
      </c>
      <c r="C27" s="391" t="s">
        <v>79</v>
      </c>
      <c r="D27" s="249" t="s">
        <v>107</v>
      </c>
      <c r="E27" s="229" t="s">
        <v>125</v>
      </c>
      <c r="F27" s="229">
        <v>50</v>
      </c>
      <c r="G27" s="230">
        <v>10</v>
      </c>
      <c r="H27" s="230">
        <f t="shared" si="5"/>
        <v>500</v>
      </c>
      <c r="I27" s="241">
        <f t="shared" si="6"/>
        <v>1.4285714285714286</v>
      </c>
      <c r="J27" s="231">
        <v>7</v>
      </c>
      <c r="K27" s="232">
        <f t="shared" si="0"/>
        <v>350</v>
      </c>
      <c r="L27" s="245"/>
      <c r="M27" s="236">
        <v>1</v>
      </c>
      <c r="N27" s="231">
        <v>7</v>
      </c>
      <c r="O27" s="234">
        <f t="shared" si="1"/>
        <v>350</v>
      </c>
      <c r="P27" s="246"/>
      <c r="Q27" s="236">
        <f t="shared" si="2"/>
        <v>1</v>
      </c>
      <c r="R27" s="231">
        <v>14</v>
      </c>
      <c r="S27" s="234">
        <f t="shared" si="3"/>
        <v>700</v>
      </c>
      <c r="T27" s="246"/>
      <c r="U27" s="236">
        <f t="shared" si="4"/>
        <v>2</v>
      </c>
      <c r="V27" s="154"/>
      <c r="W27" s="153"/>
    </row>
    <row r="28" spans="2:23" s="150" customFormat="1" ht="45.75" customHeight="1">
      <c r="B28" s="151">
        <v>23</v>
      </c>
      <c r="C28" s="391" t="s">
        <v>80</v>
      </c>
      <c r="D28" s="249" t="s">
        <v>108</v>
      </c>
      <c r="E28" s="229" t="s">
        <v>125</v>
      </c>
      <c r="F28" s="229">
        <v>1</v>
      </c>
      <c r="G28" s="230">
        <v>85</v>
      </c>
      <c r="H28" s="230">
        <f t="shared" si="5"/>
        <v>85</v>
      </c>
      <c r="I28" s="241">
        <f t="shared" si="6"/>
        <v>2.8333333333333335</v>
      </c>
      <c r="J28" s="231">
        <v>30</v>
      </c>
      <c r="K28" s="232">
        <f t="shared" si="0"/>
        <v>30</v>
      </c>
      <c r="L28" s="245"/>
      <c r="M28" s="236">
        <v>1</v>
      </c>
      <c r="N28" s="231">
        <v>35</v>
      </c>
      <c r="O28" s="234">
        <f t="shared" si="1"/>
        <v>35</v>
      </c>
      <c r="P28" s="246"/>
      <c r="Q28" s="236">
        <f t="shared" si="2"/>
        <v>1.1666666666666667</v>
      </c>
      <c r="R28" s="231">
        <v>23</v>
      </c>
      <c r="S28" s="234">
        <f t="shared" si="3"/>
        <v>23</v>
      </c>
      <c r="T28" s="246"/>
      <c r="U28" s="236">
        <f t="shared" si="4"/>
        <v>0.76666666666666672</v>
      </c>
      <c r="V28" s="154"/>
      <c r="W28" s="153"/>
    </row>
    <row r="29" spans="2:23" s="150" customFormat="1" ht="20.100000000000001" customHeight="1">
      <c r="B29" s="151">
        <v>24</v>
      </c>
      <c r="C29" s="391" t="s">
        <v>81</v>
      </c>
      <c r="D29" s="249" t="s">
        <v>95</v>
      </c>
      <c r="E29" s="229" t="s">
        <v>125</v>
      </c>
      <c r="F29" s="229">
        <v>100</v>
      </c>
      <c r="G29" s="230">
        <v>12</v>
      </c>
      <c r="H29" s="230">
        <f t="shared" si="5"/>
        <v>1200</v>
      </c>
      <c r="I29" s="241">
        <f t="shared" si="6"/>
        <v>1</v>
      </c>
      <c r="J29" s="231">
        <v>12</v>
      </c>
      <c r="K29" s="232">
        <f t="shared" si="0"/>
        <v>1200</v>
      </c>
      <c r="L29" s="245"/>
      <c r="M29" s="236">
        <v>1</v>
      </c>
      <c r="N29" s="231">
        <v>15</v>
      </c>
      <c r="O29" s="234">
        <f t="shared" si="1"/>
        <v>1500</v>
      </c>
      <c r="P29" s="246"/>
      <c r="Q29" s="236">
        <f t="shared" si="2"/>
        <v>1.25</v>
      </c>
      <c r="R29" s="231">
        <v>31</v>
      </c>
      <c r="S29" s="234">
        <f t="shared" si="3"/>
        <v>3100</v>
      </c>
      <c r="T29" s="246"/>
      <c r="U29" s="236">
        <f t="shared" si="4"/>
        <v>2.5833333333333335</v>
      </c>
      <c r="V29" s="154"/>
      <c r="W29" s="153"/>
    </row>
    <row r="30" spans="2:23" s="150" customFormat="1" ht="20.100000000000001" customHeight="1">
      <c r="B30" s="151">
        <v>25</v>
      </c>
      <c r="C30" s="391" t="s">
        <v>82</v>
      </c>
      <c r="D30" s="249" t="s">
        <v>109</v>
      </c>
      <c r="E30" s="229" t="s">
        <v>125</v>
      </c>
      <c r="F30" s="229">
        <v>1000</v>
      </c>
      <c r="G30" s="230">
        <v>1</v>
      </c>
      <c r="H30" s="230">
        <f t="shared" si="5"/>
        <v>1000</v>
      </c>
      <c r="I30" s="241">
        <f t="shared" si="6"/>
        <v>1.25</v>
      </c>
      <c r="J30" s="231">
        <v>0.8</v>
      </c>
      <c r="K30" s="232">
        <f t="shared" si="0"/>
        <v>800</v>
      </c>
      <c r="L30" s="245"/>
      <c r="M30" s="236">
        <v>1</v>
      </c>
      <c r="N30" s="231">
        <v>3.5</v>
      </c>
      <c r="O30" s="234">
        <f t="shared" si="1"/>
        <v>3500</v>
      </c>
      <c r="P30" s="246"/>
      <c r="Q30" s="236">
        <f t="shared" si="2"/>
        <v>4.375</v>
      </c>
      <c r="R30" s="231">
        <v>2</v>
      </c>
      <c r="S30" s="234">
        <f t="shared" si="3"/>
        <v>2000</v>
      </c>
      <c r="T30" s="246"/>
      <c r="U30" s="236">
        <f t="shared" si="4"/>
        <v>2.5</v>
      </c>
      <c r="V30" s="154"/>
      <c r="W30" s="153"/>
    </row>
    <row r="31" spans="2:23" s="150" customFormat="1" ht="20.100000000000001" customHeight="1">
      <c r="B31" s="151">
        <v>26</v>
      </c>
      <c r="C31" s="391" t="s">
        <v>83</v>
      </c>
      <c r="D31" s="249" t="s">
        <v>110</v>
      </c>
      <c r="E31" s="229" t="s">
        <v>125</v>
      </c>
      <c r="F31" s="229">
        <v>30</v>
      </c>
      <c r="G31" s="230" t="s">
        <v>126</v>
      </c>
      <c r="H31" s="230" t="s">
        <v>126</v>
      </c>
      <c r="I31" s="241">
        <v>1</v>
      </c>
      <c r="J31" s="231">
        <v>1.5</v>
      </c>
      <c r="K31" s="232">
        <f t="shared" si="0"/>
        <v>45</v>
      </c>
      <c r="L31" s="245"/>
      <c r="M31" s="236">
        <v>1</v>
      </c>
      <c r="N31" s="231">
        <v>4</v>
      </c>
      <c r="O31" s="234">
        <f t="shared" si="1"/>
        <v>120</v>
      </c>
      <c r="P31" s="246"/>
      <c r="Q31" s="236">
        <f t="shared" si="2"/>
        <v>2.6666666666666665</v>
      </c>
      <c r="R31" s="231">
        <v>6</v>
      </c>
      <c r="S31" s="234">
        <f t="shared" si="3"/>
        <v>180</v>
      </c>
      <c r="T31" s="246"/>
      <c r="U31" s="236">
        <f t="shared" si="4"/>
        <v>4</v>
      </c>
      <c r="V31" s="154"/>
      <c r="W31" s="153"/>
    </row>
    <row r="32" spans="2:23" s="150" customFormat="1" ht="20.100000000000001" customHeight="1">
      <c r="B32" s="151">
        <v>27</v>
      </c>
      <c r="C32" s="247" t="s">
        <v>83</v>
      </c>
      <c r="D32" s="249" t="s">
        <v>111</v>
      </c>
      <c r="E32" s="229" t="s">
        <v>125</v>
      </c>
      <c r="F32" s="229">
        <v>30</v>
      </c>
      <c r="G32" s="230" t="s">
        <v>126</v>
      </c>
      <c r="H32" s="230" t="s">
        <v>126</v>
      </c>
      <c r="I32" s="241">
        <v>1</v>
      </c>
      <c r="J32" s="231">
        <v>2.2000000000000002</v>
      </c>
      <c r="K32" s="232">
        <f t="shared" si="0"/>
        <v>66</v>
      </c>
      <c r="L32" s="245"/>
      <c r="M32" s="236">
        <v>1</v>
      </c>
      <c r="N32" s="231">
        <v>4.2</v>
      </c>
      <c r="O32" s="234">
        <f t="shared" si="1"/>
        <v>126</v>
      </c>
      <c r="P32" s="246"/>
      <c r="Q32" s="236">
        <f t="shared" si="2"/>
        <v>1.9090909090909092</v>
      </c>
      <c r="R32" s="231">
        <v>6</v>
      </c>
      <c r="S32" s="234">
        <f t="shared" si="3"/>
        <v>180</v>
      </c>
      <c r="T32" s="246"/>
      <c r="U32" s="236">
        <f t="shared" si="4"/>
        <v>2.7272727272727271</v>
      </c>
      <c r="V32" s="154"/>
      <c r="W32" s="153"/>
    </row>
    <row r="33" spans="1:23" s="150" customFormat="1" ht="20.100000000000001" customHeight="1">
      <c r="B33" s="151">
        <v>28</v>
      </c>
      <c r="C33" s="247" t="s">
        <v>83</v>
      </c>
      <c r="D33" s="249" t="s">
        <v>112</v>
      </c>
      <c r="E33" s="229" t="s">
        <v>125</v>
      </c>
      <c r="F33" s="229">
        <v>30</v>
      </c>
      <c r="G33" s="230" t="s">
        <v>126</v>
      </c>
      <c r="H33" s="230" t="s">
        <v>126</v>
      </c>
      <c r="I33" s="241">
        <v>1</v>
      </c>
      <c r="J33" s="231">
        <v>5</v>
      </c>
      <c r="K33" s="232">
        <f t="shared" si="0"/>
        <v>150</v>
      </c>
      <c r="L33" s="245"/>
      <c r="M33" s="236">
        <v>1</v>
      </c>
      <c r="N33" s="231">
        <v>5</v>
      </c>
      <c r="O33" s="234">
        <f t="shared" si="1"/>
        <v>150</v>
      </c>
      <c r="P33" s="246"/>
      <c r="Q33" s="236">
        <f t="shared" si="2"/>
        <v>1</v>
      </c>
      <c r="R33" s="231">
        <v>12</v>
      </c>
      <c r="S33" s="234">
        <f t="shared" si="3"/>
        <v>360</v>
      </c>
      <c r="T33" s="246"/>
      <c r="U33" s="236">
        <f t="shared" si="4"/>
        <v>2.4</v>
      </c>
      <c r="V33" s="154"/>
      <c r="W33" s="153"/>
    </row>
    <row r="34" spans="1:23" s="150" customFormat="1" ht="20.100000000000001" customHeight="1">
      <c r="B34" s="151">
        <v>29</v>
      </c>
      <c r="C34" s="391" t="s">
        <v>84</v>
      </c>
      <c r="D34" s="249" t="s">
        <v>113</v>
      </c>
      <c r="E34" s="229" t="s">
        <v>125</v>
      </c>
      <c r="F34" s="229">
        <v>10</v>
      </c>
      <c r="G34" s="230" t="s">
        <v>126</v>
      </c>
      <c r="H34" s="230" t="s">
        <v>126</v>
      </c>
      <c r="I34" s="241">
        <v>1</v>
      </c>
      <c r="J34" s="231">
        <v>4</v>
      </c>
      <c r="K34" s="232">
        <f t="shared" si="0"/>
        <v>40</v>
      </c>
      <c r="L34" s="245"/>
      <c r="M34" s="236">
        <v>1</v>
      </c>
      <c r="N34" s="231">
        <v>6</v>
      </c>
      <c r="O34" s="234">
        <f t="shared" si="1"/>
        <v>60</v>
      </c>
      <c r="P34" s="246"/>
      <c r="Q34" s="236">
        <f t="shared" si="2"/>
        <v>1.5</v>
      </c>
      <c r="R34" s="231">
        <v>7</v>
      </c>
      <c r="S34" s="234">
        <f t="shared" si="3"/>
        <v>70</v>
      </c>
      <c r="T34" s="246"/>
      <c r="U34" s="236">
        <f t="shared" si="4"/>
        <v>1.75</v>
      </c>
      <c r="V34" s="154"/>
      <c r="W34" s="153"/>
    </row>
    <row r="35" spans="1:23" s="150" customFormat="1" ht="20.100000000000001" customHeight="1">
      <c r="B35" s="151">
        <v>30</v>
      </c>
      <c r="C35" s="247" t="s">
        <v>84</v>
      </c>
      <c r="D35" s="249" t="s">
        <v>114</v>
      </c>
      <c r="E35" s="229" t="s">
        <v>125</v>
      </c>
      <c r="F35" s="229">
        <v>10</v>
      </c>
      <c r="G35" s="230" t="s">
        <v>126</v>
      </c>
      <c r="H35" s="230" t="s">
        <v>126</v>
      </c>
      <c r="I35" s="241">
        <v>1</v>
      </c>
      <c r="J35" s="231">
        <v>4.5</v>
      </c>
      <c r="K35" s="232">
        <f t="shared" si="0"/>
        <v>45</v>
      </c>
      <c r="L35" s="245"/>
      <c r="M35" s="236">
        <v>1</v>
      </c>
      <c r="N35" s="231">
        <v>7</v>
      </c>
      <c r="O35" s="234">
        <f t="shared" si="1"/>
        <v>70</v>
      </c>
      <c r="P35" s="246"/>
      <c r="Q35" s="236">
        <f t="shared" si="2"/>
        <v>1.5555555555555556</v>
      </c>
      <c r="R35" s="231">
        <v>7</v>
      </c>
      <c r="S35" s="234">
        <f t="shared" si="3"/>
        <v>70</v>
      </c>
      <c r="T35" s="246"/>
      <c r="U35" s="236">
        <f t="shared" si="4"/>
        <v>1.5555555555555556</v>
      </c>
      <c r="V35" s="154"/>
      <c r="W35" s="153"/>
    </row>
    <row r="36" spans="1:23" s="150" customFormat="1" ht="20.100000000000001" customHeight="1">
      <c r="B36" s="151">
        <v>31</v>
      </c>
      <c r="C36" s="247" t="s">
        <v>84</v>
      </c>
      <c r="D36" s="249" t="s">
        <v>115</v>
      </c>
      <c r="E36" s="229" t="s">
        <v>125</v>
      </c>
      <c r="F36" s="229">
        <v>10</v>
      </c>
      <c r="G36" s="230" t="s">
        <v>126</v>
      </c>
      <c r="H36" s="230" t="s">
        <v>126</v>
      </c>
      <c r="I36" s="241">
        <v>1</v>
      </c>
      <c r="J36" s="231">
        <v>6</v>
      </c>
      <c r="K36" s="232">
        <f t="shared" si="0"/>
        <v>60</v>
      </c>
      <c r="L36" s="245"/>
      <c r="M36" s="236">
        <v>1</v>
      </c>
      <c r="N36" s="231">
        <v>8</v>
      </c>
      <c r="O36" s="234">
        <f t="shared" si="1"/>
        <v>80</v>
      </c>
      <c r="P36" s="246"/>
      <c r="Q36" s="236">
        <f t="shared" si="2"/>
        <v>1.3333333333333333</v>
      </c>
      <c r="R36" s="231">
        <v>10</v>
      </c>
      <c r="S36" s="234">
        <f t="shared" si="3"/>
        <v>100</v>
      </c>
      <c r="T36" s="246"/>
      <c r="U36" s="236">
        <f t="shared" si="4"/>
        <v>1.6666666666666667</v>
      </c>
      <c r="V36" s="154"/>
      <c r="W36" s="153"/>
    </row>
    <row r="37" spans="1:23" s="150" customFormat="1" ht="20.100000000000001" customHeight="1">
      <c r="B37" s="151">
        <v>32</v>
      </c>
      <c r="C37" s="247" t="s">
        <v>84</v>
      </c>
      <c r="D37" s="249" t="s">
        <v>116</v>
      </c>
      <c r="E37" s="229" t="s">
        <v>125</v>
      </c>
      <c r="F37" s="229">
        <v>10</v>
      </c>
      <c r="G37" s="230" t="s">
        <v>126</v>
      </c>
      <c r="H37" s="230" t="s">
        <v>126</v>
      </c>
      <c r="I37" s="241">
        <v>1</v>
      </c>
      <c r="J37" s="231">
        <v>7.5</v>
      </c>
      <c r="K37" s="232">
        <f t="shared" si="0"/>
        <v>75</v>
      </c>
      <c r="L37" s="245"/>
      <c r="M37" s="236">
        <v>1</v>
      </c>
      <c r="N37" s="231">
        <v>9</v>
      </c>
      <c r="O37" s="234">
        <f t="shared" si="1"/>
        <v>90</v>
      </c>
      <c r="P37" s="246"/>
      <c r="Q37" s="236">
        <f t="shared" si="2"/>
        <v>1.2</v>
      </c>
      <c r="R37" s="231">
        <v>13</v>
      </c>
      <c r="S37" s="234">
        <f t="shared" si="3"/>
        <v>130</v>
      </c>
      <c r="T37" s="246"/>
      <c r="U37" s="236">
        <f t="shared" si="4"/>
        <v>1.7333333333333334</v>
      </c>
      <c r="V37" s="154"/>
      <c r="W37" s="153"/>
    </row>
    <row r="38" spans="1:23" s="150" customFormat="1" ht="20.100000000000001" customHeight="1">
      <c r="B38" s="151">
        <v>33</v>
      </c>
      <c r="C38" s="247" t="s">
        <v>84</v>
      </c>
      <c r="D38" s="249" t="s">
        <v>117</v>
      </c>
      <c r="E38" s="229" t="s">
        <v>125</v>
      </c>
      <c r="F38" s="229">
        <v>10</v>
      </c>
      <c r="G38" s="230" t="s">
        <v>126</v>
      </c>
      <c r="H38" s="230" t="s">
        <v>126</v>
      </c>
      <c r="I38" s="241">
        <v>1</v>
      </c>
      <c r="J38" s="231">
        <v>9</v>
      </c>
      <c r="K38" s="232">
        <f t="shared" si="0"/>
        <v>90</v>
      </c>
      <c r="L38" s="245"/>
      <c r="M38" s="236">
        <v>1</v>
      </c>
      <c r="N38" s="231">
        <v>10</v>
      </c>
      <c r="O38" s="234">
        <f t="shared" si="1"/>
        <v>100</v>
      </c>
      <c r="P38" s="246"/>
      <c r="Q38" s="236">
        <f t="shared" si="2"/>
        <v>1.1111111111111112</v>
      </c>
      <c r="R38" s="231">
        <v>15</v>
      </c>
      <c r="S38" s="234">
        <f t="shared" si="3"/>
        <v>150</v>
      </c>
      <c r="T38" s="246"/>
      <c r="U38" s="236">
        <f t="shared" si="4"/>
        <v>1.6666666666666667</v>
      </c>
      <c r="V38" s="154"/>
      <c r="W38" s="153"/>
    </row>
    <row r="39" spans="1:23" s="150" customFormat="1" ht="20.100000000000001" customHeight="1">
      <c r="B39" s="151">
        <v>34</v>
      </c>
      <c r="C39" s="247" t="s">
        <v>84</v>
      </c>
      <c r="D39" s="249" t="s">
        <v>118</v>
      </c>
      <c r="E39" s="229" t="s">
        <v>125</v>
      </c>
      <c r="F39" s="229">
        <v>10</v>
      </c>
      <c r="G39" s="230" t="s">
        <v>126</v>
      </c>
      <c r="H39" s="230" t="s">
        <v>126</v>
      </c>
      <c r="I39" s="241">
        <v>1</v>
      </c>
      <c r="J39" s="231">
        <v>10</v>
      </c>
      <c r="K39" s="232">
        <f t="shared" si="0"/>
        <v>100</v>
      </c>
      <c r="L39" s="245"/>
      <c r="M39" s="236">
        <v>1</v>
      </c>
      <c r="N39" s="231">
        <v>11</v>
      </c>
      <c r="O39" s="234">
        <f t="shared" si="1"/>
        <v>110</v>
      </c>
      <c r="P39" s="246"/>
      <c r="Q39" s="236">
        <f t="shared" si="2"/>
        <v>1.1000000000000001</v>
      </c>
      <c r="R39" s="231">
        <v>17</v>
      </c>
      <c r="S39" s="234">
        <f t="shared" si="3"/>
        <v>170</v>
      </c>
      <c r="T39" s="246"/>
      <c r="U39" s="236">
        <f t="shared" si="4"/>
        <v>1.7</v>
      </c>
      <c r="V39" s="154"/>
      <c r="W39" s="153"/>
    </row>
    <row r="40" spans="1:23" s="150" customFormat="1" ht="20.100000000000001" customHeight="1">
      <c r="B40" s="151">
        <v>35</v>
      </c>
      <c r="C40" s="247" t="s">
        <v>84</v>
      </c>
      <c r="D40" s="249" t="s">
        <v>119</v>
      </c>
      <c r="E40" s="229" t="s">
        <v>125</v>
      </c>
      <c r="F40" s="229">
        <v>30</v>
      </c>
      <c r="G40" s="230" t="s">
        <v>126</v>
      </c>
      <c r="H40" s="230" t="s">
        <v>126</v>
      </c>
      <c r="I40" s="241">
        <v>1</v>
      </c>
      <c r="J40" s="231">
        <v>12</v>
      </c>
      <c r="K40" s="232">
        <f t="shared" si="0"/>
        <v>360</v>
      </c>
      <c r="L40" s="245"/>
      <c r="M40" s="236">
        <v>1</v>
      </c>
      <c r="N40" s="231">
        <v>12</v>
      </c>
      <c r="O40" s="234">
        <f t="shared" si="1"/>
        <v>360</v>
      </c>
      <c r="P40" s="246"/>
      <c r="Q40" s="236">
        <f t="shared" si="2"/>
        <v>1</v>
      </c>
      <c r="R40" s="231">
        <v>25</v>
      </c>
      <c r="S40" s="234">
        <f t="shared" si="3"/>
        <v>750</v>
      </c>
      <c r="T40" s="246"/>
      <c r="U40" s="236">
        <f t="shared" si="4"/>
        <v>2.0833333333333335</v>
      </c>
      <c r="V40" s="154"/>
      <c r="W40" s="153"/>
    </row>
    <row r="41" spans="1:23" s="150" customFormat="1" ht="20.100000000000001" customHeight="1">
      <c r="B41" s="151">
        <v>36</v>
      </c>
      <c r="C41" s="391" t="s">
        <v>85</v>
      </c>
      <c r="D41" s="249" t="s">
        <v>120</v>
      </c>
      <c r="E41" s="229" t="s">
        <v>125</v>
      </c>
      <c r="F41" s="229">
        <v>40</v>
      </c>
      <c r="G41" s="230" t="s">
        <v>126</v>
      </c>
      <c r="H41" s="230" t="s">
        <v>126</v>
      </c>
      <c r="I41" s="241">
        <v>1</v>
      </c>
      <c r="J41" s="231">
        <v>23</v>
      </c>
      <c r="K41" s="232">
        <f t="shared" si="0"/>
        <v>920</v>
      </c>
      <c r="L41" s="245"/>
      <c r="M41" s="236">
        <v>1</v>
      </c>
      <c r="N41" s="231">
        <v>21</v>
      </c>
      <c r="O41" s="234">
        <f t="shared" si="1"/>
        <v>840</v>
      </c>
      <c r="P41" s="246"/>
      <c r="Q41" s="236">
        <f t="shared" si="2"/>
        <v>0.91304347826086951</v>
      </c>
      <c r="R41" s="231">
        <v>55</v>
      </c>
      <c r="S41" s="234">
        <f t="shared" si="3"/>
        <v>2200</v>
      </c>
      <c r="T41" s="246"/>
      <c r="U41" s="236">
        <f t="shared" si="4"/>
        <v>2.3913043478260869</v>
      </c>
      <c r="V41" s="154"/>
      <c r="W41" s="153"/>
    </row>
    <row r="42" spans="1:23" s="150" customFormat="1" ht="31.5" customHeight="1">
      <c r="B42" s="151">
        <v>37</v>
      </c>
      <c r="C42" s="391" t="s">
        <v>86</v>
      </c>
      <c r="D42" s="249" t="s">
        <v>121</v>
      </c>
      <c r="E42" s="229" t="s">
        <v>125</v>
      </c>
      <c r="F42" s="229">
        <v>500</v>
      </c>
      <c r="G42" s="230">
        <v>5</v>
      </c>
      <c r="H42" s="230">
        <f t="shared" si="5"/>
        <v>2500</v>
      </c>
      <c r="I42" s="241">
        <f t="shared" si="6"/>
        <v>1</v>
      </c>
      <c r="J42" s="231">
        <v>5</v>
      </c>
      <c r="K42" s="232">
        <f t="shared" si="0"/>
        <v>2500</v>
      </c>
      <c r="L42" s="245"/>
      <c r="M42" s="236">
        <v>1</v>
      </c>
      <c r="N42" s="231">
        <v>8</v>
      </c>
      <c r="O42" s="234">
        <f t="shared" si="1"/>
        <v>4000</v>
      </c>
      <c r="P42" s="246"/>
      <c r="Q42" s="236">
        <f t="shared" si="2"/>
        <v>1.6</v>
      </c>
      <c r="R42" s="231">
        <v>7</v>
      </c>
      <c r="S42" s="234">
        <f t="shared" si="3"/>
        <v>3500</v>
      </c>
      <c r="T42" s="246"/>
      <c r="U42" s="236">
        <f t="shared" si="4"/>
        <v>1.4</v>
      </c>
      <c r="V42" s="154"/>
      <c r="W42" s="153"/>
    </row>
    <row r="43" spans="1:23" s="150" customFormat="1" ht="18" customHeight="1">
      <c r="B43" s="392">
        <v>38</v>
      </c>
      <c r="C43" s="393" t="s">
        <v>87</v>
      </c>
      <c r="D43" s="394" t="s">
        <v>122</v>
      </c>
      <c r="E43" s="395" t="s">
        <v>125</v>
      </c>
      <c r="F43" s="395">
        <v>3000</v>
      </c>
      <c r="G43" s="396">
        <v>4</v>
      </c>
      <c r="H43" s="396">
        <f t="shared" si="5"/>
        <v>12000</v>
      </c>
      <c r="I43" s="397">
        <f t="shared" si="6"/>
        <v>1.0389610389610389</v>
      </c>
      <c r="J43" s="398">
        <v>3.85</v>
      </c>
      <c r="K43" s="399">
        <f t="shared" si="0"/>
        <v>11550</v>
      </c>
      <c r="L43" s="400"/>
      <c r="M43" s="401">
        <v>1</v>
      </c>
      <c r="N43" s="398">
        <v>4</v>
      </c>
      <c r="O43" s="402">
        <f t="shared" si="1"/>
        <v>12000</v>
      </c>
      <c r="P43" s="403"/>
      <c r="Q43" s="401">
        <f t="shared" si="2"/>
        <v>1.0389610389610389</v>
      </c>
      <c r="R43" s="398">
        <v>5</v>
      </c>
      <c r="S43" s="402">
        <f t="shared" si="3"/>
        <v>15000</v>
      </c>
      <c r="T43" s="403"/>
      <c r="U43" s="401">
        <f t="shared" si="4"/>
        <v>1.2987012987012987</v>
      </c>
      <c r="V43" s="404"/>
      <c r="W43" s="153"/>
    </row>
    <row r="44" spans="1:23" s="150" customFormat="1" ht="42" customHeight="1">
      <c r="B44" s="151">
        <v>39</v>
      </c>
      <c r="C44" s="391" t="s">
        <v>88</v>
      </c>
      <c r="D44" s="249" t="s">
        <v>123</v>
      </c>
      <c r="E44" s="229" t="s">
        <v>125</v>
      </c>
      <c r="F44" s="229">
        <v>500</v>
      </c>
      <c r="G44" s="230" t="s">
        <v>126</v>
      </c>
      <c r="H44" s="230" t="s">
        <v>126</v>
      </c>
      <c r="I44" s="241">
        <v>1</v>
      </c>
      <c r="J44" s="231">
        <v>80</v>
      </c>
      <c r="K44" s="232">
        <f t="shared" si="0"/>
        <v>40000</v>
      </c>
      <c r="L44" s="245"/>
      <c r="M44" s="236">
        <v>1</v>
      </c>
      <c r="N44" s="231">
        <v>85</v>
      </c>
      <c r="O44" s="234">
        <f t="shared" si="1"/>
        <v>42500</v>
      </c>
      <c r="P44" s="246"/>
      <c r="Q44" s="236">
        <f t="shared" si="2"/>
        <v>1.0625</v>
      </c>
      <c r="R44" s="231">
        <v>55</v>
      </c>
      <c r="S44" s="234">
        <f t="shared" si="3"/>
        <v>27500</v>
      </c>
      <c r="T44" s="246"/>
      <c r="U44" s="236">
        <f t="shared" si="4"/>
        <v>0.6875</v>
      </c>
      <c r="V44" s="154"/>
      <c r="W44" s="153"/>
    </row>
    <row r="45" spans="1:23" s="150" customFormat="1" ht="20.100000000000001" customHeight="1">
      <c r="B45" s="151">
        <v>40</v>
      </c>
      <c r="C45" s="39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<c r="H45" s="230">
        <f t="shared" si="5"/>
        <v>19600</v>
      </c>
      <c r="I45" s="241">
        <f t="shared" si="6"/>
        <v>1.1951219512195121</v>
      </c>
      <c r="J45" s="231">
        <v>82</v>
      </c>
      <c r="K45" s="232">
        <f t="shared" si="0"/>
        <v>16400</v>
      </c>
      <c r="L45" s="245"/>
      <c r="M45" s="236">
        <v>1</v>
      </c>
      <c r="N45" s="231">
        <v>85</v>
      </c>
      <c r="O45" s="234">
        <f t="shared" si="1"/>
        <v>17000</v>
      </c>
      <c r="P45" s="246"/>
      <c r="Q45" s="236">
        <f t="shared" si="2"/>
        <v>1.0365853658536586</v>
      </c>
      <c r="R45" s="231">
        <v>75</v>
      </c>
      <c r="S45" s="234">
        <f t="shared" si="3"/>
        <v>15000</v>
      </c>
      <c r="T45" s="246"/>
      <c r="U45" s="236">
        <f t="shared" si="4"/>
        <v>0.91463414634146345</v>
      </c>
      <c r="V45" s="154"/>
      <c r="W45" s="153"/>
    </row>
    <row r="46" spans="1:23" s="133" customFormat="1" ht="33" customHeight="1">
      <c r="A46" s="134"/>
      <c r="B46" s="243"/>
      <c r="C46" s="389" t="s">
        <v>21</v>
      </c>
      <c r="D46" s="390"/>
      <c r="E46" s="390"/>
      <c r="F46" s="390"/>
      <c r="G46" s="314" t="str">
        <f>G4</f>
        <v>Previous Price</v>
      </c>
      <c r="H46" s="378"/>
      <c r="I46" s="379"/>
      <c r="J46" s="317" t="str">
        <f>J4</f>
        <v>MASCO (MOHAMMED BIN ALI BIN SALMAN AL SHALAB CONTRACTING COMPANY)</v>
      </c>
      <c r="K46" s="318"/>
      <c r="L46" s="318"/>
      <c r="M46" s="319"/>
      <c r="N46" s="314" t="str">
        <f>N4</f>
        <v>ALHARAM PERFECT MACHINERY EQUIPMENT CO LLC</v>
      </c>
      <c r="O46" s="315"/>
      <c r="P46" s="315"/>
      <c r="Q46" s="316"/>
      <c r="R46" s="317" t="str">
        <f>R4</f>
        <v>DURRA MOHAMMED AL SHALAB CONTRACTING ESTABLISHMENT</v>
      </c>
      <c r="S46" s="318"/>
      <c r="T46" s="318"/>
      <c r="U46" s="319"/>
      <c r="V46" s="242"/>
      <c r="W46" s="155"/>
    </row>
    <row r="47" spans="1:23" s="133" customFormat="1" ht="21.75" customHeight="1">
      <c r="A47" s="134"/>
      <c r="B47" s="156"/>
      <c r="C47" s="157"/>
      <c r="D47" s="320" t="s">
        <v>22</v>
      </c>
      <c r="E47" s="320"/>
      <c r="F47" s="321"/>
      <c r="G47" s="374">
        <f>SUM(H6:H45)</f>
        <v>66120</v>
      </c>
      <c r="H47" s="375"/>
      <c r="I47" s="160">
        <f>AVERAGE(I6:I45)</f>
        <v>1.1848457722335053</v>
      </c>
      <c r="J47" s="239"/>
      <c r="K47" s="237">
        <f>SUM(K6:K45)</f>
        <v>199166</v>
      </c>
      <c r="L47" s="159"/>
      <c r="M47" s="160">
        <f>AVERAGE(M6:M45)</f>
        <v>1</v>
      </c>
      <c r="N47" s="161"/>
      <c r="O47" s="237">
        <f>SUM(O6:O45)</f>
        <v>252226</v>
      </c>
      <c r="P47" s="158"/>
      <c r="Q47" s="162">
        <f>O47/K47</f>
        <v>1.2664109335930831</v>
      </c>
      <c r="R47" s="161"/>
      <c r="S47" s="237">
        <f>SUM(S6:S45)</f>
        <v>272603</v>
      </c>
      <c r="T47" s="158"/>
      <c r="U47" s="163">
        <f>S47/K47</f>
        <v>1.3687225731299519</v>
      </c>
      <c r="V47" s="164"/>
      <c r="W47" s="155"/>
    </row>
    <row r="48" spans="1:23" ht="21.75" customHeight="1" thickBot="1">
      <c r="B48" s="165"/>
      <c r="C48" s="386" t="s">
        <v>23</v>
      </c>
      <c r="D48" s="387"/>
      <c r="E48" s="387"/>
      <c r="F48" s="388"/>
      <c r="G48" s="376">
        <f>G47*15%</f>
        <v>9918</v>
      </c>
      <c r="H48" s="377"/>
      <c r="I48" s="169"/>
      <c r="J48" s="166"/>
      <c r="K48" s="238">
        <f>K47*15%</f>
        <v>29874.899999999998</v>
      </c>
      <c r="L48" s="168"/>
      <c r="M48" s="169"/>
      <c r="N48" s="170"/>
      <c r="O48" s="238">
        <f>O47*15%</f>
        <v>37833.9</v>
      </c>
      <c r="P48" s="168"/>
      <c r="Q48" s="169"/>
      <c r="R48" s="170"/>
      <c r="S48" s="238">
        <f>S47*15%</f>
        <v>40890.449999999997</v>
      </c>
      <c r="T48" s="167"/>
      <c r="U48" s="171"/>
      <c r="V48" s="172"/>
      <c r="W48" s="155"/>
    </row>
    <row r="49" spans="1:27" ht="25.15" customHeight="1" thickBot="1">
      <c r="B49" s="383" t="s">
        <v>45</v>
      </c>
      <c r="C49" s="384"/>
      <c r="D49" s="384"/>
      <c r="E49" s="384"/>
      <c r="F49" s="385"/>
      <c r="G49" s="372">
        <f>SUM(G47:H48)</f>
        <v>76038</v>
      </c>
      <c r="H49" s="373"/>
      <c r="I49" s="240">
        <f>AVERAGE(I6:I45)</f>
        <v>1.1848457722335053</v>
      </c>
      <c r="J49" s="240"/>
      <c r="K49" s="174">
        <f>SUM(K47:K48)</f>
        <v>229040.9</v>
      </c>
      <c r="L49" s="175"/>
      <c r="M49" s="176">
        <v>1</v>
      </c>
      <c r="N49" s="177"/>
      <c r="O49" s="174">
        <f>SUM(O47:O48)</f>
        <v>290059.90000000002</v>
      </c>
      <c r="P49" s="175"/>
      <c r="Q49" s="178">
        <f>O49/K49</f>
        <v>1.2664109335930833</v>
      </c>
      <c r="R49" s="173"/>
      <c r="S49" s="174">
        <f>SUM(S47:S48)</f>
        <v>313493.45</v>
      </c>
      <c r="T49" s="175"/>
      <c r="U49" s="176">
        <f>S49/K49</f>
        <v>1.3687225731299519</v>
      </c>
      <c r="V49" s="179"/>
      <c r="W49" s="180"/>
    </row>
    <row r="50" spans="1:27" s="181" customFormat="1" ht="12" customHeight="1">
      <c r="B50" s="182"/>
      <c r="C50" s="183"/>
      <c r="D50" s="183"/>
      <c r="E50" s="184"/>
      <c r="F50" s="184"/>
      <c r="G50" s="184"/>
      <c r="H50" s="184"/>
      <c r="I50" s="184"/>
      <c r="J50" s="185"/>
      <c r="K50" s="185"/>
      <c r="L50" s="185"/>
      <c r="M50" s="186"/>
      <c r="N50" s="185"/>
      <c r="O50" s="185"/>
      <c r="P50" s="185"/>
      <c r="Q50" s="186"/>
      <c r="R50" s="186"/>
      <c r="S50" s="186"/>
      <c r="T50" s="186"/>
      <c r="U50" s="186"/>
      <c r="V50" s="187"/>
      <c r="W50" s="188"/>
      <c r="X50" s="189"/>
      <c r="Y50" s="189"/>
      <c r="Z50" s="189"/>
      <c r="AA50" s="189"/>
    </row>
    <row r="51" spans="1:27" ht="18" customHeight="1" thickBot="1">
      <c r="A51" s="135" t="s">
        <v>44</v>
      </c>
      <c r="B51" s="135"/>
      <c r="C51" s="136"/>
      <c r="D51" s="137"/>
      <c r="E51" s="135"/>
      <c r="F51" s="135"/>
      <c r="G51" s="135"/>
      <c r="H51" s="135"/>
      <c r="I51" s="135"/>
      <c r="J51" s="135"/>
      <c r="K51" s="135"/>
      <c r="L51" s="135"/>
      <c r="M51" s="138"/>
      <c r="N51" s="135"/>
      <c r="O51" s="135"/>
      <c r="P51" s="135"/>
      <c r="Q51" s="138"/>
      <c r="R51" s="138"/>
      <c r="S51" s="138"/>
      <c r="T51" s="138"/>
      <c r="U51" s="138"/>
      <c r="V51" s="142" t="s">
        <v>25</v>
      </c>
      <c r="W51" s="142"/>
    </row>
    <row r="52" spans="1:27" ht="23.25" customHeight="1" thickBot="1">
      <c r="B52" s="143" t="s">
        <v>46</v>
      </c>
      <c r="C52" s="347" t="s">
        <v>47</v>
      </c>
      <c r="D52" s="348"/>
      <c r="E52" s="347" t="s">
        <v>48</v>
      </c>
      <c r="F52" s="349"/>
      <c r="G52" s="349"/>
      <c r="H52" s="349"/>
      <c r="I52" s="348"/>
      <c r="J52" s="337" t="s">
        <v>49</v>
      </c>
      <c r="K52" s="338"/>
      <c r="L52" s="339" t="s">
        <v>50</v>
      </c>
      <c r="M52" s="340"/>
      <c r="N52" s="337" t="s">
        <v>51</v>
      </c>
      <c r="O52" s="338"/>
      <c r="P52" s="339" t="s">
        <v>50</v>
      </c>
      <c r="Q52" s="340"/>
      <c r="R52" s="337" t="s">
        <v>51</v>
      </c>
      <c r="S52" s="338"/>
      <c r="T52" s="339" t="s">
        <v>50</v>
      </c>
      <c r="U52" s="340"/>
      <c r="V52" s="190" t="s">
        <v>52</v>
      </c>
      <c r="W52" s="191"/>
    </row>
    <row r="53" spans="1:27" s="181" customFormat="1" ht="25.15" customHeight="1" thickTop="1">
      <c r="B53" s="192">
        <v>1</v>
      </c>
      <c r="C53" s="341" t="str">
        <f>+J46</f>
        <v>MASCO (MOHAMMED BIN ALI BIN SALMAN AL SHALAB CONTRACTING COMPANY)</v>
      </c>
      <c r="D53" s="342"/>
      <c r="E53" s="362">
        <f>K49</f>
        <v>229040.9</v>
      </c>
      <c r="F53" s="363"/>
      <c r="G53" s="363"/>
      <c r="H53" s="363"/>
      <c r="I53" s="364"/>
      <c r="J53" s="343">
        <f>K49</f>
        <v>229040.9</v>
      </c>
      <c r="K53" s="344"/>
      <c r="L53" s="345">
        <v>1</v>
      </c>
      <c r="M53" s="346"/>
      <c r="N53" s="343">
        <f>E53</f>
        <v>229040.9</v>
      </c>
      <c r="O53" s="344"/>
      <c r="P53" s="345">
        <f>N53/E53</f>
        <v>1</v>
      </c>
      <c r="Q53" s="346">
        <f>N53/E53</f>
        <v>1</v>
      </c>
      <c r="R53" s="343">
        <f>E53</f>
        <v>229040.9</v>
      </c>
      <c r="S53" s="344"/>
      <c r="T53" s="345">
        <f>R53/E53</f>
        <v>1</v>
      </c>
      <c r="U53" s="346">
        <f>R53/E53</f>
        <v>1</v>
      </c>
      <c r="V53" s="193"/>
      <c r="W53" s="194"/>
      <c r="X53" s="189"/>
      <c r="Y53" s="189"/>
      <c r="Z53" s="189"/>
      <c r="AA53" s="189"/>
    </row>
    <row r="54" spans="1:27" s="181" customFormat="1" ht="25.15" customHeight="1">
      <c r="B54" s="195">
        <v>2</v>
      </c>
      <c r="C54" s="354" t="str">
        <f>+N46</f>
        <v>ALHARAM PERFECT MACHINERY EQUIPMENT CO LLC</v>
      </c>
      <c r="D54" s="355"/>
      <c r="E54" s="365"/>
      <c r="F54" s="366"/>
      <c r="G54" s="366"/>
      <c r="H54" s="366"/>
      <c r="I54" s="367"/>
      <c r="J54" s="356">
        <f>O49</f>
        <v>290059.90000000002</v>
      </c>
      <c r="K54" s="357"/>
      <c r="L54" s="358">
        <f>J54/E53</f>
        <v>1.2664109335930833</v>
      </c>
      <c r="M54" s="359"/>
      <c r="N54" s="356">
        <f>J54</f>
        <v>290059.90000000002</v>
      </c>
      <c r="O54" s="357"/>
      <c r="P54" s="358">
        <f>N54/E53</f>
        <v>1.2664109335930833</v>
      </c>
      <c r="Q54" s="359">
        <v>1</v>
      </c>
      <c r="R54" s="356">
        <f>N54</f>
        <v>290059.90000000002</v>
      </c>
      <c r="S54" s="357"/>
      <c r="T54" s="358">
        <f>R54/E53</f>
        <v>1.2664109335930833</v>
      </c>
      <c r="U54" s="359">
        <v>1</v>
      </c>
      <c r="V54" s="196"/>
      <c r="W54" s="194"/>
      <c r="X54" s="189"/>
      <c r="Y54" s="189"/>
      <c r="Z54" s="189"/>
      <c r="AA54" s="189"/>
    </row>
    <row r="55" spans="1:27" s="181" customFormat="1" ht="25.15" customHeight="1" thickBot="1">
      <c r="B55" s="197">
        <v>3</v>
      </c>
      <c r="C55" s="360" t="str">
        <f>+R46</f>
        <v>DURRA MOHAMMED AL SHALAB CONTRACTING ESTABLISHMENT</v>
      </c>
      <c r="D55" s="361"/>
      <c r="E55" s="368"/>
      <c r="F55" s="369"/>
      <c r="G55" s="369"/>
      <c r="H55" s="369"/>
      <c r="I55" s="370"/>
      <c r="J55" s="352">
        <f>S49</f>
        <v>313493.45</v>
      </c>
      <c r="K55" s="353"/>
      <c r="L55" s="350">
        <f>J55/E53</f>
        <v>1.3687225731299519</v>
      </c>
      <c r="M55" s="351"/>
      <c r="N55" s="352">
        <f>J55</f>
        <v>313493.45</v>
      </c>
      <c r="O55" s="353"/>
      <c r="P55" s="350">
        <f>N55/E53</f>
        <v>1.3687225731299519</v>
      </c>
      <c r="Q55" s="351"/>
      <c r="R55" s="352">
        <f>J55</f>
        <v>313493.45</v>
      </c>
      <c r="S55" s="353"/>
      <c r="T55" s="350">
        <f>R55/E53</f>
        <v>1.3687225731299519</v>
      </c>
      <c r="U55" s="351"/>
      <c r="V55" s="198"/>
      <c r="W55" s="194"/>
      <c r="X55" s="189"/>
      <c r="Y55" s="189"/>
      <c r="Z55" s="189"/>
      <c r="AA55" s="189"/>
    </row>
    <row r="56" spans="1:27" s="181" customFormat="1" ht="12" customHeight="1">
      <c r="B56" s="182"/>
      <c r="C56" s="183"/>
      <c r="D56" s="183"/>
      <c r="E56" s="184"/>
      <c r="F56" s="184"/>
      <c r="G56" s="184"/>
      <c r="H56" s="184"/>
      <c r="I56" s="184"/>
      <c r="J56" s="185"/>
      <c r="K56" s="185"/>
      <c r="L56" s="185"/>
      <c r="M56" s="186"/>
      <c r="N56" s="185"/>
      <c r="O56" s="185"/>
      <c r="P56" s="185"/>
      <c r="Q56" s="186"/>
      <c r="R56" s="186"/>
      <c r="S56" s="186"/>
      <c r="T56" s="186"/>
      <c r="U56" s="186"/>
      <c r="V56" s="187"/>
      <c r="W56" s="188"/>
      <c r="X56" s="189"/>
      <c r="Y56" s="189"/>
      <c r="Z56" s="189"/>
      <c r="AA56" s="189"/>
    </row>
    <row r="57" spans="1:27" ht="18" customHeight="1" thickBot="1">
      <c r="A57" s="135" t="s">
        <v>53</v>
      </c>
      <c r="B57" s="135"/>
      <c r="C57" s="136"/>
      <c r="D57" s="137"/>
      <c r="E57" s="135"/>
      <c r="F57" s="135"/>
      <c r="G57" s="135"/>
      <c r="H57" s="135"/>
      <c r="I57" s="135"/>
      <c r="J57" s="135"/>
      <c r="K57" s="135"/>
      <c r="L57" s="135"/>
      <c r="M57" s="138"/>
      <c r="N57" s="135"/>
      <c r="O57" s="135"/>
      <c r="P57" s="135"/>
      <c r="Q57" s="138"/>
      <c r="R57" s="138"/>
      <c r="S57" s="138"/>
      <c r="T57" s="138"/>
      <c r="U57" s="138"/>
      <c r="V57" s="135"/>
      <c r="W57" s="135"/>
    </row>
    <row r="58" spans="1:27" ht="19.899999999999999" customHeight="1">
      <c r="A58" s="135"/>
      <c r="B58" s="199" t="s">
        <v>55</v>
      </c>
      <c r="C58" s="200"/>
      <c r="D58" s="201"/>
      <c r="E58" s="202"/>
      <c r="F58" s="203"/>
      <c r="G58" s="203"/>
      <c r="H58" s="203"/>
      <c r="I58" s="203"/>
      <c r="J58" s="203"/>
      <c r="K58" s="203"/>
      <c r="L58" s="203"/>
      <c r="M58" s="204"/>
      <c r="N58" s="203"/>
      <c r="O58" s="203"/>
      <c r="P58" s="203"/>
      <c r="Q58" s="204"/>
      <c r="R58" s="204"/>
      <c r="S58" s="204"/>
      <c r="T58" s="204"/>
      <c r="U58" s="204"/>
      <c r="V58" s="205"/>
      <c r="W58" s="135"/>
    </row>
    <row r="59" spans="1:27" ht="19.899999999999999" customHeight="1" thickBot="1">
      <c r="A59" s="135"/>
      <c r="B59" s="206"/>
      <c r="C59" s="207"/>
      <c r="D59" s="208"/>
      <c r="E59" s="209"/>
      <c r="F59" s="210"/>
      <c r="G59" s="210"/>
      <c r="H59" s="210"/>
      <c r="I59" s="210"/>
      <c r="J59" s="210"/>
      <c r="K59" s="210"/>
      <c r="L59" s="210"/>
      <c r="M59" s="211"/>
      <c r="N59" s="210"/>
      <c r="O59" s="210"/>
      <c r="P59" s="210"/>
      <c r="Q59" s="211"/>
      <c r="R59" s="211"/>
      <c r="S59" s="211"/>
      <c r="T59" s="211"/>
      <c r="U59" s="211"/>
      <c r="V59" s="212"/>
      <c r="W59" s="135"/>
    </row>
    <row r="60" spans="1:27" s="181" customFormat="1" ht="12" customHeight="1">
      <c r="B60" s="182"/>
      <c r="C60" s="183"/>
      <c r="D60" s="183"/>
      <c r="E60" s="184"/>
      <c r="F60" s="184"/>
      <c r="G60" s="184"/>
      <c r="H60" s="184"/>
      <c r="I60" s="184"/>
      <c r="J60" s="185"/>
      <c r="K60" s="185"/>
      <c r="L60" s="185"/>
      <c r="M60" s="186"/>
      <c r="N60" s="185"/>
      <c r="O60" s="185"/>
      <c r="P60" s="185"/>
      <c r="Q60" s="186"/>
      <c r="R60" s="186"/>
      <c r="S60" s="186"/>
      <c r="T60" s="186"/>
      <c r="U60" s="186"/>
      <c r="V60" s="187"/>
      <c r="W60" s="188"/>
      <c r="X60" s="189"/>
      <c r="Y60" s="189"/>
      <c r="Z60" s="189"/>
      <c r="AA60" s="189"/>
    </row>
    <row r="61" spans="1:27" ht="18" customHeight="1" thickBot="1">
      <c r="A61" s="135" t="s">
        <v>54</v>
      </c>
      <c r="B61" s="135"/>
      <c r="C61" s="136"/>
      <c r="D61" s="137"/>
      <c r="E61" s="135"/>
      <c r="F61" s="135"/>
      <c r="G61" s="135"/>
      <c r="H61" s="135"/>
      <c r="I61" s="135"/>
      <c r="J61" s="135"/>
      <c r="K61" s="135"/>
      <c r="L61" s="135"/>
      <c r="M61" s="138"/>
      <c r="N61" s="135"/>
      <c r="O61" s="135"/>
      <c r="P61" s="135"/>
      <c r="Q61" s="138"/>
      <c r="R61" s="138"/>
      <c r="S61" s="138"/>
      <c r="T61" s="138"/>
      <c r="U61" s="138"/>
      <c r="V61" s="135"/>
      <c r="W61" s="135"/>
    </row>
    <row r="62" spans="1:27" ht="24.95" customHeight="1" thickBot="1">
      <c r="A62" s="135"/>
      <c r="B62" s="213" t="str">
        <f>CONCATENATE("1) Selected"," ' ",J4," ' ","asthevendorofferingthelowestpricewhilemeetingallrequiredqualitystandards.")</f>
        <v>1) Selected ' MASCO (MOHAMMED BIN ALI BIN SALMAN AL SHALAB CONTRACTING COMPANY) ' asthevendorofferingthelowestpricewhilemeetingallrequiredqualitystandards.</v>
      </c>
      <c r="C62" s="214"/>
      <c r="D62" s="215"/>
      <c r="E62" s="216"/>
      <c r="F62" s="217"/>
      <c r="G62" s="217"/>
      <c r="H62" s="217"/>
      <c r="I62" s="217"/>
      <c r="J62" s="217"/>
      <c r="K62" s="217"/>
      <c r="L62" s="217"/>
      <c r="M62" s="218"/>
      <c r="N62" s="217"/>
      <c r="O62" s="217"/>
      <c r="P62" s="217"/>
      <c r="Q62" s="218"/>
      <c r="R62" s="218"/>
      <c r="S62" s="218"/>
      <c r="T62" s="218"/>
      <c r="U62" s="218"/>
      <c r="V62" s="219"/>
      <c r="W62" s="135"/>
    </row>
    <row r="63" spans="1:27" ht="18" customHeight="1">
      <c r="A63" s="135"/>
      <c r="B63" s="220"/>
      <c r="C63" s="221"/>
      <c r="D63" s="222"/>
      <c r="E63" s="220"/>
      <c r="F63" s="135"/>
      <c r="G63" s="135"/>
      <c r="H63" s="135"/>
      <c r="I63" s="135"/>
      <c r="J63" s="135"/>
      <c r="K63" s="135"/>
      <c r="L63" s="135"/>
      <c r="M63" s="138"/>
      <c r="N63" s="135"/>
      <c r="O63" s="135"/>
      <c r="P63" s="135"/>
      <c r="Q63" s="138"/>
      <c r="R63" s="138"/>
      <c r="S63" s="138"/>
      <c r="T63" s="138"/>
      <c r="U63" s="138"/>
      <c r="V63" s="135"/>
      <c r="W63" s="135"/>
    </row>
    <row r="64" spans="1:27" s="226" customFormat="1" ht="15" customHeight="1">
      <c r="A64" s="134"/>
      <c r="B64" s="223"/>
      <c r="C64" s="224"/>
      <c r="D64" s="225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133"/>
      <c r="Y64" s="133"/>
      <c r="Z64" s="133"/>
      <c r="AA64" s="133"/>
    </row>
    <row r="65" spans="1:27" s="226" customFormat="1" ht="18" customHeight="1">
      <c r="A65" s="134"/>
      <c r="B65" s="134"/>
      <c r="C65" s="139"/>
      <c r="D65" s="225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134"/>
      <c r="W65" s="134"/>
      <c r="X65" s="133"/>
      <c r="Y65" s="133"/>
      <c r="Z65" s="133"/>
      <c r="AA65" s="133"/>
    </row>
    <row r="66" spans="1:27" s="226" customFormat="1" ht="18" customHeight="1">
      <c r="A66" s="134"/>
      <c r="B66" s="134"/>
      <c r="C66" s="139"/>
      <c r="D66" s="225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134"/>
      <c r="W66" s="134"/>
      <c r="X66" s="133"/>
      <c r="Y66" s="133"/>
      <c r="Z66" s="133"/>
      <c r="AA66" s="133"/>
    </row>
    <row r="67" spans="1:27" s="226" customFormat="1" ht="18" customHeight="1">
      <c r="A67" s="134"/>
      <c r="B67" s="134"/>
      <c r="C67" s="139"/>
      <c r="D67" s="225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134"/>
      <c r="W67" s="134"/>
      <c r="X67" s="133"/>
      <c r="Y67" s="133"/>
      <c r="Z67" s="133"/>
      <c r="AA67" s="133"/>
    </row>
    <row r="68" spans="1:27" s="226" customFormat="1" ht="18" customHeight="1">
      <c r="A68" s="134"/>
      <c r="B68" s="134"/>
      <c r="C68" s="139"/>
      <c r="D68" s="225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134"/>
      <c r="W68" s="134"/>
      <c r="X68" s="133"/>
      <c r="Y68" s="133"/>
      <c r="Z68" s="133"/>
      <c r="AA68" s="133"/>
    </row>
  </sheetData>
  <mergeCells count="52">
    <mergeCell ref="A3:C3"/>
    <mergeCell ref="G49:H49"/>
    <mergeCell ref="G47:H47"/>
    <mergeCell ref="G48:H48"/>
    <mergeCell ref="G46:I46"/>
    <mergeCell ref="G4:I4"/>
    <mergeCell ref="B49:F49"/>
    <mergeCell ref="C48:F48"/>
    <mergeCell ref="C46:F46"/>
    <mergeCell ref="C52:D52"/>
    <mergeCell ref="E52:I52"/>
    <mergeCell ref="P55:Q55"/>
    <mergeCell ref="R55:S55"/>
    <mergeCell ref="T55:U55"/>
    <mergeCell ref="C54:D54"/>
    <mergeCell ref="J54:K54"/>
    <mergeCell ref="L54:M54"/>
    <mergeCell ref="N54:O54"/>
    <mergeCell ref="P54:Q54"/>
    <mergeCell ref="R54:S54"/>
    <mergeCell ref="T54:U54"/>
    <mergeCell ref="C55:D55"/>
    <mergeCell ref="J55:K55"/>
    <mergeCell ref="L55:M55"/>
    <mergeCell ref="N55:O55"/>
    <mergeCell ref="R53:S53"/>
    <mergeCell ref="T53:U53"/>
    <mergeCell ref="P52:Q52"/>
    <mergeCell ref="J52:K52"/>
    <mergeCell ref="L52:M52"/>
    <mergeCell ref="N52:O52"/>
    <mergeCell ref="C53:D53"/>
    <mergeCell ref="J53:K53"/>
    <mergeCell ref="L53:M53"/>
    <mergeCell ref="N53:O53"/>
    <mergeCell ref="P53:Q53"/>
    <mergeCell ref="E53:I55"/>
    <mergeCell ref="V4:V5"/>
    <mergeCell ref="J4:M4"/>
    <mergeCell ref="R52:S52"/>
    <mergeCell ref="T52:U52"/>
    <mergeCell ref="J46:M46"/>
    <mergeCell ref="N46:Q46"/>
    <mergeCell ref="R46:U46"/>
    <mergeCell ref="D47:F47"/>
    <mergeCell ref="B4:B5"/>
    <mergeCell ref="C4:C5"/>
    <mergeCell ref="D4:D5"/>
    <mergeCell ref="E4:E5"/>
    <mergeCell ref="F4:F5"/>
    <mergeCell ref="N4:Q4"/>
    <mergeCell ref="R4:U4"/>
  </mergeCells>
  <phoneticPr fontId="6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47 U47 U6 Q6" evalError="1"/>
    <ignoredError sqref="P54" formula="1"/>
    <ignoredError sqref="M4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2026-10-27T11:45:06Z</cp:lastPrinted>
  <dcterms:created xsi:type="dcterms:W3CDTF">2023-08-14T07:13:42Z</dcterms:created>
  <dcterms:modified xsi:type="dcterms:W3CDTF">2026-10-27T11:47:43Z</dcterms:modified>
</cp:coreProperties>
</file>