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FQ-PVC champer &amp; Power cable\Fix\"/>
    </mc:Choice>
  </mc:AlternateContent>
  <xr:revisionPtr revIDLastSave="0" documentId="13_ncr:1_{40F5375A-5265-45AC-821E-85480CDC03B6}" xr6:coauthVersionLast="47" xr6:coauthVersionMax="47" xr10:uidLastSave="{00000000-0000-0000-0000-000000000000}"/>
  <bookViews>
    <workbookView xWindow="-28920" yWindow="855" windowWidth="29040" windowHeight="15720" xr2:uid="{6B0EEAFC-90E2-46B2-83C6-5D3923A6153C}"/>
  </bookViews>
  <sheets>
    <sheet name="new" sheetId="1" r:id="rId1"/>
  </sheets>
  <definedNames>
    <definedName name="_xlnm._FilterDatabase" localSheetId="0" hidden="1">new!$A$3:$S$15</definedName>
    <definedName name="_xlnm.Print_Area" localSheetId="0">new!$A$2:$L$3</definedName>
    <definedName name="_xlnm.Print_Titles" localSheetId="0">new!$2:$2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4" i="1"/>
  <c r="K5" i="1"/>
  <c r="K6" i="1"/>
  <c r="K7" i="1"/>
  <c r="K8" i="1"/>
  <c r="K9" i="1"/>
  <c r="K10" i="1"/>
  <c r="K11" i="1"/>
  <c r="K12" i="1"/>
  <c r="K13" i="1"/>
  <c r="K14" i="1"/>
  <c r="K15" i="1"/>
  <c r="K4" i="1"/>
  <c r="K16" i="1" s="1"/>
  <c r="G5" i="1"/>
  <c r="G6" i="1"/>
  <c r="G7" i="1"/>
  <c r="G8" i="1"/>
  <c r="G9" i="1"/>
  <c r="G10" i="1"/>
  <c r="G11" i="1"/>
  <c r="G12" i="1"/>
  <c r="G13" i="1"/>
  <c r="G14" i="1"/>
  <c r="G15" i="1"/>
  <c r="G4" i="1"/>
  <c r="G16" i="1" s="1"/>
  <c r="I16" i="1" l="1"/>
</calcChain>
</file>

<file path=xl/sharedStrings.xml><?xml version="1.0" encoding="utf-8"?>
<sst xmlns="http://schemas.openxmlformats.org/spreadsheetml/2006/main" count="50" uniqueCount="40">
  <si>
    <t>No.</t>
  </si>
  <si>
    <t>Item</t>
  </si>
  <si>
    <t>Description</t>
  </si>
  <si>
    <t>Unit</t>
  </si>
  <si>
    <t>Remarks</t>
  </si>
  <si>
    <t xml:space="preserve">PVC CHAMFER </t>
    <phoneticPr fontId="2" type="noConversion"/>
  </si>
  <si>
    <t>Bndl</t>
  </si>
  <si>
    <t xml:space="preserve">TOE FOOT GUARD </t>
  </si>
  <si>
    <t xml:space="preserve">Pair </t>
  </si>
  <si>
    <t xml:space="preserve">ANTI VIBRATION HAND GLOVES </t>
  </si>
  <si>
    <t>Ea</t>
  </si>
  <si>
    <t xml:space="preserve">INDUSTRIAL PLUG </t>
  </si>
  <si>
    <t xml:space="preserve">3PIN 16AMP 220V </t>
  </si>
  <si>
    <t>HEX PLUG</t>
  </si>
  <si>
    <t>1/4" NPT FEMALE BRASS</t>
  </si>
  <si>
    <t>M1/2"XF1/4" NPT</t>
  </si>
  <si>
    <t xml:space="preserve">1/2" NPT </t>
  </si>
  <si>
    <t xml:space="preserve">ELECTRICAL DRILL MACHINE </t>
  </si>
  <si>
    <t xml:space="preserve">DIE GRINDER MACHINE </t>
  </si>
  <si>
    <t>Mtr</t>
  </si>
  <si>
    <t>RAPID GUN TACKER</t>
    <phoneticPr fontId="2" type="noConversion"/>
  </si>
  <si>
    <t>SUITABLE FOR TYPE 53 STAPLES, 8 MM LEG LENGTH</t>
    <phoneticPr fontId="2" type="noConversion"/>
  </si>
  <si>
    <t>STAPLE PIN</t>
    <phoneticPr fontId="2" type="noConversion"/>
  </si>
  <si>
    <t>TYPE 53, 8 MM, 1,000 PCS/PACK</t>
    <phoneticPr fontId="2" type="noConversion"/>
  </si>
  <si>
    <t>Pack</t>
    <phoneticPr fontId="2" type="noConversion"/>
  </si>
  <si>
    <t>non-armoured, 4c × 35 mm², flexible stranded copper conductor, epr/rubber insulated, heavy-duty rubber sheathed, 0.6/1 kv</t>
    <phoneticPr fontId="2" type="noConversion"/>
  </si>
  <si>
    <t>Electrical power cable for welding machine</t>
    <phoneticPr fontId="2" type="noConversion"/>
  </si>
  <si>
    <t>REDUCER BUSHING SS(304)</t>
    <phoneticPr fontId="2" type="noConversion"/>
  </si>
  <si>
    <t>EQUAL TEE CS(A105)</t>
    <phoneticPr fontId="2" type="noConversion"/>
  </si>
  <si>
    <t>Q'ty</t>
    <phoneticPr fontId="0" type="noConversion"/>
  </si>
  <si>
    <t>Up</t>
    <phoneticPr fontId="2" type="noConversion"/>
  </si>
  <si>
    <t>Amount</t>
    <phoneticPr fontId="2" type="noConversion"/>
  </si>
  <si>
    <t>UP</t>
    <phoneticPr fontId="2" type="noConversion"/>
  </si>
  <si>
    <t>25X25MMX2MTR (50pcs/Bundle)</t>
    <phoneticPr fontId="2" type="noConversion"/>
  </si>
  <si>
    <t>Compare-PVC champer &amp; Power cable</t>
    <phoneticPr fontId="2" type="noConversion"/>
  </si>
  <si>
    <r>
      <t xml:space="preserve">14MM 710W DEWALT WITH </t>
    </r>
    <r>
      <rPr>
        <sz val="10"/>
        <color rgb="FFFF0000"/>
        <rFont val="맑은 고딕"/>
        <family val="3"/>
        <charset val="129"/>
        <scheme val="major"/>
      </rPr>
      <t xml:space="preserve">TUV </t>
    </r>
    <phoneticPr fontId="2" type="noConversion"/>
  </si>
  <si>
    <r>
      <t xml:space="preserve">6MM 450W DEWALT WITH </t>
    </r>
    <r>
      <rPr>
        <sz val="10"/>
        <color rgb="FFFF0000"/>
        <rFont val="맑은 고딕"/>
        <family val="3"/>
        <charset val="129"/>
        <scheme val="major"/>
      </rPr>
      <t>TUV</t>
    </r>
    <phoneticPr fontId="2" type="noConversion"/>
  </si>
  <si>
    <t>Yatco</t>
    <phoneticPr fontId="2" type="noConversion"/>
  </si>
  <si>
    <t>ASAS</t>
    <phoneticPr fontId="2" type="noConversion"/>
  </si>
  <si>
    <t>Gulfkey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</si>
</sst>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&quot;-&quot;mmm&quot;-&quot;yy;@"/>
    <numFmt numFmtId="177" formatCode="#,##0.0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6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6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/>
    </xf>
    <xf numFmtId="176" fontId="5" fillId="0" borderId="0" xfId="1" applyNumberFormat="1" applyFont="1" applyAlignment="1">
      <alignment horizont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shrinkToFit="1"/>
    </xf>
    <xf numFmtId="0" fontId="5" fillId="2" borderId="6" xfId="1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177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7" fontId="4" fillId="0" borderId="0" xfId="1" applyNumberFormat="1" applyFont="1"/>
    <xf numFmtId="0" fontId="4" fillId="0" borderId="5" xfId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/>
    </xf>
    <xf numFmtId="177" fontId="6" fillId="0" borderId="5" xfId="0" applyNumberFormat="1" applyFont="1" applyFill="1" applyBorder="1" applyAlignment="1">
      <alignment horizontal="right" vertical="center"/>
    </xf>
    <xf numFmtId="0" fontId="4" fillId="0" borderId="5" xfId="1" applyFont="1" applyFill="1" applyBorder="1" applyAlignment="1">
      <alignment vertical="center"/>
    </xf>
  </cellXfs>
  <cellStyles count="3">
    <cellStyle name="Normal 15" xfId="2" xr:uid="{7F56A181-3CB1-42E9-806B-11F368DAF30D}"/>
    <cellStyle name="표준" xfId="0" builtinId="0"/>
    <cellStyle name="표준 3 2 2 2 2 24" xfId="1" xr:uid="{2BA4CC3F-53FF-40D3-B256-C35623B4E6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304800" cy="302560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07B49AC-8986-414A-9255-4CE702B9B17E}"/>
            </a:ext>
          </a:extLst>
        </xdr:cNvPr>
        <xdr:cNvSpPr>
          <a:spLocks noChangeAspect="1" noChangeArrowheads="1"/>
        </xdr:cNvSpPr>
      </xdr:nvSpPr>
      <xdr:spPr bwMode="auto">
        <a:xfrm>
          <a:off x="6477000" y="428625"/>
          <a:ext cx="304800" cy="30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33DB-836C-4E67-A394-49775F63E8FB}">
  <sheetPr>
    <tabColor rgb="FFFF0000"/>
  </sheetPr>
  <dimension ref="A1:N18"/>
  <sheetViews>
    <sheetView showGridLines="0" tabSelected="1" zoomScaleNormal="100" workbookViewId="0">
      <pane ySplit="2" topLeftCell="A3" activePane="bottomLeft" state="frozen"/>
      <selection pane="bottomLeft" activeCell="C8" sqref="C8"/>
    </sheetView>
  </sheetViews>
  <sheetFormatPr defaultColWidth="7.69921875" defaultRowHeight="19.2" x14ac:dyDescent="0.45"/>
  <cols>
    <col min="1" max="1" width="6.59765625" style="2" customWidth="1"/>
    <col min="2" max="2" width="30.796875" style="2" customWidth="1"/>
    <col min="3" max="3" width="34.796875" style="2" customWidth="1"/>
    <col min="4" max="4" width="7.19921875" style="2" customWidth="1"/>
    <col min="5" max="5" width="7.5" style="2" customWidth="1"/>
    <col min="6" max="6" width="8.59765625" style="2" customWidth="1"/>
    <col min="7" max="7" width="12.296875" style="2" customWidth="1"/>
    <col min="8" max="8" width="8.59765625" style="2" customWidth="1"/>
    <col min="9" max="9" width="12.296875" style="2" customWidth="1"/>
    <col min="10" max="10" width="8.59765625" style="2" customWidth="1"/>
    <col min="11" max="11" width="12.296875" style="2" customWidth="1"/>
    <col min="12" max="12" width="14" style="2" customWidth="1"/>
    <col min="13" max="13" width="22.3984375" style="2" customWidth="1"/>
    <col min="14" max="14" width="17.296875" style="2" customWidth="1"/>
    <col min="15" max="19" width="11.09765625" style="2" customWidth="1"/>
    <col min="20" max="16384" width="7.69921875" style="2"/>
  </cols>
  <sheetData>
    <row r="1" spans="1:14" ht="39.6" customHeight="1" thickBot="1" x14ac:dyDescent="0.6">
      <c r="A1" s="1" t="s">
        <v>34</v>
      </c>
      <c r="F1" s="2" t="s">
        <v>37</v>
      </c>
      <c r="H1" s="2" t="s">
        <v>39</v>
      </c>
      <c r="K1" s="2" t="s">
        <v>38</v>
      </c>
    </row>
    <row r="2" spans="1:14" ht="22.2" customHeight="1" x14ac:dyDescent="0.45">
      <c r="A2" s="3" t="s">
        <v>0</v>
      </c>
      <c r="B2" s="4" t="s">
        <v>1</v>
      </c>
      <c r="C2" s="5" t="s">
        <v>2</v>
      </c>
      <c r="D2" s="4" t="s">
        <v>3</v>
      </c>
      <c r="E2" s="4" t="s">
        <v>29</v>
      </c>
      <c r="F2" s="15" t="s">
        <v>30</v>
      </c>
      <c r="G2" s="13" t="s">
        <v>31</v>
      </c>
      <c r="H2" s="15" t="s">
        <v>32</v>
      </c>
      <c r="I2" s="13" t="s">
        <v>31</v>
      </c>
      <c r="J2" s="15" t="s">
        <v>32</v>
      </c>
      <c r="K2" s="13" t="s">
        <v>31</v>
      </c>
      <c r="L2" s="6" t="s">
        <v>4</v>
      </c>
      <c r="M2" s="7"/>
    </row>
    <row r="3" spans="1:14" ht="11.4" customHeight="1" x14ac:dyDescent="0.45">
      <c r="A3" s="8"/>
      <c r="B3" s="9"/>
      <c r="C3" s="10"/>
      <c r="D3" s="9"/>
      <c r="E3" s="9"/>
      <c r="F3" s="14"/>
      <c r="G3" s="14"/>
      <c r="H3" s="14"/>
      <c r="I3" s="14"/>
      <c r="J3" s="14"/>
      <c r="K3" s="14"/>
      <c r="L3" s="11"/>
      <c r="M3" s="7"/>
      <c r="N3" s="12"/>
    </row>
    <row r="4" spans="1:14" ht="28.2" customHeight="1" x14ac:dyDescent="0.45">
      <c r="A4" s="20">
        <v>1</v>
      </c>
      <c r="B4" s="21" t="s">
        <v>5</v>
      </c>
      <c r="C4" s="22" t="s">
        <v>33</v>
      </c>
      <c r="D4" s="23" t="s">
        <v>6</v>
      </c>
      <c r="E4" s="23">
        <v>30</v>
      </c>
      <c r="F4" s="24">
        <v>81</v>
      </c>
      <c r="G4" s="24">
        <f>F4*E4</f>
        <v>2430</v>
      </c>
      <c r="H4" s="24">
        <v>83</v>
      </c>
      <c r="I4" s="24">
        <f t="shared" ref="I4:I15" si="0">H4*E4</f>
        <v>2490</v>
      </c>
      <c r="J4" s="24">
        <v>92</v>
      </c>
      <c r="K4" s="24">
        <f>J4*E4</f>
        <v>2760</v>
      </c>
      <c r="L4" s="25"/>
    </row>
    <row r="5" spans="1:14" ht="28.2" customHeight="1" x14ac:dyDescent="0.45">
      <c r="A5" s="20">
        <v>2</v>
      </c>
      <c r="B5" s="21" t="s">
        <v>7</v>
      </c>
      <c r="C5" s="22"/>
      <c r="D5" s="23" t="s">
        <v>8</v>
      </c>
      <c r="E5" s="23">
        <v>50</v>
      </c>
      <c r="F5" s="24">
        <v>70</v>
      </c>
      <c r="G5" s="24">
        <f t="shared" ref="G5:G15" si="1">F5*E5</f>
        <v>3500</v>
      </c>
      <c r="H5" s="24">
        <v>70</v>
      </c>
      <c r="I5" s="24">
        <f t="shared" si="0"/>
        <v>3500</v>
      </c>
      <c r="J5" s="24">
        <v>81</v>
      </c>
      <c r="K5" s="24">
        <f t="shared" ref="K5:K15" si="2">J5*E5</f>
        <v>4050</v>
      </c>
      <c r="L5" s="25"/>
    </row>
    <row r="6" spans="1:14" ht="28.2" customHeight="1" x14ac:dyDescent="0.45">
      <c r="A6" s="20">
        <v>3</v>
      </c>
      <c r="B6" s="21" t="s">
        <v>9</v>
      </c>
      <c r="C6" s="22"/>
      <c r="D6" s="23" t="s">
        <v>10</v>
      </c>
      <c r="E6" s="23">
        <v>100</v>
      </c>
      <c r="F6" s="24">
        <v>26</v>
      </c>
      <c r="G6" s="24">
        <f t="shared" si="1"/>
        <v>2600</v>
      </c>
      <c r="H6" s="24">
        <v>30</v>
      </c>
      <c r="I6" s="24">
        <f t="shared" si="0"/>
        <v>3000</v>
      </c>
      <c r="J6" s="24">
        <v>34</v>
      </c>
      <c r="K6" s="24">
        <f t="shared" si="2"/>
        <v>3400</v>
      </c>
      <c r="L6" s="25"/>
    </row>
    <row r="7" spans="1:14" ht="28.2" customHeight="1" x14ac:dyDescent="0.45">
      <c r="A7" s="20">
        <v>4</v>
      </c>
      <c r="B7" s="21" t="s">
        <v>11</v>
      </c>
      <c r="C7" s="22" t="s">
        <v>12</v>
      </c>
      <c r="D7" s="23" t="s">
        <v>10</v>
      </c>
      <c r="E7" s="23">
        <v>20</v>
      </c>
      <c r="F7" s="24">
        <v>18</v>
      </c>
      <c r="G7" s="24">
        <f t="shared" si="1"/>
        <v>360</v>
      </c>
      <c r="H7" s="24">
        <v>25</v>
      </c>
      <c r="I7" s="24">
        <f t="shared" si="0"/>
        <v>500</v>
      </c>
      <c r="J7" s="24">
        <v>22</v>
      </c>
      <c r="K7" s="24">
        <f t="shared" si="2"/>
        <v>440</v>
      </c>
      <c r="L7" s="25"/>
    </row>
    <row r="8" spans="1:14" ht="28.2" customHeight="1" x14ac:dyDescent="0.45">
      <c r="A8" s="20">
        <v>5</v>
      </c>
      <c r="B8" s="21" t="s">
        <v>13</v>
      </c>
      <c r="C8" s="22" t="s">
        <v>14</v>
      </c>
      <c r="D8" s="23" t="s">
        <v>10</v>
      </c>
      <c r="E8" s="23">
        <v>50</v>
      </c>
      <c r="F8" s="24">
        <v>5.85</v>
      </c>
      <c r="G8" s="24">
        <f t="shared" si="1"/>
        <v>292.5</v>
      </c>
      <c r="H8" s="24">
        <v>6</v>
      </c>
      <c r="I8" s="24">
        <f t="shared" si="0"/>
        <v>300</v>
      </c>
      <c r="J8" s="24">
        <v>8</v>
      </c>
      <c r="K8" s="24">
        <f t="shared" si="2"/>
        <v>400</v>
      </c>
      <c r="L8" s="25"/>
    </row>
    <row r="9" spans="1:14" ht="28.2" customHeight="1" x14ac:dyDescent="0.45">
      <c r="A9" s="20">
        <v>6</v>
      </c>
      <c r="B9" s="21" t="s">
        <v>27</v>
      </c>
      <c r="C9" s="22" t="s">
        <v>15</v>
      </c>
      <c r="D9" s="23" t="s">
        <v>10</v>
      </c>
      <c r="E9" s="23">
        <v>50</v>
      </c>
      <c r="F9" s="24">
        <v>8.5</v>
      </c>
      <c r="G9" s="24">
        <f t="shared" si="1"/>
        <v>425</v>
      </c>
      <c r="H9" s="24">
        <v>9</v>
      </c>
      <c r="I9" s="24">
        <f t="shared" si="0"/>
        <v>450</v>
      </c>
      <c r="J9" s="24">
        <v>12</v>
      </c>
      <c r="K9" s="24">
        <f t="shared" si="2"/>
        <v>600</v>
      </c>
      <c r="L9" s="25"/>
    </row>
    <row r="10" spans="1:14" ht="28.2" customHeight="1" x14ac:dyDescent="0.45">
      <c r="A10" s="20">
        <v>7</v>
      </c>
      <c r="B10" s="21" t="s">
        <v>28</v>
      </c>
      <c r="C10" s="22" t="s">
        <v>16</v>
      </c>
      <c r="D10" s="23" t="s">
        <v>10</v>
      </c>
      <c r="E10" s="23">
        <v>30</v>
      </c>
      <c r="F10" s="24">
        <v>18</v>
      </c>
      <c r="G10" s="24">
        <f t="shared" si="1"/>
        <v>540</v>
      </c>
      <c r="H10" s="24">
        <v>21</v>
      </c>
      <c r="I10" s="24">
        <f t="shared" si="0"/>
        <v>630</v>
      </c>
      <c r="J10" s="24">
        <v>22</v>
      </c>
      <c r="K10" s="24">
        <f t="shared" si="2"/>
        <v>660</v>
      </c>
      <c r="L10" s="25"/>
    </row>
    <row r="11" spans="1:14" ht="28.2" customHeight="1" x14ac:dyDescent="0.45">
      <c r="A11" s="20">
        <v>8</v>
      </c>
      <c r="B11" s="21" t="s">
        <v>17</v>
      </c>
      <c r="C11" s="22" t="s">
        <v>35</v>
      </c>
      <c r="D11" s="23" t="s">
        <v>10</v>
      </c>
      <c r="E11" s="23">
        <v>1</v>
      </c>
      <c r="F11" s="24">
        <v>1045</v>
      </c>
      <c r="G11" s="24">
        <f t="shared" si="1"/>
        <v>1045</v>
      </c>
      <c r="H11" s="24">
        <v>1098</v>
      </c>
      <c r="I11" s="24">
        <f t="shared" si="0"/>
        <v>1098</v>
      </c>
      <c r="J11" s="24">
        <v>1180</v>
      </c>
      <c r="K11" s="24">
        <f t="shared" si="2"/>
        <v>1180</v>
      </c>
      <c r="L11" s="25"/>
    </row>
    <row r="12" spans="1:14" ht="28.2" customHeight="1" x14ac:dyDescent="0.45">
      <c r="A12" s="20">
        <v>9</v>
      </c>
      <c r="B12" s="21" t="s">
        <v>18</v>
      </c>
      <c r="C12" s="22" t="s">
        <v>36</v>
      </c>
      <c r="D12" s="23" t="s">
        <v>10</v>
      </c>
      <c r="E12" s="23">
        <v>1</v>
      </c>
      <c r="F12" s="24">
        <v>605</v>
      </c>
      <c r="G12" s="24">
        <f t="shared" si="1"/>
        <v>605</v>
      </c>
      <c r="H12" s="24">
        <v>610</v>
      </c>
      <c r="I12" s="24">
        <f t="shared" si="0"/>
        <v>610</v>
      </c>
      <c r="J12" s="24">
        <v>685</v>
      </c>
      <c r="K12" s="24">
        <f t="shared" si="2"/>
        <v>685</v>
      </c>
      <c r="L12" s="25"/>
    </row>
    <row r="13" spans="1:14" ht="28.2" customHeight="1" x14ac:dyDescent="0.45">
      <c r="A13" s="20">
        <v>10</v>
      </c>
      <c r="B13" s="21" t="s">
        <v>20</v>
      </c>
      <c r="C13" s="22" t="s">
        <v>21</v>
      </c>
      <c r="D13" s="23" t="s">
        <v>10</v>
      </c>
      <c r="E13" s="23">
        <v>5</v>
      </c>
      <c r="F13" s="24">
        <v>35</v>
      </c>
      <c r="G13" s="24">
        <f t="shared" si="1"/>
        <v>175</v>
      </c>
      <c r="H13" s="24">
        <v>40</v>
      </c>
      <c r="I13" s="24">
        <f t="shared" si="0"/>
        <v>200</v>
      </c>
      <c r="J13" s="24">
        <v>40</v>
      </c>
      <c r="K13" s="24">
        <f t="shared" si="2"/>
        <v>200</v>
      </c>
      <c r="L13" s="25"/>
    </row>
    <row r="14" spans="1:14" ht="28.2" customHeight="1" x14ac:dyDescent="0.45">
      <c r="A14" s="20">
        <v>11</v>
      </c>
      <c r="B14" s="21" t="s">
        <v>22</v>
      </c>
      <c r="C14" s="22" t="s">
        <v>23</v>
      </c>
      <c r="D14" s="23" t="s">
        <v>24</v>
      </c>
      <c r="E14" s="23">
        <v>5</v>
      </c>
      <c r="F14" s="24">
        <v>6.75</v>
      </c>
      <c r="G14" s="24">
        <f t="shared" si="1"/>
        <v>33.75</v>
      </c>
      <c r="H14" s="24">
        <v>7</v>
      </c>
      <c r="I14" s="24">
        <f t="shared" si="0"/>
        <v>35</v>
      </c>
      <c r="J14" s="24">
        <v>8</v>
      </c>
      <c r="K14" s="24">
        <f t="shared" si="2"/>
        <v>40</v>
      </c>
      <c r="L14" s="25"/>
    </row>
    <row r="15" spans="1:14" ht="57.6" customHeight="1" x14ac:dyDescent="0.45">
      <c r="A15" s="20">
        <v>12</v>
      </c>
      <c r="B15" s="22" t="s">
        <v>26</v>
      </c>
      <c r="C15" s="22" t="s">
        <v>25</v>
      </c>
      <c r="D15" s="23" t="s">
        <v>19</v>
      </c>
      <c r="E15" s="23">
        <v>200</v>
      </c>
      <c r="F15" s="24">
        <v>180</v>
      </c>
      <c r="G15" s="24">
        <f t="shared" si="1"/>
        <v>36000</v>
      </c>
      <c r="H15" s="24">
        <v>196</v>
      </c>
      <c r="I15" s="24">
        <f t="shared" si="0"/>
        <v>39200</v>
      </c>
      <c r="J15" s="24">
        <v>205</v>
      </c>
      <c r="K15" s="24">
        <f t="shared" si="2"/>
        <v>41000</v>
      </c>
      <c r="L15" s="25"/>
    </row>
    <row r="16" spans="1:14" s="17" customFormat="1" ht="31.8" customHeight="1" x14ac:dyDescent="0.4">
      <c r="F16" s="18"/>
      <c r="G16" s="18">
        <f>SUM(G4:G15)</f>
        <v>48006.25</v>
      </c>
      <c r="H16" s="18"/>
      <c r="I16" s="18">
        <f>SUM(I4:I15)</f>
        <v>52013</v>
      </c>
      <c r="J16" s="18"/>
      <c r="K16" s="18">
        <f>SUM(K4:K15)</f>
        <v>55415</v>
      </c>
    </row>
    <row r="17" spans="6:11" x14ac:dyDescent="0.45">
      <c r="F17" s="16"/>
      <c r="G17" s="16"/>
      <c r="H17" s="16"/>
      <c r="I17" s="16"/>
      <c r="J17" s="16"/>
      <c r="K17" s="16"/>
    </row>
    <row r="18" spans="6:11" x14ac:dyDescent="0.45">
      <c r="I18" s="19"/>
    </row>
  </sheetData>
  <autoFilter ref="A3:S15" xr:uid="{5731BB65-2DB8-40E1-B206-B224839725C8}"/>
  <phoneticPr fontId="2" type="noConversion"/>
  <pageMargins left="0.39370078740157483" right="0.35433070866141736" top="0.59055118110236227" bottom="0.55118110236220474" header="0.15748031496062992" footer="0.15748031496062992"/>
  <pageSetup paperSize="9" scale="67" orientation="landscape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new</vt:lpstr>
      <vt:lpstr>new!Print_Area</vt:lpstr>
      <vt:lpstr>new!Print_Titles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2026-10-10T13:47:54Z</dcterms:created>
  <dcterms:modified xsi:type="dcterms:W3CDTF">2026-10-17T05:41:03Z</dcterms:modified>
</cp:coreProperties>
</file>