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Boss\PO\YATCO\QT-C26-150797\"/>
    </mc:Choice>
  </mc:AlternateContent>
  <xr:revisionPtr revIDLastSave="0" documentId="13_ncr:1_{F8434A17-F5C0-463D-973A-5A263276466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양식" sheetId="2" r:id="rId1"/>
    <sheet name="샘플_AGTC  소모품_1차" sheetId="1" r:id="rId2"/>
  </sheets>
  <externalReferences>
    <externalReference r:id="rId3"/>
  </externalReferences>
  <definedNames>
    <definedName name="__2_0__123Grap" localSheetId="1" hidden="1">#REF!</definedName>
    <definedName name="__2_0__123Grap" localSheetId="0" hidden="1">#REF!</definedName>
    <definedName name="__2_0__123Grap" hidden="1">#REF!</definedName>
    <definedName name="__4_0_Dist_" localSheetId="1" hidden="1">#REF!</definedName>
    <definedName name="__4_0_Dist_" localSheetId="0" hidden="1">#REF!</definedName>
    <definedName name="__4_0_Dist_" hidden="1">#REF!</definedName>
    <definedName name="_1_0__123Grap" localSheetId="1" hidden="1">#REF!</definedName>
    <definedName name="_1_0__123Grap" localSheetId="0" hidden="1">#REF!</definedName>
    <definedName name="_1_0__123Grap" hidden="1">#REF!</definedName>
    <definedName name="_1_123Grap" localSheetId="1" hidden="1">#REF!</definedName>
    <definedName name="_1_123Grap" localSheetId="0" hidden="1">#REF!</definedName>
    <definedName name="_1_123Grap" hidden="1">#REF!</definedName>
    <definedName name="_15_0_0_F" localSheetId="1" hidden="1">#REF!</definedName>
    <definedName name="_15_0_0_F" localSheetId="0" hidden="1">#REF!</definedName>
    <definedName name="_15_0_0_F" hidden="1">#REF!</definedName>
    <definedName name="_2_0__123Grap" localSheetId="1" hidden="1">#REF!</definedName>
    <definedName name="_2_0__123Grap" localSheetId="0" hidden="1">#REF!</definedName>
    <definedName name="_2_0__123Grap" hidden="1">#REF!</definedName>
    <definedName name="_2_0_Dist_" localSheetId="1" hidden="1">#REF!</definedName>
    <definedName name="_2_0_Dist_" localSheetId="0" hidden="1">#REF!</definedName>
    <definedName name="_2_0_Dist_" hidden="1">#REF!</definedName>
    <definedName name="_2Dist_" localSheetId="1" hidden="1">#REF!</definedName>
    <definedName name="_2Dist_" localSheetId="0" hidden="1">#REF!</definedName>
    <definedName name="_2Dist_" hidden="1">#REF!</definedName>
    <definedName name="_3F" localSheetId="1" hidden="1">#REF!</definedName>
    <definedName name="_3F" localSheetId="0" hidden="1">#REF!</definedName>
    <definedName name="_3F" hidden="1">#REF!</definedName>
    <definedName name="_4_0_0_F" localSheetId="1" hidden="1">#REF!</definedName>
    <definedName name="_4_0_0_F" localSheetId="0" hidden="1">#REF!</definedName>
    <definedName name="_4_0_0_F" hidden="1">#REF!</definedName>
    <definedName name="_4_0_Dist_" localSheetId="1" hidden="1">#REF!</definedName>
    <definedName name="_4_0_Dist_" localSheetId="0" hidden="1">#REF!</definedName>
    <definedName name="_4_0_Dist_" hidden="1">#REF!</definedName>
    <definedName name="_6_0__123Grap" localSheetId="1" hidden="1">#REF!</definedName>
    <definedName name="_6_0__123Grap" localSheetId="0" hidden="1">#REF!</definedName>
    <definedName name="_6_0__123Grap" hidden="1">#REF!</definedName>
    <definedName name="_7_0_0_F" localSheetId="1" hidden="1">#REF!</definedName>
    <definedName name="_7_0_0_F" localSheetId="0" hidden="1">#REF!</definedName>
    <definedName name="_7_0_0_F" hidden="1">#REF!</definedName>
    <definedName name="_8_0_0_F" localSheetId="1" hidden="1">#REF!</definedName>
    <definedName name="_8_0_0_F" localSheetId="0" hidden="1">#REF!</definedName>
    <definedName name="_8_0_0_F" hidden="1">#REF!</definedName>
    <definedName name="_9_0_Dist_" localSheetId="1" hidden="1">#REF!</definedName>
    <definedName name="_9_0_Dist_" localSheetId="0" hidden="1">#REF!</definedName>
    <definedName name="_9_0_Dist_" hidden="1">#REF!</definedName>
    <definedName name="_Dist_Bin" localSheetId="1" hidden="1">#REF!</definedName>
    <definedName name="_Dist_Bin" localSheetId="0" hidden="1">#REF!</definedName>
    <definedName name="_Dist_Bin" hidden="1">#REF!</definedName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#REF!</definedName>
    <definedName name="_xlnm._FilterDatabase" localSheetId="0" hidden="1">#REF!</definedName>
    <definedName name="_xlnm._FilterDatabase" hidden="1">#REF!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Order1" hidden="1">255</definedName>
    <definedName name="_Order2" hidden="1">0</definedName>
    <definedName name="_Sort" hidden="1">[1]업무분장!$A$1:$IV$4072</definedName>
    <definedName name="´cAE°eE¹" localSheetId="1" hidden="1">#REF!</definedName>
    <definedName name="´cAE°eE¹" localSheetId="0" hidden="1">#REF!</definedName>
    <definedName name="´cAE°eE¹" hidden="1">#REF!</definedName>
    <definedName name="￠￥cAE¡ÆeEⓒo" localSheetId="1" hidden="1">#REF!</definedName>
    <definedName name="￠￥cAE¡ÆeEⓒo" localSheetId="0" hidden="1">#REF!</definedName>
    <definedName name="￠￥cAE¡ÆeEⓒo" hidden="1">#REF!</definedName>
    <definedName name="AccessDatabase" hidden="1">"C:\My Documents\EXCEL\Insitu\내역서-금차분.mdb"</definedName>
    <definedName name="adklfj" localSheetId="1" hidden="1">#REF!</definedName>
    <definedName name="adklfj" localSheetId="0" hidden="1">#REF!</definedName>
    <definedName name="adklfj" hidden="1">#REF!</definedName>
    <definedName name="anscount" hidden="1">1</definedName>
    <definedName name="AZ" localSheetId="1" hidden="1">#REF!</definedName>
    <definedName name="AZ" localSheetId="0" hidden="1">#REF!</definedName>
    <definedName name="AZ" hidden="1">#REF!</definedName>
    <definedName name="BV" localSheetId="1" hidden="1">#REF!</definedName>
    <definedName name="BV" localSheetId="0" hidden="1">#REF!</definedName>
    <definedName name="BV" hidden="1">#REF!</definedName>
    <definedName name="dfsf" localSheetId="1" hidden="1">#REF!</definedName>
    <definedName name="dfsf" localSheetId="0" hidden="1">#REF!</definedName>
    <definedName name="dfsf" hidden="1">#REF!</definedName>
    <definedName name="djflkdslfj" localSheetId="1" hidden="1">#REF!</definedName>
    <definedName name="djflkdslfj" localSheetId="0" hidden="1">#REF!</definedName>
    <definedName name="djflkdslfj" hidden="1">#REF!</definedName>
    <definedName name="dljf" localSheetId="1" hidden="1">#REF!</definedName>
    <definedName name="dljf" localSheetId="0" hidden="1">#REF!</definedName>
    <definedName name="dljf" hidden="1">#REF!</definedName>
    <definedName name="dsf" localSheetId="1" hidden="1">#REF!</definedName>
    <definedName name="dsf" localSheetId="0" hidden="1">#REF!</definedName>
    <definedName name="dsf" hidden="1">#REF!</definedName>
    <definedName name="gdsg" localSheetId="1" hidden="1">#REF!</definedName>
    <definedName name="gdsg" localSheetId="0" hidden="1">#REF!</definedName>
    <definedName name="gdsg" hidden="1">#REF!</definedName>
    <definedName name="HTML_CodePage" hidden="1">949</definedName>
    <definedName name="HTML_Control" localSheetId="1" hidden="1">{"'별표'!$N$220"}</definedName>
    <definedName name="HTML_Control" localSheetId="0" hidden="1">{"'별표'!$N$220"}</definedName>
    <definedName name="HTML_Control" hidden="1">{"'별표'!$N$220"}</definedName>
    <definedName name="HTML_Description" hidden="1">""</definedName>
    <definedName name="HTML_Email" hidden="1">""</definedName>
    <definedName name="HTML_Header" hidden="1">"별표"</definedName>
    <definedName name="HTML_LastUpdate" hidden="1">"98-03-12"</definedName>
    <definedName name="HTML_LineAfter" hidden="1">FALSE</definedName>
    <definedName name="HTML_LineBefore" hidden="1">FALSE</definedName>
    <definedName name="HTML_Name" hidden="1">"나승온"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"한전감포"</definedName>
    <definedName name="JY" localSheetId="1" hidden="1">#REF!</definedName>
    <definedName name="JY" localSheetId="0" hidden="1">#REF!</definedName>
    <definedName name="JY" hidden="1">#REF!</definedName>
    <definedName name="_xlnm.Print_Area" localSheetId="1">'샘플_AGTC  소모품_1차'!$A$1:$V$34</definedName>
    <definedName name="_xlnm.Print_Area" localSheetId="0">양식!$A$1:$S$25</definedName>
    <definedName name="_xlnm.Print_Titles" localSheetId="1">'샘플_AGTC  소모품_1차'!$4:$5</definedName>
    <definedName name="SC" localSheetId="1" hidden="1">#REF!</definedName>
    <definedName name="SC" localSheetId="0" hidden="1">#REF!</definedName>
    <definedName name="SC" hidden="1">#REF!</definedName>
    <definedName name="sdfag" localSheetId="1" hidden="1">#REF!</definedName>
    <definedName name="sdfag" localSheetId="0" hidden="1">#REF!</definedName>
    <definedName name="sdfag" hidden="1">#REF!</definedName>
    <definedName name="VC" localSheetId="1" hidden="1">#REF!</definedName>
    <definedName name="VC" localSheetId="0" hidden="1">#REF!</definedName>
    <definedName name="VC" hidden="1">#REF!</definedName>
    <definedName name="VX" localSheetId="1" hidden="1">#REF!</definedName>
    <definedName name="VX" localSheetId="0" hidden="1">#REF!</definedName>
    <definedName name="VX" hidden="1">#REF!</definedName>
    <definedName name="xx" localSheetId="1" hidden="1">#REF!</definedName>
    <definedName name="xx" localSheetId="0" hidden="1">#REF!</definedName>
    <definedName name="xx" hidden="1">#REF!</definedName>
    <definedName name="가" localSheetId="1" hidden="1">#REF!</definedName>
    <definedName name="가" localSheetId="0" hidden="1">#REF!</definedName>
    <definedName name="가" hidden="1">#REF!</definedName>
    <definedName name="강릉교동" localSheetId="1" hidden="1">#REF!</definedName>
    <definedName name="강릉교동" localSheetId="0" hidden="1">#REF!</definedName>
    <definedName name="강릉교동" hidden="1">#REF!</definedName>
    <definedName name="강릉교동터파기" localSheetId="1" hidden="1">#REF!</definedName>
    <definedName name="강릉교동터파기" localSheetId="0" hidden="1">#REF!</definedName>
    <definedName name="강릉교동터파기" hidden="1">#REF!</definedName>
    <definedName name="강릉교동토목" localSheetId="1" hidden="1">#REF!</definedName>
    <definedName name="강릉교동토목" localSheetId="0" hidden="1">#REF!</definedName>
    <definedName name="강릉교동토목" hidden="1">#REF!</definedName>
    <definedName name="강릉교동흙막이" localSheetId="1" hidden="1">#REF!</definedName>
    <definedName name="강릉교동흙막이" localSheetId="0" hidden="1">#REF!</definedName>
    <definedName name="강릉교동흙막이" hidden="1">#REF!</definedName>
    <definedName name="강릉토공사" localSheetId="1" hidden="1">#REF!</definedName>
    <definedName name="강릉토공사" localSheetId="0" hidden="1">#REF!</definedName>
    <definedName name="강릉토공사" hidden="1">#REF!</definedName>
    <definedName name="강릉토목공사" localSheetId="1" hidden="1">#REF!</definedName>
    <definedName name="강릉토목공사" localSheetId="0" hidden="1">#REF!</definedName>
    <definedName name="강릉토목공사" hidden="1">#REF!</definedName>
    <definedName name="강릉토목임" localSheetId="1" hidden="1">#REF!</definedName>
    <definedName name="강릉토목임" localSheetId="0" hidden="1">#REF!</definedName>
    <definedName name="강릉토목임" hidden="1">#REF!</definedName>
    <definedName name="경비1" localSheetId="1" hidden="1">#REF!</definedName>
    <definedName name="경비1" localSheetId="0" hidden="1">#REF!</definedName>
    <definedName name="경비1" hidden="1">#REF!</definedName>
    <definedName name="고가" hidden="1">#N/A</definedName>
    <definedName name="교동토" localSheetId="1" hidden="1">#REF!</definedName>
    <definedName name="교동토" localSheetId="0" hidden="1">#REF!</definedName>
    <definedName name="교동토" hidden="1">#REF!</definedName>
    <definedName name="당초계획" localSheetId="1" hidden="1">#REF!</definedName>
    <definedName name="당초계획" localSheetId="0" hidden="1">#REF!</definedName>
    <definedName name="당초계획" hidden="1">#REF!</definedName>
    <definedName name="대구신당동" localSheetId="1" hidden="1">{"'별표'!$N$220"}</definedName>
    <definedName name="대구신당동" localSheetId="0" hidden="1">{"'별표'!$N$220"}</definedName>
    <definedName name="대구신당동" hidden="1">{"'별표'!$N$220"}</definedName>
    <definedName name="ㅀ" localSheetId="1" hidden="1">#REF!</definedName>
    <definedName name="ㅀ" localSheetId="0" hidden="1">#REF!</definedName>
    <definedName name="ㅀ" hidden="1">#REF!</definedName>
    <definedName name="ㅁㅇㅇㅁㅇ" localSheetId="1" hidden="1">#REF!</definedName>
    <definedName name="ㅁㅇㅇㅁㅇ" localSheetId="0" hidden="1">#REF!</definedName>
    <definedName name="ㅁㅇㅇㅁㅇ" hidden="1">#REF!</definedName>
    <definedName name="미동의이주" hidden="1">#N/A</definedName>
    <definedName name="부대건축2" localSheetId="1" hidden="1">#REF!</definedName>
    <definedName name="부대건축2" localSheetId="0" hidden="1">#REF!</definedName>
    <definedName name="부대건축2" hidden="1">#REF!</definedName>
    <definedName name="설계내역서" localSheetId="1" hidden="1">{"'별표'!$N$220"}</definedName>
    <definedName name="설계내역서" localSheetId="0" hidden="1">{"'별표'!$N$220"}</definedName>
    <definedName name="설계내역서" hidden="1">{"'별표'!$N$220"}</definedName>
    <definedName name="설서" localSheetId="1" hidden="1">{"'별표'!$N$220"}</definedName>
    <definedName name="설서" localSheetId="0" hidden="1">{"'별표'!$N$220"}</definedName>
    <definedName name="설서" hidden="1">{"'별표'!$N$220"}</definedName>
    <definedName name="손익계산서" localSheetId="1" hidden="1">#REF!</definedName>
    <definedName name="손익계산서" localSheetId="0" hidden="1">#REF!</definedName>
    <definedName name="손익계산서" hidden="1">#REF!</definedName>
    <definedName name="ㅇㄹ" localSheetId="1" hidden="1">#REF!</definedName>
    <definedName name="ㅇㄹ" localSheetId="0" hidden="1">#REF!</definedName>
    <definedName name="ㅇㄹ" hidden="1">#REF!</definedName>
    <definedName name="아안녕" localSheetId="1" hidden="1">{"'별표'!$N$220"}</definedName>
    <definedName name="아안녕" localSheetId="0" hidden="1">{"'별표'!$N$220"}</definedName>
    <definedName name="아안녕" hidden="1">{"'별표'!$N$220"}</definedName>
    <definedName name="안녕" localSheetId="1" hidden="1">{"'별표'!$N$220"}</definedName>
    <definedName name="안녕" localSheetId="0" hidden="1">{"'별표'!$N$220"}</definedName>
    <definedName name="안녕" hidden="1">{"'별표'!$N$220"}</definedName>
    <definedName name="이름모름" localSheetId="1" hidden="1">{"'별표'!$N$220"}</definedName>
    <definedName name="이름모름" localSheetId="0" hidden="1">{"'별표'!$N$220"}</definedName>
    <definedName name="이름모름" hidden="1">{"'별표'!$N$220"}</definedName>
    <definedName name="자금운영7차" hidden="1">#N/A</definedName>
    <definedName name="타사공사비1" localSheetId="1" hidden="1">#REF!</definedName>
    <definedName name="타사공사비1" localSheetId="0" hidden="1">#REF!</definedName>
    <definedName name="타사공사비1" hidden="1">#REF!</definedName>
    <definedName name="토목공사강릉" localSheetId="1" hidden="1">#REF!</definedName>
    <definedName name="토목공사강릉" localSheetId="0" hidden="1">#REF!</definedName>
    <definedName name="토목공사강릉" hidden="1">#REF!</definedName>
    <definedName name="ㅎㅎ" localSheetId="1" hidden="1">{"'별표'!$N$220"}</definedName>
    <definedName name="ㅎㅎ" localSheetId="0" hidden="1">{"'별표'!$N$220"}</definedName>
    <definedName name="ㅎㅎ" hidden="1">{"'별표'!$N$220"}</definedName>
    <definedName name="현대코아공통비" localSheetId="1" hidden="1">#REF!</definedName>
    <definedName name="현대코아공통비" localSheetId="0" hidden="1">#REF!</definedName>
    <definedName name="현대코아공통비" hidden="1">#REF!</definedName>
    <definedName name="협조전" localSheetId="1" hidden="1">#REF!</definedName>
    <definedName name="협조전" localSheetId="0" hidden="1">#REF!</definedName>
    <definedName name="협조전" hidden="1">#REF!</definedName>
    <definedName name="호ㅓ" localSheetId="1" hidden="1">#REF!</definedName>
    <definedName name="호ㅓ" localSheetId="0" hidden="1">#REF!</definedName>
    <definedName name="호ㅓ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" i="1" l="1"/>
  <c r="H17" i="1"/>
  <c r="H11" i="1"/>
  <c r="I11" i="1" s="1"/>
  <c r="H10" i="1"/>
  <c r="H9" i="1"/>
  <c r="H8" i="1"/>
  <c r="I8" i="1" s="1"/>
  <c r="H7" i="1"/>
  <c r="I7" i="1" s="1"/>
  <c r="I9" i="1"/>
  <c r="I10" i="1"/>
  <c r="Q14" i="1"/>
  <c r="Q15" i="1"/>
  <c r="Q16" i="1"/>
  <c r="Q17" i="1"/>
  <c r="U8" i="1"/>
  <c r="U9" i="1"/>
  <c r="U10" i="1"/>
  <c r="U11" i="1"/>
  <c r="U12" i="1"/>
  <c r="U13" i="1"/>
  <c r="U14" i="1"/>
  <c r="U15" i="1"/>
  <c r="U16" i="1"/>
  <c r="U17" i="1"/>
  <c r="S8" i="1"/>
  <c r="S9" i="1"/>
  <c r="S10" i="1"/>
  <c r="S11" i="1"/>
  <c r="S12" i="1"/>
  <c r="S13" i="1"/>
  <c r="S14" i="1"/>
  <c r="S15" i="1"/>
  <c r="S16" i="1"/>
  <c r="S17" i="1"/>
  <c r="S7" i="1"/>
  <c r="O7" i="1"/>
  <c r="O8" i="1"/>
  <c r="O9" i="1"/>
  <c r="O10" i="1"/>
  <c r="O11" i="1"/>
  <c r="O12" i="1"/>
  <c r="O13" i="1"/>
  <c r="O14" i="1"/>
  <c r="O15" i="1"/>
  <c r="O16" i="1"/>
  <c r="O17" i="1"/>
  <c r="K7" i="1"/>
  <c r="K8" i="1"/>
  <c r="K9" i="1"/>
  <c r="K10" i="1"/>
  <c r="K11" i="1"/>
  <c r="K12" i="1"/>
  <c r="K13" i="1"/>
  <c r="K14" i="1"/>
  <c r="K15" i="1"/>
  <c r="K16" i="1"/>
  <c r="K17" i="1"/>
  <c r="Q13" i="1" l="1"/>
  <c r="Q11" i="1"/>
  <c r="U7" i="1"/>
  <c r="M19" i="1"/>
  <c r="B34" i="1"/>
  <c r="G18" i="1"/>
  <c r="Q12" i="1" l="1"/>
  <c r="Q10" i="1"/>
  <c r="Q8" i="1"/>
  <c r="Q9" i="1"/>
  <c r="Q7" i="1"/>
  <c r="S6" i="1"/>
  <c r="O6" i="1" l="1"/>
  <c r="K6" i="1" l="1"/>
  <c r="R18" i="1" l="1"/>
  <c r="N18" i="1"/>
  <c r="J18" i="1"/>
  <c r="C25" i="1" s="1"/>
  <c r="O19" i="1" l="1"/>
  <c r="O20" i="1" s="1"/>
  <c r="C27" i="1"/>
  <c r="C26" i="1"/>
  <c r="K19" i="1" l="1"/>
  <c r="K20" i="1" s="1"/>
  <c r="Q6" i="1"/>
  <c r="U6" i="1" l="1"/>
  <c r="S19" i="1"/>
  <c r="S20" i="1" s="1"/>
  <c r="O21" i="1"/>
  <c r="J26" i="1" l="1"/>
  <c r="S21" i="1"/>
  <c r="J27" i="1" l="1"/>
  <c r="N26" i="1"/>
  <c r="R26" i="1" l="1"/>
  <c r="N27" i="1"/>
  <c r="R27" i="1"/>
  <c r="K21" i="1" l="1"/>
  <c r="Q19" i="1"/>
  <c r="U19" i="1"/>
  <c r="E25" i="1" l="1"/>
  <c r="U21" i="1"/>
  <c r="Q21" i="1"/>
  <c r="J25" i="1"/>
  <c r="L26" i="1" l="1"/>
  <c r="L27" i="1"/>
  <c r="R25" i="1"/>
  <c r="N25" i="1"/>
  <c r="T26" i="1"/>
  <c r="P27" i="1"/>
  <c r="T27" i="1"/>
  <c r="P26" i="1"/>
  <c r="Q25" i="1" l="1"/>
  <c r="P25" i="1"/>
  <c r="U25" i="1"/>
  <c r="T25" i="1"/>
  <c r="G19" i="1"/>
  <c r="G20" i="1" s="1"/>
  <c r="G21" i="1" l="1"/>
  <c r="I21" i="1" s="1"/>
</calcChain>
</file>

<file path=xl/sharedStrings.xml><?xml version="1.0" encoding="utf-8"?>
<sst xmlns="http://schemas.openxmlformats.org/spreadsheetml/2006/main" count="136" uniqueCount="89">
  <si>
    <t>1. 가격 검토표</t>
    <phoneticPr fontId="4" type="noConversion"/>
  </si>
  <si>
    <t>[Currency : SAR]</t>
    <phoneticPr fontId="4" type="noConversion"/>
  </si>
  <si>
    <t>No.</t>
    <phoneticPr fontId="4" type="noConversion"/>
  </si>
  <si>
    <t>Item Name</t>
    <phoneticPr fontId="4" type="noConversion"/>
  </si>
  <si>
    <t>Specification</t>
    <phoneticPr fontId="4" type="noConversion"/>
  </si>
  <si>
    <t>Unit measure</t>
    <phoneticPr fontId="4" type="noConversion"/>
  </si>
  <si>
    <t>수량</t>
    <phoneticPr fontId="4" type="noConversion"/>
  </si>
  <si>
    <t>입찰(견적) 금액 ①</t>
    <phoneticPr fontId="4" type="noConversion"/>
  </si>
  <si>
    <t>검토 금액 ②</t>
    <phoneticPr fontId="4" type="noConversion"/>
  </si>
  <si>
    <t>검토 금액 ③</t>
    <phoneticPr fontId="4" type="noConversion"/>
  </si>
  <si>
    <t>비 고</t>
    <phoneticPr fontId="4" type="noConversion"/>
  </si>
  <si>
    <t>단가</t>
    <phoneticPr fontId="4" type="noConversion"/>
  </si>
  <si>
    <t>총액</t>
    <phoneticPr fontId="4" type="noConversion"/>
  </si>
  <si>
    <t>Spec. or Brand</t>
    <phoneticPr fontId="4" type="noConversion"/>
  </si>
  <si>
    <t>%</t>
    <phoneticPr fontId="4" type="noConversion"/>
  </si>
  <si>
    <t>단가</t>
    <phoneticPr fontId="4" type="noConversion"/>
  </si>
  <si>
    <t>총액</t>
    <phoneticPr fontId="4" type="noConversion"/>
  </si>
  <si>
    <t>Spec. or Brand</t>
    <phoneticPr fontId="4" type="noConversion"/>
  </si>
  <si>
    <t>% (②/①)</t>
    <phoneticPr fontId="4" type="noConversion"/>
  </si>
  <si>
    <t>Spec. or Brand</t>
    <phoneticPr fontId="4" type="noConversion"/>
  </si>
  <si>
    <t>% (③/①)</t>
    <phoneticPr fontId="4" type="noConversion"/>
  </si>
  <si>
    <t>Supplier Company</t>
    <phoneticPr fontId="4" type="noConversion"/>
  </si>
  <si>
    <t>Total Taxable Amount</t>
    <phoneticPr fontId="4" type="noConversion"/>
  </si>
  <si>
    <t>15 % VAT for Total Taxable amount</t>
    <phoneticPr fontId="4" type="noConversion"/>
  </si>
  <si>
    <t xml:space="preserve"> 합계  ④</t>
    <phoneticPr fontId="4" type="noConversion"/>
  </si>
  <si>
    <t>[Currency : SAR]</t>
    <phoneticPr fontId="4" type="noConversion"/>
  </si>
  <si>
    <t>순</t>
    <phoneticPr fontId="4" type="noConversion"/>
  </si>
  <si>
    <t>업체명</t>
    <phoneticPr fontId="4" type="noConversion"/>
  </si>
  <si>
    <t>예산 ④</t>
    <phoneticPr fontId="4" type="noConversion"/>
  </si>
  <si>
    <t>입찰(견적) 금액</t>
    <phoneticPr fontId="4" type="noConversion"/>
  </si>
  <si>
    <t>예산 (%)</t>
    <phoneticPr fontId="4" type="noConversion"/>
  </si>
  <si>
    <t>검토 금액</t>
    <phoneticPr fontId="4" type="noConversion"/>
  </si>
  <si>
    <t>예산 (%)</t>
    <phoneticPr fontId="4" type="noConversion"/>
  </si>
  <si>
    <t>비고</t>
  </si>
  <si>
    <t>3. 입찰 (견적) 현황 &amp; 특기사항</t>
    <phoneticPr fontId="4" type="noConversion"/>
  </si>
  <si>
    <t>4. 결과</t>
    <phoneticPr fontId="4" type="noConversion"/>
  </si>
  <si>
    <t xml:space="preserve">■ 입찰가 (단가) 검토서 / </t>
    <phoneticPr fontId="4" type="noConversion"/>
  </si>
  <si>
    <t xml:space="preserve">Date : </t>
    <phoneticPr fontId="4" type="noConversion"/>
  </si>
  <si>
    <t>2.                              검토 금액 (VAT inclusive)</t>
  </si>
  <si>
    <t>Unit Price</t>
  </si>
  <si>
    <t>Total Amount</t>
  </si>
  <si>
    <t>Qty</t>
  </si>
  <si>
    <t>Remark</t>
  </si>
  <si>
    <t>1. Price Review Sheet</t>
  </si>
  <si>
    <t>2. Amount under review (VAT inclusive)</t>
  </si>
  <si>
    <t>Total ④</t>
  </si>
  <si>
    <t>No</t>
  </si>
  <si>
    <t>Company Name</t>
  </si>
  <si>
    <t>Budget ④</t>
  </si>
  <si>
    <t>Bid (Quotation) Amount</t>
  </si>
  <si>
    <t>Budget (%)</t>
  </si>
  <si>
    <t>Amount under review</t>
  </si>
  <si>
    <t>Remarks</t>
  </si>
  <si>
    <t>3. Bidding (Quotation) Status &amp; Special Notes</t>
  </si>
  <si>
    <t>4. Results</t>
  </si>
  <si>
    <t>SITE CONSUMABLES</t>
  </si>
  <si>
    <t>■ Bid Price (Unit Price) Review &amp; Compression Sheet</t>
  </si>
  <si>
    <t>Previous Price</t>
  </si>
  <si>
    <t>YATCO (Yaqoot Arabia Trading Company)</t>
  </si>
  <si>
    <t xml:space="preserve">PVC CHAMFER </t>
  </si>
  <si>
    <t xml:space="preserve">TOE FOOT GUARD </t>
  </si>
  <si>
    <t xml:space="preserve">ANTI VIBRATION HAND GLOVES </t>
  </si>
  <si>
    <t xml:space="preserve">INDUSTRIAL PLUG </t>
  </si>
  <si>
    <t>HEX PLUG</t>
  </si>
  <si>
    <t>REDUCER BUSHING SS(304)</t>
  </si>
  <si>
    <t>EQUAL TEE CS(A105)</t>
  </si>
  <si>
    <t xml:space="preserve">ELECTRICAL DRILL MACHINE </t>
  </si>
  <si>
    <t xml:space="preserve">DIE GRINDER MACHINE </t>
  </si>
  <si>
    <t>RAPID GUN TACKER</t>
  </si>
  <si>
    <t>STAPLE PIN</t>
  </si>
  <si>
    <t xml:space="preserve">Flexible Rubber Cable </t>
  </si>
  <si>
    <t>25X25MMX2MTR (50pcs/Bundle)</t>
  </si>
  <si>
    <t xml:space="preserve">3PIN 16AMP 220V </t>
  </si>
  <si>
    <t>1/4" NPT FEMALE BRASS</t>
  </si>
  <si>
    <t>M1/2"XF1/4" NPT</t>
  </si>
  <si>
    <t xml:space="preserve">1/2" NPT </t>
  </si>
  <si>
    <t xml:space="preserve">14MM 710W DEWALT WITH TUV </t>
  </si>
  <si>
    <t>6MM 450W DEWALT WITH TUV</t>
  </si>
  <si>
    <t>SUITABLE FOR TYPE 53 STAPLES, 8 MM LEG LENGTH</t>
  </si>
  <si>
    <t>TYPE 53, 8 MM, 1,000 PCS/PACK</t>
  </si>
  <si>
    <t>non-armoured, 4c × 35 mm², flexible stranded copper conductor, epr/rubber insulated, heavy-duty rubber sheathed, 0.6/1 kv</t>
  </si>
  <si>
    <t>GULF KEY TRADING EST</t>
  </si>
  <si>
    <t>ASSAS EARTH TRADING EST</t>
  </si>
  <si>
    <t>Bndl</t>
  </si>
  <si>
    <t xml:space="preserve">Pair </t>
  </si>
  <si>
    <t>Ea</t>
  </si>
  <si>
    <t>Pack</t>
  </si>
  <si>
    <t>Mtr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</si>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</sst>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_-;\-* #,##0_-;_-* &quot;-&quot;_-;_-@_-"/>
    <numFmt numFmtId="165" formatCode="_-* #,##0.00_-;\-* #,##0.00_-;_-* &quot;-&quot;??_-;_-@_-"/>
    <numFmt numFmtId="166" formatCode="#,##0.000_);[Red]\(#,##0.000\)"/>
    <numFmt numFmtId="167" formatCode="#,##0.000_ ;[Red]\-#,##0.000\ "/>
    <numFmt numFmtId="168" formatCode="#,##0.00_ ;[Red]\-#,##0.00\ "/>
    <numFmt numFmtId="169" formatCode="0.0%"/>
    <numFmt numFmtId="170" formatCode="0.000_ ;[Red]\-0.000\ "/>
    <numFmt numFmtId="171" formatCode="[$-409]d\-mmm\-yyyy;@"/>
  </numFmts>
  <fonts count="45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6"/>
      <color theme="1"/>
      <name val="현대하모니 M"/>
      <family val="1"/>
      <charset val="129"/>
    </font>
    <font>
      <sz val="8"/>
      <name val="Calibri"/>
      <family val="2"/>
      <charset val="129"/>
      <scheme val="minor"/>
    </font>
    <font>
      <b/>
      <sz val="11"/>
      <color theme="1"/>
      <name val="현대하모니 M"/>
      <family val="1"/>
      <charset val="129"/>
    </font>
    <font>
      <sz val="8"/>
      <color theme="1"/>
      <name val="현대하모니 M"/>
      <family val="1"/>
      <charset val="129"/>
    </font>
    <font>
      <sz val="11"/>
      <color theme="1"/>
      <name val="현대하모니 M"/>
      <family val="1"/>
      <charset val="129"/>
    </font>
    <font>
      <b/>
      <sz val="8"/>
      <color theme="1"/>
      <name val="현대하모니 M"/>
      <family val="1"/>
      <charset val="129"/>
    </font>
    <font>
      <sz val="9"/>
      <color theme="1"/>
      <name val="현대하모니 M"/>
      <family val="1"/>
      <charset val="129"/>
    </font>
    <font>
      <sz val="9"/>
      <name val="현대하모니 M"/>
      <family val="1"/>
      <charset val="129"/>
    </font>
    <font>
      <b/>
      <sz val="9"/>
      <color rgb="FF3C0BB5"/>
      <name val="현대하모니 M"/>
      <family val="1"/>
      <charset val="129"/>
    </font>
    <font>
      <sz val="11"/>
      <color indexed="8"/>
      <name val="현대하모니 M"/>
      <family val="1"/>
      <charset val="129"/>
    </font>
    <font>
      <b/>
      <sz val="9"/>
      <color theme="1"/>
      <name val="현대하모니 M"/>
      <family val="1"/>
      <charset val="129"/>
    </font>
    <font>
      <b/>
      <sz val="9"/>
      <name val="현대하모니 M"/>
      <family val="1"/>
      <charset val="129"/>
    </font>
    <font>
      <sz val="9"/>
      <color indexed="8"/>
      <name val="현대하모니 M"/>
      <family val="1"/>
      <charset val="129"/>
    </font>
    <font>
      <b/>
      <sz val="9"/>
      <color rgb="FF1802BE"/>
      <name val="현대하모니 M"/>
      <family val="1"/>
      <charset val="129"/>
    </font>
    <font>
      <sz val="9"/>
      <color rgb="FF1802BE"/>
      <name val="현대하모니 M"/>
      <family val="1"/>
      <charset val="129"/>
    </font>
    <font>
      <b/>
      <sz val="10"/>
      <color theme="1"/>
      <name val="현대하모니 M"/>
      <family val="1"/>
      <charset val="129"/>
    </font>
    <font>
      <b/>
      <sz val="10"/>
      <name val="현대하모니 M"/>
      <family val="1"/>
      <charset val="129"/>
    </font>
    <font>
      <sz val="10"/>
      <color theme="1"/>
      <name val="현대하모니 M"/>
      <family val="1"/>
      <charset val="129"/>
    </font>
    <font>
      <sz val="10"/>
      <name val="현대하모니 M"/>
      <family val="1"/>
      <charset val="129"/>
    </font>
    <font>
      <sz val="11"/>
      <name val="현대하모니 M"/>
      <family val="1"/>
      <charset val="129"/>
    </font>
    <font>
      <sz val="11"/>
      <name val="돋움"/>
      <family val="3"/>
      <charset val="129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C0BB5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b/>
      <sz val="10"/>
      <color rgb="FF3C0BB5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3C0BB5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rgb="FF1802BE"/>
      <name val="Calibri"/>
      <family val="2"/>
      <scheme val="minor"/>
    </font>
    <font>
      <sz val="9"/>
      <color rgb="FF1802BE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08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thin">
        <color theme="0" tint="-0.499984740745262"/>
      </right>
      <top/>
      <bottom style="double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theme="0" tint="-0.499984740745262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24994659260841701"/>
      </bottom>
      <diagonal/>
    </border>
    <border>
      <left/>
      <right/>
      <top style="thin">
        <color theme="0" tint="-0.499984740745262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24994659260841701"/>
      </bottom>
      <diagonal/>
    </border>
    <border>
      <left/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/>
      <top/>
      <bottom style="thin">
        <color theme="0" tint="-0.24994659260841701"/>
      </bottom>
      <diagonal/>
    </border>
    <border>
      <left style="hair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 style="double">
        <color indexed="64"/>
      </bottom>
      <diagonal/>
    </border>
    <border>
      <left/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auto="1"/>
      </top>
      <bottom style="double">
        <color auto="1"/>
      </bottom>
      <diagonal/>
    </border>
    <border>
      <left/>
      <right style="medium">
        <color indexed="64"/>
      </right>
      <top style="medium">
        <color auto="1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double">
        <color auto="1"/>
      </top>
      <bottom style="thin">
        <color theme="0" tint="-0.24994659260841701"/>
      </bottom>
      <diagonal/>
    </border>
    <border>
      <left/>
      <right style="thin">
        <color indexed="64"/>
      </right>
      <top style="double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double">
        <color auto="1"/>
      </top>
      <bottom style="thin">
        <color theme="0" tint="-0.24994659260841701"/>
      </bottom>
      <diagonal/>
    </border>
    <border>
      <left style="hair">
        <color indexed="64"/>
      </left>
      <right/>
      <top style="double">
        <color auto="1"/>
      </top>
      <bottom style="thin">
        <color theme="0" tint="-0.24994659260841701"/>
      </bottom>
      <diagonal/>
    </border>
    <border>
      <left/>
      <right style="medium">
        <color indexed="64"/>
      </right>
      <top style="double">
        <color auto="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medium">
        <color theme="0" tint="-0.499984740745262"/>
      </right>
      <top style="thin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3" fillId="0" borderId="0">
      <alignment vertical="center"/>
    </xf>
  </cellStyleXfs>
  <cellXfs count="397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>
      <alignment vertical="center"/>
    </xf>
    <xf numFmtId="0" fontId="5" fillId="0" borderId="0" xfId="0" applyFont="1" applyAlignment="1">
      <alignment horizontal="right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9" fontId="5" fillId="0" borderId="0" xfId="0" applyNumberFormat="1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64" fontId="5" fillId="0" borderId="0" xfId="1" applyFont="1" applyFill="1" applyBorder="1" applyAlignment="1">
      <alignment horizontal="center" vertical="center"/>
    </xf>
    <xf numFmtId="164" fontId="8" fillId="3" borderId="16" xfId="1" applyFont="1" applyFill="1" applyBorder="1" applyAlignment="1">
      <alignment horizontal="center" vertical="center"/>
    </xf>
    <xf numFmtId="40" fontId="8" fillId="3" borderId="17" xfId="1" applyNumberFormat="1" applyFont="1" applyFill="1" applyBorder="1" applyAlignment="1">
      <alignment horizontal="center" vertical="center"/>
    </xf>
    <xf numFmtId="40" fontId="8" fillId="3" borderId="18" xfId="1" applyNumberFormat="1" applyFont="1" applyFill="1" applyBorder="1" applyAlignment="1">
      <alignment horizontal="center" vertical="center" wrapText="1"/>
    </xf>
    <xf numFmtId="9" fontId="8" fillId="3" borderId="19" xfId="1" applyNumberFormat="1" applyFont="1" applyFill="1" applyBorder="1" applyAlignment="1">
      <alignment horizontal="center" vertical="center"/>
    </xf>
    <xf numFmtId="9" fontId="8" fillId="3" borderId="19" xfId="1" applyNumberFormat="1" applyFont="1" applyFill="1" applyBorder="1" applyAlignment="1">
      <alignment horizontal="center" vertical="center" wrapText="1"/>
    </xf>
    <xf numFmtId="0" fontId="9" fillId="2" borderId="21" xfId="0" quotePrefix="1" applyFont="1" applyFill="1" applyBorder="1" applyAlignment="1">
      <alignment horizontal="center" vertical="center"/>
    </xf>
    <xf numFmtId="0" fontId="9" fillId="0" borderId="22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166" fontId="10" fillId="0" borderId="22" xfId="3" applyNumberFormat="1" applyFont="1" applyBorder="1">
      <alignment vertical="center"/>
    </xf>
    <xf numFmtId="167" fontId="10" fillId="0" borderId="22" xfId="3" applyNumberFormat="1" applyFont="1" applyBorder="1">
      <alignment vertical="center"/>
    </xf>
    <xf numFmtId="9" fontId="10" fillId="0" borderId="22" xfId="2" applyFont="1" applyFill="1" applyBorder="1" applyAlignment="1">
      <alignment vertical="center"/>
    </xf>
    <xf numFmtId="168" fontId="10" fillId="0" borderId="22" xfId="3" applyNumberFormat="1" applyFont="1" applyBorder="1">
      <alignment vertical="center"/>
    </xf>
    <xf numFmtId="3" fontId="11" fillId="0" borderId="23" xfId="0" quotePrefix="1" applyNumberFormat="1" applyFont="1" applyBorder="1" applyAlignment="1">
      <alignment horizontal="center" vertical="center" wrapText="1"/>
    </xf>
    <xf numFmtId="3" fontId="12" fillId="0" borderId="0" xfId="0" applyNumberFormat="1" applyFont="1" applyAlignment="1">
      <alignment horizontal="left" vertical="center" wrapText="1"/>
    </xf>
    <xf numFmtId="0" fontId="9" fillId="2" borderId="24" xfId="0" quotePrefix="1" applyFont="1" applyFill="1" applyBorder="1" applyAlignment="1">
      <alignment horizontal="center" vertical="center"/>
    </xf>
    <xf numFmtId="0" fontId="9" fillId="0" borderId="25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center" vertical="center"/>
    </xf>
    <xf numFmtId="166" fontId="10" fillId="0" borderId="25" xfId="3" applyNumberFormat="1" applyFont="1" applyBorder="1">
      <alignment vertical="center"/>
    </xf>
    <xf numFmtId="167" fontId="10" fillId="0" borderId="25" xfId="3" applyNumberFormat="1" applyFont="1" applyBorder="1">
      <alignment vertical="center"/>
    </xf>
    <xf numFmtId="9" fontId="10" fillId="0" borderId="25" xfId="2" applyFont="1" applyFill="1" applyBorder="1" applyAlignment="1">
      <alignment vertical="center"/>
    </xf>
    <xf numFmtId="168" fontId="10" fillId="0" borderId="25" xfId="3" applyNumberFormat="1" applyFont="1" applyBorder="1">
      <alignment vertical="center"/>
    </xf>
    <xf numFmtId="3" fontId="11" fillId="0" borderId="26" xfId="0" quotePrefix="1" applyNumberFormat="1" applyFont="1" applyBorder="1" applyAlignment="1">
      <alignment horizontal="center" vertical="center" wrapText="1"/>
    </xf>
    <xf numFmtId="0" fontId="9" fillId="2" borderId="27" xfId="0" quotePrefix="1" applyFont="1" applyFill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center" vertical="center"/>
    </xf>
    <xf numFmtId="166" fontId="10" fillId="0" borderId="28" xfId="3" applyNumberFormat="1" applyFont="1" applyBorder="1">
      <alignment vertical="center"/>
    </xf>
    <xf numFmtId="167" fontId="10" fillId="0" borderId="28" xfId="3" applyNumberFormat="1" applyFont="1" applyBorder="1">
      <alignment vertical="center"/>
    </xf>
    <xf numFmtId="9" fontId="10" fillId="0" borderId="28" xfId="2" applyFont="1" applyFill="1" applyBorder="1" applyAlignment="1">
      <alignment vertical="center"/>
    </xf>
    <xf numFmtId="168" fontId="10" fillId="0" borderId="28" xfId="3" applyNumberFormat="1" applyFont="1" applyBorder="1">
      <alignment vertical="center"/>
    </xf>
    <xf numFmtId="3" fontId="11" fillId="0" borderId="29" xfId="0" quotePrefix="1" applyNumberFormat="1" applyFont="1" applyBorder="1" applyAlignment="1">
      <alignment horizontal="center" vertical="center" wrapText="1"/>
    </xf>
    <xf numFmtId="0" fontId="9" fillId="0" borderId="27" xfId="0" quotePrefix="1" applyFont="1" applyBorder="1" applyAlignment="1">
      <alignment horizontal="center" vertical="center"/>
    </xf>
    <xf numFmtId="3" fontId="11" fillId="0" borderId="29" xfId="0" quotePrefix="1" applyNumberFormat="1" applyFont="1" applyBorder="1" applyAlignment="1">
      <alignment vertical="center" wrapText="1"/>
    </xf>
    <xf numFmtId="0" fontId="13" fillId="0" borderId="27" xfId="0" quotePrefix="1" applyFont="1" applyBorder="1" applyAlignment="1">
      <alignment horizontal="center" vertical="center"/>
    </xf>
    <xf numFmtId="0" fontId="14" fillId="0" borderId="35" xfId="0" applyFont="1" applyBorder="1" applyAlignment="1">
      <alignment vertical="center" wrapText="1"/>
    </xf>
    <xf numFmtId="167" fontId="10" fillId="0" borderId="38" xfId="3" applyNumberFormat="1" applyFont="1" applyBorder="1" applyAlignment="1">
      <alignment horizontal="right" vertical="center"/>
    </xf>
    <xf numFmtId="167" fontId="10" fillId="0" borderId="39" xfId="3" applyNumberFormat="1" applyFont="1" applyBorder="1" applyAlignment="1">
      <alignment horizontal="right" vertical="center"/>
    </xf>
    <xf numFmtId="167" fontId="10" fillId="0" borderId="40" xfId="3" applyNumberFormat="1" applyFont="1" applyBorder="1" applyAlignment="1">
      <alignment horizontal="right" vertical="center"/>
    </xf>
    <xf numFmtId="9" fontId="9" fillId="0" borderId="41" xfId="2" applyFont="1" applyFill="1" applyBorder="1" applyAlignment="1">
      <alignment horizontal="center" vertical="center"/>
    </xf>
    <xf numFmtId="167" fontId="10" fillId="0" borderId="42" xfId="3" applyNumberFormat="1" applyFont="1" applyBorder="1" applyAlignment="1">
      <alignment horizontal="right" vertical="center"/>
    </xf>
    <xf numFmtId="9" fontId="9" fillId="0" borderId="33" xfId="2" applyFont="1" applyFill="1" applyBorder="1" applyAlignment="1">
      <alignment horizontal="center" vertical="center"/>
    </xf>
    <xf numFmtId="9" fontId="9" fillId="0" borderId="43" xfId="2" applyFont="1" applyFill="1" applyBorder="1" applyAlignment="1">
      <alignment vertical="center"/>
    </xf>
    <xf numFmtId="3" fontId="15" fillId="0" borderId="44" xfId="0" quotePrefix="1" applyNumberFormat="1" applyFont="1" applyBorder="1" applyAlignment="1">
      <alignment vertical="center" wrapText="1"/>
    </xf>
    <xf numFmtId="0" fontId="9" fillId="0" borderId="45" xfId="0" quotePrefix="1" applyFont="1" applyBorder="1" applyAlignment="1">
      <alignment horizontal="center" vertical="center"/>
    </xf>
    <xf numFmtId="166" fontId="17" fillId="0" borderId="49" xfId="3" applyNumberFormat="1" applyFont="1" applyBorder="1">
      <alignment vertical="center"/>
    </xf>
    <xf numFmtId="167" fontId="17" fillId="0" borderId="50" xfId="3" applyNumberFormat="1" applyFont="1" applyBorder="1">
      <alignment vertical="center"/>
    </xf>
    <xf numFmtId="167" fontId="17" fillId="0" borderId="51" xfId="3" applyNumberFormat="1" applyFont="1" applyBorder="1">
      <alignment vertical="center"/>
    </xf>
    <xf numFmtId="9" fontId="17" fillId="0" borderId="52" xfId="2" applyFont="1" applyFill="1" applyBorder="1" applyAlignment="1">
      <alignment vertical="center"/>
    </xf>
    <xf numFmtId="166" fontId="17" fillId="0" borderId="53" xfId="3" applyNumberFormat="1" applyFont="1" applyBorder="1">
      <alignment vertical="center"/>
    </xf>
    <xf numFmtId="9" fontId="17" fillId="0" borderId="48" xfId="2" applyFont="1" applyFill="1" applyBorder="1" applyAlignment="1">
      <alignment vertical="center"/>
    </xf>
    <xf numFmtId="3" fontId="15" fillId="0" borderId="54" xfId="0" quotePrefix="1" applyNumberFormat="1" applyFont="1" applyBorder="1" applyAlignment="1">
      <alignment vertical="center" wrapText="1"/>
    </xf>
    <xf numFmtId="166" fontId="14" fillId="0" borderId="58" xfId="1" applyNumberFormat="1" applyFont="1" applyFill="1" applyBorder="1" applyAlignment="1">
      <alignment horizontal="right" vertical="center"/>
    </xf>
    <xf numFmtId="40" fontId="14" fillId="0" borderId="59" xfId="1" applyNumberFormat="1" applyFont="1" applyFill="1" applyBorder="1" applyAlignment="1">
      <alignment horizontal="right" vertical="center"/>
    </xf>
    <xf numFmtId="40" fontId="14" fillId="0" borderId="60" xfId="1" applyNumberFormat="1" applyFont="1" applyFill="1" applyBorder="1" applyAlignment="1">
      <alignment horizontal="right" vertical="center"/>
    </xf>
    <xf numFmtId="9" fontId="14" fillId="0" borderId="57" xfId="2" applyFont="1" applyFill="1" applyBorder="1" applyAlignment="1">
      <alignment horizontal="center" vertical="center"/>
    </xf>
    <xf numFmtId="40" fontId="14" fillId="0" borderId="58" xfId="1" applyNumberFormat="1" applyFont="1" applyFill="1" applyBorder="1" applyAlignment="1">
      <alignment horizontal="right" vertical="center"/>
    </xf>
    <xf numFmtId="9" fontId="14" fillId="0" borderId="56" xfId="2" applyFont="1" applyFill="1" applyBorder="1" applyAlignment="1">
      <alignment horizontal="center" vertical="center"/>
    </xf>
    <xf numFmtId="165" fontId="14" fillId="0" borderId="61" xfId="1" applyNumberFormat="1" applyFont="1" applyFill="1" applyBorder="1" applyAlignment="1">
      <alignment vertical="center" shrinkToFit="1"/>
    </xf>
    <xf numFmtId="164" fontId="5" fillId="0" borderId="0" xfId="1" applyFont="1" applyFill="1" applyBorder="1" applyAlignment="1">
      <alignment vertical="center" shrinkToFit="1"/>
    </xf>
    <xf numFmtId="0" fontId="7" fillId="4" borderId="0" xfId="0" applyFont="1" applyFill="1">
      <alignment vertical="center"/>
    </xf>
    <xf numFmtId="0" fontId="18" fillId="4" borderId="0" xfId="0" quotePrefix="1" applyFont="1" applyFill="1" applyAlignment="1">
      <alignment horizontal="center" vertical="center"/>
    </xf>
    <xf numFmtId="0" fontId="13" fillId="4" borderId="0" xfId="0" quotePrefix="1" applyFont="1" applyFill="1" applyAlignment="1">
      <alignment horizontal="left" vertical="center" wrapText="1"/>
    </xf>
    <xf numFmtId="40" fontId="18" fillId="0" borderId="0" xfId="1" applyNumberFormat="1" applyFont="1" applyFill="1" applyBorder="1" applyAlignment="1">
      <alignment horizontal="center" vertical="center" wrapText="1" shrinkToFit="1"/>
    </xf>
    <xf numFmtId="40" fontId="19" fillId="0" borderId="0" xfId="1" applyNumberFormat="1" applyFont="1" applyFill="1" applyBorder="1" applyAlignment="1">
      <alignment horizontal="center" vertical="center" shrinkToFit="1"/>
    </xf>
    <xf numFmtId="169" fontId="19" fillId="4" borderId="0" xfId="2" applyNumberFormat="1" applyFont="1" applyFill="1" applyBorder="1" applyAlignment="1">
      <alignment vertical="center" shrinkToFit="1"/>
    </xf>
    <xf numFmtId="164" fontId="18" fillId="4" borderId="0" xfId="1" applyFont="1" applyFill="1" applyBorder="1" applyAlignment="1">
      <alignment horizontal="left" vertical="center" shrinkToFit="1"/>
    </xf>
    <xf numFmtId="164" fontId="7" fillId="0" borderId="0" xfId="1" applyFont="1" applyFill="1" applyBorder="1" applyAlignment="1">
      <alignment horizontal="left" vertical="center" shrinkToFit="1"/>
    </xf>
    <xf numFmtId="0" fontId="6" fillId="4" borderId="0" xfId="0" applyFont="1" applyFill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0" fillId="2" borderId="70" xfId="0" quotePrefix="1" applyFont="1" applyFill="1" applyBorder="1" applyAlignment="1">
      <alignment horizontal="center" vertical="center"/>
    </xf>
    <xf numFmtId="164" fontId="6" fillId="4" borderId="77" xfId="1" applyFont="1" applyFill="1" applyBorder="1" applyAlignment="1">
      <alignment horizontal="left" vertical="center" wrapText="1" shrinkToFit="1"/>
    </xf>
    <xf numFmtId="164" fontId="5" fillId="0" borderId="0" xfId="1" applyFont="1" applyFill="1" applyBorder="1" applyAlignment="1">
      <alignment horizontal="left" vertical="center" shrinkToFit="1"/>
    </xf>
    <xf numFmtId="0" fontId="20" fillId="2" borderId="78" xfId="0" quotePrefix="1" applyFont="1" applyFill="1" applyBorder="1" applyAlignment="1">
      <alignment horizontal="center" vertical="center"/>
    </xf>
    <xf numFmtId="164" fontId="6" fillId="4" borderId="85" xfId="1" applyFont="1" applyFill="1" applyBorder="1" applyAlignment="1">
      <alignment horizontal="left" vertical="center" wrapText="1" shrinkToFit="1"/>
    </xf>
    <xf numFmtId="0" fontId="20" fillId="2" borderId="45" xfId="0" quotePrefix="1" applyFont="1" applyFill="1" applyBorder="1" applyAlignment="1">
      <alignment horizontal="center" vertical="center"/>
    </xf>
    <xf numFmtId="164" fontId="20" fillId="4" borderId="87" xfId="1" applyFont="1" applyFill="1" applyBorder="1" applyAlignment="1">
      <alignment horizontal="left" vertical="center" shrinkToFit="1"/>
    </xf>
    <xf numFmtId="0" fontId="21" fillId="0" borderId="88" xfId="0" applyFont="1" applyBorder="1" applyAlignment="1">
      <alignment horizontal="left" vertical="center"/>
    </xf>
    <xf numFmtId="0" fontId="7" fillId="0" borderId="62" xfId="0" quotePrefix="1" applyFont="1" applyBorder="1" applyAlignment="1">
      <alignment horizontal="left" vertical="center"/>
    </xf>
    <xf numFmtId="0" fontId="7" fillId="0" borderId="62" xfId="0" applyFont="1" applyBorder="1" applyAlignment="1">
      <alignment horizontal="center" vertical="center"/>
    </xf>
    <xf numFmtId="0" fontId="7" fillId="0" borderId="62" xfId="0" applyFont="1" applyBorder="1">
      <alignment vertical="center"/>
    </xf>
    <xf numFmtId="0" fontId="5" fillId="0" borderId="62" xfId="0" applyFont="1" applyBorder="1">
      <alignment vertical="center"/>
    </xf>
    <xf numFmtId="9" fontId="5" fillId="0" borderId="62" xfId="0" applyNumberFormat="1" applyFont="1" applyBorder="1">
      <alignment vertical="center"/>
    </xf>
    <xf numFmtId="0" fontId="5" fillId="0" borderId="89" xfId="0" applyFont="1" applyBorder="1">
      <alignment vertical="center"/>
    </xf>
    <xf numFmtId="0" fontId="21" fillId="0" borderId="55" xfId="0" applyFont="1" applyBorder="1" applyAlignment="1">
      <alignment horizontal="left" vertical="center"/>
    </xf>
    <xf numFmtId="0" fontId="7" fillId="0" borderId="56" xfId="0" quotePrefix="1" applyFont="1" applyBorder="1" applyAlignment="1">
      <alignment horizontal="left" vertical="center"/>
    </xf>
    <xf numFmtId="0" fontId="7" fillId="0" borderId="56" xfId="0" applyFont="1" applyBorder="1" applyAlignment="1">
      <alignment horizontal="center" vertical="center"/>
    </xf>
    <xf numFmtId="0" fontId="7" fillId="0" borderId="56" xfId="0" applyFont="1" applyBorder="1">
      <alignment vertical="center"/>
    </xf>
    <xf numFmtId="0" fontId="5" fillId="0" borderId="56" xfId="0" applyFont="1" applyBorder="1">
      <alignment vertical="center"/>
    </xf>
    <xf numFmtId="9" fontId="5" fillId="0" borderId="56" xfId="0" applyNumberFormat="1" applyFont="1" applyBorder="1">
      <alignment vertical="center"/>
    </xf>
    <xf numFmtId="0" fontId="5" fillId="0" borderId="90" xfId="0" applyFont="1" applyBorder="1">
      <alignment vertical="center"/>
    </xf>
    <xf numFmtId="0" fontId="21" fillId="0" borderId="91" xfId="0" applyFont="1" applyBorder="1" applyAlignment="1">
      <alignment horizontal="left" vertical="center"/>
    </xf>
    <xf numFmtId="0" fontId="22" fillId="0" borderId="92" xfId="0" applyFont="1" applyBorder="1" applyAlignment="1">
      <alignment horizontal="left" vertical="center"/>
    </xf>
    <xf numFmtId="0" fontId="22" fillId="0" borderId="92" xfId="0" applyFont="1" applyBorder="1" applyAlignment="1">
      <alignment horizontal="center" vertical="center"/>
    </xf>
    <xf numFmtId="0" fontId="22" fillId="0" borderId="92" xfId="0" applyFont="1" applyBorder="1">
      <alignment vertical="center"/>
    </xf>
    <xf numFmtId="0" fontId="5" fillId="0" borderId="92" xfId="0" applyFont="1" applyBorder="1">
      <alignment vertical="center"/>
    </xf>
    <xf numFmtId="9" fontId="5" fillId="0" borderId="92" xfId="0" applyNumberFormat="1" applyFont="1" applyBorder="1">
      <alignment vertical="center"/>
    </xf>
    <xf numFmtId="0" fontId="5" fillId="0" borderId="93" xfId="0" applyFont="1" applyBorder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170" fontId="6" fillId="0" borderId="0" xfId="0" applyNumberFormat="1" applyFont="1">
      <alignment vertical="center"/>
    </xf>
    <xf numFmtId="9" fontId="7" fillId="0" borderId="0" xfId="0" applyNumberFormat="1" applyFont="1">
      <alignment vertical="center"/>
    </xf>
    <xf numFmtId="0" fontId="25" fillId="0" borderId="1" xfId="0" applyFont="1" applyBorder="1">
      <alignment vertical="center"/>
    </xf>
    <xf numFmtId="0" fontId="24" fillId="0" borderId="1" xfId="0" applyFont="1" applyBorder="1">
      <alignment vertical="center"/>
    </xf>
    <xf numFmtId="0" fontId="24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9" fontId="24" fillId="0" borderId="1" xfId="0" applyNumberFormat="1" applyFont="1" applyBorder="1">
      <alignment vertical="center"/>
    </xf>
    <xf numFmtId="0" fontId="24" fillId="0" borderId="0" xfId="0" applyFont="1" applyAlignment="1">
      <alignment horizontal="right" wrapText="1"/>
    </xf>
    <xf numFmtId="0" fontId="26" fillId="0" borderId="0" xfId="0" applyFont="1">
      <alignment vertical="center"/>
    </xf>
    <xf numFmtId="0" fontId="1" fillId="0" borderId="0" xfId="0" applyFont="1">
      <alignment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9" fontId="24" fillId="0" borderId="0" xfId="0" applyNumberFormat="1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2" borderId="2" xfId="0" applyFont="1" applyFill="1" applyBorder="1" applyAlignment="1">
      <alignment horizontal="center" vertical="center"/>
    </xf>
    <xf numFmtId="164" fontId="24" fillId="0" borderId="0" xfId="1" applyFont="1" applyFill="1" applyBorder="1" applyAlignment="1">
      <alignment horizontal="center" vertical="center"/>
    </xf>
    <xf numFmtId="164" fontId="27" fillId="3" borderId="16" xfId="1" applyFont="1" applyFill="1" applyBorder="1" applyAlignment="1">
      <alignment horizontal="center" vertical="center"/>
    </xf>
    <xf numFmtId="40" fontId="27" fillId="3" borderId="17" xfId="1" applyNumberFormat="1" applyFont="1" applyFill="1" applyBorder="1" applyAlignment="1">
      <alignment horizontal="center" vertical="center"/>
    </xf>
    <xf numFmtId="40" fontId="27" fillId="3" borderId="18" xfId="1" applyNumberFormat="1" applyFont="1" applyFill="1" applyBorder="1" applyAlignment="1">
      <alignment horizontal="center" vertical="center" wrapText="1"/>
    </xf>
    <xf numFmtId="9" fontId="27" fillId="3" borderId="19" xfId="1" applyNumberFormat="1" applyFont="1" applyFill="1" applyBorder="1" applyAlignment="1">
      <alignment horizontal="center" vertical="center"/>
    </xf>
    <xf numFmtId="9" fontId="27" fillId="3" borderId="19" xfId="1" applyNumberFormat="1" applyFont="1" applyFill="1" applyBorder="1" applyAlignment="1">
      <alignment horizontal="center" vertical="center" wrapText="1"/>
    </xf>
    <xf numFmtId="0" fontId="28" fillId="0" borderId="0" xfId="0" applyFont="1">
      <alignment vertical="center"/>
    </xf>
    <xf numFmtId="0" fontId="26" fillId="2" borderId="24" xfId="0" quotePrefix="1" applyFont="1" applyFill="1" applyBorder="1" applyAlignment="1">
      <alignment horizontal="center" vertical="center"/>
    </xf>
    <xf numFmtId="3" fontId="29" fillId="0" borderId="23" xfId="0" quotePrefix="1" applyNumberFormat="1" applyFont="1" applyBorder="1" applyAlignment="1">
      <alignment horizontal="center" vertical="center" wrapText="1"/>
    </xf>
    <xf numFmtId="3" fontId="30" fillId="0" borderId="0" xfId="0" applyNumberFormat="1" applyFont="1" applyAlignment="1">
      <alignment horizontal="left" vertical="center" wrapText="1"/>
    </xf>
    <xf numFmtId="3" fontId="29" fillId="0" borderId="26" xfId="0" quotePrefix="1" applyNumberFormat="1" applyFont="1" applyBorder="1" applyAlignment="1">
      <alignment horizontal="center" vertical="center" wrapText="1"/>
    </xf>
    <xf numFmtId="3" fontId="32" fillId="0" borderId="26" xfId="0" quotePrefix="1" applyNumberFormat="1" applyFont="1" applyBorder="1" applyAlignment="1">
      <alignment horizontal="center" vertical="center" wrapText="1"/>
    </xf>
    <xf numFmtId="3" fontId="36" fillId="0" borderId="0" xfId="0" applyNumberFormat="1" applyFont="1" applyAlignment="1">
      <alignment horizontal="left" vertical="center" wrapText="1"/>
    </xf>
    <xf numFmtId="0" fontId="34" fillId="0" borderId="27" xfId="0" quotePrefix="1" applyFont="1" applyBorder="1" applyAlignment="1">
      <alignment horizontal="center" vertical="center"/>
    </xf>
    <xf numFmtId="0" fontId="37" fillId="0" borderId="35" xfId="0" applyFont="1" applyBorder="1" applyAlignment="1">
      <alignment vertical="center" wrapText="1"/>
    </xf>
    <xf numFmtId="167" fontId="31" fillId="0" borderId="39" xfId="3" applyNumberFormat="1" applyFont="1" applyBorder="1" applyAlignment="1">
      <alignment horizontal="right" vertical="center"/>
    </xf>
    <xf numFmtId="167" fontId="31" fillId="0" borderId="40" xfId="3" applyNumberFormat="1" applyFont="1" applyBorder="1" applyAlignment="1">
      <alignment horizontal="right" vertical="center"/>
    </xf>
    <xf numFmtId="9" fontId="33" fillId="0" borderId="41" xfId="2" applyFont="1" applyFill="1" applyBorder="1" applyAlignment="1">
      <alignment horizontal="center" vertical="center"/>
    </xf>
    <xf numFmtId="167" fontId="31" fillId="0" borderId="42" xfId="3" applyNumberFormat="1" applyFont="1" applyBorder="1" applyAlignment="1">
      <alignment horizontal="right" vertical="center"/>
    </xf>
    <xf numFmtId="9" fontId="33" fillId="0" borderId="33" xfId="2" applyFont="1" applyFill="1" applyBorder="1" applyAlignment="1">
      <alignment horizontal="center" vertical="center"/>
    </xf>
    <xf numFmtId="9" fontId="33" fillId="0" borderId="43" xfId="2" applyFont="1" applyFill="1" applyBorder="1" applyAlignment="1">
      <alignment vertical="center"/>
    </xf>
    <xf numFmtId="3" fontId="38" fillId="0" borderId="44" xfId="0" quotePrefix="1" applyNumberFormat="1" applyFont="1" applyBorder="1" applyAlignment="1">
      <alignment vertical="center" wrapText="1"/>
    </xf>
    <xf numFmtId="0" fontId="33" fillId="0" borderId="45" xfId="0" quotePrefix="1" applyFont="1" applyBorder="1" applyAlignment="1">
      <alignment horizontal="center" vertical="center"/>
    </xf>
    <xf numFmtId="166" fontId="40" fillId="0" borderId="49" xfId="3" applyNumberFormat="1" applyFont="1" applyBorder="1">
      <alignment vertical="center"/>
    </xf>
    <xf numFmtId="167" fontId="40" fillId="0" borderId="50" xfId="3" applyNumberFormat="1" applyFont="1" applyBorder="1">
      <alignment vertical="center"/>
    </xf>
    <xf numFmtId="167" fontId="40" fillId="0" borderId="51" xfId="3" applyNumberFormat="1" applyFont="1" applyBorder="1">
      <alignment vertical="center"/>
    </xf>
    <xf numFmtId="9" fontId="40" fillId="0" borderId="52" xfId="2" applyFont="1" applyFill="1" applyBorder="1" applyAlignment="1">
      <alignment vertical="center"/>
    </xf>
    <xf numFmtId="166" fontId="40" fillId="0" borderId="53" xfId="3" applyNumberFormat="1" applyFont="1" applyBorder="1">
      <alignment vertical="center"/>
    </xf>
    <xf numFmtId="9" fontId="40" fillId="0" borderId="48" xfId="2" applyFont="1" applyFill="1" applyBorder="1" applyAlignment="1">
      <alignment vertical="center"/>
    </xf>
    <xf numFmtId="3" fontId="38" fillId="0" borderId="54" xfId="0" quotePrefix="1" applyNumberFormat="1" applyFont="1" applyBorder="1" applyAlignment="1">
      <alignment vertical="center" wrapText="1"/>
    </xf>
    <xf numFmtId="166" fontId="37" fillId="0" borderId="58" xfId="1" applyNumberFormat="1" applyFont="1" applyFill="1" applyBorder="1" applyAlignment="1">
      <alignment horizontal="right" vertical="center"/>
    </xf>
    <xf numFmtId="40" fontId="37" fillId="0" borderId="59" xfId="1" applyNumberFormat="1" applyFont="1" applyFill="1" applyBorder="1" applyAlignment="1">
      <alignment horizontal="right" vertical="center"/>
    </xf>
    <xf numFmtId="40" fontId="37" fillId="0" borderId="60" xfId="1" applyNumberFormat="1" applyFont="1" applyFill="1" applyBorder="1" applyAlignment="1">
      <alignment horizontal="right" vertical="center"/>
    </xf>
    <xf numFmtId="9" fontId="37" fillId="0" borderId="57" xfId="2" applyFont="1" applyFill="1" applyBorder="1" applyAlignment="1">
      <alignment horizontal="center" vertical="center"/>
    </xf>
    <xf numFmtId="40" fontId="37" fillId="0" borderId="58" xfId="1" applyNumberFormat="1" applyFont="1" applyFill="1" applyBorder="1" applyAlignment="1">
      <alignment horizontal="right" vertical="center"/>
    </xf>
    <xf numFmtId="9" fontId="37" fillId="0" borderId="56" xfId="2" applyFont="1" applyFill="1" applyBorder="1" applyAlignment="1">
      <alignment horizontal="center" vertical="center"/>
    </xf>
    <xf numFmtId="165" fontId="37" fillId="0" borderId="61" xfId="1" applyNumberFormat="1" applyFont="1" applyFill="1" applyBorder="1" applyAlignment="1">
      <alignment vertical="center" shrinkToFit="1"/>
    </xf>
    <xf numFmtId="164" fontId="24" fillId="0" borderId="0" xfId="1" applyFont="1" applyFill="1" applyBorder="1" applyAlignment="1">
      <alignment vertical="center" shrinkToFit="1"/>
    </xf>
    <xf numFmtId="0" fontId="1" fillId="4" borderId="0" xfId="0" applyFont="1" applyFill="1">
      <alignment vertical="center"/>
    </xf>
    <xf numFmtId="0" fontId="41" fillId="4" borderId="0" xfId="0" quotePrefix="1" applyFont="1" applyFill="1" applyAlignment="1">
      <alignment horizontal="center" vertical="center"/>
    </xf>
    <xf numFmtId="0" fontId="34" fillId="4" borderId="0" xfId="0" quotePrefix="1" applyFont="1" applyFill="1" applyAlignment="1">
      <alignment horizontal="left" vertical="center" wrapText="1"/>
    </xf>
    <xf numFmtId="40" fontId="41" fillId="0" borderId="0" xfId="1" applyNumberFormat="1" applyFont="1" applyFill="1" applyBorder="1" applyAlignment="1">
      <alignment horizontal="center" vertical="center" wrapText="1" shrinkToFit="1"/>
    </xf>
    <xf numFmtId="40" fontId="42" fillId="0" borderId="0" xfId="1" applyNumberFormat="1" applyFont="1" applyFill="1" applyBorder="1" applyAlignment="1">
      <alignment horizontal="center" vertical="center" shrinkToFit="1"/>
    </xf>
    <xf numFmtId="169" fontId="42" fillId="4" borderId="0" xfId="2" applyNumberFormat="1" applyFont="1" applyFill="1" applyBorder="1" applyAlignment="1">
      <alignment vertical="center" shrinkToFit="1"/>
    </xf>
    <xf numFmtId="164" fontId="41" fillId="4" borderId="0" xfId="1" applyFont="1" applyFill="1" applyBorder="1" applyAlignment="1">
      <alignment horizontal="left" vertical="center" shrinkToFit="1"/>
    </xf>
    <xf numFmtId="164" fontId="1" fillId="0" borderId="0" xfId="1" applyFont="1" applyFill="1" applyBorder="1" applyAlignment="1">
      <alignment horizontal="left" vertical="center" shrinkToFit="1"/>
    </xf>
    <xf numFmtId="0" fontId="26" fillId="4" borderId="0" xfId="0" applyFont="1" applyFill="1">
      <alignment vertical="center"/>
    </xf>
    <xf numFmtId="0" fontId="24" fillId="2" borderId="69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8" fillId="2" borderId="70" xfId="0" quotePrefix="1" applyFont="1" applyFill="1" applyBorder="1" applyAlignment="1">
      <alignment horizontal="center" vertical="center"/>
    </xf>
    <xf numFmtId="164" fontId="26" fillId="4" borderId="77" xfId="1" applyFont="1" applyFill="1" applyBorder="1" applyAlignment="1">
      <alignment horizontal="left" vertical="center" wrapText="1" shrinkToFit="1"/>
    </xf>
    <xf numFmtId="164" fontId="24" fillId="0" borderId="0" xfId="1" applyFont="1" applyFill="1" applyBorder="1" applyAlignment="1">
      <alignment horizontal="left" vertical="center" shrinkToFit="1"/>
    </xf>
    <xf numFmtId="0" fontId="28" fillId="2" borderId="78" xfId="0" quotePrefix="1" applyFont="1" applyFill="1" applyBorder="1" applyAlignment="1">
      <alignment horizontal="center" vertical="center"/>
    </xf>
    <xf numFmtId="164" fontId="26" fillId="4" borderId="85" xfId="1" applyFont="1" applyFill="1" applyBorder="1" applyAlignment="1">
      <alignment horizontal="left" vertical="center" wrapText="1" shrinkToFit="1"/>
    </xf>
    <xf numFmtId="0" fontId="28" fillId="2" borderId="45" xfId="0" quotePrefix="1" applyFont="1" applyFill="1" applyBorder="1" applyAlignment="1">
      <alignment horizontal="center" vertical="center"/>
    </xf>
    <xf numFmtId="164" fontId="28" fillId="4" borderId="87" xfId="1" applyFont="1" applyFill="1" applyBorder="1" applyAlignment="1">
      <alignment horizontal="left" vertical="center" shrinkToFit="1"/>
    </xf>
    <xf numFmtId="0" fontId="43" fillId="0" borderId="88" xfId="0" applyFont="1" applyBorder="1" applyAlignment="1">
      <alignment horizontal="left" vertical="center"/>
    </xf>
    <xf numFmtId="0" fontId="1" fillId="0" borderId="62" xfId="0" quotePrefix="1" applyFont="1" applyBorder="1" applyAlignment="1">
      <alignment horizontal="left" vertical="center"/>
    </xf>
    <xf numFmtId="0" fontId="1" fillId="0" borderId="62" xfId="0" applyFont="1" applyBorder="1" applyAlignment="1">
      <alignment horizontal="center" vertical="center"/>
    </xf>
    <xf numFmtId="0" fontId="1" fillId="0" borderId="62" xfId="0" applyFont="1" applyBorder="1">
      <alignment vertical="center"/>
    </xf>
    <xf numFmtId="0" fontId="24" fillId="0" borderId="62" xfId="0" applyFont="1" applyBorder="1">
      <alignment vertical="center"/>
    </xf>
    <xf numFmtId="9" fontId="24" fillId="0" borderId="62" xfId="0" applyNumberFormat="1" applyFont="1" applyBorder="1">
      <alignment vertical="center"/>
    </xf>
    <xf numFmtId="0" fontId="24" fillId="0" borderId="89" xfId="0" applyFont="1" applyBorder="1">
      <alignment vertical="center"/>
    </xf>
    <xf numFmtId="0" fontId="43" fillId="0" borderId="55" xfId="0" applyFont="1" applyBorder="1" applyAlignment="1">
      <alignment horizontal="left" vertical="center"/>
    </xf>
    <xf numFmtId="0" fontId="1" fillId="0" borderId="56" xfId="0" quotePrefix="1" applyFont="1" applyBorder="1" applyAlignment="1">
      <alignment horizontal="left" vertical="center"/>
    </xf>
    <xf numFmtId="0" fontId="1" fillId="0" borderId="56" xfId="0" applyFont="1" applyBorder="1" applyAlignment="1">
      <alignment horizontal="center" vertical="center"/>
    </xf>
    <xf numFmtId="0" fontId="1" fillId="0" borderId="56" xfId="0" applyFont="1" applyBorder="1">
      <alignment vertical="center"/>
    </xf>
    <xf numFmtId="0" fontId="24" fillId="0" borderId="56" xfId="0" applyFont="1" applyBorder="1">
      <alignment vertical="center"/>
    </xf>
    <xf numFmtId="9" fontId="24" fillId="0" borderId="56" xfId="0" applyNumberFormat="1" applyFont="1" applyBorder="1">
      <alignment vertical="center"/>
    </xf>
    <xf numFmtId="0" fontId="24" fillId="0" borderId="90" xfId="0" applyFont="1" applyBorder="1">
      <alignment vertical="center"/>
    </xf>
    <xf numFmtId="0" fontId="43" fillId="0" borderId="91" xfId="0" applyFont="1" applyBorder="1" applyAlignment="1">
      <alignment horizontal="left" vertical="center"/>
    </xf>
    <xf numFmtId="0" fontId="44" fillId="0" borderId="92" xfId="0" applyFont="1" applyBorder="1" applyAlignment="1">
      <alignment horizontal="left" vertical="center"/>
    </xf>
    <xf numFmtId="0" fontId="44" fillId="0" borderId="92" xfId="0" applyFont="1" applyBorder="1" applyAlignment="1">
      <alignment horizontal="center" vertical="center"/>
    </xf>
    <xf numFmtId="0" fontId="44" fillId="0" borderId="92" xfId="0" applyFont="1" applyBorder="1">
      <alignment vertical="center"/>
    </xf>
    <xf numFmtId="0" fontId="24" fillId="0" borderId="92" xfId="0" applyFont="1" applyBorder="1">
      <alignment vertical="center"/>
    </xf>
    <xf numFmtId="9" fontId="24" fillId="0" borderId="92" xfId="0" applyNumberFormat="1" applyFont="1" applyBorder="1">
      <alignment vertical="center"/>
    </xf>
    <xf numFmtId="0" fontId="24" fillId="0" borderId="93" xfId="0" applyFont="1" applyBorder="1">
      <alignment vertical="center"/>
    </xf>
    <xf numFmtId="0" fontId="44" fillId="0" borderId="0" xfId="0" applyFont="1">
      <alignment vertical="center"/>
    </xf>
    <xf numFmtId="0" fontId="44" fillId="0" borderId="0" xfId="0" applyFont="1" applyAlignment="1">
      <alignment horizontal="left" vertical="center"/>
    </xf>
    <xf numFmtId="0" fontId="44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70" fontId="26" fillId="0" borderId="0" xfId="0" applyNumberFormat="1" applyFont="1">
      <alignment vertical="center"/>
    </xf>
    <xf numFmtId="9" fontId="1" fillId="0" borderId="0" xfId="0" applyNumberFormat="1" applyFont="1">
      <alignment vertical="center"/>
    </xf>
    <xf numFmtId="171" fontId="24" fillId="0" borderId="1" xfId="0" applyNumberFormat="1" applyFont="1" applyBorder="1" applyAlignment="1">
      <alignment horizontal="right" wrapText="1"/>
    </xf>
    <xf numFmtId="0" fontId="1" fillId="0" borderId="8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center" vertical="center"/>
    </xf>
    <xf numFmtId="2" fontId="1" fillId="0" borderId="82" xfId="0" applyNumberFormat="1" applyFont="1" applyBorder="1" applyAlignment="1">
      <alignment horizontal="center" vertical="center"/>
    </xf>
    <xf numFmtId="166" fontId="44" fillId="0" borderId="82" xfId="3" applyNumberFormat="1" applyFont="1" applyBorder="1">
      <alignment vertical="center"/>
    </xf>
    <xf numFmtId="166" fontId="44" fillId="0" borderId="25" xfId="3" applyNumberFormat="1" applyFont="1" applyBorder="1">
      <alignment vertical="center"/>
    </xf>
    <xf numFmtId="9" fontId="44" fillId="0" borderId="22" xfId="2" applyFont="1" applyFill="1" applyBorder="1" applyAlignment="1">
      <alignment vertical="center"/>
    </xf>
    <xf numFmtId="167" fontId="44" fillId="0" borderId="25" xfId="3" applyNumberFormat="1" applyFont="1" applyBorder="1">
      <alignment vertical="center"/>
    </xf>
    <xf numFmtId="167" fontId="44" fillId="0" borderId="22" xfId="3" applyNumberFormat="1" applyFont="1" applyBorder="1">
      <alignment vertical="center"/>
    </xf>
    <xf numFmtId="0" fontId="1" fillId="0" borderId="81" xfId="0" applyFont="1" applyBorder="1" applyAlignment="1">
      <alignment horizontal="left" vertical="center"/>
    </xf>
    <xf numFmtId="0" fontId="44" fillId="0" borderId="25" xfId="4" applyFont="1" applyBorder="1" applyAlignment="1">
      <alignment vertical="center" wrapText="1"/>
    </xf>
    <xf numFmtId="0" fontId="1" fillId="0" borderId="82" xfId="0" applyFont="1" applyBorder="1" applyAlignment="1">
      <alignment horizontal="center" vertical="center"/>
    </xf>
    <xf numFmtId="9" fontId="44" fillId="0" borderId="25" xfId="2" applyFont="1" applyFill="1" applyBorder="1" applyAlignment="1">
      <alignment vertical="center"/>
    </xf>
    <xf numFmtId="168" fontId="44" fillId="0" borderId="25" xfId="3" applyNumberFormat="1" applyFont="1" applyBorder="1">
      <alignment vertical="center"/>
    </xf>
    <xf numFmtId="168" fontId="31" fillId="0" borderId="39" xfId="3" applyNumberFormat="1" applyFont="1" applyBorder="1" applyAlignment="1">
      <alignment horizontal="right" vertical="center"/>
    </xf>
    <xf numFmtId="168" fontId="40" fillId="0" borderId="50" xfId="3" applyNumberFormat="1" applyFont="1" applyBorder="1">
      <alignment vertical="center"/>
    </xf>
    <xf numFmtId="167" fontId="31" fillId="0" borderId="98" xfId="3" applyNumberFormat="1" applyFont="1" applyBorder="1" applyAlignment="1">
      <alignment horizontal="right" vertical="center"/>
    </xf>
    <xf numFmtId="9" fontId="37" fillId="0" borderId="58" xfId="2" applyFont="1" applyFill="1" applyBorder="1" applyAlignment="1">
      <alignment horizontal="right" vertical="center"/>
    </xf>
    <xf numFmtId="9" fontId="1" fillId="0" borderId="82" xfId="0" applyNumberFormat="1" applyFont="1" applyBorder="1" applyAlignment="1">
      <alignment horizontal="center" vertical="center"/>
    </xf>
    <xf numFmtId="3" fontId="35" fillId="0" borderId="105" xfId="0" quotePrefix="1" applyNumberFormat="1" applyFont="1" applyBorder="1" applyAlignment="1">
      <alignment vertical="center" wrapText="1"/>
    </xf>
    <xf numFmtId="0" fontId="34" fillId="0" borderId="106" xfId="0" quotePrefix="1" applyFont="1" applyBorder="1" applyAlignment="1">
      <alignment horizontal="center" vertical="center"/>
    </xf>
    <xf numFmtId="3" fontId="29" fillId="0" borderId="107" xfId="0" quotePrefix="1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left" wrapText="1"/>
    </xf>
    <xf numFmtId="169" fontId="21" fillId="4" borderId="84" xfId="2" applyNumberFormat="1" applyFont="1" applyFill="1" applyBorder="1" applyAlignment="1">
      <alignment horizontal="center" vertical="center" shrinkToFit="1"/>
    </xf>
    <xf numFmtId="169" fontId="21" fillId="4" borderId="80" xfId="2" applyNumberFormat="1" applyFont="1" applyFill="1" applyBorder="1" applyAlignment="1">
      <alignment horizontal="center" vertical="center" shrinkToFit="1"/>
    </xf>
    <xf numFmtId="0" fontId="20" fillId="4" borderId="46" xfId="0" quotePrefix="1" applyFont="1" applyFill="1" applyBorder="1" applyAlignment="1">
      <alignment horizontal="left" vertical="center" wrapText="1"/>
    </xf>
    <xf numFmtId="0" fontId="20" fillId="4" borderId="48" xfId="0" quotePrefix="1" applyFont="1" applyFill="1" applyBorder="1" applyAlignment="1">
      <alignment horizontal="left" vertical="center" wrapText="1"/>
    </xf>
    <xf numFmtId="40" fontId="21" fillId="0" borderId="46" xfId="1" applyNumberFormat="1" applyFont="1" applyFill="1" applyBorder="1" applyAlignment="1">
      <alignment horizontal="center" vertical="center" shrinkToFit="1"/>
    </xf>
    <xf numFmtId="40" fontId="21" fillId="0" borderId="49" xfId="1" applyNumberFormat="1" applyFont="1" applyFill="1" applyBorder="1" applyAlignment="1">
      <alignment horizontal="center" vertical="center" shrinkToFit="1"/>
    </xf>
    <xf numFmtId="169" fontId="21" fillId="0" borderId="51" xfId="1" applyNumberFormat="1" applyFont="1" applyFill="1" applyBorder="1" applyAlignment="1">
      <alignment horizontal="center" vertical="center" shrinkToFit="1"/>
    </xf>
    <xf numFmtId="169" fontId="21" fillId="0" borderId="48" xfId="1" applyNumberFormat="1" applyFont="1" applyFill="1" applyBorder="1" applyAlignment="1">
      <alignment horizontal="center" vertical="center" shrinkToFit="1"/>
    </xf>
    <xf numFmtId="0" fontId="20" fillId="4" borderId="79" xfId="0" quotePrefix="1" applyFont="1" applyFill="1" applyBorder="1" applyAlignment="1">
      <alignment horizontal="left" vertical="center" wrapText="1"/>
    </xf>
    <xf numFmtId="0" fontId="20" fillId="4" borderId="80" xfId="0" quotePrefix="1" applyFont="1" applyFill="1" applyBorder="1" applyAlignment="1">
      <alignment horizontal="left" vertical="center" wrapText="1"/>
    </xf>
    <xf numFmtId="40" fontId="21" fillId="0" borderId="79" xfId="1" applyNumberFormat="1" applyFont="1" applyFill="1" applyBorder="1" applyAlignment="1">
      <alignment horizontal="center" vertical="center" shrinkToFit="1"/>
    </xf>
    <xf numFmtId="40" fontId="21" fillId="0" borderId="83" xfId="1" applyNumberFormat="1" applyFont="1" applyFill="1" applyBorder="1" applyAlignment="1">
      <alignment horizontal="center" vertical="center" shrinkToFit="1"/>
    </xf>
    <xf numFmtId="0" fontId="5" fillId="2" borderId="65" xfId="0" applyFont="1" applyFill="1" applyBorder="1" applyAlignment="1">
      <alignment horizontal="center" vertical="center" shrinkToFit="1"/>
    </xf>
    <xf numFmtId="0" fontId="5" fillId="2" borderId="66" xfId="0" applyFont="1" applyFill="1" applyBorder="1" applyAlignment="1">
      <alignment horizontal="center" vertical="center" shrinkToFit="1"/>
    </xf>
    <xf numFmtId="0" fontId="5" fillId="2" borderId="67" xfId="0" applyFont="1" applyFill="1" applyBorder="1" applyAlignment="1">
      <alignment horizontal="center" vertical="center" shrinkToFit="1"/>
    </xf>
    <xf numFmtId="0" fontId="5" fillId="2" borderId="68" xfId="0" applyFont="1" applyFill="1" applyBorder="1" applyAlignment="1">
      <alignment horizontal="center" vertical="center" shrinkToFit="1"/>
    </xf>
    <xf numFmtId="0" fontId="20" fillId="4" borderId="71" xfId="0" quotePrefix="1" applyFont="1" applyFill="1" applyBorder="1" applyAlignment="1">
      <alignment horizontal="left" vertical="center" wrapText="1"/>
    </xf>
    <xf numFmtId="0" fontId="20" fillId="4" borderId="72" xfId="0" quotePrefix="1" applyFont="1" applyFill="1" applyBorder="1" applyAlignment="1">
      <alignment horizontal="left" vertical="center" wrapText="1"/>
    </xf>
    <xf numFmtId="168" fontId="20" fillId="0" borderId="73" xfId="1" applyNumberFormat="1" applyFont="1" applyFill="1" applyBorder="1" applyAlignment="1">
      <alignment horizontal="center" vertical="center" shrinkToFit="1"/>
    </xf>
    <xf numFmtId="168" fontId="20" fillId="0" borderId="74" xfId="1" applyNumberFormat="1" applyFont="1" applyFill="1" applyBorder="1" applyAlignment="1">
      <alignment horizontal="center" vertical="center" shrinkToFit="1"/>
    </xf>
    <xf numFmtId="168" fontId="20" fillId="0" borderId="81" xfId="1" applyNumberFormat="1" applyFont="1" applyFill="1" applyBorder="1" applyAlignment="1">
      <alignment horizontal="center" vertical="center" shrinkToFit="1"/>
    </xf>
    <xf numFmtId="168" fontId="20" fillId="0" borderId="82" xfId="1" applyNumberFormat="1" applyFont="1" applyFill="1" applyBorder="1" applyAlignment="1">
      <alignment horizontal="center" vertical="center" shrinkToFit="1"/>
    </xf>
    <xf numFmtId="168" fontId="20" fillId="0" borderId="86" xfId="1" applyNumberFormat="1" applyFont="1" applyFill="1" applyBorder="1" applyAlignment="1">
      <alignment horizontal="center" vertical="center" shrinkToFit="1"/>
    </xf>
    <xf numFmtId="168" fontId="20" fillId="0" borderId="57" xfId="1" applyNumberFormat="1" applyFont="1" applyFill="1" applyBorder="1" applyAlignment="1">
      <alignment horizontal="center" vertical="center" shrinkToFit="1"/>
    </xf>
    <xf numFmtId="40" fontId="21" fillId="0" borderId="71" xfId="1" applyNumberFormat="1" applyFont="1" applyFill="1" applyBorder="1" applyAlignment="1">
      <alignment horizontal="center" vertical="center" shrinkToFit="1"/>
    </xf>
    <xf numFmtId="40" fontId="21" fillId="0" borderId="75" xfId="1" applyNumberFormat="1" applyFont="1" applyFill="1" applyBorder="1" applyAlignment="1">
      <alignment horizontal="center" vertical="center" shrinkToFit="1"/>
    </xf>
    <xf numFmtId="169" fontId="21" fillId="4" borderId="76" xfId="2" applyNumberFormat="1" applyFont="1" applyFill="1" applyBorder="1" applyAlignment="1">
      <alignment horizontal="center" vertical="center" shrinkToFit="1"/>
    </xf>
    <xf numFmtId="169" fontId="21" fillId="4" borderId="72" xfId="2" applyNumberFormat="1" applyFont="1" applyFill="1" applyBorder="1" applyAlignment="1">
      <alignment horizontal="center" vertical="center" shrinkToFit="1"/>
    </xf>
    <xf numFmtId="0" fontId="14" fillId="2" borderId="55" xfId="0" applyFont="1" applyFill="1" applyBorder="1" applyAlignment="1">
      <alignment horizontal="center" vertical="center"/>
    </xf>
    <xf numFmtId="0" fontId="14" fillId="2" borderId="56" xfId="0" applyFont="1" applyFill="1" applyBorder="1" applyAlignment="1">
      <alignment horizontal="center" vertical="center"/>
    </xf>
    <xf numFmtId="0" fontId="14" fillId="2" borderId="57" xfId="0" applyFont="1" applyFill="1" applyBorder="1" applyAlignment="1">
      <alignment horizontal="center" vertical="center"/>
    </xf>
    <xf numFmtId="0" fontId="5" fillId="2" borderId="63" xfId="0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/>
    </xf>
    <xf numFmtId="0" fontId="5" fillId="2" borderId="65" xfId="0" applyFont="1" applyFill="1" applyBorder="1" applyAlignment="1">
      <alignment horizontal="center" vertical="center"/>
    </xf>
    <xf numFmtId="0" fontId="5" fillId="2" borderId="68" xfId="0" applyFont="1" applyFill="1" applyBorder="1" applyAlignment="1">
      <alignment horizontal="center" vertical="center"/>
    </xf>
    <xf numFmtId="0" fontId="16" fillId="0" borderId="46" xfId="0" applyFont="1" applyBorder="1" applyAlignment="1">
      <alignment horizontal="right" vertical="center"/>
    </xf>
    <xf numFmtId="0" fontId="16" fillId="0" borderId="47" xfId="0" applyFont="1" applyBorder="1" applyAlignment="1">
      <alignment horizontal="right" vertical="center"/>
    </xf>
    <xf numFmtId="0" fontId="16" fillId="0" borderId="48" xfId="0" applyFont="1" applyBorder="1" applyAlignment="1">
      <alignment horizontal="right" vertical="center"/>
    </xf>
    <xf numFmtId="164" fontId="5" fillId="2" borderId="7" xfId="1" applyFont="1" applyFill="1" applyBorder="1" applyAlignment="1">
      <alignment horizontal="center" vertical="center"/>
    </xf>
    <xf numFmtId="164" fontId="5" fillId="2" borderId="8" xfId="1" applyFont="1" applyFill="1" applyBorder="1" applyAlignment="1">
      <alignment horizontal="center" vertical="center"/>
    </xf>
    <xf numFmtId="164" fontId="5" fillId="2" borderId="9" xfId="1" applyFont="1" applyFill="1" applyBorder="1" applyAlignment="1">
      <alignment horizontal="center" vertical="center"/>
    </xf>
    <xf numFmtId="164" fontId="5" fillId="2" borderId="10" xfId="1" applyFont="1" applyFill="1" applyBorder="1" applyAlignment="1">
      <alignment horizontal="center" vertical="center"/>
    </xf>
    <xf numFmtId="164" fontId="5" fillId="2" borderId="20" xfId="1" applyFont="1" applyFill="1" applyBorder="1" applyAlignment="1">
      <alignment horizontal="center" vertical="center"/>
    </xf>
    <xf numFmtId="167" fontId="10" fillId="0" borderId="22" xfId="3" applyNumberFormat="1" applyFont="1" applyBorder="1" applyAlignment="1">
      <alignment horizontal="center" vertical="center" wrapText="1"/>
    </xf>
    <xf numFmtId="167" fontId="10" fillId="0" borderId="25" xfId="3" applyNumberFormat="1" applyFont="1" applyBorder="1" applyAlignment="1">
      <alignment horizontal="center" vertical="center" wrapText="1"/>
    </xf>
    <xf numFmtId="167" fontId="10" fillId="0" borderId="28" xfId="3" applyNumberFormat="1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166" fontId="10" fillId="0" borderId="32" xfId="3" applyNumberFormat="1" applyFont="1" applyBorder="1" applyAlignment="1">
      <alignment horizontal="center" vertical="center"/>
    </xf>
    <xf numFmtId="166" fontId="10" fillId="0" borderId="33" xfId="3" applyNumberFormat="1" applyFont="1" applyBorder="1" applyAlignment="1">
      <alignment horizontal="center" vertical="center"/>
    </xf>
    <xf numFmtId="166" fontId="10" fillId="0" borderId="34" xfId="3" applyNumberFormat="1" applyFont="1" applyBorder="1" applyAlignment="1">
      <alignment horizontal="center" vertical="center"/>
    </xf>
    <xf numFmtId="0" fontId="13" fillId="4" borderId="36" xfId="0" applyFont="1" applyFill="1" applyBorder="1" applyAlignment="1">
      <alignment horizontal="right" vertical="center" wrapText="1"/>
    </xf>
    <xf numFmtId="0" fontId="13" fillId="4" borderId="37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40" fontId="37" fillId="0" borderId="95" xfId="1" applyNumberFormat="1" applyFont="1" applyFill="1" applyBorder="1" applyAlignment="1">
      <alignment horizontal="center" vertical="center"/>
    </xf>
    <xf numFmtId="40" fontId="37" fillId="0" borderId="96" xfId="1" applyNumberFormat="1" applyFont="1" applyFill="1" applyBorder="1" applyAlignment="1">
      <alignment horizontal="center" vertical="center"/>
    </xf>
    <xf numFmtId="2" fontId="34" fillId="4" borderId="79" xfId="0" applyNumberFormat="1" applyFont="1" applyFill="1" applyBorder="1" applyAlignment="1">
      <alignment horizontal="center" vertical="center" wrapText="1"/>
    </xf>
    <xf numFmtId="2" fontId="34" fillId="4" borderId="97" xfId="0" applyNumberFormat="1" applyFont="1" applyFill="1" applyBorder="1" applyAlignment="1">
      <alignment horizontal="center" vertical="center" wrapText="1"/>
    </xf>
    <xf numFmtId="2" fontId="40" fillId="0" borderId="46" xfId="3" applyNumberFormat="1" applyFont="1" applyBorder="1" applyAlignment="1">
      <alignment horizontal="center" vertical="center"/>
    </xf>
    <xf numFmtId="2" fontId="40" fillId="0" borderId="49" xfId="3" applyNumberFormat="1" applyFont="1" applyBorder="1" applyAlignment="1">
      <alignment horizontal="center" vertical="center"/>
    </xf>
    <xf numFmtId="166" fontId="31" fillId="0" borderId="102" xfId="3" quotePrefix="1" applyNumberFormat="1" applyFont="1" applyBorder="1" applyAlignment="1">
      <alignment horizontal="center" vertical="center"/>
    </xf>
    <xf numFmtId="166" fontId="31" fillId="0" borderId="103" xfId="3" quotePrefix="1" applyNumberFormat="1" applyFont="1" applyBorder="1" applyAlignment="1">
      <alignment horizontal="center" vertical="center"/>
    </xf>
    <xf numFmtId="166" fontId="31" fillId="0" borderId="104" xfId="3" quotePrefix="1" applyNumberFormat="1" applyFont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37" fillId="2" borderId="55" xfId="0" applyFont="1" applyFill="1" applyBorder="1" applyAlignment="1">
      <alignment horizontal="center" vertical="center"/>
    </xf>
    <xf numFmtId="0" fontId="37" fillId="2" borderId="56" xfId="0" applyFont="1" applyFill="1" applyBorder="1" applyAlignment="1">
      <alignment horizontal="center" vertical="center"/>
    </xf>
    <xf numFmtId="0" fontId="37" fillId="2" borderId="57" xfId="0" applyFont="1" applyFill="1" applyBorder="1" applyAlignment="1">
      <alignment horizontal="center" vertical="center"/>
    </xf>
    <xf numFmtId="0" fontId="39" fillId="0" borderId="46" xfId="0" applyFont="1" applyBorder="1" applyAlignment="1">
      <alignment horizontal="right" vertical="center"/>
    </xf>
    <xf numFmtId="0" fontId="39" fillId="0" borderId="47" xfId="0" applyFont="1" applyBorder="1" applyAlignment="1">
      <alignment horizontal="right" vertical="center"/>
    </xf>
    <xf numFmtId="0" fontId="39" fillId="0" borderId="48" xfId="0" applyFont="1" applyBorder="1" applyAlignment="1">
      <alignment horizontal="right" vertical="center"/>
    </xf>
    <xf numFmtId="0" fontId="34" fillId="0" borderId="100" xfId="0" applyFont="1" applyBorder="1" applyAlignment="1">
      <alignment horizontal="center" vertical="center" wrapText="1"/>
    </xf>
    <xf numFmtId="0" fontId="34" fillId="0" borderId="101" xfId="0" applyFont="1" applyBorder="1" applyAlignment="1">
      <alignment horizontal="center" vertical="center" wrapText="1"/>
    </xf>
    <xf numFmtId="169" fontId="43" fillId="0" borderId="51" xfId="1" applyNumberFormat="1" applyFont="1" applyFill="1" applyBorder="1" applyAlignment="1">
      <alignment horizontal="center" vertical="center" shrinkToFit="1"/>
    </xf>
    <xf numFmtId="169" fontId="43" fillId="0" borderId="48" xfId="1" applyNumberFormat="1" applyFont="1" applyFill="1" applyBorder="1" applyAlignment="1">
      <alignment horizontal="center" vertical="center" shrinkToFit="1"/>
    </xf>
    <xf numFmtId="40" fontId="43" fillId="0" borderId="46" xfId="1" applyNumberFormat="1" applyFont="1" applyFill="1" applyBorder="1" applyAlignment="1">
      <alignment horizontal="center" vertical="center" shrinkToFit="1"/>
    </xf>
    <xf numFmtId="40" fontId="43" fillId="0" borderId="49" xfId="1" applyNumberFormat="1" applyFont="1" applyFill="1" applyBorder="1" applyAlignment="1">
      <alignment horizontal="center" vertical="center" shrinkToFit="1"/>
    </xf>
    <xf numFmtId="166" fontId="28" fillId="4" borderId="79" xfId="0" quotePrefix="1" applyNumberFormat="1" applyFont="1" applyFill="1" applyBorder="1" applyAlignment="1">
      <alignment horizontal="left" vertical="center" wrapText="1"/>
    </xf>
    <xf numFmtId="0" fontId="28" fillId="4" borderId="80" xfId="0" quotePrefix="1" applyFont="1" applyFill="1" applyBorder="1" applyAlignment="1">
      <alignment horizontal="left" vertical="center" wrapText="1"/>
    </xf>
    <xf numFmtId="40" fontId="43" fillId="0" borderId="79" xfId="1" applyNumberFormat="1" applyFont="1" applyFill="1" applyBorder="1" applyAlignment="1">
      <alignment horizontal="center" vertical="center" shrinkToFit="1"/>
    </xf>
    <xf numFmtId="40" fontId="43" fillId="0" borderId="83" xfId="1" applyNumberFormat="1" applyFont="1" applyFill="1" applyBorder="1" applyAlignment="1">
      <alignment horizontal="center" vertical="center" shrinkToFit="1"/>
    </xf>
    <xf numFmtId="169" fontId="43" fillId="4" borderId="84" xfId="2" applyNumberFormat="1" applyFont="1" applyFill="1" applyBorder="1" applyAlignment="1">
      <alignment horizontal="center" vertical="center" shrinkToFit="1"/>
    </xf>
    <xf numFmtId="169" fontId="43" fillId="4" borderId="80" xfId="2" applyNumberFormat="1" applyFont="1" applyFill="1" applyBorder="1" applyAlignment="1">
      <alignment horizontal="center" vertical="center" shrinkToFit="1"/>
    </xf>
    <xf numFmtId="166" fontId="28" fillId="4" borderId="46" xfId="0" quotePrefix="1" applyNumberFormat="1" applyFont="1" applyFill="1" applyBorder="1" applyAlignment="1">
      <alignment horizontal="left" vertical="center" wrapText="1"/>
    </xf>
    <xf numFmtId="0" fontId="28" fillId="4" borderId="48" xfId="0" quotePrefix="1" applyFont="1" applyFill="1" applyBorder="1" applyAlignment="1">
      <alignment horizontal="left" vertical="center" wrapText="1"/>
    </xf>
    <xf numFmtId="168" fontId="28" fillId="0" borderId="73" xfId="1" applyNumberFormat="1" applyFont="1" applyFill="1" applyBorder="1" applyAlignment="1">
      <alignment horizontal="center" vertical="center" shrinkToFit="1"/>
    </xf>
    <xf numFmtId="168" fontId="28" fillId="0" borderId="94" xfId="1" applyNumberFormat="1" applyFont="1" applyFill="1" applyBorder="1" applyAlignment="1">
      <alignment horizontal="center" vertical="center" shrinkToFit="1"/>
    </xf>
    <xf numFmtId="168" fontId="28" fillId="0" borderId="74" xfId="1" applyNumberFormat="1" applyFont="1" applyFill="1" applyBorder="1" applyAlignment="1">
      <alignment horizontal="center" vertical="center" shrinkToFit="1"/>
    </xf>
    <xf numFmtId="168" fontId="28" fillId="0" borderId="81" xfId="1" applyNumberFormat="1" applyFont="1" applyFill="1" applyBorder="1" applyAlignment="1">
      <alignment horizontal="center" vertical="center" shrinkToFit="1"/>
    </xf>
    <xf numFmtId="168" fontId="28" fillId="0" borderId="0" xfId="1" applyNumberFormat="1" applyFont="1" applyFill="1" applyBorder="1" applyAlignment="1">
      <alignment horizontal="center" vertical="center" shrinkToFit="1"/>
    </xf>
    <xf numFmtId="168" fontId="28" fillId="0" borderId="82" xfId="1" applyNumberFormat="1" applyFont="1" applyFill="1" applyBorder="1" applyAlignment="1">
      <alignment horizontal="center" vertical="center" shrinkToFit="1"/>
    </xf>
    <xf numFmtId="168" fontId="28" fillId="0" borderId="86" xfId="1" applyNumberFormat="1" applyFont="1" applyFill="1" applyBorder="1" applyAlignment="1">
      <alignment horizontal="center" vertical="center" shrinkToFit="1"/>
    </xf>
    <xf numFmtId="168" fontId="28" fillId="0" borderId="56" xfId="1" applyNumberFormat="1" applyFont="1" applyFill="1" applyBorder="1" applyAlignment="1">
      <alignment horizontal="center" vertical="center" shrinkToFit="1"/>
    </xf>
    <xf numFmtId="168" fontId="28" fillId="0" borderId="57" xfId="1" applyNumberFormat="1" applyFont="1" applyFill="1" applyBorder="1" applyAlignment="1">
      <alignment horizontal="center" vertical="center" shrinkToFit="1"/>
    </xf>
    <xf numFmtId="0" fontId="24" fillId="2" borderId="65" xfId="0" applyFont="1" applyFill="1" applyBorder="1" applyAlignment="1">
      <alignment horizontal="center" vertical="center" shrinkToFit="1"/>
    </xf>
    <xf numFmtId="0" fontId="24" fillId="2" borderId="66" xfId="0" applyFont="1" applyFill="1" applyBorder="1" applyAlignment="1">
      <alignment horizontal="center" vertical="center" shrinkToFit="1"/>
    </xf>
    <xf numFmtId="0" fontId="24" fillId="2" borderId="67" xfId="0" applyFont="1" applyFill="1" applyBorder="1" applyAlignment="1">
      <alignment horizontal="center" vertical="center" shrinkToFit="1"/>
    </xf>
    <xf numFmtId="0" fontId="24" fillId="2" borderId="68" xfId="0" applyFont="1" applyFill="1" applyBorder="1" applyAlignment="1">
      <alignment horizontal="center" vertical="center" shrinkToFit="1"/>
    </xf>
    <xf numFmtId="166" fontId="28" fillId="4" borderId="71" xfId="0" quotePrefix="1" applyNumberFormat="1" applyFont="1" applyFill="1" applyBorder="1" applyAlignment="1">
      <alignment horizontal="left" vertical="center" wrapText="1"/>
    </xf>
    <xf numFmtId="0" fontId="28" fillId="4" borderId="72" xfId="0" quotePrefix="1" applyFont="1" applyFill="1" applyBorder="1" applyAlignment="1">
      <alignment horizontal="left" vertical="center" wrapText="1"/>
    </xf>
    <xf numFmtId="40" fontId="43" fillId="0" borderId="71" xfId="1" applyNumberFormat="1" applyFont="1" applyFill="1" applyBorder="1" applyAlignment="1">
      <alignment horizontal="center" vertical="center" shrinkToFit="1"/>
    </xf>
    <xf numFmtId="40" fontId="43" fillId="0" borderId="75" xfId="1" applyNumberFormat="1" applyFont="1" applyFill="1" applyBorder="1" applyAlignment="1">
      <alignment horizontal="center" vertical="center" shrinkToFit="1"/>
    </xf>
    <xf numFmtId="169" fontId="43" fillId="4" borderId="76" xfId="2" applyNumberFormat="1" applyFont="1" applyFill="1" applyBorder="1" applyAlignment="1">
      <alignment horizontal="center" vertical="center" shrinkToFit="1"/>
    </xf>
    <xf numFmtId="169" fontId="43" fillId="4" borderId="72" xfId="2" applyNumberFormat="1" applyFont="1" applyFill="1" applyBorder="1" applyAlignment="1">
      <alignment horizontal="center" vertical="center" shrinkToFit="1"/>
    </xf>
    <xf numFmtId="0" fontId="24" fillId="2" borderId="65" xfId="0" applyFont="1" applyFill="1" applyBorder="1" applyAlignment="1">
      <alignment horizontal="center" vertical="center"/>
    </xf>
    <xf numFmtId="0" fontId="24" fillId="2" borderId="68" xfId="0" applyFont="1" applyFill="1" applyBorder="1" applyAlignment="1">
      <alignment horizontal="center" vertical="center"/>
    </xf>
    <xf numFmtId="0" fontId="24" fillId="2" borderId="99" xfId="0" applyFont="1" applyFill="1" applyBorder="1" applyAlignment="1">
      <alignment horizontal="center" vertical="center"/>
    </xf>
    <xf numFmtId="164" fontId="24" fillId="2" borderId="10" xfId="1" applyFont="1" applyFill="1" applyBorder="1" applyAlignment="1">
      <alignment horizontal="center" vertical="center"/>
    </xf>
    <xf numFmtId="164" fontId="24" fillId="2" borderId="20" xfId="1" applyFont="1" applyFill="1" applyBorder="1" applyAlignment="1">
      <alignment horizontal="center" vertical="center"/>
    </xf>
    <xf numFmtId="167" fontId="44" fillId="0" borderId="22" xfId="3" applyNumberFormat="1" applyFont="1" applyBorder="1" applyAlignment="1">
      <alignment horizontal="center" vertical="center" wrapText="1"/>
    </xf>
    <xf numFmtId="167" fontId="44" fillId="0" borderId="81" xfId="3" applyNumberFormat="1" applyFont="1" applyBorder="1" applyAlignment="1">
      <alignment horizontal="center" vertical="center" wrapText="1"/>
    </xf>
    <xf numFmtId="167" fontId="44" fillId="0" borderId="25" xfId="3" applyNumberFormat="1" applyFont="1" applyBorder="1" applyAlignment="1">
      <alignment horizontal="center" vertical="center" wrapText="1"/>
    </xf>
    <xf numFmtId="164" fontId="24" fillId="2" borderId="7" xfId="1" applyFont="1" applyFill="1" applyBorder="1" applyAlignment="1">
      <alignment horizontal="center" vertical="center" wrapText="1"/>
    </xf>
    <xf numFmtId="164" fontId="24" fillId="2" borderId="8" xfId="1" applyFont="1" applyFill="1" applyBorder="1" applyAlignment="1">
      <alignment horizontal="center" vertical="center" wrapText="1"/>
    </xf>
    <xf numFmtId="164" fontId="24" fillId="2" borderId="9" xfId="1" applyFont="1" applyFill="1" applyBorder="1" applyAlignment="1">
      <alignment horizontal="center" vertical="center" wrapText="1"/>
    </xf>
    <xf numFmtId="166" fontId="31" fillId="0" borderId="103" xfId="3" applyNumberFormat="1" applyFont="1" applyBorder="1" applyAlignment="1">
      <alignment horizontal="center" vertical="center"/>
    </xf>
    <xf numFmtId="166" fontId="31" fillId="0" borderId="104" xfId="3" applyNumberFormat="1" applyFont="1" applyBorder="1" applyAlignment="1">
      <alignment horizontal="center" vertical="center"/>
    </xf>
    <xf numFmtId="166" fontId="31" fillId="0" borderId="102" xfId="3" quotePrefix="1" applyNumberFormat="1" applyFont="1" applyBorder="1" applyAlignment="1">
      <alignment horizontal="center" vertical="center" wrapText="1"/>
    </xf>
    <xf numFmtId="166" fontId="31" fillId="0" borderId="103" xfId="3" applyNumberFormat="1" applyFont="1" applyBorder="1" applyAlignment="1">
      <alignment horizontal="center" vertical="center" wrapText="1"/>
    </xf>
    <xf numFmtId="166" fontId="31" fillId="0" borderId="104" xfId="3" applyNumberFormat="1" applyFont="1" applyBorder="1" applyAlignment="1">
      <alignment horizontal="center" vertical="center" wrapText="1"/>
    </xf>
    <xf numFmtId="0" fontId="34" fillId="4" borderId="36" xfId="0" applyFont="1" applyFill="1" applyBorder="1" applyAlignment="1">
      <alignment horizontal="right" vertical="center" wrapText="1"/>
    </xf>
    <xf numFmtId="0" fontId="34" fillId="4" borderId="37" xfId="0" applyFont="1" applyFill="1" applyBorder="1" applyAlignment="1">
      <alignment horizontal="right" vertical="center" wrapText="1"/>
    </xf>
    <xf numFmtId="0" fontId="24" fillId="2" borderId="2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/>
    </xf>
    <xf numFmtId="0" fontId="24" fillId="2" borderId="15" xfId="0" applyFont="1" applyFill="1" applyBorder="1" applyAlignment="1">
      <alignment horizontal="center" vertical="center"/>
    </xf>
  </cellXfs>
  <cellStyles count="5">
    <cellStyle name="Comma [0]" xfId="1" builtinId="6"/>
    <cellStyle name="Normal" xfId="0" builtinId="0"/>
    <cellStyle name="Percent" xfId="2" builtinId="5"/>
    <cellStyle name="표준 3" xfId="3" xr:uid="{00000000-0005-0000-0000-000003000000}"/>
    <cellStyle name="표준_sht6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X31"/>
  <sheetViews>
    <sheetView showGridLines="0" view="pageBreakPreview" zoomScale="106" zoomScaleNormal="70" zoomScaleSheetLayoutView="106" workbookViewId="0">
      <selection activeCell="F7" sqref="F7"/>
    </sheetView>
  </sheetViews>
  <sheetFormatPr defaultColWidth="9" defaultRowHeight="18" customHeight="1"/>
  <cols>
    <col min="1" max="1" width="3.140625" style="8" customWidth="1"/>
    <col min="2" max="2" width="5.140625" style="8" customWidth="1"/>
    <col min="3" max="3" width="22.42578125" style="13" customWidth="1"/>
    <col min="4" max="4" width="39.42578125" style="14" customWidth="1"/>
    <col min="5" max="5" width="9.85546875" style="8" customWidth="1"/>
    <col min="6" max="6" width="5.7109375" style="8" customWidth="1"/>
    <col min="7" max="9" width="9.7109375" style="8" customWidth="1"/>
    <col min="10" max="10" width="5.7109375" style="126" customWidth="1"/>
    <col min="11" max="13" width="9.7109375" style="8" customWidth="1"/>
    <col min="14" max="14" width="5.7109375" style="126" customWidth="1"/>
    <col min="15" max="17" width="9.7109375" style="126" customWidth="1"/>
    <col min="18" max="18" width="5.7109375" style="126" customWidth="1"/>
    <col min="19" max="19" width="14.28515625" style="8" customWidth="1"/>
    <col min="20" max="20" width="2" style="8" customWidth="1"/>
    <col min="21" max="24" width="9" style="7"/>
    <col min="25" max="16384" width="9" style="8"/>
  </cols>
  <sheetData>
    <row r="1" spans="1:24" ht="24.95" customHeight="1" thickBot="1">
      <c r="A1" s="1" t="s">
        <v>36</v>
      </c>
      <c r="B1" s="2"/>
      <c r="C1" s="3"/>
      <c r="D1" s="4"/>
      <c r="E1" s="2"/>
      <c r="F1" s="2"/>
      <c r="G1" s="2"/>
      <c r="H1" s="2"/>
      <c r="I1" s="2"/>
      <c r="J1" s="5"/>
      <c r="K1" s="2"/>
      <c r="L1" s="2"/>
      <c r="M1" s="2"/>
      <c r="N1" s="5"/>
      <c r="O1" s="5"/>
      <c r="P1" s="5"/>
      <c r="Q1" s="253" t="s">
        <v>37</v>
      </c>
      <c r="R1" s="253"/>
      <c r="S1" s="253"/>
      <c r="T1" s="6"/>
    </row>
    <row r="2" spans="1:24" ht="15" customHeight="1" thickTop="1">
      <c r="A2" s="9"/>
      <c r="B2" s="9"/>
      <c r="C2" s="10"/>
      <c r="D2" s="11"/>
      <c r="E2" s="9"/>
      <c r="F2" s="9"/>
      <c r="G2" s="9"/>
      <c r="H2" s="9"/>
      <c r="I2" s="9"/>
      <c r="J2" s="12"/>
      <c r="K2" s="9"/>
      <c r="L2" s="9"/>
      <c r="M2" s="9"/>
      <c r="N2" s="12"/>
      <c r="O2" s="12"/>
      <c r="P2" s="12"/>
      <c r="Q2" s="12"/>
      <c r="R2" s="12"/>
      <c r="S2" s="9"/>
      <c r="T2" s="9"/>
    </row>
    <row r="3" spans="1:24" ht="18" customHeight="1" thickBot="1">
      <c r="A3" s="9" t="s">
        <v>0</v>
      </c>
      <c r="J3" s="15"/>
      <c r="N3" s="15"/>
      <c r="O3" s="15"/>
      <c r="P3" s="15"/>
      <c r="Q3" s="15"/>
      <c r="R3" s="15"/>
      <c r="S3" s="16" t="s">
        <v>1</v>
      </c>
      <c r="T3" s="16"/>
    </row>
    <row r="4" spans="1:24" ht="23.1" customHeight="1">
      <c r="B4" s="307" t="s">
        <v>2</v>
      </c>
      <c r="C4" s="309" t="s">
        <v>3</v>
      </c>
      <c r="D4" s="311" t="s">
        <v>4</v>
      </c>
      <c r="E4" s="313" t="s">
        <v>5</v>
      </c>
      <c r="F4" s="315" t="s">
        <v>6</v>
      </c>
      <c r="G4" s="292" t="s">
        <v>7</v>
      </c>
      <c r="H4" s="293"/>
      <c r="I4" s="293"/>
      <c r="J4" s="294"/>
      <c r="K4" s="292" t="s">
        <v>8</v>
      </c>
      <c r="L4" s="293"/>
      <c r="M4" s="293"/>
      <c r="N4" s="294"/>
      <c r="O4" s="292" t="s">
        <v>9</v>
      </c>
      <c r="P4" s="293"/>
      <c r="Q4" s="293"/>
      <c r="R4" s="294"/>
      <c r="S4" s="295" t="s">
        <v>10</v>
      </c>
      <c r="T4" s="17"/>
    </row>
    <row r="5" spans="1:24" ht="33.75" customHeight="1" thickBot="1">
      <c r="B5" s="308"/>
      <c r="C5" s="310"/>
      <c r="D5" s="312"/>
      <c r="E5" s="314"/>
      <c r="F5" s="316"/>
      <c r="G5" s="18" t="s">
        <v>11</v>
      </c>
      <c r="H5" s="19" t="s">
        <v>12</v>
      </c>
      <c r="I5" s="20" t="s">
        <v>13</v>
      </c>
      <c r="J5" s="21" t="s">
        <v>14</v>
      </c>
      <c r="K5" s="18" t="s">
        <v>15</v>
      </c>
      <c r="L5" s="19" t="s">
        <v>16</v>
      </c>
      <c r="M5" s="20" t="s">
        <v>17</v>
      </c>
      <c r="N5" s="22" t="s">
        <v>18</v>
      </c>
      <c r="O5" s="18" t="s">
        <v>15</v>
      </c>
      <c r="P5" s="19" t="s">
        <v>16</v>
      </c>
      <c r="Q5" s="20" t="s">
        <v>19</v>
      </c>
      <c r="R5" s="22" t="s">
        <v>20</v>
      </c>
      <c r="S5" s="296"/>
      <c r="T5" s="17"/>
    </row>
    <row r="6" spans="1:24" s="7" customFormat="1" ht="30" customHeight="1" thickTop="1">
      <c r="A6" s="8"/>
      <c r="B6" s="23"/>
      <c r="C6" s="24"/>
      <c r="D6" s="25"/>
      <c r="E6" s="26"/>
      <c r="F6" s="26"/>
      <c r="G6" s="27"/>
      <c r="H6" s="28"/>
      <c r="I6" s="297"/>
      <c r="J6" s="29"/>
      <c r="K6" s="30"/>
      <c r="L6" s="28"/>
      <c r="M6" s="297"/>
      <c r="N6" s="29"/>
      <c r="O6" s="27"/>
      <c r="P6" s="28"/>
      <c r="Q6" s="297"/>
      <c r="R6" s="29"/>
      <c r="S6" s="31"/>
      <c r="T6" s="32"/>
    </row>
    <row r="7" spans="1:24" s="7" customFormat="1" ht="30" customHeight="1">
      <c r="A7" s="8"/>
      <c r="B7" s="33"/>
      <c r="C7" s="34"/>
      <c r="D7" s="35"/>
      <c r="E7" s="36"/>
      <c r="F7" s="36"/>
      <c r="G7" s="37"/>
      <c r="H7" s="38"/>
      <c r="I7" s="298"/>
      <c r="J7" s="39"/>
      <c r="K7" s="40"/>
      <c r="L7" s="38"/>
      <c r="M7" s="298"/>
      <c r="N7" s="39"/>
      <c r="O7" s="37"/>
      <c r="P7" s="38"/>
      <c r="Q7" s="298"/>
      <c r="R7" s="39"/>
      <c r="S7" s="41"/>
      <c r="T7" s="32"/>
    </row>
    <row r="8" spans="1:24" s="7" customFormat="1" ht="30" customHeight="1">
      <c r="A8" s="8"/>
      <c r="B8" s="42"/>
      <c r="C8" s="43"/>
      <c r="D8" s="44"/>
      <c r="E8" s="45"/>
      <c r="F8" s="45"/>
      <c r="G8" s="46"/>
      <c r="H8" s="47"/>
      <c r="I8" s="299"/>
      <c r="J8" s="48"/>
      <c r="K8" s="49"/>
      <c r="L8" s="47"/>
      <c r="M8" s="299"/>
      <c r="N8" s="48"/>
      <c r="O8" s="46"/>
      <c r="P8" s="47"/>
      <c r="Q8" s="299"/>
      <c r="R8" s="48"/>
      <c r="S8" s="50"/>
      <c r="T8" s="32"/>
    </row>
    <row r="9" spans="1:24" s="7" customFormat="1" ht="30" customHeight="1">
      <c r="A9" s="8"/>
      <c r="B9" s="51"/>
      <c r="C9" s="300" t="s">
        <v>21</v>
      </c>
      <c r="D9" s="301"/>
      <c r="E9" s="301"/>
      <c r="F9" s="301"/>
      <c r="G9" s="302"/>
      <c r="H9" s="303"/>
      <c r="I9" s="303"/>
      <c r="J9" s="304"/>
      <c r="K9" s="302"/>
      <c r="L9" s="303"/>
      <c r="M9" s="303"/>
      <c r="N9" s="304"/>
      <c r="O9" s="302"/>
      <c r="P9" s="303"/>
      <c r="Q9" s="303"/>
      <c r="R9" s="304"/>
      <c r="S9" s="52"/>
      <c r="T9" s="32"/>
    </row>
    <row r="10" spans="1:24" s="7" customFormat="1" ht="30" customHeight="1">
      <c r="A10" s="8"/>
      <c r="B10" s="53"/>
      <c r="C10" s="54"/>
      <c r="D10" s="305" t="s">
        <v>22</v>
      </c>
      <c r="E10" s="305"/>
      <c r="F10" s="306"/>
      <c r="G10" s="55"/>
      <c r="H10" s="56"/>
      <c r="I10" s="57"/>
      <c r="J10" s="58"/>
      <c r="K10" s="59"/>
      <c r="L10" s="56"/>
      <c r="M10" s="56"/>
      <c r="N10" s="60"/>
      <c r="O10" s="59"/>
      <c r="P10" s="56"/>
      <c r="Q10" s="56"/>
      <c r="R10" s="61"/>
      <c r="S10" s="62"/>
      <c r="T10" s="32"/>
    </row>
    <row r="11" spans="1:24" ht="30" customHeight="1" thickBot="1">
      <c r="B11" s="63"/>
      <c r="C11" s="289" t="s">
        <v>23</v>
      </c>
      <c r="D11" s="290"/>
      <c r="E11" s="290"/>
      <c r="F11" s="291"/>
      <c r="G11" s="64"/>
      <c r="H11" s="65"/>
      <c r="I11" s="66"/>
      <c r="J11" s="67"/>
      <c r="K11" s="68"/>
      <c r="L11" s="65"/>
      <c r="M11" s="66"/>
      <c r="N11" s="67"/>
      <c r="O11" s="68"/>
      <c r="P11" s="65"/>
      <c r="Q11" s="65"/>
      <c r="R11" s="69"/>
      <c r="S11" s="70"/>
      <c r="T11" s="32"/>
    </row>
    <row r="12" spans="1:24" ht="25.15" customHeight="1" thickBot="1">
      <c r="B12" s="282" t="s">
        <v>24</v>
      </c>
      <c r="C12" s="283"/>
      <c r="D12" s="283"/>
      <c r="E12" s="283"/>
      <c r="F12" s="284"/>
      <c r="G12" s="71"/>
      <c r="H12" s="72"/>
      <c r="I12" s="73"/>
      <c r="J12" s="74"/>
      <c r="K12" s="75"/>
      <c r="L12" s="72"/>
      <c r="M12" s="73"/>
      <c r="N12" s="76"/>
      <c r="O12" s="71"/>
      <c r="P12" s="72"/>
      <c r="Q12" s="73"/>
      <c r="R12" s="74"/>
      <c r="S12" s="77"/>
      <c r="T12" s="78"/>
    </row>
    <row r="13" spans="1:24" s="79" customFormat="1" ht="12" customHeight="1">
      <c r="B13" s="80"/>
      <c r="C13" s="81"/>
      <c r="D13" s="81"/>
      <c r="E13" s="82"/>
      <c r="F13" s="82"/>
      <c r="G13" s="83"/>
      <c r="H13" s="83"/>
      <c r="I13" s="83"/>
      <c r="J13" s="84"/>
      <c r="K13" s="83"/>
      <c r="L13" s="83"/>
      <c r="M13" s="83"/>
      <c r="N13" s="84"/>
      <c r="O13" s="84"/>
      <c r="P13" s="84"/>
      <c r="Q13" s="84"/>
      <c r="R13" s="84"/>
      <c r="S13" s="85"/>
      <c r="T13" s="86"/>
      <c r="U13" s="87"/>
      <c r="V13" s="87"/>
      <c r="W13" s="87"/>
      <c r="X13" s="87"/>
    </row>
    <row r="14" spans="1:24" ht="18" customHeight="1" thickBot="1">
      <c r="A14" s="9" t="s">
        <v>38</v>
      </c>
      <c r="B14" s="9"/>
      <c r="C14" s="10"/>
      <c r="D14" s="11"/>
      <c r="E14" s="9"/>
      <c r="F14" s="9"/>
      <c r="G14" s="9"/>
      <c r="H14" s="9"/>
      <c r="I14" s="9"/>
      <c r="J14" s="12"/>
      <c r="K14" s="9"/>
      <c r="L14" s="9"/>
      <c r="M14" s="9"/>
      <c r="N14" s="12"/>
      <c r="O14" s="12"/>
      <c r="P14" s="12"/>
      <c r="Q14" s="12"/>
      <c r="R14" s="12"/>
      <c r="S14" s="16" t="s">
        <v>25</v>
      </c>
      <c r="T14" s="16"/>
    </row>
    <row r="15" spans="1:24" ht="23.25" customHeight="1" thickBot="1">
      <c r="B15" s="88" t="s">
        <v>26</v>
      </c>
      <c r="C15" s="287" t="s">
        <v>27</v>
      </c>
      <c r="D15" s="288"/>
      <c r="E15" s="285" t="s">
        <v>28</v>
      </c>
      <c r="F15" s="286"/>
      <c r="G15" s="266" t="s">
        <v>29</v>
      </c>
      <c r="H15" s="267"/>
      <c r="I15" s="268" t="s">
        <v>30</v>
      </c>
      <c r="J15" s="269"/>
      <c r="K15" s="266" t="s">
        <v>31</v>
      </c>
      <c r="L15" s="267"/>
      <c r="M15" s="268" t="s">
        <v>32</v>
      </c>
      <c r="N15" s="269"/>
      <c r="O15" s="266" t="s">
        <v>31</v>
      </c>
      <c r="P15" s="267"/>
      <c r="Q15" s="268" t="s">
        <v>32</v>
      </c>
      <c r="R15" s="269"/>
      <c r="S15" s="89" t="s">
        <v>33</v>
      </c>
      <c r="T15" s="90"/>
    </row>
    <row r="16" spans="1:24" s="79" customFormat="1" ht="25.15" customHeight="1" thickTop="1">
      <c r="B16" s="91"/>
      <c r="C16" s="270"/>
      <c r="D16" s="271"/>
      <c r="E16" s="272"/>
      <c r="F16" s="273"/>
      <c r="G16" s="278"/>
      <c r="H16" s="279"/>
      <c r="I16" s="280"/>
      <c r="J16" s="281"/>
      <c r="K16" s="278"/>
      <c r="L16" s="279"/>
      <c r="M16" s="280"/>
      <c r="N16" s="281"/>
      <c r="O16" s="278"/>
      <c r="P16" s="279"/>
      <c r="Q16" s="280"/>
      <c r="R16" s="281"/>
      <c r="S16" s="92"/>
      <c r="T16" s="93"/>
      <c r="U16" s="87"/>
      <c r="V16" s="87"/>
      <c r="W16" s="87"/>
      <c r="X16" s="87"/>
    </row>
    <row r="17" spans="1:24" s="79" customFormat="1" ht="25.15" customHeight="1">
      <c r="B17" s="94"/>
      <c r="C17" s="262"/>
      <c r="D17" s="263"/>
      <c r="E17" s="274"/>
      <c r="F17" s="275"/>
      <c r="G17" s="264"/>
      <c r="H17" s="265"/>
      <c r="I17" s="254"/>
      <c r="J17" s="255"/>
      <c r="K17" s="264"/>
      <c r="L17" s="265"/>
      <c r="M17" s="254"/>
      <c r="N17" s="255"/>
      <c r="O17" s="264"/>
      <c r="P17" s="265"/>
      <c r="Q17" s="254"/>
      <c r="R17" s="255"/>
      <c r="S17" s="95"/>
      <c r="T17" s="93"/>
      <c r="U17" s="87"/>
      <c r="V17" s="87"/>
      <c r="W17" s="87"/>
      <c r="X17" s="87"/>
    </row>
    <row r="18" spans="1:24" s="79" customFormat="1" ht="25.15" customHeight="1" thickBot="1">
      <c r="B18" s="96"/>
      <c r="C18" s="256"/>
      <c r="D18" s="257"/>
      <c r="E18" s="276"/>
      <c r="F18" s="277"/>
      <c r="G18" s="258"/>
      <c r="H18" s="259"/>
      <c r="I18" s="260"/>
      <c r="J18" s="261"/>
      <c r="K18" s="258"/>
      <c r="L18" s="259"/>
      <c r="M18" s="260"/>
      <c r="N18" s="261"/>
      <c r="O18" s="258"/>
      <c r="P18" s="259"/>
      <c r="Q18" s="260"/>
      <c r="R18" s="261"/>
      <c r="S18" s="97"/>
      <c r="T18" s="93"/>
      <c r="U18" s="87"/>
      <c r="V18" s="87"/>
      <c r="W18" s="87"/>
      <c r="X18" s="87"/>
    </row>
    <row r="19" spans="1:24" s="79" customFormat="1" ht="12" customHeight="1">
      <c r="B19" s="80"/>
      <c r="C19" s="81"/>
      <c r="D19" s="81"/>
      <c r="E19" s="82"/>
      <c r="F19" s="82"/>
      <c r="G19" s="83"/>
      <c r="H19" s="83"/>
      <c r="I19" s="83"/>
      <c r="J19" s="84"/>
      <c r="K19" s="83"/>
      <c r="L19" s="83"/>
      <c r="M19" s="83"/>
      <c r="N19" s="84"/>
      <c r="O19" s="84"/>
      <c r="P19" s="84"/>
      <c r="Q19" s="84"/>
      <c r="R19" s="84"/>
      <c r="S19" s="85"/>
      <c r="T19" s="86"/>
      <c r="U19" s="87"/>
      <c r="V19" s="87"/>
      <c r="W19" s="87"/>
      <c r="X19" s="87"/>
    </row>
    <row r="20" spans="1:24" ht="18" customHeight="1" thickBot="1">
      <c r="A20" s="9" t="s">
        <v>34</v>
      </c>
      <c r="B20" s="9"/>
      <c r="C20" s="10"/>
      <c r="D20" s="11"/>
      <c r="E20" s="9"/>
      <c r="F20" s="9"/>
      <c r="G20" s="9"/>
      <c r="H20" s="9"/>
      <c r="I20" s="9"/>
      <c r="J20" s="12"/>
      <c r="K20" s="9"/>
      <c r="L20" s="9"/>
      <c r="M20" s="9"/>
      <c r="N20" s="12"/>
      <c r="O20" s="12"/>
      <c r="P20" s="12"/>
      <c r="Q20" s="12"/>
      <c r="R20" s="12"/>
      <c r="S20" s="9"/>
      <c r="T20" s="9"/>
    </row>
    <row r="21" spans="1:24" ht="19.899999999999999" customHeight="1">
      <c r="A21" s="9"/>
      <c r="B21" s="98"/>
      <c r="C21" s="99"/>
      <c r="D21" s="100"/>
      <c r="E21" s="101"/>
      <c r="F21" s="102"/>
      <c r="G21" s="102"/>
      <c r="H21" s="102"/>
      <c r="I21" s="102"/>
      <c r="J21" s="103"/>
      <c r="K21" s="102"/>
      <c r="L21" s="102"/>
      <c r="M21" s="102"/>
      <c r="N21" s="103"/>
      <c r="O21" s="103"/>
      <c r="P21" s="103"/>
      <c r="Q21" s="103"/>
      <c r="R21" s="103"/>
      <c r="S21" s="104"/>
      <c r="T21" s="9"/>
    </row>
    <row r="22" spans="1:24" ht="19.899999999999999" customHeight="1" thickBot="1">
      <c r="A22" s="9"/>
      <c r="B22" s="105"/>
      <c r="C22" s="106"/>
      <c r="D22" s="107"/>
      <c r="E22" s="108"/>
      <c r="F22" s="109"/>
      <c r="G22" s="109"/>
      <c r="H22" s="109"/>
      <c r="I22" s="109"/>
      <c r="J22" s="110"/>
      <c r="K22" s="109"/>
      <c r="L22" s="109"/>
      <c r="M22" s="109"/>
      <c r="N22" s="110"/>
      <c r="O22" s="110"/>
      <c r="P22" s="110"/>
      <c r="Q22" s="110"/>
      <c r="R22" s="110"/>
      <c r="S22" s="111"/>
      <c r="T22" s="9"/>
    </row>
    <row r="23" spans="1:24" s="79" customFormat="1" ht="12" customHeight="1">
      <c r="B23" s="80"/>
      <c r="C23" s="81"/>
      <c r="D23" s="81"/>
      <c r="E23" s="82"/>
      <c r="F23" s="82"/>
      <c r="G23" s="83"/>
      <c r="H23" s="83"/>
      <c r="I23" s="83"/>
      <c r="J23" s="84"/>
      <c r="K23" s="83"/>
      <c r="L23" s="83"/>
      <c r="M23" s="83"/>
      <c r="N23" s="84"/>
      <c r="O23" s="84"/>
      <c r="P23" s="84"/>
      <c r="Q23" s="84"/>
      <c r="R23" s="84"/>
      <c r="S23" s="85"/>
      <c r="T23" s="86"/>
      <c r="U23" s="87"/>
      <c r="V23" s="87"/>
      <c r="W23" s="87"/>
      <c r="X23" s="87"/>
    </row>
    <row r="24" spans="1:24" ht="18" customHeight="1" thickBot="1">
      <c r="A24" s="9" t="s">
        <v>35</v>
      </c>
      <c r="B24" s="9"/>
      <c r="C24" s="10"/>
      <c r="D24" s="11"/>
      <c r="E24" s="9"/>
      <c r="F24" s="9"/>
      <c r="G24" s="9"/>
      <c r="H24" s="9"/>
      <c r="I24" s="9"/>
      <c r="J24" s="12"/>
      <c r="K24" s="9"/>
      <c r="L24" s="9"/>
      <c r="M24" s="9"/>
      <c r="N24" s="12"/>
      <c r="O24" s="12"/>
      <c r="P24" s="12"/>
      <c r="Q24" s="12"/>
      <c r="R24" s="12"/>
      <c r="S24" s="9"/>
      <c r="T24" s="9"/>
    </row>
    <row r="25" spans="1:24" ht="24.95" customHeight="1" thickBot="1">
      <c r="A25" s="9"/>
      <c r="B25" s="112"/>
      <c r="C25" s="113"/>
      <c r="D25" s="114"/>
      <c r="E25" s="115"/>
      <c r="F25" s="116"/>
      <c r="G25" s="116"/>
      <c r="H25" s="116"/>
      <c r="I25" s="116"/>
      <c r="J25" s="117"/>
      <c r="K25" s="116"/>
      <c r="L25" s="116"/>
      <c r="M25" s="116"/>
      <c r="N25" s="117"/>
      <c r="O25" s="117"/>
      <c r="P25" s="117"/>
      <c r="Q25" s="117"/>
      <c r="R25" s="117"/>
      <c r="S25" s="118"/>
      <c r="T25" s="9"/>
    </row>
    <row r="26" spans="1:24" ht="18" customHeight="1">
      <c r="A26" s="9"/>
      <c r="B26" s="119"/>
      <c r="C26" s="120"/>
      <c r="D26" s="121"/>
      <c r="E26" s="119"/>
      <c r="F26" s="9"/>
      <c r="G26" s="9"/>
      <c r="H26" s="9"/>
      <c r="I26" s="9"/>
      <c r="J26" s="12"/>
      <c r="K26" s="9"/>
      <c r="L26" s="9"/>
      <c r="M26" s="9"/>
      <c r="N26" s="12"/>
      <c r="O26" s="12"/>
      <c r="P26" s="12"/>
      <c r="Q26" s="12"/>
      <c r="R26" s="12"/>
      <c r="S26" s="9"/>
      <c r="T26" s="9"/>
    </row>
    <row r="27" spans="1:24" s="125" customFormat="1" ht="15" customHeight="1">
      <c r="A27" s="8"/>
      <c r="B27" s="122"/>
      <c r="C27" s="123"/>
      <c r="D27" s="124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7"/>
      <c r="V27" s="7"/>
      <c r="W27" s="7"/>
      <c r="X27" s="7"/>
    </row>
    <row r="28" spans="1:24" s="125" customFormat="1" ht="18" customHeight="1">
      <c r="A28" s="8"/>
      <c r="B28" s="8"/>
      <c r="C28" s="13"/>
      <c r="D28" s="124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8"/>
      <c r="T28" s="8"/>
      <c r="U28" s="7"/>
      <c r="V28" s="7"/>
      <c r="W28" s="7"/>
      <c r="X28" s="7"/>
    </row>
    <row r="29" spans="1:24" s="125" customFormat="1" ht="18" customHeight="1">
      <c r="A29" s="8"/>
      <c r="B29" s="8"/>
      <c r="C29" s="13"/>
      <c r="D29" s="124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8"/>
      <c r="T29" s="8"/>
      <c r="U29" s="7"/>
      <c r="V29" s="7"/>
      <c r="W29" s="7"/>
      <c r="X29" s="7"/>
    </row>
    <row r="30" spans="1:24" s="125" customFormat="1" ht="18" customHeight="1">
      <c r="A30" s="8"/>
      <c r="B30" s="8"/>
      <c r="C30" s="13"/>
      <c r="D30" s="124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8"/>
      <c r="T30" s="8"/>
      <c r="U30" s="7"/>
      <c r="V30" s="7"/>
      <c r="W30" s="7"/>
      <c r="X30" s="7"/>
    </row>
    <row r="31" spans="1:24" s="125" customFormat="1" ht="18" customHeight="1">
      <c r="A31" s="8"/>
      <c r="B31" s="8"/>
      <c r="C31" s="13"/>
      <c r="D31" s="124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8"/>
      <c r="T31" s="8"/>
      <c r="U31" s="7"/>
      <c r="V31" s="7"/>
      <c r="W31" s="7"/>
      <c r="X31" s="7"/>
    </row>
  </sheetData>
  <mergeCells count="50">
    <mergeCell ref="B4:B5"/>
    <mergeCell ref="C4:C5"/>
    <mergeCell ref="D4:D5"/>
    <mergeCell ref="E4:E5"/>
    <mergeCell ref="F4:F5"/>
    <mergeCell ref="C11:F11"/>
    <mergeCell ref="K4:N4"/>
    <mergeCell ref="O4:R4"/>
    <mergeCell ref="S4:S5"/>
    <mergeCell ref="I6:I8"/>
    <mergeCell ref="M6:M8"/>
    <mergeCell ref="Q6:Q8"/>
    <mergeCell ref="G4:J4"/>
    <mergeCell ref="C9:F9"/>
    <mergeCell ref="G9:J9"/>
    <mergeCell ref="K9:N9"/>
    <mergeCell ref="O9:R9"/>
    <mergeCell ref="D10:F10"/>
    <mergeCell ref="B12:F12"/>
    <mergeCell ref="E15:F15"/>
    <mergeCell ref="G15:H15"/>
    <mergeCell ref="I15:J15"/>
    <mergeCell ref="K15:L15"/>
    <mergeCell ref="C15:D15"/>
    <mergeCell ref="Q15:R15"/>
    <mergeCell ref="C16:D16"/>
    <mergeCell ref="E16:F18"/>
    <mergeCell ref="G16:H16"/>
    <mergeCell ref="I16:J16"/>
    <mergeCell ref="K16:L16"/>
    <mergeCell ref="M16:N16"/>
    <mergeCell ref="O16:P16"/>
    <mergeCell ref="Q16:R16"/>
    <mergeCell ref="M15:N15"/>
    <mergeCell ref="Q1:S1"/>
    <mergeCell ref="Q17:R17"/>
    <mergeCell ref="C18:D18"/>
    <mergeCell ref="G18:H18"/>
    <mergeCell ref="I18:J18"/>
    <mergeCell ref="K18:L18"/>
    <mergeCell ref="M18:N18"/>
    <mergeCell ref="O18:P18"/>
    <mergeCell ref="Q18:R18"/>
    <mergeCell ref="C17:D17"/>
    <mergeCell ref="G17:H17"/>
    <mergeCell ref="I17:J17"/>
    <mergeCell ref="K17:L17"/>
    <mergeCell ref="M17:N17"/>
    <mergeCell ref="O17:P17"/>
    <mergeCell ref="O15:P15"/>
  </mergeCells>
  <phoneticPr fontId="4" type="noConversion"/>
  <printOptions horizontalCentered="1"/>
  <pageMargins left="0.15748031496062992" right="0.15748031496062992" top="0.69" bottom="0.19685039370078741" header="0.31496062992125984" footer="0.15748031496062992"/>
  <pageSetup paperSize="9" scale="65" fitToHeight="0" orientation="landscape" horizontalDpi="1200" verticalDpi="1200" r:id="rId1"/>
  <rowBreaks count="1" manualBreakCount="1">
    <brk id="27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AA40"/>
  <sheetViews>
    <sheetView showGridLines="0" tabSelected="1" topLeftCell="A10" zoomScale="130" zoomScaleNormal="130" zoomScaleSheetLayoutView="110" workbookViewId="0">
      <selection activeCell="I19" sqref="I19"/>
    </sheetView>
  </sheetViews>
  <sheetFormatPr defaultColWidth="9" defaultRowHeight="18" customHeight="1"/>
  <cols>
    <col min="1" max="1" width="3.140625" style="134" customWidth="1"/>
    <col min="2" max="2" width="5.140625" style="134" customWidth="1"/>
    <col min="3" max="3" width="29.42578125" style="139" customWidth="1"/>
    <col min="4" max="4" width="28.42578125" style="140" customWidth="1"/>
    <col min="5" max="5" width="8.7109375" style="134" customWidth="1"/>
    <col min="6" max="6" width="5.7109375" style="134" customWidth="1"/>
    <col min="7" max="7" width="9" style="134" customWidth="1"/>
    <col min="8" max="8" width="12.42578125" style="134" customWidth="1"/>
    <col min="9" max="9" width="8.140625" style="134" bestFit="1" customWidth="1"/>
    <col min="10" max="10" width="13.140625" style="134" customWidth="1"/>
    <col min="11" max="11" width="12.140625" style="134" customWidth="1"/>
    <col min="12" max="12" width="11.140625" style="134" customWidth="1"/>
    <col min="13" max="13" width="6.28515625" style="228" bestFit="1" customWidth="1"/>
    <col min="14" max="14" width="11.28515625" style="134" bestFit="1" customWidth="1"/>
    <col min="15" max="15" width="13.85546875" style="134" bestFit="1" customWidth="1"/>
    <col min="16" max="16" width="12.140625" style="134" customWidth="1"/>
    <col min="17" max="17" width="8.140625" style="228" customWidth="1"/>
    <col min="18" max="18" width="12.28515625" style="228" bestFit="1" customWidth="1"/>
    <col min="19" max="19" width="13.85546875" style="228" bestFit="1" customWidth="1"/>
    <col min="20" max="20" width="9.7109375" style="228" customWidth="1"/>
    <col min="21" max="21" width="8.85546875" style="228" bestFit="1" customWidth="1"/>
    <col min="22" max="22" width="14.28515625" style="134" customWidth="1"/>
    <col min="23" max="23" width="2" style="134" customWidth="1"/>
    <col min="24" max="27" width="9" style="133"/>
    <col min="28" max="16384" width="9" style="134"/>
  </cols>
  <sheetData>
    <row r="1" spans="1:23" ht="24.95" customHeight="1" thickBot="1">
      <c r="A1" s="127" t="s">
        <v>56</v>
      </c>
      <c r="B1" s="128"/>
      <c r="C1" s="129"/>
      <c r="D1" s="130"/>
      <c r="E1" s="128"/>
      <c r="F1" s="128"/>
      <c r="G1" s="128"/>
      <c r="H1" s="128"/>
      <c r="I1" s="128"/>
      <c r="J1" s="128"/>
      <c r="K1" s="128"/>
      <c r="L1" s="128"/>
      <c r="M1" s="131"/>
      <c r="N1" s="128"/>
      <c r="O1" s="128"/>
      <c r="P1" s="128"/>
      <c r="Q1" s="131"/>
      <c r="R1" s="131"/>
      <c r="S1" s="131"/>
      <c r="T1" s="131"/>
      <c r="U1" s="131"/>
      <c r="V1" s="229">
        <v>46320</v>
      </c>
      <c r="W1" s="132"/>
    </row>
    <row r="2" spans="1:23" ht="15" customHeight="1" thickTop="1">
      <c r="A2" s="135"/>
      <c r="B2" s="135"/>
      <c r="C2" s="136"/>
      <c r="D2" s="137"/>
      <c r="E2" s="135"/>
      <c r="F2" s="135"/>
      <c r="G2" s="135"/>
      <c r="H2" s="135"/>
      <c r="I2" s="135"/>
      <c r="J2" s="135"/>
      <c r="K2" s="135"/>
      <c r="L2" s="135"/>
      <c r="M2" s="138"/>
      <c r="N2" s="135"/>
      <c r="O2" s="135"/>
      <c r="P2" s="135"/>
      <c r="Q2" s="138"/>
      <c r="R2" s="138"/>
      <c r="S2" s="138"/>
      <c r="T2" s="138"/>
      <c r="U2" s="138"/>
      <c r="V2" s="135"/>
      <c r="W2" s="135"/>
    </row>
    <row r="3" spans="1:23" ht="18" customHeight="1" thickBot="1">
      <c r="A3" s="317" t="s">
        <v>43</v>
      </c>
      <c r="B3" s="317"/>
      <c r="C3" s="317"/>
      <c r="M3" s="141"/>
      <c r="Q3" s="141"/>
      <c r="R3" s="141"/>
      <c r="S3" s="141"/>
      <c r="T3" s="141"/>
      <c r="U3" s="141"/>
      <c r="V3" s="142" t="s">
        <v>1</v>
      </c>
      <c r="W3" s="142"/>
    </row>
    <row r="4" spans="1:23" ht="32.25" customHeight="1">
      <c r="B4" s="387" t="s">
        <v>2</v>
      </c>
      <c r="C4" s="389" t="s">
        <v>3</v>
      </c>
      <c r="D4" s="391" t="s">
        <v>4</v>
      </c>
      <c r="E4" s="393" t="s">
        <v>5</v>
      </c>
      <c r="F4" s="395" t="s">
        <v>41</v>
      </c>
      <c r="G4" s="327" t="s">
        <v>57</v>
      </c>
      <c r="H4" s="328"/>
      <c r="I4" s="329"/>
      <c r="J4" s="377" t="s">
        <v>58</v>
      </c>
      <c r="K4" s="378"/>
      <c r="L4" s="378"/>
      <c r="M4" s="379"/>
      <c r="N4" s="377" t="s">
        <v>81</v>
      </c>
      <c r="O4" s="378"/>
      <c r="P4" s="378"/>
      <c r="Q4" s="379"/>
      <c r="R4" s="377" t="s">
        <v>82</v>
      </c>
      <c r="S4" s="378"/>
      <c r="T4" s="378"/>
      <c r="U4" s="379"/>
      <c r="V4" s="372" t="s">
        <v>42</v>
      </c>
      <c r="W4" s="144"/>
    </row>
    <row r="5" spans="1:23" ht="27" customHeight="1" thickBot="1">
      <c r="B5" s="388"/>
      <c r="C5" s="390"/>
      <c r="D5" s="392"/>
      <c r="E5" s="394"/>
      <c r="F5" s="396"/>
      <c r="G5" s="145" t="s">
        <v>39</v>
      </c>
      <c r="H5" s="145" t="s">
        <v>40</v>
      </c>
      <c r="I5" s="148" t="s">
        <v>14</v>
      </c>
      <c r="J5" s="145" t="s">
        <v>39</v>
      </c>
      <c r="K5" s="146" t="s">
        <v>40</v>
      </c>
      <c r="L5" s="147" t="s">
        <v>13</v>
      </c>
      <c r="M5" s="148" t="s">
        <v>14</v>
      </c>
      <c r="N5" s="145" t="s">
        <v>39</v>
      </c>
      <c r="O5" s="146" t="s">
        <v>40</v>
      </c>
      <c r="P5" s="147" t="s">
        <v>17</v>
      </c>
      <c r="Q5" s="149" t="s">
        <v>18</v>
      </c>
      <c r="R5" s="145" t="s">
        <v>39</v>
      </c>
      <c r="S5" s="146" t="s">
        <v>40</v>
      </c>
      <c r="T5" s="147" t="s">
        <v>19</v>
      </c>
      <c r="U5" s="149" t="s">
        <v>20</v>
      </c>
      <c r="V5" s="373"/>
      <c r="W5" s="144"/>
    </row>
    <row r="6" spans="1:23" s="150" customFormat="1" ht="37.5" customHeight="1" thickTop="1">
      <c r="B6" s="151">
        <v>1</v>
      </c>
      <c r="C6" s="239" t="s">
        <v>59</v>
      </c>
      <c r="D6" s="231" t="s">
        <v>71</v>
      </c>
      <c r="E6" s="232" t="s">
        <v>83</v>
      </c>
      <c r="F6" s="232">
        <v>30</v>
      </c>
      <c r="G6" s="233" t="s">
        <v>88</v>
      </c>
      <c r="H6" s="233" t="s">
        <v>88</v>
      </c>
      <c r="I6" s="248">
        <v>0</v>
      </c>
      <c r="J6" s="234">
        <v>81</v>
      </c>
      <c r="K6" s="235">
        <f>J6*F6</f>
        <v>2430</v>
      </c>
      <c r="L6" s="374"/>
      <c r="M6" s="236">
        <v>1</v>
      </c>
      <c r="N6" s="234">
        <v>83</v>
      </c>
      <c r="O6" s="237">
        <f>N6*F6</f>
        <v>2490</v>
      </c>
      <c r="P6" s="374"/>
      <c r="Q6" s="236">
        <f>O6/K6</f>
        <v>1.0246913580246915</v>
      </c>
      <c r="R6" s="234">
        <v>92</v>
      </c>
      <c r="S6" s="238">
        <f>R6*F6</f>
        <v>2760</v>
      </c>
      <c r="T6" s="374"/>
      <c r="U6" s="236">
        <f>S6/K6</f>
        <v>1.1358024691358024</v>
      </c>
      <c r="V6" s="152"/>
      <c r="W6" s="153"/>
    </row>
    <row r="7" spans="1:23" s="150" customFormat="1" ht="17.25" customHeight="1">
      <c r="B7" s="151">
        <v>2</v>
      </c>
      <c r="C7" s="239" t="s">
        <v>60</v>
      </c>
      <c r="D7" s="240"/>
      <c r="E7" s="232" t="s">
        <v>84</v>
      </c>
      <c r="F7" s="232">
        <v>50</v>
      </c>
      <c r="G7" s="233">
        <v>230</v>
      </c>
      <c r="H7" s="233">
        <f>F7*G7</f>
        <v>11500</v>
      </c>
      <c r="I7" s="248">
        <f t="shared" ref="I7:I11" si="0">H7/K7</f>
        <v>3.2857142857142856</v>
      </c>
      <c r="J7" s="234">
        <v>70</v>
      </c>
      <c r="K7" s="235">
        <f t="shared" ref="K7:K17" si="1">J7*F7</f>
        <v>3500</v>
      </c>
      <c r="L7" s="375"/>
      <c r="M7" s="242">
        <v>1</v>
      </c>
      <c r="N7" s="234">
        <v>70</v>
      </c>
      <c r="O7" s="237">
        <f t="shared" ref="O7:O17" si="2">N7*F7</f>
        <v>3500</v>
      </c>
      <c r="P7" s="376"/>
      <c r="Q7" s="242">
        <f t="shared" ref="Q7:Q12" si="3">O7/K7</f>
        <v>1</v>
      </c>
      <c r="R7" s="234">
        <v>81</v>
      </c>
      <c r="S7" s="237">
        <f t="shared" ref="S7:S17" si="4">R7*F7</f>
        <v>4050</v>
      </c>
      <c r="T7" s="376"/>
      <c r="U7" s="242">
        <f t="shared" ref="U7:U17" si="5">S7/K7</f>
        <v>1.1571428571428573</v>
      </c>
      <c r="V7" s="154"/>
      <c r="W7" s="153"/>
    </row>
    <row r="8" spans="1:23" s="150" customFormat="1" ht="13.5" customHeight="1">
      <c r="B8" s="151">
        <v>3</v>
      </c>
      <c r="C8" s="239" t="s">
        <v>61</v>
      </c>
      <c r="D8" s="240"/>
      <c r="E8" s="232" t="s">
        <v>85</v>
      </c>
      <c r="F8" s="232">
        <v>100</v>
      </c>
      <c r="G8" s="233">
        <v>29</v>
      </c>
      <c r="H8" s="233">
        <f>F8*G8</f>
        <v>2900</v>
      </c>
      <c r="I8" s="248">
        <f t="shared" si="0"/>
        <v>1.1153846153846154</v>
      </c>
      <c r="J8" s="234">
        <v>26</v>
      </c>
      <c r="K8" s="235">
        <f t="shared" si="1"/>
        <v>2600</v>
      </c>
      <c r="L8" s="375"/>
      <c r="M8" s="242">
        <v>1</v>
      </c>
      <c r="N8" s="234">
        <v>30</v>
      </c>
      <c r="O8" s="237">
        <f t="shared" si="2"/>
        <v>3000</v>
      </c>
      <c r="P8" s="376"/>
      <c r="Q8" s="242">
        <f t="shared" si="3"/>
        <v>1.1538461538461537</v>
      </c>
      <c r="R8" s="234">
        <v>34</v>
      </c>
      <c r="S8" s="237">
        <f t="shared" si="4"/>
        <v>3400</v>
      </c>
      <c r="T8" s="375"/>
      <c r="U8" s="242">
        <f t="shared" si="5"/>
        <v>1.3076923076923077</v>
      </c>
      <c r="V8" s="251"/>
      <c r="W8" s="153"/>
    </row>
    <row r="9" spans="1:23" s="150" customFormat="1" ht="16.5" customHeight="1">
      <c r="B9" s="151">
        <v>4</v>
      </c>
      <c r="C9" s="239" t="s">
        <v>62</v>
      </c>
      <c r="D9" s="240" t="s">
        <v>72</v>
      </c>
      <c r="E9" s="232" t="s">
        <v>85</v>
      </c>
      <c r="F9" s="232">
        <v>20</v>
      </c>
      <c r="G9" s="233">
        <v>19</v>
      </c>
      <c r="H9" s="233">
        <f>F9*G9</f>
        <v>380</v>
      </c>
      <c r="I9" s="248">
        <f t="shared" si="0"/>
        <v>1.0555555555555556</v>
      </c>
      <c r="J9" s="234">
        <v>18</v>
      </c>
      <c r="K9" s="235">
        <f t="shared" si="1"/>
        <v>360</v>
      </c>
      <c r="L9" s="375"/>
      <c r="M9" s="242">
        <v>1</v>
      </c>
      <c r="N9" s="234">
        <v>25</v>
      </c>
      <c r="O9" s="237">
        <f t="shared" si="2"/>
        <v>500</v>
      </c>
      <c r="P9" s="376"/>
      <c r="Q9" s="242">
        <f t="shared" si="3"/>
        <v>1.3888888888888888</v>
      </c>
      <c r="R9" s="234">
        <v>22</v>
      </c>
      <c r="S9" s="237">
        <f t="shared" si="4"/>
        <v>440</v>
      </c>
      <c r="T9" s="375"/>
      <c r="U9" s="242">
        <f t="shared" si="5"/>
        <v>1.2222222222222223</v>
      </c>
      <c r="V9" s="251"/>
      <c r="W9" s="153"/>
    </row>
    <row r="10" spans="1:23" s="150" customFormat="1" ht="17.25" customHeight="1">
      <c r="B10" s="151">
        <v>5</v>
      </c>
      <c r="C10" s="239" t="s">
        <v>63</v>
      </c>
      <c r="D10" s="240" t="s">
        <v>73</v>
      </c>
      <c r="E10" s="232" t="s">
        <v>85</v>
      </c>
      <c r="F10" s="232">
        <v>50</v>
      </c>
      <c r="G10" s="233">
        <v>10</v>
      </c>
      <c r="H10" s="233">
        <f>F10*G10</f>
        <v>500</v>
      </c>
      <c r="I10" s="248">
        <f t="shared" si="0"/>
        <v>1.7094017094017093</v>
      </c>
      <c r="J10" s="234">
        <v>5.85</v>
      </c>
      <c r="K10" s="235">
        <f t="shared" si="1"/>
        <v>292.5</v>
      </c>
      <c r="L10" s="375"/>
      <c r="M10" s="242">
        <v>1</v>
      </c>
      <c r="N10" s="234">
        <v>6</v>
      </c>
      <c r="O10" s="237">
        <f t="shared" si="2"/>
        <v>300</v>
      </c>
      <c r="P10" s="376"/>
      <c r="Q10" s="242">
        <f t="shared" si="3"/>
        <v>1.0256410256410255</v>
      </c>
      <c r="R10" s="234">
        <v>8</v>
      </c>
      <c r="S10" s="237">
        <f t="shared" si="4"/>
        <v>400</v>
      </c>
      <c r="T10" s="375"/>
      <c r="U10" s="242">
        <f t="shared" si="5"/>
        <v>1.3675213675213675</v>
      </c>
      <c r="V10" s="251"/>
      <c r="W10" s="153"/>
    </row>
    <row r="11" spans="1:23" s="150" customFormat="1" ht="15.75" customHeight="1">
      <c r="B11" s="151">
        <v>6</v>
      </c>
      <c r="C11" s="239" t="s">
        <v>64</v>
      </c>
      <c r="D11" s="240" t="s">
        <v>74</v>
      </c>
      <c r="E11" s="232" t="s">
        <v>85</v>
      </c>
      <c r="F11" s="232">
        <v>50</v>
      </c>
      <c r="G11" s="233">
        <v>9</v>
      </c>
      <c r="H11" s="233">
        <f>F11*G11</f>
        <v>450</v>
      </c>
      <c r="I11" s="248">
        <f t="shared" si="0"/>
        <v>1.0588235294117647</v>
      </c>
      <c r="J11" s="234">
        <v>8.5</v>
      </c>
      <c r="K11" s="235">
        <f t="shared" si="1"/>
        <v>425</v>
      </c>
      <c r="L11" s="375"/>
      <c r="M11" s="242">
        <v>1</v>
      </c>
      <c r="N11" s="234">
        <v>9</v>
      </c>
      <c r="O11" s="237">
        <f t="shared" si="2"/>
        <v>450</v>
      </c>
      <c r="P11" s="376"/>
      <c r="Q11" s="242">
        <f t="shared" si="3"/>
        <v>1.0588235294117647</v>
      </c>
      <c r="R11" s="234">
        <v>12</v>
      </c>
      <c r="S11" s="237">
        <f t="shared" si="4"/>
        <v>600</v>
      </c>
      <c r="T11" s="375"/>
      <c r="U11" s="242">
        <f t="shared" si="5"/>
        <v>1.411764705882353</v>
      </c>
      <c r="V11" s="251"/>
      <c r="W11" s="153"/>
    </row>
    <row r="12" spans="1:23" s="150" customFormat="1" ht="18" customHeight="1">
      <c r="B12" s="151">
        <v>7</v>
      </c>
      <c r="C12" s="239" t="s">
        <v>65</v>
      </c>
      <c r="D12" s="240" t="s">
        <v>75</v>
      </c>
      <c r="E12" s="232" t="s">
        <v>85</v>
      </c>
      <c r="F12" s="232">
        <v>30</v>
      </c>
      <c r="G12" s="233" t="s">
        <v>88</v>
      </c>
      <c r="H12" s="233" t="s">
        <v>88</v>
      </c>
      <c r="I12" s="248">
        <v>0</v>
      </c>
      <c r="J12" s="234">
        <v>18</v>
      </c>
      <c r="K12" s="235">
        <f t="shared" si="1"/>
        <v>540</v>
      </c>
      <c r="L12" s="375"/>
      <c r="M12" s="242">
        <v>1</v>
      </c>
      <c r="N12" s="234">
        <v>21</v>
      </c>
      <c r="O12" s="237">
        <f t="shared" si="2"/>
        <v>630</v>
      </c>
      <c r="P12" s="376"/>
      <c r="Q12" s="242">
        <f t="shared" si="3"/>
        <v>1.1666666666666667</v>
      </c>
      <c r="R12" s="234">
        <v>22</v>
      </c>
      <c r="S12" s="237">
        <f t="shared" si="4"/>
        <v>660</v>
      </c>
      <c r="T12" s="375"/>
      <c r="U12" s="242">
        <f t="shared" si="5"/>
        <v>1.2222222222222223</v>
      </c>
      <c r="V12" s="251"/>
      <c r="W12" s="153"/>
    </row>
    <row r="13" spans="1:23" s="150" customFormat="1" ht="33.75" customHeight="1">
      <c r="B13" s="151">
        <v>8</v>
      </c>
      <c r="C13" s="239" t="s">
        <v>66</v>
      </c>
      <c r="D13" s="240" t="s">
        <v>76</v>
      </c>
      <c r="E13" s="232" t="s">
        <v>85</v>
      </c>
      <c r="F13" s="232">
        <v>1</v>
      </c>
      <c r="G13" s="233" t="s">
        <v>88</v>
      </c>
      <c r="H13" s="233" t="s">
        <v>88</v>
      </c>
      <c r="I13" s="248">
        <v>0</v>
      </c>
      <c r="J13" s="234">
        <v>1045</v>
      </c>
      <c r="K13" s="235">
        <f t="shared" si="1"/>
        <v>1045</v>
      </c>
      <c r="L13" s="375"/>
      <c r="M13" s="242">
        <v>1</v>
      </c>
      <c r="N13" s="234">
        <v>1098</v>
      </c>
      <c r="O13" s="237">
        <f t="shared" si="2"/>
        <v>1098</v>
      </c>
      <c r="P13" s="376"/>
      <c r="Q13" s="242">
        <f>O13/K13</f>
        <v>1.0507177033492823</v>
      </c>
      <c r="R13" s="234">
        <v>1180</v>
      </c>
      <c r="S13" s="237">
        <f t="shared" si="4"/>
        <v>1180</v>
      </c>
      <c r="T13" s="375"/>
      <c r="U13" s="242">
        <f t="shared" si="5"/>
        <v>1.1291866028708133</v>
      </c>
      <c r="V13" s="251"/>
      <c r="W13" s="153"/>
    </row>
    <row r="14" spans="1:23" s="150" customFormat="1" ht="19.5" customHeight="1">
      <c r="B14" s="151">
        <v>9</v>
      </c>
      <c r="C14" s="239" t="s">
        <v>67</v>
      </c>
      <c r="D14" s="240" t="s">
        <v>77</v>
      </c>
      <c r="E14" s="232" t="s">
        <v>85</v>
      </c>
      <c r="F14" s="232">
        <v>1</v>
      </c>
      <c r="G14" s="241" t="s">
        <v>88</v>
      </c>
      <c r="H14" s="233" t="s">
        <v>88</v>
      </c>
      <c r="I14" s="248">
        <v>0</v>
      </c>
      <c r="J14" s="234">
        <v>605</v>
      </c>
      <c r="K14" s="235">
        <f t="shared" si="1"/>
        <v>605</v>
      </c>
      <c r="L14" s="375"/>
      <c r="M14" s="242">
        <v>1</v>
      </c>
      <c r="N14" s="234">
        <v>610</v>
      </c>
      <c r="O14" s="237">
        <f t="shared" si="2"/>
        <v>610</v>
      </c>
      <c r="P14" s="376"/>
      <c r="Q14" s="242">
        <f t="shared" ref="Q14:Q17" si="6">O14/K14</f>
        <v>1.0082644628099173</v>
      </c>
      <c r="R14" s="234">
        <v>685</v>
      </c>
      <c r="S14" s="237">
        <f t="shared" si="4"/>
        <v>685</v>
      </c>
      <c r="T14" s="375"/>
      <c r="U14" s="242">
        <f t="shared" si="5"/>
        <v>1.1322314049586777</v>
      </c>
      <c r="V14" s="251"/>
      <c r="W14" s="153"/>
    </row>
    <row r="15" spans="1:23" s="150" customFormat="1" ht="33.75" customHeight="1">
      <c r="B15" s="151">
        <v>10</v>
      </c>
      <c r="C15" s="239" t="s">
        <v>68</v>
      </c>
      <c r="D15" s="240" t="s">
        <v>78</v>
      </c>
      <c r="E15" s="232" t="s">
        <v>85</v>
      </c>
      <c r="F15" s="232">
        <v>5</v>
      </c>
      <c r="G15" s="241" t="s">
        <v>88</v>
      </c>
      <c r="H15" s="233" t="s">
        <v>88</v>
      </c>
      <c r="I15" s="248">
        <v>0</v>
      </c>
      <c r="J15" s="234">
        <v>35</v>
      </c>
      <c r="K15" s="235">
        <f t="shared" si="1"/>
        <v>175</v>
      </c>
      <c r="L15" s="375"/>
      <c r="M15" s="242">
        <v>1</v>
      </c>
      <c r="N15" s="234">
        <v>40</v>
      </c>
      <c r="O15" s="237">
        <f t="shared" si="2"/>
        <v>200</v>
      </c>
      <c r="P15" s="376"/>
      <c r="Q15" s="242">
        <f t="shared" si="6"/>
        <v>1.1428571428571428</v>
      </c>
      <c r="R15" s="234">
        <v>40</v>
      </c>
      <c r="S15" s="237">
        <f t="shared" si="4"/>
        <v>200</v>
      </c>
      <c r="T15" s="375"/>
      <c r="U15" s="242">
        <f t="shared" si="5"/>
        <v>1.1428571428571428</v>
      </c>
      <c r="V15" s="251"/>
      <c r="W15" s="153"/>
    </row>
    <row r="16" spans="1:23" s="150" customFormat="1" ht="17.25" customHeight="1">
      <c r="B16" s="151">
        <v>11</v>
      </c>
      <c r="C16" s="239" t="s">
        <v>69</v>
      </c>
      <c r="D16" s="240" t="s">
        <v>79</v>
      </c>
      <c r="E16" s="232" t="s">
        <v>86</v>
      </c>
      <c r="F16" s="232">
        <v>5</v>
      </c>
      <c r="G16" s="241" t="s">
        <v>88</v>
      </c>
      <c r="H16" s="233" t="s">
        <v>88</v>
      </c>
      <c r="I16" s="248">
        <v>0</v>
      </c>
      <c r="J16" s="234">
        <v>6.75</v>
      </c>
      <c r="K16" s="235">
        <f t="shared" si="1"/>
        <v>33.75</v>
      </c>
      <c r="L16" s="376"/>
      <c r="M16" s="242">
        <v>1</v>
      </c>
      <c r="N16" s="234">
        <v>7</v>
      </c>
      <c r="O16" s="237">
        <f t="shared" si="2"/>
        <v>35</v>
      </c>
      <c r="P16" s="376"/>
      <c r="Q16" s="242">
        <f t="shared" si="6"/>
        <v>1.037037037037037</v>
      </c>
      <c r="R16" s="234">
        <v>8</v>
      </c>
      <c r="S16" s="237">
        <f t="shared" si="4"/>
        <v>40</v>
      </c>
      <c r="T16" s="376"/>
      <c r="U16" s="242">
        <f t="shared" si="5"/>
        <v>1.1851851851851851</v>
      </c>
      <c r="V16" s="154"/>
      <c r="W16" s="153"/>
    </row>
    <row r="17" spans="1:27" s="150" customFormat="1" ht="78.75" customHeight="1">
      <c r="B17" s="151">
        <v>12</v>
      </c>
      <c r="C17" s="230" t="s">
        <v>70</v>
      </c>
      <c r="D17" s="252" t="s">
        <v>80</v>
      </c>
      <c r="E17" s="232" t="s">
        <v>87</v>
      </c>
      <c r="F17" s="232">
        <v>200</v>
      </c>
      <c r="G17" s="241">
        <v>180</v>
      </c>
      <c r="H17" s="233">
        <f t="shared" ref="H16:H17" si="7">F17*G17</f>
        <v>36000</v>
      </c>
      <c r="I17" s="248">
        <v>0</v>
      </c>
      <c r="J17" s="234">
        <v>180</v>
      </c>
      <c r="K17" s="235">
        <f t="shared" si="1"/>
        <v>36000</v>
      </c>
      <c r="L17" s="376"/>
      <c r="M17" s="242">
        <v>1</v>
      </c>
      <c r="N17" s="243">
        <v>196</v>
      </c>
      <c r="O17" s="237">
        <f t="shared" si="2"/>
        <v>39200</v>
      </c>
      <c r="P17" s="376"/>
      <c r="Q17" s="242">
        <f t="shared" si="6"/>
        <v>1.0888888888888888</v>
      </c>
      <c r="R17" s="235">
        <v>205</v>
      </c>
      <c r="S17" s="237">
        <f t="shared" si="4"/>
        <v>41000</v>
      </c>
      <c r="T17" s="376"/>
      <c r="U17" s="242">
        <f t="shared" si="5"/>
        <v>1.1388888888888888</v>
      </c>
      <c r="V17" s="155"/>
      <c r="W17" s="153"/>
    </row>
    <row r="18" spans="1:27" s="133" customFormat="1" ht="33" customHeight="1">
      <c r="A18" s="134"/>
      <c r="B18" s="250"/>
      <c r="C18" s="336" t="s">
        <v>21</v>
      </c>
      <c r="D18" s="337"/>
      <c r="E18" s="337"/>
      <c r="F18" s="337"/>
      <c r="G18" s="324" t="str">
        <f>G4</f>
        <v>Previous Price</v>
      </c>
      <c r="H18" s="325"/>
      <c r="I18" s="326"/>
      <c r="J18" s="324" t="str">
        <f>J4</f>
        <v>YATCO (Yaqoot Arabia Trading Company)</v>
      </c>
      <c r="K18" s="380"/>
      <c r="L18" s="380"/>
      <c r="M18" s="381"/>
      <c r="N18" s="324" t="str">
        <f>N4</f>
        <v>GULF KEY TRADING EST</v>
      </c>
      <c r="O18" s="380"/>
      <c r="P18" s="380"/>
      <c r="Q18" s="381"/>
      <c r="R18" s="382" t="str">
        <f>R4</f>
        <v>ASSAS EARTH TRADING EST</v>
      </c>
      <c r="S18" s="383"/>
      <c r="T18" s="383"/>
      <c r="U18" s="384"/>
      <c r="V18" s="249"/>
      <c r="W18" s="156"/>
    </row>
    <row r="19" spans="1:27" s="133" customFormat="1" ht="21.75" customHeight="1">
      <c r="A19" s="134"/>
      <c r="B19" s="157"/>
      <c r="C19" s="158"/>
      <c r="D19" s="385" t="s">
        <v>22</v>
      </c>
      <c r="E19" s="385"/>
      <c r="F19" s="386"/>
      <c r="G19" s="320">
        <f>SUM(H6:H17)</f>
        <v>51730</v>
      </c>
      <c r="H19" s="321"/>
      <c r="I19" s="161">
        <f>G19/K19</f>
        <v>1.0775680249967452</v>
      </c>
      <c r="J19" s="246"/>
      <c r="K19" s="244">
        <f>SUM(K6:K17)</f>
        <v>48006.25</v>
      </c>
      <c r="L19" s="160"/>
      <c r="M19" s="161">
        <f>AVERAGE(M6:M11)</f>
        <v>1</v>
      </c>
      <c r="N19" s="162"/>
      <c r="O19" s="244">
        <f>SUM(O6:O17)</f>
        <v>52013</v>
      </c>
      <c r="P19" s="159"/>
      <c r="Q19" s="163">
        <f>O19/K19</f>
        <v>1.0834630907433929</v>
      </c>
      <c r="R19" s="162"/>
      <c r="S19" s="244">
        <f>SUM(S6:S17)</f>
        <v>55415</v>
      </c>
      <c r="T19" s="159"/>
      <c r="U19" s="164">
        <f>S19/K19</f>
        <v>1.154328863429241</v>
      </c>
      <c r="V19" s="165"/>
      <c r="W19" s="156"/>
    </row>
    <row r="20" spans="1:27" ht="21.75" customHeight="1" thickBot="1">
      <c r="B20" s="166"/>
      <c r="C20" s="333" t="s">
        <v>23</v>
      </c>
      <c r="D20" s="334"/>
      <c r="E20" s="334"/>
      <c r="F20" s="335"/>
      <c r="G20" s="322">
        <f>G19*15%</f>
        <v>7759.5</v>
      </c>
      <c r="H20" s="323"/>
      <c r="I20" s="170"/>
      <c r="J20" s="167"/>
      <c r="K20" s="245">
        <f>K19*15%</f>
        <v>7200.9375</v>
      </c>
      <c r="L20" s="169"/>
      <c r="M20" s="170"/>
      <c r="N20" s="171"/>
      <c r="O20" s="245">
        <f>O19*15%</f>
        <v>7801.95</v>
      </c>
      <c r="P20" s="169"/>
      <c r="Q20" s="170"/>
      <c r="R20" s="171"/>
      <c r="S20" s="245">
        <f>S19*15%</f>
        <v>8312.25</v>
      </c>
      <c r="T20" s="168"/>
      <c r="U20" s="172"/>
      <c r="V20" s="173"/>
      <c r="W20" s="156"/>
    </row>
    <row r="21" spans="1:27" ht="25.15" customHeight="1" thickBot="1">
      <c r="B21" s="330" t="s">
        <v>45</v>
      </c>
      <c r="C21" s="331"/>
      <c r="D21" s="331"/>
      <c r="E21" s="331"/>
      <c r="F21" s="332"/>
      <c r="G21" s="318">
        <f>SUM(G19:H20)</f>
        <v>59489.5</v>
      </c>
      <c r="H21" s="319"/>
      <c r="I21" s="247">
        <f>G21/K21</f>
        <v>1.0775680249967452</v>
      </c>
      <c r="J21" s="247"/>
      <c r="K21" s="175">
        <f>SUM(K19:K20)</f>
        <v>55207.1875</v>
      </c>
      <c r="L21" s="176"/>
      <c r="M21" s="177">
        <v>1</v>
      </c>
      <c r="N21" s="178"/>
      <c r="O21" s="175">
        <f>SUM(O19:O20)</f>
        <v>59814.95</v>
      </c>
      <c r="P21" s="176"/>
      <c r="Q21" s="179">
        <f>O21/K21</f>
        <v>1.0834630907433926</v>
      </c>
      <c r="R21" s="174"/>
      <c r="S21" s="175">
        <f>SUM(S19:S20)</f>
        <v>63727.25</v>
      </c>
      <c r="T21" s="176"/>
      <c r="U21" s="177">
        <f>S21/K21</f>
        <v>1.154328863429241</v>
      </c>
      <c r="V21" s="180"/>
      <c r="W21" s="181"/>
    </row>
    <row r="22" spans="1:27" s="182" customFormat="1" ht="12" customHeight="1">
      <c r="B22" s="183"/>
      <c r="C22" s="184"/>
      <c r="D22" s="184"/>
      <c r="E22" s="185"/>
      <c r="F22" s="185"/>
      <c r="G22" s="185"/>
      <c r="H22" s="185"/>
      <c r="I22" s="185"/>
      <c r="J22" s="186"/>
      <c r="K22" s="186"/>
      <c r="L22" s="186"/>
      <c r="M22" s="187"/>
      <c r="N22" s="186"/>
      <c r="O22" s="186"/>
      <c r="P22" s="186"/>
      <c r="Q22" s="187"/>
      <c r="R22" s="187"/>
      <c r="S22" s="187"/>
      <c r="T22" s="187"/>
      <c r="U22" s="187"/>
      <c r="V22" s="188"/>
      <c r="W22" s="189"/>
      <c r="X22" s="190"/>
      <c r="Y22" s="190"/>
      <c r="Z22" s="190"/>
      <c r="AA22" s="190"/>
    </row>
    <row r="23" spans="1:27" ht="18" customHeight="1" thickBot="1">
      <c r="A23" s="135" t="s">
        <v>44</v>
      </c>
      <c r="B23" s="135"/>
      <c r="C23" s="136"/>
      <c r="D23" s="137"/>
      <c r="E23" s="135"/>
      <c r="F23" s="135"/>
      <c r="G23" s="135"/>
      <c r="H23" s="135"/>
      <c r="I23" s="135"/>
      <c r="J23" s="135"/>
      <c r="K23" s="135"/>
      <c r="L23" s="135"/>
      <c r="M23" s="138"/>
      <c r="N23" s="135"/>
      <c r="O23" s="135"/>
      <c r="P23" s="135"/>
      <c r="Q23" s="138"/>
      <c r="R23" s="138"/>
      <c r="S23" s="138"/>
      <c r="T23" s="138"/>
      <c r="U23" s="138"/>
      <c r="V23" s="142" t="s">
        <v>25</v>
      </c>
      <c r="W23" s="142"/>
    </row>
    <row r="24" spans="1:27" ht="23.25" customHeight="1" thickBot="1">
      <c r="B24" s="143" t="s">
        <v>46</v>
      </c>
      <c r="C24" s="369" t="s">
        <v>47</v>
      </c>
      <c r="D24" s="370"/>
      <c r="E24" s="369" t="s">
        <v>48</v>
      </c>
      <c r="F24" s="371"/>
      <c r="G24" s="371"/>
      <c r="H24" s="371"/>
      <c r="I24" s="370"/>
      <c r="J24" s="359" t="s">
        <v>49</v>
      </c>
      <c r="K24" s="360"/>
      <c r="L24" s="361" t="s">
        <v>50</v>
      </c>
      <c r="M24" s="362"/>
      <c r="N24" s="359" t="s">
        <v>51</v>
      </c>
      <c r="O24" s="360"/>
      <c r="P24" s="361" t="s">
        <v>50</v>
      </c>
      <c r="Q24" s="362"/>
      <c r="R24" s="359" t="s">
        <v>51</v>
      </c>
      <c r="S24" s="360"/>
      <c r="T24" s="361" t="s">
        <v>50</v>
      </c>
      <c r="U24" s="362"/>
      <c r="V24" s="191" t="s">
        <v>52</v>
      </c>
      <c r="W24" s="192"/>
    </row>
    <row r="25" spans="1:27" s="182" customFormat="1" ht="25.15" customHeight="1" thickTop="1">
      <c r="B25" s="193">
        <v>1</v>
      </c>
      <c r="C25" s="363" t="str">
        <f>+J18</f>
        <v>YATCO (Yaqoot Arabia Trading Company)</v>
      </c>
      <c r="D25" s="364"/>
      <c r="E25" s="350">
        <f>K21</f>
        <v>55207.1875</v>
      </c>
      <c r="F25" s="351"/>
      <c r="G25" s="351"/>
      <c r="H25" s="351"/>
      <c r="I25" s="352"/>
      <c r="J25" s="365">
        <f>K21</f>
        <v>55207.1875</v>
      </c>
      <c r="K25" s="366"/>
      <c r="L25" s="367">
        <v>1</v>
      </c>
      <c r="M25" s="368"/>
      <c r="N25" s="365">
        <f>E25</f>
        <v>55207.1875</v>
      </c>
      <c r="O25" s="366"/>
      <c r="P25" s="367">
        <f>N25/E25</f>
        <v>1</v>
      </c>
      <c r="Q25" s="368">
        <f>N25/E25</f>
        <v>1</v>
      </c>
      <c r="R25" s="365">
        <f>E25</f>
        <v>55207.1875</v>
      </c>
      <c r="S25" s="366"/>
      <c r="T25" s="367">
        <f>R25/E25</f>
        <v>1</v>
      </c>
      <c r="U25" s="368">
        <f>R25/E25</f>
        <v>1</v>
      </c>
      <c r="V25" s="194"/>
      <c r="W25" s="195"/>
      <c r="X25" s="190"/>
      <c r="Y25" s="190"/>
      <c r="Z25" s="190"/>
      <c r="AA25" s="190"/>
    </row>
    <row r="26" spans="1:27" s="182" customFormat="1" ht="25.15" customHeight="1">
      <c r="B26" s="196">
        <v>2</v>
      </c>
      <c r="C26" s="342" t="str">
        <f>+N18</f>
        <v>GULF KEY TRADING EST</v>
      </c>
      <c r="D26" s="343"/>
      <c r="E26" s="353"/>
      <c r="F26" s="354"/>
      <c r="G26" s="354"/>
      <c r="H26" s="354"/>
      <c r="I26" s="355"/>
      <c r="J26" s="344">
        <f>O21</f>
        <v>59814.95</v>
      </c>
      <c r="K26" s="345"/>
      <c r="L26" s="346">
        <f>J26/E25</f>
        <v>1.0834630907433926</v>
      </c>
      <c r="M26" s="347"/>
      <c r="N26" s="344">
        <f>J26</f>
        <v>59814.95</v>
      </c>
      <c r="O26" s="345"/>
      <c r="P26" s="346">
        <f>N26/E25</f>
        <v>1.0834630907433926</v>
      </c>
      <c r="Q26" s="347">
        <v>1</v>
      </c>
      <c r="R26" s="344">
        <f>N26</f>
        <v>59814.95</v>
      </c>
      <c r="S26" s="345"/>
      <c r="T26" s="346">
        <f>R26/E25</f>
        <v>1.0834630907433926</v>
      </c>
      <c r="U26" s="347">
        <v>1</v>
      </c>
      <c r="V26" s="197"/>
      <c r="W26" s="195"/>
      <c r="X26" s="190"/>
      <c r="Y26" s="190"/>
      <c r="Z26" s="190"/>
      <c r="AA26" s="190"/>
    </row>
    <row r="27" spans="1:27" s="182" customFormat="1" ht="25.15" customHeight="1" thickBot="1">
      <c r="B27" s="198">
        <v>3</v>
      </c>
      <c r="C27" s="348" t="str">
        <f>+R18</f>
        <v>ASSAS EARTH TRADING EST</v>
      </c>
      <c r="D27" s="349"/>
      <c r="E27" s="356"/>
      <c r="F27" s="357"/>
      <c r="G27" s="357"/>
      <c r="H27" s="357"/>
      <c r="I27" s="358"/>
      <c r="J27" s="340">
        <f>S21</f>
        <v>63727.25</v>
      </c>
      <c r="K27" s="341"/>
      <c r="L27" s="338">
        <f>J27/E25</f>
        <v>1.154328863429241</v>
      </c>
      <c r="M27" s="339"/>
      <c r="N27" s="340">
        <f>J27</f>
        <v>63727.25</v>
      </c>
      <c r="O27" s="341"/>
      <c r="P27" s="338">
        <f>N27/E25</f>
        <v>1.154328863429241</v>
      </c>
      <c r="Q27" s="339"/>
      <c r="R27" s="340">
        <f>J27</f>
        <v>63727.25</v>
      </c>
      <c r="S27" s="341"/>
      <c r="T27" s="338">
        <f>R27/E25</f>
        <v>1.154328863429241</v>
      </c>
      <c r="U27" s="339"/>
      <c r="V27" s="199"/>
      <c r="W27" s="195"/>
      <c r="X27" s="190"/>
      <c r="Y27" s="190"/>
      <c r="Z27" s="190"/>
      <c r="AA27" s="190"/>
    </row>
    <row r="28" spans="1:27" s="182" customFormat="1" ht="12" customHeight="1">
      <c r="B28" s="183"/>
      <c r="C28" s="184"/>
      <c r="D28" s="184"/>
      <c r="E28" s="185"/>
      <c r="F28" s="185"/>
      <c r="G28" s="185"/>
      <c r="H28" s="185"/>
      <c r="I28" s="185"/>
      <c r="J28" s="186"/>
      <c r="K28" s="186"/>
      <c r="L28" s="186"/>
      <c r="M28" s="187"/>
      <c r="N28" s="186"/>
      <c r="O28" s="186"/>
      <c r="P28" s="186"/>
      <c r="Q28" s="187"/>
      <c r="R28" s="187"/>
      <c r="S28" s="187"/>
      <c r="T28" s="187"/>
      <c r="U28" s="187"/>
      <c r="V28" s="188"/>
      <c r="W28" s="189"/>
      <c r="X28" s="190"/>
      <c r="Y28" s="190"/>
      <c r="Z28" s="190"/>
      <c r="AA28" s="190"/>
    </row>
    <row r="29" spans="1:27" ht="18" customHeight="1" thickBot="1">
      <c r="A29" s="135" t="s">
        <v>53</v>
      </c>
      <c r="B29" s="135"/>
      <c r="C29" s="136"/>
      <c r="D29" s="137"/>
      <c r="E29" s="135"/>
      <c r="F29" s="135"/>
      <c r="G29" s="135"/>
      <c r="H29" s="135"/>
      <c r="I29" s="135"/>
      <c r="J29" s="135"/>
      <c r="K29" s="135"/>
      <c r="L29" s="135"/>
      <c r="M29" s="138"/>
      <c r="N29" s="135"/>
      <c r="O29" s="135"/>
      <c r="P29" s="135"/>
      <c r="Q29" s="138"/>
      <c r="R29" s="138"/>
      <c r="S29" s="138"/>
      <c r="T29" s="138"/>
      <c r="U29" s="138"/>
      <c r="V29" s="135"/>
      <c r="W29" s="135"/>
    </row>
    <row r="30" spans="1:27" ht="19.899999999999999" customHeight="1">
      <c r="A30" s="135"/>
      <c r="B30" s="200" t="s">
        <v>55</v>
      </c>
      <c r="C30" s="201"/>
      <c r="D30" s="202"/>
      <c r="E30" s="203"/>
      <c r="F30" s="204"/>
      <c r="G30" s="204"/>
      <c r="H30" s="204"/>
      <c r="I30" s="204"/>
      <c r="J30" s="204"/>
      <c r="K30" s="204"/>
      <c r="L30" s="204"/>
      <c r="M30" s="205"/>
      <c r="N30" s="204"/>
      <c r="O30" s="204"/>
      <c r="P30" s="204"/>
      <c r="Q30" s="205"/>
      <c r="R30" s="205"/>
      <c r="S30" s="205"/>
      <c r="T30" s="205"/>
      <c r="U30" s="205"/>
      <c r="V30" s="206"/>
      <c r="W30" s="135"/>
    </row>
    <row r="31" spans="1:27" ht="19.899999999999999" customHeight="1" thickBot="1">
      <c r="A31" s="135"/>
      <c r="B31" s="207"/>
      <c r="C31" s="208"/>
      <c r="D31" s="209"/>
      <c r="E31" s="210"/>
      <c r="F31" s="211"/>
      <c r="G31" s="211"/>
      <c r="H31" s="211"/>
      <c r="I31" s="211"/>
      <c r="J31" s="211"/>
      <c r="K31" s="211"/>
      <c r="L31" s="211"/>
      <c r="M31" s="212"/>
      <c r="N31" s="211"/>
      <c r="O31" s="211"/>
      <c r="P31" s="211"/>
      <c r="Q31" s="212"/>
      <c r="R31" s="212"/>
      <c r="S31" s="212"/>
      <c r="T31" s="212"/>
      <c r="U31" s="212"/>
      <c r="V31" s="213"/>
      <c r="W31" s="135"/>
    </row>
    <row r="32" spans="1:27" s="182" customFormat="1" ht="12" customHeight="1">
      <c r="B32" s="183"/>
      <c r="C32" s="184"/>
      <c r="D32" s="184"/>
      <c r="E32" s="185"/>
      <c r="F32" s="185"/>
      <c r="G32" s="185"/>
      <c r="H32" s="185"/>
      <c r="I32" s="185"/>
      <c r="J32" s="186"/>
      <c r="K32" s="186"/>
      <c r="L32" s="186"/>
      <c r="M32" s="187"/>
      <c r="N32" s="186"/>
      <c r="O32" s="186"/>
      <c r="P32" s="186"/>
      <c r="Q32" s="187"/>
      <c r="R32" s="187"/>
      <c r="S32" s="187"/>
      <c r="T32" s="187"/>
      <c r="U32" s="187"/>
      <c r="V32" s="188"/>
      <c r="W32" s="189"/>
      <c r="X32" s="190"/>
      <c r="Y32" s="190"/>
      <c r="Z32" s="190"/>
      <c r="AA32" s="190"/>
    </row>
    <row r="33" spans="1:27" ht="18" customHeight="1" thickBot="1">
      <c r="A33" s="135" t="s">
        <v>54</v>
      </c>
      <c r="B33" s="135"/>
      <c r="C33" s="136"/>
      <c r="D33" s="137"/>
      <c r="E33" s="135"/>
      <c r="F33" s="135"/>
      <c r="G33" s="135"/>
      <c r="H33" s="135"/>
      <c r="I33" s="135"/>
      <c r="J33" s="135"/>
      <c r="K33" s="135"/>
      <c r="L33" s="135"/>
      <c r="M33" s="138"/>
      <c r="N33" s="135"/>
      <c r="O33" s="135"/>
      <c r="P33" s="135"/>
      <c r="Q33" s="138"/>
      <c r="R33" s="138"/>
      <c r="S33" s="138"/>
      <c r="T33" s="138"/>
      <c r="U33" s="138"/>
      <c r="V33" s="135"/>
      <c r="W33" s="135"/>
    </row>
    <row r="34" spans="1:27" ht="24.95" customHeight="1" thickBot="1">
      <c r="A34" s="135"/>
      <c r="B34" s="214" t="str">
        <f>CONCATENATE("1) Selected"," ' ",J4," ' ","asthevendorofferingthelowestpricewhilemeetingallrequiredqualitystandards.")</f>
        <v>1) Selected ' YATCO (Yaqoot Arabia Trading Company) ' asthevendorofferingthelowestpricewhilemeetingallrequiredqualitystandards.</v>
      </c>
      <c r="C34" s="215"/>
      <c r="D34" s="216"/>
      <c r="E34" s="217"/>
      <c r="F34" s="218"/>
      <c r="G34" s="218"/>
      <c r="H34" s="218"/>
      <c r="I34" s="218"/>
      <c r="J34" s="218"/>
      <c r="K34" s="218"/>
      <c r="L34" s="218"/>
      <c r="M34" s="219"/>
      <c r="N34" s="218"/>
      <c r="O34" s="218"/>
      <c r="P34" s="218"/>
      <c r="Q34" s="219"/>
      <c r="R34" s="219"/>
      <c r="S34" s="219"/>
      <c r="T34" s="219"/>
      <c r="U34" s="219"/>
      <c r="V34" s="220"/>
      <c r="W34" s="135"/>
    </row>
    <row r="35" spans="1:27" ht="18" customHeight="1">
      <c r="A35" s="135"/>
      <c r="B35" s="221"/>
      <c r="C35" s="222"/>
      <c r="D35" s="223"/>
      <c r="E35" s="221"/>
      <c r="F35" s="135"/>
      <c r="G35" s="135"/>
      <c r="H35" s="135"/>
      <c r="I35" s="135"/>
      <c r="J35" s="135"/>
      <c r="K35" s="135"/>
      <c r="L35" s="135"/>
      <c r="M35" s="138"/>
      <c r="N35" s="135"/>
      <c r="O35" s="135"/>
      <c r="P35" s="135"/>
      <c r="Q35" s="138"/>
      <c r="R35" s="138"/>
      <c r="S35" s="138"/>
      <c r="T35" s="138"/>
      <c r="U35" s="138"/>
      <c r="V35" s="135"/>
      <c r="W35" s="135"/>
    </row>
    <row r="36" spans="1:27" s="227" customFormat="1" ht="15" customHeight="1">
      <c r="A36" s="134"/>
      <c r="B36" s="224"/>
      <c r="C36" s="225"/>
      <c r="D36" s="226"/>
      <c r="E36" s="224"/>
      <c r="F36" s="224"/>
      <c r="G36" s="224"/>
      <c r="H36" s="224"/>
      <c r="I36" s="224"/>
      <c r="J36" s="224"/>
      <c r="K36" s="224"/>
      <c r="L36" s="224"/>
      <c r="M36" s="224"/>
      <c r="N36" s="224"/>
      <c r="O36" s="224"/>
      <c r="P36" s="224"/>
      <c r="Q36" s="224"/>
      <c r="R36" s="224"/>
      <c r="S36" s="224"/>
      <c r="T36" s="224"/>
      <c r="U36" s="224"/>
      <c r="V36" s="224"/>
      <c r="W36" s="224"/>
      <c r="X36" s="133"/>
      <c r="Y36" s="133"/>
      <c r="Z36" s="133"/>
      <c r="AA36" s="133"/>
    </row>
    <row r="37" spans="1:27" s="227" customFormat="1" ht="18" customHeight="1">
      <c r="A37" s="134"/>
      <c r="B37" s="134"/>
      <c r="C37" s="139"/>
      <c r="D37" s="226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134"/>
      <c r="W37" s="134"/>
      <c r="X37" s="133"/>
      <c r="Y37" s="133"/>
      <c r="Z37" s="133"/>
      <c r="AA37" s="133"/>
    </row>
    <row r="38" spans="1:27" s="227" customFormat="1" ht="18" customHeight="1">
      <c r="A38" s="134"/>
      <c r="B38" s="134"/>
      <c r="C38" s="139"/>
      <c r="D38" s="226"/>
      <c r="E38" s="224"/>
      <c r="F38" s="224"/>
      <c r="G38" s="224"/>
      <c r="H38" s="224"/>
      <c r="I38" s="224"/>
      <c r="J38" s="224"/>
      <c r="K38" s="224"/>
      <c r="L38" s="224"/>
      <c r="M38" s="224"/>
      <c r="N38" s="224"/>
      <c r="O38" s="224"/>
      <c r="P38" s="224"/>
      <c r="Q38" s="224"/>
      <c r="R38" s="224"/>
      <c r="S38" s="224"/>
      <c r="T38" s="224"/>
      <c r="U38" s="224"/>
      <c r="V38" s="134"/>
      <c r="W38" s="134"/>
      <c r="X38" s="133"/>
      <c r="Y38" s="133"/>
      <c r="Z38" s="133"/>
      <c r="AA38" s="133"/>
    </row>
    <row r="39" spans="1:27" s="227" customFormat="1" ht="18" customHeight="1">
      <c r="A39" s="134"/>
      <c r="B39" s="134"/>
      <c r="C39" s="139"/>
      <c r="D39" s="226"/>
      <c r="E39" s="224"/>
      <c r="F39" s="224"/>
      <c r="G39" s="224"/>
      <c r="H39" s="224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134"/>
      <c r="W39" s="134"/>
      <c r="X39" s="133"/>
      <c r="Y39" s="133"/>
      <c r="Z39" s="133"/>
      <c r="AA39" s="133"/>
    </row>
    <row r="40" spans="1:27" s="227" customFormat="1" ht="18" customHeight="1">
      <c r="A40" s="134"/>
      <c r="B40" s="134"/>
      <c r="C40" s="139"/>
      <c r="D40" s="226"/>
      <c r="E40" s="224"/>
      <c r="F40" s="224"/>
      <c r="G40" s="224"/>
      <c r="H40" s="224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134"/>
      <c r="W40" s="134"/>
      <c r="X40" s="133"/>
      <c r="Y40" s="133"/>
      <c r="Z40" s="133"/>
      <c r="AA40" s="133"/>
    </row>
  </sheetData>
  <mergeCells count="55">
    <mergeCell ref="J18:M18"/>
    <mergeCell ref="N18:Q18"/>
    <mergeCell ref="R18:U18"/>
    <mergeCell ref="D19:F19"/>
    <mergeCell ref="B4:B5"/>
    <mergeCell ref="C4:C5"/>
    <mergeCell ref="D4:D5"/>
    <mergeCell ref="E4:E5"/>
    <mergeCell ref="F4:F5"/>
    <mergeCell ref="N4:Q4"/>
    <mergeCell ref="R4:U4"/>
    <mergeCell ref="V4:V5"/>
    <mergeCell ref="L6:L17"/>
    <mergeCell ref="P6:P17"/>
    <mergeCell ref="T6:T17"/>
    <mergeCell ref="J4:M4"/>
    <mergeCell ref="R24:S24"/>
    <mergeCell ref="T24:U24"/>
    <mergeCell ref="C25:D25"/>
    <mergeCell ref="J25:K25"/>
    <mergeCell ref="L25:M25"/>
    <mergeCell ref="N25:O25"/>
    <mergeCell ref="P25:Q25"/>
    <mergeCell ref="R25:S25"/>
    <mergeCell ref="T25:U25"/>
    <mergeCell ref="P24:Q24"/>
    <mergeCell ref="J24:K24"/>
    <mergeCell ref="L24:M24"/>
    <mergeCell ref="N24:O24"/>
    <mergeCell ref="C24:D24"/>
    <mergeCell ref="E24:I24"/>
    <mergeCell ref="P27:Q27"/>
    <mergeCell ref="R27:S27"/>
    <mergeCell ref="T27:U27"/>
    <mergeCell ref="C26:D26"/>
    <mergeCell ref="J26:K26"/>
    <mergeCell ref="L26:M26"/>
    <mergeCell ref="N26:O26"/>
    <mergeCell ref="P26:Q26"/>
    <mergeCell ref="R26:S26"/>
    <mergeCell ref="T26:U26"/>
    <mergeCell ref="C27:D27"/>
    <mergeCell ref="J27:K27"/>
    <mergeCell ref="L27:M27"/>
    <mergeCell ref="N27:O27"/>
    <mergeCell ref="E25:I27"/>
    <mergeCell ref="A3:C3"/>
    <mergeCell ref="G21:H21"/>
    <mergeCell ref="G19:H19"/>
    <mergeCell ref="G20:H20"/>
    <mergeCell ref="G18:I18"/>
    <mergeCell ref="G4:I4"/>
    <mergeCell ref="B21:F21"/>
    <mergeCell ref="C20:F20"/>
    <mergeCell ref="C18:F18"/>
  </mergeCells>
  <phoneticPr fontId="4" type="noConversion"/>
  <printOptions horizontalCentered="1"/>
  <pageMargins left="0.15748031496063" right="0.15748031496063" top="0.44" bottom="0.196850393700787" header="0.31496062992126" footer="0.15748031496063"/>
  <pageSetup paperSize="9" scale="55" fitToHeight="0" orientation="landscape" r:id="rId1"/>
  <ignoredErrors>
    <ignoredError sqref="Q19 U19 U6 Q6" evalError="1"/>
    <ignoredError sqref="P26" formula="1"/>
    <ignoredError sqref="M1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양식</vt:lpstr>
      <vt:lpstr>샘플_AGTC  소모품_1차</vt:lpstr>
      <vt:lpstr>'샘플_AGTC  소모품_1차'!Print_Area</vt:lpstr>
      <vt:lpstr>양식!Print_Area</vt:lpstr>
      <vt:lpstr>'샘플_AGTC  소모품_1차'!Print_Titles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</dc:creator>
  <cp:lastModifiedBy>shadab khan</cp:lastModifiedBy>
  <cp:lastPrinted>2026-10-26T10:58:41Z</cp:lastPrinted>
  <dcterms:created xsi:type="dcterms:W3CDTF">2023-08-14T07:13:42Z</dcterms:created>
  <dcterms:modified xsi:type="dcterms:W3CDTF">2026-10-26T10:58:47Z</dcterms:modified>
</cp:coreProperties>
</file>