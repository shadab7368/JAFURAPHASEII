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YATCO\QT-C26-150797\"/>
    </mc:Choice>
  </mc:AlternateContent>
  <xr:revisionPtr revIDLastSave="0" documentId="13_ncr:1_{56CA1625-A6B4-47C8-8B49-04AAE90D624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LIST'!$A$1:$K$11</definedName>
    <definedName name="_xlnm.Print_Area" localSheetId="2">'PO 1st page'!$A$1:$N$71</definedName>
    <definedName name="_xlnm.Print_Area" localSheetId="3">'PO 2nd page'!$A$1:$H$24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F7" i="4"/>
  <c r="F8" i="4"/>
  <c r="F9" i="4"/>
  <c r="F10" i="4"/>
  <c r="F11" i="4"/>
  <c r="F12" i="4"/>
  <c r="F13" i="4"/>
  <c r="F14" i="4"/>
  <c r="F15" i="4"/>
  <c r="F16" i="4"/>
  <c r="F6" i="4"/>
  <c r="E7" i="4"/>
  <c r="E8" i="4"/>
  <c r="E9" i="4"/>
  <c r="E10" i="4"/>
  <c r="E11" i="4"/>
  <c r="E12" i="4"/>
  <c r="E13" i="4"/>
  <c r="E14" i="4"/>
  <c r="E15" i="4"/>
  <c r="E16" i="4"/>
  <c r="E17" i="4"/>
  <c r="E6" i="4"/>
  <c r="D7" i="4"/>
  <c r="D8" i="4"/>
  <c r="D9" i="4"/>
  <c r="D10" i="4"/>
  <c r="D11" i="4"/>
  <c r="D12" i="4"/>
  <c r="D13" i="4"/>
  <c r="D14" i="4"/>
  <c r="D15" i="4"/>
  <c r="D16" i="4"/>
  <c r="D17" i="4"/>
  <c r="D6" i="4"/>
  <c r="B17" i="4"/>
  <c r="B16" i="4"/>
  <c r="B15" i="4"/>
  <c r="B14" i="4"/>
  <c r="B13" i="4"/>
  <c r="B12" i="4"/>
  <c r="B11" i="4"/>
  <c r="B10" i="4"/>
  <c r="B9" i="4"/>
  <c r="B8" i="4"/>
  <c r="B7" i="4"/>
  <c r="B6" i="4"/>
  <c r="J7" i="2"/>
  <c r="J8" i="2"/>
  <c r="J9" i="2"/>
  <c r="J10" i="2"/>
  <c r="J11" i="2"/>
  <c r="J12" i="2"/>
  <c r="J13" i="2"/>
  <c r="J14" i="2"/>
  <c r="J15" i="2"/>
  <c r="J16" i="2"/>
  <c r="J17" i="2"/>
  <c r="I7" i="2"/>
  <c r="I8" i="2"/>
  <c r="I9" i="2"/>
  <c r="I10" i="2"/>
  <c r="I11" i="2"/>
  <c r="I12" i="2"/>
  <c r="I13" i="2"/>
  <c r="I14" i="2"/>
  <c r="I15" i="2"/>
  <c r="I16" i="2"/>
  <c r="I17" i="2"/>
  <c r="H7" i="2"/>
  <c r="H8" i="2"/>
  <c r="H9" i="2"/>
  <c r="H10" i="2"/>
  <c r="H11" i="2"/>
  <c r="H12" i="2"/>
  <c r="H13" i="2"/>
  <c r="H14" i="2"/>
  <c r="H15" i="2"/>
  <c r="H16" i="2"/>
  <c r="H17" i="2"/>
  <c r="G7" i="2"/>
  <c r="G8" i="2"/>
  <c r="G9" i="2"/>
  <c r="G10" i="2"/>
  <c r="G11" i="2"/>
  <c r="G12" i="2"/>
  <c r="G13" i="2"/>
  <c r="G14" i="2"/>
  <c r="G15" i="2"/>
  <c r="G16" i="2"/>
  <c r="G17" i="2"/>
  <c r="D7" i="2"/>
  <c r="D8" i="2"/>
  <c r="D9" i="2"/>
  <c r="D10" i="2"/>
  <c r="D11" i="2"/>
  <c r="D12" i="2"/>
  <c r="D13" i="2"/>
  <c r="D14" i="2"/>
  <c r="D15" i="2"/>
  <c r="D16" i="2"/>
  <c r="D17" i="2"/>
  <c r="B7" i="2"/>
  <c r="B8" i="2"/>
  <c r="B9" i="2"/>
  <c r="B10" i="2"/>
  <c r="B11" i="2"/>
  <c r="B12" i="2"/>
  <c r="B13" i="2"/>
  <c r="B14" i="2"/>
  <c r="B15" i="2"/>
  <c r="B16" i="2"/>
  <c r="B17" i="2"/>
  <c r="J7" i="1"/>
  <c r="J8" i="1"/>
  <c r="J9" i="1"/>
  <c r="J10" i="1"/>
  <c r="J11" i="1"/>
  <c r="J12" i="1"/>
  <c r="J13" i="1"/>
  <c r="J14" i="1"/>
  <c r="J15" i="1"/>
  <c r="J16" i="1"/>
  <c r="J17" i="1"/>
  <c r="A17" i="1"/>
  <c r="A16" i="1"/>
  <c r="A9" i="1"/>
  <c r="A10" i="1"/>
  <c r="A11" i="1"/>
  <c r="A12" i="1"/>
  <c r="A13" i="1"/>
  <c r="A14" i="1"/>
  <c r="A15" i="1"/>
  <c r="E3" i="1" l="1"/>
  <c r="A21" i="4"/>
  <c r="A10" i="4"/>
  <c r="A9" i="4"/>
  <c r="A8" i="4"/>
  <c r="P54" i="3"/>
  <c r="H6" i="2"/>
  <c r="G6" i="2"/>
  <c r="D6" i="2"/>
  <c r="B6" i="2"/>
  <c r="A8" i="1"/>
  <c r="A8" i="2" s="1"/>
  <c r="A9" i="2"/>
  <c r="A10" i="2"/>
  <c r="J6" i="1"/>
  <c r="G17" i="4" l="1"/>
  <c r="J18" i="1"/>
  <c r="J6" i="2"/>
  <c r="G6" i="4"/>
  <c r="K67" i="3"/>
  <c r="G18" i="4" l="1"/>
  <c r="K10" i="3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9" i="4" l="1"/>
  <c r="F30" i="3" s="1"/>
  <c r="G20" i="4" l="1"/>
  <c r="F31" i="3" s="1"/>
</calcChain>
</file>

<file path=xl/sharedStrings.xml><?xml version="1.0" encoding="utf-8"?>
<sst xmlns="http://schemas.openxmlformats.org/spreadsheetml/2006/main" count="231" uniqueCount="160">
  <si>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</si>
  <si>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</si>
  <si>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</si>
  <si>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</si>
  <si>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</si>
  <si>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</si>
  <si>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</si>
  <si>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</si>
  <si>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</si>
  <si>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</si>
  <si>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</si>
  <si>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</si>
  <si>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</si>
  <si>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</si>
  <si>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</si>
  <si>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</si>
  <si>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</si>
  <si>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</si>
  <si>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</si>
  <si>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</si>
  <si>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</si>
  <si>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</si>
  <si>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</si>
  <si>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</si>
  <si>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</si>
  <si>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</si>
  <si>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</si>
  <si>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</si>
  <si>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</si>
  <si>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</si>
  <si>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</si>
  <si>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</si>
  <si>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</si>
  <si>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</si>
  <si>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</si>
  <si>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</si>
  <si>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</si>
  <si>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</si>
  <si>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</si>
  <si>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</si>
  <si>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</si>
  <si>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</si>
  <si>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</si>
  <si>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</si>
  <si>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</si>
  <si>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</si>
  <si>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</si>
  <si>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</si>
  <si>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</si>
  <si>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</si>
  <si>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</si>
  <si>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</si>
  <si>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</si>
  <si>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</si>
  <si>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</si>
  <si>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</si>
  <si>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</si>
  <si>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</si>
  <si>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</si>
  <si>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</si>
  <si>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</si>
  <si>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</si>
  <si>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</si>
  <si>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</si>
  <si>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</si>
  <si>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</si>
  <si>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</si>
  <si>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</si>
  <si>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</si>
  <si>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</si>
  <si>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</si>
  <si>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</si>
  <si>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</si>
  <si>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</si>
  <si>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</si>
  <si>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</si>
  <si>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</si>
  <si>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</si>
  <si>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</si>
  <si>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</si>
  <si>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</si>
  <si>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</si>
  <si>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</si>
  <si>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</si>
  <si>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</si>
  <si>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</si>
  <si>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</si>
  <si>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</si>
  <si>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</si>
  <si>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</si>
  <si>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</si>
  <si>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</si>
  <si>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</si>
  <si>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</si>
  <si>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</si>
  <si>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</si>
  <si>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</si>
  <si>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</si>
  <si>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</si>
  <si>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</si>
  <si>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</si>
  <si>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</si>
  <si>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</si>
  <si>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</si>
  <si>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</si>
  <si>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</si>
  <si>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</si>
  <si>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</si>
  <si>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</si>
  <si>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</si>
  <si>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</si>
  <si>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</si>
  <si>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</si>
  <si>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</si>
  <si>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</si>
  <si>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</si>
  <si>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</si>
  <si>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</si>
  <si>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</si>
  <si>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</si>
  <si>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</si>
  <si>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</si>
  <si>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</si>
  <si>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</si>
  <si>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</si>
  <si>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</si>
  <si>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</si>
  <si>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YAQOT ALARBYH COMPANY</t>
  </si>
  <si>
    <t>EA</t>
  </si>
  <si>
    <t>UNIT</t>
  </si>
  <si>
    <t>QTY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</si>
  <si>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-MRS-0504</t>
    </r>
  </si>
  <si>
    <t>QT-C26-150797</t>
  </si>
  <si>
    <t xml:space="preserve">PVC CHAMFER </t>
  </si>
  <si>
    <t xml:space="preserve">TOE FOOT GUARD </t>
  </si>
  <si>
    <t xml:space="preserve">ANTI VIBRATION HAND GLOVES </t>
  </si>
  <si>
    <t xml:space="preserve">INDUSTRIAL PLUG </t>
  </si>
  <si>
    <t>HEX PLUG</t>
  </si>
  <si>
    <t>REDUCER BUSHING SS(304)</t>
  </si>
  <si>
    <t>EQUAL TEE CS(A105)</t>
  </si>
  <si>
    <t xml:space="preserve">ELECTRICAL DRILL MACHINE </t>
  </si>
  <si>
    <t xml:space="preserve">DIE GRINDER MACHINE </t>
  </si>
  <si>
    <t>RAPID GUN TACKER</t>
  </si>
  <si>
    <t>STAPLE PIN</t>
  </si>
  <si>
    <t>Electrical power cable for welding machine</t>
  </si>
  <si>
    <t>25X25MMX2MTR (50pcs/Bundle)</t>
  </si>
  <si>
    <t xml:space="preserve">3PIN 16AMP 220V </t>
  </si>
  <si>
    <t>1/4" NPT FEMALE BRASS</t>
  </si>
  <si>
    <t>M1/2"XF1/4" NPT</t>
  </si>
  <si>
    <t xml:space="preserve">1/2" NPT </t>
  </si>
  <si>
    <t xml:space="preserve">14MM 710W DEWALT WITH TUV </t>
  </si>
  <si>
    <t>6MM 450W DEWALT WITH TUV</t>
  </si>
  <si>
    <t>SUITABLE FOR TYPE 53 STAPLES, 8 MM LEG LENGTH</t>
  </si>
  <si>
    <t>TYPE 53, 8 MM, 1,000 PCS/PACK</t>
  </si>
  <si>
    <t>non-armoured, 4c × 35 mm², flexible stranded copper conductor, epr/rubber insulated, heavy-duty rubber sheathed, 0.6/1 kv</t>
  </si>
  <si>
    <t>BNDL</t>
  </si>
  <si>
    <t>PAIR</t>
  </si>
  <si>
    <t>PACK</t>
  </si>
  <si>
    <t>MTR</t>
  </si>
  <si>
    <t>Site Material &amp;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</si>
</sst>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9" xfId="1" applyFill="1" applyBorder="1" applyAlignment="1">
      <alignment vertical="center"/>
    </xf>
    <xf numFmtId="0" fontId="3" fillId="2" borderId="9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7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7" xfId="6" applyFont="1" applyFill="1" applyBorder="1" applyAlignment="1">
      <alignment horizontal="center" vertical="center" wrapText="1"/>
    </xf>
    <xf numFmtId="43" fontId="13" fillId="0" borderId="17" xfId="6" quotePrefix="1" applyNumberFormat="1" applyFont="1" applyBorder="1" applyAlignment="1">
      <alignment vertical="center" wrapText="1"/>
    </xf>
    <xf numFmtId="0" fontId="8" fillId="0" borderId="31" xfId="6" applyFont="1" applyBorder="1"/>
    <xf numFmtId="170" fontId="10" fillId="0" borderId="38" xfId="6" applyNumberFormat="1" applyFont="1" applyBorder="1" applyAlignment="1">
      <alignment horizontal="center" vertical="center" wrapText="1"/>
    </xf>
    <xf numFmtId="0" fontId="8" fillId="0" borderId="39" xfId="6" applyFont="1" applyBorder="1"/>
    <xf numFmtId="0" fontId="10" fillId="0" borderId="0" xfId="6" applyFont="1" applyAlignment="1">
      <alignment vertical="center"/>
    </xf>
    <xf numFmtId="0" fontId="26" fillId="0" borderId="40" xfId="6" applyFont="1" applyBorder="1" applyAlignment="1">
      <alignment vertical="center"/>
    </xf>
    <xf numFmtId="0" fontId="26" fillId="0" borderId="40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2" xfId="6" quotePrefix="1" applyFont="1" applyBorder="1" applyAlignment="1">
      <alignment horizontal="center" vertical="center"/>
    </xf>
    <xf numFmtId="0" fontId="6" fillId="2" borderId="35" xfId="7" applyFont="1" applyFill="1" applyBorder="1" applyAlignment="1">
      <alignment horizontal="center" vertical="center" wrapText="1"/>
    </xf>
    <xf numFmtId="0" fontId="6" fillId="2" borderId="35" xfId="8" applyFont="1" applyFill="1" applyBorder="1" applyAlignment="1">
      <alignment horizontal="center" vertical="center"/>
    </xf>
    <xf numFmtId="43" fontId="6" fillId="0" borderId="35" xfId="9" quotePrefix="1" applyFont="1" applyFill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3" fillId="0" borderId="31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7" xfId="0" applyFont="1" applyBorder="1" applyAlignment="1">
      <alignment horizontal="center" vertical="center"/>
    </xf>
    <xf numFmtId="172" fontId="42" fillId="0" borderId="17" xfId="10" applyNumberFormat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1" xfId="5" applyFont="1" applyFill="1" applyBorder="1"/>
    <xf numFmtId="0" fontId="18" fillId="3" borderId="41" xfId="5" applyFont="1" applyFill="1" applyBorder="1"/>
    <xf numFmtId="0" fontId="6" fillId="2" borderId="16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6" fillId="2" borderId="1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2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15" fontId="26" fillId="3" borderId="0" xfId="5" applyNumberFormat="1" applyFont="1" applyFill="1"/>
    <xf numFmtId="0" fontId="8" fillId="2" borderId="44" xfId="1" quotePrefix="1" applyFont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0" fontId="3" fillId="2" borderId="7" xfId="1" applyFill="1" applyBorder="1" applyAlignment="1">
      <alignment vertical="center" wrapText="1"/>
    </xf>
    <xf numFmtId="0" fontId="3" fillId="2" borderId="12" xfId="1" applyFill="1" applyBorder="1" applyAlignment="1">
      <alignment horizontal="center" vertical="center"/>
    </xf>
    <xf numFmtId="167" fontId="3" fillId="0" borderId="11" xfId="0" applyNumberFormat="1" applyFont="1" applyBorder="1" applyAlignment="1">
      <alignment horizontal="right" vertical="center" wrapText="1"/>
    </xf>
    <xf numFmtId="0" fontId="3" fillId="2" borderId="12" xfId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58" fillId="0" borderId="8" xfId="0" applyFont="1" applyBorder="1" applyAlignment="1"/>
    <xf numFmtId="0" fontId="59" fillId="0" borderId="8" xfId="0" applyFont="1" applyBorder="1" applyAlignment="1">
      <alignment horizont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3" fillId="2" borderId="11" xfId="1" applyFill="1" applyBorder="1" applyAlignment="1">
      <alignment horizontal="center" vertical="center" wrapText="1"/>
    </xf>
    <xf numFmtId="0" fontId="3" fillId="2" borderId="43" xfId="1" applyFill="1" applyBorder="1" applyAlignment="1">
      <alignment horizontal="center" vertical="center" wrapText="1"/>
    </xf>
    <xf numFmtId="0" fontId="42" fillId="0" borderId="18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3" borderId="18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/>
    </xf>
    <xf numFmtId="0" fontId="15" fillId="2" borderId="17" xfId="1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1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26" fillId="3" borderId="0" xfId="5" quotePrefix="1" applyFont="1" applyFill="1" applyAlignment="1">
      <alignment horizontal="left"/>
    </xf>
    <xf numFmtId="0" fontId="42" fillId="3" borderId="33" xfId="5" applyFont="1" applyFill="1" applyBorder="1" applyAlignment="1">
      <alignment horizontal="left" vertical="center" wrapText="1"/>
    </xf>
    <xf numFmtId="0" fontId="42" fillId="3" borderId="3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2" xfId="6" applyFont="1" applyBorder="1" applyAlignment="1">
      <alignment horizontal="right" vertical="center"/>
    </xf>
    <xf numFmtId="0" fontId="8" fillId="4" borderId="23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24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17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13" fillId="0" borderId="30" xfId="6" quotePrefix="1" applyFont="1" applyBorder="1" applyAlignment="1">
      <alignment horizontal="right" vertical="center"/>
    </xf>
    <xf numFmtId="0" fontId="13" fillId="0" borderId="17" xfId="6" quotePrefix="1" applyFont="1" applyBorder="1" applyAlignment="1">
      <alignment horizontal="right" vertical="center"/>
    </xf>
    <xf numFmtId="0" fontId="10" fillId="0" borderId="37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18</xdr:row>
          <xdr:rowOff>245143</xdr:rowOff>
        </xdr:from>
        <xdr:to>
          <xdr:col>11</xdr:col>
          <xdr:colOff>1652337</xdr:colOff>
          <xdr:row>25</xdr:row>
          <xdr:rowOff>232612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Y$27" spid="_x0000_s13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6870" y="27937827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11</xdr:row>
      <xdr:rowOff>0</xdr:rowOff>
    </xdr:from>
    <xdr:to>
      <xdr:col>15</xdr:col>
      <xdr:colOff>543942</xdr:colOff>
      <xdr:row>11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11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4"/>
  <sheetViews>
    <sheetView showGridLines="0" tabSelected="1" view="pageBreakPreview" zoomScale="95" zoomScaleNormal="95" zoomScaleSheetLayoutView="95" workbookViewId="0">
      <selection activeCell="A4" sqref="A4:L17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10.425781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3" t="s">
        <v>113</v>
      </c>
      <c r="B1" s="104"/>
      <c r="C1" s="93"/>
      <c r="D1" s="93"/>
      <c r="E1" s="93"/>
      <c r="F1" s="93"/>
      <c r="G1" s="1"/>
      <c r="J1" s="142" t="s">
        <v>79</v>
      </c>
      <c r="K1" s="143"/>
      <c r="L1" s="144"/>
    </row>
    <row r="2" spans="1:18" ht="20.100000000000001" customHeight="1">
      <c r="A2" s="3" t="s">
        <v>1</v>
      </c>
      <c r="B2" s="87"/>
      <c r="C2" s="87"/>
      <c r="D2" s="3" t="s">
        <v>114</v>
      </c>
      <c r="E2" s="87"/>
      <c r="F2" s="87"/>
      <c r="G2" s="87"/>
      <c r="H2" s="87"/>
      <c r="I2" s="4"/>
      <c r="J2" s="145" t="s">
        <v>86</v>
      </c>
      <c r="K2" s="146"/>
      <c r="L2" s="147"/>
    </row>
    <row r="3" spans="1:18" ht="20.100000000000001" customHeight="1">
      <c r="A3" s="3" t="s">
        <v>131</v>
      </c>
      <c r="B3" s="87"/>
      <c r="C3" s="87"/>
      <c r="D3" s="87"/>
      <c r="E3" s="148">
        <f>+L3+3</f>
        <v>46323</v>
      </c>
      <c r="F3" s="148"/>
      <c r="G3" s="148"/>
      <c r="H3" s="148"/>
      <c r="I3" s="148"/>
      <c r="J3" s="87"/>
      <c r="K3" s="87"/>
      <c r="L3" s="105">
        <v>46320</v>
      </c>
      <c r="M3" s="4"/>
    </row>
    <row r="4" spans="1:18" ht="15.95" customHeight="1">
      <c r="A4" s="138" t="s">
        <v>2</v>
      </c>
      <c r="B4" s="139" t="s">
        <v>3</v>
      </c>
      <c r="C4" s="139"/>
      <c r="D4" s="138" t="s">
        <v>4</v>
      </c>
      <c r="E4" s="138"/>
      <c r="F4" s="138"/>
      <c r="G4" s="139" t="s">
        <v>5</v>
      </c>
      <c r="H4" s="138" t="s">
        <v>6</v>
      </c>
      <c r="I4" s="138" t="s">
        <v>83</v>
      </c>
      <c r="J4" s="138" t="s">
        <v>84</v>
      </c>
      <c r="K4" s="138" t="s">
        <v>0</v>
      </c>
      <c r="L4" s="139" t="s">
        <v>7</v>
      </c>
    </row>
    <row r="5" spans="1:18" ht="21.75" customHeight="1">
      <c r="A5" s="138"/>
      <c r="B5" s="139"/>
      <c r="C5" s="139"/>
      <c r="D5" s="138"/>
      <c r="E5" s="138"/>
      <c r="F5" s="138"/>
      <c r="G5" s="139"/>
      <c r="H5" s="138"/>
      <c r="I5" s="138"/>
      <c r="J5" s="138"/>
      <c r="K5" s="138"/>
      <c r="L5" s="139"/>
    </row>
    <row r="6" spans="1:18" ht="24" customHeight="1">
      <c r="A6" s="5">
        <f t="shared" ref="A6:A17" si="0">ROW(A1)</f>
        <v>1</v>
      </c>
      <c r="B6" s="140" t="s">
        <v>133</v>
      </c>
      <c r="C6" s="140" t="s">
        <v>133</v>
      </c>
      <c r="D6" s="141" t="s">
        <v>145</v>
      </c>
      <c r="E6" s="141"/>
      <c r="F6" s="141"/>
      <c r="G6" s="124" t="s">
        <v>155</v>
      </c>
      <c r="H6" s="119">
        <v>30</v>
      </c>
      <c r="I6" s="120">
        <v>81</v>
      </c>
      <c r="J6" s="121">
        <f>H6*I6</f>
        <v>2430</v>
      </c>
      <c r="K6" s="122" t="s">
        <v>101</v>
      </c>
      <c r="L6" s="123" t="s">
        <v>89</v>
      </c>
      <c r="R6" s="92"/>
    </row>
    <row r="7" spans="1:18" ht="21" customHeight="1">
      <c r="A7" s="5">
        <f t="shared" si="0"/>
        <v>2</v>
      </c>
      <c r="B7" s="140" t="s">
        <v>134</v>
      </c>
      <c r="C7" s="140" t="s">
        <v>134</v>
      </c>
      <c r="D7" s="141"/>
      <c r="E7" s="141"/>
      <c r="F7" s="141"/>
      <c r="G7" s="124" t="s">
        <v>156</v>
      </c>
      <c r="H7" s="119">
        <v>50</v>
      </c>
      <c r="I7" s="120">
        <v>70</v>
      </c>
      <c r="J7" s="121">
        <f t="shared" ref="J7:J17" si="1">H7*I7</f>
        <v>3500</v>
      </c>
      <c r="K7" s="122" t="s">
        <v>56</v>
      </c>
      <c r="L7" s="123" t="s">
        <v>56</v>
      </c>
      <c r="R7" s="92"/>
    </row>
    <row r="8" spans="1:18" ht="21" customHeight="1">
      <c r="A8" s="5">
        <f t="shared" si="0"/>
        <v>3</v>
      </c>
      <c r="B8" s="140" t="s">
        <v>135</v>
      </c>
      <c r="C8" s="140" t="s">
        <v>135</v>
      </c>
      <c r="D8" s="141"/>
      <c r="E8" s="141"/>
      <c r="F8" s="141"/>
      <c r="G8" s="124" t="s">
        <v>128</v>
      </c>
      <c r="H8" s="119">
        <v>100</v>
      </c>
      <c r="I8" s="120">
        <v>26</v>
      </c>
      <c r="J8" s="121">
        <f t="shared" si="1"/>
        <v>2600</v>
      </c>
      <c r="K8" s="122" t="s">
        <v>56</v>
      </c>
      <c r="L8" s="123" t="s">
        <v>56</v>
      </c>
      <c r="R8" s="92"/>
    </row>
    <row r="9" spans="1:18" ht="21" customHeight="1">
      <c r="A9" s="5">
        <f t="shared" si="0"/>
        <v>4</v>
      </c>
      <c r="B9" s="140" t="s">
        <v>136</v>
      </c>
      <c r="C9" s="140" t="s">
        <v>136</v>
      </c>
      <c r="D9" s="141" t="s">
        <v>146</v>
      </c>
      <c r="E9" s="141"/>
      <c r="F9" s="141"/>
      <c r="G9" s="124" t="s">
        <v>128</v>
      </c>
      <c r="H9" s="119">
        <v>20</v>
      </c>
      <c r="I9" s="120">
        <v>18</v>
      </c>
      <c r="J9" s="121">
        <f t="shared" si="1"/>
        <v>360</v>
      </c>
      <c r="K9" s="122" t="s">
        <v>56</v>
      </c>
      <c r="L9" s="123" t="s">
        <v>56</v>
      </c>
      <c r="R9" s="92"/>
    </row>
    <row r="10" spans="1:18" ht="21" customHeight="1">
      <c r="A10" s="5">
        <f t="shared" si="0"/>
        <v>5</v>
      </c>
      <c r="B10" s="140" t="s">
        <v>137</v>
      </c>
      <c r="C10" s="140"/>
      <c r="D10" s="141" t="s">
        <v>147</v>
      </c>
      <c r="E10" s="141"/>
      <c r="F10" s="141"/>
      <c r="G10" s="124" t="s">
        <v>128</v>
      </c>
      <c r="H10" s="119">
        <v>50</v>
      </c>
      <c r="I10" s="120">
        <v>5.85</v>
      </c>
      <c r="J10" s="121">
        <f t="shared" si="1"/>
        <v>292.5</v>
      </c>
      <c r="K10" s="122" t="s">
        <v>56</v>
      </c>
      <c r="L10" s="123" t="s">
        <v>56</v>
      </c>
      <c r="R10" s="92"/>
    </row>
    <row r="11" spans="1:18" ht="21" customHeight="1">
      <c r="A11" s="5">
        <f t="shared" si="0"/>
        <v>6</v>
      </c>
      <c r="B11" s="140" t="s">
        <v>138</v>
      </c>
      <c r="C11" s="140"/>
      <c r="D11" s="141" t="s">
        <v>148</v>
      </c>
      <c r="E11" s="141"/>
      <c r="F11" s="141"/>
      <c r="G11" s="124" t="s">
        <v>128</v>
      </c>
      <c r="H11" s="119">
        <v>50</v>
      </c>
      <c r="I11" s="120">
        <v>8.5</v>
      </c>
      <c r="J11" s="121">
        <f t="shared" si="1"/>
        <v>425</v>
      </c>
      <c r="K11" s="122" t="s">
        <v>56</v>
      </c>
      <c r="L11" s="123" t="s">
        <v>56</v>
      </c>
      <c r="R11" s="92"/>
    </row>
    <row r="12" spans="1:18" ht="21" customHeight="1">
      <c r="A12" s="5">
        <f t="shared" si="0"/>
        <v>7</v>
      </c>
      <c r="B12" s="140" t="s">
        <v>139</v>
      </c>
      <c r="C12" s="140"/>
      <c r="D12" s="141" t="s">
        <v>149</v>
      </c>
      <c r="E12" s="141"/>
      <c r="F12" s="141"/>
      <c r="G12" s="124" t="s">
        <v>128</v>
      </c>
      <c r="H12" s="119">
        <v>30</v>
      </c>
      <c r="I12" s="120">
        <v>18</v>
      </c>
      <c r="J12" s="121">
        <f t="shared" si="1"/>
        <v>540</v>
      </c>
      <c r="K12" s="122" t="s">
        <v>56</v>
      </c>
      <c r="L12" s="123" t="s">
        <v>56</v>
      </c>
      <c r="R12" s="92"/>
    </row>
    <row r="13" spans="1:18" ht="21" customHeight="1">
      <c r="A13" s="5">
        <f t="shared" si="0"/>
        <v>8</v>
      </c>
      <c r="B13" s="140" t="s">
        <v>140</v>
      </c>
      <c r="C13" s="140"/>
      <c r="D13" s="141" t="s">
        <v>150</v>
      </c>
      <c r="E13" s="141"/>
      <c r="F13" s="141"/>
      <c r="G13" s="124" t="s">
        <v>128</v>
      </c>
      <c r="H13" s="119">
        <v>1</v>
      </c>
      <c r="I13" s="120">
        <v>1045</v>
      </c>
      <c r="J13" s="121">
        <f t="shared" si="1"/>
        <v>1045</v>
      </c>
      <c r="K13" s="122" t="s">
        <v>56</v>
      </c>
      <c r="L13" s="123" t="s">
        <v>56</v>
      </c>
      <c r="R13" s="92"/>
    </row>
    <row r="14" spans="1:18" ht="21" customHeight="1">
      <c r="A14" s="5">
        <f t="shared" si="0"/>
        <v>9</v>
      </c>
      <c r="B14" s="140" t="s">
        <v>141</v>
      </c>
      <c r="C14" s="140" t="s">
        <v>141</v>
      </c>
      <c r="D14" s="141" t="s">
        <v>151</v>
      </c>
      <c r="E14" s="141"/>
      <c r="F14" s="141"/>
      <c r="G14" s="124" t="s">
        <v>128</v>
      </c>
      <c r="H14" s="119">
        <v>1</v>
      </c>
      <c r="I14" s="120">
        <v>605</v>
      </c>
      <c r="J14" s="121">
        <f t="shared" si="1"/>
        <v>605</v>
      </c>
      <c r="K14" s="122" t="s">
        <v>56</v>
      </c>
      <c r="L14" s="123" t="s">
        <v>56</v>
      </c>
      <c r="R14" s="92"/>
    </row>
    <row r="15" spans="1:18" ht="21" customHeight="1">
      <c r="A15" s="5">
        <f t="shared" si="0"/>
        <v>10</v>
      </c>
      <c r="B15" s="140" t="s">
        <v>142</v>
      </c>
      <c r="C15" s="140" t="s">
        <v>142</v>
      </c>
      <c r="D15" s="141" t="s">
        <v>152</v>
      </c>
      <c r="E15" s="141"/>
      <c r="F15" s="141"/>
      <c r="G15" s="124" t="s">
        <v>128</v>
      </c>
      <c r="H15" s="119">
        <v>5</v>
      </c>
      <c r="I15" s="120">
        <v>35</v>
      </c>
      <c r="J15" s="121">
        <f t="shared" si="1"/>
        <v>175</v>
      </c>
      <c r="K15" s="122" t="s">
        <v>56</v>
      </c>
      <c r="L15" s="123" t="s">
        <v>56</v>
      </c>
      <c r="R15" s="92"/>
    </row>
    <row r="16" spans="1:18" ht="21" customHeight="1">
      <c r="A16" s="5">
        <f t="shared" si="0"/>
        <v>11</v>
      </c>
      <c r="B16" s="140" t="s">
        <v>143</v>
      </c>
      <c r="C16" s="140" t="s">
        <v>143</v>
      </c>
      <c r="D16" s="141" t="s">
        <v>153</v>
      </c>
      <c r="E16" s="141"/>
      <c r="F16" s="141"/>
      <c r="G16" s="124" t="s">
        <v>157</v>
      </c>
      <c r="H16" s="119">
        <v>5</v>
      </c>
      <c r="I16" s="120">
        <v>6.75</v>
      </c>
      <c r="J16" s="121">
        <f t="shared" si="1"/>
        <v>33.75</v>
      </c>
      <c r="K16" s="122" t="s">
        <v>56</v>
      </c>
      <c r="L16" s="123" t="s">
        <v>56</v>
      </c>
      <c r="R16" s="92"/>
    </row>
    <row r="17" spans="1:26" ht="41.25" customHeight="1">
      <c r="A17" s="5">
        <f t="shared" si="0"/>
        <v>12</v>
      </c>
      <c r="B17" s="140" t="s">
        <v>144</v>
      </c>
      <c r="C17" s="140" t="s">
        <v>144</v>
      </c>
      <c r="D17" s="141" t="s">
        <v>154</v>
      </c>
      <c r="E17" s="141"/>
      <c r="F17" s="141"/>
      <c r="G17" s="124" t="s">
        <v>158</v>
      </c>
      <c r="H17" s="119">
        <v>200</v>
      </c>
      <c r="I17" s="120">
        <v>180</v>
      </c>
      <c r="J17" s="121">
        <f t="shared" si="1"/>
        <v>36000</v>
      </c>
      <c r="K17" s="122" t="s">
        <v>56</v>
      </c>
      <c r="L17" s="123" t="s">
        <v>56</v>
      </c>
      <c r="R17" s="92"/>
    </row>
    <row r="18" spans="1:26" ht="23.25" customHeight="1">
      <c r="A18" s="150" t="s">
        <v>8</v>
      </c>
      <c r="B18" s="151"/>
      <c r="C18" s="113"/>
      <c r="D18" s="114"/>
      <c r="E18" s="114"/>
      <c r="F18" s="114"/>
      <c r="G18" s="115"/>
      <c r="H18" s="115"/>
      <c r="I18" s="116" t="s">
        <v>9</v>
      </c>
      <c r="J18" s="117">
        <f>SUM(J6:J17)</f>
        <v>48006.25</v>
      </c>
      <c r="K18" s="117"/>
      <c r="L18" s="118"/>
    </row>
    <row r="19" spans="1:26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26" ht="18" customHeight="1">
      <c r="A20" s="10"/>
      <c r="J20" s="1"/>
      <c r="K20" s="1"/>
      <c r="O20" s="11"/>
      <c r="P20" s="11"/>
      <c r="Q20" s="11"/>
      <c r="R20" s="11"/>
      <c r="S20" s="11"/>
      <c r="T20" s="11"/>
      <c r="U20" s="11"/>
      <c r="V20" s="11"/>
      <c r="W20" s="11"/>
      <c r="Y20" s="129"/>
      <c r="Z20" s="11"/>
    </row>
    <row r="21" spans="1:26" ht="50.1" customHeight="1">
      <c r="Y21" s="130"/>
    </row>
    <row r="22" spans="1:26" ht="15" customHeight="1">
      <c r="O22" s="125" t="s">
        <v>115</v>
      </c>
      <c r="P22" s="131"/>
      <c r="Q22" s="131"/>
      <c r="R22" s="126"/>
      <c r="S22" s="102"/>
      <c r="T22" s="125" t="s">
        <v>116</v>
      </c>
      <c r="U22" s="131"/>
      <c r="V22" s="131"/>
      <c r="W22" s="131"/>
      <c r="X22" s="131"/>
      <c r="Y22" s="126"/>
    </row>
    <row r="23" spans="1:26" ht="15" customHeight="1">
      <c r="O23" s="132" t="s">
        <v>117</v>
      </c>
      <c r="P23" s="134" t="s">
        <v>118</v>
      </c>
      <c r="Q23" s="132" t="s">
        <v>119</v>
      </c>
      <c r="R23" s="134" t="s">
        <v>120</v>
      </c>
      <c r="S23" s="102"/>
      <c r="T23" s="132" t="s">
        <v>121</v>
      </c>
      <c r="U23" s="134" t="s">
        <v>122</v>
      </c>
      <c r="V23" s="125" t="s">
        <v>123</v>
      </c>
      <c r="W23" s="131"/>
      <c r="X23" s="126"/>
      <c r="Y23" s="134" t="s">
        <v>124</v>
      </c>
    </row>
    <row r="24" spans="1:26" ht="18" customHeight="1">
      <c r="O24" s="133"/>
      <c r="P24" s="135"/>
      <c r="Q24" s="133"/>
      <c r="R24" s="135"/>
      <c r="S24" s="106"/>
      <c r="T24" s="133"/>
      <c r="U24" s="135"/>
      <c r="V24" s="13" t="s">
        <v>117</v>
      </c>
      <c r="W24" s="136" t="s">
        <v>125</v>
      </c>
      <c r="X24" s="137"/>
      <c r="Y24" s="135"/>
    </row>
    <row r="25" spans="1:26" ht="50.1" customHeight="1">
      <c r="O25" s="14"/>
      <c r="P25" s="14"/>
      <c r="Q25" s="14"/>
      <c r="R25" s="14"/>
      <c r="S25" s="102"/>
      <c r="T25" s="14"/>
      <c r="U25" s="14"/>
      <c r="V25" s="14"/>
      <c r="W25" s="125"/>
      <c r="X25" s="126"/>
      <c r="Y25" s="107"/>
    </row>
    <row r="26" spans="1:26" ht="36" customHeight="1">
      <c r="W26" s="108"/>
      <c r="X26" s="127" t="s">
        <v>126</v>
      </c>
      <c r="Y26" s="12" t="s">
        <v>124</v>
      </c>
    </row>
    <row r="27" spans="1:26" ht="50.1" customHeight="1">
      <c r="O27" s="109"/>
      <c r="P27" s="109"/>
      <c r="Q27" s="109"/>
      <c r="R27" s="109"/>
      <c r="S27" s="109"/>
      <c r="T27" s="109"/>
      <c r="U27" s="109"/>
      <c r="V27" s="109"/>
      <c r="W27" s="110"/>
      <c r="X27" s="128"/>
      <c r="Y27" s="111"/>
    </row>
    <row r="28" spans="1:26" ht="19.899999999999999" customHeight="1"/>
    <row r="29" spans="1:26" ht="17.45" customHeight="1">
      <c r="O29" s="149"/>
      <c r="P29" s="149"/>
    </row>
    <row r="30" spans="1:26" ht="19.899999999999999" customHeight="1">
      <c r="O30" s="149"/>
      <c r="P30" s="149"/>
    </row>
    <row r="31" spans="1:26" ht="14.25">
      <c r="O31" s="11"/>
      <c r="P31" s="11"/>
      <c r="Q31" s="11"/>
    </row>
    <row r="32" spans="1:26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34" t="s">
        <v>12</v>
      </c>
      <c r="P48" s="134" t="s">
        <v>12</v>
      </c>
      <c r="S48" s="134" t="s">
        <v>11</v>
      </c>
    </row>
    <row r="49" spans="15:19" ht="21" customHeight="1">
      <c r="O49" s="135"/>
      <c r="P49" s="135"/>
      <c r="S49" s="133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34" t="s">
        <v>12</v>
      </c>
      <c r="P52" s="134" t="s">
        <v>12</v>
      </c>
      <c r="S52" s="134" t="s">
        <v>13</v>
      </c>
    </row>
    <row r="53" spans="15:19" ht="21" customHeight="1">
      <c r="O53" s="135"/>
      <c r="P53" s="135"/>
      <c r="S53" s="133"/>
    </row>
    <row r="54" spans="15:19" ht="64.900000000000006" customHeight="1">
      <c r="O54" s="14"/>
      <c r="P54" s="14"/>
      <c r="S54" s="14"/>
    </row>
  </sheetData>
  <mergeCells count="59">
    <mergeCell ref="B9:C9"/>
    <mergeCell ref="B14:C14"/>
    <mergeCell ref="B17:C17"/>
    <mergeCell ref="A18:B18"/>
    <mergeCell ref="P23:P24"/>
    <mergeCell ref="D9:F9"/>
    <mergeCell ref="D14:F14"/>
    <mergeCell ref="D17:F17"/>
    <mergeCell ref="B15:C15"/>
    <mergeCell ref="B16:C16"/>
    <mergeCell ref="D15:F15"/>
    <mergeCell ref="D16:F16"/>
    <mergeCell ref="D10:F10"/>
    <mergeCell ref="D11:F11"/>
    <mergeCell ref="D12:F12"/>
    <mergeCell ref="D13:F13"/>
    <mergeCell ref="S48:S49"/>
    <mergeCell ref="O52:O53"/>
    <mergeCell ref="P52:P53"/>
    <mergeCell ref="S52:S53"/>
    <mergeCell ref="O29:O30"/>
    <mergeCell ref="P29:P30"/>
    <mergeCell ref="O48:O49"/>
    <mergeCell ref="P48:P49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X26:X27"/>
    <mergeCell ref="Y20:Y21"/>
    <mergeCell ref="O22:R22"/>
    <mergeCell ref="T22:Y22"/>
    <mergeCell ref="O23:O24"/>
    <mergeCell ref="Q23:Q24"/>
    <mergeCell ref="R23:R24"/>
    <mergeCell ref="T23:T24"/>
    <mergeCell ref="U23:U24"/>
    <mergeCell ref="V23:X23"/>
    <mergeCell ref="Y23:Y24"/>
    <mergeCell ref="W24:X24"/>
    <mergeCell ref="B10:C10"/>
    <mergeCell ref="B11:C11"/>
    <mergeCell ref="B12:C12"/>
    <mergeCell ref="B13:C13"/>
    <mergeCell ref="W25:X25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J6" sqref="J6:J17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85</v>
      </c>
      <c r="B1" s="86"/>
      <c r="C1" s="86"/>
      <c r="D1" s="86"/>
      <c r="E1" s="86"/>
      <c r="F1" s="86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SAC2-DS-MRS-0504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46320</v>
      </c>
    </row>
    <row r="4" spans="1:18" ht="15.95" customHeight="1">
      <c r="A4" s="158" t="s">
        <v>2</v>
      </c>
      <c r="B4" s="157" t="s">
        <v>14</v>
      </c>
      <c r="C4" s="157"/>
      <c r="D4" s="158" t="s">
        <v>4</v>
      </c>
      <c r="E4" s="158"/>
      <c r="F4" s="158"/>
      <c r="G4" s="157" t="s">
        <v>5</v>
      </c>
      <c r="H4" s="158" t="s">
        <v>80</v>
      </c>
      <c r="I4" s="158" t="s">
        <v>15</v>
      </c>
      <c r="J4" s="158" t="s">
        <v>16</v>
      </c>
      <c r="K4" s="157" t="s">
        <v>7</v>
      </c>
    </row>
    <row r="5" spans="1:18" ht="15.95" customHeight="1">
      <c r="A5" s="158"/>
      <c r="B5" s="157"/>
      <c r="C5" s="157"/>
      <c r="D5" s="158"/>
      <c r="E5" s="158"/>
      <c r="F5" s="158"/>
      <c r="G5" s="157"/>
      <c r="H5" s="158"/>
      <c r="I5" s="158"/>
      <c r="J5" s="158"/>
      <c r="K5" s="157"/>
    </row>
    <row r="6" spans="1:18" ht="105" customHeight="1">
      <c r="A6" s="17">
        <f>+MRS!A6</f>
        <v>1</v>
      </c>
      <c r="B6" s="152" t="str">
        <f>MRS!B6</f>
        <v xml:space="preserve">PVC CHAMFER </v>
      </c>
      <c r="C6" s="153"/>
      <c r="D6" s="154" t="str">
        <f>MRS!D6</f>
        <v>25X25MMX2MTR (50pcs/Bundle)</v>
      </c>
      <c r="E6" s="155"/>
      <c r="F6" s="156"/>
      <c r="G6" s="89" t="str">
        <f>MRS!G6</f>
        <v>BNDL</v>
      </c>
      <c r="H6" s="89">
        <f>MRS!H6</f>
        <v>30</v>
      </c>
      <c r="I6" s="90">
        <f>MRS!I6</f>
        <v>81</v>
      </c>
      <c r="J6" s="90">
        <f>MRS!J6</f>
        <v>2430</v>
      </c>
      <c r="K6" s="91"/>
      <c r="O6" s="92"/>
      <c r="P6" s="92"/>
      <c r="R6" s="92"/>
    </row>
    <row r="7" spans="1:18" ht="105" customHeight="1">
      <c r="A7" s="17">
        <f>+MRS!A7</f>
        <v>2</v>
      </c>
      <c r="B7" s="152" t="str">
        <f>MRS!B7</f>
        <v xml:space="preserve">TOE FOOT GUARD </v>
      </c>
      <c r="C7" s="153"/>
      <c r="D7" s="154">
        <f>MRS!D7</f>
        <v>0</v>
      </c>
      <c r="E7" s="155"/>
      <c r="F7" s="156"/>
      <c r="G7" s="89" t="str">
        <f>MRS!G7</f>
        <v>PAIR</v>
      </c>
      <c r="H7" s="89">
        <f>MRS!H7</f>
        <v>50</v>
      </c>
      <c r="I7" s="90">
        <f>MRS!I7</f>
        <v>70</v>
      </c>
      <c r="J7" s="90">
        <f>MRS!J7</f>
        <v>3500</v>
      </c>
      <c r="K7" s="91"/>
      <c r="O7" s="92"/>
      <c r="P7" s="92"/>
      <c r="R7" s="92"/>
    </row>
    <row r="8" spans="1:18" ht="105" customHeight="1">
      <c r="A8" s="17">
        <f>+MRS!A8</f>
        <v>3</v>
      </c>
      <c r="B8" s="152" t="str">
        <f>MRS!B8</f>
        <v xml:space="preserve">ANTI VIBRATION HAND GLOVES </v>
      </c>
      <c r="C8" s="153"/>
      <c r="D8" s="154">
        <f>MRS!D8</f>
        <v>0</v>
      </c>
      <c r="E8" s="155"/>
      <c r="F8" s="156"/>
      <c r="G8" s="89" t="str">
        <f>MRS!G8</f>
        <v>EA</v>
      </c>
      <c r="H8" s="89">
        <f>MRS!H8</f>
        <v>100</v>
      </c>
      <c r="I8" s="90">
        <f>MRS!I8</f>
        <v>26</v>
      </c>
      <c r="J8" s="90">
        <f>MRS!J8</f>
        <v>2600</v>
      </c>
      <c r="K8" s="91"/>
      <c r="O8" s="92"/>
      <c r="P8" s="92"/>
      <c r="R8" s="92"/>
    </row>
    <row r="9" spans="1:18" ht="105" customHeight="1">
      <c r="A9" s="17">
        <f>+MRS!A9</f>
        <v>4</v>
      </c>
      <c r="B9" s="152" t="str">
        <f>MRS!B9</f>
        <v xml:space="preserve">INDUSTRIAL PLUG </v>
      </c>
      <c r="C9" s="153"/>
      <c r="D9" s="154" t="str">
        <f>MRS!D9</f>
        <v xml:space="preserve">3PIN 16AMP 220V </v>
      </c>
      <c r="E9" s="155"/>
      <c r="F9" s="156"/>
      <c r="G9" s="89" t="str">
        <f>MRS!G9</f>
        <v>EA</v>
      </c>
      <c r="H9" s="89">
        <f>MRS!H9</f>
        <v>20</v>
      </c>
      <c r="I9" s="90">
        <f>MRS!I9</f>
        <v>18</v>
      </c>
      <c r="J9" s="90">
        <f>MRS!J9</f>
        <v>360</v>
      </c>
      <c r="K9" s="91"/>
      <c r="O9" s="92"/>
      <c r="P9" s="92"/>
      <c r="R9" s="92"/>
    </row>
    <row r="10" spans="1:18" ht="105" customHeight="1">
      <c r="A10" s="17">
        <f>+MRS!A14</f>
        <v>9</v>
      </c>
      <c r="B10" s="152" t="str">
        <f>MRS!B10</f>
        <v>HEX PLUG</v>
      </c>
      <c r="C10" s="153"/>
      <c r="D10" s="154" t="str">
        <f>MRS!D10</f>
        <v>1/4" NPT FEMALE BRASS</v>
      </c>
      <c r="E10" s="155"/>
      <c r="F10" s="156"/>
      <c r="G10" s="89" t="str">
        <f>MRS!G10</f>
        <v>EA</v>
      </c>
      <c r="H10" s="89">
        <f>MRS!H10</f>
        <v>50</v>
      </c>
      <c r="I10" s="90">
        <f>MRS!I10</f>
        <v>5.85</v>
      </c>
      <c r="J10" s="90">
        <f>MRS!J10</f>
        <v>292.5</v>
      </c>
      <c r="K10" s="91"/>
      <c r="O10" s="92"/>
      <c r="P10" s="92"/>
      <c r="R10" s="92"/>
    </row>
    <row r="11" spans="1:18" ht="105" customHeight="1">
      <c r="A11" s="17">
        <v>6</v>
      </c>
      <c r="B11" s="152" t="str">
        <f>MRS!B11</f>
        <v>REDUCER BUSHING SS(304)</v>
      </c>
      <c r="C11" s="153"/>
      <c r="D11" s="154" t="str">
        <f>MRS!D11</f>
        <v>M1/2"XF1/4" NPT</v>
      </c>
      <c r="E11" s="155"/>
      <c r="F11" s="156"/>
      <c r="G11" s="89" t="str">
        <f>MRS!G11</f>
        <v>EA</v>
      </c>
      <c r="H11" s="89">
        <f>MRS!H11</f>
        <v>50</v>
      </c>
      <c r="I11" s="90">
        <f>MRS!I11</f>
        <v>8.5</v>
      </c>
      <c r="J11" s="90">
        <f>MRS!J11</f>
        <v>425</v>
      </c>
      <c r="K11" s="91"/>
      <c r="O11" s="92"/>
      <c r="P11" s="92"/>
      <c r="R11" s="92"/>
    </row>
    <row r="12" spans="1:18" ht="105" customHeight="1">
      <c r="A12" s="17">
        <v>7</v>
      </c>
      <c r="B12" s="152" t="str">
        <f>MRS!B12</f>
        <v>EQUAL TEE CS(A105)</v>
      </c>
      <c r="C12" s="153"/>
      <c r="D12" s="154" t="str">
        <f>MRS!D12</f>
        <v xml:space="preserve">1/2" NPT </v>
      </c>
      <c r="E12" s="155"/>
      <c r="F12" s="156"/>
      <c r="G12" s="89" t="str">
        <f>MRS!G12</f>
        <v>EA</v>
      </c>
      <c r="H12" s="89">
        <f>MRS!H12</f>
        <v>30</v>
      </c>
      <c r="I12" s="90">
        <f>MRS!I12</f>
        <v>18</v>
      </c>
      <c r="J12" s="90">
        <f>MRS!J12</f>
        <v>540</v>
      </c>
      <c r="K12" s="91"/>
      <c r="O12" s="92"/>
      <c r="P12" s="92"/>
      <c r="R12" s="92"/>
    </row>
    <row r="13" spans="1:18" ht="105" customHeight="1">
      <c r="A13" s="17">
        <v>8</v>
      </c>
      <c r="B13" s="152" t="str">
        <f>MRS!B13</f>
        <v xml:space="preserve">ELECTRICAL DRILL MACHINE </v>
      </c>
      <c r="C13" s="153"/>
      <c r="D13" s="154" t="str">
        <f>MRS!D13</f>
        <v xml:space="preserve">14MM 710W DEWALT WITH TUV </v>
      </c>
      <c r="E13" s="155"/>
      <c r="F13" s="156"/>
      <c r="G13" s="89" t="str">
        <f>MRS!G13</f>
        <v>EA</v>
      </c>
      <c r="H13" s="89">
        <f>MRS!H13</f>
        <v>1</v>
      </c>
      <c r="I13" s="90">
        <f>MRS!I13</f>
        <v>1045</v>
      </c>
      <c r="J13" s="90">
        <f>MRS!J13</f>
        <v>1045</v>
      </c>
      <c r="K13" s="91"/>
      <c r="O13" s="92"/>
      <c r="P13" s="92"/>
      <c r="R13" s="92"/>
    </row>
    <row r="14" spans="1:18" ht="105" customHeight="1">
      <c r="A14" s="17"/>
      <c r="B14" s="152" t="str">
        <f>MRS!B14</f>
        <v xml:space="preserve">DIE GRINDER MACHINE </v>
      </c>
      <c r="C14" s="153"/>
      <c r="D14" s="154" t="str">
        <f>MRS!D14</f>
        <v>6MM 450W DEWALT WITH TUV</v>
      </c>
      <c r="E14" s="155"/>
      <c r="F14" s="156"/>
      <c r="G14" s="89" t="str">
        <f>MRS!G14</f>
        <v>EA</v>
      </c>
      <c r="H14" s="89">
        <f>MRS!H14</f>
        <v>1</v>
      </c>
      <c r="I14" s="90">
        <f>MRS!I14</f>
        <v>605</v>
      </c>
      <c r="J14" s="90">
        <f>MRS!J14</f>
        <v>605</v>
      </c>
      <c r="K14" s="91"/>
      <c r="O14" s="92"/>
      <c r="P14" s="92"/>
      <c r="R14" s="92"/>
    </row>
    <row r="15" spans="1:18" ht="105" customHeight="1">
      <c r="A15" s="17"/>
      <c r="B15" s="152" t="str">
        <f>MRS!B15</f>
        <v>RAPID GUN TACKER</v>
      </c>
      <c r="C15" s="153"/>
      <c r="D15" s="154" t="str">
        <f>MRS!D15</f>
        <v>SUITABLE FOR TYPE 53 STAPLES, 8 MM LEG LENGTH</v>
      </c>
      <c r="E15" s="155"/>
      <c r="F15" s="156"/>
      <c r="G15" s="89" t="str">
        <f>MRS!G15</f>
        <v>EA</v>
      </c>
      <c r="H15" s="89">
        <f>MRS!H15</f>
        <v>5</v>
      </c>
      <c r="I15" s="90">
        <f>MRS!I15</f>
        <v>35</v>
      </c>
      <c r="J15" s="90">
        <f>MRS!J15</f>
        <v>175</v>
      </c>
      <c r="K15" s="91"/>
      <c r="O15" s="92"/>
      <c r="P15" s="92"/>
      <c r="R15" s="92"/>
    </row>
    <row r="16" spans="1:18" ht="105" customHeight="1">
      <c r="A16" s="17"/>
      <c r="B16" s="152" t="str">
        <f>MRS!B16</f>
        <v>STAPLE PIN</v>
      </c>
      <c r="C16" s="153"/>
      <c r="D16" s="154" t="str">
        <f>MRS!D16</f>
        <v>TYPE 53, 8 MM, 1,000 PCS/PACK</v>
      </c>
      <c r="E16" s="155"/>
      <c r="F16" s="156"/>
      <c r="G16" s="89" t="str">
        <f>MRS!G16</f>
        <v>PACK</v>
      </c>
      <c r="H16" s="89">
        <f>MRS!H16</f>
        <v>5</v>
      </c>
      <c r="I16" s="90">
        <f>MRS!I16</f>
        <v>6.75</v>
      </c>
      <c r="J16" s="90">
        <f>MRS!J16</f>
        <v>33.75</v>
      </c>
      <c r="K16" s="91"/>
      <c r="O16" s="92"/>
      <c r="P16" s="92"/>
      <c r="R16" s="92"/>
    </row>
    <row r="17" spans="1:18" ht="105" customHeight="1">
      <c r="A17" s="17"/>
      <c r="B17" s="152" t="str">
        <f>MRS!B17</f>
        <v>Electrical power cable for welding machine</v>
      </c>
      <c r="C17" s="153"/>
      <c r="D17" s="154" t="str">
        <f>MRS!D17</f>
        <v>non-armoured, 4c × 35 mm², flexible stranded copper conductor, epr/rubber insulated, heavy-duty rubber sheathed, 0.6/1 kv</v>
      </c>
      <c r="E17" s="155"/>
      <c r="F17" s="156"/>
      <c r="G17" s="89" t="str">
        <f>MRS!G17</f>
        <v>MTR</v>
      </c>
      <c r="H17" s="89">
        <f>MRS!H17</f>
        <v>200</v>
      </c>
      <c r="I17" s="90">
        <f>MRS!I17</f>
        <v>180</v>
      </c>
      <c r="J17" s="90">
        <f>MRS!J17</f>
        <v>36000</v>
      </c>
      <c r="K17" s="91"/>
      <c r="O17" s="92"/>
      <c r="P17" s="92"/>
      <c r="R17" s="92"/>
    </row>
  </sheetData>
  <mergeCells count="34">
    <mergeCell ref="D6:F6"/>
    <mergeCell ref="A4:A5"/>
    <mergeCell ref="B4:C5"/>
    <mergeCell ref="D4:F5"/>
    <mergeCell ref="B11:C11"/>
    <mergeCell ref="D11:F11"/>
    <mergeCell ref="B9:C9"/>
    <mergeCell ref="D9:F9"/>
    <mergeCell ref="B10:C10"/>
    <mergeCell ref="D10:F10"/>
    <mergeCell ref="B12:C12"/>
    <mergeCell ref="D12:F12"/>
    <mergeCell ref="B13:C13"/>
    <mergeCell ref="D13:F13"/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  <mergeCell ref="B17:C17"/>
    <mergeCell ref="D17:F17"/>
    <mergeCell ref="B14:C14"/>
    <mergeCell ref="D14:F14"/>
    <mergeCell ref="B15:C15"/>
    <mergeCell ref="D15:F15"/>
    <mergeCell ref="B16:C16"/>
    <mergeCell ref="D16:F1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5.42578125" style="22" customWidth="1"/>
    <col min="7" max="7" width="6.5703125" style="22" customWidth="1"/>
    <col min="8" max="10" width="9.140625" style="22"/>
    <col min="11" max="11" width="9.7109375" style="22" bestFit="1" customWidth="1"/>
    <col min="12" max="12" width="9.42578125" style="22" bestFit="1" customWidth="1"/>
    <col min="13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103</v>
      </c>
      <c r="J10" s="34" t="s">
        <v>24</v>
      </c>
      <c r="K10" s="160">
        <f>MRS!L3</f>
        <v>46320</v>
      </c>
      <c r="L10" s="161"/>
      <c r="M10" s="161"/>
    </row>
    <row r="11" spans="2:13" s="34" customFormat="1">
      <c r="B11" s="65"/>
      <c r="C11" s="68" t="s">
        <v>25</v>
      </c>
      <c r="D11" s="69" t="s">
        <v>104</v>
      </c>
      <c r="J11" s="34" t="s">
        <v>26</v>
      </c>
      <c r="K11" s="162" t="str">
        <f>SUBSTITUTE(SUBSTITUTE(+MRS!A3,"  MRS No : ",""),"-MRS","-PO")</f>
        <v>SAC2-DS-PO-0504</v>
      </c>
      <c r="L11" s="162"/>
      <c r="M11" s="162"/>
    </row>
    <row r="12" spans="2:13" s="34" customFormat="1">
      <c r="B12" s="65"/>
      <c r="C12" s="68" t="s">
        <v>27</v>
      </c>
      <c r="D12" s="34" t="s">
        <v>105</v>
      </c>
      <c r="J12" s="34" t="s">
        <v>28</v>
      </c>
    </row>
    <row r="13" spans="2:13" s="34" customFormat="1">
      <c r="B13" s="65"/>
      <c r="C13" s="70"/>
      <c r="D13" s="69" t="s">
        <v>106</v>
      </c>
      <c r="J13" s="34" t="s">
        <v>29</v>
      </c>
    </row>
    <row r="14" spans="2:13" s="34" customFormat="1">
      <c r="B14" s="65"/>
      <c r="C14" s="96" t="s">
        <v>107</v>
      </c>
      <c r="J14" s="34" t="s">
        <v>30</v>
      </c>
      <c r="K14" s="34" t="s">
        <v>132</v>
      </c>
    </row>
    <row r="15" spans="2:13" s="34" customFormat="1">
      <c r="B15" s="65"/>
      <c r="C15" s="68" t="s">
        <v>108</v>
      </c>
      <c r="J15" s="34" t="s">
        <v>31</v>
      </c>
      <c r="K15" s="71">
        <v>46310</v>
      </c>
      <c r="L15" s="112"/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63" t="s">
        <v>32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12" customHeight="1"/>
    <row r="20" spans="2:13" s="27" customFormat="1" ht="12" customHeight="1">
      <c r="B20" s="164" t="s">
        <v>33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27" customFormat="1" ht="12" customHeight="1">
      <c r="B21" s="164" t="s">
        <v>34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spans="2:13" s="27" customFormat="1" ht="12" customHeight="1">
      <c r="B22" s="164" t="s">
        <v>35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3.7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ht="6.95" customHeight="1"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168" t="s">
        <v>159</v>
      </c>
      <c r="D26" s="168"/>
      <c r="E26" s="168"/>
      <c r="F26" s="168"/>
      <c r="G26" s="168"/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97">
        <f>'PO 2nd page'!G18</f>
        <v>48006.25</v>
      </c>
      <c r="G29" s="95"/>
      <c r="H29" s="95"/>
      <c r="M29" s="29"/>
    </row>
    <row r="30" spans="2:13" ht="15" customHeight="1">
      <c r="B30" s="28"/>
      <c r="C30" s="22" t="s">
        <v>41</v>
      </c>
      <c r="E30" s="22" t="s">
        <v>40</v>
      </c>
      <c r="F30" s="97">
        <f>'PO 2nd page'!G19</f>
        <v>7200.9375</v>
      </c>
      <c r="G30" s="95"/>
      <c r="H30" s="95"/>
    </row>
    <row r="31" spans="2:13" ht="15" customHeight="1">
      <c r="B31" s="28"/>
      <c r="C31" s="22" t="s">
        <v>42</v>
      </c>
      <c r="D31" s="30"/>
      <c r="E31" s="22" t="s">
        <v>40</v>
      </c>
      <c r="F31" s="97">
        <f>'PO 2nd page'!G20</f>
        <v>55207.1875</v>
      </c>
      <c r="G31" s="95"/>
      <c r="H31" s="95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98" t="s">
        <v>94</v>
      </c>
      <c r="F54" s="22" t="s">
        <v>127</v>
      </c>
      <c r="P54" s="22" t="str">
        <f>UPPER(F54)</f>
        <v>YAQOT ALARBYH COMPANY</v>
      </c>
    </row>
    <row r="55" spans="2:16" ht="12" customHeight="1">
      <c r="B55" s="77" t="s">
        <v>56</v>
      </c>
      <c r="C55" s="98" t="s">
        <v>95</v>
      </c>
      <c r="F55" s="99" t="s">
        <v>109</v>
      </c>
    </row>
    <row r="56" spans="2:16" ht="12" customHeight="1">
      <c r="B56" s="77" t="s">
        <v>56</v>
      </c>
      <c r="C56" s="98" t="s">
        <v>96</v>
      </c>
      <c r="F56" s="22" t="s">
        <v>110</v>
      </c>
    </row>
    <row r="57" spans="2:16" ht="12" customHeight="1">
      <c r="B57" s="77" t="s">
        <v>56</v>
      </c>
      <c r="C57" s="98" t="s">
        <v>97</v>
      </c>
      <c r="F57" s="22" t="s">
        <v>111</v>
      </c>
    </row>
    <row r="58" spans="2:16" ht="12" customHeight="1">
      <c r="B58" s="77" t="s">
        <v>56</v>
      </c>
      <c r="C58" s="98" t="s">
        <v>98</v>
      </c>
      <c r="F58" s="22" t="s">
        <v>112</v>
      </c>
    </row>
    <row r="59" spans="2:16" ht="12" customHeight="1">
      <c r="B59" s="77" t="s">
        <v>56</v>
      </c>
      <c r="C59" s="98" t="s">
        <v>99</v>
      </c>
      <c r="F59" s="22" t="s">
        <v>93</v>
      </c>
    </row>
    <row r="60" spans="2:16" ht="12" customHeight="1">
      <c r="B60" s="77"/>
      <c r="C60" s="98" t="s">
        <v>100</v>
      </c>
    </row>
    <row r="61" spans="2:16" ht="6.75" customHeight="1">
      <c r="B61" s="77"/>
      <c r="C61" s="98"/>
    </row>
    <row r="62" spans="2:16" ht="6" customHeight="1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Haris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67" t="str">
        <f>C9</f>
        <v>YATCO(Yaqoot Arabia Trading Company)</v>
      </c>
      <c r="K70" s="167"/>
      <c r="L70" s="167"/>
      <c r="M70" s="167"/>
    </row>
    <row r="71" spans="1:13" ht="27.95" customHeight="1">
      <c r="A71" s="159" t="s">
        <v>66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18" sqref="H18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7" width="19.85546875" style="38" customWidth="1"/>
    <col min="8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SAC2-DS-PO-0504</v>
      </c>
      <c r="C2" s="171" t="s">
        <v>68</v>
      </c>
      <c r="D2" s="171"/>
      <c r="E2" s="171"/>
      <c r="F2" s="171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46320</v>
      </c>
      <c r="C3" s="44"/>
      <c r="D3" s="45"/>
      <c r="E3" s="172" t="s">
        <v>70</v>
      </c>
      <c r="F3" s="172"/>
      <c r="G3" s="172"/>
      <c r="H3" s="172"/>
      <c r="I3" s="46"/>
    </row>
    <row r="4" spans="1:13" s="48" customFormat="1" ht="28.5" customHeight="1" thickTop="1">
      <c r="A4" s="173" t="s">
        <v>71</v>
      </c>
      <c r="B4" s="175" t="s">
        <v>72</v>
      </c>
      <c r="C4" s="176"/>
      <c r="D4" s="179" t="s">
        <v>129</v>
      </c>
      <c r="E4" s="179" t="s">
        <v>130</v>
      </c>
      <c r="F4" s="181" t="str">
        <f>'PO 1st page'!C9</f>
        <v>YATCO(Yaqoot Arabia Trading Company)</v>
      </c>
      <c r="G4" s="182"/>
      <c r="H4" s="183" t="s">
        <v>73</v>
      </c>
      <c r="K4" s="49"/>
      <c r="L4" s="49"/>
      <c r="M4" s="49"/>
    </row>
    <row r="5" spans="1:13" s="48" customFormat="1" ht="21.95" customHeight="1">
      <c r="A5" s="174"/>
      <c r="B5" s="177"/>
      <c r="C5" s="178"/>
      <c r="D5" s="180"/>
      <c r="E5" s="180"/>
      <c r="F5" s="50" t="s">
        <v>74</v>
      </c>
      <c r="G5" s="50" t="s">
        <v>42</v>
      </c>
      <c r="H5" s="184"/>
      <c r="K5" s="49"/>
      <c r="L5" s="49"/>
      <c r="M5" s="49"/>
    </row>
    <row r="6" spans="1:13" s="48" customFormat="1" ht="36" customHeight="1">
      <c r="A6" s="78">
        <f t="shared" ref="A6:A10" si="0">ROW(A1)</f>
        <v>1</v>
      </c>
      <c r="B6" s="169" t="str">
        <f>MRS!B6 &amp;MRS!D6</f>
        <v>PVC CHAMFER 25X25MMX2MTR (50pcs/Bundle)</v>
      </c>
      <c r="C6" s="170"/>
      <c r="D6" s="79" t="str">
        <f>MRS!G6</f>
        <v>BNDL</v>
      </c>
      <c r="E6" s="80">
        <f>MRS!H6</f>
        <v>30</v>
      </c>
      <c r="F6" s="81">
        <f>MRS!I6</f>
        <v>81</v>
      </c>
      <c r="G6" s="81">
        <f>MRS!J6</f>
        <v>2430</v>
      </c>
      <c r="H6" s="82" t="s">
        <v>89</v>
      </c>
      <c r="K6" s="83"/>
      <c r="L6" s="84"/>
      <c r="M6" s="49"/>
    </row>
    <row r="7" spans="1:13" s="48" customFormat="1" ht="36" customHeight="1">
      <c r="A7" s="78">
        <f t="shared" si="0"/>
        <v>2</v>
      </c>
      <c r="B7" s="169" t="str">
        <f>MRS!B7 &amp;MRS!D7</f>
        <v xml:space="preserve">TOE FOOT GUARD </v>
      </c>
      <c r="C7" s="170"/>
      <c r="D7" s="79" t="str">
        <f>MRS!G7</f>
        <v>PAIR</v>
      </c>
      <c r="E7" s="80">
        <f>MRS!H7</f>
        <v>50</v>
      </c>
      <c r="F7" s="81">
        <f>MRS!I7</f>
        <v>70</v>
      </c>
      <c r="G7" s="81">
        <f>MRS!J7</f>
        <v>3500</v>
      </c>
      <c r="H7" s="82" t="s">
        <v>56</v>
      </c>
      <c r="K7" s="83"/>
      <c r="L7" s="84"/>
      <c r="M7" s="49"/>
    </row>
    <row r="8" spans="1:13" s="48" customFormat="1" ht="36" customHeight="1">
      <c r="A8" s="78">
        <f t="shared" si="0"/>
        <v>3</v>
      </c>
      <c r="B8" s="169" t="str">
        <f>MRS!B8 &amp;MRS!D8</f>
        <v xml:space="preserve">ANTI VIBRATION HAND GLOVES </v>
      </c>
      <c r="C8" s="170"/>
      <c r="D8" s="79" t="str">
        <f>MRS!G8</f>
        <v>EA</v>
      </c>
      <c r="E8" s="80">
        <f>MRS!H8</f>
        <v>100</v>
      </c>
      <c r="F8" s="81">
        <f>MRS!I8</f>
        <v>26</v>
      </c>
      <c r="G8" s="81">
        <f>MRS!J8</f>
        <v>2600</v>
      </c>
      <c r="H8" s="82" t="s">
        <v>56</v>
      </c>
      <c r="K8" s="49"/>
      <c r="L8" s="49"/>
      <c r="M8" s="49"/>
    </row>
    <row r="9" spans="1:13" s="48" customFormat="1" ht="36" customHeight="1">
      <c r="A9" s="78">
        <f t="shared" si="0"/>
        <v>4</v>
      </c>
      <c r="B9" s="169" t="str">
        <f>MRS!B9 &amp;MRS!D9</f>
        <v xml:space="preserve">INDUSTRIAL PLUG 3PIN 16AMP 220V </v>
      </c>
      <c r="C9" s="170"/>
      <c r="D9" s="79" t="str">
        <f>MRS!G9</f>
        <v>EA</v>
      </c>
      <c r="E9" s="80">
        <f>MRS!H9</f>
        <v>20</v>
      </c>
      <c r="F9" s="81">
        <f>MRS!I9</f>
        <v>18</v>
      </c>
      <c r="G9" s="81">
        <f>MRS!J9</f>
        <v>360</v>
      </c>
      <c r="H9" s="82" t="s">
        <v>56</v>
      </c>
    </row>
    <row r="10" spans="1:13" s="48" customFormat="1" ht="36" customHeight="1">
      <c r="A10" s="78">
        <f t="shared" si="0"/>
        <v>5</v>
      </c>
      <c r="B10" s="169" t="str">
        <f>MRS!B10 &amp;MRS!D10</f>
        <v>HEX PLUG1/4" NPT FEMALE BRASS</v>
      </c>
      <c r="C10" s="170"/>
      <c r="D10" s="79" t="str">
        <f>MRS!G10</f>
        <v>EA</v>
      </c>
      <c r="E10" s="80">
        <f>MRS!H10</f>
        <v>50</v>
      </c>
      <c r="F10" s="81">
        <f>MRS!I10</f>
        <v>5.85</v>
      </c>
      <c r="G10" s="81">
        <f>MRS!J10</f>
        <v>292.5</v>
      </c>
      <c r="H10" s="82" t="s">
        <v>56</v>
      </c>
    </row>
    <row r="11" spans="1:13" s="48" customFormat="1" ht="36" customHeight="1">
      <c r="A11" s="78">
        <v>6</v>
      </c>
      <c r="B11" s="169" t="str">
        <f>MRS!B11 &amp;MRS!D11</f>
        <v>REDUCER BUSHING SS(304)M1/2"XF1/4" NPT</v>
      </c>
      <c r="C11" s="170"/>
      <c r="D11" s="79" t="str">
        <f>MRS!G11</f>
        <v>EA</v>
      </c>
      <c r="E11" s="80">
        <f>MRS!H11</f>
        <v>50</v>
      </c>
      <c r="F11" s="81">
        <f>MRS!I11</f>
        <v>8.5</v>
      </c>
      <c r="G11" s="81">
        <f>MRS!J11</f>
        <v>425</v>
      </c>
      <c r="H11" s="82" t="s">
        <v>56</v>
      </c>
    </row>
    <row r="12" spans="1:13" s="48" customFormat="1" ht="36" customHeight="1">
      <c r="A12" s="78">
        <v>7</v>
      </c>
      <c r="B12" s="169" t="str">
        <f>MRS!B12 &amp;MRS!D12</f>
        <v xml:space="preserve">EQUAL TEE CS(A105)1/2" NPT </v>
      </c>
      <c r="C12" s="170"/>
      <c r="D12" s="79" t="str">
        <f>MRS!G12</f>
        <v>EA</v>
      </c>
      <c r="E12" s="80">
        <f>MRS!H12</f>
        <v>30</v>
      </c>
      <c r="F12" s="81">
        <f>MRS!I12</f>
        <v>18</v>
      </c>
      <c r="G12" s="81">
        <f>MRS!J12</f>
        <v>540</v>
      </c>
      <c r="H12" s="82" t="s">
        <v>56</v>
      </c>
    </row>
    <row r="13" spans="1:13" s="48" customFormat="1" ht="36" customHeight="1">
      <c r="A13" s="78">
        <v>8</v>
      </c>
      <c r="B13" s="169" t="str">
        <f>MRS!B13 &amp;MRS!D13</f>
        <v xml:space="preserve">ELECTRICAL DRILL MACHINE 14MM 710W DEWALT WITH TUV </v>
      </c>
      <c r="C13" s="170"/>
      <c r="D13" s="79" t="str">
        <f>MRS!G13</f>
        <v>EA</v>
      </c>
      <c r="E13" s="80">
        <f>MRS!H13</f>
        <v>1</v>
      </c>
      <c r="F13" s="81">
        <f>MRS!I13</f>
        <v>1045</v>
      </c>
      <c r="G13" s="81">
        <f>MRS!J13</f>
        <v>1045</v>
      </c>
      <c r="H13" s="82" t="s">
        <v>56</v>
      </c>
    </row>
    <row r="14" spans="1:13" s="48" customFormat="1" ht="36" customHeight="1">
      <c r="A14" s="78">
        <v>9</v>
      </c>
      <c r="B14" s="169" t="str">
        <f>MRS!B14 &amp;MRS!D14</f>
        <v>DIE GRINDER MACHINE 6MM 450W DEWALT WITH TUV</v>
      </c>
      <c r="C14" s="170"/>
      <c r="D14" s="79" t="str">
        <f>MRS!G14</f>
        <v>EA</v>
      </c>
      <c r="E14" s="80">
        <f>MRS!H14</f>
        <v>1</v>
      </c>
      <c r="F14" s="81">
        <f>MRS!I14</f>
        <v>605</v>
      </c>
      <c r="G14" s="81">
        <f>MRS!J14</f>
        <v>605</v>
      </c>
      <c r="H14" s="82" t="s">
        <v>56</v>
      </c>
    </row>
    <row r="15" spans="1:13" s="48" customFormat="1" ht="36" customHeight="1">
      <c r="A15" s="78">
        <v>10</v>
      </c>
      <c r="B15" s="169" t="str">
        <f>MRS!B15 &amp;MRS!D15</f>
        <v>RAPID GUN TACKERSUITABLE FOR TYPE 53 STAPLES, 8 MM LEG LENGTH</v>
      </c>
      <c r="C15" s="170"/>
      <c r="D15" s="79" t="str">
        <f>MRS!G15</f>
        <v>EA</v>
      </c>
      <c r="E15" s="80">
        <f>MRS!H15</f>
        <v>5</v>
      </c>
      <c r="F15" s="81">
        <f>MRS!I15</f>
        <v>35</v>
      </c>
      <c r="G15" s="81">
        <f>MRS!J15</f>
        <v>175</v>
      </c>
      <c r="H15" s="82" t="s">
        <v>56</v>
      </c>
    </row>
    <row r="16" spans="1:13" s="48" customFormat="1" ht="36" customHeight="1">
      <c r="A16" s="78">
        <v>11</v>
      </c>
      <c r="B16" s="169" t="str">
        <f>MRS!B16 &amp;MRS!D16</f>
        <v>STAPLE PINTYPE 53, 8 MM, 1,000 PCS/PACK</v>
      </c>
      <c r="C16" s="170"/>
      <c r="D16" s="79" t="str">
        <f>MRS!G16</f>
        <v>PACK</v>
      </c>
      <c r="E16" s="80">
        <f>MRS!H16</f>
        <v>5</v>
      </c>
      <c r="F16" s="81">
        <f>MRS!I16</f>
        <v>6.75</v>
      </c>
      <c r="G16" s="81">
        <f>MRS!J16</f>
        <v>33.75</v>
      </c>
      <c r="H16" s="82" t="s">
        <v>56</v>
      </c>
    </row>
    <row r="17" spans="1:13" s="48" customFormat="1" ht="68.25" customHeight="1">
      <c r="A17" s="78">
        <v>12</v>
      </c>
      <c r="B17" s="169" t="str">
        <f>MRS!B17 &amp;MRS!D17</f>
        <v>Electrical power cable for welding machinenon-armoured, 4c × 35 mm², flexible stranded copper conductor, epr/rubber insulated, heavy-duty rubber sheathed, 0.6/1 kv</v>
      </c>
      <c r="C17" s="170"/>
      <c r="D17" s="79" t="str">
        <f>MRS!G17</f>
        <v>MTR</v>
      </c>
      <c r="E17" s="80">
        <f>MRS!H17</f>
        <v>200</v>
      </c>
      <c r="F17" s="81"/>
      <c r="G17" s="81">
        <f>MRS!J17</f>
        <v>36000</v>
      </c>
      <c r="H17" s="85" t="s">
        <v>56</v>
      </c>
    </row>
    <row r="18" spans="1:13" s="48" customFormat="1" ht="23.1" customHeight="1">
      <c r="A18" s="185" t="s">
        <v>75</v>
      </c>
      <c r="B18" s="186"/>
      <c r="C18" s="186"/>
      <c r="D18" s="186"/>
      <c r="E18" s="186"/>
      <c r="F18" s="186"/>
      <c r="G18" s="51">
        <f>SUM(G6:G17)</f>
        <v>48006.25</v>
      </c>
      <c r="H18" s="52"/>
    </row>
    <row r="19" spans="1:13" s="48" customFormat="1" ht="23.1" customHeight="1">
      <c r="A19" s="185" t="s">
        <v>41</v>
      </c>
      <c r="B19" s="186"/>
      <c r="C19" s="186"/>
      <c r="D19" s="186"/>
      <c r="E19" s="186"/>
      <c r="F19" s="186"/>
      <c r="G19" s="51">
        <f>+G18*0.15</f>
        <v>7200.9375</v>
      </c>
      <c r="H19" s="52"/>
    </row>
    <row r="20" spans="1:13" s="48" customFormat="1" ht="24.95" customHeight="1" thickBot="1">
      <c r="A20" s="187" t="s">
        <v>76</v>
      </c>
      <c r="B20" s="188"/>
      <c r="C20" s="188"/>
      <c r="D20" s="188"/>
      <c r="E20" s="188"/>
      <c r="F20" s="188"/>
      <c r="G20" s="53">
        <f>G19+G18</f>
        <v>55207.1875</v>
      </c>
      <c r="H20" s="54"/>
    </row>
    <row r="21" spans="1:13" ht="15.75" thickTop="1">
      <c r="A21" s="55" t="str">
        <f>" 1) Above Price are as per your quotation with ref "&amp;'PO 1st page'!K14</f>
        <v xml:space="preserve"> 1) Above Price are as per your quotation with ref QT-C26-150797</v>
      </c>
      <c r="B21" s="56"/>
      <c r="C21" s="56"/>
      <c r="D21" s="57"/>
      <c r="E21" s="57"/>
      <c r="F21" s="57"/>
      <c r="G21" s="57"/>
      <c r="H21" s="57"/>
    </row>
    <row r="22" spans="1:13" ht="15">
      <c r="A22" s="58" t="s">
        <v>77</v>
      </c>
      <c r="B22" s="59"/>
      <c r="C22" s="59"/>
      <c r="D22" s="60"/>
      <c r="E22" s="60"/>
      <c r="F22" s="60"/>
      <c r="G22" s="60"/>
      <c r="H22" s="60"/>
      <c r="I22" s="61"/>
    </row>
    <row r="23" spans="1:13" ht="15.75">
      <c r="A23" s="62"/>
    </row>
    <row r="24" spans="1:13">
      <c r="A24" s="159" t="s">
        <v>78</v>
      </c>
      <c r="B24" s="159"/>
      <c r="C24" s="159"/>
      <c r="D24" s="159"/>
      <c r="E24" s="159"/>
      <c r="F24" s="159"/>
      <c r="G24" s="159"/>
      <c r="H24" s="159"/>
      <c r="I24" s="63"/>
      <c r="J24" s="63"/>
      <c r="K24" s="63"/>
      <c r="L24" s="63"/>
      <c r="M24" s="63"/>
    </row>
    <row r="25" spans="1:13" ht="15.75">
      <c r="A25" s="62"/>
      <c r="C25" s="64"/>
    </row>
    <row r="26" spans="1:13" ht="15.75">
      <c r="A26" s="62"/>
      <c r="C26" s="64"/>
    </row>
    <row r="28" spans="1:13" ht="12" customHeight="1"/>
  </sheetData>
  <mergeCells count="24">
    <mergeCell ref="A18:F18"/>
    <mergeCell ref="A19:F19"/>
    <mergeCell ref="A20:F20"/>
    <mergeCell ref="A24:H24"/>
    <mergeCell ref="B17:C17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13:C13"/>
    <mergeCell ref="B14:C14"/>
    <mergeCell ref="B15:C15"/>
    <mergeCell ref="B16:C16"/>
    <mergeCell ref="B11:C11"/>
    <mergeCell ref="B12:C12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2026-10-25T13:16:07Z</cp:lastPrinted>
  <dcterms:created xsi:type="dcterms:W3CDTF">2024-10-20T11:50:19Z</dcterms:created>
  <dcterms:modified xsi:type="dcterms:W3CDTF">2026-10-25T13:16:35Z</dcterms:modified>
</cp:coreProperties>
</file>