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Boss\PO\YATCO\QTN-YATCO-SCAF-000233\"/>
    </mc:Choice>
  </mc:AlternateContent>
  <xr:revisionPtr revIDLastSave="0" documentId="13_ncr:1_{1F50CE68-E03A-44B9-9D04-F61E67AFBA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소모품_1차'!$A$1:$V$33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U7" i="1"/>
  <c r="U8" i="1"/>
  <c r="U9" i="1"/>
  <c r="U10" i="1"/>
  <c r="U11" i="1"/>
  <c r="Q7" i="1"/>
  <c r="Q8" i="1"/>
  <c r="Q9" i="1"/>
  <c r="Q10" i="1"/>
  <c r="Q11" i="1"/>
  <c r="K7" i="1"/>
  <c r="K8" i="1"/>
  <c r="K9" i="1"/>
  <c r="K10" i="1"/>
  <c r="K11" i="1"/>
  <c r="B33" i="1"/>
  <c r="S7" i="1"/>
  <c r="S8" i="1"/>
  <c r="S9" i="1"/>
  <c r="S10" i="1"/>
  <c r="S11" i="1"/>
  <c r="O7" i="1"/>
  <c r="O8" i="1"/>
  <c r="O9" i="1"/>
  <c r="O10" i="1"/>
  <c r="O11" i="1"/>
  <c r="G17" i="1"/>
  <c r="S6" i="1" l="1"/>
  <c r="G18" i="1" l="1"/>
  <c r="G19" i="1" s="1"/>
  <c r="G20" i="1" s="1"/>
  <c r="O6" i="1"/>
  <c r="K6" i="1" l="1"/>
  <c r="R17" i="1" l="1"/>
  <c r="N17" i="1"/>
  <c r="J17" i="1"/>
  <c r="C24" i="1" s="1"/>
  <c r="O18" i="1" l="1"/>
  <c r="O19" i="1" s="1"/>
  <c r="C26" i="1"/>
  <c r="C25" i="1"/>
  <c r="K18" i="1" l="1"/>
  <c r="K19" i="1" s="1"/>
  <c r="Q6" i="1"/>
  <c r="U6" i="1" l="1"/>
  <c r="S18" i="1"/>
  <c r="S19" i="1" s="1"/>
  <c r="O20" i="1"/>
  <c r="J25" i="1" l="1"/>
  <c r="S20" i="1"/>
  <c r="J26" i="1" l="1"/>
  <c r="N25" i="1"/>
  <c r="R25" i="1" l="1"/>
  <c r="N26" i="1"/>
  <c r="R26" i="1"/>
  <c r="K20" i="1" l="1"/>
  <c r="I20" i="1" s="1"/>
  <c r="Q18" i="1"/>
  <c r="U18" i="1"/>
  <c r="E24" i="1" l="1"/>
  <c r="U20" i="1"/>
  <c r="Q20" i="1"/>
  <c r="J24" i="1"/>
  <c r="L25" i="1" l="1"/>
  <c r="L26" i="1"/>
  <c r="R24" i="1"/>
  <c r="N24" i="1"/>
  <c r="T25" i="1"/>
  <c r="P26" i="1"/>
  <c r="T26" i="1"/>
  <c r="P25" i="1"/>
  <c r="Q24" i="1" l="1"/>
  <c r="P24" i="1"/>
  <c r="U24" i="1"/>
  <c r="T24" i="1"/>
</calcChain>
</file>

<file path=xl/sharedStrings.xml><?xml version="1.0" encoding="utf-8"?>
<sst xmlns="http://schemas.openxmlformats.org/spreadsheetml/2006/main" count="126" uniqueCount="70">
  <si>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</si>
  <si>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</si>
  <si>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</si>
  <si>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</si>
  <si>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</si>
  <si>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</si>
  <si>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</si>
  <si>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</si>
  <si>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</si>
  <si>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</si>
  <si>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</si>
  <si>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</si>
  <si>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</si>
  <si>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</si>
  <si>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</si>
  <si>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</si>
  <si>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</si>
  <si>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</si>
  <si>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</si>
  <si>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</si>
  <si>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</si>
  <si>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</si>
  <si>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</si>
  <si>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</si>
  <si>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</si>
  <si>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</si>
  <si>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</si>
  <si>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</si>
  <si>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</si>
  <si>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</si>
  <si>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</si>
  <si>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</si>
  <si>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</si>
  <si>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</si>
  <si>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</si>
  <si>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</si>
  <si>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</si>
  <si>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</si>
  <si>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</si>
  <si>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</si>
  <si>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</si>
  <si>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</si>
  <si>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</si>
  <si>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</si>
  <si>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</si>
  <si>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</si>
  <si>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</si>
  <si>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</si>
  <si>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</si>
  <si>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</si>
  <si>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</si>
  <si>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</si>
  <si>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</si>
  <si>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</si>
  <si>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</si>
  <si>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</si>
  <si>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</si>
  <si>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</si>
  <si>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YATCO (Yaqoot Arabia Trading Company)</t>
  </si>
  <si>
    <t>ZAITHOON</t>
  </si>
  <si>
    <t>MACO (Muaid Ali Alwan General Cont.Est)</t>
  </si>
  <si>
    <t>SCAFFOLDING STEEL BOARD</t>
  </si>
  <si>
    <t xml:space="preserve"> 225mm X 38mm x  4.0 mtr </t>
  </si>
  <si>
    <t xml:space="preserve"> 225mm X 38mm x  3.0 mtr </t>
  </si>
  <si>
    <t xml:space="preserve"> 225mm X 38mm x  2.5 mtr </t>
  </si>
  <si>
    <t xml:space="preserve"> 225mm X 38mm x  2.0 mtr </t>
  </si>
  <si>
    <t xml:space="preserve"> 225mm X 38mm x  1.5 mtr</t>
  </si>
  <si>
    <t xml:space="preserve"> 225mm X 38mm x  1.0 mtr </t>
  </si>
  <si>
    <t>EA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</si>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</sst>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99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0" fontId="28" fillId="2" borderId="24" xfId="0" quotePrefix="1" applyFont="1" applyFill="1" applyBorder="1" applyAlignment="1">
      <alignment horizontal="center" vertical="center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9" fontId="44" fillId="0" borderId="22" xfId="2" applyFont="1" applyFill="1" applyBorder="1" applyAlignment="1">
      <alignment vertical="center"/>
    </xf>
    <xf numFmtId="167" fontId="44" fillId="0" borderId="25" xfId="3" applyNumberFormat="1" applyFont="1" applyBorder="1">
      <alignment vertical="center"/>
    </xf>
    <xf numFmtId="167" fontId="44" fillId="0" borderId="22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/>
    </xf>
    <xf numFmtId="9" fontId="44" fillId="0" borderId="25" xfId="2" applyFont="1" applyFill="1" applyBorder="1" applyAlignment="1">
      <alignment vertical="center"/>
    </xf>
    <xf numFmtId="0" fontId="44" fillId="0" borderId="25" xfId="4" applyFont="1" applyBorder="1">
      <alignment vertical="center"/>
    </xf>
    <xf numFmtId="168" fontId="44" fillId="0" borderId="25" xfId="3" applyNumberFormat="1" applyFont="1" applyBorder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3" fontId="29" fillId="0" borderId="107" xfId="0" quotePrefix="1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06" t="s">
        <v>37</v>
      </c>
      <c r="R1" s="306"/>
      <c r="S1" s="306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55" t="s">
        <v>2</v>
      </c>
      <c r="C4" s="257" t="s">
        <v>3</v>
      </c>
      <c r="D4" s="259" t="s">
        <v>4</v>
      </c>
      <c r="E4" s="261" t="s">
        <v>5</v>
      </c>
      <c r="F4" s="263" t="s">
        <v>6</v>
      </c>
      <c r="G4" s="268" t="s">
        <v>7</v>
      </c>
      <c r="H4" s="269"/>
      <c r="I4" s="269"/>
      <c r="J4" s="270"/>
      <c r="K4" s="268" t="s">
        <v>8</v>
      </c>
      <c r="L4" s="269"/>
      <c r="M4" s="269"/>
      <c r="N4" s="270"/>
      <c r="O4" s="268" t="s">
        <v>9</v>
      </c>
      <c r="P4" s="269"/>
      <c r="Q4" s="269"/>
      <c r="R4" s="270"/>
      <c r="S4" s="271" t="s">
        <v>10</v>
      </c>
      <c r="T4" s="17"/>
    </row>
    <row r="5" spans="1:24" ht="33.75" customHeight="1" thickBot="1">
      <c r="B5" s="256"/>
      <c r="C5" s="258"/>
      <c r="D5" s="260"/>
      <c r="E5" s="262"/>
      <c r="F5" s="264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72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73"/>
      <c r="J6" s="29"/>
      <c r="K6" s="30"/>
      <c r="L6" s="28"/>
      <c r="M6" s="273"/>
      <c r="N6" s="29"/>
      <c r="O6" s="27"/>
      <c r="P6" s="28"/>
      <c r="Q6" s="273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74"/>
      <c r="J7" s="39"/>
      <c r="K7" s="40"/>
      <c r="L7" s="38"/>
      <c r="M7" s="274"/>
      <c r="N7" s="39"/>
      <c r="O7" s="37"/>
      <c r="P7" s="38"/>
      <c r="Q7" s="274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75"/>
      <c r="J8" s="48"/>
      <c r="K8" s="49"/>
      <c r="L8" s="47"/>
      <c r="M8" s="275"/>
      <c r="N8" s="48"/>
      <c r="O8" s="46"/>
      <c r="P8" s="47"/>
      <c r="Q8" s="275"/>
      <c r="R8" s="48"/>
      <c r="S8" s="50"/>
      <c r="T8" s="32"/>
    </row>
    <row r="9" spans="1:24" s="7" customFormat="1" ht="30" customHeight="1">
      <c r="A9" s="8"/>
      <c r="B9" s="51"/>
      <c r="C9" s="276" t="s">
        <v>21</v>
      </c>
      <c r="D9" s="277"/>
      <c r="E9" s="277"/>
      <c r="F9" s="277"/>
      <c r="G9" s="278"/>
      <c r="H9" s="279"/>
      <c r="I9" s="279"/>
      <c r="J9" s="280"/>
      <c r="K9" s="278"/>
      <c r="L9" s="279"/>
      <c r="M9" s="279"/>
      <c r="N9" s="280"/>
      <c r="O9" s="278"/>
      <c r="P9" s="279"/>
      <c r="Q9" s="279"/>
      <c r="R9" s="280"/>
      <c r="S9" s="52"/>
      <c r="T9" s="32"/>
    </row>
    <row r="10" spans="1:24" s="7" customFormat="1" ht="30" customHeight="1">
      <c r="A10" s="8"/>
      <c r="B10" s="53"/>
      <c r="C10" s="54"/>
      <c r="D10" s="281" t="s">
        <v>22</v>
      </c>
      <c r="E10" s="281"/>
      <c r="F10" s="282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65" t="s">
        <v>23</v>
      </c>
      <c r="D11" s="266"/>
      <c r="E11" s="266"/>
      <c r="F11" s="267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3" t="s">
        <v>24</v>
      </c>
      <c r="C12" s="284"/>
      <c r="D12" s="284"/>
      <c r="E12" s="284"/>
      <c r="F12" s="285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92" t="s">
        <v>27</v>
      </c>
      <c r="D15" s="293"/>
      <c r="E15" s="286" t="s">
        <v>28</v>
      </c>
      <c r="F15" s="287"/>
      <c r="G15" s="288" t="s">
        <v>29</v>
      </c>
      <c r="H15" s="289"/>
      <c r="I15" s="290" t="s">
        <v>30</v>
      </c>
      <c r="J15" s="291"/>
      <c r="K15" s="288" t="s">
        <v>31</v>
      </c>
      <c r="L15" s="289"/>
      <c r="M15" s="290" t="s">
        <v>32</v>
      </c>
      <c r="N15" s="291"/>
      <c r="O15" s="288" t="s">
        <v>31</v>
      </c>
      <c r="P15" s="289"/>
      <c r="Q15" s="290" t="s">
        <v>32</v>
      </c>
      <c r="R15" s="291"/>
      <c r="S15" s="89" t="s">
        <v>33</v>
      </c>
      <c r="T15" s="90"/>
    </row>
    <row r="16" spans="1:24" s="79" customFormat="1" ht="25.15" customHeight="1" thickTop="1">
      <c r="B16" s="91"/>
      <c r="C16" s="294"/>
      <c r="D16" s="295"/>
      <c r="E16" s="296"/>
      <c r="F16" s="297"/>
      <c r="G16" s="302"/>
      <c r="H16" s="303"/>
      <c r="I16" s="304"/>
      <c r="J16" s="305"/>
      <c r="K16" s="302"/>
      <c r="L16" s="303"/>
      <c r="M16" s="304"/>
      <c r="N16" s="305"/>
      <c r="O16" s="302"/>
      <c r="P16" s="303"/>
      <c r="Q16" s="304"/>
      <c r="R16" s="305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15"/>
      <c r="D17" s="316"/>
      <c r="E17" s="298"/>
      <c r="F17" s="299"/>
      <c r="G17" s="317"/>
      <c r="H17" s="318"/>
      <c r="I17" s="307"/>
      <c r="J17" s="308"/>
      <c r="K17" s="317"/>
      <c r="L17" s="318"/>
      <c r="M17" s="307"/>
      <c r="N17" s="308"/>
      <c r="O17" s="317"/>
      <c r="P17" s="318"/>
      <c r="Q17" s="307"/>
      <c r="R17" s="308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09"/>
      <c r="D18" s="310"/>
      <c r="E18" s="300"/>
      <c r="F18" s="301"/>
      <c r="G18" s="311"/>
      <c r="H18" s="312"/>
      <c r="I18" s="313"/>
      <c r="J18" s="314"/>
      <c r="K18" s="311"/>
      <c r="L18" s="312"/>
      <c r="M18" s="313"/>
      <c r="N18" s="314"/>
      <c r="O18" s="311"/>
      <c r="P18" s="312"/>
      <c r="Q18" s="313"/>
      <c r="R18" s="314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39"/>
  <sheetViews>
    <sheetView showGridLines="0" tabSelected="1" zoomScale="130" zoomScaleNormal="130" zoomScaleSheetLayoutView="110" workbookViewId="0">
      <selection activeCell="G17" sqref="G17:I17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8" style="139" customWidth="1"/>
    <col min="4" max="4" width="28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9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9" customWidth="1"/>
    <col min="18" max="18" width="12.28515625" style="229" bestFit="1" customWidth="1"/>
    <col min="19" max="19" width="13.85546875" style="229" bestFit="1" customWidth="1"/>
    <col min="20" max="20" width="9.7109375" style="229" customWidth="1"/>
    <col min="21" max="21" width="8.85546875" style="229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30">
        <v>46319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79" t="s">
        <v>43</v>
      </c>
      <c r="B3" s="379"/>
      <c r="C3" s="379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27" t="s">
        <v>2</v>
      </c>
      <c r="C4" s="329" t="s">
        <v>3</v>
      </c>
      <c r="D4" s="331" t="s">
        <v>4</v>
      </c>
      <c r="E4" s="333" t="s">
        <v>5</v>
      </c>
      <c r="F4" s="335" t="s">
        <v>41</v>
      </c>
      <c r="G4" s="388" t="s">
        <v>57</v>
      </c>
      <c r="H4" s="389"/>
      <c r="I4" s="390"/>
      <c r="J4" s="337" t="s">
        <v>58</v>
      </c>
      <c r="K4" s="338"/>
      <c r="L4" s="338"/>
      <c r="M4" s="339"/>
      <c r="N4" s="337" t="s">
        <v>59</v>
      </c>
      <c r="O4" s="338"/>
      <c r="P4" s="338"/>
      <c r="Q4" s="339"/>
      <c r="R4" s="337" t="s">
        <v>60</v>
      </c>
      <c r="S4" s="338"/>
      <c r="T4" s="338"/>
      <c r="U4" s="339"/>
      <c r="V4" s="340" t="s">
        <v>42</v>
      </c>
      <c r="W4" s="144"/>
    </row>
    <row r="5" spans="1:23" ht="27" customHeight="1" thickBot="1">
      <c r="B5" s="328"/>
      <c r="C5" s="330"/>
      <c r="D5" s="332"/>
      <c r="E5" s="334"/>
      <c r="F5" s="336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41"/>
      <c r="W5" s="144"/>
    </row>
    <row r="6" spans="1:23" s="150" customFormat="1" ht="12" customHeight="1" thickTop="1">
      <c r="B6" s="151">
        <v>1</v>
      </c>
      <c r="C6" s="231" t="s">
        <v>61</v>
      </c>
      <c r="D6" s="232" t="s">
        <v>62</v>
      </c>
      <c r="E6" s="233" t="s">
        <v>68</v>
      </c>
      <c r="F6" s="233">
        <v>200</v>
      </c>
      <c r="G6" s="234" t="s">
        <v>69</v>
      </c>
      <c r="H6" s="234" t="s">
        <v>69</v>
      </c>
      <c r="I6" s="250" t="s">
        <v>69</v>
      </c>
      <c r="J6" s="235">
        <v>112</v>
      </c>
      <c r="K6" s="236">
        <f>J6*F6</f>
        <v>22400</v>
      </c>
      <c r="L6" s="342"/>
      <c r="M6" s="237">
        <v>1</v>
      </c>
      <c r="N6" s="235">
        <v>125</v>
      </c>
      <c r="O6" s="238">
        <f>N6*F6</f>
        <v>25000</v>
      </c>
      <c r="P6" s="342"/>
      <c r="Q6" s="237">
        <f>O6/K6</f>
        <v>1.1160714285714286</v>
      </c>
      <c r="R6" s="235">
        <v>135</v>
      </c>
      <c r="S6" s="239">
        <f>R6*F6</f>
        <v>27000</v>
      </c>
      <c r="T6" s="342"/>
      <c r="U6" s="237">
        <f>S6/K6</f>
        <v>1.2053571428571428</v>
      </c>
      <c r="V6" s="152"/>
      <c r="W6" s="153"/>
    </row>
    <row r="7" spans="1:23" s="150" customFormat="1" ht="12" customHeight="1">
      <c r="B7" s="151">
        <v>2</v>
      </c>
      <c r="C7" s="240" t="s">
        <v>61</v>
      </c>
      <c r="D7" s="241" t="s">
        <v>63</v>
      </c>
      <c r="E7" s="233" t="s">
        <v>68</v>
      </c>
      <c r="F7" s="233">
        <v>300</v>
      </c>
      <c r="G7" s="234" t="s">
        <v>69</v>
      </c>
      <c r="H7" s="234" t="s">
        <v>69</v>
      </c>
      <c r="I7" s="250" t="s">
        <v>69</v>
      </c>
      <c r="J7" s="235">
        <v>85</v>
      </c>
      <c r="K7" s="236">
        <f t="shared" ref="K7:K11" si="0">J7*F7</f>
        <v>25500</v>
      </c>
      <c r="L7" s="343"/>
      <c r="M7" s="243">
        <v>1</v>
      </c>
      <c r="N7" s="235">
        <v>90</v>
      </c>
      <c r="O7" s="238">
        <f t="shared" ref="O7:O11" si="1">N7*F7</f>
        <v>27000</v>
      </c>
      <c r="P7" s="344"/>
      <c r="Q7" s="243">
        <f t="shared" ref="Q7:Q11" si="2">O7/K7</f>
        <v>1.0588235294117647</v>
      </c>
      <c r="R7" s="235">
        <v>95</v>
      </c>
      <c r="S7" s="238">
        <f t="shared" ref="S7:S11" si="3">R7*F7</f>
        <v>28500</v>
      </c>
      <c r="T7" s="344"/>
      <c r="U7" s="243">
        <f t="shared" ref="U7:U11" si="4">S7/K7</f>
        <v>1.1176470588235294</v>
      </c>
      <c r="V7" s="154"/>
      <c r="W7" s="153"/>
    </row>
    <row r="8" spans="1:23" s="150" customFormat="1" ht="12" customHeight="1">
      <c r="B8" s="151">
        <v>3</v>
      </c>
      <c r="C8" s="240" t="s">
        <v>61</v>
      </c>
      <c r="D8" s="244" t="s">
        <v>64</v>
      </c>
      <c r="E8" s="233" t="s">
        <v>68</v>
      </c>
      <c r="F8" s="233">
        <v>200</v>
      </c>
      <c r="G8" s="234" t="s">
        <v>69</v>
      </c>
      <c r="H8" s="234" t="s">
        <v>69</v>
      </c>
      <c r="I8" s="250" t="s">
        <v>69</v>
      </c>
      <c r="J8" s="235">
        <v>73</v>
      </c>
      <c r="K8" s="236">
        <f t="shared" si="0"/>
        <v>14600</v>
      </c>
      <c r="L8" s="343"/>
      <c r="M8" s="243">
        <v>1</v>
      </c>
      <c r="N8" s="235">
        <v>80</v>
      </c>
      <c r="O8" s="238">
        <f t="shared" si="1"/>
        <v>16000</v>
      </c>
      <c r="P8" s="344"/>
      <c r="Q8" s="243">
        <f t="shared" si="2"/>
        <v>1.095890410958904</v>
      </c>
      <c r="R8" s="235">
        <v>90</v>
      </c>
      <c r="S8" s="238">
        <f t="shared" si="3"/>
        <v>18000</v>
      </c>
      <c r="T8" s="343"/>
      <c r="U8" s="243">
        <f t="shared" si="4"/>
        <v>1.2328767123287672</v>
      </c>
      <c r="V8" s="254"/>
      <c r="W8" s="153"/>
    </row>
    <row r="9" spans="1:23" s="150" customFormat="1" ht="12" customHeight="1">
      <c r="B9" s="151">
        <v>4</v>
      </c>
      <c r="C9" s="240" t="s">
        <v>61</v>
      </c>
      <c r="D9" s="244" t="s">
        <v>65</v>
      </c>
      <c r="E9" s="233" t="s">
        <v>68</v>
      </c>
      <c r="F9" s="233">
        <v>400</v>
      </c>
      <c r="G9" s="234" t="s">
        <v>69</v>
      </c>
      <c r="H9" s="234" t="s">
        <v>69</v>
      </c>
      <c r="I9" s="250" t="s">
        <v>69</v>
      </c>
      <c r="J9" s="235">
        <v>60</v>
      </c>
      <c r="K9" s="236">
        <f t="shared" si="0"/>
        <v>24000</v>
      </c>
      <c r="L9" s="343"/>
      <c r="M9" s="243">
        <v>1</v>
      </c>
      <c r="N9" s="235">
        <v>70</v>
      </c>
      <c r="O9" s="238">
        <f t="shared" si="1"/>
        <v>28000</v>
      </c>
      <c r="P9" s="344"/>
      <c r="Q9" s="243">
        <f t="shared" si="2"/>
        <v>1.1666666666666667</v>
      </c>
      <c r="R9" s="235">
        <v>80</v>
      </c>
      <c r="S9" s="238">
        <f t="shared" si="3"/>
        <v>32000</v>
      </c>
      <c r="T9" s="343"/>
      <c r="U9" s="243">
        <f t="shared" si="4"/>
        <v>1.3333333333333333</v>
      </c>
      <c r="V9" s="254"/>
      <c r="W9" s="153"/>
    </row>
    <row r="10" spans="1:23" s="150" customFormat="1" ht="12" customHeight="1">
      <c r="B10" s="151">
        <v>5</v>
      </c>
      <c r="C10" s="240" t="s">
        <v>61</v>
      </c>
      <c r="D10" s="244" t="s">
        <v>66</v>
      </c>
      <c r="E10" s="233" t="s">
        <v>68</v>
      </c>
      <c r="F10" s="233">
        <v>400</v>
      </c>
      <c r="G10" s="234" t="s">
        <v>69</v>
      </c>
      <c r="H10" s="234" t="s">
        <v>69</v>
      </c>
      <c r="I10" s="250" t="s">
        <v>69</v>
      </c>
      <c r="J10" s="235">
        <v>46</v>
      </c>
      <c r="K10" s="236">
        <f t="shared" si="0"/>
        <v>18400</v>
      </c>
      <c r="L10" s="343"/>
      <c r="M10" s="243">
        <v>1</v>
      </c>
      <c r="N10" s="235">
        <v>53</v>
      </c>
      <c r="O10" s="238">
        <f t="shared" si="1"/>
        <v>21200</v>
      </c>
      <c r="P10" s="344"/>
      <c r="Q10" s="243">
        <f t="shared" si="2"/>
        <v>1.1521739130434783</v>
      </c>
      <c r="R10" s="235">
        <v>55</v>
      </c>
      <c r="S10" s="238">
        <f t="shared" si="3"/>
        <v>22000</v>
      </c>
      <c r="T10" s="343"/>
      <c r="U10" s="243">
        <f t="shared" si="4"/>
        <v>1.1956521739130435</v>
      </c>
      <c r="V10" s="254"/>
      <c r="W10" s="153"/>
    </row>
    <row r="11" spans="1:23" s="150" customFormat="1" ht="12" customHeight="1">
      <c r="B11" s="151">
        <v>6</v>
      </c>
      <c r="C11" s="240" t="s">
        <v>61</v>
      </c>
      <c r="D11" s="244" t="s">
        <v>67</v>
      </c>
      <c r="E11" s="233" t="s">
        <v>68</v>
      </c>
      <c r="F11" s="233">
        <v>500</v>
      </c>
      <c r="G11" s="234" t="s">
        <v>69</v>
      </c>
      <c r="H11" s="234" t="s">
        <v>69</v>
      </c>
      <c r="I11" s="250" t="s">
        <v>69</v>
      </c>
      <c r="J11" s="235">
        <v>31</v>
      </c>
      <c r="K11" s="236">
        <f t="shared" si="0"/>
        <v>15500</v>
      </c>
      <c r="L11" s="343"/>
      <c r="M11" s="243">
        <v>1</v>
      </c>
      <c r="N11" s="235">
        <v>35</v>
      </c>
      <c r="O11" s="238">
        <f t="shared" si="1"/>
        <v>17500</v>
      </c>
      <c r="P11" s="344"/>
      <c r="Q11" s="243">
        <f t="shared" si="2"/>
        <v>1.1290322580645162</v>
      </c>
      <c r="R11" s="235">
        <v>40</v>
      </c>
      <c r="S11" s="238">
        <f t="shared" si="3"/>
        <v>20000</v>
      </c>
      <c r="T11" s="343"/>
      <c r="U11" s="243">
        <f t="shared" si="4"/>
        <v>1.2903225806451613</v>
      </c>
      <c r="V11" s="254"/>
      <c r="W11" s="153"/>
    </row>
    <row r="12" spans="1:23" s="150" customFormat="1" ht="12" customHeight="1">
      <c r="B12" s="151"/>
      <c r="C12" s="240"/>
      <c r="D12" s="244"/>
      <c r="E12" s="233"/>
      <c r="F12" s="233"/>
      <c r="G12" s="242"/>
      <c r="H12" s="234"/>
      <c r="I12" s="250"/>
      <c r="J12" s="235"/>
      <c r="K12" s="236"/>
      <c r="L12" s="343"/>
      <c r="M12" s="243"/>
      <c r="N12" s="235"/>
      <c r="O12" s="238"/>
      <c r="P12" s="344"/>
      <c r="Q12" s="243"/>
      <c r="R12" s="235"/>
      <c r="S12" s="238"/>
      <c r="T12" s="343"/>
      <c r="U12" s="243"/>
      <c r="V12" s="254"/>
      <c r="W12" s="153"/>
    </row>
    <row r="13" spans="1:23" s="150" customFormat="1" ht="12" customHeight="1">
      <c r="B13" s="151"/>
      <c r="C13" s="240"/>
      <c r="D13" s="244"/>
      <c r="E13" s="233"/>
      <c r="F13" s="233"/>
      <c r="G13" s="242"/>
      <c r="H13" s="234"/>
      <c r="I13" s="250"/>
      <c r="J13" s="235"/>
      <c r="K13" s="236"/>
      <c r="L13" s="343"/>
      <c r="M13" s="243"/>
      <c r="N13" s="235"/>
      <c r="O13" s="238"/>
      <c r="P13" s="344"/>
      <c r="Q13" s="243"/>
      <c r="R13" s="235"/>
      <c r="S13" s="238"/>
      <c r="T13" s="343"/>
      <c r="U13" s="243"/>
      <c r="V13" s="254"/>
      <c r="W13" s="153"/>
    </row>
    <row r="14" spans="1:23" s="150" customFormat="1" ht="12" customHeight="1">
      <c r="B14" s="151"/>
      <c r="C14" s="240"/>
      <c r="D14" s="244"/>
      <c r="E14" s="233"/>
      <c r="F14" s="233"/>
      <c r="G14" s="242"/>
      <c r="H14" s="234"/>
      <c r="I14" s="250"/>
      <c r="J14" s="235"/>
      <c r="K14" s="236"/>
      <c r="L14" s="343"/>
      <c r="M14" s="243"/>
      <c r="N14" s="235"/>
      <c r="O14" s="238"/>
      <c r="P14" s="344"/>
      <c r="Q14" s="243"/>
      <c r="R14" s="235"/>
      <c r="S14" s="238"/>
      <c r="T14" s="343"/>
      <c r="U14" s="243"/>
      <c r="V14" s="254"/>
      <c r="W14" s="153"/>
    </row>
    <row r="15" spans="1:23" s="150" customFormat="1" ht="12" customHeight="1">
      <c r="B15" s="151"/>
      <c r="C15" s="240"/>
      <c r="D15" s="244"/>
      <c r="E15" s="233"/>
      <c r="F15" s="233"/>
      <c r="G15" s="242"/>
      <c r="H15" s="242"/>
      <c r="I15" s="242"/>
      <c r="J15" s="235"/>
      <c r="K15" s="236"/>
      <c r="L15" s="344"/>
      <c r="M15" s="243"/>
      <c r="N15" s="235"/>
      <c r="O15" s="238"/>
      <c r="P15" s="344"/>
      <c r="Q15" s="243"/>
      <c r="R15" s="235"/>
      <c r="S15" s="238"/>
      <c r="T15" s="344"/>
      <c r="U15" s="243"/>
      <c r="V15" s="154"/>
      <c r="W15" s="153"/>
    </row>
    <row r="16" spans="1:23" s="150" customFormat="1" ht="12.75" customHeight="1">
      <c r="B16" s="155"/>
      <c r="C16" s="231"/>
      <c r="D16" s="251"/>
      <c r="E16" s="233"/>
      <c r="F16" s="233"/>
      <c r="G16" s="242"/>
      <c r="H16" s="242"/>
      <c r="I16" s="242"/>
      <c r="J16" s="235"/>
      <c r="K16" s="238"/>
      <c r="L16" s="344"/>
      <c r="M16" s="243"/>
      <c r="N16" s="245"/>
      <c r="O16" s="238"/>
      <c r="P16" s="344"/>
      <c r="Q16" s="243"/>
      <c r="R16" s="236"/>
      <c r="S16" s="238"/>
      <c r="T16" s="344"/>
      <c r="U16" s="243"/>
      <c r="V16" s="156"/>
      <c r="W16" s="153"/>
    </row>
    <row r="17" spans="1:27" s="133" customFormat="1" ht="33" customHeight="1">
      <c r="A17" s="134"/>
      <c r="B17" s="253"/>
      <c r="C17" s="397" t="s">
        <v>21</v>
      </c>
      <c r="D17" s="398"/>
      <c r="E17" s="398"/>
      <c r="F17" s="398"/>
      <c r="G17" s="319" t="str">
        <f>G4</f>
        <v>Previous Price</v>
      </c>
      <c r="H17" s="386"/>
      <c r="I17" s="387"/>
      <c r="J17" s="319" t="str">
        <f>J4</f>
        <v>YATCO (Yaqoot Arabia Trading Company)</v>
      </c>
      <c r="K17" s="320"/>
      <c r="L17" s="320"/>
      <c r="M17" s="321"/>
      <c r="N17" s="319" t="str">
        <f>N4</f>
        <v>ZAITHOON</v>
      </c>
      <c r="O17" s="320"/>
      <c r="P17" s="320"/>
      <c r="Q17" s="321"/>
      <c r="R17" s="322" t="str">
        <f>R4</f>
        <v>MACO (Muaid Ali Alwan General Cont.Est)</v>
      </c>
      <c r="S17" s="323"/>
      <c r="T17" s="323"/>
      <c r="U17" s="324"/>
      <c r="V17" s="252"/>
      <c r="W17" s="157"/>
    </row>
    <row r="18" spans="1:27" s="133" customFormat="1" ht="21.75" customHeight="1">
      <c r="A18" s="134"/>
      <c r="B18" s="158"/>
      <c r="C18" s="159"/>
      <c r="D18" s="325" t="s">
        <v>22</v>
      </c>
      <c r="E18" s="325"/>
      <c r="F18" s="326"/>
      <c r="G18" s="382">
        <f>SUM(H6:H16)</f>
        <v>0</v>
      </c>
      <c r="H18" s="383"/>
      <c r="I18" s="162"/>
      <c r="J18" s="248"/>
      <c r="K18" s="246">
        <f>SUM(K6:K16)</f>
        <v>120400</v>
      </c>
      <c r="L18" s="161"/>
      <c r="M18" s="162">
        <f>AVERAGE(M6:M11)</f>
        <v>1</v>
      </c>
      <c r="N18" s="163"/>
      <c r="O18" s="246">
        <f>SUM(O6:O16)</f>
        <v>134700</v>
      </c>
      <c r="P18" s="160"/>
      <c r="Q18" s="164">
        <f>O18/K18</f>
        <v>1.1187707641196014</v>
      </c>
      <c r="R18" s="163"/>
      <c r="S18" s="246">
        <f>SUM(S6:S16)</f>
        <v>147500</v>
      </c>
      <c r="T18" s="160"/>
      <c r="U18" s="165">
        <f>S18/K18</f>
        <v>1.2250830564784052</v>
      </c>
      <c r="V18" s="166"/>
      <c r="W18" s="157"/>
    </row>
    <row r="19" spans="1:27" ht="21.75" customHeight="1" thickBot="1">
      <c r="B19" s="167"/>
      <c r="C19" s="394" t="s">
        <v>23</v>
      </c>
      <c r="D19" s="395"/>
      <c r="E19" s="395"/>
      <c r="F19" s="396"/>
      <c r="G19" s="384">
        <f>G18*15%</f>
        <v>0</v>
      </c>
      <c r="H19" s="385"/>
      <c r="I19" s="171"/>
      <c r="J19" s="168"/>
      <c r="K19" s="247">
        <f>K18*15%</f>
        <v>18060</v>
      </c>
      <c r="L19" s="170"/>
      <c r="M19" s="171"/>
      <c r="N19" s="172"/>
      <c r="O19" s="247">
        <f>O18*15%</f>
        <v>20205</v>
      </c>
      <c r="P19" s="170"/>
      <c r="Q19" s="171"/>
      <c r="R19" s="172"/>
      <c r="S19" s="247">
        <f>S18*15%</f>
        <v>22125</v>
      </c>
      <c r="T19" s="169"/>
      <c r="U19" s="173"/>
      <c r="V19" s="174"/>
      <c r="W19" s="157"/>
    </row>
    <row r="20" spans="1:27" ht="25.15" customHeight="1" thickBot="1">
      <c r="B20" s="391" t="s">
        <v>45</v>
      </c>
      <c r="C20" s="392"/>
      <c r="D20" s="392"/>
      <c r="E20" s="392"/>
      <c r="F20" s="393"/>
      <c r="G20" s="380">
        <f>SUM(G18:H19)</f>
        <v>0</v>
      </c>
      <c r="H20" s="381"/>
      <c r="I20" s="249">
        <f>G20/K20</f>
        <v>0</v>
      </c>
      <c r="J20" s="249"/>
      <c r="K20" s="176">
        <f>SUM(K18:K19)</f>
        <v>138460</v>
      </c>
      <c r="L20" s="177"/>
      <c r="M20" s="178">
        <v>1</v>
      </c>
      <c r="N20" s="179"/>
      <c r="O20" s="176">
        <f>SUM(O18:O19)</f>
        <v>154905</v>
      </c>
      <c r="P20" s="177"/>
      <c r="Q20" s="180">
        <f>O20/K20</f>
        <v>1.1187707641196014</v>
      </c>
      <c r="R20" s="175"/>
      <c r="S20" s="176">
        <f>SUM(S18:S19)</f>
        <v>169625</v>
      </c>
      <c r="T20" s="177"/>
      <c r="U20" s="178">
        <f>S20/K20</f>
        <v>1.2250830564784052</v>
      </c>
      <c r="V20" s="181"/>
      <c r="W20" s="182"/>
    </row>
    <row r="21" spans="1:27" s="183" customFormat="1" ht="12" customHeight="1">
      <c r="B21" s="184"/>
      <c r="C21" s="185"/>
      <c r="D21" s="185"/>
      <c r="E21" s="186"/>
      <c r="F21" s="186"/>
      <c r="G21" s="186"/>
      <c r="H21" s="186"/>
      <c r="I21" s="186"/>
      <c r="J21" s="187"/>
      <c r="K21" s="187"/>
      <c r="L21" s="187"/>
      <c r="M21" s="188"/>
      <c r="N21" s="187"/>
      <c r="O21" s="187"/>
      <c r="P21" s="187"/>
      <c r="Q21" s="188"/>
      <c r="R21" s="188"/>
      <c r="S21" s="188"/>
      <c r="T21" s="188"/>
      <c r="U21" s="188"/>
      <c r="V21" s="189"/>
      <c r="W21" s="190"/>
      <c r="X21" s="191"/>
      <c r="Y21" s="191"/>
      <c r="Z21" s="191"/>
      <c r="AA21" s="191"/>
    </row>
    <row r="22" spans="1:27" ht="18" customHeight="1" thickBot="1">
      <c r="A22" s="135" t="s">
        <v>44</v>
      </c>
      <c r="B22" s="135"/>
      <c r="C22" s="136"/>
      <c r="D22" s="137"/>
      <c r="E22" s="135"/>
      <c r="F22" s="135"/>
      <c r="G22" s="135"/>
      <c r="H22" s="135"/>
      <c r="I22" s="135"/>
      <c r="J22" s="135"/>
      <c r="K22" s="135"/>
      <c r="L22" s="135"/>
      <c r="M22" s="138"/>
      <c r="N22" s="135"/>
      <c r="O22" s="135"/>
      <c r="P22" s="135"/>
      <c r="Q22" s="138"/>
      <c r="R22" s="138"/>
      <c r="S22" s="138"/>
      <c r="T22" s="138"/>
      <c r="U22" s="138"/>
      <c r="V22" s="142" t="s">
        <v>25</v>
      </c>
      <c r="W22" s="142"/>
    </row>
    <row r="23" spans="1:27" ht="23.25" customHeight="1" thickBot="1">
      <c r="B23" s="143" t="s">
        <v>46</v>
      </c>
      <c r="C23" s="355" t="s">
        <v>47</v>
      </c>
      <c r="D23" s="356"/>
      <c r="E23" s="355" t="s">
        <v>48</v>
      </c>
      <c r="F23" s="357"/>
      <c r="G23" s="357"/>
      <c r="H23" s="357"/>
      <c r="I23" s="356"/>
      <c r="J23" s="345" t="s">
        <v>49</v>
      </c>
      <c r="K23" s="346"/>
      <c r="L23" s="347" t="s">
        <v>50</v>
      </c>
      <c r="M23" s="348"/>
      <c r="N23" s="345" t="s">
        <v>51</v>
      </c>
      <c r="O23" s="346"/>
      <c r="P23" s="347" t="s">
        <v>50</v>
      </c>
      <c r="Q23" s="348"/>
      <c r="R23" s="345" t="s">
        <v>51</v>
      </c>
      <c r="S23" s="346"/>
      <c r="T23" s="347" t="s">
        <v>50</v>
      </c>
      <c r="U23" s="348"/>
      <c r="V23" s="192" t="s">
        <v>52</v>
      </c>
      <c r="W23" s="193"/>
    </row>
    <row r="24" spans="1:27" s="183" customFormat="1" ht="25.15" customHeight="1" thickTop="1">
      <c r="B24" s="194">
        <v>1</v>
      </c>
      <c r="C24" s="349" t="str">
        <f>+J17</f>
        <v>YATCO (Yaqoot Arabia Trading Company)</v>
      </c>
      <c r="D24" s="350"/>
      <c r="E24" s="370">
        <f>K20</f>
        <v>138460</v>
      </c>
      <c r="F24" s="371"/>
      <c r="G24" s="371"/>
      <c r="H24" s="371"/>
      <c r="I24" s="372"/>
      <c r="J24" s="351">
        <f>K20</f>
        <v>138460</v>
      </c>
      <c r="K24" s="352"/>
      <c r="L24" s="353">
        <v>1</v>
      </c>
      <c r="M24" s="354"/>
      <c r="N24" s="351">
        <f>E24</f>
        <v>138460</v>
      </c>
      <c r="O24" s="352"/>
      <c r="P24" s="353">
        <f>N24/E24</f>
        <v>1</v>
      </c>
      <c r="Q24" s="354">
        <f>N24/E24</f>
        <v>1</v>
      </c>
      <c r="R24" s="351">
        <f>E24</f>
        <v>138460</v>
      </c>
      <c r="S24" s="352"/>
      <c r="T24" s="353">
        <f>R24/E24</f>
        <v>1</v>
      </c>
      <c r="U24" s="354">
        <f>R24/E24</f>
        <v>1</v>
      </c>
      <c r="V24" s="195"/>
      <c r="W24" s="196"/>
      <c r="X24" s="191"/>
      <c r="Y24" s="191"/>
      <c r="Z24" s="191"/>
      <c r="AA24" s="191"/>
    </row>
    <row r="25" spans="1:27" s="183" customFormat="1" ht="25.15" customHeight="1">
      <c r="B25" s="197">
        <v>2</v>
      </c>
      <c r="C25" s="362" t="str">
        <f>+N17</f>
        <v>ZAITHOON</v>
      </c>
      <c r="D25" s="363"/>
      <c r="E25" s="373"/>
      <c r="F25" s="374"/>
      <c r="G25" s="374"/>
      <c r="H25" s="374"/>
      <c r="I25" s="375"/>
      <c r="J25" s="364">
        <f>O20</f>
        <v>154905</v>
      </c>
      <c r="K25" s="365"/>
      <c r="L25" s="366">
        <f>J25/E24</f>
        <v>1.1187707641196014</v>
      </c>
      <c r="M25" s="367"/>
      <c r="N25" s="364">
        <f>J25</f>
        <v>154905</v>
      </c>
      <c r="O25" s="365"/>
      <c r="P25" s="366">
        <f>N25/E24</f>
        <v>1.1187707641196014</v>
      </c>
      <c r="Q25" s="367">
        <v>1</v>
      </c>
      <c r="R25" s="364">
        <f>N25</f>
        <v>154905</v>
      </c>
      <c r="S25" s="365"/>
      <c r="T25" s="366">
        <f>R25/E24</f>
        <v>1.1187707641196014</v>
      </c>
      <c r="U25" s="367">
        <v>1</v>
      </c>
      <c r="V25" s="198"/>
      <c r="W25" s="196"/>
      <c r="X25" s="191"/>
      <c r="Y25" s="191"/>
      <c r="Z25" s="191"/>
      <c r="AA25" s="191"/>
    </row>
    <row r="26" spans="1:27" s="183" customFormat="1" ht="25.15" customHeight="1" thickBot="1">
      <c r="B26" s="199">
        <v>3</v>
      </c>
      <c r="C26" s="368" t="str">
        <f>+R17</f>
        <v>MACO (Muaid Ali Alwan General Cont.Est)</v>
      </c>
      <c r="D26" s="369"/>
      <c r="E26" s="376"/>
      <c r="F26" s="377"/>
      <c r="G26" s="377"/>
      <c r="H26" s="377"/>
      <c r="I26" s="378"/>
      <c r="J26" s="360">
        <f>S20</f>
        <v>169625</v>
      </c>
      <c r="K26" s="361"/>
      <c r="L26" s="358">
        <f>J26/E24</f>
        <v>1.2250830564784052</v>
      </c>
      <c r="M26" s="359"/>
      <c r="N26" s="360">
        <f>J26</f>
        <v>169625</v>
      </c>
      <c r="O26" s="361"/>
      <c r="P26" s="358">
        <f>N26/E24</f>
        <v>1.2250830564784052</v>
      </c>
      <c r="Q26" s="359"/>
      <c r="R26" s="360">
        <f>J26</f>
        <v>169625</v>
      </c>
      <c r="S26" s="361"/>
      <c r="T26" s="358">
        <f>R26/E24</f>
        <v>1.2250830564784052</v>
      </c>
      <c r="U26" s="359"/>
      <c r="V26" s="200"/>
      <c r="W26" s="196"/>
      <c r="X26" s="191"/>
      <c r="Y26" s="191"/>
      <c r="Z26" s="191"/>
      <c r="AA26" s="191"/>
    </row>
    <row r="27" spans="1:27" s="183" customFormat="1" ht="12" customHeight="1">
      <c r="B27" s="184"/>
      <c r="C27" s="185"/>
      <c r="D27" s="185"/>
      <c r="E27" s="186"/>
      <c r="F27" s="186"/>
      <c r="G27" s="186"/>
      <c r="H27" s="186"/>
      <c r="I27" s="186"/>
      <c r="J27" s="187"/>
      <c r="K27" s="187"/>
      <c r="L27" s="187"/>
      <c r="M27" s="188"/>
      <c r="N27" s="187"/>
      <c r="O27" s="187"/>
      <c r="P27" s="187"/>
      <c r="Q27" s="188"/>
      <c r="R27" s="188"/>
      <c r="S27" s="188"/>
      <c r="T27" s="188"/>
      <c r="U27" s="188"/>
      <c r="V27" s="189"/>
      <c r="W27" s="190"/>
      <c r="X27" s="191"/>
      <c r="Y27" s="191"/>
      <c r="Z27" s="191"/>
      <c r="AA27" s="191"/>
    </row>
    <row r="28" spans="1:27" ht="18" customHeight="1" thickBot="1">
      <c r="A28" s="135" t="s">
        <v>53</v>
      </c>
      <c r="B28" s="135"/>
      <c r="C28" s="136"/>
      <c r="D28" s="137"/>
      <c r="E28" s="135"/>
      <c r="F28" s="135"/>
      <c r="G28" s="135"/>
      <c r="H28" s="135"/>
      <c r="I28" s="135"/>
      <c r="J28" s="135"/>
      <c r="K28" s="135"/>
      <c r="L28" s="135"/>
      <c r="M28" s="138"/>
      <c r="N28" s="135"/>
      <c r="O28" s="135"/>
      <c r="P28" s="135"/>
      <c r="Q28" s="138"/>
      <c r="R28" s="138"/>
      <c r="S28" s="138"/>
      <c r="T28" s="138"/>
      <c r="U28" s="138"/>
      <c r="V28" s="135"/>
      <c r="W28" s="135"/>
    </row>
    <row r="29" spans="1:27" ht="19.899999999999999" customHeight="1">
      <c r="A29" s="135"/>
      <c r="B29" s="201" t="s">
        <v>55</v>
      </c>
      <c r="C29" s="202"/>
      <c r="D29" s="203"/>
      <c r="E29" s="204"/>
      <c r="F29" s="205"/>
      <c r="G29" s="205"/>
      <c r="H29" s="205"/>
      <c r="I29" s="205"/>
      <c r="J29" s="205"/>
      <c r="K29" s="205"/>
      <c r="L29" s="205"/>
      <c r="M29" s="206"/>
      <c r="N29" s="205"/>
      <c r="O29" s="205"/>
      <c r="P29" s="205"/>
      <c r="Q29" s="206"/>
      <c r="R29" s="206"/>
      <c r="S29" s="206"/>
      <c r="T29" s="206"/>
      <c r="U29" s="206"/>
      <c r="V29" s="207"/>
      <c r="W29" s="135"/>
    </row>
    <row r="30" spans="1:27" ht="19.899999999999999" customHeight="1" thickBot="1">
      <c r="A30" s="135"/>
      <c r="B30" s="208"/>
      <c r="C30" s="209"/>
      <c r="D30" s="210"/>
      <c r="E30" s="211"/>
      <c r="F30" s="212"/>
      <c r="G30" s="212"/>
      <c r="H30" s="212"/>
      <c r="I30" s="212"/>
      <c r="J30" s="212"/>
      <c r="K30" s="212"/>
      <c r="L30" s="212"/>
      <c r="M30" s="213"/>
      <c r="N30" s="212"/>
      <c r="O30" s="212"/>
      <c r="P30" s="212"/>
      <c r="Q30" s="213"/>
      <c r="R30" s="213"/>
      <c r="S30" s="213"/>
      <c r="T30" s="213"/>
      <c r="U30" s="213"/>
      <c r="V30" s="214"/>
      <c r="W30" s="135"/>
    </row>
    <row r="31" spans="1:27" s="183" customFormat="1" ht="12" customHeight="1">
      <c r="B31" s="184"/>
      <c r="C31" s="185"/>
      <c r="D31" s="185"/>
      <c r="E31" s="186"/>
      <c r="F31" s="186"/>
      <c r="G31" s="186"/>
      <c r="H31" s="186"/>
      <c r="I31" s="186"/>
      <c r="J31" s="187"/>
      <c r="K31" s="187"/>
      <c r="L31" s="187"/>
      <c r="M31" s="188"/>
      <c r="N31" s="187"/>
      <c r="O31" s="187"/>
      <c r="P31" s="187"/>
      <c r="Q31" s="188"/>
      <c r="R31" s="188"/>
      <c r="S31" s="188"/>
      <c r="T31" s="188"/>
      <c r="U31" s="188"/>
      <c r="V31" s="189"/>
      <c r="W31" s="190"/>
      <c r="X31" s="191"/>
      <c r="Y31" s="191"/>
      <c r="Z31" s="191"/>
      <c r="AA31" s="191"/>
    </row>
    <row r="32" spans="1:27" ht="18" customHeight="1" thickBot="1">
      <c r="A32" s="135" t="s">
        <v>54</v>
      </c>
      <c r="B32" s="135"/>
      <c r="C32" s="136"/>
      <c r="D32" s="137"/>
      <c r="E32" s="135"/>
      <c r="F32" s="135"/>
      <c r="G32" s="135"/>
      <c r="H32" s="135"/>
      <c r="I32" s="135"/>
      <c r="J32" s="135"/>
      <c r="K32" s="135"/>
      <c r="L32" s="135"/>
      <c r="M32" s="138"/>
      <c r="N32" s="135"/>
      <c r="O32" s="135"/>
      <c r="P32" s="135"/>
      <c r="Q32" s="138"/>
      <c r="R32" s="138"/>
      <c r="S32" s="138"/>
      <c r="T32" s="138"/>
      <c r="U32" s="138"/>
      <c r="V32" s="135"/>
      <c r="W32" s="135"/>
    </row>
    <row r="33" spans="1:27" ht="24.95" customHeight="1" thickBot="1">
      <c r="A33" s="135"/>
      <c r="B33" s="215" t="str">
        <f>CONCATENATE("1) Selected"," ' ",J4," ' ","asthevendorofferingthelowestpricewhilemeetingallrequiredqualitystandards.")</f>
        <v>1) Selected ' YATCO (Yaqoot Arabia Trading Company) ' asthevendorofferingthelowestpricewhilemeetingallrequiredqualitystandards.</v>
      </c>
      <c r="C33" s="216"/>
      <c r="D33" s="217"/>
      <c r="E33" s="218"/>
      <c r="F33" s="219"/>
      <c r="G33" s="219"/>
      <c r="H33" s="219"/>
      <c r="I33" s="219"/>
      <c r="J33" s="219"/>
      <c r="K33" s="219"/>
      <c r="L33" s="219"/>
      <c r="M33" s="220"/>
      <c r="N33" s="219"/>
      <c r="O33" s="219"/>
      <c r="P33" s="219"/>
      <c r="Q33" s="220"/>
      <c r="R33" s="220"/>
      <c r="S33" s="220"/>
      <c r="T33" s="220"/>
      <c r="U33" s="220"/>
      <c r="V33" s="221"/>
      <c r="W33" s="135"/>
    </row>
    <row r="34" spans="1:27" ht="18" customHeight="1">
      <c r="A34" s="135"/>
      <c r="B34" s="222"/>
      <c r="C34" s="223"/>
      <c r="D34" s="224"/>
      <c r="E34" s="222"/>
      <c r="F34" s="135"/>
      <c r="G34" s="135"/>
      <c r="H34" s="135"/>
      <c r="I34" s="135"/>
      <c r="J34" s="135"/>
      <c r="K34" s="135"/>
      <c r="L34" s="135"/>
      <c r="M34" s="138"/>
      <c r="N34" s="135"/>
      <c r="O34" s="135"/>
      <c r="P34" s="135"/>
      <c r="Q34" s="138"/>
      <c r="R34" s="138"/>
      <c r="S34" s="138"/>
      <c r="T34" s="138"/>
      <c r="U34" s="138"/>
      <c r="V34" s="135"/>
      <c r="W34" s="135"/>
    </row>
    <row r="35" spans="1:27" s="228" customFormat="1" ht="15" customHeight="1">
      <c r="A35" s="134"/>
      <c r="B35" s="225"/>
      <c r="C35" s="226"/>
      <c r="D35" s="227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133"/>
      <c r="Y35" s="133"/>
      <c r="Z35" s="133"/>
      <c r="AA35" s="133"/>
    </row>
    <row r="36" spans="1:27" s="228" customFormat="1" ht="18" customHeight="1">
      <c r="A36" s="134"/>
      <c r="B36" s="134"/>
      <c r="C36" s="139"/>
      <c r="D36" s="227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134"/>
      <c r="W36" s="134"/>
      <c r="X36" s="133"/>
      <c r="Y36" s="133"/>
      <c r="Z36" s="133"/>
      <c r="AA36" s="133"/>
    </row>
    <row r="37" spans="1:27" s="228" customFormat="1" ht="18" customHeight="1">
      <c r="A37" s="134"/>
      <c r="B37" s="134"/>
      <c r="C37" s="139"/>
      <c r="D37" s="227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134"/>
      <c r="W37" s="134"/>
      <c r="X37" s="133"/>
      <c r="Y37" s="133"/>
      <c r="Z37" s="133"/>
      <c r="AA37" s="133"/>
    </row>
    <row r="38" spans="1:27" s="228" customFormat="1" ht="18" customHeight="1">
      <c r="A38" s="134"/>
      <c r="B38" s="134"/>
      <c r="C38" s="139"/>
      <c r="D38" s="227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134"/>
      <c r="W38" s="134"/>
      <c r="X38" s="133"/>
      <c r="Y38" s="133"/>
      <c r="Z38" s="133"/>
      <c r="AA38" s="133"/>
    </row>
    <row r="39" spans="1:27" s="228" customFormat="1" ht="18" customHeight="1">
      <c r="A39" s="134"/>
      <c r="B39" s="134"/>
      <c r="C39" s="139"/>
      <c r="D39" s="227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134"/>
      <c r="W39" s="134"/>
      <c r="X39" s="133"/>
      <c r="Y39" s="133"/>
      <c r="Z39" s="133"/>
      <c r="AA39" s="133"/>
    </row>
  </sheetData>
  <mergeCells count="55">
    <mergeCell ref="A3:C3"/>
    <mergeCell ref="G20:H20"/>
    <mergeCell ref="G18:H18"/>
    <mergeCell ref="G19:H19"/>
    <mergeCell ref="G17:I17"/>
    <mergeCell ref="G4:I4"/>
    <mergeCell ref="B20:F20"/>
    <mergeCell ref="C19:F19"/>
    <mergeCell ref="C17:F17"/>
    <mergeCell ref="P26:Q26"/>
    <mergeCell ref="R26:S26"/>
    <mergeCell ref="T26:U26"/>
    <mergeCell ref="C25:D25"/>
    <mergeCell ref="J25:K25"/>
    <mergeCell ref="L25:M25"/>
    <mergeCell ref="N25:O25"/>
    <mergeCell ref="P25:Q25"/>
    <mergeCell ref="R25:S25"/>
    <mergeCell ref="T25:U25"/>
    <mergeCell ref="C26:D26"/>
    <mergeCell ref="J26:K26"/>
    <mergeCell ref="L26:M26"/>
    <mergeCell ref="N26:O26"/>
    <mergeCell ref="E24:I26"/>
    <mergeCell ref="R23:S23"/>
    <mergeCell ref="T23:U23"/>
    <mergeCell ref="C24:D24"/>
    <mergeCell ref="J24:K24"/>
    <mergeCell ref="L24:M24"/>
    <mergeCell ref="N24:O24"/>
    <mergeCell ref="P24:Q24"/>
    <mergeCell ref="R24:S24"/>
    <mergeCell ref="T24:U24"/>
    <mergeCell ref="P23:Q23"/>
    <mergeCell ref="J23:K23"/>
    <mergeCell ref="L23:M23"/>
    <mergeCell ref="N23:O23"/>
    <mergeCell ref="C23:D23"/>
    <mergeCell ref="E23:I23"/>
    <mergeCell ref="V4:V5"/>
    <mergeCell ref="L6:L16"/>
    <mergeCell ref="P6:P16"/>
    <mergeCell ref="T6:T16"/>
    <mergeCell ref="J4:M4"/>
    <mergeCell ref="J17:M17"/>
    <mergeCell ref="N17:Q17"/>
    <mergeCell ref="R17:U17"/>
    <mergeCell ref="D18:F18"/>
    <mergeCell ref="B4:B5"/>
    <mergeCell ref="C4:C5"/>
    <mergeCell ref="D4:D5"/>
    <mergeCell ref="E4:E5"/>
    <mergeCell ref="F4:F5"/>
    <mergeCell ref="N4:Q4"/>
    <mergeCell ref="R4:U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18 U18 U6 Q6" evalError="1"/>
    <ignoredError sqref="P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2026-10-24T13:24:47Z</cp:lastPrinted>
  <dcterms:created xsi:type="dcterms:W3CDTF">2023-08-14T07:13:42Z</dcterms:created>
  <dcterms:modified xsi:type="dcterms:W3CDTF">2026-10-24T13:25:11Z</dcterms:modified>
</cp:coreProperties>
</file>