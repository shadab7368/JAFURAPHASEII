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YATCO\QT-C26-150775\"/>
    </mc:Choice>
  </mc:AlternateContent>
  <xr:revisionPtr revIDLastSave="0" documentId="13_ncr:1_{81828573-533E-4FBB-B2CA-CD293FA809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소모품_1차'!$A$1:$V$70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" l="1"/>
  <c r="I37" i="1" s="1"/>
  <c r="H47" i="1"/>
  <c r="I47" i="1" s="1"/>
  <c r="H49" i="1"/>
  <c r="I49" i="1" s="1"/>
  <c r="H52" i="1"/>
  <c r="I52" i="1" s="1"/>
  <c r="H53" i="1"/>
  <c r="I53" i="1" s="1"/>
  <c r="H16" i="1"/>
  <c r="I16" i="1" s="1"/>
  <c r="H17" i="1"/>
  <c r="I17" i="1" s="1"/>
  <c r="H18" i="1"/>
  <c r="I18" i="1" s="1"/>
  <c r="H19" i="1"/>
  <c r="I19" i="1" s="1"/>
  <c r="H20" i="1"/>
  <c r="H21" i="1"/>
  <c r="I21" i="1" s="1"/>
  <c r="H24" i="1"/>
  <c r="I24" i="1" s="1"/>
  <c r="H25" i="1"/>
  <c r="I25" i="1" s="1"/>
  <c r="H26" i="1"/>
  <c r="I26" i="1" s="1"/>
  <c r="H27" i="1"/>
  <c r="I27" i="1" s="1"/>
  <c r="H28" i="1"/>
  <c r="H29" i="1"/>
  <c r="H30" i="1"/>
  <c r="H31" i="1"/>
  <c r="I31" i="1" s="1"/>
  <c r="H15" i="1"/>
  <c r="I15" i="1" s="1"/>
  <c r="H12" i="1"/>
  <c r="H10" i="1"/>
  <c r="I10" i="1" s="1"/>
  <c r="H9" i="1"/>
  <c r="H8" i="1"/>
  <c r="H7" i="1"/>
  <c r="H6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7" i="1"/>
  <c r="O53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I7" i="1"/>
  <c r="I8" i="1"/>
  <c r="I9" i="1"/>
  <c r="I12" i="1"/>
  <c r="I20" i="1"/>
  <c r="I28" i="1"/>
  <c r="I29" i="1"/>
  <c r="I30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I57" i="1" l="1"/>
  <c r="I55" i="1"/>
  <c r="M55" i="1"/>
  <c r="B70" i="1"/>
  <c r="G54" i="1"/>
  <c r="S6" i="1" l="1"/>
  <c r="O6" i="1" l="1"/>
  <c r="K6" i="1" l="1"/>
  <c r="I6" i="1" s="1"/>
  <c r="R54" i="1" l="1"/>
  <c r="N54" i="1"/>
  <c r="J54" i="1"/>
  <c r="C61" i="1" s="1"/>
  <c r="O55" i="1" l="1"/>
  <c r="O56" i="1" s="1"/>
  <c r="C63" i="1"/>
  <c r="C62" i="1"/>
  <c r="K55" i="1" l="1"/>
  <c r="K56" i="1" s="1"/>
  <c r="Q6" i="1"/>
  <c r="U6" i="1" l="1"/>
  <c r="S55" i="1"/>
  <c r="S56" i="1" s="1"/>
  <c r="O57" i="1"/>
  <c r="J62" i="1" l="1"/>
  <c r="S57" i="1"/>
  <c r="J63" i="1" l="1"/>
  <c r="N62" i="1"/>
  <c r="R62" i="1" l="1"/>
  <c r="N63" i="1"/>
  <c r="R63" i="1"/>
  <c r="K57" i="1" l="1"/>
  <c r="Q55" i="1"/>
  <c r="U55" i="1"/>
  <c r="E61" i="1" l="1"/>
  <c r="U57" i="1"/>
  <c r="Q57" i="1"/>
  <c r="J61" i="1"/>
  <c r="L62" i="1" l="1"/>
  <c r="L63" i="1"/>
  <c r="R61" i="1"/>
  <c r="N61" i="1"/>
  <c r="T62" i="1"/>
  <c r="P63" i="1"/>
  <c r="T63" i="1"/>
  <c r="P62" i="1"/>
  <c r="Q61" i="1" l="1"/>
  <c r="P61" i="1"/>
  <c r="U61" i="1"/>
  <c r="T61" i="1"/>
  <c r="G55" i="1"/>
  <c r="G56" i="1" s="1"/>
  <c r="G57" i="1" l="1"/>
</calcChain>
</file>

<file path=xl/sharedStrings.xml><?xml version="1.0" encoding="utf-8"?>
<sst xmlns="http://schemas.openxmlformats.org/spreadsheetml/2006/main" count="273" uniqueCount="127">
  <si>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</si>
  <si>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</si>
  <si>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</si>
  <si>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</si>
  <si>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</si>
  <si>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</si>
  <si>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</si>
  <si>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</si>
  <si>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</si>
  <si>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</si>
  <si>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</si>
  <si>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</si>
  <si>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</si>
  <si>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</si>
  <si>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</si>
  <si>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</si>
  <si>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</si>
  <si>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</si>
  <si>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</si>
  <si>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</si>
  <si>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</si>
  <si>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</si>
  <si>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</si>
  <si>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</si>
  <si>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</si>
  <si>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</si>
  <si>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</si>
  <si>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</si>
  <si>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</si>
  <si>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</si>
  <si>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</si>
  <si>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</si>
  <si>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</si>
  <si>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</si>
  <si>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</si>
  <si>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</si>
  <si>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</si>
  <si>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</si>
  <si>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</si>
  <si>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</si>
  <si>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</si>
  <si>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</si>
  <si>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</si>
  <si>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</si>
  <si>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</si>
  <si>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</si>
  <si>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</si>
  <si>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</si>
  <si>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</si>
  <si>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</si>
  <si>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</si>
  <si>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</si>
  <si>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</si>
  <si>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</si>
  <si>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</si>
  <si>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</si>
  <si>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</si>
  <si>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</si>
  <si>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GULF KEY TRADING EST</t>
  </si>
  <si>
    <t>MASCO (MOHAMMED BIN ALI BIN SALMAN AL SHALAB CONTRACTING COMPANY)</t>
  </si>
  <si>
    <t xml:space="preserve">BRIDGE CAM GAUGE </t>
  </si>
  <si>
    <t xml:space="preserve">TAPER GAUGE </t>
  </si>
  <si>
    <t xml:space="preserve">HI-LO GAUGE </t>
  </si>
  <si>
    <t xml:space="preserve">PYROMETER THERMOMETER </t>
  </si>
  <si>
    <t xml:space="preserve">LED TORCH LIGHT </t>
  </si>
  <si>
    <t xml:space="preserve">CLAMP MTER </t>
  </si>
  <si>
    <t>INSPECTION MIRROR</t>
  </si>
  <si>
    <t xml:space="preserve">MAGNETIC TELESCOPING </t>
  </si>
  <si>
    <t xml:space="preserve">ALIGNMENT PRY BAR </t>
  </si>
  <si>
    <t xml:space="preserve">CHIPPING HAMMER </t>
  </si>
  <si>
    <t xml:space="preserve">COMBINATION SPANNER </t>
  </si>
  <si>
    <t xml:space="preserve">CORE DRILL MACHINE BIT </t>
  </si>
  <si>
    <t xml:space="preserve">CROWFOOT SOCKET </t>
  </si>
  <si>
    <t xml:space="preserve">DEEP SOCKET </t>
  </si>
  <si>
    <t>DIE GRINDER MACHINE KEY</t>
  </si>
  <si>
    <t xml:space="preserve">ELECTRICAL EXHAUST FAN </t>
  </si>
  <si>
    <t xml:space="preserve">MAGNETIC DRILL BIT </t>
  </si>
  <si>
    <t>PILOT CENTER PIN</t>
  </si>
  <si>
    <t xml:space="preserve">POINTED CHISEL </t>
  </si>
  <si>
    <t xml:space="preserve">RATCHET SPANNER </t>
  </si>
  <si>
    <t xml:space="preserve">WIRE STRIPPING PLIER </t>
  </si>
  <si>
    <t>CORDLESS JIGSAW BLADE</t>
  </si>
  <si>
    <t>CENTER HOLE PUNCH</t>
  </si>
  <si>
    <t>EXTECH IR 267</t>
  </si>
  <si>
    <t xml:space="preserve">RECHARGEABLE TYPES GEEPAS </t>
  </si>
  <si>
    <t>Fluke 376FC</t>
  </si>
  <si>
    <t>Round,  2"</t>
  </si>
  <si>
    <t>22MMX1MTR (ONE SIDE FLAT&amp;ONE SIDE POINTED TYPES)</t>
  </si>
  <si>
    <t>250GRAM</t>
  </si>
  <si>
    <t>27MM</t>
  </si>
  <si>
    <t>34MM</t>
  </si>
  <si>
    <t>38MM</t>
  </si>
  <si>
    <t>24MM</t>
  </si>
  <si>
    <t>30MM</t>
  </si>
  <si>
    <t>32MM</t>
  </si>
  <si>
    <t>36MM</t>
  </si>
  <si>
    <t>18MMX500MM</t>
  </si>
  <si>
    <t>DR1/2"X24MM</t>
  </si>
  <si>
    <t>DR1/2"X25MM</t>
  </si>
  <si>
    <t>DR1/2"X26MM</t>
  </si>
  <si>
    <t>DR1/2"X27MM</t>
  </si>
  <si>
    <t>DR1/2"X28MM</t>
  </si>
  <si>
    <t>DR1/2"X29MM</t>
  </si>
  <si>
    <t>DR1/2"X30MM</t>
  </si>
  <si>
    <t>DR1/2"X32MM</t>
  </si>
  <si>
    <t>DR1/2"X41MM</t>
  </si>
  <si>
    <t>DR1"X34MM</t>
  </si>
  <si>
    <t>DR3/4"X34MM</t>
  </si>
  <si>
    <t>DR1"X36MM</t>
  </si>
  <si>
    <t xml:space="preserve">6MM MAKITA </t>
  </si>
  <si>
    <t>10"X10"</t>
  </si>
  <si>
    <t>27X55MM KASCTC2755</t>
  </si>
  <si>
    <t>22X55MM KSACTCT2255</t>
  </si>
  <si>
    <t>27X55MM,90MM LONG</t>
  </si>
  <si>
    <t>26X55MM,90MM LONG</t>
  </si>
  <si>
    <t>79.80X108MM</t>
  </si>
  <si>
    <t>18MMX400MM</t>
  </si>
  <si>
    <t>19X21MM</t>
  </si>
  <si>
    <t>27X30MM</t>
  </si>
  <si>
    <t>32X34MM</t>
  </si>
  <si>
    <t>36X38MM</t>
  </si>
  <si>
    <t xml:space="preserve">SMALL </t>
  </si>
  <si>
    <t>28X55MM,90MM LONG</t>
  </si>
  <si>
    <t>500mm x 10mm x 2mm</t>
  </si>
  <si>
    <t>EA</t>
  </si>
  <si>
    <t>YATCO ( YAQOOT ARABIA TRADING COMPANY)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</si>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</sst>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41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6" fillId="2" borderId="108" xfId="0" quotePrefix="1" applyFont="1" applyFill="1" applyBorder="1" applyAlignment="1">
      <alignment horizontal="center" vertical="center"/>
    </xf>
    <xf numFmtId="0" fontId="1" fillId="0" borderId="109" xfId="0" applyFont="1" applyBorder="1" applyAlignment="1">
      <alignment horizontal="left" vertical="center"/>
    </xf>
    <xf numFmtId="0" fontId="44" fillId="0" borderId="110" xfId="4" applyFont="1" applyBorder="1" applyAlignment="1">
      <alignment vertical="center" wrapText="1"/>
    </xf>
    <xf numFmtId="0" fontId="1" fillId="0" borderId="110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2" fontId="1" fillId="0" borderId="111" xfId="0" applyNumberFormat="1" applyFont="1" applyBorder="1" applyAlignment="1">
      <alignment horizontal="center" vertical="center"/>
    </xf>
    <xf numFmtId="9" fontId="1" fillId="0" borderId="111" xfId="0" applyNumberFormat="1" applyFont="1" applyBorder="1" applyAlignment="1">
      <alignment horizontal="center" vertical="center"/>
    </xf>
    <xf numFmtId="166" fontId="44" fillId="0" borderId="111" xfId="3" applyNumberFormat="1" applyFont="1" applyBorder="1">
      <alignment vertical="center"/>
    </xf>
    <xf numFmtId="166" fontId="44" fillId="0" borderId="110" xfId="3" applyNumberFormat="1" applyFont="1" applyBorder="1">
      <alignment vertical="center"/>
    </xf>
    <xf numFmtId="167" fontId="44" fillId="0" borderId="109" xfId="3" applyNumberFormat="1" applyFont="1" applyBorder="1" applyAlignment="1">
      <alignment horizontal="center" vertical="center" wrapText="1"/>
    </xf>
    <xf numFmtId="9" fontId="44" fillId="0" borderId="110" xfId="2" applyFont="1" applyFill="1" applyBorder="1" applyAlignment="1">
      <alignment vertical="center"/>
    </xf>
    <xf numFmtId="167" fontId="44" fillId="0" borderId="110" xfId="3" applyNumberFormat="1" applyFont="1" applyBorder="1">
      <alignment vertical="center"/>
    </xf>
    <xf numFmtId="167" fontId="44" fillId="0" borderId="110" xfId="3" applyNumberFormat="1" applyFont="1" applyBorder="1" applyAlignment="1">
      <alignment horizontal="center" vertical="center" wrapText="1"/>
    </xf>
    <xf numFmtId="3" fontId="29" fillId="0" borderId="112" xfId="0" quotePrefix="1" applyNumberFormat="1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56" t="s">
        <v>37</v>
      </c>
      <c r="R1" s="256"/>
      <c r="S1" s="256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310" t="s">
        <v>2</v>
      </c>
      <c r="C4" s="312" t="s">
        <v>3</v>
      </c>
      <c r="D4" s="314" t="s">
        <v>4</v>
      </c>
      <c r="E4" s="316" t="s">
        <v>5</v>
      </c>
      <c r="F4" s="318" t="s">
        <v>6</v>
      </c>
      <c r="G4" s="295" t="s">
        <v>7</v>
      </c>
      <c r="H4" s="296"/>
      <c r="I4" s="296"/>
      <c r="J4" s="297"/>
      <c r="K4" s="295" t="s">
        <v>8</v>
      </c>
      <c r="L4" s="296"/>
      <c r="M4" s="296"/>
      <c r="N4" s="297"/>
      <c r="O4" s="295" t="s">
        <v>9</v>
      </c>
      <c r="P4" s="296"/>
      <c r="Q4" s="296"/>
      <c r="R4" s="297"/>
      <c r="S4" s="298" t="s">
        <v>10</v>
      </c>
      <c r="T4" s="17"/>
    </row>
    <row r="5" spans="1:24" ht="33.75" customHeight="1" thickBot="1">
      <c r="B5" s="311"/>
      <c r="C5" s="313"/>
      <c r="D5" s="315"/>
      <c r="E5" s="317"/>
      <c r="F5" s="319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99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300"/>
      <c r="J6" s="29"/>
      <c r="K6" s="30"/>
      <c r="L6" s="28"/>
      <c r="M6" s="300"/>
      <c r="N6" s="29"/>
      <c r="O6" s="27"/>
      <c r="P6" s="28"/>
      <c r="Q6" s="300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301"/>
      <c r="J7" s="39"/>
      <c r="K7" s="40"/>
      <c r="L7" s="38"/>
      <c r="M7" s="301"/>
      <c r="N7" s="39"/>
      <c r="O7" s="37"/>
      <c r="P7" s="38"/>
      <c r="Q7" s="301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302"/>
      <c r="J8" s="48"/>
      <c r="K8" s="49"/>
      <c r="L8" s="47"/>
      <c r="M8" s="302"/>
      <c r="N8" s="48"/>
      <c r="O8" s="46"/>
      <c r="P8" s="47"/>
      <c r="Q8" s="302"/>
      <c r="R8" s="48"/>
      <c r="S8" s="50"/>
      <c r="T8" s="32"/>
    </row>
    <row r="9" spans="1:24" s="7" customFormat="1" ht="30" customHeight="1">
      <c r="A9" s="8"/>
      <c r="B9" s="51"/>
      <c r="C9" s="303" t="s">
        <v>21</v>
      </c>
      <c r="D9" s="304"/>
      <c r="E9" s="304"/>
      <c r="F9" s="304"/>
      <c r="G9" s="305"/>
      <c r="H9" s="306"/>
      <c r="I9" s="306"/>
      <c r="J9" s="307"/>
      <c r="K9" s="305"/>
      <c r="L9" s="306"/>
      <c r="M9" s="306"/>
      <c r="N9" s="307"/>
      <c r="O9" s="305"/>
      <c r="P9" s="306"/>
      <c r="Q9" s="306"/>
      <c r="R9" s="307"/>
      <c r="S9" s="52"/>
      <c r="T9" s="32"/>
    </row>
    <row r="10" spans="1:24" s="7" customFormat="1" ht="30" customHeight="1">
      <c r="A10" s="8"/>
      <c r="B10" s="53"/>
      <c r="C10" s="54"/>
      <c r="D10" s="308" t="s">
        <v>22</v>
      </c>
      <c r="E10" s="308"/>
      <c r="F10" s="309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92" t="s">
        <v>23</v>
      </c>
      <c r="D11" s="293"/>
      <c r="E11" s="293"/>
      <c r="F11" s="294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5" t="s">
        <v>24</v>
      </c>
      <c r="C12" s="286"/>
      <c r="D12" s="286"/>
      <c r="E12" s="286"/>
      <c r="F12" s="287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0" t="s">
        <v>27</v>
      </c>
      <c r="D15" s="291"/>
      <c r="E15" s="288" t="s">
        <v>28</v>
      </c>
      <c r="F15" s="289"/>
      <c r="G15" s="269" t="s">
        <v>29</v>
      </c>
      <c r="H15" s="270"/>
      <c r="I15" s="271" t="s">
        <v>30</v>
      </c>
      <c r="J15" s="272"/>
      <c r="K15" s="269" t="s">
        <v>31</v>
      </c>
      <c r="L15" s="270"/>
      <c r="M15" s="271" t="s">
        <v>32</v>
      </c>
      <c r="N15" s="272"/>
      <c r="O15" s="269" t="s">
        <v>31</v>
      </c>
      <c r="P15" s="270"/>
      <c r="Q15" s="271" t="s">
        <v>32</v>
      </c>
      <c r="R15" s="272"/>
      <c r="S15" s="89" t="s">
        <v>33</v>
      </c>
      <c r="T15" s="90"/>
    </row>
    <row r="16" spans="1:24" s="79" customFormat="1" ht="25.15" customHeight="1" thickTop="1">
      <c r="B16" s="91"/>
      <c r="C16" s="273"/>
      <c r="D16" s="274"/>
      <c r="E16" s="275"/>
      <c r="F16" s="276"/>
      <c r="G16" s="281"/>
      <c r="H16" s="282"/>
      <c r="I16" s="283"/>
      <c r="J16" s="284"/>
      <c r="K16" s="281"/>
      <c r="L16" s="282"/>
      <c r="M16" s="283"/>
      <c r="N16" s="284"/>
      <c r="O16" s="281"/>
      <c r="P16" s="282"/>
      <c r="Q16" s="283"/>
      <c r="R16" s="284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65"/>
      <c r="D17" s="266"/>
      <c r="E17" s="277"/>
      <c r="F17" s="278"/>
      <c r="G17" s="267"/>
      <c r="H17" s="268"/>
      <c r="I17" s="257"/>
      <c r="J17" s="258"/>
      <c r="K17" s="267"/>
      <c r="L17" s="268"/>
      <c r="M17" s="257"/>
      <c r="N17" s="258"/>
      <c r="O17" s="267"/>
      <c r="P17" s="268"/>
      <c r="Q17" s="257"/>
      <c r="R17" s="258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59"/>
      <c r="D18" s="260"/>
      <c r="E18" s="279"/>
      <c r="F18" s="280"/>
      <c r="G18" s="261"/>
      <c r="H18" s="262"/>
      <c r="I18" s="263"/>
      <c r="J18" s="264"/>
      <c r="K18" s="261"/>
      <c r="L18" s="262"/>
      <c r="M18" s="263"/>
      <c r="N18" s="264"/>
      <c r="O18" s="261"/>
      <c r="P18" s="262"/>
      <c r="Q18" s="263"/>
      <c r="R18" s="264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76"/>
  <sheetViews>
    <sheetView showGridLines="0" tabSelected="1" topLeftCell="A28" zoomScaleNormal="100" zoomScaleSheetLayoutView="110" workbookViewId="0">
      <selection activeCell="C39" sqref="C39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5.85546875" style="139" customWidth="1"/>
    <col min="4" max="4" width="31.285156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8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8" customWidth="1"/>
    <col min="18" max="18" width="12.28515625" style="228" bestFit="1" customWidth="1"/>
    <col min="19" max="19" width="13.85546875" style="228" bestFit="1" customWidth="1"/>
    <col min="20" max="20" width="9.7109375" style="228" customWidth="1"/>
    <col min="21" max="21" width="8.85546875" style="228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9">
        <v>46320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20" t="s">
        <v>43</v>
      </c>
      <c r="B3" s="320"/>
      <c r="C3" s="320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87" t="s">
        <v>2</v>
      </c>
      <c r="C4" s="389" t="s">
        <v>3</v>
      </c>
      <c r="D4" s="391" t="s">
        <v>4</v>
      </c>
      <c r="E4" s="393" t="s">
        <v>5</v>
      </c>
      <c r="F4" s="395" t="s">
        <v>41</v>
      </c>
      <c r="G4" s="330" t="s">
        <v>57</v>
      </c>
      <c r="H4" s="331"/>
      <c r="I4" s="332"/>
      <c r="J4" s="377" t="s">
        <v>125</v>
      </c>
      <c r="K4" s="378"/>
      <c r="L4" s="378"/>
      <c r="M4" s="379"/>
      <c r="N4" s="377" t="s">
        <v>59</v>
      </c>
      <c r="O4" s="378"/>
      <c r="P4" s="378"/>
      <c r="Q4" s="379"/>
      <c r="R4" s="377" t="s">
        <v>58</v>
      </c>
      <c r="S4" s="378"/>
      <c r="T4" s="378"/>
      <c r="U4" s="379"/>
      <c r="V4" s="375" t="s">
        <v>42</v>
      </c>
      <c r="W4" s="144"/>
    </row>
    <row r="5" spans="1:23" ht="27" customHeight="1" thickBot="1">
      <c r="B5" s="388"/>
      <c r="C5" s="390"/>
      <c r="D5" s="392"/>
      <c r="E5" s="394"/>
      <c r="F5" s="39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76"/>
      <c r="W5" s="144"/>
    </row>
    <row r="6" spans="1:23" s="150" customFormat="1" ht="20.100000000000001" customHeight="1" thickTop="1">
      <c r="B6" s="151">
        <v>1</v>
      </c>
      <c r="C6" s="239" t="s">
        <v>60</v>
      </c>
      <c r="D6" s="231"/>
      <c r="E6" s="232" t="s">
        <v>124</v>
      </c>
      <c r="F6" s="232">
        <v>8</v>
      </c>
      <c r="G6" s="233">
        <v>130</v>
      </c>
      <c r="H6" s="233">
        <f>F6*G6</f>
        <v>1040</v>
      </c>
      <c r="I6" s="248">
        <f>H6/K6</f>
        <v>1.3265306122448979</v>
      </c>
      <c r="J6" s="234">
        <v>98</v>
      </c>
      <c r="K6" s="235">
        <f>J6*F6</f>
        <v>784</v>
      </c>
      <c r="L6" s="253"/>
      <c r="M6" s="236">
        <v>1</v>
      </c>
      <c r="N6" s="234">
        <v>122</v>
      </c>
      <c r="O6" s="237">
        <f>N6*F6</f>
        <v>976</v>
      </c>
      <c r="P6" s="253"/>
      <c r="Q6" s="236">
        <f>O6/K6</f>
        <v>1.2448979591836735</v>
      </c>
      <c r="R6" s="234">
        <v>105</v>
      </c>
      <c r="S6" s="238">
        <f>R6*F6</f>
        <v>840</v>
      </c>
      <c r="T6" s="253"/>
      <c r="U6" s="236">
        <f>S6/K6</f>
        <v>1.0714285714285714</v>
      </c>
      <c r="V6" s="152"/>
      <c r="W6" s="153"/>
    </row>
    <row r="7" spans="1:23" s="150" customFormat="1" ht="20.100000000000001" customHeight="1">
      <c r="B7" s="151">
        <v>2</v>
      </c>
      <c r="C7" s="239" t="s">
        <v>61</v>
      </c>
      <c r="D7" s="252"/>
      <c r="E7" s="232" t="s">
        <v>124</v>
      </c>
      <c r="F7" s="232">
        <v>8</v>
      </c>
      <c r="G7" s="233">
        <v>25</v>
      </c>
      <c r="H7" s="233">
        <f>F7*G7</f>
        <v>200</v>
      </c>
      <c r="I7" s="248">
        <f t="shared" ref="I7:I53" si="0">H7/K7</f>
        <v>1.25</v>
      </c>
      <c r="J7" s="234">
        <v>20</v>
      </c>
      <c r="K7" s="235">
        <f t="shared" ref="K7:K53" si="1">J7*F7</f>
        <v>160</v>
      </c>
      <c r="L7" s="254"/>
      <c r="M7" s="242">
        <v>1</v>
      </c>
      <c r="N7" s="234">
        <v>20</v>
      </c>
      <c r="O7" s="237">
        <f t="shared" ref="O7:O52" si="2">N7*F7</f>
        <v>160</v>
      </c>
      <c r="P7" s="255"/>
      <c r="Q7" s="242">
        <f>O7/K7</f>
        <v>1</v>
      </c>
      <c r="R7" s="234">
        <v>23</v>
      </c>
      <c r="S7" s="237">
        <f>R7*F7</f>
        <v>184</v>
      </c>
      <c r="T7" s="255"/>
      <c r="U7" s="242">
        <f>S7/K7</f>
        <v>1.1499999999999999</v>
      </c>
      <c r="V7" s="154"/>
      <c r="W7" s="153"/>
    </row>
    <row r="8" spans="1:23" s="150" customFormat="1" ht="20.100000000000001" customHeight="1">
      <c r="B8" s="151">
        <v>3</v>
      </c>
      <c r="C8" s="239" t="s">
        <v>62</v>
      </c>
      <c r="D8" s="252"/>
      <c r="E8" s="232" t="s">
        <v>124</v>
      </c>
      <c r="F8" s="232">
        <v>8</v>
      </c>
      <c r="G8" s="233">
        <v>163</v>
      </c>
      <c r="H8" s="233">
        <f>F8*G8</f>
        <v>1304</v>
      </c>
      <c r="I8" s="248">
        <f t="shared" si="0"/>
        <v>1.3583333333333334</v>
      </c>
      <c r="J8" s="234">
        <v>120</v>
      </c>
      <c r="K8" s="235">
        <f t="shared" si="1"/>
        <v>960</v>
      </c>
      <c r="L8" s="254"/>
      <c r="M8" s="242">
        <v>1</v>
      </c>
      <c r="N8" s="234">
        <v>122</v>
      </c>
      <c r="O8" s="237">
        <f t="shared" si="2"/>
        <v>976</v>
      </c>
      <c r="P8" s="255"/>
      <c r="Q8" s="242">
        <f t="shared" ref="Q8:Q53" si="3">O8/K8</f>
        <v>1.0166666666666666</v>
      </c>
      <c r="R8" s="234">
        <v>132</v>
      </c>
      <c r="S8" s="237">
        <f t="shared" ref="S8:S53" si="4">R8*F8</f>
        <v>1056</v>
      </c>
      <c r="T8" s="255"/>
      <c r="U8" s="242">
        <f t="shared" ref="U8:U53" si="5">S8/K8</f>
        <v>1.1000000000000001</v>
      </c>
      <c r="V8" s="154"/>
      <c r="W8" s="153"/>
    </row>
    <row r="9" spans="1:23" s="150" customFormat="1" ht="20.100000000000001" customHeight="1">
      <c r="B9" s="151">
        <v>4</v>
      </c>
      <c r="C9" s="239" t="s">
        <v>63</v>
      </c>
      <c r="D9" s="252" t="s">
        <v>83</v>
      </c>
      <c r="E9" s="232" t="s">
        <v>124</v>
      </c>
      <c r="F9" s="232">
        <v>8</v>
      </c>
      <c r="G9" s="233">
        <v>480</v>
      </c>
      <c r="H9" s="233">
        <f>F9*G9</f>
        <v>3840</v>
      </c>
      <c r="I9" s="248">
        <f t="shared" si="0"/>
        <v>1.0909090909090908</v>
      </c>
      <c r="J9" s="234">
        <v>440</v>
      </c>
      <c r="K9" s="235">
        <f t="shared" si="1"/>
        <v>3520</v>
      </c>
      <c r="L9" s="254"/>
      <c r="M9" s="242">
        <v>1</v>
      </c>
      <c r="N9" s="234">
        <v>440</v>
      </c>
      <c r="O9" s="237">
        <f t="shared" si="2"/>
        <v>3520</v>
      </c>
      <c r="P9" s="255"/>
      <c r="Q9" s="242">
        <f t="shared" si="3"/>
        <v>1</v>
      </c>
      <c r="R9" s="234">
        <v>975</v>
      </c>
      <c r="S9" s="237">
        <f t="shared" si="4"/>
        <v>7800</v>
      </c>
      <c r="T9" s="255"/>
      <c r="U9" s="242">
        <f t="shared" si="5"/>
        <v>2.2159090909090908</v>
      </c>
      <c r="V9" s="154"/>
      <c r="W9" s="153"/>
    </row>
    <row r="10" spans="1:23" s="150" customFormat="1" ht="20.100000000000001" customHeight="1">
      <c r="B10" s="151">
        <v>5</v>
      </c>
      <c r="C10" s="239" t="s">
        <v>64</v>
      </c>
      <c r="D10" s="252" t="s">
        <v>84</v>
      </c>
      <c r="E10" s="232" t="s">
        <v>124</v>
      </c>
      <c r="F10" s="232">
        <v>1</v>
      </c>
      <c r="G10" s="233">
        <v>48</v>
      </c>
      <c r="H10" s="233">
        <f>F10*G10</f>
        <v>48</v>
      </c>
      <c r="I10" s="248">
        <f t="shared" si="0"/>
        <v>1.1428571428571428</v>
      </c>
      <c r="J10" s="234">
        <v>42</v>
      </c>
      <c r="K10" s="235">
        <f t="shared" si="1"/>
        <v>42</v>
      </c>
      <c r="L10" s="254"/>
      <c r="M10" s="242">
        <v>1</v>
      </c>
      <c r="N10" s="234">
        <v>47</v>
      </c>
      <c r="O10" s="237">
        <f t="shared" si="2"/>
        <v>47</v>
      </c>
      <c r="P10" s="255"/>
      <c r="Q10" s="242">
        <f t="shared" si="3"/>
        <v>1.1190476190476191</v>
      </c>
      <c r="R10" s="234">
        <v>65</v>
      </c>
      <c r="S10" s="237">
        <f t="shared" si="4"/>
        <v>65</v>
      </c>
      <c r="T10" s="255"/>
      <c r="U10" s="242">
        <f t="shared" si="5"/>
        <v>1.5476190476190477</v>
      </c>
      <c r="V10" s="154"/>
      <c r="W10" s="153"/>
    </row>
    <row r="11" spans="1:23" s="150" customFormat="1" ht="20.100000000000001" customHeight="1">
      <c r="B11" s="151">
        <v>6</v>
      </c>
      <c r="C11" s="239" t="s">
        <v>65</v>
      </c>
      <c r="D11" s="252" t="s">
        <v>85</v>
      </c>
      <c r="E11" s="232" t="s">
        <v>124</v>
      </c>
      <c r="F11" s="232">
        <v>8</v>
      </c>
      <c r="G11" s="233" t="s">
        <v>126</v>
      </c>
      <c r="H11" s="233" t="s">
        <v>126</v>
      </c>
      <c r="I11" s="248">
        <v>1</v>
      </c>
      <c r="J11" s="234">
        <v>2080</v>
      </c>
      <c r="K11" s="235">
        <f t="shared" si="1"/>
        <v>16640</v>
      </c>
      <c r="L11" s="254"/>
      <c r="M11" s="242">
        <v>1</v>
      </c>
      <c r="N11" s="234">
        <v>2200</v>
      </c>
      <c r="O11" s="237">
        <f t="shared" si="2"/>
        <v>17600</v>
      </c>
      <c r="P11" s="255"/>
      <c r="Q11" s="242">
        <f t="shared" si="3"/>
        <v>1.0576923076923077</v>
      </c>
      <c r="R11" s="234">
        <v>2850</v>
      </c>
      <c r="S11" s="237">
        <f t="shared" si="4"/>
        <v>22800</v>
      </c>
      <c r="T11" s="255"/>
      <c r="U11" s="242">
        <f t="shared" si="5"/>
        <v>1.3701923076923077</v>
      </c>
      <c r="V11" s="154"/>
      <c r="W11" s="153"/>
    </row>
    <row r="12" spans="1:23" s="150" customFormat="1" ht="20.100000000000001" customHeight="1">
      <c r="B12" s="151">
        <v>7</v>
      </c>
      <c r="C12" s="239" t="s">
        <v>66</v>
      </c>
      <c r="D12" s="252" t="s">
        <v>86</v>
      </c>
      <c r="E12" s="232" t="s">
        <v>124</v>
      </c>
      <c r="F12" s="232">
        <v>10</v>
      </c>
      <c r="G12" s="233">
        <v>10</v>
      </c>
      <c r="H12" s="233">
        <f>F12*G12</f>
        <v>100</v>
      </c>
      <c r="I12" s="248">
        <f t="shared" si="0"/>
        <v>1</v>
      </c>
      <c r="J12" s="234">
        <v>10</v>
      </c>
      <c r="K12" s="235">
        <f t="shared" si="1"/>
        <v>100</v>
      </c>
      <c r="L12" s="254"/>
      <c r="M12" s="242">
        <v>1</v>
      </c>
      <c r="N12" s="234">
        <v>12</v>
      </c>
      <c r="O12" s="237">
        <f t="shared" si="2"/>
        <v>120</v>
      </c>
      <c r="P12" s="255"/>
      <c r="Q12" s="242">
        <f t="shared" si="3"/>
        <v>1.2</v>
      </c>
      <c r="R12" s="234">
        <v>15</v>
      </c>
      <c r="S12" s="237">
        <f t="shared" si="4"/>
        <v>150</v>
      </c>
      <c r="T12" s="255"/>
      <c r="U12" s="242">
        <f t="shared" si="5"/>
        <v>1.5</v>
      </c>
      <c r="V12" s="154"/>
      <c r="W12" s="153"/>
    </row>
    <row r="13" spans="1:23" s="150" customFormat="1" ht="20.100000000000001" customHeight="1">
      <c r="B13" s="151">
        <v>8</v>
      </c>
      <c r="C13" s="239" t="s">
        <v>67</v>
      </c>
      <c r="D13" s="252"/>
      <c r="E13" s="232" t="s">
        <v>124</v>
      </c>
      <c r="F13" s="232">
        <v>10</v>
      </c>
      <c r="G13" s="233" t="s">
        <v>126</v>
      </c>
      <c r="H13" s="233" t="s">
        <v>126</v>
      </c>
      <c r="I13" s="248">
        <v>1</v>
      </c>
      <c r="J13" s="234">
        <v>22</v>
      </c>
      <c r="K13" s="235">
        <f t="shared" si="1"/>
        <v>220</v>
      </c>
      <c r="L13" s="254"/>
      <c r="M13" s="242">
        <v>1</v>
      </c>
      <c r="N13" s="234">
        <v>22</v>
      </c>
      <c r="O13" s="237">
        <f t="shared" si="2"/>
        <v>220</v>
      </c>
      <c r="P13" s="255"/>
      <c r="Q13" s="242">
        <f t="shared" si="3"/>
        <v>1</v>
      </c>
      <c r="R13" s="234">
        <v>22</v>
      </c>
      <c r="S13" s="237">
        <f t="shared" si="4"/>
        <v>220</v>
      </c>
      <c r="T13" s="255"/>
      <c r="U13" s="242">
        <f t="shared" si="5"/>
        <v>1</v>
      </c>
      <c r="V13" s="154"/>
      <c r="W13" s="153"/>
    </row>
    <row r="14" spans="1:23" s="150" customFormat="1" ht="36.75" customHeight="1">
      <c r="B14" s="151">
        <v>9</v>
      </c>
      <c r="C14" s="239" t="s">
        <v>68</v>
      </c>
      <c r="D14" s="252" t="s">
        <v>87</v>
      </c>
      <c r="E14" s="232" t="s">
        <v>124</v>
      </c>
      <c r="F14" s="232">
        <v>10</v>
      </c>
      <c r="G14" s="233" t="s">
        <v>126</v>
      </c>
      <c r="H14" s="233" t="s">
        <v>126</v>
      </c>
      <c r="I14" s="248">
        <v>1</v>
      </c>
      <c r="J14" s="234">
        <v>55</v>
      </c>
      <c r="K14" s="235">
        <f t="shared" si="1"/>
        <v>550</v>
      </c>
      <c r="L14" s="254"/>
      <c r="M14" s="242">
        <v>1</v>
      </c>
      <c r="N14" s="234">
        <v>60</v>
      </c>
      <c r="O14" s="237">
        <f t="shared" si="2"/>
        <v>600</v>
      </c>
      <c r="P14" s="255"/>
      <c r="Q14" s="242">
        <f t="shared" si="3"/>
        <v>1.0909090909090908</v>
      </c>
      <c r="R14" s="234">
        <v>75</v>
      </c>
      <c r="S14" s="237">
        <f t="shared" si="4"/>
        <v>750</v>
      </c>
      <c r="T14" s="255"/>
      <c r="U14" s="242">
        <f t="shared" si="5"/>
        <v>1.3636363636363635</v>
      </c>
      <c r="V14" s="154"/>
      <c r="W14" s="153"/>
    </row>
    <row r="15" spans="1:23" s="150" customFormat="1" ht="20.100000000000001" customHeight="1">
      <c r="B15" s="151">
        <v>10</v>
      </c>
      <c r="C15" s="239" t="s">
        <v>69</v>
      </c>
      <c r="D15" s="252" t="s">
        <v>88</v>
      </c>
      <c r="E15" s="232" t="s">
        <v>124</v>
      </c>
      <c r="F15" s="232">
        <v>30</v>
      </c>
      <c r="G15" s="233">
        <v>10</v>
      </c>
      <c r="H15" s="233">
        <f>F15*G15</f>
        <v>300</v>
      </c>
      <c r="I15" s="248">
        <f t="shared" si="0"/>
        <v>1.25</v>
      </c>
      <c r="J15" s="234">
        <v>8</v>
      </c>
      <c r="K15" s="235">
        <f t="shared" si="1"/>
        <v>240</v>
      </c>
      <c r="L15" s="254"/>
      <c r="M15" s="242">
        <v>1</v>
      </c>
      <c r="N15" s="234">
        <v>9</v>
      </c>
      <c r="O15" s="237">
        <f t="shared" si="2"/>
        <v>270</v>
      </c>
      <c r="P15" s="255"/>
      <c r="Q15" s="242">
        <f t="shared" si="3"/>
        <v>1.125</v>
      </c>
      <c r="R15" s="234">
        <v>12</v>
      </c>
      <c r="S15" s="237">
        <f t="shared" si="4"/>
        <v>360</v>
      </c>
      <c r="T15" s="255"/>
      <c r="U15" s="242">
        <f t="shared" si="5"/>
        <v>1.5</v>
      </c>
      <c r="V15" s="154"/>
      <c r="W15" s="153"/>
    </row>
    <row r="16" spans="1:23" s="150" customFormat="1" ht="20.100000000000001" customHeight="1">
      <c r="B16" s="151">
        <v>11</v>
      </c>
      <c r="C16" s="239" t="s">
        <v>70</v>
      </c>
      <c r="D16" s="252" t="s">
        <v>89</v>
      </c>
      <c r="E16" s="232" t="s">
        <v>124</v>
      </c>
      <c r="F16" s="232">
        <v>12</v>
      </c>
      <c r="G16" s="233">
        <v>25</v>
      </c>
      <c r="H16" s="233">
        <f t="shared" ref="H16:H53" si="6">F16*G16</f>
        <v>300</v>
      </c>
      <c r="I16" s="248">
        <f t="shared" si="0"/>
        <v>1.1363636363636365</v>
      </c>
      <c r="J16" s="234">
        <v>22</v>
      </c>
      <c r="K16" s="235">
        <f t="shared" si="1"/>
        <v>264</v>
      </c>
      <c r="L16" s="254"/>
      <c r="M16" s="242">
        <v>1</v>
      </c>
      <c r="N16" s="234">
        <v>58</v>
      </c>
      <c r="O16" s="237">
        <f t="shared" si="2"/>
        <v>696</v>
      </c>
      <c r="P16" s="255"/>
      <c r="Q16" s="242">
        <f t="shared" si="3"/>
        <v>2.6363636363636362</v>
      </c>
      <c r="R16" s="234">
        <v>23</v>
      </c>
      <c r="S16" s="237">
        <f t="shared" si="4"/>
        <v>276</v>
      </c>
      <c r="T16" s="255"/>
      <c r="U16" s="242">
        <f t="shared" si="5"/>
        <v>1.0454545454545454</v>
      </c>
      <c r="V16" s="154"/>
      <c r="W16" s="153"/>
    </row>
    <row r="17" spans="2:23" s="150" customFormat="1" ht="20.100000000000001" customHeight="1">
      <c r="B17" s="151">
        <v>12</v>
      </c>
      <c r="C17" s="239" t="s">
        <v>70</v>
      </c>
      <c r="D17" s="252" t="s">
        <v>90</v>
      </c>
      <c r="E17" s="232" t="s">
        <v>124</v>
      </c>
      <c r="F17" s="232">
        <v>12</v>
      </c>
      <c r="G17" s="233">
        <v>20</v>
      </c>
      <c r="H17" s="233">
        <f t="shared" si="6"/>
        <v>240</v>
      </c>
      <c r="I17" s="248">
        <f t="shared" si="0"/>
        <v>0.66666666666666663</v>
      </c>
      <c r="J17" s="234">
        <v>30</v>
      </c>
      <c r="K17" s="235">
        <f t="shared" si="1"/>
        <v>360</v>
      </c>
      <c r="L17" s="254"/>
      <c r="M17" s="242">
        <v>1</v>
      </c>
      <c r="N17" s="234">
        <v>60</v>
      </c>
      <c r="O17" s="237">
        <f t="shared" si="2"/>
        <v>720</v>
      </c>
      <c r="P17" s="255"/>
      <c r="Q17" s="242">
        <f t="shared" si="3"/>
        <v>2</v>
      </c>
      <c r="R17" s="234">
        <v>32</v>
      </c>
      <c r="S17" s="237">
        <f t="shared" si="4"/>
        <v>384</v>
      </c>
      <c r="T17" s="255"/>
      <c r="U17" s="242">
        <f t="shared" si="5"/>
        <v>1.0666666666666667</v>
      </c>
      <c r="V17" s="154"/>
      <c r="W17" s="153"/>
    </row>
    <row r="18" spans="2:23" s="150" customFormat="1" ht="20.100000000000001" customHeight="1">
      <c r="B18" s="151">
        <v>13</v>
      </c>
      <c r="C18" s="239" t="s">
        <v>70</v>
      </c>
      <c r="D18" s="252" t="s">
        <v>91</v>
      </c>
      <c r="E18" s="232" t="s">
        <v>124</v>
      </c>
      <c r="F18" s="232">
        <v>12</v>
      </c>
      <c r="G18" s="233">
        <v>20</v>
      </c>
      <c r="H18" s="233">
        <f t="shared" si="6"/>
        <v>240</v>
      </c>
      <c r="I18" s="248">
        <f t="shared" si="0"/>
        <v>0.5714285714285714</v>
      </c>
      <c r="J18" s="234">
        <v>35</v>
      </c>
      <c r="K18" s="235">
        <f t="shared" si="1"/>
        <v>420</v>
      </c>
      <c r="L18" s="254"/>
      <c r="M18" s="242">
        <v>1</v>
      </c>
      <c r="N18" s="234">
        <v>72</v>
      </c>
      <c r="O18" s="237">
        <f t="shared" si="2"/>
        <v>864</v>
      </c>
      <c r="P18" s="255"/>
      <c r="Q18" s="242">
        <f t="shared" si="3"/>
        <v>2.0571428571428569</v>
      </c>
      <c r="R18" s="234">
        <v>37</v>
      </c>
      <c r="S18" s="237">
        <f t="shared" si="4"/>
        <v>444</v>
      </c>
      <c r="T18" s="255"/>
      <c r="U18" s="242">
        <f t="shared" si="5"/>
        <v>1.0571428571428572</v>
      </c>
      <c r="V18" s="154"/>
      <c r="W18" s="153"/>
    </row>
    <row r="19" spans="2:23" s="150" customFormat="1" ht="20.100000000000001" customHeight="1">
      <c r="B19" s="151">
        <v>14</v>
      </c>
      <c r="C19" s="239" t="s">
        <v>70</v>
      </c>
      <c r="D19" s="252" t="s">
        <v>92</v>
      </c>
      <c r="E19" s="232" t="s">
        <v>124</v>
      </c>
      <c r="F19" s="232">
        <v>8</v>
      </c>
      <c r="G19" s="233">
        <v>20</v>
      </c>
      <c r="H19" s="233">
        <f t="shared" si="6"/>
        <v>160</v>
      </c>
      <c r="I19" s="248">
        <f t="shared" si="0"/>
        <v>1.3333333333333333</v>
      </c>
      <c r="J19" s="234">
        <v>15</v>
      </c>
      <c r="K19" s="235">
        <f t="shared" si="1"/>
        <v>120</v>
      </c>
      <c r="L19" s="254"/>
      <c r="M19" s="242">
        <v>1</v>
      </c>
      <c r="N19" s="234">
        <v>55</v>
      </c>
      <c r="O19" s="237">
        <f t="shared" si="2"/>
        <v>440</v>
      </c>
      <c r="P19" s="255"/>
      <c r="Q19" s="242">
        <f t="shared" si="3"/>
        <v>3.6666666666666665</v>
      </c>
      <c r="R19" s="234">
        <v>18</v>
      </c>
      <c r="S19" s="237">
        <f t="shared" si="4"/>
        <v>144</v>
      </c>
      <c r="T19" s="255"/>
      <c r="U19" s="242">
        <f t="shared" si="5"/>
        <v>1.2</v>
      </c>
      <c r="V19" s="154"/>
      <c r="W19" s="153"/>
    </row>
    <row r="20" spans="2:23" s="150" customFormat="1" ht="20.100000000000001" customHeight="1">
      <c r="B20" s="151">
        <v>15</v>
      </c>
      <c r="C20" s="239" t="s">
        <v>70</v>
      </c>
      <c r="D20" s="252" t="s">
        <v>93</v>
      </c>
      <c r="E20" s="232" t="s">
        <v>124</v>
      </c>
      <c r="F20" s="232">
        <v>8</v>
      </c>
      <c r="G20" s="233">
        <v>30</v>
      </c>
      <c r="H20" s="233">
        <f t="shared" si="6"/>
        <v>240</v>
      </c>
      <c r="I20" s="248">
        <f t="shared" si="0"/>
        <v>1.2</v>
      </c>
      <c r="J20" s="234">
        <v>25</v>
      </c>
      <c r="K20" s="235">
        <f t="shared" si="1"/>
        <v>200</v>
      </c>
      <c r="L20" s="254"/>
      <c r="M20" s="242">
        <v>1</v>
      </c>
      <c r="N20" s="234">
        <v>59</v>
      </c>
      <c r="O20" s="237">
        <f t="shared" si="2"/>
        <v>472</v>
      </c>
      <c r="P20" s="255"/>
      <c r="Q20" s="242">
        <f t="shared" si="3"/>
        <v>2.36</v>
      </c>
      <c r="R20" s="234">
        <v>25</v>
      </c>
      <c r="S20" s="237">
        <f t="shared" si="4"/>
        <v>200</v>
      </c>
      <c r="T20" s="255"/>
      <c r="U20" s="242">
        <f t="shared" si="5"/>
        <v>1</v>
      </c>
      <c r="V20" s="154"/>
      <c r="W20" s="153"/>
    </row>
    <row r="21" spans="2:23" s="150" customFormat="1" ht="20.100000000000001" customHeight="1">
      <c r="B21" s="151">
        <v>16</v>
      </c>
      <c r="C21" s="239" t="s">
        <v>70</v>
      </c>
      <c r="D21" s="252" t="s">
        <v>94</v>
      </c>
      <c r="E21" s="232" t="s">
        <v>124</v>
      </c>
      <c r="F21" s="232">
        <v>6</v>
      </c>
      <c r="G21" s="233">
        <v>20</v>
      </c>
      <c r="H21" s="233">
        <f t="shared" si="6"/>
        <v>120</v>
      </c>
      <c r="I21" s="248">
        <f t="shared" si="0"/>
        <v>0.7407407407407407</v>
      </c>
      <c r="J21" s="234">
        <v>27</v>
      </c>
      <c r="K21" s="235">
        <f t="shared" si="1"/>
        <v>162</v>
      </c>
      <c r="L21" s="254"/>
      <c r="M21" s="242">
        <v>1</v>
      </c>
      <c r="N21" s="234">
        <v>60</v>
      </c>
      <c r="O21" s="237">
        <f t="shared" si="2"/>
        <v>360</v>
      </c>
      <c r="P21" s="255"/>
      <c r="Q21" s="242">
        <f t="shared" si="3"/>
        <v>2.2222222222222223</v>
      </c>
      <c r="R21" s="234">
        <v>27</v>
      </c>
      <c r="S21" s="237">
        <f t="shared" si="4"/>
        <v>162</v>
      </c>
      <c r="T21" s="255"/>
      <c r="U21" s="242">
        <f t="shared" si="5"/>
        <v>1</v>
      </c>
      <c r="V21" s="154"/>
      <c r="W21" s="153"/>
    </row>
    <row r="22" spans="2:23" s="150" customFormat="1" ht="20.100000000000001" customHeight="1">
      <c r="B22" s="151">
        <v>17</v>
      </c>
      <c r="C22" s="239" t="s">
        <v>70</v>
      </c>
      <c r="D22" s="252" t="s">
        <v>95</v>
      </c>
      <c r="E22" s="232" t="s">
        <v>124</v>
      </c>
      <c r="F22" s="232">
        <v>6</v>
      </c>
      <c r="G22" s="233" t="s">
        <v>126</v>
      </c>
      <c r="H22" s="233" t="s">
        <v>126</v>
      </c>
      <c r="I22" s="248">
        <v>1</v>
      </c>
      <c r="J22" s="234">
        <v>30</v>
      </c>
      <c r="K22" s="235">
        <f t="shared" si="1"/>
        <v>180</v>
      </c>
      <c r="L22" s="254"/>
      <c r="M22" s="242">
        <v>1</v>
      </c>
      <c r="N22" s="234">
        <v>66</v>
      </c>
      <c r="O22" s="237">
        <f t="shared" si="2"/>
        <v>396</v>
      </c>
      <c r="P22" s="255"/>
      <c r="Q22" s="242">
        <f t="shared" si="3"/>
        <v>2.2000000000000002</v>
      </c>
      <c r="R22" s="234">
        <v>36</v>
      </c>
      <c r="S22" s="237">
        <f t="shared" si="4"/>
        <v>216</v>
      </c>
      <c r="T22" s="255"/>
      <c r="U22" s="242">
        <f t="shared" si="5"/>
        <v>1.2</v>
      </c>
      <c r="V22" s="154"/>
      <c r="W22" s="153"/>
    </row>
    <row r="23" spans="2:23" s="150" customFormat="1" ht="20.100000000000001" customHeight="1">
      <c r="B23" s="151">
        <v>18</v>
      </c>
      <c r="C23" s="239" t="s">
        <v>71</v>
      </c>
      <c r="D23" s="252" t="s">
        <v>96</v>
      </c>
      <c r="E23" s="232" t="s">
        <v>124</v>
      </c>
      <c r="F23" s="232">
        <v>2</v>
      </c>
      <c r="G23" s="233" t="s">
        <v>126</v>
      </c>
      <c r="H23" s="233" t="s">
        <v>126</v>
      </c>
      <c r="I23" s="248">
        <v>1</v>
      </c>
      <c r="J23" s="234">
        <v>35</v>
      </c>
      <c r="K23" s="235">
        <f t="shared" si="1"/>
        <v>70</v>
      </c>
      <c r="L23" s="254"/>
      <c r="M23" s="242">
        <v>1</v>
      </c>
      <c r="N23" s="234">
        <v>80</v>
      </c>
      <c r="O23" s="237">
        <f t="shared" si="2"/>
        <v>160</v>
      </c>
      <c r="P23" s="255"/>
      <c r="Q23" s="242">
        <f t="shared" si="3"/>
        <v>2.2857142857142856</v>
      </c>
      <c r="R23" s="234">
        <v>115</v>
      </c>
      <c r="S23" s="237">
        <f t="shared" si="4"/>
        <v>230</v>
      </c>
      <c r="T23" s="255"/>
      <c r="U23" s="242">
        <f t="shared" si="5"/>
        <v>3.2857142857142856</v>
      </c>
      <c r="V23" s="154"/>
      <c r="W23" s="153"/>
    </row>
    <row r="24" spans="2:23" s="150" customFormat="1" ht="20.100000000000001" customHeight="1">
      <c r="B24" s="151">
        <v>19</v>
      </c>
      <c r="C24" s="239" t="s">
        <v>72</v>
      </c>
      <c r="D24" s="252" t="s">
        <v>97</v>
      </c>
      <c r="E24" s="232" t="s">
        <v>124</v>
      </c>
      <c r="F24" s="232">
        <v>2</v>
      </c>
      <c r="G24" s="233">
        <v>70</v>
      </c>
      <c r="H24" s="233">
        <f t="shared" si="6"/>
        <v>140</v>
      </c>
      <c r="I24" s="248">
        <f t="shared" si="0"/>
        <v>2.1875</v>
      </c>
      <c r="J24" s="234">
        <v>32</v>
      </c>
      <c r="K24" s="235">
        <f t="shared" si="1"/>
        <v>64</v>
      </c>
      <c r="L24" s="254"/>
      <c r="M24" s="242">
        <v>1</v>
      </c>
      <c r="N24" s="234">
        <v>33</v>
      </c>
      <c r="O24" s="237">
        <f t="shared" si="2"/>
        <v>66</v>
      </c>
      <c r="P24" s="255"/>
      <c r="Q24" s="242">
        <f t="shared" si="3"/>
        <v>1.03125</v>
      </c>
      <c r="R24" s="234">
        <v>80</v>
      </c>
      <c r="S24" s="237">
        <f t="shared" si="4"/>
        <v>160</v>
      </c>
      <c r="T24" s="255"/>
      <c r="U24" s="242">
        <f t="shared" si="5"/>
        <v>2.5</v>
      </c>
      <c r="V24" s="154"/>
      <c r="W24" s="153"/>
    </row>
    <row r="25" spans="2:23" s="150" customFormat="1" ht="20.100000000000001" customHeight="1">
      <c r="B25" s="151">
        <v>20</v>
      </c>
      <c r="C25" s="239" t="s">
        <v>72</v>
      </c>
      <c r="D25" s="252" t="s">
        <v>98</v>
      </c>
      <c r="E25" s="232" t="s">
        <v>124</v>
      </c>
      <c r="F25" s="232">
        <v>2</v>
      </c>
      <c r="G25" s="233">
        <v>71</v>
      </c>
      <c r="H25" s="233">
        <f t="shared" si="6"/>
        <v>142</v>
      </c>
      <c r="I25" s="248">
        <f t="shared" si="0"/>
        <v>1.9722222222222223</v>
      </c>
      <c r="J25" s="234">
        <v>36</v>
      </c>
      <c r="K25" s="235">
        <f t="shared" si="1"/>
        <v>72</v>
      </c>
      <c r="L25" s="254"/>
      <c r="M25" s="242">
        <v>1</v>
      </c>
      <c r="N25" s="234">
        <v>36</v>
      </c>
      <c r="O25" s="237">
        <f t="shared" si="2"/>
        <v>72</v>
      </c>
      <c r="P25" s="255"/>
      <c r="Q25" s="242">
        <f t="shared" si="3"/>
        <v>1</v>
      </c>
      <c r="R25" s="234">
        <v>80</v>
      </c>
      <c r="S25" s="237">
        <f t="shared" si="4"/>
        <v>160</v>
      </c>
      <c r="T25" s="255"/>
      <c r="U25" s="242">
        <f t="shared" si="5"/>
        <v>2.2222222222222223</v>
      </c>
      <c r="V25" s="154"/>
      <c r="W25" s="153"/>
    </row>
    <row r="26" spans="2:23" s="150" customFormat="1" ht="20.100000000000001" customHeight="1">
      <c r="B26" s="151">
        <v>21</v>
      </c>
      <c r="C26" s="239" t="s">
        <v>72</v>
      </c>
      <c r="D26" s="252" t="s">
        <v>99</v>
      </c>
      <c r="E26" s="232" t="s">
        <v>124</v>
      </c>
      <c r="F26" s="232">
        <v>2</v>
      </c>
      <c r="G26" s="233">
        <v>73</v>
      </c>
      <c r="H26" s="233">
        <f t="shared" si="6"/>
        <v>146</v>
      </c>
      <c r="I26" s="248">
        <f t="shared" si="0"/>
        <v>1.9210526315789473</v>
      </c>
      <c r="J26" s="234">
        <v>38</v>
      </c>
      <c r="K26" s="235">
        <f t="shared" si="1"/>
        <v>76</v>
      </c>
      <c r="L26" s="254"/>
      <c r="M26" s="242">
        <v>1</v>
      </c>
      <c r="N26" s="234">
        <v>38</v>
      </c>
      <c r="O26" s="237">
        <f t="shared" si="2"/>
        <v>76</v>
      </c>
      <c r="P26" s="255"/>
      <c r="Q26" s="242">
        <f t="shared" si="3"/>
        <v>1</v>
      </c>
      <c r="R26" s="234">
        <v>85</v>
      </c>
      <c r="S26" s="237">
        <f t="shared" si="4"/>
        <v>170</v>
      </c>
      <c r="T26" s="255"/>
      <c r="U26" s="242">
        <f t="shared" si="5"/>
        <v>2.236842105263158</v>
      </c>
      <c r="V26" s="154"/>
      <c r="W26" s="153"/>
    </row>
    <row r="27" spans="2:23" s="150" customFormat="1" ht="20.100000000000001" customHeight="1">
      <c r="B27" s="151">
        <v>22</v>
      </c>
      <c r="C27" s="239" t="s">
        <v>72</v>
      </c>
      <c r="D27" s="252" t="s">
        <v>100</v>
      </c>
      <c r="E27" s="232" t="s">
        <v>124</v>
      </c>
      <c r="F27" s="232">
        <v>2</v>
      </c>
      <c r="G27" s="233">
        <v>76</v>
      </c>
      <c r="H27" s="233">
        <f t="shared" si="6"/>
        <v>152</v>
      </c>
      <c r="I27" s="248">
        <f t="shared" si="0"/>
        <v>1.9</v>
      </c>
      <c r="J27" s="234">
        <v>40</v>
      </c>
      <c r="K27" s="235">
        <f t="shared" si="1"/>
        <v>80</v>
      </c>
      <c r="L27" s="254"/>
      <c r="M27" s="242">
        <v>1</v>
      </c>
      <c r="N27" s="234">
        <v>40</v>
      </c>
      <c r="O27" s="237">
        <f t="shared" si="2"/>
        <v>80</v>
      </c>
      <c r="P27" s="255"/>
      <c r="Q27" s="242">
        <f t="shared" si="3"/>
        <v>1</v>
      </c>
      <c r="R27" s="234">
        <v>85</v>
      </c>
      <c r="S27" s="237">
        <f t="shared" si="4"/>
        <v>170</v>
      </c>
      <c r="T27" s="255"/>
      <c r="U27" s="242">
        <f t="shared" si="5"/>
        <v>2.125</v>
      </c>
      <c r="V27" s="154"/>
      <c r="W27" s="153"/>
    </row>
    <row r="28" spans="2:23" s="150" customFormat="1" ht="20.100000000000001" customHeight="1">
      <c r="B28" s="151">
        <v>23</v>
      </c>
      <c r="C28" s="239" t="s">
        <v>72</v>
      </c>
      <c r="D28" s="252" t="s">
        <v>101</v>
      </c>
      <c r="E28" s="232" t="s">
        <v>124</v>
      </c>
      <c r="F28" s="232">
        <v>2</v>
      </c>
      <c r="G28" s="233">
        <v>81</v>
      </c>
      <c r="H28" s="233">
        <f t="shared" si="6"/>
        <v>162</v>
      </c>
      <c r="I28" s="248">
        <f t="shared" si="0"/>
        <v>1.9285714285714286</v>
      </c>
      <c r="J28" s="234">
        <v>42</v>
      </c>
      <c r="K28" s="235">
        <f t="shared" si="1"/>
        <v>84</v>
      </c>
      <c r="L28" s="254"/>
      <c r="M28" s="242">
        <v>1</v>
      </c>
      <c r="N28" s="234">
        <v>42</v>
      </c>
      <c r="O28" s="237">
        <f t="shared" si="2"/>
        <v>84</v>
      </c>
      <c r="P28" s="255"/>
      <c r="Q28" s="242">
        <f t="shared" si="3"/>
        <v>1</v>
      </c>
      <c r="R28" s="234">
        <v>90</v>
      </c>
      <c r="S28" s="237">
        <f t="shared" si="4"/>
        <v>180</v>
      </c>
      <c r="T28" s="255"/>
      <c r="U28" s="242">
        <f t="shared" si="5"/>
        <v>2.1428571428571428</v>
      </c>
      <c r="V28" s="154"/>
      <c r="W28" s="153"/>
    </row>
    <row r="29" spans="2:23" s="150" customFormat="1" ht="20.100000000000001" customHeight="1">
      <c r="B29" s="151">
        <v>24</v>
      </c>
      <c r="C29" s="239" t="s">
        <v>72</v>
      </c>
      <c r="D29" s="252" t="s">
        <v>102</v>
      </c>
      <c r="E29" s="232" t="s">
        <v>124</v>
      </c>
      <c r="F29" s="232">
        <v>2</v>
      </c>
      <c r="G29" s="233">
        <v>90</v>
      </c>
      <c r="H29" s="233">
        <f t="shared" si="6"/>
        <v>180</v>
      </c>
      <c r="I29" s="248">
        <f t="shared" si="0"/>
        <v>2.0454545454545454</v>
      </c>
      <c r="J29" s="234">
        <v>44</v>
      </c>
      <c r="K29" s="235">
        <f t="shared" si="1"/>
        <v>88</v>
      </c>
      <c r="L29" s="254"/>
      <c r="M29" s="242">
        <v>1</v>
      </c>
      <c r="N29" s="234">
        <v>44</v>
      </c>
      <c r="O29" s="237">
        <f t="shared" si="2"/>
        <v>88</v>
      </c>
      <c r="P29" s="255"/>
      <c r="Q29" s="242">
        <f t="shared" si="3"/>
        <v>1</v>
      </c>
      <c r="R29" s="234">
        <v>90</v>
      </c>
      <c r="S29" s="237">
        <f t="shared" si="4"/>
        <v>180</v>
      </c>
      <c r="T29" s="255"/>
      <c r="U29" s="242">
        <f t="shared" si="5"/>
        <v>2.0454545454545454</v>
      </c>
      <c r="V29" s="154"/>
      <c r="W29" s="153"/>
    </row>
    <row r="30" spans="2:23" s="150" customFormat="1" ht="20.100000000000001" customHeight="1">
      <c r="B30" s="151">
        <v>25</v>
      </c>
      <c r="C30" s="239" t="s">
        <v>72</v>
      </c>
      <c r="D30" s="252" t="s">
        <v>103</v>
      </c>
      <c r="E30" s="232" t="s">
        <v>124</v>
      </c>
      <c r="F30" s="232">
        <v>2</v>
      </c>
      <c r="G30" s="233">
        <v>44</v>
      </c>
      <c r="H30" s="233">
        <f t="shared" si="6"/>
        <v>88</v>
      </c>
      <c r="I30" s="248">
        <f t="shared" si="0"/>
        <v>0.93617021276595747</v>
      </c>
      <c r="J30" s="234">
        <v>47</v>
      </c>
      <c r="K30" s="235">
        <f t="shared" si="1"/>
        <v>94</v>
      </c>
      <c r="L30" s="254"/>
      <c r="M30" s="242">
        <v>1</v>
      </c>
      <c r="N30" s="234">
        <v>47</v>
      </c>
      <c r="O30" s="237">
        <f t="shared" si="2"/>
        <v>94</v>
      </c>
      <c r="P30" s="255"/>
      <c r="Q30" s="242">
        <f t="shared" si="3"/>
        <v>1</v>
      </c>
      <c r="R30" s="234">
        <v>95</v>
      </c>
      <c r="S30" s="237">
        <f t="shared" si="4"/>
        <v>190</v>
      </c>
      <c r="T30" s="255"/>
      <c r="U30" s="242">
        <f t="shared" si="5"/>
        <v>2.021276595744681</v>
      </c>
      <c r="V30" s="154"/>
      <c r="W30" s="153"/>
    </row>
    <row r="31" spans="2:23" s="150" customFormat="1" ht="20.100000000000001" customHeight="1">
      <c r="B31" s="151">
        <v>26</v>
      </c>
      <c r="C31" s="239" t="s">
        <v>72</v>
      </c>
      <c r="D31" s="252" t="s">
        <v>104</v>
      </c>
      <c r="E31" s="232" t="s">
        <v>124</v>
      </c>
      <c r="F31" s="232">
        <v>2</v>
      </c>
      <c r="G31" s="233">
        <v>48</v>
      </c>
      <c r="H31" s="233">
        <f t="shared" si="6"/>
        <v>96</v>
      </c>
      <c r="I31" s="248">
        <f t="shared" si="0"/>
        <v>0.97959183673469385</v>
      </c>
      <c r="J31" s="234">
        <v>49</v>
      </c>
      <c r="K31" s="235">
        <f t="shared" si="1"/>
        <v>98</v>
      </c>
      <c r="L31" s="254"/>
      <c r="M31" s="242">
        <v>1</v>
      </c>
      <c r="N31" s="234">
        <v>49</v>
      </c>
      <c r="O31" s="237">
        <f t="shared" si="2"/>
        <v>98</v>
      </c>
      <c r="P31" s="255"/>
      <c r="Q31" s="242">
        <f t="shared" si="3"/>
        <v>1</v>
      </c>
      <c r="R31" s="234">
        <v>100</v>
      </c>
      <c r="S31" s="237">
        <f t="shared" si="4"/>
        <v>200</v>
      </c>
      <c r="T31" s="255"/>
      <c r="U31" s="242">
        <f t="shared" si="5"/>
        <v>2.0408163265306123</v>
      </c>
      <c r="V31" s="154"/>
      <c r="W31" s="153"/>
    </row>
    <row r="32" spans="2:23" s="150" customFormat="1" ht="20.100000000000001" customHeight="1">
      <c r="B32" s="151">
        <v>27</v>
      </c>
      <c r="C32" s="239" t="s">
        <v>72</v>
      </c>
      <c r="D32" s="252" t="s">
        <v>105</v>
      </c>
      <c r="E32" s="232" t="s">
        <v>124</v>
      </c>
      <c r="F32" s="232">
        <v>2</v>
      </c>
      <c r="G32" s="233" t="s">
        <v>126</v>
      </c>
      <c r="H32" s="233" t="s">
        <v>126</v>
      </c>
      <c r="I32" s="248">
        <v>1</v>
      </c>
      <c r="J32" s="234">
        <v>96</v>
      </c>
      <c r="K32" s="235">
        <f t="shared" si="1"/>
        <v>192</v>
      </c>
      <c r="L32" s="254"/>
      <c r="M32" s="242">
        <v>1</v>
      </c>
      <c r="N32" s="234">
        <v>226</v>
      </c>
      <c r="O32" s="237">
        <f t="shared" si="2"/>
        <v>452</v>
      </c>
      <c r="P32" s="255"/>
      <c r="Q32" s="242">
        <f t="shared" si="3"/>
        <v>2.3541666666666665</v>
      </c>
      <c r="R32" s="234">
        <v>140</v>
      </c>
      <c r="S32" s="237">
        <f t="shared" si="4"/>
        <v>280</v>
      </c>
      <c r="T32" s="255"/>
      <c r="U32" s="242">
        <f t="shared" si="5"/>
        <v>1.4583333333333333</v>
      </c>
      <c r="V32" s="154"/>
      <c r="W32" s="153"/>
    </row>
    <row r="33" spans="2:23" s="150" customFormat="1" ht="20.100000000000001" customHeight="1">
      <c r="B33" s="151">
        <v>28</v>
      </c>
      <c r="C33" s="239" t="s">
        <v>73</v>
      </c>
      <c r="D33" s="252" t="s">
        <v>97</v>
      </c>
      <c r="E33" s="232" t="s">
        <v>124</v>
      </c>
      <c r="F33" s="232">
        <v>2</v>
      </c>
      <c r="G33" s="233" t="s">
        <v>126</v>
      </c>
      <c r="H33" s="233" t="s">
        <v>126</v>
      </c>
      <c r="I33" s="248">
        <v>1</v>
      </c>
      <c r="J33" s="234">
        <v>20</v>
      </c>
      <c r="K33" s="235">
        <f t="shared" si="1"/>
        <v>40</v>
      </c>
      <c r="L33" s="254"/>
      <c r="M33" s="242">
        <v>1</v>
      </c>
      <c r="N33" s="234">
        <v>20</v>
      </c>
      <c r="O33" s="237">
        <f t="shared" si="2"/>
        <v>40</v>
      </c>
      <c r="P33" s="255"/>
      <c r="Q33" s="242">
        <f t="shared" si="3"/>
        <v>1</v>
      </c>
      <c r="R33" s="234">
        <v>25</v>
      </c>
      <c r="S33" s="237">
        <f t="shared" si="4"/>
        <v>50</v>
      </c>
      <c r="T33" s="255"/>
      <c r="U33" s="242">
        <f t="shared" si="5"/>
        <v>1.25</v>
      </c>
      <c r="V33" s="154"/>
      <c r="W33" s="153"/>
    </row>
    <row r="34" spans="2:23" s="150" customFormat="1" ht="20.100000000000001" customHeight="1">
      <c r="B34" s="151">
        <v>29</v>
      </c>
      <c r="C34" s="239" t="s">
        <v>73</v>
      </c>
      <c r="D34" s="252" t="s">
        <v>100</v>
      </c>
      <c r="E34" s="232" t="s">
        <v>124</v>
      </c>
      <c r="F34" s="232">
        <v>2</v>
      </c>
      <c r="G34" s="233" t="s">
        <v>126</v>
      </c>
      <c r="H34" s="233" t="s">
        <v>126</v>
      </c>
      <c r="I34" s="248">
        <v>1</v>
      </c>
      <c r="J34" s="234">
        <v>27</v>
      </c>
      <c r="K34" s="235">
        <f t="shared" si="1"/>
        <v>54</v>
      </c>
      <c r="L34" s="254"/>
      <c r="M34" s="242">
        <v>1</v>
      </c>
      <c r="N34" s="234">
        <v>27</v>
      </c>
      <c r="O34" s="237">
        <f t="shared" si="2"/>
        <v>54</v>
      </c>
      <c r="P34" s="255"/>
      <c r="Q34" s="242">
        <f t="shared" si="3"/>
        <v>1</v>
      </c>
      <c r="R34" s="234">
        <v>27</v>
      </c>
      <c r="S34" s="237">
        <f t="shared" si="4"/>
        <v>54</v>
      </c>
      <c r="T34" s="255"/>
      <c r="U34" s="242">
        <f t="shared" si="5"/>
        <v>1</v>
      </c>
      <c r="V34" s="154"/>
      <c r="W34" s="153"/>
    </row>
    <row r="35" spans="2:23" s="150" customFormat="1" ht="20.100000000000001" customHeight="1">
      <c r="B35" s="151">
        <v>30</v>
      </c>
      <c r="C35" s="239" t="s">
        <v>73</v>
      </c>
      <c r="D35" s="252" t="s">
        <v>106</v>
      </c>
      <c r="E35" s="232" t="s">
        <v>124</v>
      </c>
      <c r="F35" s="232">
        <v>2</v>
      </c>
      <c r="G35" s="233" t="s">
        <v>126</v>
      </c>
      <c r="H35" s="233" t="s">
        <v>126</v>
      </c>
      <c r="I35" s="248">
        <v>1</v>
      </c>
      <c r="J35" s="234">
        <v>22</v>
      </c>
      <c r="K35" s="235">
        <f t="shared" si="1"/>
        <v>44</v>
      </c>
      <c r="L35" s="254"/>
      <c r="M35" s="242">
        <v>1</v>
      </c>
      <c r="N35" s="234">
        <v>33</v>
      </c>
      <c r="O35" s="237">
        <f t="shared" si="2"/>
        <v>66</v>
      </c>
      <c r="P35" s="255"/>
      <c r="Q35" s="242">
        <f t="shared" si="3"/>
        <v>1.5</v>
      </c>
      <c r="R35" s="234">
        <v>37</v>
      </c>
      <c r="S35" s="237">
        <f t="shared" si="4"/>
        <v>74</v>
      </c>
      <c r="T35" s="255"/>
      <c r="U35" s="242">
        <f t="shared" si="5"/>
        <v>1.6818181818181819</v>
      </c>
      <c r="V35" s="154"/>
      <c r="W35" s="153"/>
    </row>
    <row r="36" spans="2:23" s="150" customFormat="1" ht="20.100000000000001" customHeight="1">
      <c r="B36" s="151">
        <v>31</v>
      </c>
      <c r="C36" s="239" t="s">
        <v>73</v>
      </c>
      <c r="D36" s="252" t="s">
        <v>107</v>
      </c>
      <c r="E36" s="232" t="s">
        <v>124</v>
      </c>
      <c r="F36" s="232">
        <v>2</v>
      </c>
      <c r="G36" s="233" t="s">
        <v>126</v>
      </c>
      <c r="H36" s="233" t="s">
        <v>126</v>
      </c>
      <c r="I36" s="248">
        <v>1</v>
      </c>
      <c r="J36" s="234">
        <v>12.5</v>
      </c>
      <c r="K36" s="235">
        <f t="shared" si="1"/>
        <v>25</v>
      </c>
      <c r="L36" s="254"/>
      <c r="M36" s="242">
        <v>1</v>
      </c>
      <c r="N36" s="234">
        <v>55</v>
      </c>
      <c r="O36" s="237">
        <f t="shared" si="2"/>
        <v>110</v>
      </c>
      <c r="P36" s="255"/>
      <c r="Q36" s="242">
        <f t="shared" si="3"/>
        <v>4.4000000000000004</v>
      </c>
      <c r="R36" s="234">
        <v>35</v>
      </c>
      <c r="S36" s="237">
        <f t="shared" si="4"/>
        <v>70</v>
      </c>
      <c r="T36" s="255"/>
      <c r="U36" s="242">
        <f t="shared" si="5"/>
        <v>2.8</v>
      </c>
      <c r="V36" s="154"/>
      <c r="W36" s="153"/>
    </row>
    <row r="37" spans="2:23" s="150" customFormat="1" ht="20.100000000000001" customHeight="1">
      <c r="B37" s="151">
        <v>32</v>
      </c>
      <c r="C37" s="239" t="s">
        <v>73</v>
      </c>
      <c r="D37" s="252" t="s">
        <v>108</v>
      </c>
      <c r="E37" s="232" t="s">
        <v>124</v>
      </c>
      <c r="F37" s="232">
        <v>2</v>
      </c>
      <c r="G37" s="233">
        <v>36</v>
      </c>
      <c r="H37" s="233">
        <f t="shared" si="6"/>
        <v>72</v>
      </c>
      <c r="I37" s="248">
        <f t="shared" si="0"/>
        <v>1.6363636363636365</v>
      </c>
      <c r="J37" s="234">
        <v>22</v>
      </c>
      <c r="K37" s="235">
        <f t="shared" si="1"/>
        <v>44</v>
      </c>
      <c r="L37" s="254"/>
      <c r="M37" s="242">
        <v>1</v>
      </c>
      <c r="N37" s="234">
        <v>61</v>
      </c>
      <c r="O37" s="237">
        <f t="shared" si="2"/>
        <v>122</v>
      </c>
      <c r="P37" s="255"/>
      <c r="Q37" s="242">
        <f t="shared" si="3"/>
        <v>2.7727272727272729</v>
      </c>
      <c r="R37" s="234">
        <v>41</v>
      </c>
      <c r="S37" s="237">
        <f t="shared" si="4"/>
        <v>82</v>
      </c>
      <c r="T37" s="255"/>
      <c r="U37" s="242">
        <f t="shared" si="5"/>
        <v>1.8636363636363635</v>
      </c>
      <c r="V37" s="154"/>
      <c r="W37" s="153"/>
    </row>
    <row r="38" spans="2:23" s="150" customFormat="1" ht="20.100000000000001" customHeight="1">
      <c r="B38" s="151">
        <v>33</v>
      </c>
      <c r="C38" s="239" t="s">
        <v>74</v>
      </c>
      <c r="D38" s="252" t="s">
        <v>109</v>
      </c>
      <c r="E38" s="232" t="s">
        <v>124</v>
      </c>
      <c r="F38" s="232">
        <v>40</v>
      </c>
      <c r="G38" s="233" t="s">
        <v>126</v>
      </c>
      <c r="H38" s="233" t="s">
        <v>126</v>
      </c>
      <c r="I38" s="248">
        <v>1</v>
      </c>
      <c r="J38" s="234">
        <v>8</v>
      </c>
      <c r="K38" s="235">
        <f t="shared" si="1"/>
        <v>320</v>
      </c>
      <c r="L38" s="254"/>
      <c r="M38" s="242">
        <v>1</v>
      </c>
      <c r="N38" s="234">
        <v>26</v>
      </c>
      <c r="O38" s="237">
        <f t="shared" si="2"/>
        <v>1040</v>
      </c>
      <c r="P38" s="255"/>
      <c r="Q38" s="242">
        <f t="shared" si="3"/>
        <v>3.25</v>
      </c>
      <c r="R38" s="234">
        <v>25</v>
      </c>
      <c r="S38" s="237">
        <f t="shared" si="4"/>
        <v>1000</v>
      </c>
      <c r="T38" s="255"/>
      <c r="U38" s="242">
        <f t="shared" si="5"/>
        <v>3.125</v>
      </c>
      <c r="V38" s="154"/>
      <c r="W38" s="153"/>
    </row>
    <row r="39" spans="2:23" s="150" customFormat="1" ht="20.100000000000001" customHeight="1">
      <c r="B39" s="151">
        <v>34</v>
      </c>
      <c r="C39" s="239" t="s">
        <v>75</v>
      </c>
      <c r="D39" s="252" t="s">
        <v>110</v>
      </c>
      <c r="E39" s="232" t="s">
        <v>124</v>
      </c>
      <c r="F39" s="232">
        <v>10</v>
      </c>
      <c r="G39" s="233" t="s">
        <v>126</v>
      </c>
      <c r="H39" s="233" t="s">
        <v>126</v>
      </c>
      <c r="I39" s="248">
        <v>1</v>
      </c>
      <c r="J39" s="234">
        <v>55</v>
      </c>
      <c r="K39" s="235">
        <f t="shared" si="1"/>
        <v>550</v>
      </c>
      <c r="L39" s="254"/>
      <c r="M39" s="242">
        <v>1</v>
      </c>
      <c r="N39" s="234">
        <v>308</v>
      </c>
      <c r="O39" s="237">
        <f t="shared" si="2"/>
        <v>3080</v>
      </c>
      <c r="P39" s="255"/>
      <c r="Q39" s="242">
        <f t="shared" si="3"/>
        <v>5.6</v>
      </c>
      <c r="R39" s="234">
        <v>95</v>
      </c>
      <c r="S39" s="237">
        <f t="shared" si="4"/>
        <v>950</v>
      </c>
      <c r="T39" s="255"/>
      <c r="U39" s="242">
        <f t="shared" si="5"/>
        <v>1.7272727272727273</v>
      </c>
      <c r="V39" s="154"/>
      <c r="W39" s="153"/>
    </row>
    <row r="40" spans="2:23" s="150" customFormat="1" ht="20.100000000000001" customHeight="1">
      <c r="B40" s="151">
        <v>35</v>
      </c>
      <c r="C40" s="239" t="s">
        <v>76</v>
      </c>
      <c r="D40" s="240" t="s">
        <v>111</v>
      </c>
      <c r="E40" s="232" t="s">
        <v>124</v>
      </c>
      <c r="F40" s="232">
        <v>50</v>
      </c>
      <c r="G40" s="233" t="s">
        <v>126</v>
      </c>
      <c r="H40" s="233" t="s">
        <v>126</v>
      </c>
      <c r="I40" s="248">
        <v>1</v>
      </c>
      <c r="J40" s="234">
        <v>70</v>
      </c>
      <c r="K40" s="235">
        <f t="shared" si="1"/>
        <v>3500</v>
      </c>
      <c r="L40" s="254"/>
      <c r="M40" s="242">
        <v>1</v>
      </c>
      <c r="N40" s="234">
        <v>152</v>
      </c>
      <c r="O40" s="237">
        <f t="shared" si="2"/>
        <v>7600</v>
      </c>
      <c r="P40" s="255"/>
      <c r="Q40" s="242">
        <f t="shared" si="3"/>
        <v>2.1714285714285713</v>
      </c>
      <c r="R40" s="234">
        <v>166</v>
      </c>
      <c r="S40" s="237">
        <f t="shared" si="4"/>
        <v>8300</v>
      </c>
      <c r="T40" s="255"/>
      <c r="U40" s="242">
        <f t="shared" si="5"/>
        <v>2.3714285714285714</v>
      </c>
      <c r="V40" s="154"/>
      <c r="W40" s="153"/>
    </row>
    <row r="41" spans="2:23" s="150" customFormat="1" ht="20.100000000000001" customHeight="1">
      <c r="B41" s="151">
        <v>36</v>
      </c>
      <c r="C41" s="239" t="s">
        <v>76</v>
      </c>
      <c r="D41" s="240" t="s">
        <v>112</v>
      </c>
      <c r="E41" s="232" t="s">
        <v>124</v>
      </c>
      <c r="F41" s="232">
        <v>50</v>
      </c>
      <c r="G41" s="233" t="s">
        <v>126</v>
      </c>
      <c r="H41" s="233" t="s">
        <v>126</v>
      </c>
      <c r="I41" s="248">
        <v>1</v>
      </c>
      <c r="J41" s="234">
        <v>62</v>
      </c>
      <c r="K41" s="235">
        <f t="shared" si="1"/>
        <v>3100</v>
      </c>
      <c r="L41" s="254"/>
      <c r="M41" s="242">
        <v>1</v>
      </c>
      <c r="N41" s="234">
        <v>135</v>
      </c>
      <c r="O41" s="237">
        <f t="shared" si="2"/>
        <v>6750</v>
      </c>
      <c r="P41" s="255"/>
      <c r="Q41" s="242">
        <f t="shared" si="3"/>
        <v>2.1774193548387095</v>
      </c>
      <c r="R41" s="234">
        <v>146</v>
      </c>
      <c r="S41" s="237">
        <f t="shared" si="4"/>
        <v>7300</v>
      </c>
      <c r="T41" s="254"/>
      <c r="U41" s="242">
        <f t="shared" si="5"/>
        <v>2.3548387096774195</v>
      </c>
      <c r="V41" s="251"/>
      <c r="W41" s="153"/>
    </row>
    <row r="42" spans="2:23" s="150" customFormat="1" ht="20.100000000000001" customHeight="1">
      <c r="B42" s="151">
        <v>37</v>
      </c>
      <c r="C42" s="239" t="s">
        <v>76</v>
      </c>
      <c r="D42" s="240" t="s">
        <v>113</v>
      </c>
      <c r="E42" s="232" t="s">
        <v>124</v>
      </c>
      <c r="F42" s="232">
        <v>50</v>
      </c>
      <c r="G42" s="233" t="s">
        <v>126</v>
      </c>
      <c r="H42" s="233" t="s">
        <v>126</v>
      </c>
      <c r="I42" s="248">
        <v>1</v>
      </c>
      <c r="J42" s="234">
        <v>87</v>
      </c>
      <c r="K42" s="235">
        <f t="shared" si="1"/>
        <v>4350</v>
      </c>
      <c r="L42" s="254"/>
      <c r="M42" s="242">
        <v>1</v>
      </c>
      <c r="N42" s="234">
        <v>303</v>
      </c>
      <c r="O42" s="237">
        <f t="shared" si="2"/>
        <v>15150</v>
      </c>
      <c r="P42" s="255"/>
      <c r="Q42" s="242">
        <f t="shared" si="3"/>
        <v>3.4827586206896552</v>
      </c>
      <c r="R42" s="234">
        <v>87</v>
      </c>
      <c r="S42" s="237">
        <f t="shared" si="4"/>
        <v>4350</v>
      </c>
      <c r="T42" s="254"/>
      <c r="U42" s="242">
        <f t="shared" si="5"/>
        <v>1</v>
      </c>
      <c r="V42" s="251"/>
      <c r="W42" s="153"/>
    </row>
    <row r="43" spans="2:23" s="150" customFormat="1" ht="20.100000000000001" customHeight="1">
      <c r="B43" s="151">
        <v>38</v>
      </c>
      <c r="C43" s="239" t="s">
        <v>76</v>
      </c>
      <c r="D43" s="240" t="s">
        <v>114</v>
      </c>
      <c r="E43" s="232" t="s">
        <v>124</v>
      </c>
      <c r="F43" s="232">
        <v>50</v>
      </c>
      <c r="G43" s="233" t="s">
        <v>126</v>
      </c>
      <c r="H43" s="233" t="s">
        <v>126</v>
      </c>
      <c r="I43" s="248">
        <v>1</v>
      </c>
      <c r="J43" s="234">
        <v>82</v>
      </c>
      <c r="K43" s="235">
        <f t="shared" si="1"/>
        <v>4100</v>
      </c>
      <c r="L43" s="254"/>
      <c r="M43" s="242">
        <v>1</v>
      </c>
      <c r="N43" s="234">
        <v>292</v>
      </c>
      <c r="O43" s="237">
        <f t="shared" si="2"/>
        <v>14600</v>
      </c>
      <c r="P43" s="255"/>
      <c r="Q43" s="242">
        <f t="shared" si="3"/>
        <v>3.5609756097560976</v>
      </c>
      <c r="R43" s="234">
        <v>82</v>
      </c>
      <c r="S43" s="237">
        <f t="shared" si="4"/>
        <v>4100</v>
      </c>
      <c r="T43" s="254"/>
      <c r="U43" s="242">
        <f t="shared" si="5"/>
        <v>1</v>
      </c>
      <c r="V43" s="251"/>
      <c r="W43" s="153"/>
    </row>
    <row r="44" spans="2:23" s="150" customFormat="1" ht="20.100000000000001" customHeight="1">
      <c r="B44" s="151">
        <v>39</v>
      </c>
      <c r="C44" s="239" t="s">
        <v>76</v>
      </c>
      <c r="D44" s="240" t="s">
        <v>122</v>
      </c>
      <c r="E44" s="232" t="s">
        <v>124</v>
      </c>
      <c r="F44" s="232">
        <v>2</v>
      </c>
      <c r="G44" s="233" t="s">
        <v>126</v>
      </c>
      <c r="H44" s="233" t="s">
        <v>126</v>
      </c>
      <c r="I44" s="248">
        <v>1</v>
      </c>
      <c r="J44" s="234">
        <v>97</v>
      </c>
      <c r="K44" s="235">
        <f t="shared" si="1"/>
        <v>194</v>
      </c>
      <c r="L44" s="254"/>
      <c r="M44" s="242">
        <v>1</v>
      </c>
      <c r="N44" s="234">
        <v>292</v>
      </c>
      <c r="O44" s="237">
        <f t="shared" si="2"/>
        <v>584</v>
      </c>
      <c r="P44" s="255"/>
      <c r="Q44" s="242">
        <f t="shared" si="3"/>
        <v>3.0103092783505154</v>
      </c>
      <c r="R44" s="234">
        <v>97</v>
      </c>
      <c r="S44" s="237">
        <f t="shared" si="4"/>
        <v>194</v>
      </c>
      <c r="T44" s="254"/>
      <c r="U44" s="242">
        <f t="shared" si="5"/>
        <v>1</v>
      </c>
      <c r="V44" s="251"/>
      <c r="W44" s="153"/>
    </row>
    <row r="45" spans="2:23" s="150" customFormat="1" ht="20.100000000000001" customHeight="1">
      <c r="B45" s="151">
        <v>40</v>
      </c>
      <c r="C45" s="239" t="s">
        <v>77</v>
      </c>
      <c r="D45" s="240" t="s">
        <v>115</v>
      </c>
      <c r="E45" s="232" t="s">
        <v>124</v>
      </c>
      <c r="F45" s="232">
        <v>20</v>
      </c>
      <c r="G45" s="233" t="s">
        <v>126</v>
      </c>
      <c r="H45" s="233" t="s">
        <v>126</v>
      </c>
      <c r="I45" s="248">
        <v>1</v>
      </c>
      <c r="J45" s="234">
        <v>25</v>
      </c>
      <c r="K45" s="235">
        <f t="shared" si="1"/>
        <v>500</v>
      </c>
      <c r="L45" s="254"/>
      <c r="M45" s="242">
        <v>1</v>
      </c>
      <c r="N45" s="234">
        <v>25</v>
      </c>
      <c r="O45" s="237">
        <f t="shared" si="2"/>
        <v>500</v>
      </c>
      <c r="P45" s="255"/>
      <c r="Q45" s="242">
        <f t="shared" si="3"/>
        <v>1</v>
      </c>
      <c r="R45" s="234">
        <v>30</v>
      </c>
      <c r="S45" s="237">
        <f t="shared" si="4"/>
        <v>600</v>
      </c>
      <c r="T45" s="254"/>
      <c r="U45" s="242">
        <f t="shared" si="5"/>
        <v>1.2</v>
      </c>
      <c r="V45" s="251"/>
      <c r="W45" s="153"/>
    </row>
    <row r="46" spans="2:23" s="150" customFormat="1" ht="20.100000000000001" customHeight="1">
      <c r="B46" s="151">
        <v>41</v>
      </c>
      <c r="C46" s="239" t="s">
        <v>78</v>
      </c>
      <c r="D46" s="240" t="s">
        <v>116</v>
      </c>
      <c r="E46" s="232" t="s">
        <v>124</v>
      </c>
      <c r="F46" s="232">
        <v>10</v>
      </c>
      <c r="G46" s="233" t="s">
        <v>126</v>
      </c>
      <c r="H46" s="233" t="s">
        <v>126</v>
      </c>
      <c r="I46" s="248">
        <v>1</v>
      </c>
      <c r="J46" s="234">
        <v>20</v>
      </c>
      <c r="K46" s="235">
        <f t="shared" si="1"/>
        <v>200</v>
      </c>
      <c r="L46" s="254"/>
      <c r="M46" s="242">
        <v>1</v>
      </c>
      <c r="N46" s="234">
        <v>40</v>
      </c>
      <c r="O46" s="237">
        <f t="shared" si="2"/>
        <v>400</v>
      </c>
      <c r="P46" s="255"/>
      <c r="Q46" s="242">
        <f t="shared" si="3"/>
        <v>2</v>
      </c>
      <c r="R46" s="234">
        <v>48</v>
      </c>
      <c r="S46" s="237">
        <f t="shared" si="4"/>
        <v>480</v>
      </c>
      <c r="T46" s="254"/>
      <c r="U46" s="242">
        <f t="shared" si="5"/>
        <v>2.4</v>
      </c>
      <c r="V46" s="251"/>
      <c r="W46" s="153"/>
    </row>
    <row r="47" spans="2:23" s="150" customFormat="1" ht="20.100000000000001" customHeight="1">
      <c r="B47" s="151">
        <v>42</v>
      </c>
      <c r="C47" s="239" t="s">
        <v>79</v>
      </c>
      <c r="D47" s="240" t="s">
        <v>117</v>
      </c>
      <c r="E47" s="232" t="s">
        <v>124</v>
      </c>
      <c r="F47" s="232">
        <v>40</v>
      </c>
      <c r="G47" s="241">
        <v>40</v>
      </c>
      <c r="H47" s="233">
        <f t="shared" si="6"/>
        <v>1600</v>
      </c>
      <c r="I47" s="248">
        <f t="shared" si="0"/>
        <v>1.2903225806451613</v>
      </c>
      <c r="J47" s="234">
        <v>31</v>
      </c>
      <c r="K47" s="235">
        <f t="shared" si="1"/>
        <v>1240</v>
      </c>
      <c r="L47" s="254"/>
      <c r="M47" s="242">
        <v>1</v>
      </c>
      <c r="N47" s="234">
        <v>31</v>
      </c>
      <c r="O47" s="237">
        <f t="shared" si="2"/>
        <v>1240</v>
      </c>
      <c r="P47" s="255"/>
      <c r="Q47" s="242">
        <f t="shared" si="3"/>
        <v>1</v>
      </c>
      <c r="R47" s="234">
        <v>35</v>
      </c>
      <c r="S47" s="237">
        <f t="shared" si="4"/>
        <v>1400</v>
      </c>
      <c r="T47" s="254"/>
      <c r="U47" s="242">
        <f t="shared" si="5"/>
        <v>1.1290322580645162</v>
      </c>
      <c r="V47" s="251"/>
      <c r="W47" s="153"/>
    </row>
    <row r="48" spans="2:23" s="150" customFormat="1" ht="20.100000000000001" customHeight="1">
      <c r="B48" s="151">
        <v>43</v>
      </c>
      <c r="C48" s="239" t="s">
        <v>79</v>
      </c>
      <c r="D48" s="240" t="s">
        <v>118</v>
      </c>
      <c r="E48" s="232" t="s">
        <v>124</v>
      </c>
      <c r="F48" s="232">
        <v>6</v>
      </c>
      <c r="G48" s="241" t="s">
        <v>126</v>
      </c>
      <c r="H48" s="233" t="s">
        <v>126</v>
      </c>
      <c r="I48" s="248">
        <v>1</v>
      </c>
      <c r="J48" s="234">
        <v>68</v>
      </c>
      <c r="K48" s="235">
        <f t="shared" si="1"/>
        <v>408</v>
      </c>
      <c r="L48" s="254"/>
      <c r="M48" s="242">
        <v>1</v>
      </c>
      <c r="N48" s="234">
        <v>94</v>
      </c>
      <c r="O48" s="237">
        <f t="shared" si="2"/>
        <v>564</v>
      </c>
      <c r="P48" s="255"/>
      <c r="Q48" s="242">
        <f t="shared" si="3"/>
        <v>1.3823529411764706</v>
      </c>
      <c r="R48" s="234">
        <v>56</v>
      </c>
      <c r="S48" s="237">
        <f t="shared" si="4"/>
        <v>336</v>
      </c>
      <c r="T48" s="254"/>
      <c r="U48" s="242">
        <f t="shared" si="5"/>
        <v>0.82352941176470584</v>
      </c>
      <c r="V48" s="251"/>
      <c r="W48" s="153"/>
    </row>
    <row r="49" spans="1:27" s="150" customFormat="1" ht="20.100000000000001" customHeight="1">
      <c r="B49" s="397">
        <v>44</v>
      </c>
      <c r="C49" s="398" t="s">
        <v>79</v>
      </c>
      <c r="D49" s="399" t="s">
        <v>119</v>
      </c>
      <c r="E49" s="400" t="s">
        <v>124</v>
      </c>
      <c r="F49" s="400">
        <v>6</v>
      </c>
      <c r="G49" s="401">
        <v>98</v>
      </c>
      <c r="H49" s="402">
        <f t="shared" si="6"/>
        <v>588</v>
      </c>
      <c r="I49" s="403">
        <f t="shared" si="0"/>
        <v>1</v>
      </c>
      <c r="J49" s="404">
        <v>98</v>
      </c>
      <c r="K49" s="405">
        <f t="shared" si="1"/>
        <v>588</v>
      </c>
      <c r="L49" s="406"/>
      <c r="M49" s="407">
        <v>1</v>
      </c>
      <c r="N49" s="404">
        <v>105</v>
      </c>
      <c r="O49" s="408">
        <f t="shared" si="2"/>
        <v>630</v>
      </c>
      <c r="P49" s="409"/>
      <c r="Q49" s="407">
        <f t="shared" si="3"/>
        <v>1.0714285714285714</v>
      </c>
      <c r="R49" s="404">
        <v>106</v>
      </c>
      <c r="S49" s="408">
        <f t="shared" si="4"/>
        <v>636</v>
      </c>
      <c r="T49" s="406"/>
      <c r="U49" s="407">
        <f t="shared" si="5"/>
        <v>1.0816326530612246</v>
      </c>
      <c r="V49" s="410"/>
      <c r="W49" s="153"/>
    </row>
    <row r="50" spans="1:27" s="150" customFormat="1" ht="20.100000000000001" customHeight="1">
      <c r="B50" s="151">
        <v>45</v>
      </c>
      <c r="C50" s="239" t="s">
        <v>79</v>
      </c>
      <c r="D50" s="240" t="s">
        <v>120</v>
      </c>
      <c r="E50" s="232" t="s">
        <v>124</v>
      </c>
      <c r="F50" s="232">
        <v>6</v>
      </c>
      <c r="G50" s="241" t="s">
        <v>126</v>
      </c>
      <c r="H50" s="233" t="s">
        <v>126</v>
      </c>
      <c r="I50" s="248">
        <v>1</v>
      </c>
      <c r="J50" s="234">
        <v>110</v>
      </c>
      <c r="K50" s="235">
        <f t="shared" si="1"/>
        <v>660</v>
      </c>
      <c r="L50" s="254"/>
      <c r="M50" s="242">
        <v>1</v>
      </c>
      <c r="N50" s="234">
        <v>110</v>
      </c>
      <c r="O50" s="237">
        <f t="shared" si="2"/>
        <v>660</v>
      </c>
      <c r="P50" s="255"/>
      <c r="Q50" s="242">
        <f t="shared" si="3"/>
        <v>1</v>
      </c>
      <c r="R50" s="234">
        <v>110</v>
      </c>
      <c r="S50" s="237">
        <f t="shared" si="4"/>
        <v>660</v>
      </c>
      <c r="T50" s="254"/>
      <c r="U50" s="242">
        <f t="shared" si="5"/>
        <v>1</v>
      </c>
      <c r="V50" s="251"/>
      <c r="W50" s="153"/>
    </row>
    <row r="51" spans="1:27" s="150" customFormat="1" ht="20.100000000000001" customHeight="1">
      <c r="B51" s="151">
        <v>46</v>
      </c>
      <c r="C51" s="239" t="s">
        <v>80</v>
      </c>
      <c r="D51" s="240" t="s">
        <v>121</v>
      </c>
      <c r="E51" s="232" t="s">
        <v>124</v>
      </c>
      <c r="F51" s="232">
        <v>1</v>
      </c>
      <c r="G51" s="241" t="s">
        <v>126</v>
      </c>
      <c r="H51" s="233" t="s">
        <v>126</v>
      </c>
      <c r="I51" s="248">
        <v>1</v>
      </c>
      <c r="J51" s="234">
        <v>8.25</v>
      </c>
      <c r="K51" s="235">
        <f t="shared" si="1"/>
        <v>8.25</v>
      </c>
      <c r="L51" s="254"/>
      <c r="M51" s="242">
        <v>1</v>
      </c>
      <c r="N51" s="234">
        <v>11</v>
      </c>
      <c r="O51" s="237">
        <f t="shared" si="2"/>
        <v>11</v>
      </c>
      <c r="P51" s="255"/>
      <c r="Q51" s="242">
        <f t="shared" si="3"/>
        <v>1.3333333333333333</v>
      </c>
      <c r="R51" s="234">
        <v>28</v>
      </c>
      <c r="S51" s="237">
        <f t="shared" si="4"/>
        <v>28</v>
      </c>
      <c r="T51" s="254"/>
      <c r="U51" s="242">
        <f t="shared" si="5"/>
        <v>3.393939393939394</v>
      </c>
      <c r="V51" s="251"/>
      <c r="W51" s="153"/>
    </row>
    <row r="52" spans="1:27" s="150" customFormat="1" ht="20.100000000000001" customHeight="1">
      <c r="B52" s="151">
        <v>47</v>
      </c>
      <c r="C52" s="239" t="s">
        <v>81</v>
      </c>
      <c r="D52" s="240" t="s">
        <v>123</v>
      </c>
      <c r="E52" s="232" t="s">
        <v>124</v>
      </c>
      <c r="F52" s="232">
        <v>6</v>
      </c>
      <c r="G52" s="241">
        <v>22</v>
      </c>
      <c r="H52" s="233">
        <f t="shared" si="6"/>
        <v>132</v>
      </c>
      <c r="I52" s="248">
        <f t="shared" si="0"/>
        <v>1.1000000000000001</v>
      </c>
      <c r="J52" s="234">
        <v>20</v>
      </c>
      <c r="K52" s="235">
        <f t="shared" si="1"/>
        <v>120</v>
      </c>
      <c r="L52" s="255"/>
      <c r="M52" s="242">
        <v>1</v>
      </c>
      <c r="N52" s="234">
        <v>22</v>
      </c>
      <c r="O52" s="237">
        <f t="shared" si="2"/>
        <v>132</v>
      </c>
      <c r="P52" s="255"/>
      <c r="Q52" s="242">
        <f t="shared" si="3"/>
        <v>1.1000000000000001</v>
      </c>
      <c r="R52" s="234">
        <v>15</v>
      </c>
      <c r="S52" s="237">
        <f t="shared" si="4"/>
        <v>90</v>
      </c>
      <c r="T52" s="255"/>
      <c r="U52" s="242">
        <f t="shared" si="5"/>
        <v>0.75</v>
      </c>
      <c r="V52" s="154"/>
      <c r="W52" s="153"/>
    </row>
    <row r="53" spans="1:27" s="150" customFormat="1" ht="20.100000000000001" customHeight="1">
      <c r="B53" s="151">
        <v>48</v>
      </c>
      <c r="C53" s="230" t="s">
        <v>82</v>
      </c>
      <c r="D53" s="252"/>
      <c r="E53" s="232" t="s">
        <v>124</v>
      </c>
      <c r="F53" s="232">
        <v>4</v>
      </c>
      <c r="G53" s="241">
        <v>16</v>
      </c>
      <c r="H53" s="233">
        <f t="shared" si="6"/>
        <v>64</v>
      </c>
      <c r="I53" s="248">
        <f t="shared" si="0"/>
        <v>1.1428571428571428</v>
      </c>
      <c r="J53" s="234">
        <v>14</v>
      </c>
      <c r="K53" s="235">
        <f t="shared" si="1"/>
        <v>56</v>
      </c>
      <c r="L53" s="255"/>
      <c r="M53" s="242">
        <v>1</v>
      </c>
      <c r="N53" s="243">
        <v>17</v>
      </c>
      <c r="O53" s="237">
        <f>N53*F53</f>
        <v>68</v>
      </c>
      <c r="P53" s="255"/>
      <c r="Q53" s="242">
        <f t="shared" si="3"/>
        <v>1.2142857142857142</v>
      </c>
      <c r="R53" s="235">
        <v>14</v>
      </c>
      <c r="S53" s="237">
        <f t="shared" si="4"/>
        <v>56</v>
      </c>
      <c r="T53" s="255"/>
      <c r="U53" s="242">
        <f t="shared" si="5"/>
        <v>1</v>
      </c>
      <c r="V53" s="155"/>
      <c r="W53" s="153"/>
    </row>
    <row r="54" spans="1:27" s="133" customFormat="1" ht="33" customHeight="1">
      <c r="A54" s="134"/>
      <c r="B54" s="250"/>
      <c r="C54" s="339" t="s">
        <v>21</v>
      </c>
      <c r="D54" s="340"/>
      <c r="E54" s="340"/>
      <c r="F54" s="340"/>
      <c r="G54" s="327" t="str">
        <f>G4</f>
        <v>Previous Price</v>
      </c>
      <c r="H54" s="328"/>
      <c r="I54" s="329"/>
      <c r="J54" s="327" t="str">
        <f>J4</f>
        <v>YATCO ( YAQOOT ARABIA TRADING COMPANY)</v>
      </c>
      <c r="K54" s="380"/>
      <c r="L54" s="380"/>
      <c r="M54" s="381"/>
      <c r="N54" s="327" t="str">
        <f>N4</f>
        <v>MASCO (MOHAMMED BIN ALI BIN SALMAN AL SHALAB CONTRACTING COMPANY)</v>
      </c>
      <c r="O54" s="380"/>
      <c r="P54" s="380"/>
      <c r="Q54" s="381"/>
      <c r="R54" s="382" t="str">
        <f>R4</f>
        <v>GULF KEY TRADING EST</v>
      </c>
      <c r="S54" s="383"/>
      <c r="T54" s="383"/>
      <c r="U54" s="384"/>
      <c r="V54" s="249"/>
      <c r="W54" s="156"/>
    </row>
    <row r="55" spans="1:27" s="133" customFormat="1" ht="21.75" customHeight="1">
      <c r="A55" s="134"/>
      <c r="B55" s="157"/>
      <c r="C55" s="158"/>
      <c r="D55" s="385" t="s">
        <v>22</v>
      </c>
      <c r="E55" s="385"/>
      <c r="F55" s="386"/>
      <c r="G55" s="323">
        <f>SUM(H6:H53)</f>
        <v>11694</v>
      </c>
      <c r="H55" s="324"/>
      <c r="I55" s="161">
        <f>AVERAGE(I6:I53)</f>
        <v>1.168901445105649</v>
      </c>
      <c r="J55" s="246"/>
      <c r="K55" s="244">
        <f>SUM(K6:K53)</f>
        <v>45941.25</v>
      </c>
      <c r="L55" s="160"/>
      <c r="M55" s="161">
        <f>AVERAGE(M6:M44)</f>
        <v>1</v>
      </c>
      <c r="N55" s="162"/>
      <c r="O55" s="244">
        <f>SUM(O6:O53)</f>
        <v>83108</v>
      </c>
      <c r="P55" s="159"/>
      <c r="Q55" s="163">
        <f>O55/K55</f>
        <v>1.8090060675319022</v>
      </c>
      <c r="R55" s="162"/>
      <c r="S55" s="244">
        <f>SUM(S6:S53)</f>
        <v>68781</v>
      </c>
      <c r="T55" s="159"/>
      <c r="U55" s="164">
        <f>S55/K55</f>
        <v>1.4971512529589421</v>
      </c>
      <c r="V55" s="165"/>
      <c r="W55" s="156"/>
    </row>
    <row r="56" spans="1:27" ht="21.75" customHeight="1" thickBot="1">
      <c r="B56" s="166"/>
      <c r="C56" s="336" t="s">
        <v>23</v>
      </c>
      <c r="D56" s="337"/>
      <c r="E56" s="337"/>
      <c r="F56" s="338"/>
      <c r="G56" s="325">
        <f>G55*15%</f>
        <v>1754.1</v>
      </c>
      <c r="H56" s="326"/>
      <c r="I56" s="170"/>
      <c r="J56" s="167"/>
      <c r="K56" s="245">
        <f>K55*15%</f>
        <v>6891.1875</v>
      </c>
      <c r="L56" s="169"/>
      <c r="M56" s="170"/>
      <c r="N56" s="171"/>
      <c r="O56" s="245">
        <f>O55*15%</f>
        <v>12466.199999999999</v>
      </c>
      <c r="P56" s="169"/>
      <c r="Q56" s="170"/>
      <c r="R56" s="171"/>
      <c r="S56" s="245">
        <f>S55*15%</f>
        <v>10317.15</v>
      </c>
      <c r="T56" s="168"/>
      <c r="U56" s="172"/>
      <c r="V56" s="173"/>
      <c r="W56" s="156"/>
    </row>
    <row r="57" spans="1:27" ht="25.15" customHeight="1" thickBot="1">
      <c r="B57" s="333" t="s">
        <v>45</v>
      </c>
      <c r="C57" s="334"/>
      <c r="D57" s="334"/>
      <c r="E57" s="334"/>
      <c r="F57" s="335"/>
      <c r="G57" s="321">
        <f>SUM(G55:H56)</f>
        <v>13448.1</v>
      </c>
      <c r="H57" s="322"/>
      <c r="I57" s="247">
        <f>AVERAGE(I6:I53)</f>
        <v>1.168901445105649</v>
      </c>
      <c r="J57" s="247"/>
      <c r="K57" s="175">
        <f>SUM(K55:K56)</f>
        <v>52832.4375</v>
      </c>
      <c r="L57" s="176"/>
      <c r="M57" s="177">
        <v>1</v>
      </c>
      <c r="N57" s="178"/>
      <c r="O57" s="175">
        <f>SUM(O55:O56)</f>
        <v>95574.2</v>
      </c>
      <c r="P57" s="176"/>
      <c r="Q57" s="179">
        <f>O57/K57</f>
        <v>1.8090060675319022</v>
      </c>
      <c r="R57" s="174"/>
      <c r="S57" s="175">
        <f>SUM(S55:S56)</f>
        <v>79098.149999999994</v>
      </c>
      <c r="T57" s="176"/>
      <c r="U57" s="177">
        <f>S57/K57</f>
        <v>1.4971512529589419</v>
      </c>
      <c r="V57" s="180"/>
      <c r="W57" s="181"/>
    </row>
    <row r="58" spans="1:27" s="182" customFormat="1" ht="12" customHeight="1">
      <c r="B58" s="183"/>
      <c r="C58" s="184"/>
      <c r="D58" s="184"/>
      <c r="E58" s="185"/>
      <c r="F58" s="185"/>
      <c r="G58" s="185"/>
      <c r="H58" s="185"/>
      <c r="I58" s="185"/>
      <c r="J58" s="186"/>
      <c r="K58" s="186"/>
      <c r="L58" s="186"/>
      <c r="M58" s="187"/>
      <c r="N58" s="186"/>
      <c r="O58" s="186"/>
      <c r="P58" s="186"/>
      <c r="Q58" s="187"/>
      <c r="R58" s="187"/>
      <c r="S58" s="187"/>
      <c r="T58" s="187"/>
      <c r="U58" s="187"/>
      <c r="V58" s="188"/>
      <c r="W58" s="189"/>
      <c r="X58" s="190"/>
      <c r="Y58" s="190"/>
      <c r="Z58" s="190"/>
      <c r="AA58" s="190"/>
    </row>
    <row r="59" spans="1:27" ht="18" customHeight="1" thickBot="1">
      <c r="A59" s="135" t="s">
        <v>44</v>
      </c>
      <c r="B59" s="135"/>
      <c r="C59" s="136"/>
      <c r="D59" s="137"/>
      <c r="E59" s="135"/>
      <c r="F59" s="135"/>
      <c r="G59" s="135"/>
      <c r="H59" s="135"/>
      <c r="I59" s="135"/>
      <c r="J59" s="135"/>
      <c r="K59" s="135"/>
      <c r="L59" s="135"/>
      <c r="M59" s="138"/>
      <c r="N59" s="135"/>
      <c r="O59" s="135"/>
      <c r="P59" s="135"/>
      <c r="Q59" s="138"/>
      <c r="R59" s="138"/>
      <c r="S59" s="138"/>
      <c r="T59" s="138"/>
      <c r="U59" s="138"/>
      <c r="V59" s="142" t="s">
        <v>25</v>
      </c>
      <c r="W59" s="142"/>
    </row>
    <row r="60" spans="1:27" ht="23.25" customHeight="1" thickBot="1">
      <c r="B60" s="143" t="s">
        <v>46</v>
      </c>
      <c r="C60" s="372" t="s">
        <v>47</v>
      </c>
      <c r="D60" s="373"/>
      <c r="E60" s="372" t="s">
        <v>48</v>
      </c>
      <c r="F60" s="374"/>
      <c r="G60" s="374"/>
      <c r="H60" s="374"/>
      <c r="I60" s="373"/>
      <c r="J60" s="362" t="s">
        <v>49</v>
      </c>
      <c r="K60" s="363"/>
      <c r="L60" s="364" t="s">
        <v>50</v>
      </c>
      <c r="M60" s="365"/>
      <c r="N60" s="362" t="s">
        <v>51</v>
      </c>
      <c r="O60" s="363"/>
      <c r="P60" s="364" t="s">
        <v>50</v>
      </c>
      <c r="Q60" s="365"/>
      <c r="R60" s="362" t="s">
        <v>51</v>
      </c>
      <c r="S60" s="363"/>
      <c r="T60" s="364" t="s">
        <v>50</v>
      </c>
      <c r="U60" s="365"/>
      <c r="V60" s="191" t="s">
        <v>52</v>
      </c>
      <c r="W60" s="192"/>
    </row>
    <row r="61" spans="1:27" s="182" customFormat="1" ht="25.15" customHeight="1" thickTop="1">
      <c r="B61" s="193">
        <v>1</v>
      </c>
      <c r="C61" s="366" t="str">
        <f>+J54</f>
        <v>YATCO ( YAQOOT ARABIA TRADING COMPANY)</v>
      </c>
      <c r="D61" s="367"/>
      <c r="E61" s="353">
        <f>K57</f>
        <v>52832.4375</v>
      </c>
      <c r="F61" s="354"/>
      <c r="G61" s="354"/>
      <c r="H61" s="354"/>
      <c r="I61" s="355"/>
      <c r="J61" s="368">
        <f>K57</f>
        <v>52832.4375</v>
      </c>
      <c r="K61" s="369"/>
      <c r="L61" s="370">
        <v>1</v>
      </c>
      <c r="M61" s="371"/>
      <c r="N61" s="368">
        <f>E61</f>
        <v>52832.4375</v>
      </c>
      <c r="O61" s="369"/>
      <c r="P61" s="370">
        <f>N61/E61</f>
        <v>1</v>
      </c>
      <c r="Q61" s="371">
        <f>N61/E61</f>
        <v>1</v>
      </c>
      <c r="R61" s="368">
        <f>E61</f>
        <v>52832.4375</v>
      </c>
      <c r="S61" s="369"/>
      <c r="T61" s="370">
        <f>R61/E61</f>
        <v>1</v>
      </c>
      <c r="U61" s="371">
        <f>R61/E61</f>
        <v>1</v>
      </c>
      <c r="V61" s="194"/>
      <c r="W61" s="195"/>
      <c r="X61" s="190"/>
      <c r="Y61" s="190"/>
      <c r="Z61" s="190"/>
      <c r="AA61" s="190"/>
    </row>
    <row r="62" spans="1:27" s="182" customFormat="1" ht="25.15" customHeight="1">
      <c r="B62" s="196">
        <v>2</v>
      </c>
      <c r="C62" s="345" t="str">
        <f>+N54</f>
        <v>MASCO (MOHAMMED BIN ALI BIN SALMAN AL SHALAB CONTRACTING COMPANY)</v>
      </c>
      <c r="D62" s="346"/>
      <c r="E62" s="356"/>
      <c r="F62" s="357"/>
      <c r="G62" s="357"/>
      <c r="H62" s="357"/>
      <c r="I62" s="358"/>
      <c r="J62" s="347">
        <f>O57</f>
        <v>95574.2</v>
      </c>
      <c r="K62" s="348"/>
      <c r="L62" s="349">
        <f>J62/E61</f>
        <v>1.8090060675319022</v>
      </c>
      <c r="M62" s="350"/>
      <c r="N62" s="347">
        <f>J62</f>
        <v>95574.2</v>
      </c>
      <c r="O62" s="348"/>
      <c r="P62" s="349">
        <f>N62/E61</f>
        <v>1.8090060675319022</v>
      </c>
      <c r="Q62" s="350">
        <v>1</v>
      </c>
      <c r="R62" s="347">
        <f>N62</f>
        <v>95574.2</v>
      </c>
      <c r="S62" s="348"/>
      <c r="T62" s="349">
        <f>R62/E61</f>
        <v>1.8090060675319022</v>
      </c>
      <c r="U62" s="350">
        <v>1</v>
      </c>
      <c r="V62" s="197"/>
      <c r="W62" s="195"/>
      <c r="X62" s="190"/>
      <c r="Y62" s="190"/>
      <c r="Z62" s="190"/>
      <c r="AA62" s="190"/>
    </row>
    <row r="63" spans="1:27" s="182" customFormat="1" ht="25.15" customHeight="1" thickBot="1">
      <c r="B63" s="198">
        <v>3</v>
      </c>
      <c r="C63" s="351" t="str">
        <f>+R54</f>
        <v>GULF KEY TRADING EST</v>
      </c>
      <c r="D63" s="352"/>
      <c r="E63" s="359"/>
      <c r="F63" s="360"/>
      <c r="G63" s="360"/>
      <c r="H63" s="360"/>
      <c r="I63" s="361"/>
      <c r="J63" s="343">
        <f>S57</f>
        <v>79098.149999999994</v>
      </c>
      <c r="K63" s="344"/>
      <c r="L63" s="341">
        <f>J63/E61</f>
        <v>1.4971512529589419</v>
      </c>
      <c r="M63" s="342"/>
      <c r="N63" s="343">
        <f>J63</f>
        <v>79098.149999999994</v>
      </c>
      <c r="O63" s="344"/>
      <c r="P63" s="341">
        <f>N63/E61</f>
        <v>1.4971512529589419</v>
      </c>
      <c r="Q63" s="342"/>
      <c r="R63" s="343">
        <f>J63</f>
        <v>79098.149999999994</v>
      </c>
      <c r="S63" s="344"/>
      <c r="T63" s="341">
        <f>R63/E61</f>
        <v>1.4971512529589419</v>
      </c>
      <c r="U63" s="342"/>
      <c r="V63" s="199"/>
      <c r="W63" s="195"/>
      <c r="X63" s="190"/>
      <c r="Y63" s="190"/>
      <c r="Z63" s="190"/>
      <c r="AA63" s="190"/>
    </row>
    <row r="64" spans="1:27" s="182" customFormat="1" ht="12" customHeight="1">
      <c r="B64" s="183"/>
      <c r="C64" s="184"/>
      <c r="D64" s="184"/>
      <c r="E64" s="185"/>
      <c r="F64" s="185"/>
      <c r="G64" s="185"/>
      <c r="H64" s="185"/>
      <c r="I64" s="185"/>
      <c r="J64" s="186"/>
      <c r="K64" s="186"/>
      <c r="L64" s="186"/>
      <c r="M64" s="187"/>
      <c r="N64" s="186"/>
      <c r="O64" s="186"/>
      <c r="P64" s="186"/>
      <c r="Q64" s="187"/>
      <c r="R64" s="187"/>
      <c r="S64" s="187"/>
      <c r="T64" s="187"/>
      <c r="U64" s="187"/>
      <c r="V64" s="188"/>
      <c r="W64" s="189"/>
      <c r="X64" s="190"/>
      <c r="Y64" s="190"/>
      <c r="Z64" s="190"/>
      <c r="AA64" s="190"/>
    </row>
    <row r="65" spans="1:27" ht="18" customHeight="1" thickBot="1">
      <c r="A65" s="135" t="s">
        <v>53</v>
      </c>
      <c r="B65" s="135"/>
      <c r="C65" s="136"/>
      <c r="D65" s="137"/>
      <c r="E65" s="135"/>
      <c r="F65" s="135"/>
      <c r="G65" s="135"/>
      <c r="H65" s="135"/>
      <c r="I65" s="135"/>
      <c r="J65" s="135"/>
      <c r="K65" s="135"/>
      <c r="L65" s="135"/>
      <c r="M65" s="138"/>
      <c r="N65" s="135"/>
      <c r="O65" s="135"/>
      <c r="P65" s="135"/>
      <c r="Q65" s="138"/>
      <c r="R65" s="138"/>
      <c r="S65" s="138"/>
      <c r="T65" s="138"/>
      <c r="U65" s="138"/>
      <c r="V65" s="135"/>
      <c r="W65" s="135"/>
    </row>
    <row r="66" spans="1:27" ht="19.899999999999999" customHeight="1">
      <c r="A66" s="135"/>
      <c r="B66" s="200" t="s">
        <v>55</v>
      </c>
      <c r="C66" s="201"/>
      <c r="D66" s="202"/>
      <c r="E66" s="203"/>
      <c r="F66" s="204"/>
      <c r="G66" s="204"/>
      <c r="H66" s="204"/>
      <c r="I66" s="204"/>
      <c r="J66" s="204"/>
      <c r="K66" s="204"/>
      <c r="L66" s="204"/>
      <c r="M66" s="205"/>
      <c r="N66" s="204"/>
      <c r="O66" s="204"/>
      <c r="P66" s="204"/>
      <c r="Q66" s="205"/>
      <c r="R66" s="205"/>
      <c r="S66" s="205"/>
      <c r="T66" s="205"/>
      <c r="U66" s="205"/>
      <c r="V66" s="206"/>
      <c r="W66" s="135"/>
    </row>
    <row r="67" spans="1:27" ht="19.899999999999999" customHeight="1" thickBot="1">
      <c r="A67" s="135"/>
      <c r="B67" s="207"/>
      <c r="C67" s="208"/>
      <c r="D67" s="209"/>
      <c r="E67" s="210"/>
      <c r="F67" s="211"/>
      <c r="G67" s="211"/>
      <c r="H67" s="211"/>
      <c r="I67" s="211"/>
      <c r="J67" s="211"/>
      <c r="K67" s="211"/>
      <c r="L67" s="211"/>
      <c r="M67" s="212"/>
      <c r="N67" s="211"/>
      <c r="O67" s="211"/>
      <c r="P67" s="211"/>
      <c r="Q67" s="212"/>
      <c r="R67" s="212"/>
      <c r="S67" s="212"/>
      <c r="T67" s="212"/>
      <c r="U67" s="212"/>
      <c r="V67" s="213"/>
      <c r="W67" s="135"/>
    </row>
    <row r="68" spans="1:27" s="182" customFormat="1" ht="12" customHeight="1">
      <c r="B68" s="183"/>
      <c r="C68" s="184"/>
      <c r="D68" s="184"/>
      <c r="E68" s="185"/>
      <c r="F68" s="185"/>
      <c r="G68" s="185"/>
      <c r="H68" s="185"/>
      <c r="I68" s="185"/>
      <c r="J68" s="186"/>
      <c r="K68" s="186"/>
      <c r="L68" s="186"/>
      <c r="M68" s="187"/>
      <c r="N68" s="186"/>
      <c r="O68" s="186"/>
      <c r="P68" s="186"/>
      <c r="Q68" s="187"/>
      <c r="R68" s="187"/>
      <c r="S68" s="187"/>
      <c r="T68" s="187"/>
      <c r="U68" s="187"/>
      <c r="V68" s="188"/>
      <c r="W68" s="189"/>
      <c r="X68" s="190"/>
      <c r="Y68" s="190"/>
      <c r="Z68" s="190"/>
      <c r="AA68" s="190"/>
    </row>
    <row r="69" spans="1:27" ht="18" customHeight="1" thickBot="1">
      <c r="A69" s="135" t="s">
        <v>54</v>
      </c>
      <c r="B69" s="135"/>
      <c r="C69" s="136"/>
      <c r="D69" s="137"/>
      <c r="E69" s="135"/>
      <c r="F69" s="135"/>
      <c r="G69" s="135"/>
      <c r="H69" s="135"/>
      <c r="I69" s="135"/>
      <c r="J69" s="135"/>
      <c r="K69" s="135"/>
      <c r="L69" s="135"/>
      <c r="M69" s="138"/>
      <c r="N69" s="135"/>
      <c r="O69" s="135"/>
      <c r="P69" s="135"/>
      <c r="Q69" s="138"/>
      <c r="R69" s="138"/>
      <c r="S69" s="138"/>
      <c r="T69" s="138"/>
      <c r="U69" s="138"/>
      <c r="V69" s="135"/>
      <c r="W69" s="135"/>
    </row>
    <row r="70" spans="1:27" ht="24.95" customHeight="1" thickBot="1">
      <c r="A70" s="135"/>
      <c r="B70" s="214" t="str">
        <f>CONCATENATE("1) Selected"," ' ",J4," ' ","asthevendorofferingthelowestpricewhilemeetingallrequiredqualitystandards.")</f>
        <v>1) Selected ' YATCO ( YAQOOT ARABIA TRADING COMPANY) ' asthevendorofferingthelowestpricewhilemeetingallrequiredqualitystandards.</v>
      </c>
      <c r="C70" s="215"/>
      <c r="D70" s="216"/>
      <c r="E70" s="217"/>
      <c r="F70" s="218"/>
      <c r="G70" s="218"/>
      <c r="H70" s="218"/>
      <c r="I70" s="218"/>
      <c r="J70" s="218"/>
      <c r="K70" s="218"/>
      <c r="L70" s="218"/>
      <c r="M70" s="219"/>
      <c r="N70" s="218"/>
      <c r="O70" s="218"/>
      <c r="P70" s="218"/>
      <c r="Q70" s="219"/>
      <c r="R70" s="219"/>
      <c r="S70" s="219"/>
      <c r="T70" s="219"/>
      <c r="U70" s="219"/>
      <c r="V70" s="220"/>
      <c r="W70" s="135"/>
    </row>
    <row r="71" spans="1:27" ht="18" customHeight="1">
      <c r="A71" s="135"/>
      <c r="B71" s="221"/>
      <c r="C71" s="222"/>
      <c r="D71" s="223"/>
      <c r="E71" s="221"/>
      <c r="F71" s="135"/>
      <c r="G71" s="135"/>
      <c r="H71" s="135"/>
      <c r="I71" s="135"/>
      <c r="J71" s="135"/>
      <c r="K71" s="135"/>
      <c r="L71" s="135"/>
      <c r="M71" s="138"/>
      <c r="N71" s="135"/>
      <c r="O71" s="135"/>
      <c r="P71" s="135"/>
      <c r="Q71" s="138"/>
      <c r="R71" s="138"/>
      <c r="S71" s="138"/>
      <c r="T71" s="138"/>
      <c r="U71" s="138"/>
      <c r="V71" s="135"/>
      <c r="W71" s="135"/>
    </row>
    <row r="72" spans="1:27" s="227" customFormat="1" ht="15" customHeight="1">
      <c r="A72" s="134"/>
      <c r="B72" s="224"/>
      <c r="C72" s="225"/>
      <c r="D72" s="226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133"/>
      <c r="Y72" s="133"/>
      <c r="Z72" s="133"/>
      <c r="AA72" s="133"/>
    </row>
    <row r="73" spans="1:27" s="227" customFormat="1" ht="18" customHeight="1">
      <c r="A73" s="134"/>
      <c r="B73" s="134"/>
      <c r="C73" s="139"/>
      <c r="D73" s="226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134"/>
      <c r="W73" s="134"/>
      <c r="X73" s="133"/>
      <c r="Y73" s="133"/>
      <c r="Z73" s="133"/>
      <c r="AA73" s="133"/>
    </row>
    <row r="74" spans="1:27" s="227" customFormat="1" ht="18" customHeight="1">
      <c r="A74" s="134"/>
      <c r="B74" s="134"/>
      <c r="C74" s="139"/>
      <c r="D74" s="226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134"/>
      <c r="W74" s="134"/>
      <c r="X74" s="133"/>
      <c r="Y74" s="133"/>
      <c r="Z74" s="133"/>
      <c r="AA74" s="133"/>
    </row>
    <row r="75" spans="1:27" s="227" customFormat="1" ht="18" customHeight="1">
      <c r="A75" s="134"/>
      <c r="B75" s="134"/>
      <c r="C75" s="139"/>
      <c r="D75" s="226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134"/>
      <c r="W75" s="134"/>
      <c r="X75" s="133"/>
      <c r="Y75" s="133"/>
      <c r="Z75" s="133"/>
      <c r="AA75" s="133"/>
    </row>
    <row r="76" spans="1:27" s="227" customFormat="1" ht="18" customHeight="1">
      <c r="A76" s="134"/>
      <c r="B76" s="134"/>
      <c r="C76" s="139"/>
      <c r="D76" s="226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134"/>
      <c r="W76" s="134"/>
      <c r="X76" s="133"/>
      <c r="Y76" s="133"/>
      <c r="Z76" s="133"/>
      <c r="AA76" s="133"/>
    </row>
  </sheetData>
  <mergeCells count="52">
    <mergeCell ref="J54:M54"/>
    <mergeCell ref="N54:Q54"/>
    <mergeCell ref="R54:U54"/>
    <mergeCell ref="D55:F55"/>
    <mergeCell ref="B4:B5"/>
    <mergeCell ref="C4:C5"/>
    <mergeCell ref="D4:D5"/>
    <mergeCell ref="E4:E5"/>
    <mergeCell ref="F4:F5"/>
    <mergeCell ref="N4:Q4"/>
    <mergeCell ref="R4:U4"/>
    <mergeCell ref="V4:V5"/>
    <mergeCell ref="J4:M4"/>
    <mergeCell ref="R60:S60"/>
    <mergeCell ref="T60:U60"/>
    <mergeCell ref="C61:D61"/>
    <mergeCell ref="J61:K61"/>
    <mergeCell ref="L61:M61"/>
    <mergeCell ref="N61:O61"/>
    <mergeCell ref="P61:Q61"/>
    <mergeCell ref="R61:S61"/>
    <mergeCell ref="T61:U61"/>
    <mergeCell ref="P60:Q60"/>
    <mergeCell ref="J60:K60"/>
    <mergeCell ref="L60:M60"/>
    <mergeCell ref="N60:O60"/>
    <mergeCell ref="C60:D60"/>
    <mergeCell ref="E60:I60"/>
    <mergeCell ref="P63:Q63"/>
    <mergeCell ref="R63:S63"/>
    <mergeCell ref="T63:U63"/>
    <mergeCell ref="C62:D62"/>
    <mergeCell ref="J62:K62"/>
    <mergeCell ref="L62:M62"/>
    <mergeCell ref="N62:O62"/>
    <mergeCell ref="P62:Q62"/>
    <mergeCell ref="R62:S62"/>
    <mergeCell ref="T62:U62"/>
    <mergeCell ref="C63:D63"/>
    <mergeCell ref="J63:K63"/>
    <mergeCell ref="L63:M63"/>
    <mergeCell ref="N63:O63"/>
    <mergeCell ref="E61:I63"/>
    <mergeCell ref="A3:C3"/>
    <mergeCell ref="G57:H57"/>
    <mergeCell ref="G55:H55"/>
    <mergeCell ref="G56:H56"/>
    <mergeCell ref="G54:I54"/>
    <mergeCell ref="G4:I4"/>
    <mergeCell ref="B57:F57"/>
    <mergeCell ref="C56:F56"/>
    <mergeCell ref="C54:F5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55 U55 U6 Q6" evalError="1"/>
    <ignoredError sqref="P62" formula="1"/>
    <ignoredError sqref="M5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2026-10-27T05:22:21Z</cp:lastPrinted>
  <dcterms:created xsi:type="dcterms:W3CDTF">2023-08-14T07:13:42Z</dcterms:created>
  <dcterms:modified xsi:type="dcterms:W3CDTF">2026-10-27T05:24:35Z</dcterms:modified>
</cp:coreProperties>
</file>