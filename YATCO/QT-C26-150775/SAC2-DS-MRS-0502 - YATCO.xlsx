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YATCO\QT-C26-150775\"/>
    </mc:Choice>
  </mc:AlternateContent>
  <xr:revisionPtr revIDLastSave="0" documentId="13_ncr:1_{DF225899-DDF7-4375-A695-6FDF6146E1A9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MRS!$A$1:$L$62</definedName>
    <definedName name="_xlnm.Print_Area" localSheetId="1">'MRS LIST'!$A$1:$K$6</definedName>
    <definedName name="_xlnm.Print_Area" localSheetId="2">'PO 1st page'!$A$1:$N$71</definedName>
    <definedName name="_xlnm.Print_Area" localSheetId="3">'PO 2nd page'!$A$1:$H$60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9" i="2"/>
  <c r="D7" i="2"/>
  <c r="D8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A50" i="2"/>
  <c r="A51" i="2"/>
  <c r="A52" i="2"/>
  <c r="A53" i="2"/>
  <c r="A48" i="2"/>
  <c r="A49" i="2"/>
  <c r="A45" i="2"/>
  <c r="A46" i="2"/>
  <c r="A47" i="2"/>
  <c r="A44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7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A8" i="1"/>
  <c r="A10" i="1"/>
  <c r="A12" i="1"/>
  <c r="A14" i="1"/>
  <c r="A18" i="1"/>
  <c r="A20" i="1"/>
  <c r="A22" i="1"/>
  <c r="A24" i="1"/>
  <c r="A26" i="1"/>
  <c r="A28" i="1"/>
  <c r="A30" i="1"/>
  <c r="A32" i="1"/>
  <c r="A34" i="1"/>
  <c r="A36" i="1"/>
  <c r="A40" i="1"/>
  <c r="A42" i="1"/>
  <c r="A44" i="1"/>
  <c r="A46" i="1"/>
  <c r="A48" i="1"/>
  <c r="A50" i="1"/>
  <c r="A52" i="1"/>
  <c r="A6" i="1"/>
  <c r="F6" i="4" l="1"/>
  <c r="E6" i="4"/>
  <c r="D6" i="4"/>
  <c r="B6" i="4"/>
  <c r="E3" i="1" l="1"/>
  <c r="A57" i="4"/>
  <c r="P54" i="3"/>
  <c r="H6" i="2"/>
  <c r="G6" i="2"/>
  <c r="D6" i="2"/>
  <c r="B6" i="2"/>
  <c r="J6" i="1"/>
  <c r="J54" i="1" l="1"/>
  <c r="J6" i="2"/>
  <c r="G6" i="4"/>
  <c r="K67" i="3"/>
  <c r="G54" i="4" l="1"/>
  <c r="K10" i="3"/>
  <c r="I6" i="2" l="1"/>
  <c r="A6" i="4"/>
  <c r="F4" i="4"/>
  <c r="B3" i="4"/>
  <c r="J70" i="3"/>
  <c r="K11" i="3"/>
  <c r="B2" i="4" s="1"/>
  <c r="K3" i="2"/>
  <c r="A3" i="2"/>
  <c r="J2" i="2"/>
  <c r="D2" i="2"/>
  <c r="A2" i="2"/>
  <c r="J1" i="2"/>
  <c r="A6" i="2"/>
  <c r="F29" i="3" l="1"/>
  <c r="G55" i="4" l="1"/>
  <c r="F30" i="3" s="1"/>
  <c r="G56" i="4" l="1"/>
  <c r="F31" i="3" s="1"/>
</calcChain>
</file>

<file path=xl/sharedStrings.xml><?xml version="1.0" encoding="utf-8"?>
<sst xmlns="http://schemas.openxmlformats.org/spreadsheetml/2006/main" count="570" uniqueCount="198">
  <si>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</si>
  <si>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</si>
  <si>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</si>
  <si>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</si>
  <si>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</si>
  <si>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</si>
  <si>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</si>
  <si>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</si>
  <si>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</si>
  <si>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</si>
  <si>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</si>
  <si>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</si>
  <si>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</si>
  <si>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</si>
  <si>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</si>
  <si>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</si>
  <si>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</si>
  <si>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</si>
  <si>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</si>
  <si>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</si>
  <si>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</si>
  <si>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</si>
  <si>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</si>
  <si>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</si>
  <si>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</si>
  <si>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</si>
  <si>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</si>
  <si>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</si>
  <si>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</si>
  <si>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</si>
  <si>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</si>
  <si>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</si>
  <si>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</si>
  <si>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</si>
  <si>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</si>
  <si>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</si>
  <si>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</si>
  <si>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</si>
  <si>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</si>
  <si>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</si>
  <si>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</si>
  <si>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</si>
  <si>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</si>
  <si>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</si>
  <si>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</si>
  <si>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</si>
  <si>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</si>
  <si>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</si>
  <si>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</si>
  <si>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</si>
  <si>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</si>
  <si>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</si>
  <si>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</si>
  <si>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</si>
  <si>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</si>
  <si>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</si>
  <si>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</si>
  <si>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</si>
  <si>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</si>
  <si>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</si>
  <si>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</si>
  <si>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</si>
  <si>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</si>
  <si>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</si>
  <si>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</si>
  <si>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</si>
  <si>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</si>
  <si>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</si>
  <si>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</si>
  <si>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</si>
  <si>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</si>
  <si>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</si>
  <si>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</si>
  <si>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</si>
  <si>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</si>
  <si>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</si>
  <si>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</si>
  <si>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</si>
  <si>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</si>
  <si>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</si>
  <si>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</si>
  <si>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</si>
  <si>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</si>
  <si>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</si>
  <si>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</si>
  <si>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</si>
  <si>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</si>
  <si>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</si>
  <si>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</si>
  <si>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</si>
  <si>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</si>
  <si>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</si>
  <si>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</si>
  <si>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</si>
  <si>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</si>
  <si>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</si>
  <si>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</si>
  <si>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</si>
  <si>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</si>
  <si>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</si>
  <si>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</si>
  <si>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</si>
  <si>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</si>
  <si>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</si>
  <si>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</si>
  <si>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</si>
  <si>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</si>
  <si>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</si>
  <si>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</si>
  <si>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</si>
  <si>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</si>
  <si>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</si>
  <si>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</si>
  <si>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</si>
  <si>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</si>
  <si>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</si>
  <si>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</si>
  <si>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</si>
  <si>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</si>
  <si>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</si>
  <si>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</si>
  <si>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</si>
  <si>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</si>
  <si>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</si>
  <si>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</si>
  <si>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</si>
  <si>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</si>
  <si>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</si>
  <si>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</si>
  <si>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t>UNIT</t>
  </si>
  <si>
    <t>QTY</t>
  </si>
  <si>
    <t>Site Material &amp; Tools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</si>
  <si>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-MRS-0502</t>
    </r>
  </si>
  <si>
    <t>QT-C26-150775</t>
  </si>
  <si>
    <t xml:space="preserve">BRIDGE CAM GAUGE </t>
  </si>
  <si>
    <t xml:space="preserve">TAPER GAUGE </t>
  </si>
  <si>
    <t xml:space="preserve">HI-LO GAUGE </t>
  </si>
  <si>
    <t xml:space="preserve">PYROMETER THERMOMETER </t>
  </si>
  <si>
    <t xml:space="preserve">LED TORCH LIGHT </t>
  </si>
  <si>
    <t xml:space="preserve">CLAMP MTER </t>
  </si>
  <si>
    <t>INSPECTION MIRROR</t>
  </si>
  <si>
    <t xml:space="preserve">MAGNETIC TELESCOPING </t>
  </si>
  <si>
    <t xml:space="preserve">ALIGNMENT PRY BAR </t>
  </si>
  <si>
    <t xml:space="preserve">CHIPPING HAMMER </t>
  </si>
  <si>
    <t xml:space="preserve">COMBINATION SPANNER </t>
  </si>
  <si>
    <t xml:space="preserve">CORE DRILL MACHINE BIT </t>
  </si>
  <si>
    <t xml:space="preserve">CROWFOOT SOCKET </t>
  </si>
  <si>
    <t xml:space="preserve">DEEP SOCKET </t>
  </si>
  <si>
    <t>DIE GRINDER MACHINE KEY</t>
  </si>
  <si>
    <t xml:space="preserve">ELECTRICAL EXHAUST FAN </t>
  </si>
  <si>
    <t xml:space="preserve">MAGNETIC DRILL BIT </t>
  </si>
  <si>
    <t>PILOT CENTER PIN</t>
  </si>
  <si>
    <t xml:space="preserve">POINTED CHISEL </t>
  </si>
  <si>
    <t xml:space="preserve">RATCHET SPANNER </t>
  </si>
  <si>
    <t xml:space="preserve">WIRE STRIPPING PLIER </t>
  </si>
  <si>
    <t>CORDLESS JIGSAW BLADE</t>
  </si>
  <si>
    <t>CENTER HOLE PUNCH</t>
  </si>
  <si>
    <t>EXTECH IR 267</t>
  </si>
  <si>
    <t xml:space="preserve">RECHARGEABLE TYPES GEEPAS </t>
  </si>
  <si>
    <t>Fluke 376FC</t>
  </si>
  <si>
    <t>Round,  2"</t>
  </si>
  <si>
    <t>22MMX1MTR (ONE SIDE FLAT&amp;ONE SIDE POINTED TYPES)</t>
  </si>
  <si>
    <t>250GRAM</t>
  </si>
  <si>
    <t>27MM</t>
  </si>
  <si>
    <t>34MM</t>
  </si>
  <si>
    <t>38MM</t>
  </si>
  <si>
    <t>24MM</t>
  </si>
  <si>
    <t>30MM</t>
  </si>
  <si>
    <t>32MM</t>
  </si>
  <si>
    <t>36MM</t>
  </si>
  <si>
    <t>18MMX500MM</t>
  </si>
  <si>
    <t>DR1/2"X24MM</t>
  </si>
  <si>
    <t>DR1/2"X25MM</t>
  </si>
  <si>
    <t>DR1/2"X26MM</t>
  </si>
  <si>
    <t>DR1/2"X27MM</t>
  </si>
  <si>
    <t>DR1/2"X28MM</t>
  </si>
  <si>
    <t>DR1/2"X29MM</t>
  </si>
  <si>
    <t>DR1/2"X30MM</t>
  </si>
  <si>
    <t>DR1/2"X32MM</t>
  </si>
  <si>
    <t>DR1/2"X41MM</t>
  </si>
  <si>
    <t>DR1"X34MM</t>
  </si>
  <si>
    <t>DR3/4"X34MM</t>
  </si>
  <si>
    <t>DR1"X36MM</t>
  </si>
  <si>
    <t xml:space="preserve">6MM MAKITA </t>
  </si>
  <si>
    <t>10"X10"</t>
  </si>
  <si>
    <t>27X55MM KASCTC2755</t>
  </si>
  <si>
    <t>22X55MM KSACTCT2255</t>
  </si>
  <si>
    <t>27X55MM,90MM LONG</t>
  </si>
  <si>
    <t>26X55MM,90MM LONG</t>
  </si>
  <si>
    <t>28X55MM,90MM LONG</t>
  </si>
  <si>
    <t>79.80X108MM</t>
  </si>
  <si>
    <t>18MMX400MM</t>
  </si>
  <si>
    <t>19X21MM</t>
  </si>
  <si>
    <t>27X30MM</t>
  </si>
  <si>
    <t>32X34MM</t>
  </si>
  <si>
    <t>36X38MM</t>
  </si>
  <si>
    <t xml:space="preserve">SMALL </t>
  </si>
  <si>
    <t>500mm x 10mm x 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</si>
</sst>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6" fillId="2" borderId="17" xfId="7" applyFont="1" applyFill="1" applyBorder="1" applyAlignment="1">
      <alignment horizontal="center" vertical="center" wrapText="1"/>
    </xf>
    <xf numFmtId="0" fontId="6" fillId="2" borderId="17" xfId="8" applyFont="1" applyFill="1" applyBorder="1" applyAlignment="1">
      <alignment horizontal="center" vertical="center"/>
    </xf>
    <xf numFmtId="43" fontId="6" fillId="0" borderId="17" xfId="9" quotePrefix="1" applyFont="1" applyFill="1" applyBorder="1" applyAlignment="1">
      <alignment vertical="center"/>
    </xf>
    <xf numFmtId="0" fontId="6" fillId="0" borderId="30" xfId="6" quotePrefix="1" applyFont="1" applyBorder="1" applyAlignment="1">
      <alignment horizontal="center" vertical="center"/>
    </xf>
    <xf numFmtId="0" fontId="3" fillId="2" borderId="13" xfId="4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59" fillId="0" borderId="8" xfId="0" applyFont="1" applyBorder="1" applyAlignment="1">
      <alignment horizontal="center" wrapText="1"/>
    </xf>
    <xf numFmtId="0" fontId="58" fillId="0" borderId="8" xfId="0" applyFont="1" applyBorder="1" applyAlignment="1"/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left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42" fillId="3" borderId="18" xfId="5" applyFont="1" applyFill="1" applyBorder="1" applyAlignment="1">
      <alignment horizontal="left" vertical="center" wrapText="1"/>
    </xf>
    <xf numFmtId="0" fontId="42" fillId="3" borderId="1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54</xdr:row>
          <xdr:rowOff>245143</xdr:rowOff>
        </xdr:from>
        <xdr:to>
          <xdr:col>11</xdr:col>
          <xdr:colOff>1652337</xdr:colOff>
          <xdr:row>61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8:$Y$63" spid="_x0000_s13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6</xdr:row>
      <xdr:rowOff>0</xdr:rowOff>
    </xdr:from>
    <xdr:to>
      <xdr:col>28</xdr:col>
      <xdr:colOff>1</xdr:colOff>
      <xdr:row>6</xdr:row>
      <xdr:rowOff>1072552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0"/>
  <sheetViews>
    <sheetView showGridLines="0" view="pageBreakPreview" topLeftCell="A21" zoomScale="95" zoomScaleNormal="95" zoomScaleSheetLayoutView="95" workbookViewId="0">
      <selection activeCell="G6" sqref="G6:G53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2" t="s">
        <v>113</v>
      </c>
      <c r="B1" s="103"/>
      <c r="C1" s="92"/>
      <c r="D1" s="92"/>
      <c r="E1" s="92"/>
      <c r="F1" s="92"/>
      <c r="G1" s="1"/>
      <c r="J1" s="150" t="s">
        <v>79</v>
      </c>
      <c r="K1" s="151"/>
      <c r="L1" s="152"/>
    </row>
    <row r="2" spans="1:18" ht="20.100000000000001" customHeight="1">
      <c r="A2" s="3" t="s">
        <v>1</v>
      </c>
      <c r="B2" s="86"/>
      <c r="C2" s="86"/>
      <c r="D2" s="3" t="s">
        <v>114</v>
      </c>
      <c r="E2" s="86"/>
      <c r="F2" s="86"/>
      <c r="G2" s="86"/>
      <c r="H2" s="86"/>
      <c r="I2" s="4"/>
      <c r="J2" s="153" t="s">
        <v>86</v>
      </c>
      <c r="K2" s="154"/>
      <c r="L2" s="155"/>
    </row>
    <row r="3" spans="1:18" ht="20.100000000000001" customHeight="1">
      <c r="A3" s="3" t="s">
        <v>132</v>
      </c>
      <c r="B3" s="86"/>
      <c r="C3" s="86"/>
      <c r="D3" s="86"/>
      <c r="E3" s="156">
        <f>+L3+3</f>
        <v>46323</v>
      </c>
      <c r="F3" s="156"/>
      <c r="G3" s="156"/>
      <c r="H3" s="156"/>
      <c r="I3" s="156"/>
      <c r="J3" s="86"/>
      <c r="K3" s="86"/>
      <c r="L3" s="104">
        <v>46320</v>
      </c>
      <c r="M3" s="4"/>
    </row>
    <row r="4" spans="1:18" ht="15.95" customHeight="1">
      <c r="A4" s="144" t="s">
        <v>2</v>
      </c>
      <c r="B4" s="146" t="s">
        <v>3</v>
      </c>
      <c r="C4" s="146"/>
      <c r="D4" s="145" t="s">
        <v>4</v>
      </c>
      <c r="E4" s="145"/>
      <c r="F4" s="145"/>
      <c r="G4" s="147" t="s">
        <v>5</v>
      </c>
      <c r="H4" s="145" t="s">
        <v>6</v>
      </c>
      <c r="I4" s="145" t="s">
        <v>83</v>
      </c>
      <c r="J4" s="144" t="s">
        <v>84</v>
      </c>
      <c r="K4" s="145" t="s">
        <v>0</v>
      </c>
      <c r="L4" s="146" t="s">
        <v>7</v>
      </c>
    </row>
    <row r="5" spans="1:18" ht="21.75" customHeight="1">
      <c r="A5" s="145"/>
      <c r="B5" s="147"/>
      <c r="C5" s="147"/>
      <c r="D5" s="148"/>
      <c r="E5" s="148"/>
      <c r="F5" s="148"/>
      <c r="G5" s="149"/>
      <c r="H5" s="148"/>
      <c r="I5" s="148"/>
      <c r="J5" s="145"/>
      <c r="K5" s="148"/>
      <c r="L5" s="147"/>
    </row>
    <row r="6" spans="1:18" ht="26.25" customHeight="1">
      <c r="A6" s="127">
        <f>ROW(A1)</f>
        <v>1</v>
      </c>
      <c r="B6" s="130" t="s">
        <v>134</v>
      </c>
      <c r="C6" s="130" t="s">
        <v>134</v>
      </c>
      <c r="D6" s="129"/>
      <c r="E6" s="129"/>
      <c r="F6" s="129"/>
      <c r="G6" s="128" t="s">
        <v>128</v>
      </c>
      <c r="H6" s="118">
        <v>8</v>
      </c>
      <c r="I6" s="119">
        <v>98</v>
      </c>
      <c r="J6" s="120">
        <f>H6*I6</f>
        <v>784</v>
      </c>
      <c r="K6" s="121" t="s">
        <v>101</v>
      </c>
      <c r="L6" s="122" t="s">
        <v>89</v>
      </c>
      <c r="R6" s="91"/>
    </row>
    <row r="7" spans="1:18" ht="26.25" customHeight="1">
      <c r="A7" s="127">
        <v>2</v>
      </c>
      <c r="B7" s="130" t="s">
        <v>135</v>
      </c>
      <c r="C7" s="130" t="s">
        <v>135</v>
      </c>
      <c r="D7" s="129"/>
      <c r="E7" s="129"/>
      <c r="F7" s="129"/>
      <c r="G7" s="128" t="s">
        <v>128</v>
      </c>
      <c r="H7" s="118">
        <v>8</v>
      </c>
      <c r="I7" s="119">
        <v>20</v>
      </c>
      <c r="J7" s="120">
        <f t="shared" ref="J7:J53" si="0">H7*I7</f>
        <v>160</v>
      </c>
      <c r="K7" s="121" t="s">
        <v>56</v>
      </c>
      <c r="L7" s="122" t="s">
        <v>56</v>
      </c>
      <c r="R7" s="91"/>
    </row>
    <row r="8" spans="1:18" ht="26.25" customHeight="1">
      <c r="A8" s="127">
        <f t="shared" ref="A8" si="1">ROW(A3)</f>
        <v>3</v>
      </c>
      <c r="B8" s="130" t="s">
        <v>136</v>
      </c>
      <c r="C8" s="130" t="s">
        <v>136</v>
      </c>
      <c r="D8" s="129"/>
      <c r="E8" s="129"/>
      <c r="F8" s="129"/>
      <c r="G8" s="128" t="s">
        <v>128</v>
      </c>
      <c r="H8" s="118">
        <v>8</v>
      </c>
      <c r="I8" s="119">
        <v>120</v>
      </c>
      <c r="J8" s="120">
        <f t="shared" si="0"/>
        <v>960</v>
      </c>
      <c r="K8" s="121" t="s">
        <v>56</v>
      </c>
      <c r="L8" s="122" t="s">
        <v>56</v>
      </c>
      <c r="R8" s="91"/>
    </row>
    <row r="9" spans="1:18" ht="26.25" customHeight="1">
      <c r="A9" s="127">
        <v>4</v>
      </c>
      <c r="B9" s="130" t="s">
        <v>137</v>
      </c>
      <c r="C9" s="130" t="s">
        <v>137</v>
      </c>
      <c r="D9" s="129" t="s">
        <v>157</v>
      </c>
      <c r="E9" s="129" t="s">
        <v>157</v>
      </c>
      <c r="F9" s="129" t="s">
        <v>157</v>
      </c>
      <c r="G9" s="128" t="s">
        <v>128</v>
      </c>
      <c r="H9" s="118">
        <v>8</v>
      </c>
      <c r="I9" s="119">
        <v>440</v>
      </c>
      <c r="J9" s="120">
        <f t="shared" si="0"/>
        <v>3520</v>
      </c>
      <c r="K9" s="121" t="s">
        <v>56</v>
      </c>
      <c r="L9" s="122" t="s">
        <v>56</v>
      </c>
      <c r="R9" s="91"/>
    </row>
    <row r="10" spans="1:18" ht="26.25" customHeight="1">
      <c r="A10" s="127">
        <f t="shared" ref="A10" si="2">ROW(A5)</f>
        <v>5</v>
      </c>
      <c r="B10" s="130" t="s">
        <v>138</v>
      </c>
      <c r="C10" s="130" t="s">
        <v>138</v>
      </c>
      <c r="D10" s="129" t="s">
        <v>158</v>
      </c>
      <c r="E10" s="129" t="s">
        <v>158</v>
      </c>
      <c r="F10" s="129" t="s">
        <v>158</v>
      </c>
      <c r="G10" s="128" t="s">
        <v>128</v>
      </c>
      <c r="H10" s="118">
        <v>1</v>
      </c>
      <c r="I10" s="119">
        <v>42</v>
      </c>
      <c r="J10" s="120">
        <f t="shared" si="0"/>
        <v>42</v>
      </c>
      <c r="K10" s="121" t="s">
        <v>56</v>
      </c>
      <c r="L10" s="122" t="s">
        <v>56</v>
      </c>
      <c r="R10" s="91"/>
    </row>
    <row r="11" spans="1:18" ht="26.25" customHeight="1">
      <c r="A11" s="127">
        <v>6</v>
      </c>
      <c r="B11" s="130" t="s">
        <v>139</v>
      </c>
      <c r="C11" s="130" t="s">
        <v>139</v>
      </c>
      <c r="D11" s="129" t="s">
        <v>159</v>
      </c>
      <c r="E11" s="129" t="s">
        <v>159</v>
      </c>
      <c r="F11" s="129" t="s">
        <v>159</v>
      </c>
      <c r="G11" s="128" t="s">
        <v>128</v>
      </c>
      <c r="H11" s="118">
        <v>8</v>
      </c>
      <c r="I11" s="119">
        <v>2080</v>
      </c>
      <c r="J11" s="120">
        <f t="shared" si="0"/>
        <v>16640</v>
      </c>
      <c r="K11" s="121" t="s">
        <v>56</v>
      </c>
      <c r="L11" s="122" t="s">
        <v>56</v>
      </c>
      <c r="R11" s="91"/>
    </row>
    <row r="12" spans="1:18" ht="26.25" customHeight="1">
      <c r="A12" s="127">
        <f t="shared" ref="A12" si="3">ROW(A7)</f>
        <v>7</v>
      </c>
      <c r="B12" s="130" t="s">
        <v>140</v>
      </c>
      <c r="C12" s="130" t="s">
        <v>140</v>
      </c>
      <c r="D12" s="129" t="s">
        <v>160</v>
      </c>
      <c r="E12" s="129" t="s">
        <v>160</v>
      </c>
      <c r="F12" s="129" t="s">
        <v>160</v>
      </c>
      <c r="G12" s="128" t="s">
        <v>128</v>
      </c>
      <c r="H12" s="118">
        <v>10</v>
      </c>
      <c r="I12" s="119">
        <v>10</v>
      </c>
      <c r="J12" s="120">
        <f t="shared" si="0"/>
        <v>100</v>
      </c>
      <c r="K12" s="121" t="s">
        <v>56</v>
      </c>
      <c r="L12" s="122" t="s">
        <v>56</v>
      </c>
      <c r="R12" s="91"/>
    </row>
    <row r="13" spans="1:18" ht="26.25" customHeight="1">
      <c r="A13" s="127">
        <v>8</v>
      </c>
      <c r="B13" s="130" t="s">
        <v>141</v>
      </c>
      <c r="C13" s="130" t="s">
        <v>141</v>
      </c>
      <c r="D13" s="129"/>
      <c r="E13" s="129"/>
      <c r="F13" s="129"/>
      <c r="G13" s="128" t="s">
        <v>128</v>
      </c>
      <c r="H13" s="118">
        <v>10</v>
      </c>
      <c r="I13" s="119">
        <v>22</v>
      </c>
      <c r="J13" s="120">
        <f t="shared" si="0"/>
        <v>220</v>
      </c>
      <c r="K13" s="121" t="s">
        <v>56</v>
      </c>
      <c r="L13" s="122" t="s">
        <v>56</v>
      </c>
      <c r="R13" s="91"/>
    </row>
    <row r="14" spans="1:18" ht="26.25" customHeight="1">
      <c r="A14" s="127">
        <f t="shared" ref="A14" si="4">ROW(A9)</f>
        <v>9</v>
      </c>
      <c r="B14" s="130" t="s">
        <v>142</v>
      </c>
      <c r="C14" s="130" t="s">
        <v>142</v>
      </c>
      <c r="D14" s="129" t="s">
        <v>161</v>
      </c>
      <c r="E14" s="129" t="s">
        <v>161</v>
      </c>
      <c r="F14" s="129" t="s">
        <v>161</v>
      </c>
      <c r="G14" s="128" t="s">
        <v>128</v>
      </c>
      <c r="H14" s="118">
        <v>10</v>
      </c>
      <c r="I14" s="119">
        <v>55</v>
      </c>
      <c r="J14" s="120">
        <f t="shared" si="0"/>
        <v>550</v>
      </c>
      <c r="K14" s="121" t="s">
        <v>56</v>
      </c>
      <c r="L14" s="122" t="s">
        <v>56</v>
      </c>
      <c r="R14" s="91"/>
    </row>
    <row r="15" spans="1:18" ht="26.25" customHeight="1">
      <c r="A15" s="127">
        <v>10</v>
      </c>
      <c r="B15" s="130" t="s">
        <v>143</v>
      </c>
      <c r="C15" s="130" t="s">
        <v>143</v>
      </c>
      <c r="D15" s="129" t="s">
        <v>162</v>
      </c>
      <c r="E15" s="129" t="s">
        <v>162</v>
      </c>
      <c r="F15" s="129" t="s">
        <v>162</v>
      </c>
      <c r="G15" s="128" t="s">
        <v>128</v>
      </c>
      <c r="H15" s="118">
        <v>30</v>
      </c>
      <c r="I15" s="119">
        <v>8</v>
      </c>
      <c r="J15" s="120">
        <f t="shared" si="0"/>
        <v>240</v>
      </c>
      <c r="K15" s="121" t="s">
        <v>56</v>
      </c>
      <c r="L15" s="122" t="s">
        <v>56</v>
      </c>
      <c r="R15" s="91"/>
    </row>
    <row r="16" spans="1:18" ht="26.25" customHeight="1">
      <c r="A16" s="127">
        <v>11</v>
      </c>
      <c r="B16" s="130" t="s">
        <v>144</v>
      </c>
      <c r="C16" s="130" t="s">
        <v>144</v>
      </c>
      <c r="D16" s="129" t="s">
        <v>163</v>
      </c>
      <c r="E16" s="129" t="s">
        <v>163</v>
      </c>
      <c r="F16" s="129" t="s">
        <v>163</v>
      </c>
      <c r="G16" s="128" t="s">
        <v>128</v>
      </c>
      <c r="H16" s="118">
        <v>12</v>
      </c>
      <c r="I16" s="119">
        <v>22</v>
      </c>
      <c r="J16" s="120">
        <f t="shared" si="0"/>
        <v>264</v>
      </c>
      <c r="K16" s="121" t="s">
        <v>56</v>
      </c>
      <c r="L16" s="122" t="s">
        <v>56</v>
      </c>
      <c r="R16" s="91"/>
    </row>
    <row r="17" spans="1:18" ht="26.25" customHeight="1">
      <c r="A17" s="127">
        <v>12</v>
      </c>
      <c r="B17" s="130" t="s">
        <v>144</v>
      </c>
      <c r="C17" s="130" t="s">
        <v>144</v>
      </c>
      <c r="D17" s="129" t="s">
        <v>164</v>
      </c>
      <c r="E17" s="129" t="s">
        <v>164</v>
      </c>
      <c r="F17" s="129" t="s">
        <v>164</v>
      </c>
      <c r="G17" s="128" t="s">
        <v>128</v>
      </c>
      <c r="H17" s="118">
        <v>12</v>
      </c>
      <c r="I17" s="119">
        <v>30</v>
      </c>
      <c r="J17" s="120">
        <f t="shared" si="0"/>
        <v>360</v>
      </c>
      <c r="K17" s="121" t="s">
        <v>56</v>
      </c>
      <c r="L17" s="122" t="s">
        <v>56</v>
      </c>
      <c r="R17" s="91"/>
    </row>
    <row r="18" spans="1:18" ht="26.25" customHeight="1">
      <c r="A18" s="127">
        <f t="shared" ref="A18" si="5">ROW(A13)</f>
        <v>13</v>
      </c>
      <c r="B18" s="130" t="s">
        <v>144</v>
      </c>
      <c r="C18" s="130" t="s">
        <v>144</v>
      </c>
      <c r="D18" s="129" t="s">
        <v>165</v>
      </c>
      <c r="E18" s="129" t="s">
        <v>165</v>
      </c>
      <c r="F18" s="129" t="s">
        <v>165</v>
      </c>
      <c r="G18" s="128" t="s">
        <v>128</v>
      </c>
      <c r="H18" s="118">
        <v>12</v>
      </c>
      <c r="I18" s="119">
        <v>35</v>
      </c>
      <c r="J18" s="120">
        <f t="shared" si="0"/>
        <v>420</v>
      </c>
      <c r="K18" s="121" t="s">
        <v>56</v>
      </c>
      <c r="L18" s="122" t="s">
        <v>56</v>
      </c>
      <c r="R18" s="91"/>
    </row>
    <row r="19" spans="1:18" ht="26.25" customHeight="1">
      <c r="A19" s="127">
        <v>14</v>
      </c>
      <c r="B19" s="130" t="s">
        <v>144</v>
      </c>
      <c r="C19" s="130" t="s">
        <v>144</v>
      </c>
      <c r="D19" s="129" t="s">
        <v>166</v>
      </c>
      <c r="E19" s="129" t="s">
        <v>166</v>
      </c>
      <c r="F19" s="129" t="s">
        <v>166</v>
      </c>
      <c r="G19" s="128" t="s">
        <v>128</v>
      </c>
      <c r="H19" s="118">
        <v>8</v>
      </c>
      <c r="I19" s="119">
        <v>15</v>
      </c>
      <c r="J19" s="120">
        <f t="shared" si="0"/>
        <v>120</v>
      </c>
      <c r="K19" s="121" t="s">
        <v>56</v>
      </c>
      <c r="L19" s="122" t="s">
        <v>56</v>
      </c>
      <c r="R19" s="91"/>
    </row>
    <row r="20" spans="1:18" ht="26.25" customHeight="1">
      <c r="A20" s="127">
        <f t="shared" ref="A20" si="6">ROW(A15)</f>
        <v>15</v>
      </c>
      <c r="B20" s="130" t="s">
        <v>144</v>
      </c>
      <c r="C20" s="130" t="s">
        <v>144</v>
      </c>
      <c r="D20" s="129" t="s">
        <v>167</v>
      </c>
      <c r="E20" s="129" t="s">
        <v>167</v>
      </c>
      <c r="F20" s="129" t="s">
        <v>167</v>
      </c>
      <c r="G20" s="128" t="s">
        <v>128</v>
      </c>
      <c r="H20" s="118">
        <v>8</v>
      </c>
      <c r="I20" s="119">
        <v>25</v>
      </c>
      <c r="J20" s="120">
        <f t="shared" si="0"/>
        <v>200</v>
      </c>
      <c r="K20" s="121" t="s">
        <v>56</v>
      </c>
      <c r="L20" s="122" t="s">
        <v>56</v>
      </c>
      <c r="R20" s="91"/>
    </row>
    <row r="21" spans="1:18" ht="26.25" customHeight="1">
      <c r="A21" s="127">
        <v>16</v>
      </c>
      <c r="B21" s="130" t="s">
        <v>144</v>
      </c>
      <c r="C21" s="130" t="s">
        <v>144</v>
      </c>
      <c r="D21" s="129" t="s">
        <v>168</v>
      </c>
      <c r="E21" s="129" t="s">
        <v>168</v>
      </c>
      <c r="F21" s="129" t="s">
        <v>168</v>
      </c>
      <c r="G21" s="128" t="s">
        <v>128</v>
      </c>
      <c r="H21" s="118">
        <v>6</v>
      </c>
      <c r="I21" s="119">
        <v>27</v>
      </c>
      <c r="J21" s="120">
        <f t="shared" si="0"/>
        <v>162</v>
      </c>
      <c r="K21" s="121" t="s">
        <v>56</v>
      </c>
      <c r="L21" s="122" t="s">
        <v>56</v>
      </c>
      <c r="R21" s="91"/>
    </row>
    <row r="22" spans="1:18" ht="26.25" customHeight="1">
      <c r="A22" s="127">
        <f t="shared" ref="A22" si="7">ROW(A17)</f>
        <v>17</v>
      </c>
      <c r="B22" s="130" t="s">
        <v>144</v>
      </c>
      <c r="C22" s="130" t="s">
        <v>144</v>
      </c>
      <c r="D22" s="129" t="s">
        <v>169</v>
      </c>
      <c r="E22" s="129" t="s">
        <v>169</v>
      </c>
      <c r="F22" s="129" t="s">
        <v>169</v>
      </c>
      <c r="G22" s="128" t="s">
        <v>128</v>
      </c>
      <c r="H22" s="118">
        <v>6</v>
      </c>
      <c r="I22" s="119">
        <v>30</v>
      </c>
      <c r="J22" s="120">
        <f t="shared" si="0"/>
        <v>180</v>
      </c>
      <c r="K22" s="121" t="s">
        <v>56</v>
      </c>
      <c r="L22" s="122" t="s">
        <v>56</v>
      </c>
      <c r="R22" s="91"/>
    </row>
    <row r="23" spans="1:18" ht="26.25" customHeight="1">
      <c r="A23" s="127">
        <v>18</v>
      </c>
      <c r="B23" s="130" t="s">
        <v>145</v>
      </c>
      <c r="C23" s="130" t="s">
        <v>145</v>
      </c>
      <c r="D23" s="129" t="s">
        <v>170</v>
      </c>
      <c r="E23" s="129" t="s">
        <v>170</v>
      </c>
      <c r="F23" s="129" t="s">
        <v>170</v>
      </c>
      <c r="G23" s="128" t="s">
        <v>128</v>
      </c>
      <c r="H23" s="118">
        <v>2</v>
      </c>
      <c r="I23" s="119">
        <v>35</v>
      </c>
      <c r="J23" s="120">
        <f t="shared" si="0"/>
        <v>70</v>
      </c>
      <c r="K23" s="121" t="s">
        <v>56</v>
      </c>
      <c r="L23" s="122" t="s">
        <v>56</v>
      </c>
      <c r="R23" s="91"/>
    </row>
    <row r="24" spans="1:18" ht="26.25" customHeight="1">
      <c r="A24" s="127">
        <f t="shared" ref="A24" si="8">ROW(A19)</f>
        <v>19</v>
      </c>
      <c r="B24" s="130" t="s">
        <v>146</v>
      </c>
      <c r="C24" s="130" t="s">
        <v>146</v>
      </c>
      <c r="D24" s="129" t="s">
        <v>171</v>
      </c>
      <c r="E24" s="129" t="s">
        <v>171</v>
      </c>
      <c r="F24" s="129" t="s">
        <v>171</v>
      </c>
      <c r="G24" s="128" t="s">
        <v>128</v>
      </c>
      <c r="H24" s="118">
        <v>2</v>
      </c>
      <c r="I24" s="119">
        <v>32</v>
      </c>
      <c r="J24" s="120">
        <f t="shared" si="0"/>
        <v>64</v>
      </c>
      <c r="K24" s="121" t="s">
        <v>56</v>
      </c>
      <c r="L24" s="122" t="s">
        <v>56</v>
      </c>
      <c r="R24" s="91"/>
    </row>
    <row r="25" spans="1:18" ht="26.25" customHeight="1">
      <c r="A25" s="127">
        <v>20</v>
      </c>
      <c r="B25" s="130" t="s">
        <v>146</v>
      </c>
      <c r="C25" s="130" t="s">
        <v>146</v>
      </c>
      <c r="D25" s="129" t="s">
        <v>172</v>
      </c>
      <c r="E25" s="129" t="s">
        <v>172</v>
      </c>
      <c r="F25" s="129" t="s">
        <v>172</v>
      </c>
      <c r="G25" s="128" t="s">
        <v>128</v>
      </c>
      <c r="H25" s="118">
        <v>2</v>
      </c>
      <c r="I25" s="119">
        <v>36</v>
      </c>
      <c r="J25" s="120">
        <f t="shared" si="0"/>
        <v>72</v>
      </c>
      <c r="K25" s="121" t="s">
        <v>56</v>
      </c>
      <c r="L25" s="122" t="s">
        <v>56</v>
      </c>
      <c r="R25" s="91"/>
    </row>
    <row r="26" spans="1:18" ht="26.25" customHeight="1">
      <c r="A26" s="127">
        <f t="shared" ref="A26" si="9">ROW(A21)</f>
        <v>21</v>
      </c>
      <c r="B26" s="130" t="s">
        <v>146</v>
      </c>
      <c r="C26" s="130" t="s">
        <v>146</v>
      </c>
      <c r="D26" s="129" t="s">
        <v>173</v>
      </c>
      <c r="E26" s="129" t="s">
        <v>173</v>
      </c>
      <c r="F26" s="129" t="s">
        <v>173</v>
      </c>
      <c r="G26" s="128" t="s">
        <v>128</v>
      </c>
      <c r="H26" s="118">
        <v>2</v>
      </c>
      <c r="I26" s="119">
        <v>38</v>
      </c>
      <c r="J26" s="120">
        <f t="shared" si="0"/>
        <v>76</v>
      </c>
      <c r="K26" s="121" t="s">
        <v>56</v>
      </c>
      <c r="L26" s="122" t="s">
        <v>56</v>
      </c>
      <c r="R26" s="91"/>
    </row>
    <row r="27" spans="1:18" ht="26.25" customHeight="1">
      <c r="A27" s="127">
        <v>22</v>
      </c>
      <c r="B27" s="130" t="s">
        <v>146</v>
      </c>
      <c r="C27" s="130" t="s">
        <v>146</v>
      </c>
      <c r="D27" s="129" t="s">
        <v>174</v>
      </c>
      <c r="E27" s="129" t="s">
        <v>174</v>
      </c>
      <c r="F27" s="129" t="s">
        <v>174</v>
      </c>
      <c r="G27" s="128" t="s">
        <v>128</v>
      </c>
      <c r="H27" s="118">
        <v>2</v>
      </c>
      <c r="I27" s="119">
        <v>40</v>
      </c>
      <c r="J27" s="120">
        <f t="shared" si="0"/>
        <v>80</v>
      </c>
      <c r="K27" s="121" t="s">
        <v>56</v>
      </c>
      <c r="L27" s="122" t="s">
        <v>56</v>
      </c>
      <c r="R27" s="91"/>
    </row>
    <row r="28" spans="1:18" ht="26.25" customHeight="1">
      <c r="A28" s="127">
        <f t="shared" ref="A28" si="10">ROW(A23)</f>
        <v>23</v>
      </c>
      <c r="B28" s="130" t="s">
        <v>146</v>
      </c>
      <c r="C28" s="130" t="s">
        <v>146</v>
      </c>
      <c r="D28" s="129" t="s">
        <v>175</v>
      </c>
      <c r="E28" s="129" t="s">
        <v>175</v>
      </c>
      <c r="F28" s="129" t="s">
        <v>175</v>
      </c>
      <c r="G28" s="128" t="s">
        <v>128</v>
      </c>
      <c r="H28" s="118">
        <v>2</v>
      </c>
      <c r="I28" s="119">
        <v>42</v>
      </c>
      <c r="J28" s="120">
        <f t="shared" si="0"/>
        <v>84</v>
      </c>
      <c r="K28" s="121" t="s">
        <v>56</v>
      </c>
      <c r="L28" s="122" t="s">
        <v>56</v>
      </c>
      <c r="R28" s="91"/>
    </row>
    <row r="29" spans="1:18" ht="26.25" customHeight="1">
      <c r="A29" s="127">
        <v>24</v>
      </c>
      <c r="B29" s="130" t="s">
        <v>146</v>
      </c>
      <c r="C29" s="130" t="s">
        <v>146</v>
      </c>
      <c r="D29" s="129" t="s">
        <v>176</v>
      </c>
      <c r="E29" s="129" t="s">
        <v>176</v>
      </c>
      <c r="F29" s="129" t="s">
        <v>176</v>
      </c>
      <c r="G29" s="128" t="s">
        <v>128</v>
      </c>
      <c r="H29" s="118">
        <v>2</v>
      </c>
      <c r="I29" s="119">
        <v>44</v>
      </c>
      <c r="J29" s="120">
        <f t="shared" si="0"/>
        <v>88</v>
      </c>
      <c r="K29" s="121" t="s">
        <v>56</v>
      </c>
      <c r="L29" s="122" t="s">
        <v>56</v>
      </c>
      <c r="R29" s="91"/>
    </row>
    <row r="30" spans="1:18" ht="26.25" customHeight="1">
      <c r="A30" s="127">
        <f t="shared" ref="A30" si="11">ROW(A25)</f>
        <v>25</v>
      </c>
      <c r="B30" s="130" t="s">
        <v>146</v>
      </c>
      <c r="C30" s="130" t="s">
        <v>146</v>
      </c>
      <c r="D30" s="129" t="s">
        <v>177</v>
      </c>
      <c r="E30" s="129" t="s">
        <v>177</v>
      </c>
      <c r="F30" s="129" t="s">
        <v>177</v>
      </c>
      <c r="G30" s="128" t="s">
        <v>128</v>
      </c>
      <c r="H30" s="118">
        <v>2</v>
      </c>
      <c r="I30" s="119">
        <v>47</v>
      </c>
      <c r="J30" s="120">
        <f t="shared" si="0"/>
        <v>94</v>
      </c>
      <c r="K30" s="121" t="s">
        <v>56</v>
      </c>
      <c r="L30" s="122" t="s">
        <v>56</v>
      </c>
      <c r="R30" s="91"/>
    </row>
    <row r="31" spans="1:18" ht="26.25" customHeight="1">
      <c r="A31" s="127">
        <v>26</v>
      </c>
      <c r="B31" s="130" t="s">
        <v>146</v>
      </c>
      <c r="C31" s="130" t="s">
        <v>146</v>
      </c>
      <c r="D31" s="129" t="s">
        <v>178</v>
      </c>
      <c r="E31" s="129" t="s">
        <v>178</v>
      </c>
      <c r="F31" s="129" t="s">
        <v>178</v>
      </c>
      <c r="G31" s="128" t="s">
        <v>128</v>
      </c>
      <c r="H31" s="118">
        <v>2</v>
      </c>
      <c r="I31" s="119">
        <v>49</v>
      </c>
      <c r="J31" s="120">
        <f t="shared" si="0"/>
        <v>98</v>
      </c>
      <c r="K31" s="121" t="s">
        <v>56</v>
      </c>
      <c r="L31" s="122" t="s">
        <v>56</v>
      </c>
      <c r="R31" s="91"/>
    </row>
    <row r="32" spans="1:18" ht="26.25" customHeight="1">
      <c r="A32" s="127">
        <f t="shared" ref="A32" si="12">ROW(A27)</f>
        <v>27</v>
      </c>
      <c r="B32" s="130" t="s">
        <v>146</v>
      </c>
      <c r="C32" s="130" t="s">
        <v>146</v>
      </c>
      <c r="D32" s="129" t="s">
        <v>179</v>
      </c>
      <c r="E32" s="129" t="s">
        <v>179</v>
      </c>
      <c r="F32" s="129" t="s">
        <v>179</v>
      </c>
      <c r="G32" s="128" t="s">
        <v>128</v>
      </c>
      <c r="H32" s="118">
        <v>2</v>
      </c>
      <c r="I32" s="119">
        <v>96</v>
      </c>
      <c r="J32" s="120">
        <f t="shared" si="0"/>
        <v>192</v>
      </c>
      <c r="K32" s="121" t="s">
        <v>56</v>
      </c>
      <c r="L32" s="122" t="s">
        <v>56</v>
      </c>
      <c r="R32" s="91"/>
    </row>
    <row r="33" spans="1:18" ht="26.25" customHeight="1">
      <c r="A33" s="127">
        <v>28</v>
      </c>
      <c r="B33" s="130" t="s">
        <v>147</v>
      </c>
      <c r="C33" s="130" t="s">
        <v>147</v>
      </c>
      <c r="D33" s="129" t="s">
        <v>171</v>
      </c>
      <c r="E33" s="129" t="s">
        <v>171</v>
      </c>
      <c r="F33" s="129" t="s">
        <v>171</v>
      </c>
      <c r="G33" s="128" t="s">
        <v>128</v>
      </c>
      <c r="H33" s="118">
        <v>2</v>
      </c>
      <c r="I33" s="119">
        <v>20</v>
      </c>
      <c r="J33" s="120">
        <f t="shared" si="0"/>
        <v>40</v>
      </c>
      <c r="K33" s="121" t="s">
        <v>56</v>
      </c>
      <c r="L33" s="122" t="s">
        <v>56</v>
      </c>
      <c r="R33" s="91"/>
    </row>
    <row r="34" spans="1:18" ht="26.25" customHeight="1">
      <c r="A34" s="127">
        <f t="shared" ref="A34" si="13">ROW(A29)</f>
        <v>29</v>
      </c>
      <c r="B34" s="130" t="s">
        <v>147</v>
      </c>
      <c r="C34" s="130" t="s">
        <v>147</v>
      </c>
      <c r="D34" s="129" t="s">
        <v>174</v>
      </c>
      <c r="E34" s="129" t="s">
        <v>174</v>
      </c>
      <c r="F34" s="129" t="s">
        <v>174</v>
      </c>
      <c r="G34" s="128" t="s">
        <v>128</v>
      </c>
      <c r="H34" s="118">
        <v>2</v>
      </c>
      <c r="I34" s="119">
        <v>27</v>
      </c>
      <c r="J34" s="120">
        <f t="shared" si="0"/>
        <v>54</v>
      </c>
      <c r="K34" s="121" t="s">
        <v>56</v>
      </c>
      <c r="L34" s="122" t="s">
        <v>56</v>
      </c>
      <c r="R34" s="91"/>
    </row>
    <row r="35" spans="1:18" ht="26.25" customHeight="1">
      <c r="A35" s="127">
        <v>30</v>
      </c>
      <c r="B35" s="130" t="s">
        <v>147</v>
      </c>
      <c r="C35" s="130" t="s">
        <v>147</v>
      </c>
      <c r="D35" s="129" t="s">
        <v>180</v>
      </c>
      <c r="E35" s="129" t="s">
        <v>180</v>
      </c>
      <c r="F35" s="129" t="s">
        <v>180</v>
      </c>
      <c r="G35" s="128" t="s">
        <v>128</v>
      </c>
      <c r="H35" s="118">
        <v>2</v>
      </c>
      <c r="I35" s="119">
        <v>22</v>
      </c>
      <c r="J35" s="120">
        <f t="shared" si="0"/>
        <v>44</v>
      </c>
      <c r="K35" s="121" t="s">
        <v>56</v>
      </c>
      <c r="L35" s="122" t="s">
        <v>56</v>
      </c>
      <c r="R35" s="91"/>
    </row>
    <row r="36" spans="1:18" ht="26.25" customHeight="1">
      <c r="A36" s="127">
        <f t="shared" ref="A36" si="14">ROW(A31)</f>
        <v>31</v>
      </c>
      <c r="B36" s="130" t="s">
        <v>147</v>
      </c>
      <c r="C36" s="130" t="s">
        <v>147</v>
      </c>
      <c r="D36" s="129" t="s">
        <v>181</v>
      </c>
      <c r="E36" s="129" t="s">
        <v>181</v>
      </c>
      <c r="F36" s="129" t="s">
        <v>181</v>
      </c>
      <c r="G36" s="128" t="s">
        <v>128</v>
      </c>
      <c r="H36" s="118">
        <v>2</v>
      </c>
      <c r="I36" s="119">
        <v>12.5</v>
      </c>
      <c r="J36" s="120">
        <f t="shared" si="0"/>
        <v>25</v>
      </c>
      <c r="K36" s="121" t="s">
        <v>56</v>
      </c>
      <c r="L36" s="122" t="s">
        <v>56</v>
      </c>
      <c r="R36" s="91"/>
    </row>
    <row r="37" spans="1:18" ht="26.25" customHeight="1">
      <c r="A37" s="127">
        <v>32</v>
      </c>
      <c r="B37" s="130" t="s">
        <v>147</v>
      </c>
      <c r="C37" s="130" t="s">
        <v>147</v>
      </c>
      <c r="D37" s="129" t="s">
        <v>182</v>
      </c>
      <c r="E37" s="129" t="s">
        <v>182</v>
      </c>
      <c r="F37" s="129" t="s">
        <v>182</v>
      </c>
      <c r="G37" s="128" t="s">
        <v>128</v>
      </c>
      <c r="H37" s="118">
        <v>2</v>
      </c>
      <c r="I37" s="119">
        <v>22</v>
      </c>
      <c r="J37" s="120">
        <f t="shared" si="0"/>
        <v>44</v>
      </c>
      <c r="K37" s="121" t="s">
        <v>56</v>
      </c>
      <c r="L37" s="122" t="s">
        <v>56</v>
      </c>
      <c r="R37" s="91"/>
    </row>
    <row r="38" spans="1:18" ht="26.25" customHeight="1">
      <c r="A38" s="127">
        <v>33</v>
      </c>
      <c r="B38" s="130" t="s">
        <v>148</v>
      </c>
      <c r="C38" s="130" t="s">
        <v>148</v>
      </c>
      <c r="D38" s="129" t="s">
        <v>183</v>
      </c>
      <c r="E38" s="129" t="s">
        <v>183</v>
      </c>
      <c r="F38" s="129" t="s">
        <v>183</v>
      </c>
      <c r="G38" s="128" t="s">
        <v>128</v>
      </c>
      <c r="H38" s="118">
        <v>40</v>
      </c>
      <c r="I38" s="119">
        <v>8</v>
      </c>
      <c r="J38" s="120">
        <f t="shared" si="0"/>
        <v>320</v>
      </c>
      <c r="K38" s="121" t="s">
        <v>56</v>
      </c>
      <c r="L38" s="122" t="s">
        <v>56</v>
      </c>
      <c r="R38" s="91"/>
    </row>
    <row r="39" spans="1:18" ht="26.25" customHeight="1">
      <c r="A39" s="127">
        <v>34</v>
      </c>
      <c r="B39" s="130" t="s">
        <v>149</v>
      </c>
      <c r="C39" s="130" t="s">
        <v>149</v>
      </c>
      <c r="D39" s="129" t="s">
        <v>184</v>
      </c>
      <c r="E39" s="129" t="s">
        <v>184</v>
      </c>
      <c r="F39" s="129" t="s">
        <v>184</v>
      </c>
      <c r="G39" s="128" t="s">
        <v>128</v>
      </c>
      <c r="H39" s="118">
        <v>10</v>
      </c>
      <c r="I39" s="119">
        <v>55</v>
      </c>
      <c r="J39" s="120">
        <f t="shared" si="0"/>
        <v>550</v>
      </c>
      <c r="K39" s="121" t="s">
        <v>56</v>
      </c>
      <c r="L39" s="122" t="s">
        <v>56</v>
      </c>
      <c r="R39" s="91"/>
    </row>
    <row r="40" spans="1:18" ht="26.25" customHeight="1">
      <c r="A40" s="127">
        <f t="shared" ref="A40" si="15">ROW(A35)</f>
        <v>35</v>
      </c>
      <c r="B40" s="130" t="s">
        <v>150</v>
      </c>
      <c r="C40" s="130" t="s">
        <v>150</v>
      </c>
      <c r="D40" s="129" t="s">
        <v>185</v>
      </c>
      <c r="E40" s="129" t="s">
        <v>185</v>
      </c>
      <c r="F40" s="129" t="s">
        <v>185</v>
      </c>
      <c r="G40" s="128" t="s">
        <v>128</v>
      </c>
      <c r="H40" s="118">
        <v>50</v>
      </c>
      <c r="I40" s="119">
        <v>70</v>
      </c>
      <c r="J40" s="120">
        <f t="shared" si="0"/>
        <v>3500</v>
      </c>
      <c r="K40" s="121" t="s">
        <v>56</v>
      </c>
      <c r="L40" s="122" t="s">
        <v>56</v>
      </c>
      <c r="R40" s="91"/>
    </row>
    <row r="41" spans="1:18" ht="26.25" customHeight="1">
      <c r="A41" s="127">
        <v>36</v>
      </c>
      <c r="B41" s="130" t="s">
        <v>150</v>
      </c>
      <c r="C41" s="130" t="s">
        <v>150</v>
      </c>
      <c r="D41" s="129" t="s">
        <v>186</v>
      </c>
      <c r="E41" s="129" t="s">
        <v>186</v>
      </c>
      <c r="F41" s="129" t="s">
        <v>186</v>
      </c>
      <c r="G41" s="128" t="s">
        <v>128</v>
      </c>
      <c r="H41" s="118">
        <v>50</v>
      </c>
      <c r="I41" s="119">
        <v>62</v>
      </c>
      <c r="J41" s="120">
        <f t="shared" si="0"/>
        <v>3100</v>
      </c>
      <c r="K41" s="121" t="s">
        <v>56</v>
      </c>
      <c r="L41" s="122" t="s">
        <v>56</v>
      </c>
      <c r="R41" s="91"/>
    </row>
    <row r="42" spans="1:18" ht="26.25" customHeight="1">
      <c r="A42" s="127">
        <f t="shared" ref="A42" si="16">ROW(A37)</f>
        <v>37</v>
      </c>
      <c r="B42" s="130" t="s">
        <v>150</v>
      </c>
      <c r="C42" s="130" t="s">
        <v>150</v>
      </c>
      <c r="D42" s="129" t="s">
        <v>187</v>
      </c>
      <c r="E42" s="129" t="s">
        <v>187</v>
      </c>
      <c r="F42" s="129" t="s">
        <v>187</v>
      </c>
      <c r="G42" s="128" t="s">
        <v>128</v>
      </c>
      <c r="H42" s="118">
        <v>50</v>
      </c>
      <c r="I42" s="119">
        <v>87</v>
      </c>
      <c r="J42" s="120">
        <f t="shared" si="0"/>
        <v>4350</v>
      </c>
      <c r="K42" s="121" t="s">
        <v>56</v>
      </c>
      <c r="L42" s="122" t="s">
        <v>56</v>
      </c>
      <c r="R42" s="91"/>
    </row>
    <row r="43" spans="1:18" ht="26.25" customHeight="1">
      <c r="A43" s="127">
        <v>38</v>
      </c>
      <c r="B43" s="130" t="s">
        <v>150</v>
      </c>
      <c r="C43" s="130" t="s">
        <v>150</v>
      </c>
      <c r="D43" s="129" t="s">
        <v>188</v>
      </c>
      <c r="E43" s="129" t="s">
        <v>188</v>
      </c>
      <c r="F43" s="129" t="s">
        <v>188</v>
      </c>
      <c r="G43" s="128" t="s">
        <v>128</v>
      </c>
      <c r="H43" s="118">
        <v>50</v>
      </c>
      <c r="I43" s="119">
        <v>82</v>
      </c>
      <c r="J43" s="120">
        <f t="shared" si="0"/>
        <v>4100</v>
      </c>
      <c r="K43" s="121" t="s">
        <v>56</v>
      </c>
      <c r="L43" s="122" t="s">
        <v>56</v>
      </c>
      <c r="R43" s="91"/>
    </row>
    <row r="44" spans="1:18" ht="26.25" customHeight="1">
      <c r="A44" s="127">
        <f t="shared" ref="A44" si="17">ROW(A39)</f>
        <v>39</v>
      </c>
      <c r="B44" s="130" t="s">
        <v>150</v>
      </c>
      <c r="C44" s="130" t="s">
        <v>150</v>
      </c>
      <c r="D44" s="129" t="s">
        <v>189</v>
      </c>
      <c r="E44" s="129" t="s">
        <v>189</v>
      </c>
      <c r="F44" s="129" t="s">
        <v>189</v>
      </c>
      <c r="G44" s="128" t="s">
        <v>128</v>
      </c>
      <c r="H44" s="118">
        <v>2</v>
      </c>
      <c r="I44" s="119">
        <v>97</v>
      </c>
      <c r="J44" s="120">
        <f t="shared" si="0"/>
        <v>194</v>
      </c>
      <c r="K44" s="121" t="s">
        <v>56</v>
      </c>
      <c r="L44" s="122" t="s">
        <v>56</v>
      </c>
      <c r="R44" s="91"/>
    </row>
    <row r="45" spans="1:18" ht="26.25" customHeight="1">
      <c r="A45" s="127">
        <v>40</v>
      </c>
      <c r="B45" s="130" t="s">
        <v>151</v>
      </c>
      <c r="C45" s="130" t="s">
        <v>151</v>
      </c>
      <c r="D45" s="129" t="s">
        <v>190</v>
      </c>
      <c r="E45" s="129" t="s">
        <v>190</v>
      </c>
      <c r="F45" s="129" t="s">
        <v>190</v>
      </c>
      <c r="G45" s="128" t="s">
        <v>128</v>
      </c>
      <c r="H45" s="118">
        <v>20</v>
      </c>
      <c r="I45" s="119">
        <v>25</v>
      </c>
      <c r="J45" s="120">
        <f t="shared" si="0"/>
        <v>500</v>
      </c>
      <c r="K45" s="121" t="s">
        <v>56</v>
      </c>
      <c r="L45" s="122" t="s">
        <v>56</v>
      </c>
      <c r="R45" s="91"/>
    </row>
    <row r="46" spans="1:18" ht="26.25" customHeight="1">
      <c r="A46" s="127">
        <f t="shared" ref="A46" si="18">ROW(A41)</f>
        <v>41</v>
      </c>
      <c r="B46" s="130" t="s">
        <v>152</v>
      </c>
      <c r="C46" s="130" t="s">
        <v>152</v>
      </c>
      <c r="D46" s="129" t="s">
        <v>191</v>
      </c>
      <c r="E46" s="129" t="s">
        <v>191</v>
      </c>
      <c r="F46" s="129" t="s">
        <v>191</v>
      </c>
      <c r="G46" s="128" t="s">
        <v>128</v>
      </c>
      <c r="H46" s="118">
        <v>10</v>
      </c>
      <c r="I46" s="119">
        <v>20</v>
      </c>
      <c r="J46" s="120">
        <f t="shared" si="0"/>
        <v>200</v>
      </c>
      <c r="K46" s="121" t="s">
        <v>56</v>
      </c>
      <c r="L46" s="122" t="s">
        <v>56</v>
      </c>
      <c r="R46" s="91"/>
    </row>
    <row r="47" spans="1:18" ht="26.25" customHeight="1">
      <c r="A47" s="127">
        <v>42</v>
      </c>
      <c r="B47" s="130" t="s">
        <v>153</v>
      </c>
      <c r="C47" s="130" t="s">
        <v>153</v>
      </c>
      <c r="D47" s="129" t="s">
        <v>192</v>
      </c>
      <c r="E47" s="129" t="s">
        <v>192</v>
      </c>
      <c r="F47" s="129" t="s">
        <v>192</v>
      </c>
      <c r="G47" s="128" t="s">
        <v>128</v>
      </c>
      <c r="H47" s="118">
        <v>40</v>
      </c>
      <c r="I47" s="119">
        <v>31</v>
      </c>
      <c r="J47" s="120">
        <f t="shared" si="0"/>
        <v>1240</v>
      </c>
      <c r="K47" s="121" t="s">
        <v>56</v>
      </c>
      <c r="L47" s="122" t="s">
        <v>56</v>
      </c>
      <c r="R47" s="91"/>
    </row>
    <row r="48" spans="1:18" ht="26.25" customHeight="1">
      <c r="A48" s="127">
        <f t="shared" ref="A48" si="19">ROW(A43)</f>
        <v>43</v>
      </c>
      <c r="B48" s="130" t="s">
        <v>153</v>
      </c>
      <c r="C48" s="130" t="s">
        <v>153</v>
      </c>
      <c r="D48" s="129" t="s">
        <v>193</v>
      </c>
      <c r="E48" s="129" t="s">
        <v>193</v>
      </c>
      <c r="F48" s="129" t="s">
        <v>193</v>
      </c>
      <c r="G48" s="128" t="s">
        <v>128</v>
      </c>
      <c r="H48" s="118">
        <v>6</v>
      </c>
      <c r="I48" s="119">
        <v>68</v>
      </c>
      <c r="J48" s="120">
        <f t="shared" si="0"/>
        <v>408</v>
      </c>
      <c r="K48" s="121" t="s">
        <v>56</v>
      </c>
      <c r="L48" s="122" t="s">
        <v>56</v>
      </c>
      <c r="R48" s="91"/>
    </row>
    <row r="49" spans="1:26" ht="26.25" customHeight="1">
      <c r="A49" s="127">
        <v>44</v>
      </c>
      <c r="B49" s="130" t="s">
        <v>153</v>
      </c>
      <c r="C49" s="130" t="s">
        <v>153</v>
      </c>
      <c r="D49" s="129" t="s">
        <v>194</v>
      </c>
      <c r="E49" s="129" t="s">
        <v>194</v>
      </c>
      <c r="F49" s="129" t="s">
        <v>194</v>
      </c>
      <c r="G49" s="128" t="s">
        <v>128</v>
      </c>
      <c r="H49" s="118">
        <v>6</v>
      </c>
      <c r="I49" s="119">
        <v>98</v>
      </c>
      <c r="J49" s="120">
        <f t="shared" si="0"/>
        <v>588</v>
      </c>
      <c r="K49" s="121" t="s">
        <v>56</v>
      </c>
      <c r="L49" s="122" t="s">
        <v>56</v>
      </c>
      <c r="R49" s="91"/>
    </row>
    <row r="50" spans="1:26" ht="26.25" customHeight="1">
      <c r="A50" s="127">
        <f t="shared" ref="A50" si="20">ROW(A45)</f>
        <v>45</v>
      </c>
      <c r="B50" s="130" t="s">
        <v>153</v>
      </c>
      <c r="C50" s="130" t="s">
        <v>153</v>
      </c>
      <c r="D50" s="129" t="s">
        <v>195</v>
      </c>
      <c r="E50" s="129" t="s">
        <v>195</v>
      </c>
      <c r="F50" s="129" t="s">
        <v>195</v>
      </c>
      <c r="G50" s="128" t="s">
        <v>128</v>
      </c>
      <c r="H50" s="118">
        <v>6</v>
      </c>
      <c r="I50" s="119">
        <v>110</v>
      </c>
      <c r="J50" s="120">
        <f t="shared" si="0"/>
        <v>660</v>
      </c>
      <c r="K50" s="121" t="s">
        <v>56</v>
      </c>
      <c r="L50" s="122" t="s">
        <v>56</v>
      </c>
      <c r="R50" s="91"/>
    </row>
    <row r="51" spans="1:26" ht="26.25" customHeight="1">
      <c r="A51" s="127">
        <v>46</v>
      </c>
      <c r="B51" s="130" t="s">
        <v>154</v>
      </c>
      <c r="C51" s="130" t="s">
        <v>154</v>
      </c>
      <c r="D51" s="129" t="s">
        <v>196</v>
      </c>
      <c r="E51" s="129" t="s">
        <v>196</v>
      </c>
      <c r="F51" s="129" t="s">
        <v>196</v>
      </c>
      <c r="G51" s="128" t="s">
        <v>128</v>
      </c>
      <c r="H51" s="118">
        <v>1</v>
      </c>
      <c r="I51" s="119">
        <v>8.25</v>
      </c>
      <c r="J51" s="120">
        <f t="shared" si="0"/>
        <v>8.25</v>
      </c>
      <c r="K51" s="121" t="s">
        <v>56</v>
      </c>
      <c r="L51" s="122" t="s">
        <v>56</v>
      </c>
      <c r="R51" s="91"/>
    </row>
    <row r="52" spans="1:26" ht="26.25" customHeight="1">
      <c r="A52" s="127">
        <f t="shared" ref="A52" si="21">ROW(A47)</f>
        <v>47</v>
      </c>
      <c r="B52" s="130" t="s">
        <v>155</v>
      </c>
      <c r="C52" s="130" t="s">
        <v>155</v>
      </c>
      <c r="D52" s="129" t="s">
        <v>197</v>
      </c>
      <c r="E52" s="129" t="s">
        <v>197</v>
      </c>
      <c r="F52" s="129" t="s">
        <v>197</v>
      </c>
      <c r="G52" s="128" t="s">
        <v>128</v>
      </c>
      <c r="H52" s="118">
        <v>6</v>
      </c>
      <c r="I52" s="119">
        <v>20</v>
      </c>
      <c r="J52" s="120">
        <f t="shared" si="0"/>
        <v>120</v>
      </c>
      <c r="K52" s="121" t="s">
        <v>56</v>
      </c>
      <c r="L52" s="122" t="s">
        <v>56</v>
      </c>
      <c r="R52" s="91"/>
    </row>
    <row r="53" spans="1:26" ht="26.25" customHeight="1">
      <c r="A53" s="127">
        <v>48</v>
      </c>
      <c r="B53" s="130" t="s">
        <v>156</v>
      </c>
      <c r="C53" s="130" t="s">
        <v>156</v>
      </c>
      <c r="D53" s="129"/>
      <c r="E53" s="129"/>
      <c r="F53" s="129"/>
      <c r="G53" s="128" t="s">
        <v>128</v>
      </c>
      <c r="H53" s="118">
        <v>4</v>
      </c>
      <c r="I53" s="119">
        <v>14</v>
      </c>
      <c r="J53" s="120">
        <f t="shared" si="0"/>
        <v>56</v>
      </c>
      <c r="K53" s="121" t="s">
        <v>56</v>
      </c>
      <c r="L53" s="122" t="s">
        <v>56</v>
      </c>
      <c r="R53" s="91"/>
    </row>
    <row r="54" spans="1:26" ht="23.25" customHeight="1">
      <c r="A54" s="158" t="s">
        <v>8</v>
      </c>
      <c r="B54" s="159"/>
      <c r="C54" s="112"/>
      <c r="D54" s="113"/>
      <c r="E54" s="113"/>
      <c r="F54" s="113"/>
      <c r="G54" s="114"/>
      <c r="H54" s="114"/>
      <c r="I54" s="115" t="s">
        <v>9</v>
      </c>
      <c r="J54" s="116">
        <f>SUM(J6:J53)</f>
        <v>45941.25</v>
      </c>
      <c r="K54" s="116"/>
      <c r="L54" s="117"/>
    </row>
    <row r="55" spans="1:26" ht="20.100000000000001" customHeight="1">
      <c r="A55" s="5" t="s">
        <v>10</v>
      </c>
      <c r="B55" s="6"/>
      <c r="C55" s="6"/>
      <c r="D55" s="6"/>
      <c r="E55" s="6"/>
      <c r="F55" s="6"/>
      <c r="G55" s="6"/>
      <c r="H55" s="6"/>
      <c r="I55" s="6"/>
      <c r="J55" s="6"/>
      <c r="K55" s="7"/>
      <c r="L55" s="8"/>
    </row>
    <row r="56" spans="1:26" ht="18" customHeight="1">
      <c r="A56" s="9"/>
      <c r="J56" s="1"/>
      <c r="K56" s="1"/>
      <c r="O56" s="10"/>
      <c r="P56" s="10"/>
      <c r="Q56" s="10"/>
      <c r="R56" s="10"/>
      <c r="S56" s="10"/>
      <c r="T56" s="10"/>
      <c r="U56" s="10"/>
      <c r="V56" s="10"/>
      <c r="W56" s="10"/>
      <c r="Y56" s="135"/>
      <c r="Z56" s="10"/>
    </row>
    <row r="57" spans="1:26" ht="50.1" customHeight="1">
      <c r="Y57" s="136"/>
    </row>
    <row r="58" spans="1:26" ht="15" customHeight="1">
      <c r="O58" s="131" t="s">
        <v>115</v>
      </c>
      <c r="P58" s="137"/>
      <c r="Q58" s="137"/>
      <c r="R58" s="132"/>
      <c r="S58" s="101"/>
      <c r="T58" s="131" t="s">
        <v>116</v>
      </c>
      <c r="U58" s="137"/>
      <c r="V58" s="137"/>
      <c r="W58" s="137"/>
      <c r="X58" s="137"/>
      <c r="Y58" s="132"/>
    </row>
    <row r="59" spans="1:26" ht="15" customHeight="1">
      <c r="O59" s="138" t="s">
        <v>117</v>
      </c>
      <c r="P59" s="140" t="s">
        <v>118</v>
      </c>
      <c r="Q59" s="138" t="s">
        <v>119</v>
      </c>
      <c r="R59" s="140" t="s">
        <v>120</v>
      </c>
      <c r="S59" s="101"/>
      <c r="T59" s="138" t="s">
        <v>121</v>
      </c>
      <c r="U59" s="140" t="s">
        <v>122</v>
      </c>
      <c r="V59" s="131" t="s">
        <v>123</v>
      </c>
      <c r="W59" s="137"/>
      <c r="X59" s="132"/>
      <c r="Y59" s="140" t="s">
        <v>124</v>
      </c>
    </row>
    <row r="60" spans="1:26" ht="18" customHeight="1">
      <c r="O60" s="139"/>
      <c r="P60" s="141"/>
      <c r="Q60" s="139"/>
      <c r="R60" s="141"/>
      <c r="S60" s="105"/>
      <c r="T60" s="139"/>
      <c r="U60" s="141"/>
      <c r="V60" s="12" t="s">
        <v>117</v>
      </c>
      <c r="W60" s="142" t="s">
        <v>125</v>
      </c>
      <c r="X60" s="143"/>
      <c r="Y60" s="141"/>
    </row>
    <row r="61" spans="1:26" ht="50.1" customHeight="1">
      <c r="O61" s="13"/>
      <c r="P61" s="13"/>
      <c r="Q61" s="13"/>
      <c r="R61" s="13"/>
      <c r="S61" s="101"/>
      <c r="T61" s="13"/>
      <c r="U61" s="13"/>
      <c r="V61" s="13"/>
      <c r="W61" s="131"/>
      <c r="X61" s="132"/>
      <c r="Y61" s="106"/>
    </row>
    <row r="62" spans="1:26" ht="36" customHeight="1">
      <c r="W62" s="107"/>
      <c r="X62" s="133" t="s">
        <v>126</v>
      </c>
      <c r="Y62" s="11" t="s">
        <v>124</v>
      </c>
    </row>
    <row r="63" spans="1:26" ht="50.1" customHeight="1">
      <c r="O63" s="108"/>
      <c r="P63" s="108"/>
      <c r="Q63" s="108"/>
      <c r="R63" s="108"/>
      <c r="S63" s="108"/>
      <c r="T63" s="108"/>
      <c r="U63" s="108"/>
      <c r="V63" s="108"/>
      <c r="W63" s="109"/>
      <c r="X63" s="134"/>
      <c r="Y63" s="110"/>
    </row>
    <row r="64" spans="1:26" ht="19.899999999999999" customHeight="1"/>
    <row r="65" spans="15:17" ht="17.45" customHeight="1">
      <c r="O65" s="157"/>
      <c r="P65" s="157"/>
    </row>
    <row r="66" spans="15:17" ht="19.899999999999999" customHeight="1">
      <c r="O66" s="157"/>
      <c r="P66" s="157"/>
    </row>
    <row r="67" spans="15:17" ht="14.25">
      <c r="O67" s="10"/>
      <c r="P67" s="10"/>
      <c r="Q67" s="10"/>
    </row>
    <row r="68" spans="15:17" ht="65.099999999999994" customHeight="1"/>
    <row r="69" spans="15:17" ht="14.25">
      <c r="O69" s="10"/>
      <c r="P69" s="10"/>
    </row>
    <row r="70" spans="15:17" ht="19.899999999999999" customHeight="1"/>
    <row r="71" spans="15:17" ht="14.25"/>
    <row r="72" spans="15:17" ht="19.899999999999999" customHeight="1"/>
    <row r="73" spans="15:17" ht="14.25"/>
    <row r="74" spans="15:17" ht="19.899999999999999" customHeight="1"/>
    <row r="75" spans="15:17" ht="19.899999999999999" customHeight="1"/>
    <row r="76" spans="15:17" ht="64.900000000000006" customHeight="1"/>
    <row r="78" spans="15:17" ht="19.899999999999999" customHeight="1"/>
    <row r="79" spans="15:17" ht="19.899999999999999" customHeight="1"/>
    <row r="80" spans="15:17" ht="64.900000000000006" customHeight="1"/>
    <row r="84" spans="15:19" ht="21" customHeight="1">
      <c r="O84" s="140" t="s">
        <v>12</v>
      </c>
      <c r="P84" s="140" t="s">
        <v>12</v>
      </c>
      <c r="S84" s="140" t="s">
        <v>11</v>
      </c>
    </row>
    <row r="85" spans="15:19" ht="21" customHeight="1">
      <c r="O85" s="141"/>
      <c r="P85" s="141"/>
      <c r="S85" s="139"/>
    </row>
    <row r="86" spans="15:19" ht="64.900000000000006" customHeight="1">
      <c r="O86" s="13"/>
      <c r="P86" s="13"/>
      <c r="S86" s="14"/>
    </row>
    <row r="87" spans="15:19" ht="7.15" customHeight="1"/>
    <row r="88" spans="15:19" ht="21" customHeight="1">
      <c r="O88" s="140" t="s">
        <v>12</v>
      </c>
      <c r="P88" s="140" t="s">
        <v>12</v>
      </c>
      <c r="S88" s="140" t="s">
        <v>13</v>
      </c>
    </row>
    <row r="89" spans="15:19" ht="21" customHeight="1">
      <c r="O89" s="141"/>
      <c r="P89" s="141"/>
      <c r="S89" s="139"/>
    </row>
    <row r="90" spans="15:19" ht="64.900000000000006" customHeight="1">
      <c r="O90" s="13"/>
      <c r="P90" s="13"/>
      <c r="S90" s="13"/>
    </row>
  </sheetData>
  <mergeCells count="131">
    <mergeCell ref="S84:S85"/>
    <mergeCell ref="O88:O89"/>
    <mergeCell ref="P88:P89"/>
    <mergeCell ref="S88:S89"/>
    <mergeCell ref="O65:O66"/>
    <mergeCell ref="P65:P66"/>
    <mergeCell ref="O84:O85"/>
    <mergeCell ref="P84:P85"/>
    <mergeCell ref="A54:B54"/>
    <mergeCell ref="P59:P60"/>
    <mergeCell ref="A4:A5"/>
    <mergeCell ref="B4:C5"/>
    <mergeCell ref="D4:F5"/>
    <mergeCell ref="G4:G5"/>
    <mergeCell ref="H4:H5"/>
    <mergeCell ref="B6:C6"/>
    <mergeCell ref="D6:F6"/>
    <mergeCell ref="J1:L1"/>
    <mergeCell ref="J2:L2"/>
    <mergeCell ref="E3:I3"/>
    <mergeCell ref="I4:I5"/>
    <mergeCell ref="J4:J5"/>
    <mergeCell ref="K4:K5"/>
    <mergeCell ref="L4:L5"/>
    <mergeCell ref="W61:X61"/>
    <mergeCell ref="X62:X63"/>
    <mergeCell ref="Y56:Y57"/>
    <mergeCell ref="O58:R58"/>
    <mergeCell ref="T58:Y58"/>
    <mergeCell ref="O59:O60"/>
    <mergeCell ref="Q59:Q60"/>
    <mergeCell ref="R59:R60"/>
    <mergeCell ref="T59:T60"/>
    <mergeCell ref="U59:U60"/>
    <mergeCell ref="V59:X59"/>
    <mergeCell ref="Y59:Y60"/>
    <mergeCell ref="W60:X60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D20:F20"/>
    <mergeCell ref="D21:F21"/>
    <mergeCell ref="D22:F22"/>
    <mergeCell ref="D23:F23"/>
    <mergeCell ref="D24:F24"/>
    <mergeCell ref="B52:C52"/>
    <mergeCell ref="B53:C53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B47:C47"/>
    <mergeCell ref="B48:C48"/>
    <mergeCell ref="B49:C49"/>
    <mergeCell ref="B50:C50"/>
    <mergeCell ref="D30:F30"/>
    <mergeCell ref="D31:F31"/>
    <mergeCell ref="D32:F32"/>
    <mergeCell ref="D33:F33"/>
    <mergeCell ref="D34:F34"/>
    <mergeCell ref="D25:F25"/>
    <mergeCell ref="D26:F26"/>
    <mergeCell ref="D27:F27"/>
    <mergeCell ref="D28:F28"/>
    <mergeCell ref="D29:F29"/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50:F50"/>
    <mergeCell ref="D51:F51"/>
    <mergeCell ref="D52:F52"/>
    <mergeCell ref="D53:F53"/>
    <mergeCell ref="D45:F45"/>
    <mergeCell ref="D46:F46"/>
    <mergeCell ref="D47:F47"/>
    <mergeCell ref="D48:F48"/>
    <mergeCell ref="D49:F49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zoomScale="95" zoomScaleNormal="95" zoomScaleSheetLayoutView="70" workbookViewId="0">
      <pane ySplit="5" topLeftCell="A27" activePane="bottomLeft" state="frozen"/>
      <selection activeCell="D30" sqref="D30"/>
      <selection pane="bottomLeft" activeCell="J6" sqref="J6:J53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85</v>
      </c>
      <c r="B1" s="85"/>
      <c r="C1" s="85"/>
      <c r="D1" s="85"/>
      <c r="E1" s="85"/>
      <c r="F1" s="85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5"/>
      <c r="H2" s="15"/>
      <c r="I2" s="15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SAC2-DS-MRS-0502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46320</v>
      </c>
    </row>
    <row r="4" spans="1:18" ht="15.95" customHeight="1">
      <c r="A4" s="166" t="s">
        <v>2</v>
      </c>
      <c r="B4" s="165" t="s">
        <v>14</v>
      </c>
      <c r="C4" s="165"/>
      <c r="D4" s="166" t="s">
        <v>4</v>
      </c>
      <c r="E4" s="166"/>
      <c r="F4" s="166"/>
      <c r="G4" s="165" t="s">
        <v>5</v>
      </c>
      <c r="H4" s="166" t="s">
        <v>80</v>
      </c>
      <c r="I4" s="166" t="s">
        <v>15</v>
      </c>
      <c r="J4" s="166" t="s">
        <v>16</v>
      </c>
      <c r="K4" s="165" t="s">
        <v>7</v>
      </c>
    </row>
    <row r="5" spans="1:18" ht="15.95" customHeight="1">
      <c r="A5" s="166"/>
      <c r="B5" s="165"/>
      <c r="C5" s="165"/>
      <c r="D5" s="166"/>
      <c r="E5" s="166"/>
      <c r="F5" s="166"/>
      <c r="G5" s="165"/>
      <c r="H5" s="166"/>
      <c r="I5" s="166"/>
      <c r="J5" s="166"/>
      <c r="K5" s="165"/>
    </row>
    <row r="6" spans="1:18" ht="105" customHeight="1">
      <c r="A6" s="16">
        <f>+MRS!A6</f>
        <v>1</v>
      </c>
      <c r="B6" s="160" t="str">
        <f>MRS!B6</f>
        <v xml:space="preserve">BRIDGE CAM GAUGE </v>
      </c>
      <c r="C6" s="161"/>
      <c r="D6" s="162">
        <f>MRS!D6</f>
        <v>0</v>
      </c>
      <c r="E6" s="163"/>
      <c r="F6" s="164"/>
      <c r="G6" s="88" t="str">
        <f>MRS!G6</f>
        <v>EA</v>
      </c>
      <c r="H6" s="88">
        <f>MRS!H6</f>
        <v>8</v>
      </c>
      <c r="I6" s="89">
        <f>MRS!I6</f>
        <v>98</v>
      </c>
      <c r="J6" s="89">
        <f>MRS!J6</f>
        <v>784</v>
      </c>
      <c r="K6" s="90"/>
      <c r="O6" s="91"/>
      <c r="P6" s="91"/>
      <c r="R6" s="91"/>
    </row>
    <row r="7" spans="1:18" ht="105" customHeight="1">
      <c r="A7" s="16">
        <f>+MRS!A7</f>
        <v>2</v>
      </c>
      <c r="B7" s="160" t="str">
        <f>MRS!B7</f>
        <v xml:space="preserve">TAPER GAUGE </v>
      </c>
      <c r="C7" s="161"/>
      <c r="D7" s="162">
        <f>MRS!D7</f>
        <v>0</v>
      </c>
      <c r="E7" s="163"/>
      <c r="F7" s="164"/>
      <c r="G7" s="88" t="str">
        <f>MRS!G7</f>
        <v>EA</v>
      </c>
      <c r="H7" s="88">
        <f>MRS!H7</f>
        <v>8</v>
      </c>
      <c r="I7" s="89">
        <f>MRS!I7</f>
        <v>20</v>
      </c>
      <c r="J7" s="89">
        <f>MRS!J7</f>
        <v>160</v>
      </c>
      <c r="K7" s="90"/>
      <c r="O7" s="91"/>
      <c r="P7" s="91"/>
      <c r="R7" s="91"/>
    </row>
    <row r="8" spans="1:18" ht="105" customHeight="1">
      <c r="A8" s="16">
        <f>+MRS!A8</f>
        <v>3</v>
      </c>
      <c r="B8" s="160" t="str">
        <f>MRS!B8</f>
        <v xml:space="preserve">HI-LO GAUGE </v>
      </c>
      <c r="C8" s="161"/>
      <c r="D8" s="162">
        <f>MRS!D8</f>
        <v>0</v>
      </c>
      <c r="E8" s="163"/>
      <c r="F8" s="164"/>
      <c r="G8" s="88" t="str">
        <f>MRS!G8</f>
        <v>EA</v>
      </c>
      <c r="H8" s="88">
        <f>MRS!H8</f>
        <v>8</v>
      </c>
      <c r="I8" s="89">
        <f>MRS!I8</f>
        <v>120</v>
      </c>
      <c r="J8" s="89">
        <f>MRS!J8</f>
        <v>960</v>
      </c>
      <c r="K8" s="90"/>
      <c r="O8" s="91"/>
      <c r="P8" s="91"/>
      <c r="R8" s="91"/>
    </row>
    <row r="9" spans="1:18" ht="105" customHeight="1">
      <c r="A9" s="16">
        <f>+MRS!A9</f>
        <v>4</v>
      </c>
      <c r="B9" s="160" t="str">
        <f>MRS!B9</f>
        <v xml:space="preserve">PYROMETER THERMOMETER </v>
      </c>
      <c r="C9" s="161"/>
      <c r="D9" s="162" t="str">
        <f>MRS!D9</f>
        <v>EXTECH IR 267</v>
      </c>
      <c r="E9" s="163"/>
      <c r="F9" s="164"/>
      <c r="G9" s="88" t="str">
        <f>MRS!G9</f>
        <v>EA</v>
      </c>
      <c r="H9" s="88">
        <f>MRS!H9</f>
        <v>8</v>
      </c>
      <c r="I9" s="89">
        <f>MRS!I9</f>
        <v>440</v>
      </c>
      <c r="J9" s="89">
        <f>MRS!J9</f>
        <v>3520</v>
      </c>
      <c r="K9" s="90"/>
      <c r="O9" s="91"/>
      <c r="P9" s="91"/>
      <c r="R9" s="91"/>
    </row>
    <row r="10" spans="1:18" ht="105" customHeight="1">
      <c r="A10" s="16">
        <f>+MRS!A10</f>
        <v>5</v>
      </c>
      <c r="B10" s="160" t="str">
        <f>MRS!B10</f>
        <v xml:space="preserve">LED TORCH LIGHT </v>
      </c>
      <c r="C10" s="161"/>
      <c r="D10" s="162" t="str">
        <f>MRS!D10</f>
        <v xml:space="preserve">RECHARGEABLE TYPES GEEPAS </v>
      </c>
      <c r="E10" s="163"/>
      <c r="F10" s="164"/>
      <c r="G10" s="88" t="str">
        <f>MRS!G10</f>
        <v>EA</v>
      </c>
      <c r="H10" s="88">
        <f>MRS!H10</f>
        <v>1</v>
      </c>
      <c r="I10" s="89">
        <f>MRS!I10</f>
        <v>42</v>
      </c>
      <c r="J10" s="89">
        <f>MRS!J10</f>
        <v>42</v>
      </c>
      <c r="K10" s="90"/>
      <c r="O10" s="91"/>
      <c r="P10" s="91"/>
      <c r="R10" s="91"/>
    </row>
    <row r="11" spans="1:18" ht="105" customHeight="1">
      <c r="A11" s="16">
        <f>+MRS!A11</f>
        <v>6</v>
      </c>
      <c r="B11" s="160" t="str">
        <f>MRS!B11</f>
        <v xml:space="preserve">CLAMP MTER </v>
      </c>
      <c r="C11" s="161"/>
      <c r="D11" s="162" t="str">
        <f>MRS!D11</f>
        <v>Fluke 376FC</v>
      </c>
      <c r="E11" s="163"/>
      <c r="F11" s="164"/>
      <c r="G11" s="88" t="str">
        <f>MRS!G11</f>
        <v>EA</v>
      </c>
      <c r="H11" s="88">
        <f>MRS!H11</f>
        <v>8</v>
      </c>
      <c r="I11" s="89">
        <f>MRS!I11</f>
        <v>2080</v>
      </c>
      <c r="J11" s="89">
        <f>MRS!J11</f>
        <v>16640</v>
      </c>
      <c r="K11" s="90"/>
      <c r="O11" s="91"/>
      <c r="P11" s="91"/>
      <c r="R11" s="91"/>
    </row>
    <row r="12" spans="1:18" ht="105" customHeight="1">
      <c r="A12" s="16">
        <f>+MRS!A12</f>
        <v>7</v>
      </c>
      <c r="B12" s="160" t="str">
        <f>MRS!B12</f>
        <v>INSPECTION MIRROR</v>
      </c>
      <c r="C12" s="161"/>
      <c r="D12" s="162" t="str">
        <f>MRS!D12</f>
        <v>Round,  2"</v>
      </c>
      <c r="E12" s="163"/>
      <c r="F12" s="164"/>
      <c r="G12" s="88" t="str">
        <f>MRS!G12</f>
        <v>EA</v>
      </c>
      <c r="H12" s="88">
        <f>MRS!H12</f>
        <v>10</v>
      </c>
      <c r="I12" s="89">
        <f>MRS!I12</f>
        <v>10</v>
      </c>
      <c r="J12" s="89">
        <f>MRS!J12</f>
        <v>100</v>
      </c>
      <c r="K12" s="90"/>
      <c r="O12" s="91"/>
      <c r="P12" s="91"/>
      <c r="R12" s="91"/>
    </row>
    <row r="13" spans="1:18" ht="105" customHeight="1">
      <c r="A13" s="16">
        <f>+MRS!A13</f>
        <v>8</v>
      </c>
      <c r="B13" s="160" t="str">
        <f>MRS!B13</f>
        <v xml:space="preserve">MAGNETIC TELESCOPING </v>
      </c>
      <c r="C13" s="161"/>
      <c r="D13" s="162">
        <f>MRS!D13</f>
        <v>0</v>
      </c>
      <c r="E13" s="163"/>
      <c r="F13" s="164"/>
      <c r="G13" s="88" t="str">
        <f>MRS!G13</f>
        <v>EA</v>
      </c>
      <c r="H13" s="88">
        <f>MRS!H13</f>
        <v>10</v>
      </c>
      <c r="I13" s="89">
        <f>MRS!I13</f>
        <v>22</v>
      </c>
      <c r="J13" s="89">
        <f>MRS!J13</f>
        <v>220</v>
      </c>
      <c r="K13" s="90"/>
      <c r="O13" s="91"/>
      <c r="P13" s="91"/>
      <c r="R13" s="91"/>
    </row>
    <row r="14" spans="1:18" ht="105" customHeight="1">
      <c r="A14" s="16">
        <f>+MRS!A14</f>
        <v>9</v>
      </c>
      <c r="B14" s="160" t="str">
        <f>MRS!B14</f>
        <v xml:space="preserve">ALIGNMENT PRY BAR </v>
      </c>
      <c r="C14" s="161"/>
      <c r="D14" s="162" t="str">
        <f>MRS!D14</f>
        <v>22MMX1MTR (ONE SIDE FLAT&amp;ONE SIDE POINTED TYPES)</v>
      </c>
      <c r="E14" s="163"/>
      <c r="F14" s="164"/>
      <c r="G14" s="88" t="str">
        <f>MRS!G14</f>
        <v>EA</v>
      </c>
      <c r="H14" s="88">
        <f>MRS!H14</f>
        <v>10</v>
      </c>
      <c r="I14" s="89">
        <f>MRS!I14</f>
        <v>55</v>
      </c>
      <c r="J14" s="89">
        <f>MRS!J14</f>
        <v>550</v>
      </c>
      <c r="K14" s="90"/>
      <c r="O14" s="91"/>
      <c r="P14" s="91"/>
      <c r="R14" s="91"/>
    </row>
    <row r="15" spans="1:18" ht="105" customHeight="1">
      <c r="A15" s="16">
        <f>+MRS!A15</f>
        <v>10</v>
      </c>
      <c r="B15" s="160" t="str">
        <f>MRS!B15</f>
        <v xml:space="preserve">CHIPPING HAMMER </v>
      </c>
      <c r="C15" s="161"/>
      <c r="D15" s="162" t="str">
        <f>MRS!D15</f>
        <v>250GRAM</v>
      </c>
      <c r="E15" s="163"/>
      <c r="F15" s="164"/>
      <c r="G15" s="88" t="str">
        <f>MRS!G15</f>
        <v>EA</v>
      </c>
      <c r="H15" s="88">
        <f>MRS!H15</f>
        <v>30</v>
      </c>
      <c r="I15" s="89">
        <f>MRS!I15</f>
        <v>8</v>
      </c>
      <c r="J15" s="89">
        <f>MRS!J15</f>
        <v>240</v>
      </c>
      <c r="K15" s="90"/>
      <c r="O15" s="91"/>
      <c r="P15" s="91"/>
      <c r="R15" s="91"/>
    </row>
    <row r="16" spans="1:18" ht="105" customHeight="1">
      <c r="A16" s="16">
        <f>+MRS!A16</f>
        <v>11</v>
      </c>
      <c r="B16" s="160" t="str">
        <f>MRS!B16</f>
        <v xml:space="preserve">COMBINATION SPANNER </v>
      </c>
      <c r="C16" s="161"/>
      <c r="D16" s="162" t="str">
        <f>MRS!D16</f>
        <v>27MM</v>
      </c>
      <c r="E16" s="163"/>
      <c r="F16" s="164"/>
      <c r="G16" s="88" t="str">
        <f>MRS!G16</f>
        <v>EA</v>
      </c>
      <c r="H16" s="88">
        <f>MRS!H16</f>
        <v>12</v>
      </c>
      <c r="I16" s="89">
        <f>MRS!I16</f>
        <v>22</v>
      </c>
      <c r="J16" s="89">
        <f>MRS!J16</f>
        <v>264</v>
      </c>
      <c r="K16" s="90"/>
      <c r="O16" s="91"/>
      <c r="P16" s="91"/>
      <c r="R16" s="91"/>
    </row>
    <row r="17" spans="1:18" ht="105" customHeight="1">
      <c r="A17" s="16">
        <f>+MRS!A17</f>
        <v>12</v>
      </c>
      <c r="B17" s="160" t="str">
        <f>MRS!B17</f>
        <v xml:space="preserve">COMBINATION SPANNER </v>
      </c>
      <c r="C17" s="161"/>
      <c r="D17" s="162" t="str">
        <f>MRS!D17</f>
        <v>34MM</v>
      </c>
      <c r="E17" s="163"/>
      <c r="F17" s="164"/>
      <c r="G17" s="88" t="str">
        <f>MRS!G17</f>
        <v>EA</v>
      </c>
      <c r="H17" s="88">
        <f>MRS!H17</f>
        <v>12</v>
      </c>
      <c r="I17" s="89">
        <f>MRS!I17</f>
        <v>30</v>
      </c>
      <c r="J17" s="89">
        <f>MRS!J17</f>
        <v>360</v>
      </c>
      <c r="K17" s="90"/>
      <c r="O17" s="91"/>
      <c r="P17" s="91"/>
      <c r="R17" s="91"/>
    </row>
    <row r="18" spans="1:18" ht="105" customHeight="1">
      <c r="A18" s="16">
        <f>+MRS!A18</f>
        <v>13</v>
      </c>
      <c r="B18" s="160" t="str">
        <f>MRS!B18</f>
        <v xml:space="preserve">COMBINATION SPANNER </v>
      </c>
      <c r="C18" s="161"/>
      <c r="D18" s="162" t="str">
        <f>MRS!D18</f>
        <v>38MM</v>
      </c>
      <c r="E18" s="163"/>
      <c r="F18" s="164"/>
      <c r="G18" s="88" t="str">
        <f>MRS!G18</f>
        <v>EA</v>
      </c>
      <c r="H18" s="88">
        <f>MRS!H18</f>
        <v>12</v>
      </c>
      <c r="I18" s="89">
        <f>MRS!I18</f>
        <v>35</v>
      </c>
      <c r="J18" s="89">
        <f>MRS!J18</f>
        <v>420</v>
      </c>
      <c r="K18" s="90"/>
      <c r="O18" s="91"/>
      <c r="P18" s="91"/>
      <c r="R18" s="91"/>
    </row>
    <row r="19" spans="1:18" ht="105" customHeight="1">
      <c r="A19" s="16">
        <f>+MRS!A19</f>
        <v>14</v>
      </c>
      <c r="B19" s="160" t="str">
        <f>MRS!B19</f>
        <v xml:space="preserve">COMBINATION SPANNER </v>
      </c>
      <c r="C19" s="161"/>
      <c r="D19" s="162" t="str">
        <f>MRS!D19</f>
        <v>24MM</v>
      </c>
      <c r="E19" s="163"/>
      <c r="F19" s="164"/>
      <c r="G19" s="88" t="str">
        <f>MRS!G19</f>
        <v>EA</v>
      </c>
      <c r="H19" s="88">
        <f>MRS!H19</f>
        <v>8</v>
      </c>
      <c r="I19" s="89">
        <f>MRS!I19</f>
        <v>15</v>
      </c>
      <c r="J19" s="89">
        <f>MRS!J19</f>
        <v>120</v>
      </c>
      <c r="K19" s="90"/>
      <c r="O19" s="91"/>
      <c r="P19" s="91"/>
      <c r="R19" s="91"/>
    </row>
    <row r="20" spans="1:18" ht="105" customHeight="1">
      <c r="A20" s="16">
        <f>+MRS!A20</f>
        <v>15</v>
      </c>
      <c r="B20" s="160" t="str">
        <f>MRS!B20</f>
        <v xml:space="preserve">COMBINATION SPANNER </v>
      </c>
      <c r="C20" s="161"/>
      <c r="D20" s="162" t="str">
        <f>MRS!D20</f>
        <v>30MM</v>
      </c>
      <c r="E20" s="163"/>
      <c r="F20" s="164"/>
      <c r="G20" s="88" t="str">
        <f>MRS!G20</f>
        <v>EA</v>
      </c>
      <c r="H20" s="88">
        <f>MRS!H20</f>
        <v>8</v>
      </c>
      <c r="I20" s="89">
        <f>MRS!I20</f>
        <v>25</v>
      </c>
      <c r="J20" s="89">
        <f>MRS!J20</f>
        <v>200</v>
      </c>
      <c r="K20" s="90"/>
      <c r="O20" s="91"/>
      <c r="P20" s="91"/>
      <c r="R20" s="91"/>
    </row>
    <row r="21" spans="1:18" ht="105" customHeight="1">
      <c r="A21" s="16">
        <f>+MRS!A21</f>
        <v>16</v>
      </c>
      <c r="B21" s="160" t="str">
        <f>MRS!B21</f>
        <v xml:space="preserve">COMBINATION SPANNER </v>
      </c>
      <c r="C21" s="161"/>
      <c r="D21" s="162" t="str">
        <f>MRS!D21</f>
        <v>32MM</v>
      </c>
      <c r="E21" s="163"/>
      <c r="F21" s="164"/>
      <c r="G21" s="88" t="str">
        <f>MRS!G21</f>
        <v>EA</v>
      </c>
      <c r="H21" s="88">
        <f>MRS!H21</f>
        <v>6</v>
      </c>
      <c r="I21" s="89">
        <f>MRS!I21</f>
        <v>27</v>
      </c>
      <c r="J21" s="89">
        <f>MRS!J21</f>
        <v>162</v>
      </c>
      <c r="K21" s="90"/>
      <c r="O21" s="91"/>
      <c r="P21" s="91"/>
      <c r="R21" s="91"/>
    </row>
    <row r="22" spans="1:18" ht="105" customHeight="1">
      <c r="A22" s="16">
        <f>+MRS!A22</f>
        <v>17</v>
      </c>
      <c r="B22" s="160" t="str">
        <f>MRS!B22</f>
        <v xml:space="preserve">COMBINATION SPANNER </v>
      </c>
      <c r="C22" s="161"/>
      <c r="D22" s="162" t="str">
        <f>MRS!D22</f>
        <v>36MM</v>
      </c>
      <c r="E22" s="163"/>
      <c r="F22" s="164"/>
      <c r="G22" s="88" t="str">
        <f>MRS!G22</f>
        <v>EA</v>
      </c>
      <c r="H22" s="88">
        <f>MRS!H22</f>
        <v>6</v>
      </c>
      <c r="I22" s="89">
        <f>MRS!I22</f>
        <v>30</v>
      </c>
      <c r="J22" s="89">
        <f>MRS!J22</f>
        <v>180</v>
      </c>
      <c r="K22" s="90"/>
      <c r="O22" s="91"/>
      <c r="P22" s="91"/>
      <c r="R22" s="91"/>
    </row>
    <row r="23" spans="1:18" ht="105" customHeight="1">
      <c r="A23" s="16">
        <f>+MRS!A23</f>
        <v>18</v>
      </c>
      <c r="B23" s="160" t="str">
        <f>MRS!B23</f>
        <v xml:space="preserve">CORE DRILL MACHINE BIT </v>
      </c>
      <c r="C23" s="161"/>
      <c r="D23" s="162" t="str">
        <f>MRS!D23</f>
        <v>18MMX500MM</v>
      </c>
      <c r="E23" s="163"/>
      <c r="F23" s="164"/>
      <c r="G23" s="88" t="str">
        <f>MRS!G23</f>
        <v>EA</v>
      </c>
      <c r="H23" s="88">
        <f>MRS!H23</f>
        <v>2</v>
      </c>
      <c r="I23" s="89">
        <f>MRS!I23</f>
        <v>35</v>
      </c>
      <c r="J23" s="89">
        <f>MRS!J23</f>
        <v>70</v>
      </c>
      <c r="K23" s="90"/>
      <c r="O23" s="91"/>
      <c r="P23" s="91"/>
      <c r="R23" s="91"/>
    </row>
    <row r="24" spans="1:18" ht="105" customHeight="1">
      <c r="A24" s="16">
        <f>+MRS!A24</f>
        <v>19</v>
      </c>
      <c r="B24" s="160" t="str">
        <f>MRS!B24</f>
        <v xml:space="preserve">CROWFOOT SOCKET </v>
      </c>
      <c r="C24" s="161"/>
      <c r="D24" s="162" t="str">
        <f>MRS!D24</f>
        <v>DR1/2"X24MM</v>
      </c>
      <c r="E24" s="163"/>
      <c r="F24" s="164"/>
      <c r="G24" s="88" t="str">
        <f>MRS!G24</f>
        <v>EA</v>
      </c>
      <c r="H24" s="88">
        <f>MRS!H24</f>
        <v>2</v>
      </c>
      <c r="I24" s="89">
        <f>MRS!I24</f>
        <v>32</v>
      </c>
      <c r="J24" s="89">
        <f>MRS!J24</f>
        <v>64</v>
      </c>
      <c r="K24" s="90"/>
      <c r="O24" s="91"/>
      <c r="P24" s="91"/>
      <c r="R24" s="91"/>
    </row>
    <row r="25" spans="1:18" ht="105" customHeight="1">
      <c r="A25" s="16">
        <f>+MRS!A25</f>
        <v>20</v>
      </c>
      <c r="B25" s="160" t="str">
        <f>MRS!B25</f>
        <v xml:space="preserve">CROWFOOT SOCKET </v>
      </c>
      <c r="C25" s="161"/>
      <c r="D25" s="162" t="str">
        <f>MRS!D25</f>
        <v>DR1/2"X25MM</v>
      </c>
      <c r="E25" s="163"/>
      <c r="F25" s="164"/>
      <c r="G25" s="88" t="str">
        <f>MRS!G25</f>
        <v>EA</v>
      </c>
      <c r="H25" s="88">
        <f>MRS!H25</f>
        <v>2</v>
      </c>
      <c r="I25" s="89">
        <f>MRS!I25</f>
        <v>36</v>
      </c>
      <c r="J25" s="89">
        <f>MRS!J25</f>
        <v>72</v>
      </c>
      <c r="K25" s="90"/>
      <c r="O25" s="91"/>
      <c r="P25" s="91"/>
      <c r="R25" s="91"/>
    </row>
    <row r="26" spans="1:18" ht="105" customHeight="1">
      <c r="A26" s="16">
        <f>+MRS!A26</f>
        <v>21</v>
      </c>
      <c r="B26" s="160" t="str">
        <f>MRS!B26</f>
        <v xml:space="preserve">CROWFOOT SOCKET </v>
      </c>
      <c r="C26" s="161"/>
      <c r="D26" s="162" t="str">
        <f>MRS!D26</f>
        <v>DR1/2"X26MM</v>
      </c>
      <c r="E26" s="163"/>
      <c r="F26" s="164"/>
      <c r="G26" s="88" t="str">
        <f>MRS!G26</f>
        <v>EA</v>
      </c>
      <c r="H26" s="88">
        <f>MRS!H26</f>
        <v>2</v>
      </c>
      <c r="I26" s="89">
        <f>MRS!I26</f>
        <v>38</v>
      </c>
      <c r="J26" s="89">
        <f>MRS!J26</f>
        <v>76</v>
      </c>
      <c r="K26" s="90"/>
      <c r="O26" s="91"/>
      <c r="P26" s="91"/>
      <c r="R26" s="91"/>
    </row>
    <row r="27" spans="1:18" ht="105" customHeight="1">
      <c r="A27" s="16">
        <f>+MRS!A27</f>
        <v>22</v>
      </c>
      <c r="B27" s="160" t="str">
        <f>MRS!B27</f>
        <v xml:space="preserve">CROWFOOT SOCKET </v>
      </c>
      <c r="C27" s="161"/>
      <c r="D27" s="162" t="str">
        <f>MRS!D27</f>
        <v>DR1/2"X27MM</v>
      </c>
      <c r="E27" s="163"/>
      <c r="F27" s="164"/>
      <c r="G27" s="88" t="str">
        <f>MRS!G27</f>
        <v>EA</v>
      </c>
      <c r="H27" s="88">
        <f>MRS!H27</f>
        <v>2</v>
      </c>
      <c r="I27" s="89">
        <f>MRS!I27</f>
        <v>40</v>
      </c>
      <c r="J27" s="89">
        <f>MRS!J27</f>
        <v>80</v>
      </c>
      <c r="K27" s="90"/>
      <c r="O27" s="91"/>
      <c r="P27" s="91"/>
      <c r="R27" s="91"/>
    </row>
    <row r="28" spans="1:18" ht="105" customHeight="1">
      <c r="A28" s="16">
        <f>+MRS!A28</f>
        <v>23</v>
      </c>
      <c r="B28" s="160" t="str">
        <f>MRS!B28</f>
        <v xml:space="preserve">CROWFOOT SOCKET </v>
      </c>
      <c r="C28" s="161"/>
      <c r="D28" s="162" t="str">
        <f>MRS!D28</f>
        <v>DR1/2"X28MM</v>
      </c>
      <c r="E28" s="163"/>
      <c r="F28" s="164"/>
      <c r="G28" s="88" t="str">
        <f>MRS!G28</f>
        <v>EA</v>
      </c>
      <c r="H28" s="88">
        <f>MRS!H28</f>
        <v>2</v>
      </c>
      <c r="I28" s="89">
        <f>MRS!I28</f>
        <v>42</v>
      </c>
      <c r="J28" s="89">
        <f>MRS!J28</f>
        <v>84</v>
      </c>
      <c r="K28" s="90"/>
      <c r="O28" s="91"/>
      <c r="P28" s="91"/>
      <c r="R28" s="91"/>
    </row>
    <row r="29" spans="1:18" ht="105" customHeight="1">
      <c r="A29" s="16">
        <f>+MRS!A29</f>
        <v>24</v>
      </c>
      <c r="B29" s="160" t="str">
        <f>MRS!B29</f>
        <v xml:space="preserve">CROWFOOT SOCKET </v>
      </c>
      <c r="C29" s="161"/>
      <c r="D29" s="162" t="str">
        <f>MRS!D29</f>
        <v>DR1/2"X29MM</v>
      </c>
      <c r="E29" s="163"/>
      <c r="F29" s="164"/>
      <c r="G29" s="88" t="str">
        <f>MRS!G29</f>
        <v>EA</v>
      </c>
      <c r="H29" s="88">
        <f>MRS!H29</f>
        <v>2</v>
      </c>
      <c r="I29" s="89">
        <f>MRS!I29</f>
        <v>44</v>
      </c>
      <c r="J29" s="89">
        <f>MRS!J29</f>
        <v>88</v>
      </c>
      <c r="K29" s="90"/>
      <c r="O29" s="91"/>
      <c r="P29" s="91"/>
      <c r="R29" s="91"/>
    </row>
    <row r="30" spans="1:18" ht="105" customHeight="1">
      <c r="A30" s="16">
        <f>+MRS!A30</f>
        <v>25</v>
      </c>
      <c r="B30" s="160" t="str">
        <f>MRS!B30</f>
        <v xml:space="preserve">CROWFOOT SOCKET </v>
      </c>
      <c r="C30" s="161"/>
      <c r="D30" s="162" t="str">
        <f>MRS!D30</f>
        <v>DR1/2"X30MM</v>
      </c>
      <c r="E30" s="163"/>
      <c r="F30" s="164"/>
      <c r="G30" s="88" t="str">
        <f>MRS!G30</f>
        <v>EA</v>
      </c>
      <c r="H30" s="88">
        <f>MRS!H30</f>
        <v>2</v>
      </c>
      <c r="I30" s="89">
        <f>MRS!I30</f>
        <v>47</v>
      </c>
      <c r="J30" s="89">
        <f>MRS!J30</f>
        <v>94</v>
      </c>
      <c r="K30" s="90"/>
      <c r="O30" s="91"/>
      <c r="P30" s="91"/>
      <c r="R30" s="91"/>
    </row>
    <row r="31" spans="1:18" ht="105" customHeight="1">
      <c r="A31" s="16">
        <f>+MRS!A31</f>
        <v>26</v>
      </c>
      <c r="B31" s="160" t="str">
        <f>MRS!B31</f>
        <v xml:space="preserve">CROWFOOT SOCKET </v>
      </c>
      <c r="C31" s="161"/>
      <c r="D31" s="162" t="str">
        <f>MRS!D31</f>
        <v>DR1/2"X32MM</v>
      </c>
      <c r="E31" s="163"/>
      <c r="F31" s="164"/>
      <c r="G31" s="88" t="str">
        <f>MRS!G31</f>
        <v>EA</v>
      </c>
      <c r="H31" s="88">
        <f>MRS!H31</f>
        <v>2</v>
      </c>
      <c r="I31" s="89">
        <f>MRS!I31</f>
        <v>49</v>
      </c>
      <c r="J31" s="89">
        <f>MRS!J31</f>
        <v>98</v>
      </c>
      <c r="K31" s="90"/>
      <c r="O31" s="91"/>
      <c r="P31" s="91"/>
      <c r="R31" s="91"/>
    </row>
    <row r="32" spans="1:18" ht="105" customHeight="1">
      <c r="A32" s="16">
        <f>+MRS!A32</f>
        <v>27</v>
      </c>
      <c r="B32" s="160" t="str">
        <f>MRS!B32</f>
        <v xml:space="preserve">CROWFOOT SOCKET </v>
      </c>
      <c r="C32" s="161"/>
      <c r="D32" s="162" t="str">
        <f>MRS!D32</f>
        <v>DR1/2"X41MM</v>
      </c>
      <c r="E32" s="163"/>
      <c r="F32" s="164"/>
      <c r="G32" s="88" t="str">
        <f>MRS!G32</f>
        <v>EA</v>
      </c>
      <c r="H32" s="88">
        <f>MRS!H32</f>
        <v>2</v>
      </c>
      <c r="I32" s="89">
        <f>MRS!I32</f>
        <v>96</v>
      </c>
      <c r="J32" s="89">
        <f>MRS!J32</f>
        <v>192</v>
      </c>
      <c r="K32" s="90"/>
      <c r="O32" s="91"/>
      <c r="P32" s="91"/>
      <c r="R32" s="91"/>
    </row>
    <row r="33" spans="1:18" ht="105" customHeight="1">
      <c r="A33" s="16">
        <f>+MRS!A33</f>
        <v>28</v>
      </c>
      <c r="B33" s="160" t="str">
        <f>MRS!B33</f>
        <v xml:space="preserve">DEEP SOCKET </v>
      </c>
      <c r="C33" s="161"/>
      <c r="D33" s="162" t="str">
        <f>MRS!D33</f>
        <v>DR1/2"X24MM</v>
      </c>
      <c r="E33" s="163"/>
      <c r="F33" s="164"/>
      <c r="G33" s="88" t="str">
        <f>MRS!G33</f>
        <v>EA</v>
      </c>
      <c r="H33" s="88">
        <f>MRS!H33</f>
        <v>2</v>
      </c>
      <c r="I33" s="89">
        <f>MRS!I33</f>
        <v>20</v>
      </c>
      <c r="J33" s="89">
        <f>MRS!J33</f>
        <v>40</v>
      </c>
      <c r="K33" s="90"/>
      <c r="O33" s="91"/>
      <c r="P33" s="91"/>
      <c r="R33" s="91"/>
    </row>
    <row r="34" spans="1:18" ht="105" customHeight="1">
      <c r="A34" s="16">
        <f>+MRS!A34</f>
        <v>29</v>
      </c>
      <c r="B34" s="160" t="str">
        <f>MRS!B34</f>
        <v xml:space="preserve">DEEP SOCKET </v>
      </c>
      <c r="C34" s="161"/>
      <c r="D34" s="162" t="str">
        <f>MRS!D34</f>
        <v>DR1/2"X27MM</v>
      </c>
      <c r="E34" s="163"/>
      <c r="F34" s="164"/>
      <c r="G34" s="88" t="str">
        <f>MRS!G34</f>
        <v>EA</v>
      </c>
      <c r="H34" s="88">
        <f>MRS!H34</f>
        <v>2</v>
      </c>
      <c r="I34" s="89">
        <f>MRS!I34</f>
        <v>27</v>
      </c>
      <c r="J34" s="89">
        <f>MRS!J34</f>
        <v>54</v>
      </c>
      <c r="K34" s="90"/>
      <c r="O34" s="91"/>
      <c r="P34" s="91"/>
      <c r="R34" s="91"/>
    </row>
    <row r="35" spans="1:18" ht="105" customHeight="1">
      <c r="A35" s="16">
        <f>+MRS!A35</f>
        <v>30</v>
      </c>
      <c r="B35" s="160" t="str">
        <f>MRS!B35</f>
        <v xml:space="preserve">DEEP SOCKET </v>
      </c>
      <c r="C35" s="161"/>
      <c r="D35" s="162" t="str">
        <f>MRS!D35</f>
        <v>DR1"X34MM</v>
      </c>
      <c r="E35" s="163"/>
      <c r="F35" s="164"/>
      <c r="G35" s="88" t="str">
        <f>MRS!G35</f>
        <v>EA</v>
      </c>
      <c r="H35" s="88">
        <f>MRS!H35</f>
        <v>2</v>
      </c>
      <c r="I35" s="89">
        <f>MRS!I35</f>
        <v>22</v>
      </c>
      <c r="J35" s="89">
        <f>MRS!J35</f>
        <v>44</v>
      </c>
      <c r="K35" s="90"/>
      <c r="O35" s="91"/>
      <c r="P35" s="91"/>
      <c r="R35" s="91"/>
    </row>
    <row r="36" spans="1:18" ht="105" customHeight="1">
      <c r="A36" s="16">
        <f>+MRS!A36</f>
        <v>31</v>
      </c>
      <c r="B36" s="160" t="str">
        <f>MRS!B36</f>
        <v xml:space="preserve">DEEP SOCKET </v>
      </c>
      <c r="C36" s="161"/>
      <c r="D36" s="162" t="str">
        <f>MRS!D36</f>
        <v>DR3/4"X34MM</v>
      </c>
      <c r="E36" s="163"/>
      <c r="F36" s="164"/>
      <c r="G36" s="88" t="str">
        <f>MRS!G36</f>
        <v>EA</v>
      </c>
      <c r="H36" s="88">
        <f>MRS!H36</f>
        <v>2</v>
      </c>
      <c r="I36" s="89">
        <f>MRS!I36</f>
        <v>12.5</v>
      </c>
      <c r="J36" s="89">
        <f>MRS!J36</f>
        <v>25</v>
      </c>
      <c r="K36" s="90"/>
      <c r="O36" s="91"/>
      <c r="P36" s="91"/>
      <c r="R36" s="91"/>
    </row>
    <row r="37" spans="1:18" ht="105" customHeight="1">
      <c r="A37" s="16">
        <f>+MRS!A37</f>
        <v>32</v>
      </c>
      <c r="B37" s="160" t="str">
        <f>MRS!B37</f>
        <v xml:space="preserve">DEEP SOCKET </v>
      </c>
      <c r="C37" s="161"/>
      <c r="D37" s="162" t="str">
        <f>MRS!D37</f>
        <v>DR1"X36MM</v>
      </c>
      <c r="E37" s="163"/>
      <c r="F37" s="164"/>
      <c r="G37" s="88" t="str">
        <f>MRS!G37</f>
        <v>EA</v>
      </c>
      <c r="H37" s="88">
        <f>MRS!H37</f>
        <v>2</v>
      </c>
      <c r="I37" s="89">
        <f>MRS!I37</f>
        <v>22</v>
      </c>
      <c r="J37" s="89">
        <f>MRS!J37</f>
        <v>44</v>
      </c>
      <c r="K37" s="90"/>
      <c r="O37" s="91"/>
      <c r="P37" s="91"/>
      <c r="R37" s="91"/>
    </row>
    <row r="38" spans="1:18" ht="105" customHeight="1">
      <c r="A38" s="16">
        <f>+MRS!A38</f>
        <v>33</v>
      </c>
      <c r="B38" s="160" t="str">
        <f>MRS!B38</f>
        <v>DIE GRINDER MACHINE KEY</v>
      </c>
      <c r="C38" s="161"/>
      <c r="D38" s="162" t="str">
        <f>MRS!D38</f>
        <v xml:space="preserve">6MM MAKITA </v>
      </c>
      <c r="E38" s="163"/>
      <c r="F38" s="164"/>
      <c r="G38" s="88" t="str">
        <f>MRS!G38</f>
        <v>EA</v>
      </c>
      <c r="H38" s="88">
        <f>MRS!H38</f>
        <v>40</v>
      </c>
      <c r="I38" s="89">
        <f>MRS!I38</f>
        <v>8</v>
      </c>
      <c r="J38" s="89">
        <f>MRS!J38</f>
        <v>320</v>
      </c>
      <c r="K38" s="90"/>
      <c r="O38" s="91"/>
      <c r="P38" s="91"/>
      <c r="R38" s="91"/>
    </row>
    <row r="39" spans="1:18" ht="105" customHeight="1">
      <c r="A39" s="16">
        <f>+MRS!A39</f>
        <v>34</v>
      </c>
      <c r="B39" s="160" t="str">
        <f>MRS!B39</f>
        <v xml:space="preserve">ELECTRICAL EXHAUST FAN </v>
      </c>
      <c r="C39" s="161"/>
      <c r="D39" s="162" t="str">
        <f>MRS!D39</f>
        <v>10"X10"</v>
      </c>
      <c r="E39" s="163"/>
      <c r="F39" s="164"/>
      <c r="G39" s="88" t="str">
        <f>MRS!G39</f>
        <v>EA</v>
      </c>
      <c r="H39" s="88">
        <f>MRS!H39</f>
        <v>10</v>
      </c>
      <c r="I39" s="89">
        <f>MRS!I39</f>
        <v>55</v>
      </c>
      <c r="J39" s="89">
        <f>MRS!J39</f>
        <v>550</v>
      </c>
      <c r="K39" s="90"/>
      <c r="O39" s="91"/>
      <c r="P39" s="91"/>
      <c r="R39" s="91"/>
    </row>
    <row r="40" spans="1:18" ht="105" customHeight="1">
      <c r="A40" s="16">
        <f>+MRS!A40</f>
        <v>35</v>
      </c>
      <c r="B40" s="160" t="str">
        <f>MRS!B40</f>
        <v xml:space="preserve">MAGNETIC DRILL BIT </v>
      </c>
      <c r="C40" s="161"/>
      <c r="D40" s="162" t="str">
        <f>MRS!D40</f>
        <v>27X55MM KASCTC2755</v>
      </c>
      <c r="E40" s="163"/>
      <c r="F40" s="164"/>
      <c r="G40" s="88" t="str">
        <f>MRS!G40</f>
        <v>EA</v>
      </c>
      <c r="H40" s="88">
        <f>MRS!H40</f>
        <v>50</v>
      </c>
      <c r="I40" s="89">
        <f>MRS!I40</f>
        <v>70</v>
      </c>
      <c r="J40" s="89">
        <f>MRS!J40</f>
        <v>3500</v>
      </c>
      <c r="K40" s="90"/>
      <c r="O40" s="91"/>
      <c r="P40" s="91"/>
      <c r="R40" s="91"/>
    </row>
    <row r="41" spans="1:18" ht="105" customHeight="1">
      <c r="A41" s="16">
        <f>+MRS!A41</f>
        <v>36</v>
      </c>
      <c r="B41" s="160" t="str">
        <f>MRS!B41</f>
        <v xml:space="preserve">MAGNETIC DRILL BIT </v>
      </c>
      <c r="C41" s="161"/>
      <c r="D41" s="162" t="str">
        <f>MRS!D41</f>
        <v>22X55MM KSACTCT2255</v>
      </c>
      <c r="E41" s="163"/>
      <c r="F41" s="164"/>
      <c r="G41" s="88" t="str">
        <f>MRS!G41</f>
        <v>EA</v>
      </c>
      <c r="H41" s="88">
        <f>MRS!H41</f>
        <v>50</v>
      </c>
      <c r="I41" s="89">
        <f>MRS!I41</f>
        <v>62</v>
      </c>
      <c r="J41" s="89">
        <f>MRS!J41</f>
        <v>3100</v>
      </c>
      <c r="K41" s="90"/>
      <c r="O41" s="91"/>
      <c r="P41" s="91"/>
      <c r="R41" s="91"/>
    </row>
    <row r="42" spans="1:18" ht="105" customHeight="1">
      <c r="A42" s="16">
        <f>+MRS!A42</f>
        <v>37</v>
      </c>
      <c r="B42" s="160" t="str">
        <f>MRS!B42</f>
        <v xml:space="preserve">MAGNETIC DRILL BIT </v>
      </c>
      <c r="C42" s="161"/>
      <c r="D42" s="162" t="str">
        <f>MRS!D42</f>
        <v>27X55MM,90MM LONG</v>
      </c>
      <c r="E42" s="163"/>
      <c r="F42" s="164"/>
      <c r="G42" s="88" t="str">
        <f>MRS!G42</f>
        <v>EA</v>
      </c>
      <c r="H42" s="88">
        <f>MRS!H42</f>
        <v>50</v>
      </c>
      <c r="I42" s="89">
        <f>MRS!I42</f>
        <v>87</v>
      </c>
      <c r="J42" s="89">
        <f>MRS!J42</f>
        <v>4350</v>
      </c>
      <c r="K42" s="90"/>
      <c r="O42" s="91"/>
      <c r="P42" s="91"/>
      <c r="R42" s="91"/>
    </row>
    <row r="43" spans="1:18" ht="105" customHeight="1">
      <c r="A43" s="16">
        <f>+MRS!A43</f>
        <v>38</v>
      </c>
      <c r="B43" s="160" t="str">
        <f>MRS!B43</f>
        <v xml:space="preserve">MAGNETIC DRILL BIT </v>
      </c>
      <c r="C43" s="161"/>
      <c r="D43" s="162" t="str">
        <f>MRS!D43</f>
        <v>26X55MM,90MM LONG</v>
      </c>
      <c r="E43" s="163"/>
      <c r="F43" s="164"/>
      <c r="G43" s="88" t="str">
        <f>MRS!G43</f>
        <v>EA</v>
      </c>
      <c r="H43" s="88">
        <f>MRS!H43</f>
        <v>50</v>
      </c>
      <c r="I43" s="89">
        <f>MRS!I43</f>
        <v>82</v>
      </c>
      <c r="J43" s="89">
        <f>MRS!J43</f>
        <v>4100</v>
      </c>
      <c r="K43" s="90"/>
      <c r="O43" s="91"/>
      <c r="P43" s="91"/>
      <c r="R43" s="91"/>
    </row>
    <row r="44" spans="1:18" ht="105" customHeight="1">
      <c r="A44" s="16">
        <f>+MRS!A44</f>
        <v>39</v>
      </c>
      <c r="B44" s="160" t="str">
        <f>MRS!B44</f>
        <v xml:space="preserve">MAGNETIC DRILL BIT </v>
      </c>
      <c r="C44" s="161"/>
      <c r="D44" s="162" t="str">
        <f>MRS!D44</f>
        <v>28X55MM,90MM LONG</v>
      </c>
      <c r="E44" s="163"/>
      <c r="F44" s="164"/>
      <c r="G44" s="88" t="str">
        <f>MRS!G44</f>
        <v>EA</v>
      </c>
      <c r="H44" s="88">
        <f>MRS!H44</f>
        <v>2</v>
      </c>
      <c r="I44" s="89">
        <f>MRS!I44</f>
        <v>97</v>
      </c>
      <c r="J44" s="89">
        <f>MRS!J44</f>
        <v>194</v>
      </c>
      <c r="K44" s="90"/>
      <c r="O44" s="91"/>
      <c r="P44" s="91"/>
      <c r="R44" s="91"/>
    </row>
    <row r="45" spans="1:18" ht="105" customHeight="1">
      <c r="A45" s="16">
        <f>+MRS!A45</f>
        <v>40</v>
      </c>
      <c r="B45" s="160" t="str">
        <f>MRS!B45</f>
        <v>PILOT CENTER PIN</v>
      </c>
      <c r="C45" s="161"/>
      <c r="D45" s="162" t="str">
        <f>MRS!D45</f>
        <v>79.80X108MM</v>
      </c>
      <c r="E45" s="163"/>
      <c r="F45" s="164"/>
      <c r="G45" s="88" t="str">
        <f>MRS!G45</f>
        <v>EA</v>
      </c>
      <c r="H45" s="88">
        <f>MRS!H45</f>
        <v>20</v>
      </c>
      <c r="I45" s="89">
        <f>MRS!I45</f>
        <v>25</v>
      </c>
      <c r="J45" s="89">
        <f>MRS!J45</f>
        <v>500</v>
      </c>
      <c r="K45" s="90"/>
      <c r="O45" s="91"/>
      <c r="P45" s="91"/>
      <c r="R45" s="91"/>
    </row>
    <row r="46" spans="1:18" ht="105" customHeight="1">
      <c r="A46" s="16">
        <f>+MRS!A46</f>
        <v>41</v>
      </c>
      <c r="B46" s="160" t="str">
        <f>MRS!B46</f>
        <v xml:space="preserve">POINTED CHISEL </v>
      </c>
      <c r="C46" s="161"/>
      <c r="D46" s="162" t="str">
        <f>MRS!D46</f>
        <v>18MMX400MM</v>
      </c>
      <c r="E46" s="163"/>
      <c r="F46" s="164"/>
      <c r="G46" s="88" t="str">
        <f>MRS!G46</f>
        <v>EA</v>
      </c>
      <c r="H46" s="88">
        <f>MRS!H46</f>
        <v>10</v>
      </c>
      <c r="I46" s="89">
        <f>MRS!I46</f>
        <v>20</v>
      </c>
      <c r="J46" s="89">
        <f>MRS!J46</f>
        <v>200</v>
      </c>
      <c r="K46" s="90"/>
      <c r="O46" s="91"/>
      <c r="P46" s="91"/>
      <c r="R46" s="91"/>
    </row>
    <row r="47" spans="1:18" ht="105" customHeight="1">
      <c r="A47" s="16">
        <f>+MRS!A47</f>
        <v>42</v>
      </c>
      <c r="B47" s="160" t="str">
        <f>MRS!B47</f>
        <v xml:space="preserve">RATCHET SPANNER </v>
      </c>
      <c r="C47" s="161"/>
      <c r="D47" s="162" t="str">
        <f>MRS!D47</f>
        <v>19X21MM</v>
      </c>
      <c r="E47" s="163"/>
      <c r="F47" s="164"/>
      <c r="G47" s="88" t="str">
        <f>MRS!G47</f>
        <v>EA</v>
      </c>
      <c r="H47" s="88">
        <f>MRS!H47</f>
        <v>40</v>
      </c>
      <c r="I47" s="89">
        <f>MRS!I47</f>
        <v>31</v>
      </c>
      <c r="J47" s="89">
        <f>MRS!J47</f>
        <v>1240</v>
      </c>
      <c r="K47" s="90"/>
      <c r="O47" s="91"/>
      <c r="P47" s="91"/>
      <c r="R47" s="91"/>
    </row>
    <row r="48" spans="1:18" ht="105" customHeight="1">
      <c r="A48" s="16">
        <f>+MRS!A48</f>
        <v>43</v>
      </c>
      <c r="B48" s="160" t="str">
        <f>MRS!B48</f>
        <v xml:space="preserve">RATCHET SPANNER </v>
      </c>
      <c r="C48" s="161"/>
      <c r="D48" s="162" t="str">
        <f>MRS!D48</f>
        <v>27X30MM</v>
      </c>
      <c r="E48" s="163"/>
      <c r="F48" s="164"/>
      <c r="G48" s="88" t="str">
        <f>MRS!G48</f>
        <v>EA</v>
      </c>
      <c r="H48" s="88">
        <f>MRS!H48</f>
        <v>6</v>
      </c>
      <c r="I48" s="89">
        <f>MRS!I48</f>
        <v>68</v>
      </c>
      <c r="J48" s="89">
        <f>MRS!J48</f>
        <v>408</v>
      </c>
      <c r="K48" s="90"/>
      <c r="O48" s="91"/>
      <c r="P48" s="91"/>
      <c r="R48" s="91"/>
    </row>
    <row r="49" spans="1:18" ht="105" customHeight="1">
      <c r="A49" s="16">
        <f>+MRS!A49</f>
        <v>44</v>
      </c>
      <c r="B49" s="160" t="str">
        <f>MRS!B49</f>
        <v xml:space="preserve">RATCHET SPANNER </v>
      </c>
      <c r="C49" s="161"/>
      <c r="D49" s="162" t="str">
        <f>MRS!D49</f>
        <v>32X34MM</v>
      </c>
      <c r="E49" s="163"/>
      <c r="F49" s="164"/>
      <c r="G49" s="88" t="str">
        <f>MRS!G49</f>
        <v>EA</v>
      </c>
      <c r="H49" s="88">
        <f>MRS!H49</f>
        <v>6</v>
      </c>
      <c r="I49" s="89">
        <f>MRS!I49</f>
        <v>98</v>
      </c>
      <c r="J49" s="89">
        <f>MRS!J49</f>
        <v>588</v>
      </c>
      <c r="K49" s="90"/>
      <c r="O49" s="91"/>
      <c r="P49" s="91"/>
      <c r="R49" s="91"/>
    </row>
    <row r="50" spans="1:18" ht="105" customHeight="1">
      <c r="A50" s="16">
        <f>+MRS!A50</f>
        <v>45</v>
      </c>
      <c r="B50" s="160" t="str">
        <f>MRS!B50</f>
        <v xml:space="preserve">RATCHET SPANNER </v>
      </c>
      <c r="C50" s="161"/>
      <c r="D50" s="162" t="str">
        <f>MRS!D50</f>
        <v>36X38MM</v>
      </c>
      <c r="E50" s="163"/>
      <c r="F50" s="164"/>
      <c r="G50" s="88" t="str">
        <f>MRS!G50</f>
        <v>EA</v>
      </c>
      <c r="H50" s="88">
        <f>MRS!H50</f>
        <v>6</v>
      </c>
      <c r="I50" s="89">
        <f>MRS!I50</f>
        <v>110</v>
      </c>
      <c r="J50" s="89">
        <f>MRS!J50</f>
        <v>660</v>
      </c>
      <c r="K50" s="90"/>
      <c r="O50" s="91"/>
      <c r="P50" s="91"/>
      <c r="R50" s="91"/>
    </row>
    <row r="51" spans="1:18" ht="105" customHeight="1">
      <c r="A51" s="16">
        <f>+MRS!A51</f>
        <v>46</v>
      </c>
      <c r="B51" s="160" t="str">
        <f>MRS!B51</f>
        <v xml:space="preserve">WIRE STRIPPING PLIER </v>
      </c>
      <c r="C51" s="161"/>
      <c r="D51" s="162" t="str">
        <f>MRS!D51</f>
        <v xml:space="preserve">SMALL </v>
      </c>
      <c r="E51" s="163"/>
      <c r="F51" s="164"/>
      <c r="G51" s="88" t="str">
        <f>MRS!G51</f>
        <v>EA</v>
      </c>
      <c r="H51" s="88">
        <f>MRS!H51</f>
        <v>1</v>
      </c>
      <c r="I51" s="89">
        <f>MRS!I51</f>
        <v>8.25</v>
      </c>
      <c r="J51" s="89">
        <f>MRS!J51</f>
        <v>8.25</v>
      </c>
      <c r="K51" s="90"/>
      <c r="O51" s="91"/>
      <c r="P51" s="91"/>
      <c r="R51" s="91"/>
    </row>
    <row r="52" spans="1:18" ht="105" customHeight="1">
      <c r="A52" s="16">
        <f>+MRS!A52</f>
        <v>47</v>
      </c>
      <c r="B52" s="160" t="str">
        <f>MRS!B52</f>
        <v>CORDLESS JIGSAW BLADE</v>
      </c>
      <c r="C52" s="161"/>
      <c r="D52" s="162" t="str">
        <f>MRS!D52</f>
        <v>500mm x 10mm x 2mm</v>
      </c>
      <c r="E52" s="163"/>
      <c r="F52" s="164"/>
      <c r="G52" s="88" t="str">
        <f>MRS!G52</f>
        <v>EA</v>
      </c>
      <c r="H52" s="88">
        <f>MRS!H52</f>
        <v>6</v>
      </c>
      <c r="I52" s="89">
        <f>MRS!I52</f>
        <v>20</v>
      </c>
      <c r="J52" s="89">
        <f>MRS!J52</f>
        <v>120</v>
      </c>
      <c r="K52" s="90"/>
      <c r="O52" s="91"/>
      <c r="P52" s="91"/>
      <c r="R52" s="91"/>
    </row>
    <row r="53" spans="1:18" ht="105" customHeight="1">
      <c r="A53" s="16">
        <f>+MRS!A53</f>
        <v>48</v>
      </c>
      <c r="B53" s="160" t="str">
        <f>MRS!B53</f>
        <v>CENTER HOLE PUNCH</v>
      </c>
      <c r="C53" s="161"/>
      <c r="D53" s="162">
        <f>MRS!D53</f>
        <v>0</v>
      </c>
      <c r="E53" s="163"/>
      <c r="F53" s="164"/>
      <c r="G53" s="88" t="str">
        <f>MRS!G53</f>
        <v>EA</v>
      </c>
      <c r="H53" s="88">
        <f>MRS!H53</f>
        <v>4</v>
      </c>
      <c r="I53" s="89">
        <f>MRS!I53</f>
        <v>14</v>
      </c>
      <c r="J53" s="89">
        <f>MRS!J53</f>
        <v>56</v>
      </c>
      <c r="K53" s="90"/>
      <c r="O53" s="91"/>
      <c r="P53" s="91"/>
      <c r="R53" s="91"/>
    </row>
  </sheetData>
  <mergeCells count="106">
    <mergeCell ref="A4:A5"/>
    <mergeCell ref="B4:C5"/>
    <mergeCell ref="D4:F5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B9:C9"/>
    <mergeCell ref="D9:F9"/>
    <mergeCell ref="B10:C10"/>
    <mergeCell ref="D10:F10"/>
    <mergeCell ref="B11:C11"/>
    <mergeCell ref="D11:F11"/>
    <mergeCell ref="B17:C17"/>
    <mergeCell ref="D17:F17"/>
    <mergeCell ref="B14:C14"/>
    <mergeCell ref="D14:F14"/>
    <mergeCell ref="B15:C15"/>
    <mergeCell ref="D15:F15"/>
    <mergeCell ref="B16:C16"/>
    <mergeCell ref="D16:F16"/>
    <mergeCell ref="B12:C12"/>
    <mergeCell ref="D12:F12"/>
    <mergeCell ref="B13:C13"/>
    <mergeCell ref="D13:F13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31" sqref="F31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5.42578125" style="21" customWidth="1"/>
    <col min="7" max="7" width="6.5703125" style="21" customWidth="1"/>
    <col min="8" max="10" width="9.140625" style="21"/>
    <col min="11" max="11" width="9.7109375" style="21" bestFit="1" customWidth="1"/>
    <col min="12" max="12" width="9.42578125" style="21" bestFit="1" customWidth="1"/>
    <col min="13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91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102</v>
      </c>
      <c r="D9" s="33"/>
      <c r="E9" s="33"/>
    </row>
    <row r="10" spans="2:13" s="33" customFormat="1">
      <c r="B10" s="64"/>
      <c r="C10" s="33" t="s">
        <v>23</v>
      </c>
      <c r="D10" s="68" t="s">
        <v>103</v>
      </c>
      <c r="J10" s="33" t="s">
        <v>24</v>
      </c>
      <c r="K10" s="168">
        <f>MRS!L3</f>
        <v>46320</v>
      </c>
      <c r="L10" s="169"/>
      <c r="M10" s="169"/>
    </row>
    <row r="11" spans="2:13" s="33" customFormat="1">
      <c r="B11" s="64"/>
      <c r="C11" s="67" t="s">
        <v>25</v>
      </c>
      <c r="D11" s="68" t="s">
        <v>104</v>
      </c>
      <c r="J11" s="33" t="s">
        <v>26</v>
      </c>
      <c r="K11" s="170" t="str">
        <f>SUBSTITUTE(SUBSTITUTE(+MRS!A3,"  MRS No : ",""),"-MRS","-PO")</f>
        <v>SAC2-DS-PO-0502</v>
      </c>
      <c r="L11" s="170"/>
      <c r="M11" s="170"/>
    </row>
    <row r="12" spans="2:13" s="33" customFormat="1">
      <c r="B12" s="64"/>
      <c r="C12" s="67" t="s">
        <v>27</v>
      </c>
      <c r="D12" s="33" t="s">
        <v>105</v>
      </c>
      <c r="J12" s="33" t="s">
        <v>28</v>
      </c>
    </row>
    <row r="13" spans="2:13" s="33" customFormat="1">
      <c r="B13" s="64"/>
      <c r="C13" s="69"/>
      <c r="D13" s="68" t="s">
        <v>106</v>
      </c>
      <c r="J13" s="33" t="s">
        <v>29</v>
      </c>
    </row>
    <row r="14" spans="2:13" s="33" customFormat="1">
      <c r="B14" s="64"/>
      <c r="C14" s="95" t="s">
        <v>107</v>
      </c>
      <c r="J14" s="33" t="s">
        <v>30</v>
      </c>
      <c r="K14" s="33" t="s">
        <v>133</v>
      </c>
    </row>
    <row r="15" spans="2:13" s="33" customFormat="1">
      <c r="B15" s="64"/>
      <c r="C15" s="67" t="s">
        <v>108</v>
      </c>
      <c r="J15" s="33" t="s">
        <v>31</v>
      </c>
      <c r="K15" s="70">
        <v>46291</v>
      </c>
      <c r="L15" s="111"/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71" t="s">
        <v>32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</row>
    <row r="19" spans="2:13" ht="12" customHeight="1"/>
    <row r="20" spans="2:13" s="26" customFormat="1" ht="12" customHeight="1">
      <c r="B20" s="172" t="s">
        <v>33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</row>
    <row r="21" spans="2:13" s="26" customFormat="1" ht="12" customHeight="1">
      <c r="B21" s="172" t="s">
        <v>34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2:13" s="26" customFormat="1" ht="12" customHeight="1">
      <c r="B22" s="172" t="s">
        <v>35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</row>
    <row r="23" spans="2:13" ht="3.75" customHeight="1"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2:13" ht="6.95" customHeight="1"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176" t="s">
        <v>131</v>
      </c>
      <c r="D26" s="176"/>
      <c r="E26" s="176"/>
      <c r="F26" s="176"/>
      <c r="G26" s="176"/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6">
        <f>'PO 2nd page'!G54</f>
        <v>45941.25</v>
      </c>
      <c r="G29" s="94"/>
      <c r="H29" s="94"/>
      <c r="M29" s="28"/>
    </row>
    <row r="30" spans="2:13" ht="15" customHeight="1">
      <c r="B30" s="27"/>
      <c r="C30" s="21" t="s">
        <v>41</v>
      </c>
      <c r="E30" s="21" t="s">
        <v>40</v>
      </c>
      <c r="F30" s="96">
        <f>'PO 2nd page'!G55</f>
        <v>6891.1875</v>
      </c>
      <c r="G30" s="94"/>
      <c r="H30" s="94"/>
    </row>
    <row r="31" spans="2:13" ht="15" customHeight="1">
      <c r="B31" s="27"/>
      <c r="C31" s="21" t="s">
        <v>42</v>
      </c>
      <c r="D31" s="29"/>
      <c r="E31" s="21" t="s">
        <v>40</v>
      </c>
      <c r="F31" s="96">
        <f>'PO 2nd page'!G56</f>
        <v>52832.4375</v>
      </c>
      <c r="G31" s="94"/>
      <c r="H31" s="94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92</v>
      </c>
    </row>
    <row r="54" spans="2:16" ht="12" customHeight="1">
      <c r="B54" s="76" t="s">
        <v>56</v>
      </c>
      <c r="C54" s="97" t="s">
        <v>94</v>
      </c>
      <c r="F54" s="21" t="s">
        <v>127</v>
      </c>
      <c r="P54" s="21" t="str">
        <f>UPPER(F54)</f>
        <v>YAQOT ALARBYH COMPANY</v>
      </c>
    </row>
    <row r="55" spans="2:16" ht="12" customHeight="1">
      <c r="B55" s="76" t="s">
        <v>56</v>
      </c>
      <c r="C55" s="97" t="s">
        <v>95</v>
      </c>
      <c r="F55" s="98" t="s">
        <v>109</v>
      </c>
    </row>
    <row r="56" spans="2:16" ht="12" customHeight="1">
      <c r="B56" s="76" t="s">
        <v>56</v>
      </c>
      <c r="C56" s="97" t="s">
        <v>96</v>
      </c>
      <c r="F56" s="21" t="s">
        <v>110</v>
      </c>
    </row>
    <row r="57" spans="2:16" ht="12" customHeight="1">
      <c r="B57" s="76" t="s">
        <v>56</v>
      </c>
      <c r="C57" s="97" t="s">
        <v>97</v>
      </c>
      <c r="F57" s="21" t="s">
        <v>111</v>
      </c>
    </row>
    <row r="58" spans="2:16" ht="12" customHeight="1">
      <c r="B58" s="76" t="s">
        <v>56</v>
      </c>
      <c r="C58" s="97" t="s">
        <v>98</v>
      </c>
      <c r="F58" s="21" t="s">
        <v>112</v>
      </c>
    </row>
    <row r="59" spans="2:16" ht="12" customHeight="1">
      <c r="B59" s="76" t="s">
        <v>56</v>
      </c>
      <c r="C59" s="97" t="s">
        <v>99</v>
      </c>
      <c r="F59" s="21" t="s">
        <v>93</v>
      </c>
    </row>
    <row r="60" spans="2:16" ht="12" customHeight="1">
      <c r="B60" s="76"/>
      <c r="C60" s="97" t="s">
        <v>100</v>
      </c>
    </row>
    <row r="61" spans="2:16" ht="6.75" customHeight="1">
      <c r="B61" s="76"/>
      <c r="C61" s="97"/>
    </row>
    <row r="62" spans="2:16" ht="6" customHeight="1">
      <c r="B62" s="99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Haris</v>
      </c>
    </row>
    <row r="68" spans="1:13" ht="13.5" customHeight="1">
      <c r="B68" s="21" t="s">
        <v>62</v>
      </c>
      <c r="J68" s="21" t="s">
        <v>63</v>
      </c>
      <c r="K68" s="17" t="s">
        <v>88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90</v>
      </c>
      <c r="J70" s="175" t="str">
        <f>C9</f>
        <v>YATCO(Yaqoot Arabia Trading Company)</v>
      </c>
      <c r="K70" s="175"/>
      <c r="L70" s="175"/>
      <c r="M70" s="175"/>
    </row>
    <row r="71" spans="1:13" ht="27.95" customHeight="1">
      <c r="A71" s="167" t="s">
        <v>66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4"/>
  <sheetViews>
    <sheetView showGridLines="0" view="pageBreakPreview" topLeftCell="A31" zoomScaleSheetLayoutView="100" zoomScalePageLayoutView="55" workbookViewId="0">
      <selection activeCell="H7" sqref="H7:H53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7" width="19.85546875" style="37" customWidth="1"/>
    <col min="8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SAC2-DS-PO-0502</v>
      </c>
      <c r="C2" s="181" t="s">
        <v>68</v>
      </c>
      <c r="D2" s="181"/>
      <c r="E2" s="181"/>
      <c r="F2" s="181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46320</v>
      </c>
      <c r="C3" s="43"/>
      <c r="D3" s="44"/>
      <c r="E3" s="182" t="s">
        <v>70</v>
      </c>
      <c r="F3" s="182"/>
      <c r="G3" s="182"/>
      <c r="H3" s="182"/>
      <c r="I3" s="45"/>
    </row>
    <row r="4" spans="1:13" s="47" customFormat="1" ht="28.5" customHeight="1" thickTop="1">
      <c r="A4" s="183" t="s">
        <v>71</v>
      </c>
      <c r="B4" s="185" t="s">
        <v>72</v>
      </c>
      <c r="C4" s="186"/>
      <c r="D4" s="189" t="s">
        <v>129</v>
      </c>
      <c r="E4" s="189" t="s">
        <v>130</v>
      </c>
      <c r="F4" s="191" t="str">
        <f>'PO 1st page'!C9</f>
        <v>YATCO(Yaqoot Arabia Trading Company)</v>
      </c>
      <c r="G4" s="192"/>
      <c r="H4" s="193" t="s">
        <v>73</v>
      </c>
      <c r="K4" s="48"/>
      <c r="L4" s="48"/>
      <c r="M4" s="48"/>
    </row>
    <row r="5" spans="1:13" s="47" customFormat="1" ht="21.95" customHeight="1">
      <c r="A5" s="184"/>
      <c r="B5" s="187"/>
      <c r="C5" s="188"/>
      <c r="D5" s="190"/>
      <c r="E5" s="190"/>
      <c r="F5" s="49" t="s">
        <v>74</v>
      </c>
      <c r="G5" s="49" t="s">
        <v>42</v>
      </c>
      <c r="H5" s="194"/>
      <c r="K5" s="48"/>
      <c r="L5" s="48"/>
      <c r="M5" s="48"/>
    </row>
    <row r="6" spans="1:13" s="47" customFormat="1" ht="36" customHeight="1">
      <c r="A6" s="77">
        <f t="shared" ref="A6:A53" si="0">ROW(A1)</f>
        <v>1</v>
      </c>
      <c r="B6" s="177" t="str">
        <f>MRS!B6 &amp;MRS!D6</f>
        <v xml:space="preserve">BRIDGE CAM GAUGE </v>
      </c>
      <c r="C6" s="178"/>
      <c r="D6" s="78" t="str">
        <f>MRS!G6</f>
        <v>EA</v>
      </c>
      <c r="E6" s="79">
        <f>MRS!H6</f>
        <v>8</v>
      </c>
      <c r="F6" s="80">
        <f>MRS!I6</f>
        <v>98</v>
      </c>
      <c r="G6" s="80">
        <f>MRS!J6</f>
        <v>784</v>
      </c>
      <c r="H6" s="81" t="s">
        <v>89</v>
      </c>
      <c r="K6" s="82"/>
      <c r="L6" s="83"/>
      <c r="M6" s="48"/>
    </row>
    <row r="7" spans="1:13" s="47" customFormat="1" ht="36" customHeight="1">
      <c r="A7" s="77">
        <f t="shared" si="0"/>
        <v>2</v>
      </c>
      <c r="B7" s="177" t="str">
        <f>MRS!B7 &amp;MRS!D7</f>
        <v xml:space="preserve">TAPER GAUGE </v>
      </c>
      <c r="C7" s="178"/>
      <c r="D7" s="78" t="str">
        <f>MRS!G7</f>
        <v>EA</v>
      </c>
      <c r="E7" s="79">
        <f>MRS!H7</f>
        <v>8</v>
      </c>
      <c r="F7" s="80">
        <f>MRS!I7</f>
        <v>20</v>
      </c>
      <c r="G7" s="80">
        <f>MRS!J7</f>
        <v>160</v>
      </c>
      <c r="H7" s="81" t="s">
        <v>56</v>
      </c>
      <c r="K7" s="82"/>
      <c r="L7" s="83"/>
      <c r="M7" s="48"/>
    </row>
    <row r="8" spans="1:13" s="47" customFormat="1" ht="36" customHeight="1">
      <c r="A8" s="77">
        <f t="shared" si="0"/>
        <v>3</v>
      </c>
      <c r="B8" s="177" t="str">
        <f>MRS!B8 &amp;MRS!D8</f>
        <v xml:space="preserve">HI-LO GAUGE </v>
      </c>
      <c r="C8" s="178"/>
      <c r="D8" s="78" t="str">
        <f>MRS!G8</f>
        <v>EA</v>
      </c>
      <c r="E8" s="79">
        <f>MRS!H8</f>
        <v>8</v>
      </c>
      <c r="F8" s="80">
        <f>MRS!I8</f>
        <v>120</v>
      </c>
      <c r="G8" s="80">
        <f>MRS!J8</f>
        <v>960</v>
      </c>
      <c r="H8" s="81" t="s">
        <v>56</v>
      </c>
      <c r="K8" s="82"/>
      <c r="L8" s="83"/>
      <c r="M8" s="48"/>
    </row>
    <row r="9" spans="1:13" s="47" customFormat="1" ht="36" customHeight="1">
      <c r="A9" s="77">
        <f t="shared" si="0"/>
        <v>4</v>
      </c>
      <c r="B9" s="177" t="str">
        <f>MRS!B9 &amp;MRS!D9</f>
        <v>PYROMETER THERMOMETER EXTECH IR 267</v>
      </c>
      <c r="C9" s="178"/>
      <c r="D9" s="78" t="str">
        <f>MRS!G9</f>
        <v>EA</v>
      </c>
      <c r="E9" s="79">
        <f>MRS!H9</f>
        <v>8</v>
      </c>
      <c r="F9" s="80">
        <f>MRS!I9</f>
        <v>440</v>
      </c>
      <c r="G9" s="80">
        <f>MRS!J9</f>
        <v>3520</v>
      </c>
      <c r="H9" s="81" t="s">
        <v>56</v>
      </c>
      <c r="K9" s="82"/>
      <c r="L9" s="83"/>
      <c r="M9" s="48"/>
    </row>
    <row r="10" spans="1:13" s="47" customFormat="1" ht="36" customHeight="1">
      <c r="A10" s="77">
        <f t="shared" si="0"/>
        <v>5</v>
      </c>
      <c r="B10" s="177" t="str">
        <f>MRS!B10 &amp;MRS!D10</f>
        <v xml:space="preserve">LED TORCH LIGHT RECHARGEABLE TYPES GEEPAS </v>
      </c>
      <c r="C10" s="178"/>
      <c r="D10" s="78" t="str">
        <f>MRS!G10</f>
        <v>EA</v>
      </c>
      <c r="E10" s="79">
        <f>MRS!H10</f>
        <v>1</v>
      </c>
      <c r="F10" s="80">
        <f>MRS!I10</f>
        <v>42</v>
      </c>
      <c r="G10" s="80">
        <f>MRS!J10</f>
        <v>42</v>
      </c>
      <c r="H10" s="81" t="s">
        <v>56</v>
      </c>
      <c r="K10" s="82"/>
      <c r="L10" s="83"/>
      <c r="M10" s="48"/>
    </row>
    <row r="11" spans="1:13" s="47" customFormat="1" ht="36" customHeight="1">
      <c r="A11" s="77">
        <f t="shared" si="0"/>
        <v>6</v>
      </c>
      <c r="B11" s="177" t="str">
        <f>MRS!B11 &amp;MRS!D11</f>
        <v>CLAMP MTER Fluke 376FC</v>
      </c>
      <c r="C11" s="178"/>
      <c r="D11" s="78" t="str">
        <f>MRS!G11</f>
        <v>EA</v>
      </c>
      <c r="E11" s="79">
        <f>MRS!H11</f>
        <v>8</v>
      </c>
      <c r="F11" s="80">
        <f>MRS!I11</f>
        <v>2080</v>
      </c>
      <c r="G11" s="80">
        <f>MRS!J11</f>
        <v>16640</v>
      </c>
      <c r="H11" s="81" t="s">
        <v>56</v>
      </c>
      <c r="K11" s="82"/>
      <c r="L11" s="83"/>
      <c r="M11" s="48"/>
    </row>
    <row r="12" spans="1:13" s="47" customFormat="1" ht="36" customHeight="1">
      <c r="A12" s="77">
        <f t="shared" si="0"/>
        <v>7</v>
      </c>
      <c r="B12" s="177" t="str">
        <f>MRS!B12 &amp;MRS!D12</f>
        <v>INSPECTION MIRRORRound,  2"</v>
      </c>
      <c r="C12" s="178"/>
      <c r="D12" s="78" t="str">
        <f>MRS!G12</f>
        <v>EA</v>
      </c>
      <c r="E12" s="79">
        <f>MRS!H12</f>
        <v>10</v>
      </c>
      <c r="F12" s="80">
        <f>MRS!I12</f>
        <v>10</v>
      </c>
      <c r="G12" s="80">
        <f>MRS!J12</f>
        <v>100</v>
      </c>
      <c r="H12" s="81" t="s">
        <v>56</v>
      </c>
      <c r="K12" s="82"/>
      <c r="L12" s="83"/>
      <c r="M12" s="48"/>
    </row>
    <row r="13" spans="1:13" s="47" customFormat="1" ht="36" customHeight="1">
      <c r="A13" s="77">
        <f t="shared" si="0"/>
        <v>8</v>
      </c>
      <c r="B13" s="177" t="str">
        <f>MRS!B13 &amp;MRS!D13</f>
        <v xml:space="preserve">MAGNETIC TELESCOPING </v>
      </c>
      <c r="C13" s="178"/>
      <c r="D13" s="78" t="str">
        <f>MRS!G13</f>
        <v>EA</v>
      </c>
      <c r="E13" s="79">
        <f>MRS!H13</f>
        <v>10</v>
      </c>
      <c r="F13" s="80">
        <f>MRS!I13</f>
        <v>22</v>
      </c>
      <c r="G13" s="80">
        <f>MRS!J13</f>
        <v>220</v>
      </c>
      <c r="H13" s="81" t="s">
        <v>56</v>
      </c>
      <c r="K13" s="82"/>
      <c r="L13" s="83"/>
      <c r="M13" s="48"/>
    </row>
    <row r="14" spans="1:13" s="47" customFormat="1" ht="36" customHeight="1">
      <c r="A14" s="77">
        <f t="shared" si="0"/>
        <v>9</v>
      </c>
      <c r="B14" s="177" t="str">
        <f>MRS!B14 &amp;MRS!D14</f>
        <v>ALIGNMENT PRY BAR 22MMX1MTR (ONE SIDE FLAT&amp;ONE SIDE POINTED TYPES)</v>
      </c>
      <c r="C14" s="178"/>
      <c r="D14" s="78" t="str">
        <f>MRS!G14</f>
        <v>EA</v>
      </c>
      <c r="E14" s="79">
        <f>MRS!H14</f>
        <v>10</v>
      </c>
      <c r="F14" s="80">
        <f>MRS!I14</f>
        <v>55</v>
      </c>
      <c r="G14" s="80">
        <f>MRS!J14</f>
        <v>550</v>
      </c>
      <c r="H14" s="81" t="s">
        <v>56</v>
      </c>
      <c r="K14" s="82"/>
      <c r="L14" s="83"/>
      <c r="M14" s="48"/>
    </row>
    <row r="15" spans="1:13" s="47" customFormat="1" ht="36" customHeight="1">
      <c r="A15" s="77">
        <f t="shared" si="0"/>
        <v>10</v>
      </c>
      <c r="B15" s="177" t="str">
        <f>MRS!B15 &amp;MRS!D15</f>
        <v>CHIPPING HAMMER 250GRAM</v>
      </c>
      <c r="C15" s="178"/>
      <c r="D15" s="78" t="str">
        <f>MRS!G15</f>
        <v>EA</v>
      </c>
      <c r="E15" s="79">
        <f>MRS!H15</f>
        <v>30</v>
      </c>
      <c r="F15" s="80">
        <f>MRS!I15</f>
        <v>8</v>
      </c>
      <c r="G15" s="80">
        <f>MRS!J15</f>
        <v>240</v>
      </c>
      <c r="H15" s="81" t="s">
        <v>56</v>
      </c>
      <c r="K15" s="82"/>
      <c r="L15" s="83"/>
      <c r="M15" s="48"/>
    </row>
    <row r="16" spans="1:13" s="47" customFormat="1" ht="36" customHeight="1">
      <c r="A16" s="77">
        <f t="shared" si="0"/>
        <v>11</v>
      </c>
      <c r="B16" s="177" t="str">
        <f>MRS!B16 &amp;MRS!D16</f>
        <v>COMBINATION SPANNER 27MM</v>
      </c>
      <c r="C16" s="178"/>
      <c r="D16" s="78" t="str">
        <f>MRS!G16</f>
        <v>EA</v>
      </c>
      <c r="E16" s="79">
        <f>MRS!H16</f>
        <v>12</v>
      </c>
      <c r="F16" s="80">
        <f>MRS!I16</f>
        <v>22</v>
      </c>
      <c r="G16" s="80">
        <f>MRS!J16</f>
        <v>264</v>
      </c>
      <c r="H16" s="81" t="s">
        <v>56</v>
      </c>
      <c r="K16" s="82"/>
      <c r="L16" s="83"/>
      <c r="M16" s="48"/>
    </row>
    <row r="17" spans="1:13" s="47" customFormat="1" ht="36" customHeight="1">
      <c r="A17" s="77">
        <f t="shared" si="0"/>
        <v>12</v>
      </c>
      <c r="B17" s="177" t="str">
        <f>MRS!B17 &amp;MRS!D17</f>
        <v>COMBINATION SPANNER 34MM</v>
      </c>
      <c r="C17" s="178"/>
      <c r="D17" s="78" t="str">
        <f>MRS!G17</f>
        <v>EA</v>
      </c>
      <c r="E17" s="79">
        <f>MRS!H17</f>
        <v>12</v>
      </c>
      <c r="F17" s="80">
        <f>MRS!I17</f>
        <v>30</v>
      </c>
      <c r="G17" s="80">
        <f>MRS!J17</f>
        <v>360</v>
      </c>
      <c r="H17" s="81" t="s">
        <v>56</v>
      </c>
      <c r="K17" s="82"/>
      <c r="L17" s="83"/>
      <c r="M17" s="48"/>
    </row>
    <row r="18" spans="1:13" s="47" customFormat="1" ht="36" customHeight="1">
      <c r="A18" s="77">
        <f t="shared" si="0"/>
        <v>13</v>
      </c>
      <c r="B18" s="177" t="str">
        <f>MRS!B18 &amp;MRS!D18</f>
        <v>COMBINATION SPANNER 38MM</v>
      </c>
      <c r="C18" s="178"/>
      <c r="D18" s="78" t="str">
        <f>MRS!G18</f>
        <v>EA</v>
      </c>
      <c r="E18" s="79">
        <f>MRS!H18</f>
        <v>12</v>
      </c>
      <c r="F18" s="80">
        <f>MRS!I18</f>
        <v>35</v>
      </c>
      <c r="G18" s="80">
        <f>MRS!J18</f>
        <v>420</v>
      </c>
      <c r="H18" s="81" t="s">
        <v>56</v>
      </c>
      <c r="K18" s="82"/>
      <c r="L18" s="83"/>
      <c r="M18" s="48"/>
    </row>
    <row r="19" spans="1:13" s="47" customFormat="1" ht="36" customHeight="1">
      <c r="A19" s="77">
        <f t="shared" si="0"/>
        <v>14</v>
      </c>
      <c r="B19" s="177" t="str">
        <f>MRS!B19 &amp;MRS!D19</f>
        <v>COMBINATION SPANNER 24MM</v>
      </c>
      <c r="C19" s="178"/>
      <c r="D19" s="78" t="str">
        <f>MRS!G19</f>
        <v>EA</v>
      </c>
      <c r="E19" s="79">
        <f>MRS!H19</f>
        <v>8</v>
      </c>
      <c r="F19" s="80">
        <f>MRS!I19</f>
        <v>15</v>
      </c>
      <c r="G19" s="80">
        <f>MRS!J19</f>
        <v>120</v>
      </c>
      <c r="H19" s="81" t="s">
        <v>56</v>
      </c>
      <c r="K19" s="82"/>
      <c r="L19" s="83"/>
      <c r="M19" s="48"/>
    </row>
    <row r="20" spans="1:13" s="47" customFormat="1" ht="36" customHeight="1">
      <c r="A20" s="77">
        <f t="shared" si="0"/>
        <v>15</v>
      </c>
      <c r="B20" s="177" t="str">
        <f>MRS!B20 &amp;MRS!D20</f>
        <v>COMBINATION SPANNER 30MM</v>
      </c>
      <c r="C20" s="178"/>
      <c r="D20" s="78" t="str">
        <f>MRS!G20</f>
        <v>EA</v>
      </c>
      <c r="E20" s="79">
        <f>MRS!H20</f>
        <v>8</v>
      </c>
      <c r="F20" s="80">
        <f>MRS!I20</f>
        <v>25</v>
      </c>
      <c r="G20" s="80">
        <f>MRS!J20</f>
        <v>200</v>
      </c>
      <c r="H20" s="81" t="s">
        <v>56</v>
      </c>
      <c r="K20" s="82"/>
      <c r="L20" s="83"/>
      <c r="M20" s="48"/>
    </row>
    <row r="21" spans="1:13" s="47" customFormat="1" ht="36" customHeight="1">
      <c r="A21" s="77">
        <f t="shared" si="0"/>
        <v>16</v>
      </c>
      <c r="B21" s="177" t="str">
        <f>MRS!B21 &amp;MRS!D21</f>
        <v>COMBINATION SPANNER 32MM</v>
      </c>
      <c r="C21" s="178"/>
      <c r="D21" s="78" t="str">
        <f>MRS!G21</f>
        <v>EA</v>
      </c>
      <c r="E21" s="79">
        <f>MRS!H21</f>
        <v>6</v>
      </c>
      <c r="F21" s="80">
        <f>MRS!I21</f>
        <v>27</v>
      </c>
      <c r="G21" s="80">
        <f>MRS!J21</f>
        <v>162</v>
      </c>
      <c r="H21" s="81" t="s">
        <v>56</v>
      </c>
      <c r="K21" s="82"/>
      <c r="L21" s="83"/>
      <c r="M21" s="48"/>
    </row>
    <row r="22" spans="1:13" s="47" customFormat="1" ht="36" customHeight="1">
      <c r="A22" s="77">
        <f t="shared" si="0"/>
        <v>17</v>
      </c>
      <c r="B22" s="177" t="str">
        <f>MRS!B22 &amp;MRS!D22</f>
        <v>COMBINATION SPANNER 36MM</v>
      </c>
      <c r="C22" s="178"/>
      <c r="D22" s="78" t="str">
        <f>MRS!G22</f>
        <v>EA</v>
      </c>
      <c r="E22" s="79">
        <f>MRS!H22</f>
        <v>6</v>
      </c>
      <c r="F22" s="80">
        <f>MRS!I22</f>
        <v>30</v>
      </c>
      <c r="G22" s="80">
        <f>MRS!J22</f>
        <v>180</v>
      </c>
      <c r="H22" s="81" t="s">
        <v>56</v>
      </c>
      <c r="K22" s="82"/>
      <c r="L22" s="83"/>
      <c r="M22" s="48"/>
    </row>
    <row r="23" spans="1:13" s="47" customFormat="1" ht="36" customHeight="1">
      <c r="A23" s="77">
        <f t="shared" si="0"/>
        <v>18</v>
      </c>
      <c r="B23" s="177" t="str">
        <f>MRS!B23 &amp;MRS!D23</f>
        <v>CORE DRILL MACHINE BIT 18MMX500MM</v>
      </c>
      <c r="C23" s="178"/>
      <c r="D23" s="78" t="str">
        <f>MRS!G23</f>
        <v>EA</v>
      </c>
      <c r="E23" s="79">
        <f>MRS!H23</f>
        <v>2</v>
      </c>
      <c r="F23" s="80">
        <f>MRS!I23</f>
        <v>35</v>
      </c>
      <c r="G23" s="80">
        <f>MRS!J23</f>
        <v>70</v>
      </c>
      <c r="H23" s="81" t="s">
        <v>56</v>
      </c>
      <c r="K23" s="82"/>
      <c r="L23" s="83"/>
      <c r="M23" s="48"/>
    </row>
    <row r="24" spans="1:13" s="47" customFormat="1" ht="36" customHeight="1">
      <c r="A24" s="77">
        <f t="shared" si="0"/>
        <v>19</v>
      </c>
      <c r="B24" s="177" t="str">
        <f>MRS!B24 &amp;MRS!D24</f>
        <v>CROWFOOT SOCKET DR1/2"X24MM</v>
      </c>
      <c r="C24" s="178"/>
      <c r="D24" s="78" t="str">
        <f>MRS!G24</f>
        <v>EA</v>
      </c>
      <c r="E24" s="79">
        <f>MRS!H24</f>
        <v>2</v>
      </c>
      <c r="F24" s="80">
        <f>MRS!I24</f>
        <v>32</v>
      </c>
      <c r="G24" s="80">
        <f>MRS!J24</f>
        <v>64</v>
      </c>
      <c r="H24" s="81" t="s">
        <v>56</v>
      </c>
      <c r="K24" s="82"/>
      <c r="L24" s="83"/>
      <c r="M24" s="48"/>
    </row>
    <row r="25" spans="1:13" s="47" customFormat="1" ht="36" customHeight="1">
      <c r="A25" s="77">
        <f t="shared" si="0"/>
        <v>20</v>
      </c>
      <c r="B25" s="177" t="str">
        <f>MRS!B25 &amp;MRS!D25</f>
        <v>CROWFOOT SOCKET DR1/2"X25MM</v>
      </c>
      <c r="C25" s="178"/>
      <c r="D25" s="78" t="str">
        <f>MRS!G25</f>
        <v>EA</v>
      </c>
      <c r="E25" s="79">
        <f>MRS!H25</f>
        <v>2</v>
      </c>
      <c r="F25" s="80">
        <f>MRS!I25</f>
        <v>36</v>
      </c>
      <c r="G25" s="80">
        <f>MRS!J25</f>
        <v>72</v>
      </c>
      <c r="H25" s="81" t="s">
        <v>56</v>
      </c>
      <c r="K25" s="82"/>
      <c r="L25" s="83"/>
      <c r="M25" s="48"/>
    </row>
    <row r="26" spans="1:13" s="47" customFormat="1" ht="36" customHeight="1">
      <c r="A26" s="77">
        <f t="shared" si="0"/>
        <v>21</v>
      </c>
      <c r="B26" s="177" t="str">
        <f>MRS!B26 &amp;MRS!D26</f>
        <v>CROWFOOT SOCKET DR1/2"X26MM</v>
      </c>
      <c r="C26" s="178"/>
      <c r="D26" s="78" t="str">
        <f>MRS!G26</f>
        <v>EA</v>
      </c>
      <c r="E26" s="79">
        <f>MRS!H26</f>
        <v>2</v>
      </c>
      <c r="F26" s="80">
        <f>MRS!I26</f>
        <v>38</v>
      </c>
      <c r="G26" s="80">
        <f>MRS!J26</f>
        <v>76</v>
      </c>
      <c r="H26" s="81" t="s">
        <v>56</v>
      </c>
      <c r="K26" s="82"/>
      <c r="L26" s="83"/>
      <c r="M26" s="48"/>
    </row>
    <row r="27" spans="1:13" s="47" customFormat="1" ht="36" customHeight="1">
      <c r="A27" s="77">
        <f t="shared" si="0"/>
        <v>22</v>
      </c>
      <c r="B27" s="177" t="str">
        <f>MRS!B27 &amp;MRS!D27</f>
        <v>CROWFOOT SOCKET DR1/2"X27MM</v>
      </c>
      <c r="C27" s="178"/>
      <c r="D27" s="78" t="str">
        <f>MRS!G27</f>
        <v>EA</v>
      </c>
      <c r="E27" s="79">
        <f>MRS!H27</f>
        <v>2</v>
      </c>
      <c r="F27" s="80">
        <f>MRS!I27</f>
        <v>40</v>
      </c>
      <c r="G27" s="80">
        <f>MRS!J27</f>
        <v>80</v>
      </c>
      <c r="H27" s="81" t="s">
        <v>56</v>
      </c>
      <c r="K27" s="82"/>
      <c r="L27" s="83"/>
      <c r="M27" s="48"/>
    </row>
    <row r="28" spans="1:13" s="47" customFormat="1" ht="36" customHeight="1">
      <c r="A28" s="77">
        <f t="shared" si="0"/>
        <v>23</v>
      </c>
      <c r="B28" s="177" t="str">
        <f>MRS!B28 &amp;MRS!D28</f>
        <v>CROWFOOT SOCKET DR1/2"X28MM</v>
      </c>
      <c r="C28" s="178"/>
      <c r="D28" s="78" t="str">
        <f>MRS!G28</f>
        <v>EA</v>
      </c>
      <c r="E28" s="79">
        <f>MRS!H28</f>
        <v>2</v>
      </c>
      <c r="F28" s="80">
        <f>MRS!I28</f>
        <v>42</v>
      </c>
      <c r="G28" s="80">
        <f>MRS!J28</f>
        <v>84</v>
      </c>
      <c r="H28" s="81" t="s">
        <v>56</v>
      </c>
      <c r="K28" s="82"/>
      <c r="L28" s="83"/>
      <c r="M28" s="48"/>
    </row>
    <row r="29" spans="1:13" s="47" customFormat="1" ht="36" customHeight="1">
      <c r="A29" s="77">
        <f t="shared" si="0"/>
        <v>24</v>
      </c>
      <c r="B29" s="177" t="str">
        <f>MRS!B29 &amp;MRS!D29</f>
        <v>CROWFOOT SOCKET DR1/2"X29MM</v>
      </c>
      <c r="C29" s="178"/>
      <c r="D29" s="78" t="str">
        <f>MRS!G29</f>
        <v>EA</v>
      </c>
      <c r="E29" s="79">
        <f>MRS!H29</f>
        <v>2</v>
      </c>
      <c r="F29" s="80">
        <f>MRS!I29</f>
        <v>44</v>
      </c>
      <c r="G29" s="80">
        <f>MRS!J29</f>
        <v>88</v>
      </c>
      <c r="H29" s="81" t="s">
        <v>56</v>
      </c>
      <c r="K29" s="82"/>
      <c r="L29" s="83"/>
      <c r="M29" s="48"/>
    </row>
    <row r="30" spans="1:13" s="47" customFormat="1" ht="36" customHeight="1">
      <c r="A30" s="77">
        <f t="shared" si="0"/>
        <v>25</v>
      </c>
      <c r="B30" s="177" t="str">
        <f>MRS!B30 &amp;MRS!D30</f>
        <v>CROWFOOT SOCKET DR1/2"X30MM</v>
      </c>
      <c r="C30" s="178"/>
      <c r="D30" s="78" t="str">
        <f>MRS!G30</f>
        <v>EA</v>
      </c>
      <c r="E30" s="79">
        <f>MRS!H30</f>
        <v>2</v>
      </c>
      <c r="F30" s="80">
        <f>MRS!I30</f>
        <v>47</v>
      </c>
      <c r="G30" s="80">
        <f>MRS!J30</f>
        <v>94</v>
      </c>
      <c r="H30" s="81" t="s">
        <v>56</v>
      </c>
      <c r="K30" s="82"/>
      <c r="L30" s="83"/>
      <c r="M30" s="48"/>
    </row>
    <row r="31" spans="1:13" s="47" customFormat="1" ht="36" customHeight="1">
      <c r="A31" s="77">
        <f t="shared" si="0"/>
        <v>26</v>
      </c>
      <c r="B31" s="177" t="str">
        <f>MRS!B31 &amp;MRS!D31</f>
        <v>CROWFOOT SOCKET DR1/2"X32MM</v>
      </c>
      <c r="C31" s="178"/>
      <c r="D31" s="78" t="str">
        <f>MRS!G31</f>
        <v>EA</v>
      </c>
      <c r="E31" s="79">
        <f>MRS!H31</f>
        <v>2</v>
      </c>
      <c r="F31" s="80">
        <f>MRS!I31</f>
        <v>49</v>
      </c>
      <c r="G31" s="80">
        <f>MRS!J31</f>
        <v>98</v>
      </c>
      <c r="H31" s="81" t="s">
        <v>56</v>
      </c>
      <c r="K31" s="82"/>
      <c r="L31" s="83"/>
      <c r="M31" s="48"/>
    </row>
    <row r="32" spans="1:13" s="47" customFormat="1" ht="36" customHeight="1">
      <c r="A32" s="77">
        <f t="shared" si="0"/>
        <v>27</v>
      </c>
      <c r="B32" s="177" t="str">
        <f>MRS!B32 &amp;MRS!D32</f>
        <v>CROWFOOT SOCKET DR1/2"X41MM</v>
      </c>
      <c r="C32" s="178"/>
      <c r="D32" s="78" t="str">
        <f>MRS!G32</f>
        <v>EA</v>
      </c>
      <c r="E32" s="79">
        <f>MRS!H32</f>
        <v>2</v>
      </c>
      <c r="F32" s="80">
        <f>MRS!I32</f>
        <v>96</v>
      </c>
      <c r="G32" s="80">
        <f>MRS!J32</f>
        <v>192</v>
      </c>
      <c r="H32" s="81" t="s">
        <v>56</v>
      </c>
      <c r="K32" s="82"/>
      <c r="L32" s="83"/>
      <c r="M32" s="48"/>
    </row>
    <row r="33" spans="1:13" s="47" customFormat="1" ht="36" customHeight="1">
      <c r="A33" s="126">
        <f t="shared" si="0"/>
        <v>28</v>
      </c>
      <c r="B33" s="179" t="str">
        <f>MRS!B33 &amp;MRS!D33</f>
        <v>DEEP SOCKET DR1/2"X24MM</v>
      </c>
      <c r="C33" s="180"/>
      <c r="D33" s="123" t="str">
        <f>MRS!G33</f>
        <v>EA</v>
      </c>
      <c r="E33" s="124">
        <f>MRS!H33</f>
        <v>2</v>
      </c>
      <c r="F33" s="125">
        <f>MRS!I33</f>
        <v>20</v>
      </c>
      <c r="G33" s="125">
        <f>MRS!J33</f>
        <v>40</v>
      </c>
      <c r="H33" s="84" t="s">
        <v>56</v>
      </c>
      <c r="K33" s="82"/>
      <c r="L33" s="83"/>
      <c r="M33" s="48"/>
    </row>
    <row r="34" spans="1:13" s="47" customFormat="1" ht="36" customHeight="1">
      <c r="A34" s="77">
        <f t="shared" si="0"/>
        <v>29</v>
      </c>
      <c r="B34" s="177" t="str">
        <f>MRS!B34 &amp;MRS!D34</f>
        <v>DEEP SOCKET DR1/2"X27MM</v>
      </c>
      <c r="C34" s="178"/>
      <c r="D34" s="78" t="str">
        <f>MRS!G34</f>
        <v>EA</v>
      </c>
      <c r="E34" s="79">
        <f>MRS!H34</f>
        <v>2</v>
      </c>
      <c r="F34" s="80">
        <f>MRS!I34</f>
        <v>27</v>
      </c>
      <c r="G34" s="80">
        <f>MRS!J34</f>
        <v>54</v>
      </c>
      <c r="H34" s="81" t="s">
        <v>56</v>
      </c>
      <c r="K34" s="82"/>
      <c r="L34" s="83"/>
      <c r="M34" s="48"/>
    </row>
    <row r="35" spans="1:13" s="47" customFormat="1" ht="36" customHeight="1">
      <c r="A35" s="77">
        <f t="shared" si="0"/>
        <v>30</v>
      </c>
      <c r="B35" s="177" t="str">
        <f>MRS!B35 &amp;MRS!D35</f>
        <v>DEEP SOCKET DR1"X34MM</v>
      </c>
      <c r="C35" s="178"/>
      <c r="D35" s="78" t="str">
        <f>MRS!G35</f>
        <v>EA</v>
      </c>
      <c r="E35" s="79">
        <f>MRS!H35</f>
        <v>2</v>
      </c>
      <c r="F35" s="80">
        <f>MRS!I35</f>
        <v>22</v>
      </c>
      <c r="G35" s="80">
        <f>MRS!J35</f>
        <v>44</v>
      </c>
      <c r="H35" s="81" t="s">
        <v>56</v>
      </c>
      <c r="K35" s="82"/>
      <c r="L35" s="83"/>
      <c r="M35" s="48"/>
    </row>
    <row r="36" spans="1:13" s="47" customFormat="1" ht="36" customHeight="1">
      <c r="A36" s="77">
        <f t="shared" si="0"/>
        <v>31</v>
      </c>
      <c r="B36" s="177" t="str">
        <f>MRS!B36 &amp;MRS!D36</f>
        <v>DEEP SOCKET DR3/4"X34MM</v>
      </c>
      <c r="C36" s="178"/>
      <c r="D36" s="78" t="str">
        <f>MRS!G36</f>
        <v>EA</v>
      </c>
      <c r="E36" s="79">
        <f>MRS!H36</f>
        <v>2</v>
      </c>
      <c r="F36" s="80">
        <f>MRS!I36</f>
        <v>12.5</v>
      </c>
      <c r="G36" s="80">
        <f>MRS!J36</f>
        <v>25</v>
      </c>
      <c r="H36" s="81" t="s">
        <v>56</v>
      </c>
      <c r="K36" s="82"/>
      <c r="L36" s="83"/>
      <c r="M36" s="48"/>
    </row>
    <row r="37" spans="1:13" s="47" customFormat="1" ht="36" customHeight="1">
      <c r="A37" s="77">
        <f t="shared" si="0"/>
        <v>32</v>
      </c>
      <c r="B37" s="177" t="str">
        <f>MRS!B37 &amp;MRS!D37</f>
        <v>DEEP SOCKET DR1"X36MM</v>
      </c>
      <c r="C37" s="178"/>
      <c r="D37" s="78" t="str">
        <f>MRS!G37</f>
        <v>EA</v>
      </c>
      <c r="E37" s="79">
        <f>MRS!H37</f>
        <v>2</v>
      </c>
      <c r="F37" s="80">
        <f>MRS!I37</f>
        <v>22</v>
      </c>
      <c r="G37" s="80">
        <f>MRS!J37</f>
        <v>44</v>
      </c>
      <c r="H37" s="81" t="s">
        <v>56</v>
      </c>
      <c r="K37" s="82"/>
      <c r="L37" s="83"/>
      <c r="M37" s="48"/>
    </row>
    <row r="38" spans="1:13" s="47" customFormat="1" ht="36" customHeight="1">
      <c r="A38" s="77">
        <f t="shared" si="0"/>
        <v>33</v>
      </c>
      <c r="B38" s="177" t="str">
        <f>MRS!B38 &amp;MRS!D38</f>
        <v xml:space="preserve">DIE GRINDER MACHINE KEY6MM MAKITA </v>
      </c>
      <c r="C38" s="178"/>
      <c r="D38" s="78" t="str">
        <f>MRS!G38</f>
        <v>EA</v>
      </c>
      <c r="E38" s="79">
        <f>MRS!H38</f>
        <v>40</v>
      </c>
      <c r="F38" s="80">
        <f>MRS!I38</f>
        <v>8</v>
      </c>
      <c r="G38" s="80">
        <f>MRS!J38</f>
        <v>320</v>
      </c>
      <c r="H38" s="81" t="s">
        <v>56</v>
      </c>
      <c r="K38" s="82"/>
      <c r="L38" s="83"/>
      <c r="M38" s="48"/>
    </row>
    <row r="39" spans="1:13" s="47" customFormat="1" ht="36" customHeight="1">
      <c r="A39" s="77">
        <f t="shared" si="0"/>
        <v>34</v>
      </c>
      <c r="B39" s="177" t="str">
        <f>MRS!B39 &amp;MRS!D39</f>
        <v>ELECTRICAL EXHAUST FAN 10"X10"</v>
      </c>
      <c r="C39" s="178"/>
      <c r="D39" s="78" t="str">
        <f>MRS!G39</f>
        <v>EA</v>
      </c>
      <c r="E39" s="79">
        <f>MRS!H39</f>
        <v>10</v>
      </c>
      <c r="F39" s="80">
        <f>MRS!I39</f>
        <v>55</v>
      </c>
      <c r="G39" s="80">
        <f>MRS!J39</f>
        <v>550</v>
      </c>
      <c r="H39" s="81" t="s">
        <v>56</v>
      </c>
      <c r="K39" s="82"/>
      <c r="L39" s="83"/>
      <c r="M39" s="48"/>
    </row>
    <row r="40" spans="1:13" s="47" customFormat="1" ht="36" customHeight="1">
      <c r="A40" s="77">
        <f t="shared" si="0"/>
        <v>35</v>
      </c>
      <c r="B40" s="177" t="str">
        <f>MRS!B40 &amp;MRS!D40</f>
        <v>MAGNETIC DRILL BIT 27X55MM KASCTC2755</v>
      </c>
      <c r="C40" s="178"/>
      <c r="D40" s="78" t="str">
        <f>MRS!G40</f>
        <v>EA</v>
      </c>
      <c r="E40" s="79">
        <f>MRS!H40</f>
        <v>50</v>
      </c>
      <c r="F40" s="80">
        <f>MRS!I40</f>
        <v>70</v>
      </c>
      <c r="G40" s="80">
        <f>MRS!J40</f>
        <v>3500</v>
      </c>
      <c r="H40" s="81" t="s">
        <v>56</v>
      </c>
      <c r="K40" s="82"/>
      <c r="L40" s="83"/>
      <c r="M40" s="48"/>
    </row>
    <row r="41" spans="1:13" s="47" customFormat="1" ht="36" customHeight="1">
      <c r="A41" s="77">
        <f t="shared" si="0"/>
        <v>36</v>
      </c>
      <c r="B41" s="177" t="str">
        <f>MRS!B41 &amp;MRS!D41</f>
        <v>MAGNETIC DRILL BIT 22X55MM KSACTCT2255</v>
      </c>
      <c r="C41" s="178"/>
      <c r="D41" s="78" t="str">
        <f>MRS!G41</f>
        <v>EA</v>
      </c>
      <c r="E41" s="79">
        <f>MRS!H41</f>
        <v>50</v>
      </c>
      <c r="F41" s="80">
        <f>MRS!I41</f>
        <v>62</v>
      </c>
      <c r="G41" s="80">
        <f>MRS!J41</f>
        <v>3100</v>
      </c>
      <c r="H41" s="81" t="s">
        <v>56</v>
      </c>
      <c r="K41" s="82"/>
      <c r="L41" s="83"/>
      <c r="M41" s="48"/>
    </row>
    <row r="42" spans="1:13" s="47" customFormat="1" ht="36" customHeight="1">
      <c r="A42" s="77">
        <f t="shared" si="0"/>
        <v>37</v>
      </c>
      <c r="B42" s="177" t="str">
        <f>MRS!B42 &amp;MRS!D42</f>
        <v>MAGNETIC DRILL BIT 27X55MM,90MM LONG</v>
      </c>
      <c r="C42" s="178"/>
      <c r="D42" s="78" t="str">
        <f>MRS!G42</f>
        <v>EA</v>
      </c>
      <c r="E42" s="79">
        <f>MRS!H42</f>
        <v>50</v>
      </c>
      <c r="F42" s="80">
        <f>MRS!I42</f>
        <v>87</v>
      </c>
      <c r="G42" s="80">
        <f>MRS!J42</f>
        <v>4350</v>
      </c>
      <c r="H42" s="81" t="s">
        <v>56</v>
      </c>
      <c r="K42" s="82"/>
      <c r="L42" s="83"/>
      <c r="M42" s="48"/>
    </row>
    <row r="43" spans="1:13" s="47" customFormat="1" ht="36" customHeight="1">
      <c r="A43" s="77">
        <f t="shared" si="0"/>
        <v>38</v>
      </c>
      <c r="B43" s="177" t="str">
        <f>MRS!B43 &amp;MRS!D43</f>
        <v>MAGNETIC DRILL BIT 26X55MM,90MM LONG</v>
      </c>
      <c r="C43" s="178"/>
      <c r="D43" s="78" t="str">
        <f>MRS!G43</f>
        <v>EA</v>
      </c>
      <c r="E43" s="79">
        <f>MRS!H43</f>
        <v>50</v>
      </c>
      <c r="F43" s="80">
        <f>MRS!I43</f>
        <v>82</v>
      </c>
      <c r="G43" s="80">
        <f>MRS!J43</f>
        <v>4100</v>
      </c>
      <c r="H43" s="81" t="s">
        <v>56</v>
      </c>
      <c r="K43" s="82"/>
      <c r="L43" s="83"/>
      <c r="M43" s="48"/>
    </row>
    <row r="44" spans="1:13" s="47" customFormat="1" ht="36" customHeight="1">
      <c r="A44" s="77">
        <f t="shared" si="0"/>
        <v>39</v>
      </c>
      <c r="B44" s="177" t="str">
        <f>MRS!B44 &amp;MRS!D44</f>
        <v>MAGNETIC DRILL BIT 28X55MM,90MM LONG</v>
      </c>
      <c r="C44" s="178"/>
      <c r="D44" s="78" t="str">
        <f>MRS!G44</f>
        <v>EA</v>
      </c>
      <c r="E44" s="79">
        <f>MRS!H44</f>
        <v>2</v>
      </c>
      <c r="F44" s="80">
        <f>MRS!I44</f>
        <v>97</v>
      </c>
      <c r="G44" s="80">
        <f>MRS!J44</f>
        <v>194</v>
      </c>
      <c r="H44" s="81" t="s">
        <v>56</v>
      </c>
      <c r="K44" s="82"/>
      <c r="L44" s="83"/>
      <c r="M44" s="48"/>
    </row>
    <row r="45" spans="1:13" s="47" customFormat="1" ht="36" customHeight="1">
      <c r="A45" s="77">
        <f t="shared" si="0"/>
        <v>40</v>
      </c>
      <c r="B45" s="177" t="str">
        <f>MRS!B45 &amp;MRS!D45</f>
        <v>PILOT CENTER PIN79.80X108MM</v>
      </c>
      <c r="C45" s="178"/>
      <c r="D45" s="78" t="str">
        <f>MRS!G45</f>
        <v>EA</v>
      </c>
      <c r="E45" s="79">
        <f>MRS!H45</f>
        <v>20</v>
      </c>
      <c r="F45" s="80">
        <f>MRS!I45</f>
        <v>25</v>
      </c>
      <c r="G45" s="80">
        <f>MRS!J45</f>
        <v>500</v>
      </c>
      <c r="H45" s="81" t="s">
        <v>56</v>
      </c>
      <c r="K45" s="82"/>
      <c r="L45" s="83"/>
      <c r="M45" s="48"/>
    </row>
    <row r="46" spans="1:13" s="47" customFormat="1" ht="36" customHeight="1">
      <c r="A46" s="77">
        <f t="shared" si="0"/>
        <v>41</v>
      </c>
      <c r="B46" s="177" t="str">
        <f>MRS!B46 &amp;MRS!D46</f>
        <v>POINTED CHISEL 18MMX400MM</v>
      </c>
      <c r="C46" s="178"/>
      <c r="D46" s="78" t="str">
        <f>MRS!G46</f>
        <v>EA</v>
      </c>
      <c r="E46" s="79">
        <f>MRS!H46</f>
        <v>10</v>
      </c>
      <c r="F46" s="80">
        <f>MRS!I46</f>
        <v>20</v>
      </c>
      <c r="G46" s="80">
        <f>MRS!J46</f>
        <v>200</v>
      </c>
      <c r="H46" s="81" t="s">
        <v>56</v>
      </c>
      <c r="K46" s="82"/>
      <c r="L46" s="83"/>
      <c r="M46" s="48"/>
    </row>
    <row r="47" spans="1:13" s="47" customFormat="1" ht="36" customHeight="1">
      <c r="A47" s="77">
        <f t="shared" si="0"/>
        <v>42</v>
      </c>
      <c r="B47" s="177" t="str">
        <f>MRS!B47 &amp;MRS!D47</f>
        <v>RATCHET SPANNER 19X21MM</v>
      </c>
      <c r="C47" s="178"/>
      <c r="D47" s="78" t="str">
        <f>MRS!G47</f>
        <v>EA</v>
      </c>
      <c r="E47" s="79">
        <f>MRS!H47</f>
        <v>40</v>
      </c>
      <c r="F47" s="80">
        <f>MRS!I47</f>
        <v>31</v>
      </c>
      <c r="G47" s="80">
        <f>MRS!J47</f>
        <v>1240</v>
      </c>
      <c r="H47" s="81" t="s">
        <v>56</v>
      </c>
      <c r="K47" s="82"/>
      <c r="L47" s="83"/>
      <c r="M47" s="48"/>
    </row>
    <row r="48" spans="1:13" s="47" customFormat="1" ht="36" customHeight="1">
      <c r="A48" s="77">
        <f t="shared" si="0"/>
        <v>43</v>
      </c>
      <c r="B48" s="177" t="str">
        <f>MRS!B48 &amp;MRS!D48</f>
        <v>RATCHET SPANNER 27X30MM</v>
      </c>
      <c r="C48" s="178"/>
      <c r="D48" s="78" t="str">
        <f>MRS!G48</f>
        <v>EA</v>
      </c>
      <c r="E48" s="79">
        <f>MRS!H48</f>
        <v>6</v>
      </c>
      <c r="F48" s="80">
        <f>MRS!I48</f>
        <v>68</v>
      </c>
      <c r="G48" s="80">
        <f>MRS!J48</f>
        <v>408</v>
      </c>
      <c r="H48" s="81" t="s">
        <v>56</v>
      </c>
      <c r="K48" s="82"/>
      <c r="L48" s="83"/>
      <c r="M48" s="48"/>
    </row>
    <row r="49" spans="1:13" s="47" customFormat="1" ht="36" customHeight="1">
      <c r="A49" s="77">
        <f t="shared" si="0"/>
        <v>44</v>
      </c>
      <c r="B49" s="177" t="str">
        <f>MRS!B49 &amp;MRS!D49</f>
        <v>RATCHET SPANNER 32X34MM</v>
      </c>
      <c r="C49" s="178"/>
      <c r="D49" s="78" t="str">
        <f>MRS!G49</f>
        <v>EA</v>
      </c>
      <c r="E49" s="79">
        <f>MRS!H49</f>
        <v>6</v>
      </c>
      <c r="F49" s="80">
        <f>MRS!I49</f>
        <v>98</v>
      </c>
      <c r="G49" s="80">
        <f>MRS!J49</f>
        <v>588</v>
      </c>
      <c r="H49" s="81" t="s">
        <v>56</v>
      </c>
      <c r="K49" s="82"/>
      <c r="L49" s="83"/>
      <c r="M49" s="48"/>
    </row>
    <row r="50" spans="1:13" s="47" customFormat="1" ht="36" customHeight="1">
      <c r="A50" s="77">
        <f t="shared" si="0"/>
        <v>45</v>
      </c>
      <c r="B50" s="177" t="str">
        <f>MRS!B50 &amp;MRS!D50</f>
        <v>RATCHET SPANNER 36X38MM</v>
      </c>
      <c r="C50" s="178"/>
      <c r="D50" s="78" t="str">
        <f>MRS!G50</f>
        <v>EA</v>
      </c>
      <c r="E50" s="79">
        <f>MRS!H50</f>
        <v>6</v>
      </c>
      <c r="F50" s="80">
        <f>MRS!I50</f>
        <v>110</v>
      </c>
      <c r="G50" s="80">
        <f>MRS!J50</f>
        <v>660</v>
      </c>
      <c r="H50" s="81" t="s">
        <v>56</v>
      </c>
      <c r="K50" s="82"/>
      <c r="L50" s="83"/>
      <c r="M50" s="48"/>
    </row>
    <row r="51" spans="1:13" s="47" customFormat="1" ht="36" customHeight="1">
      <c r="A51" s="77">
        <f t="shared" si="0"/>
        <v>46</v>
      </c>
      <c r="B51" s="177" t="str">
        <f>MRS!B51 &amp;MRS!D51</f>
        <v xml:space="preserve">WIRE STRIPPING PLIER SMALL </v>
      </c>
      <c r="C51" s="178"/>
      <c r="D51" s="78" t="str">
        <f>MRS!G51</f>
        <v>EA</v>
      </c>
      <c r="E51" s="79">
        <f>MRS!H51</f>
        <v>1</v>
      </c>
      <c r="F51" s="80">
        <f>MRS!I51</f>
        <v>8.25</v>
      </c>
      <c r="G51" s="80">
        <f>MRS!J51</f>
        <v>8.25</v>
      </c>
      <c r="H51" s="81" t="s">
        <v>56</v>
      </c>
      <c r="K51" s="82"/>
      <c r="L51" s="83"/>
      <c r="M51" s="48"/>
    </row>
    <row r="52" spans="1:13" s="47" customFormat="1" ht="36" customHeight="1">
      <c r="A52" s="77">
        <f t="shared" si="0"/>
        <v>47</v>
      </c>
      <c r="B52" s="177" t="str">
        <f>MRS!B52 &amp;MRS!D52</f>
        <v>CORDLESS JIGSAW BLADE500mm x 10mm x 2mm</v>
      </c>
      <c r="C52" s="178"/>
      <c r="D52" s="78" t="str">
        <f>MRS!G52</f>
        <v>EA</v>
      </c>
      <c r="E52" s="79">
        <f>MRS!H52</f>
        <v>6</v>
      </c>
      <c r="F52" s="80">
        <f>MRS!I52</f>
        <v>20</v>
      </c>
      <c r="G52" s="80">
        <f>MRS!J52</f>
        <v>120</v>
      </c>
      <c r="H52" s="81" t="s">
        <v>56</v>
      </c>
      <c r="K52" s="82"/>
      <c r="L52" s="83"/>
      <c r="M52" s="48"/>
    </row>
    <row r="53" spans="1:13" s="47" customFormat="1" ht="36" customHeight="1">
      <c r="A53" s="77">
        <f t="shared" si="0"/>
        <v>48</v>
      </c>
      <c r="B53" s="177" t="str">
        <f>MRS!B53 &amp;MRS!D53</f>
        <v>CENTER HOLE PUNCH</v>
      </c>
      <c r="C53" s="178"/>
      <c r="D53" s="78" t="str">
        <f>MRS!G53</f>
        <v>EA</v>
      </c>
      <c r="E53" s="79">
        <f>MRS!H53</f>
        <v>4</v>
      </c>
      <c r="F53" s="80">
        <f>MRS!I53</f>
        <v>14</v>
      </c>
      <c r="G53" s="80">
        <f>MRS!J53</f>
        <v>56</v>
      </c>
      <c r="H53" s="81" t="s">
        <v>56</v>
      </c>
      <c r="K53" s="82"/>
      <c r="L53" s="83"/>
      <c r="M53" s="48"/>
    </row>
    <row r="54" spans="1:13" s="47" customFormat="1" ht="23.1" customHeight="1">
      <c r="A54" s="195" t="s">
        <v>75</v>
      </c>
      <c r="B54" s="196"/>
      <c r="C54" s="196"/>
      <c r="D54" s="196"/>
      <c r="E54" s="196"/>
      <c r="F54" s="196"/>
      <c r="G54" s="50">
        <f>SUM(G6:G53)</f>
        <v>45941.25</v>
      </c>
      <c r="H54" s="51"/>
    </row>
    <row r="55" spans="1:13" s="47" customFormat="1" ht="23.1" customHeight="1">
      <c r="A55" s="195" t="s">
        <v>41</v>
      </c>
      <c r="B55" s="196"/>
      <c r="C55" s="196"/>
      <c r="D55" s="196"/>
      <c r="E55" s="196"/>
      <c r="F55" s="196"/>
      <c r="G55" s="50">
        <f>+G54*0.15</f>
        <v>6891.1875</v>
      </c>
      <c r="H55" s="51"/>
    </row>
    <row r="56" spans="1:13" s="47" customFormat="1" ht="24.95" customHeight="1" thickBot="1">
      <c r="A56" s="197" t="s">
        <v>76</v>
      </c>
      <c r="B56" s="198"/>
      <c r="C56" s="198"/>
      <c r="D56" s="198"/>
      <c r="E56" s="198"/>
      <c r="F56" s="198"/>
      <c r="G56" s="52">
        <f>G55+G54</f>
        <v>52832.4375</v>
      </c>
      <c r="H56" s="53"/>
    </row>
    <row r="57" spans="1:13" ht="15.75" thickTop="1">
      <c r="A57" s="54" t="str">
        <f>" 1) Above Price are as per your quotation with ref "&amp;'PO 1st page'!K14</f>
        <v xml:space="preserve"> 1) Above Price are as per your quotation with ref QT-C26-150775</v>
      </c>
      <c r="B57" s="55"/>
      <c r="C57" s="55"/>
      <c r="D57" s="56"/>
      <c r="E57" s="56"/>
      <c r="F57" s="56"/>
      <c r="G57" s="56"/>
      <c r="H57" s="56"/>
    </row>
    <row r="58" spans="1:13" ht="15">
      <c r="A58" s="57" t="s">
        <v>77</v>
      </c>
      <c r="B58" s="58"/>
      <c r="C58" s="58"/>
      <c r="D58" s="59"/>
      <c r="E58" s="59"/>
      <c r="F58" s="59"/>
      <c r="G58" s="59"/>
      <c r="H58" s="59"/>
      <c r="I58" s="60"/>
    </row>
    <row r="59" spans="1:13" ht="15.75">
      <c r="A59" s="61"/>
    </row>
    <row r="60" spans="1:13">
      <c r="A60" s="167" t="s">
        <v>78</v>
      </c>
      <c r="B60" s="167"/>
      <c r="C60" s="167"/>
      <c r="D60" s="167"/>
      <c r="E60" s="167"/>
      <c r="F60" s="167"/>
      <c r="G60" s="167"/>
      <c r="H60" s="167"/>
      <c r="I60" s="62"/>
      <c r="J60" s="62"/>
      <c r="K60" s="62"/>
      <c r="L60" s="62"/>
      <c r="M60" s="62"/>
    </row>
    <row r="61" spans="1:13" ht="15.75">
      <c r="A61" s="61"/>
      <c r="C61" s="63"/>
    </row>
    <row r="62" spans="1:13" ht="15.75">
      <c r="A62" s="61"/>
      <c r="C62" s="63"/>
    </row>
    <row r="64" spans="1:13" ht="12" customHeight="1"/>
  </sheetData>
  <mergeCells count="60">
    <mergeCell ref="A54:F54"/>
    <mergeCell ref="A55:F55"/>
    <mergeCell ref="A56:F56"/>
    <mergeCell ref="A60:H60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51:C51"/>
    <mergeCell ref="B52:C52"/>
    <mergeCell ref="B53:C53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0:C50"/>
    <mergeCell ref="B43:C43"/>
    <mergeCell ref="B44:C44"/>
    <mergeCell ref="B45:C45"/>
    <mergeCell ref="B46:C46"/>
    <mergeCell ref="B47:C47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2026-10-25T11:05:33Z</cp:lastPrinted>
  <dcterms:created xsi:type="dcterms:W3CDTF">2024-10-20T11:50:19Z</dcterms:created>
  <dcterms:modified xsi:type="dcterms:W3CDTF">2026-10-25T11:25:53Z</dcterms:modified>
</cp:coreProperties>
</file>