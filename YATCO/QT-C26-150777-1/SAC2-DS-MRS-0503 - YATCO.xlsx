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dab\po\YATCO\QT-C26-150777-1\"/>
    </mc:Choice>
  </mc:AlternateContent>
  <xr:revisionPtr revIDLastSave="0" documentId="13_ncr:1_{75C1E0DA-59A2-46E0-9E4E-79332CC8175C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MRS!$A$1:$L$22</definedName>
    <definedName name="_xlnm.Print_Area" localSheetId="1">'MRS LIST'!$A$1:$K$11</definedName>
    <definedName name="_xlnm.Print_Area" localSheetId="2">'PO 1st page'!$A$1:$N$71</definedName>
    <definedName name="_xlnm.Print_Area" localSheetId="3">'PO 2nd page'!$A$1:$H$20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2" l="1"/>
  <c r="J8" i="2"/>
  <c r="J9" i="2"/>
  <c r="J10" i="2"/>
  <c r="J11" i="2"/>
  <c r="J12" i="2"/>
  <c r="J13" i="2"/>
  <c r="I7" i="2"/>
  <c r="I8" i="2"/>
  <c r="I9" i="2"/>
  <c r="I10" i="2"/>
  <c r="I11" i="2"/>
  <c r="I12" i="2"/>
  <c r="I13" i="2"/>
  <c r="H7" i="2"/>
  <c r="H8" i="2"/>
  <c r="H9" i="2"/>
  <c r="H10" i="2"/>
  <c r="H11" i="2"/>
  <c r="H12" i="2"/>
  <c r="H13" i="2"/>
  <c r="G13" i="2"/>
  <c r="G12" i="2"/>
  <c r="G11" i="2"/>
  <c r="G10" i="2"/>
  <c r="D13" i="2"/>
  <c r="D12" i="2"/>
  <c r="D11" i="2"/>
  <c r="B13" i="2"/>
  <c r="B12" i="2"/>
  <c r="B11" i="2"/>
  <c r="G11" i="4"/>
  <c r="G12" i="4"/>
  <c r="G13" i="4"/>
  <c r="F11" i="4"/>
  <c r="F12" i="4"/>
  <c r="F13" i="4"/>
  <c r="E11" i="4"/>
  <c r="E12" i="4"/>
  <c r="E13" i="4"/>
  <c r="D11" i="4"/>
  <c r="D12" i="4"/>
  <c r="D13" i="4"/>
  <c r="B13" i="4"/>
  <c r="B12" i="4"/>
  <c r="B11" i="4"/>
  <c r="J11" i="1"/>
  <c r="J12" i="1"/>
  <c r="E3" i="1" l="1"/>
  <c r="A17" i="4"/>
  <c r="F10" i="4"/>
  <c r="E10" i="4"/>
  <c r="D10" i="4"/>
  <c r="B10" i="4"/>
  <c r="F9" i="4"/>
  <c r="E9" i="4"/>
  <c r="D9" i="4"/>
  <c r="B9" i="4"/>
  <c r="F8" i="4"/>
  <c r="E8" i="4"/>
  <c r="D8" i="4"/>
  <c r="B8" i="4"/>
  <c r="F7" i="4"/>
  <c r="E7" i="4"/>
  <c r="D7" i="4"/>
  <c r="B7" i="4"/>
  <c r="D10" i="2"/>
  <c r="B10" i="2"/>
  <c r="G9" i="2"/>
  <c r="D9" i="2"/>
  <c r="B9" i="2"/>
  <c r="G8" i="2"/>
  <c r="D8" i="2"/>
  <c r="B8" i="2"/>
  <c r="A10" i="4"/>
  <c r="A9" i="4"/>
  <c r="A8" i="4"/>
  <c r="F6" i="4"/>
  <c r="P54" i="3"/>
  <c r="B6" i="4"/>
  <c r="G7" i="2"/>
  <c r="H6" i="2"/>
  <c r="G6" i="2"/>
  <c r="D6" i="2"/>
  <c r="D7" i="2"/>
  <c r="B7" i="2"/>
  <c r="B6" i="2"/>
  <c r="E6" i="4"/>
  <c r="D6" i="4"/>
  <c r="A8" i="1"/>
  <c r="A8" i="2" s="1"/>
  <c r="A9" i="1"/>
  <c r="A9" i="2" s="1"/>
  <c r="A10" i="1"/>
  <c r="A10" i="2" s="1"/>
  <c r="J13" i="1"/>
  <c r="J10" i="1"/>
  <c r="G10" i="4" s="1"/>
  <c r="J9" i="1"/>
  <c r="G9" i="4" s="1"/>
  <c r="J8" i="1"/>
  <c r="J7" i="1"/>
  <c r="J6" i="1"/>
  <c r="J14" i="1" l="1"/>
  <c r="J6" i="2"/>
  <c r="G8" i="4"/>
  <c r="G7" i="4"/>
  <c r="G6" i="4"/>
  <c r="K67" i="3"/>
  <c r="G14" i="4" l="1"/>
  <c r="K10" i="3"/>
  <c r="I6" i="2" l="1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7" i="1"/>
  <c r="A7" i="2" s="1"/>
  <c r="A6" i="1"/>
  <c r="A6" i="2" s="1"/>
  <c r="F29" i="3" l="1"/>
  <c r="G15" i="4" l="1"/>
  <c r="F30" i="3" s="1"/>
  <c r="G16" i="4" l="1"/>
  <c r="F31" i="3" s="1"/>
</calcChain>
</file>

<file path=xl/sharedStrings.xml><?xml version="1.0" encoding="utf-8"?>
<sst xmlns="http://schemas.openxmlformats.org/spreadsheetml/2006/main" count="190" uniqueCount="145">
  <si>
    <t>Vendor Name</t>
    <phoneticPr fontId="8" type="noConversion"/>
  </si>
  <si>
    <t xml:space="preserve">  PJT :  SACE2           </t>
    <phoneticPr fontId="8" type="noConversion"/>
  </si>
  <si>
    <t>No</t>
    <phoneticPr fontId="12" type="noConversion"/>
  </si>
  <si>
    <t>Item</t>
    <phoneticPr fontId="12" type="noConversion"/>
  </si>
  <si>
    <t>Specification
(Model / Manufacturer / Size)</t>
    <phoneticPr fontId="12" type="noConversion"/>
  </si>
  <si>
    <t>Unit</t>
    <phoneticPr fontId="12" type="noConversion"/>
  </si>
  <si>
    <t xml:space="preserve">Qty </t>
    <phoneticPr fontId="8" type="noConversion"/>
  </si>
  <si>
    <t>Remarks</t>
    <phoneticPr fontId="12" type="noConversion"/>
  </si>
  <si>
    <t>Purpose</t>
    <phoneticPr fontId="12" type="noConversion"/>
  </si>
  <si>
    <t>Sum</t>
    <phoneticPr fontId="8" type="noConversion"/>
  </si>
  <si>
    <t xml:space="preserve">  * There will be an additional administration expense and financial expense (Depend on contract) deduction of total provision cost price.</t>
    <phoneticPr fontId="12" type="noConversion"/>
  </si>
  <si>
    <t>ADM</t>
    <phoneticPr fontId="5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</si>
  <si>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</si>
  <si>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</si>
  <si>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</si>
  <si>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</si>
  <si>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</si>
  <si>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</si>
  <si>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</si>
  <si>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</si>
  <si>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</si>
  <si>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</si>
  <si>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</si>
  <si>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8" type="noConversion"/>
  </si>
  <si>
    <t>P/O Date:</t>
  </si>
  <si>
    <t xml:space="preserve"> VAT No. : </t>
    <phoneticPr fontId="8" type="noConversion"/>
  </si>
  <si>
    <t>P/O No.:</t>
  </si>
  <si>
    <t xml:space="preserve"> In Charge :</t>
    <phoneticPr fontId="8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</si>
  <si>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</si>
  <si>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</si>
  <si>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</si>
  <si>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</si>
  <si>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</si>
  <si>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</si>
  <si>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</si>
  <si>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</si>
  <si>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</si>
  <si>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8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</si>
  <si>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</si>
  <si>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</si>
  <si>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</si>
  <si>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</si>
  <si>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</si>
  <si>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</si>
  <si>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8" type="noConversion"/>
  </si>
  <si>
    <t>a)  Tax E-Invoice (From Zakat, Tax and Customs Authority)</t>
  </si>
  <si>
    <t>b)  Delivery/Dispatch Note [Counter signed by Site Representative]</t>
    <phoneticPr fontId="8" type="noConversion"/>
  </si>
  <si>
    <t>DELIVERY TERMS</t>
  </si>
  <si>
    <t>Delivery by Seller to Jafurah HYUNDAI Laydown within a Week after receipt of PO.</t>
    <phoneticPr fontId="8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</si>
  <si>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</si>
  <si>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8" type="noConversion"/>
  </si>
  <si>
    <t xml:space="preserve">    by Seller to Buyer at no extra costs</t>
    <phoneticPr fontId="8" type="noConversion"/>
  </si>
  <si>
    <t xml:space="preserve">b) Material Certificate, Data Sheet, Safety Data Sheet and other documents which may required by ARAMCO in material receiving </t>
    <phoneticPr fontId="8" type="noConversion"/>
  </si>
  <si>
    <t xml:space="preserve">    inspection should be submitted to Buyer</t>
    <phoneticPr fontId="8" type="noConversion"/>
  </si>
  <si>
    <t>c) MTC / MSDS, Others, If required by Client</t>
    <phoneticPr fontId="8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</si>
  <si>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</si>
  <si>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</si>
  <si>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</si>
  <si>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</si>
  <si>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</si>
  <si>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</si>
  <si>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</si>
  <si>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</si>
  <si>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</si>
  <si>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</si>
  <si>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</si>
  <si>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</si>
  <si>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</si>
  <si>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</si>
  <si>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</si>
  <si>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8" type="noConversion"/>
  </si>
  <si>
    <t xml:space="preserve"> S. NO</t>
  </si>
  <si>
    <t>DESCRIPTION</t>
    <phoneticPr fontId="6" type="noConversion"/>
  </si>
  <si>
    <r>
      <t xml:space="preserve">Remarks
</t>
    </r>
    <r>
      <rPr>
        <b/>
        <sz val="8"/>
        <rFont val="Arial"/>
        <family val="2"/>
      </rPr>
      <t>(Details)</t>
    </r>
    <phoneticPr fontId="8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</si>
  <si>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</si>
  <si>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</si>
  <si>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</si>
  <si>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8" type="noConversion"/>
  </si>
  <si>
    <t>Page 2/2</t>
    <phoneticPr fontId="8" type="noConversion"/>
  </si>
  <si>
    <t>DAESHIN PLANT</t>
    <phoneticPr fontId="8" type="noConversion"/>
  </si>
  <si>
    <t>Q'ty</t>
    <phoneticPr fontId="8" type="noConversion"/>
  </si>
  <si>
    <t xml:space="preserve">  Invoicing : Nehal Kauser / HDEC Purchase PIC [ Mobile No. : +966 50 610 2363 / Email : nehal_kauser@hdec.co.kr ]</t>
    <phoneticPr fontId="8" type="noConversion"/>
  </si>
  <si>
    <t xml:space="preserve">  Commercial (Purchaser) : Youngkyu Choi / Daeshin Planning [ Mobile No. : +966 53 952 0931 / Email : ykchoi@daeshinplant.com ]</t>
    <phoneticPr fontId="8" type="noConversion"/>
  </si>
  <si>
    <t>Unit Price (SAR)
(Exclude VAT)</t>
    <phoneticPr fontId="8" type="noConversion"/>
  </si>
  <si>
    <t>Total Price (SAR)
(Exclude VAT)</t>
    <phoneticPr fontId="8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</si>
  <si>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</si>
  <si>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</si>
  <si>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</si>
  <si>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</si>
  <si>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</si>
  <si>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</si>
  <si>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</si>
  <si>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</si>
  <si>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</si>
  <si>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</si>
  <si>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</si>
  <si>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</si>
  <si>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</si>
  <si>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</si>
  <si>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</si>
  <si>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</si>
  <si>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YATCO</t>
  </si>
  <si>
    <t>YATCO(Yaqoot Arabia Trading Company)</t>
  </si>
  <si>
    <t>2050187866</t>
  </si>
  <si>
    <t>312249720500003</t>
  </si>
  <si>
    <t>Haris</t>
  </si>
  <si>
    <t>Mobile No. +966 565731662</t>
  </si>
  <si>
    <t>Abu Bakr Al-Razi Street Near Dharhan - Jubail Highway, Dammam 34223</t>
  </si>
  <si>
    <t>Mobile: +966 565731662</t>
  </si>
  <si>
    <t>509000010006080500631</t>
  </si>
  <si>
    <t>SA11 8000 0509 6080 1050 0631</t>
  </si>
  <si>
    <t>ALRAJHI BANK</t>
  </si>
  <si>
    <t>RJHISARI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</si>
  <si>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</si>
  <si>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</si>
  <si>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9" type="noConversion"/>
  </si>
  <si>
    <t>HDEC</t>
    <phoneticPr fontId="9" type="noConversion"/>
  </si>
  <si>
    <t>In Charge</t>
    <phoneticPr fontId="9" type="noConversion"/>
  </si>
  <si>
    <t>ADM</t>
    <phoneticPr fontId="9" type="noConversion"/>
  </si>
  <si>
    <t>PCM</t>
    <phoneticPr fontId="9" type="noConversion"/>
  </si>
  <si>
    <t>PM</t>
    <phoneticPr fontId="9" type="noConversion"/>
  </si>
  <si>
    <t>Construction</t>
    <phoneticPr fontId="9" type="noConversion"/>
  </si>
  <si>
    <t>Subcon(PC)</t>
    <phoneticPr fontId="9" type="noConversion"/>
  </si>
  <si>
    <t>Account</t>
    <phoneticPr fontId="9" type="noConversion"/>
  </si>
  <si>
    <t>ADM</t>
    <phoneticPr fontId="14" type="noConversion"/>
  </si>
  <si>
    <t>Manager</t>
    <phoneticPr fontId="9" type="noConversion"/>
  </si>
  <si>
    <t>HEC</t>
    <phoneticPr fontId="14" type="noConversion"/>
  </si>
  <si>
    <t>YAQOT ALARBYH COMPANY</t>
  </si>
  <si>
    <t>EA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</si>
  <si>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-MRS-0503</t>
    </r>
  </si>
  <si>
    <t>QT-C26-150777-1</t>
  </si>
  <si>
    <t xml:space="preserve">HDG HEX BOLT &amp; NUT WITH WASHER </t>
  </si>
  <si>
    <t>ROUND BAR CS</t>
  </si>
  <si>
    <t>REC.TUBE PIPE CS</t>
  </si>
  <si>
    <t>M16 x 50mm</t>
    <phoneticPr fontId="2" type="noConversion"/>
  </si>
  <si>
    <t>M16 x 80mm</t>
    <phoneticPr fontId="2" type="noConversion"/>
  </si>
  <si>
    <t>M20 x 60mm</t>
    <phoneticPr fontId="2" type="noConversion"/>
  </si>
  <si>
    <t>10mm x 6Mtr</t>
    <phoneticPr fontId="2" type="noConversion"/>
  </si>
  <si>
    <t xml:space="preserve">20 x 20 x 2mm ,6Mtr </t>
    <phoneticPr fontId="2" type="noConversion"/>
  </si>
  <si>
    <t>M16 x 60mm</t>
  </si>
  <si>
    <t>M20 x 70mm</t>
  </si>
  <si>
    <t>SET</t>
  </si>
  <si>
    <t xml:space="preserve">Site Material </t>
  </si>
  <si>
    <t>UNIT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</si>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</sst>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61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sz val="10"/>
      <color theme="1"/>
      <name val="Calibri"/>
      <family val="3"/>
      <charset val="129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4" fillId="0" borderId="0"/>
    <xf numFmtId="0" fontId="6" fillId="0" borderId="0"/>
    <xf numFmtId="0" fontId="13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/>
    <xf numFmtId="0" fontId="29" fillId="0" borderId="0" applyBorder="0"/>
    <xf numFmtId="0" fontId="38" fillId="0" borderId="0">
      <alignment vertical="center"/>
    </xf>
    <xf numFmtId="0" fontId="4" fillId="0" borderId="0"/>
    <xf numFmtId="43" fontId="6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</cellStyleXfs>
  <cellXfs count="190">
    <xf numFmtId="0" fontId="0" fillId="0" borderId="0" xfId="0">
      <alignment vertical="center"/>
    </xf>
    <xf numFmtId="0" fontId="7" fillId="2" borderId="0" xfId="1" applyFont="1" applyFill="1" applyAlignment="1">
      <alignment vertical="center"/>
    </xf>
    <xf numFmtId="0" fontId="7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left" vertical="center"/>
    </xf>
    <xf numFmtId="0" fontId="11" fillId="2" borderId="0" xfId="1" applyFont="1" applyFill="1" applyAlignment="1">
      <alignment vertical="center"/>
    </xf>
    <xf numFmtId="0" fontId="4" fillId="2" borderId="8" xfId="4" applyNumberFormat="1" applyFont="1" applyFill="1" applyBorder="1" applyAlignment="1">
      <alignment horizontal="center" vertical="center" wrapText="1"/>
    </xf>
    <xf numFmtId="0" fontId="4" fillId="2" borderId="9" xfId="1" applyFill="1" applyBorder="1" applyAlignment="1">
      <alignment vertical="center"/>
    </xf>
    <xf numFmtId="0" fontId="4" fillId="2" borderId="9" xfId="1" applyFill="1" applyBorder="1" applyAlignment="1">
      <alignment vertical="center" wrapText="1"/>
    </xf>
    <xf numFmtId="0" fontId="4" fillId="2" borderId="0" xfId="1" applyFill="1" applyAlignment="1">
      <alignment vertical="center" wrapText="1"/>
    </xf>
    <xf numFmtId="0" fontId="10" fillId="2" borderId="0" xfId="1" quotePrefix="1" applyFont="1" applyFill="1" applyAlignment="1">
      <alignment horizontal="left" vertical="center" wrapText="1"/>
    </xf>
    <xf numFmtId="0" fontId="4" fillId="2" borderId="0" xfId="1" applyFill="1" applyAlignment="1">
      <alignment horizontal="left" vertical="center"/>
    </xf>
    <xf numFmtId="0" fontId="7" fillId="2" borderId="0" xfId="1" applyFont="1" applyFill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16" fillId="2" borderId="0" xfId="1" applyFont="1" applyFill="1" applyAlignment="1">
      <alignment vertical="center"/>
    </xf>
    <xf numFmtId="0" fontId="7" fillId="2" borderId="17" xfId="1" applyFont="1" applyFill="1" applyBorder="1" applyAlignment="1">
      <alignment horizontal="center" vertical="center" wrapText="1"/>
    </xf>
    <xf numFmtId="0" fontId="15" fillId="3" borderId="0" xfId="5" applyFont="1" applyFill="1"/>
    <xf numFmtId="0" fontId="17" fillId="3" borderId="0" xfId="5" applyFont="1" applyFill="1" applyAlignment="1">
      <alignment horizontal="right"/>
    </xf>
    <xf numFmtId="0" fontId="15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10" fillId="3" borderId="0" xfId="5" applyFont="1" applyFill="1" applyAlignment="1">
      <alignment horizontal="left" vertical="center"/>
    </xf>
    <xf numFmtId="169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19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30" fillId="0" borderId="0" xfId="6" applyFont="1"/>
    <xf numFmtId="0" fontId="30" fillId="0" borderId="0" xfId="6" applyFont="1" applyAlignment="1">
      <alignment vertical="center"/>
    </xf>
    <xf numFmtId="0" fontId="9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9" fillId="0" borderId="0" xfId="6" applyFont="1" applyAlignment="1">
      <alignment vertical="top"/>
    </xf>
    <xf numFmtId="168" fontId="9" fillId="0" borderId="0" xfId="6" quotePrefix="1" applyNumberFormat="1" applyFont="1" applyAlignment="1">
      <alignment horizontal="left" vertical="top"/>
    </xf>
    <xf numFmtId="171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9" fillId="4" borderId="17" xfId="6" applyFont="1" applyFill="1" applyBorder="1" applyAlignment="1">
      <alignment horizontal="center" vertical="center" wrapText="1"/>
    </xf>
    <xf numFmtId="43" fontId="14" fillId="0" borderId="17" xfId="6" quotePrefix="1" applyNumberFormat="1" applyFont="1" applyBorder="1" applyAlignment="1">
      <alignment vertical="center" wrapText="1"/>
    </xf>
    <xf numFmtId="0" fontId="9" fillId="0" borderId="31" xfId="6" applyFont="1" applyBorder="1"/>
    <xf numFmtId="170" fontId="11" fillId="0" borderId="38" xfId="6" applyNumberFormat="1" applyFont="1" applyBorder="1" applyAlignment="1">
      <alignment horizontal="center" vertical="center" wrapText="1"/>
    </xf>
    <xf numFmtId="0" fontId="9" fillId="0" borderId="39" xfId="6" applyFont="1" applyBorder="1"/>
    <xf numFmtId="0" fontId="11" fillId="0" borderId="0" xfId="6" applyFont="1" applyAlignment="1">
      <alignment vertical="center"/>
    </xf>
    <xf numFmtId="0" fontId="27" fillId="0" borderId="40" xfId="6" applyFont="1" applyBorder="1" applyAlignment="1">
      <alignment vertical="center"/>
    </xf>
    <xf numFmtId="0" fontId="27" fillId="0" borderId="40" xfId="6" applyFont="1" applyBorder="1"/>
    <xf numFmtId="0" fontId="11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4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4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9" fillId="3" borderId="0" xfId="5" applyFont="1" applyFill="1" applyAlignment="1">
      <alignment horizontal="left" vertical="center"/>
    </xf>
    <xf numFmtId="169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9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9" fillId="3" borderId="0" xfId="0" quotePrefix="1" applyFont="1" applyFill="1" applyAlignment="1">
      <alignment horizontal="right" vertical="center"/>
    </xf>
    <xf numFmtId="0" fontId="7" fillId="0" borderId="32" xfId="6" quotePrefix="1" applyFont="1" applyBorder="1" applyAlignment="1">
      <alignment horizontal="center" vertical="center"/>
    </xf>
    <xf numFmtId="0" fontId="7" fillId="2" borderId="35" xfId="7" applyFont="1" applyFill="1" applyBorder="1" applyAlignment="1">
      <alignment horizontal="center" vertical="center" wrapText="1"/>
    </xf>
    <xf numFmtId="0" fontId="7" fillId="2" borderId="35" xfId="8" applyFont="1" applyFill="1" applyBorder="1" applyAlignment="1">
      <alignment horizontal="center" vertical="center"/>
    </xf>
    <xf numFmtId="43" fontId="7" fillId="0" borderId="35" xfId="9" quotePrefix="1" applyFont="1" applyFill="1" applyBorder="1" applyAlignment="1">
      <alignment vertical="center"/>
    </xf>
    <xf numFmtId="0" fontId="4" fillId="0" borderId="36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4" fillId="0" borderId="31" xfId="6" quotePrefix="1" applyFont="1" applyBorder="1" applyAlignment="1">
      <alignment horizontal="center" vertical="center" wrapText="1"/>
    </xf>
    <xf numFmtId="0" fontId="11" fillId="0" borderId="0" xfId="5" applyFont="1" applyAlignment="1">
      <alignment vertical="center"/>
    </xf>
    <xf numFmtId="0" fontId="4" fillId="2" borderId="0" xfId="1" applyFill="1" applyAlignment="1">
      <alignment horizontal="center" vertical="center"/>
    </xf>
    <xf numFmtId="166" fontId="11" fillId="0" borderId="7" xfId="3" applyNumberFormat="1" applyFont="1" applyBorder="1" applyAlignment="1">
      <alignment horizontal="right"/>
    </xf>
    <xf numFmtId="0" fontId="43" fillId="0" borderId="17" xfId="0" applyFont="1" applyBorder="1" applyAlignment="1">
      <alignment horizontal="center" vertical="center"/>
    </xf>
    <xf numFmtId="172" fontId="43" fillId="0" borderId="17" xfId="10" applyNumberFormat="1" applyFont="1" applyBorder="1" applyAlignment="1">
      <alignment horizontal="center" vertical="center"/>
    </xf>
    <xf numFmtId="0" fontId="7" fillId="2" borderId="17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11" fillId="0" borderId="0" xfId="2" applyFont="1" applyAlignment="1">
      <alignment vertical="center"/>
    </xf>
    <xf numFmtId="0" fontId="44" fillId="2" borderId="0" xfId="1" applyFont="1" applyFill="1" applyAlignment="1">
      <alignment vertical="center"/>
    </xf>
    <xf numFmtId="170" fontId="19" fillId="3" borderId="0" xfId="5" applyNumberFormat="1" applyFont="1" applyFill="1"/>
    <xf numFmtId="0" fontId="42" fillId="3" borderId="0" xfId="5" applyFont="1" applyFill="1" applyAlignment="1">
      <alignment horizontal="left" vertical="center"/>
    </xf>
    <xf numFmtId="170" fontId="26" fillId="3" borderId="0" xfId="5" applyNumberFormat="1" applyFont="1" applyFill="1"/>
    <xf numFmtId="0" fontId="53" fillId="3" borderId="0" xfId="5" applyFont="1" applyFill="1"/>
    <xf numFmtId="0" fontId="19" fillId="3" borderId="0" xfId="5" quotePrefix="1" applyFont="1" applyFill="1"/>
    <xf numFmtId="0" fontId="22" fillId="3" borderId="41" xfId="5" applyFont="1" applyFill="1" applyBorder="1"/>
    <xf numFmtId="0" fontId="19" fillId="3" borderId="41" xfId="5" applyFont="1" applyFill="1" applyBorder="1"/>
    <xf numFmtId="0" fontId="7" fillId="2" borderId="16" xfId="1" applyFont="1" applyFill="1" applyBorder="1" applyAlignment="1">
      <alignment horizontal="center" vertical="center"/>
    </xf>
    <xf numFmtId="0" fontId="54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68" fontId="58" fillId="0" borderId="7" xfId="3" applyNumberFormat="1" applyFont="1" applyBorder="1" applyAlignment="1">
      <alignment horizontal="right"/>
    </xf>
    <xf numFmtId="0" fontId="7" fillId="2" borderId="16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vertical="center"/>
    </xf>
    <xf numFmtId="0" fontId="7" fillId="2" borderId="9" xfId="1" applyFont="1" applyFill="1" applyBorder="1" applyAlignment="1">
      <alignment horizontal="center" vertical="center"/>
    </xf>
    <xf numFmtId="0" fontId="14" fillId="3" borderId="0" xfId="0" applyFont="1" applyFill="1">
      <alignment vertical="center"/>
    </xf>
    <xf numFmtId="0" fontId="14" fillId="3" borderId="42" xfId="0" applyFont="1" applyFill="1" applyBorder="1">
      <alignment vertical="center"/>
    </xf>
    <xf numFmtId="0" fontId="7" fillId="2" borderId="8" xfId="1" applyFont="1" applyFill="1" applyBorder="1" applyAlignment="1">
      <alignment vertical="center" wrapText="1"/>
    </xf>
    <xf numFmtId="15" fontId="27" fillId="3" borderId="0" xfId="5" applyNumberFormat="1" applyFont="1" applyFill="1"/>
    <xf numFmtId="0" fontId="9" fillId="2" borderId="44" xfId="1" quotePrefix="1" applyFont="1" applyFill="1" applyBorder="1" applyAlignment="1">
      <alignment vertical="center"/>
    </xf>
    <xf numFmtId="0" fontId="4" fillId="2" borderId="7" xfId="1" applyFill="1" applyBorder="1" applyAlignment="1">
      <alignment vertical="center"/>
    </xf>
    <xf numFmtId="0" fontId="4" fillId="2" borderId="7" xfId="1" applyFill="1" applyBorder="1" applyAlignment="1">
      <alignment vertical="center" wrapText="1"/>
    </xf>
    <xf numFmtId="0" fontId="4" fillId="2" borderId="12" xfId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right" vertical="center" wrapText="1"/>
    </xf>
    <xf numFmtId="0" fontId="4" fillId="2" borderId="12" xfId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40" fontId="15" fillId="0" borderId="8" xfId="0" applyNumberFormat="1" applyFont="1" applyBorder="1">
      <alignment vertical="center"/>
    </xf>
    <xf numFmtId="167" fontId="4" fillId="0" borderId="8" xfId="0" applyNumberFormat="1" applyFont="1" applyBorder="1" applyAlignment="1">
      <alignment horizontal="right" vertical="center" wrapText="1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quotePrefix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2" borderId="11" xfId="1" applyFill="1" applyBorder="1" applyAlignment="1">
      <alignment horizontal="center" vertical="center" wrapText="1"/>
    </xf>
    <xf numFmtId="0" fontId="4" fillId="2" borderId="43" xfId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9" fillId="2" borderId="8" xfId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43" fillId="3" borderId="18" xfId="0" applyFont="1" applyFill="1" applyBorder="1" applyAlignment="1">
      <alignment horizontal="center" vertical="center" wrapText="1"/>
    </xf>
    <xf numFmtId="0" fontId="43" fillId="3" borderId="20" xfId="0" applyFont="1" applyFill="1" applyBorder="1" applyAlignment="1">
      <alignment horizontal="center" vertical="center" wrapText="1"/>
    </xf>
    <xf numFmtId="0" fontId="43" fillId="3" borderId="19" xfId="0" applyFont="1" applyFill="1" applyBorder="1" applyAlignment="1">
      <alignment horizontal="center" vertical="center" wrapText="1"/>
    </xf>
    <xf numFmtId="0" fontId="16" fillId="2" borderId="17" xfId="1" applyFont="1" applyFill="1" applyBorder="1" applyAlignment="1">
      <alignment horizontal="center" vertical="center" wrapText="1"/>
    </xf>
    <xf numFmtId="0" fontId="16" fillId="2" borderId="17" xfId="1" applyFont="1" applyFill="1" applyBorder="1" applyAlignment="1">
      <alignment horizontal="center" vertical="center"/>
    </xf>
    <xf numFmtId="0" fontId="43" fillId="0" borderId="18" xfId="0" applyFont="1" applyBorder="1" applyAlignment="1">
      <alignment horizontal="left" vertical="center" wrapText="1"/>
    </xf>
    <xf numFmtId="0" fontId="43" fillId="0" borderId="19" xfId="0" applyFont="1" applyBorder="1" applyAlignment="1">
      <alignment horizontal="left" vertical="center" wrapText="1"/>
    </xf>
    <xf numFmtId="0" fontId="28" fillId="3" borderId="0" xfId="5" applyFont="1" applyFill="1" applyAlignment="1">
      <alignment horizontal="center"/>
    </xf>
    <xf numFmtId="168" fontId="33" fillId="3" borderId="0" xfId="5" quotePrefix="1" applyNumberFormat="1" applyFont="1" applyFill="1" applyAlignment="1">
      <alignment horizontal="left" vertical="center"/>
    </xf>
    <xf numFmtId="168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1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0" fontId="52" fillId="3" borderId="0" xfId="5" applyFont="1" applyFill="1" applyAlignment="1">
      <alignment horizontal="left" wrapText="1"/>
    </xf>
    <xf numFmtId="0" fontId="27" fillId="3" borderId="0" xfId="5" quotePrefix="1" applyFont="1" applyFill="1" applyAlignment="1">
      <alignment horizontal="left"/>
    </xf>
    <xf numFmtId="0" fontId="14" fillId="0" borderId="30" xfId="6" quotePrefix="1" applyFont="1" applyBorder="1" applyAlignment="1">
      <alignment horizontal="right" vertical="center"/>
    </xf>
    <xf numFmtId="0" fontId="14" fillId="0" borderId="17" xfId="6" quotePrefix="1" applyFont="1" applyBorder="1" applyAlignment="1">
      <alignment horizontal="right" vertical="center"/>
    </xf>
    <xf numFmtId="0" fontId="11" fillId="0" borderId="37" xfId="6" quotePrefix="1" applyFont="1" applyBorder="1" applyAlignment="1">
      <alignment horizontal="right" vertical="center"/>
    </xf>
    <xf numFmtId="0" fontId="11" fillId="0" borderId="38" xfId="6" quotePrefix="1" applyFont="1" applyBorder="1" applyAlignment="1">
      <alignment horizontal="right" vertical="center"/>
    </xf>
    <xf numFmtId="0" fontId="43" fillId="3" borderId="33" xfId="5" applyFont="1" applyFill="1" applyBorder="1" applyAlignment="1">
      <alignment horizontal="left" vertical="center" wrapText="1"/>
    </xf>
    <xf numFmtId="0" fontId="43" fillId="3" borderId="3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2" xfId="6" applyFont="1" applyBorder="1" applyAlignment="1">
      <alignment horizontal="right" vertical="center"/>
    </xf>
    <xf numFmtId="0" fontId="9" fillId="4" borderId="23" xfId="6" applyFont="1" applyFill="1" applyBorder="1" applyAlignment="1">
      <alignment horizontal="center" vertical="center" wrapText="1"/>
    </xf>
    <xf numFmtId="0" fontId="9" fillId="4" borderId="30" xfId="6" applyFont="1" applyFill="1" applyBorder="1" applyAlignment="1">
      <alignment horizontal="center" vertical="center" wrapText="1"/>
    </xf>
    <xf numFmtId="0" fontId="9" fillId="4" borderId="24" xfId="6" applyFont="1" applyFill="1" applyBorder="1" applyAlignment="1">
      <alignment horizontal="center" vertical="center" wrapText="1"/>
    </xf>
    <xf numFmtId="0" fontId="9" fillId="4" borderId="25" xfId="6" applyFont="1" applyFill="1" applyBorder="1" applyAlignment="1">
      <alignment horizontal="center" vertical="center" wrapText="1"/>
    </xf>
    <xf numFmtId="0" fontId="9" fillId="4" borderId="4" xfId="6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center" vertical="center" wrapText="1"/>
    </xf>
    <xf numFmtId="0" fontId="9" fillId="4" borderId="26" xfId="6" applyFont="1" applyFill="1" applyBorder="1" applyAlignment="1">
      <alignment horizontal="center" vertical="center" wrapText="1"/>
    </xf>
    <xf numFmtId="0" fontId="9" fillId="4" borderId="17" xfId="6" applyFont="1" applyFill="1" applyBorder="1" applyAlignment="1">
      <alignment horizontal="center" vertical="center" wrapText="1"/>
    </xf>
    <xf numFmtId="0" fontId="9" fillId="4" borderId="27" xfId="6" applyFont="1" applyFill="1" applyBorder="1" applyAlignment="1">
      <alignment horizontal="center" vertical="center" wrapText="1"/>
    </xf>
    <xf numFmtId="0" fontId="9" fillId="4" borderId="28" xfId="6" applyFont="1" applyFill="1" applyBorder="1" applyAlignment="1">
      <alignment horizontal="center" vertical="center" wrapText="1"/>
    </xf>
    <xf numFmtId="0" fontId="9" fillId="4" borderId="29" xfId="6" applyFont="1" applyFill="1" applyBorder="1" applyAlignment="1">
      <alignment horizontal="center" vertical="center" wrapText="1"/>
    </xf>
    <xf numFmtId="0" fontId="9" fillId="4" borderId="31" xfId="6" applyFont="1" applyFill="1" applyBorder="1" applyAlignment="1">
      <alignment horizontal="center" vertical="center" wrapText="1"/>
    </xf>
    <xf numFmtId="0" fontId="59" fillId="0" borderId="8" xfId="0" applyFont="1" applyBorder="1" applyAlignment="1"/>
    <xf numFmtId="0" fontId="60" fillId="0" borderId="8" xfId="0" applyFont="1" applyBorder="1" applyAlignment="1">
      <alignment horizont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40607</xdr:colOff>
          <xdr:row>14</xdr:row>
          <xdr:rowOff>245143</xdr:rowOff>
        </xdr:from>
        <xdr:to>
          <xdr:col>11</xdr:col>
          <xdr:colOff>1652337</xdr:colOff>
          <xdr:row>21</xdr:row>
          <xdr:rowOff>232612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CC858A43-5394-5376-854B-8738BED6648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Y$23" spid="_x0000_s137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26870" y="27937827"/>
              <a:ext cx="8459704" cy="234365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11</xdr:row>
      <xdr:rowOff>0</xdr:rowOff>
    </xdr:from>
    <xdr:to>
      <xdr:col>15</xdr:col>
      <xdr:colOff>543942</xdr:colOff>
      <xdr:row>11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11</xdr:row>
      <xdr:rowOff>0</xdr:rowOff>
    </xdr:from>
    <xdr:to>
      <xdr:col>15</xdr:col>
      <xdr:colOff>543942</xdr:colOff>
      <xdr:row>11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0"/>
  <sheetViews>
    <sheetView showGridLines="0" tabSelected="1" view="pageBreakPreview" zoomScale="95" zoomScaleNormal="95" zoomScaleSheetLayoutView="95" workbookViewId="0">
      <selection activeCell="L13" sqref="A4:L13"/>
    </sheetView>
  </sheetViews>
  <sheetFormatPr defaultColWidth="9" defaultRowHeight="21" customHeight="1"/>
  <cols>
    <col min="1" max="1" width="4.7109375" style="2" customWidth="1"/>
    <col min="2" max="2" width="20.7109375" style="2" customWidth="1"/>
    <col min="3" max="3" width="10.42578125" style="2" customWidth="1"/>
    <col min="4" max="4" width="17.28515625" style="2" customWidth="1"/>
    <col min="5" max="5" width="11.28515625" style="2" customWidth="1"/>
    <col min="6" max="6" width="12.855468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26" ht="49.9" customHeight="1">
      <c r="A1" s="103" t="s">
        <v>113</v>
      </c>
      <c r="B1" s="104"/>
      <c r="C1" s="93"/>
      <c r="D1" s="93"/>
      <c r="E1" s="93"/>
      <c r="F1" s="93"/>
      <c r="G1" s="1"/>
      <c r="J1" s="132" t="s">
        <v>79</v>
      </c>
      <c r="K1" s="133"/>
      <c r="L1" s="134"/>
    </row>
    <row r="2" spans="1:26" ht="20.100000000000001" customHeight="1">
      <c r="A2" s="3" t="s">
        <v>1</v>
      </c>
      <c r="B2" s="87"/>
      <c r="C2" s="87"/>
      <c r="D2" s="3" t="s">
        <v>114</v>
      </c>
      <c r="E2" s="87"/>
      <c r="F2" s="87"/>
      <c r="G2" s="87"/>
      <c r="H2" s="87"/>
      <c r="I2" s="4"/>
      <c r="J2" s="135" t="s">
        <v>86</v>
      </c>
      <c r="K2" s="136"/>
      <c r="L2" s="137"/>
    </row>
    <row r="3" spans="1:26" ht="20.100000000000001" customHeight="1">
      <c r="A3" s="3" t="s">
        <v>129</v>
      </c>
      <c r="B3" s="87"/>
      <c r="C3" s="87"/>
      <c r="D3" s="87"/>
      <c r="E3" s="138">
        <f>+L3+3</f>
        <v>46323</v>
      </c>
      <c r="F3" s="138"/>
      <c r="G3" s="138"/>
      <c r="H3" s="138"/>
      <c r="I3" s="138"/>
      <c r="J3" s="87"/>
      <c r="K3" s="87"/>
      <c r="L3" s="105">
        <v>46320</v>
      </c>
      <c r="M3" s="4"/>
    </row>
    <row r="4" spans="1:26" ht="15.95" customHeight="1">
      <c r="A4" s="139" t="s">
        <v>2</v>
      </c>
      <c r="B4" s="140" t="s">
        <v>3</v>
      </c>
      <c r="C4" s="140"/>
      <c r="D4" s="139" t="s">
        <v>4</v>
      </c>
      <c r="E4" s="139"/>
      <c r="F4" s="139"/>
      <c r="G4" s="140" t="s">
        <v>5</v>
      </c>
      <c r="H4" s="139" t="s">
        <v>6</v>
      </c>
      <c r="I4" s="139" t="s">
        <v>83</v>
      </c>
      <c r="J4" s="139" t="s">
        <v>84</v>
      </c>
      <c r="K4" s="139" t="s">
        <v>0</v>
      </c>
      <c r="L4" s="140" t="s">
        <v>7</v>
      </c>
    </row>
    <row r="5" spans="1:26" ht="21.75" customHeight="1">
      <c r="A5" s="139"/>
      <c r="B5" s="140"/>
      <c r="C5" s="140"/>
      <c r="D5" s="139"/>
      <c r="E5" s="139"/>
      <c r="F5" s="139"/>
      <c r="G5" s="140"/>
      <c r="H5" s="139"/>
      <c r="I5" s="139"/>
      <c r="J5" s="139"/>
      <c r="K5" s="139"/>
      <c r="L5" s="140"/>
    </row>
    <row r="6" spans="1:26" ht="24" customHeight="1">
      <c r="A6" s="5">
        <f t="shared" ref="A6:A10" si="0">ROW(A1)</f>
        <v>1</v>
      </c>
      <c r="B6" s="188" t="s">
        <v>131</v>
      </c>
      <c r="C6" s="188"/>
      <c r="D6" s="189" t="s">
        <v>134</v>
      </c>
      <c r="E6" s="189"/>
      <c r="F6" s="189"/>
      <c r="G6" s="125" t="s">
        <v>141</v>
      </c>
      <c r="H6" s="119">
        <v>50</v>
      </c>
      <c r="I6" s="120">
        <v>2.4</v>
      </c>
      <c r="J6" s="121">
        <f>H6*I6</f>
        <v>120</v>
      </c>
      <c r="K6" s="122" t="s">
        <v>101</v>
      </c>
      <c r="L6" s="123" t="s">
        <v>89</v>
      </c>
      <c r="R6" s="92"/>
    </row>
    <row r="7" spans="1:26" ht="24" customHeight="1">
      <c r="A7" s="5">
        <f t="shared" si="0"/>
        <v>2</v>
      </c>
      <c r="B7" s="188" t="s">
        <v>131</v>
      </c>
      <c r="C7" s="188"/>
      <c r="D7" s="189" t="s">
        <v>139</v>
      </c>
      <c r="E7" s="189"/>
      <c r="F7" s="189"/>
      <c r="G7" s="125" t="s">
        <v>141</v>
      </c>
      <c r="H7" s="119">
        <v>450</v>
      </c>
      <c r="I7" s="120">
        <v>2.6</v>
      </c>
      <c r="J7" s="121">
        <f t="shared" ref="J7:J13" si="1">H7*I7</f>
        <v>1170</v>
      </c>
      <c r="K7" s="122" t="s">
        <v>56</v>
      </c>
      <c r="L7" s="123" t="s">
        <v>56</v>
      </c>
      <c r="R7" s="92"/>
    </row>
    <row r="8" spans="1:26" ht="24" customHeight="1">
      <c r="A8" s="5">
        <f t="shared" si="0"/>
        <v>3</v>
      </c>
      <c r="B8" s="188" t="s">
        <v>131</v>
      </c>
      <c r="C8" s="188"/>
      <c r="D8" s="189" t="s">
        <v>135</v>
      </c>
      <c r="E8" s="189"/>
      <c r="F8" s="189"/>
      <c r="G8" s="125" t="s">
        <v>141</v>
      </c>
      <c r="H8" s="119">
        <v>50</v>
      </c>
      <c r="I8" s="120">
        <v>3.15</v>
      </c>
      <c r="J8" s="121">
        <f t="shared" si="1"/>
        <v>157.5</v>
      </c>
      <c r="K8" s="122" t="s">
        <v>56</v>
      </c>
      <c r="L8" s="123" t="s">
        <v>56</v>
      </c>
      <c r="R8" s="92"/>
    </row>
    <row r="9" spans="1:26" ht="24" customHeight="1">
      <c r="A9" s="5">
        <f t="shared" si="0"/>
        <v>4</v>
      </c>
      <c r="B9" s="188" t="s">
        <v>131</v>
      </c>
      <c r="C9" s="188"/>
      <c r="D9" s="189" t="s">
        <v>136</v>
      </c>
      <c r="E9" s="189"/>
      <c r="F9" s="189"/>
      <c r="G9" s="125" t="s">
        <v>141</v>
      </c>
      <c r="H9" s="119">
        <v>150</v>
      </c>
      <c r="I9" s="120">
        <v>4.6500000000000004</v>
      </c>
      <c r="J9" s="121">
        <f t="shared" si="1"/>
        <v>697.5</v>
      </c>
      <c r="K9" s="122" t="s">
        <v>56</v>
      </c>
      <c r="L9" s="123" t="s">
        <v>56</v>
      </c>
      <c r="R9" s="92"/>
    </row>
    <row r="10" spans="1:26" ht="24" customHeight="1">
      <c r="A10" s="5">
        <f t="shared" si="0"/>
        <v>5</v>
      </c>
      <c r="B10" s="188" t="s">
        <v>131</v>
      </c>
      <c r="C10" s="188"/>
      <c r="D10" s="189" t="s">
        <v>140</v>
      </c>
      <c r="E10" s="189"/>
      <c r="F10" s="189"/>
      <c r="G10" s="125" t="s">
        <v>141</v>
      </c>
      <c r="H10" s="119">
        <v>550</v>
      </c>
      <c r="I10" s="120">
        <v>4.9000000000000004</v>
      </c>
      <c r="J10" s="121">
        <f t="shared" si="1"/>
        <v>2695</v>
      </c>
      <c r="K10" s="122" t="s">
        <v>56</v>
      </c>
      <c r="L10" s="123" t="s">
        <v>56</v>
      </c>
      <c r="R10" s="92"/>
    </row>
    <row r="11" spans="1:26" ht="24" customHeight="1">
      <c r="A11" s="5">
        <v>6</v>
      </c>
      <c r="B11" s="188" t="s">
        <v>131</v>
      </c>
      <c r="C11" s="188"/>
      <c r="D11" s="189" t="s">
        <v>134</v>
      </c>
      <c r="E11" s="189"/>
      <c r="F11" s="189"/>
      <c r="G11" s="125" t="s">
        <v>141</v>
      </c>
      <c r="H11" s="119">
        <v>350</v>
      </c>
      <c r="I11" s="120">
        <v>2.4</v>
      </c>
      <c r="J11" s="121">
        <f t="shared" si="1"/>
        <v>840</v>
      </c>
      <c r="K11" s="122"/>
      <c r="L11" s="123"/>
      <c r="R11" s="92"/>
    </row>
    <row r="12" spans="1:26" ht="24" customHeight="1">
      <c r="A12" s="5">
        <v>7</v>
      </c>
      <c r="B12" s="188" t="s">
        <v>132</v>
      </c>
      <c r="C12" s="188"/>
      <c r="D12" s="189" t="s">
        <v>137</v>
      </c>
      <c r="E12" s="189"/>
      <c r="F12" s="189"/>
      <c r="G12" s="124" t="s">
        <v>128</v>
      </c>
      <c r="H12" s="119">
        <v>100</v>
      </c>
      <c r="I12" s="120">
        <v>13.75</v>
      </c>
      <c r="J12" s="121">
        <f t="shared" si="1"/>
        <v>1375</v>
      </c>
      <c r="K12" s="122"/>
      <c r="L12" s="123"/>
      <c r="R12" s="92"/>
    </row>
    <row r="13" spans="1:26" ht="24" customHeight="1">
      <c r="A13" s="5">
        <v>8</v>
      </c>
      <c r="B13" s="188" t="s">
        <v>133</v>
      </c>
      <c r="C13" s="188"/>
      <c r="D13" s="189" t="s">
        <v>138</v>
      </c>
      <c r="E13" s="189"/>
      <c r="F13" s="189"/>
      <c r="G13" s="124" t="s">
        <v>128</v>
      </c>
      <c r="H13" s="119">
        <v>50</v>
      </c>
      <c r="I13" s="120">
        <v>30</v>
      </c>
      <c r="J13" s="121">
        <f t="shared" si="1"/>
        <v>1500</v>
      </c>
      <c r="K13" s="122" t="s">
        <v>56</v>
      </c>
      <c r="L13" s="123" t="s">
        <v>56</v>
      </c>
      <c r="R13" s="92"/>
    </row>
    <row r="14" spans="1:26" ht="23.25" customHeight="1">
      <c r="A14" s="126" t="s">
        <v>8</v>
      </c>
      <c r="B14" s="127"/>
      <c r="C14" s="113"/>
      <c r="D14" s="114"/>
      <c r="E14" s="114"/>
      <c r="F14" s="114"/>
      <c r="G14" s="115"/>
      <c r="H14" s="115"/>
      <c r="I14" s="116" t="s">
        <v>9</v>
      </c>
      <c r="J14" s="117">
        <f>SUM(J6:J13)</f>
        <v>8555</v>
      </c>
      <c r="K14" s="117"/>
      <c r="L14" s="118"/>
    </row>
    <row r="15" spans="1:26" ht="20.100000000000001" customHeight="1">
      <c r="A15" s="6" t="s">
        <v>10</v>
      </c>
      <c r="B15" s="7"/>
      <c r="C15" s="7"/>
      <c r="D15" s="7"/>
      <c r="E15" s="7"/>
      <c r="F15" s="7"/>
      <c r="G15" s="7"/>
      <c r="H15" s="7"/>
      <c r="I15" s="7"/>
      <c r="J15" s="7"/>
      <c r="K15" s="8"/>
      <c r="L15" s="9"/>
    </row>
    <row r="16" spans="1:26" ht="18" customHeight="1">
      <c r="A16" s="10"/>
      <c r="J16" s="1"/>
      <c r="K16" s="1"/>
      <c r="O16" s="11"/>
      <c r="P16" s="11"/>
      <c r="Q16" s="11"/>
      <c r="R16" s="11"/>
      <c r="S16" s="11"/>
      <c r="T16" s="11"/>
      <c r="U16" s="11"/>
      <c r="V16" s="11"/>
      <c r="W16" s="11"/>
      <c r="Y16" s="145"/>
      <c r="Z16" s="11"/>
    </row>
    <row r="17" spans="15:25" ht="50.1" customHeight="1">
      <c r="Y17" s="146"/>
    </row>
    <row r="18" spans="15:25" ht="15" customHeight="1">
      <c r="O18" s="141" t="s">
        <v>115</v>
      </c>
      <c r="P18" s="147"/>
      <c r="Q18" s="147"/>
      <c r="R18" s="142"/>
      <c r="S18" s="102"/>
      <c r="T18" s="141" t="s">
        <v>116</v>
      </c>
      <c r="U18" s="147"/>
      <c r="V18" s="147"/>
      <c r="W18" s="147"/>
      <c r="X18" s="147"/>
      <c r="Y18" s="142"/>
    </row>
    <row r="19" spans="15:25" ht="15" customHeight="1">
      <c r="O19" s="148" t="s">
        <v>117</v>
      </c>
      <c r="P19" s="128" t="s">
        <v>118</v>
      </c>
      <c r="Q19" s="148" t="s">
        <v>119</v>
      </c>
      <c r="R19" s="128" t="s">
        <v>120</v>
      </c>
      <c r="S19" s="102"/>
      <c r="T19" s="148" t="s">
        <v>121</v>
      </c>
      <c r="U19" s="128" t="s">
        <v>122</v>
      </c>
      <c r="V19" s="141" t="s">
        <v>123</v>
      </c>
      <c r="W19" s="147"/>
      <c r="X19" s="142"/>
      <c r="Y19" s="128" t="s">
        <v>124</v>
      </c>
    </row>
    <row r="20" spans="15:25" ht="18" customHeight="1">
      <c r="O20" s="130"/>
      <c r="P20" s="129"/>
      <c r="Q20" s="130"/>
      <c r="R20" s="129"/>
      <c r="S20" s="106"/>
      <c r="T20" s="130"/>
      <c r="U20" s="129"/>
      <c r="V20" s="13" t="s">
        <v>117</v>
      </c>
      <c r="W20" s="149" t="s">
        <v>125</v>
      </c>
      <c r="X20" s="150"/>
      <c r="Y20" s="129"/>
    </row>
    <row r="21" spans="15:25" ht="50.1" customHeight="1">
      <c r="O21" s="14"/>
      <c r="P21" s="14"/>
      <c r="Q21" s="14"/>
      <c r="R21" s="14"/>
      <c r="S21" s="102"/>
      <c r="T21" s="14"/>
      <c r="U21" s="14"/>
      <c r="V21" s="14"/>
      <c r="W21" s="141"/>
      <c r="X21" s="142"/>
      <c r="Y21" s="107"/>
    </row>
    <row r="22" spans="15:25" ht="36" customHeight="1">
      <c r="W22" s="108"/>
      <c r="X22" s="143" t="s">
        <v>126</v>
      </c>
      <c r="Y22" s="12" t="s">
        <v>124</v>
      </c>
    </row>
    <row r="23" spans="15:25" ht="50.1" customHeight="1">
      <c r="O23" s="109"/>
      <c r="P23" s="109"/>
      <c r="Q23" s="109"/>
      <c r="R23" s="109"/>
      <c r="S23" s="109"/>
      <c r="T23" s="109"/>
      <c r="U23" s="109"/>
      <c r="V23" s="109"/>
      <c r="W23" s="110"/>
      <c r="X23" s="144"/>
      <c r="Y23" s="111"/>
    </row>
    <row r="24" spans="15:25" ht="19.899999999999999" customHeight="1"/>
    <row r="25" spans="15:25" ht="17.45" customHeight="1">
      <c r="O25" s="131"/>
      <c r="P25" s="131"/>
    </row>
    <row r="26" spans="15:25" ht="19.899999999999999" customHeight="1">
      <c r="O26" s="131"/>
      <c r="P26" s="131"/>
    </row>
    <row r="27" spans="15:25" ht="14.25">
      <c r="O27" s="11"/>
      <c r="P27" s="11"/>
      <c r="Q27" s="11"/>
    </row>
    <row r="28" spans="15:25" ht="65.099999999999994" customHeight="1"/>
    <row r="29" spans="15:25" ht="14.25">
      <c r="O29" s="11"/>
      <c r="P29" s="11"/>
    </row>
    <row r="30" spans="15:25" ht="19.899999999999999" customHeight="1"/>
    <row r="31" spans="15:25" ht="14.25"/>
    <row r="32" spans="15:25" ht="19.899999999999999" customHeight="1"/>
    <row r="33" spans="15:19" ht="14.25"/>
    <row r="34" spans="15:19" ht="19.899999999999999" customHeight="1"/>
    <row r="35" spans="15:19" ht="19.899999999999999" customHeight="1"/>
    <row r="36" spans="15:19" ht="64.900000000000006" customHeight="1"/>
    <row r="38" spans="15:19" ht="19.899999999999999" customHeight="1"/>
    <row r="39" spans="15:19" ht="19.899999999999999" customHeight="1"/>
    <row r="40" spans="15:19" ht="64.900000000000006" customHeight="1"/>
    <row r="44" spans="15:19" ht="21" customHeight="1">
      <c r="O44" s="128" t="s">
        <v>12</v>
      </c>
      <c r="P44" s="128" t="s">
        <v>12</v>
      </c>
      <c r="S44" s="128" t="s">
        <v>11</v>
      </c>
    </row>
    <row r="45" spans="15:19" ht="21" customHeight="1">
      <c r="O45" s="129"/>
      <c r="P45" s="129"/>
      <c r="S45" s="130"/>
    </row>
    <row r="46" spans="15:19" ht="64.900000000000006" customHeight="1">
      <c r="O46" s="14"/>
      <c r="P46" s="14"/>
      <c r="S46" s="15"/>
    </row>
    <row r="47" spans="15:19" ht="7.15" customHeight="1"/>
    <row r="48" spans="15:19" ht="21" customHeight="1">
      <c r="O48" s="128" t="s">
        <v>12</v>
      </c>
      <c r="P48" s="128" t="s">
        <v>12</v>
      </c>
      <c r="S48" s="128" t="s">
        <v>13</v>
      </c>
    </row>
    <row r="49" spans="15:19" ht="21" customHeight="1">
      <c r="O49" s="129"/>
      <c r="P49" s="129"/>
      <c r="S49" s="130"/>
    </row>
    <row r="50" spans="15:19" ht="64.900000000000006" customHeight="1">
      <c r="O50" s="14"/>
      <c r="P50" s="14"/>
      <c r="S50" s="14"/>
    </row>
  </sheetData>
  <mergeCells count="51">
    <mergeCell ref="W21:X21"/>
    <mergeCell ref="X22:X23"/>
    <mergeCell ref="Y16:Y17"/>
    <mergeCell ref="O18:R18"/>
    <mergeCell ref="T18:Y18"/>
    <mergeCell ref="O19:O20"/>
    <mergeCell ref="Q19:Q20"/>
    <mergeCell ref="R19:R20"/>
    <mergeCell ref="T19:T20"/>
    <mergeCell ref="U19:U20"/>
    <mergeCell ref="V19:X19"/>
    <mergeCell ref="Y19:Y20"/>
    <mergeCell ref="W20:X20"/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I4:I5"/>
    <mergeCell ref="J4:J5"/>
    <mergeCell ref="K4:K5"/>
    <mergeCell ref="L4:L5"/>
    <mergeCell ref="S44:S45"/>
    <mergeCell ref="O48:O49"/>
    <mergeCell ref="P48:P49"/>
    <mergeCell ref="S48:S49"/>
    <mergeCell ref="O25:O26"/>
    <mergeCell ref="P25:P26"/>
    <mergeCell ref="O44:O45"/>
    <mergeCell ref="P44:P45"/>
    <mergeCell ref="B9:C9"/>
    <mergeCell ref="B10:C10"/>
    <mergeCell ref="B13:C13"/>
    <mergeCell ref="A14:B14"/>
    <mergeCell ref="P19:P20"/>
    <mergeCell ref="D9:F9"/>
    <mergeCell ref="D10:F10"/>
    <mergeCell ref="D13:F13"/>
    <mergeCell ref="B11:C11"/>
    <mergeCell ref="B12:C12"/>
    <mergeCell ref="D11:F11"/>
    <mergeCell ref="D12:F12"/>
  </mergeCells>
  <phoneticPr fontId="5" type="noConversion"/>
  <printOptions horizontalCentered="1"/>
  <pageMargins left="0.39370078740157499" right="0.39370078740157499" top="0.39370078740157499" bottom="0.39370078740157499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3"/>
  <sheetViews>
    <sheetView showGridLines="0" zoomScale="95" zoomScaleNormal="95" zoomScaleSheetLayoutView="70" workbookViewId="0">
      <pane ySplit="5" topLeftCell="A9" activePane="bottomLeft" state="frozen"/>
      <selection activeCell="D30" sqref="D30"/>
      <selection pane="bottomLeft" activeCell="K16" sqref="K16"/>
    </sheetView>
  </sheetViews>
  <sheetFormatPr defaultColWidth="9" defaultRowHeight="21" customHeight="1"/>
  <cols>
    <col min="1" max="1" width="6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4" t="s">
        <v>85</v>
      </c>
      <c r="B1" s="86"/>
      <c r="C1" s="86"/>
      <c r="D1" s="86"/>
      <c r="E1" s="86"/>
      <c r="F1" s="86"/>
      <c r="G1" s="1"/>
      <c r="J1" s="132" t="str">
        <f>+MRS!J1</f>
        <v>DAESHIN PLANT</v>
      </c>
      <c r="K1" s="134"/>
    </row>
    <row r="2" spans="1:18" ht="24.95" customHeight="1">
      <c r="A2" s="3" t="str">
        <f>+MRS!A2</f>
        <v xml:space="preserve">  PJT :  SACE2           </v>
      </c>
      <c r="B2" s="87"/>
      <c r="C2" s="87"/>
      <c r="D2" s="3" t="str">
        <f>+MRS!D2</f>
        <v>Division (In charge Name) : ADMIN MANAGER (Dong Chang Kim)</v>
      </c>
      <c r="E2" s="87"/>
      <c r="F2" s="87"/>
      <c r="G2" s="16"/>
      <c r="H2" s="16"/>
      <c r="I2" s="16"/>
      <c r="J2" s="135" t="str">
        <f>+MRS!J2</f>
        <v>Subcontract name (SAC2-SC-IK-SMP-01)</v>
      </c>
      <c r="K2" s="137"/>
    </row>
    <row r="3" spans="1:18" ht="24.95" customHeight="1">
      <c r="A3" s="3" t="str">
        <f>+MRS!A3</f>
        <v xml:space="preserve">  MRS No : SAC2-DS-MRS-0503</v>
      </c>
      <c r="B3" s="87"/>
      <c r="C3" s="87"/>
      <c r="D3" s="87"/>
      <c r="E3" s="87"/>
      <c r="F3" s="87"/>
      <c r="G3" s="87"/>
      <c r="H3" s="87"/>
      <c r="I3" s="87"/>
      <c r="J3" s="87"/>
      <c r="K3" s="88">
        <f>+MRS!L3</f>
        <v>46320</v>
      </c>
    </row>
    <row r="4" spans="1:18" ht="15.95" customHeight="1">
      <c r="A4" s="154" t="s">
        <v>2</v>
      </c>
      <c r="B4" s="155" t="s">
        <v>14</v>
      </c>
      <c r="C4" s="155"/>
      <c r="D4" s="154" t="s">
        <v>4</v>
      </c>
      <c r="E4" s="154"/>
      <c r="F4" s="154"/>
      <c r="G4" s="155" t="s">
        <v>5</v>
      </c>
      <c r="H4" s="154" t="s">
        <v>80</v>
      </c>
      <c r="I4" s="154" t="s">
        <v>15</v>
      </c>
      <c r="J4" s="154" t="s">
        <v>16</v>
      </c>
      <c r="K4" s="155" t="s">
        <v>7</v>
      </c>
    </row>
    <row r="5" spans="1:18" ht="15.95" customHeight="1">
      <c r="A5" s="154"/>
      <c r="B5" s="155"/>
      <c r="C5" s="155"/>
      <c r="D5" s="154"/>
      <c r="E5" s="154"/>
      <c r="F5" s="154"/>
      <c r="G5" s="155"/>
      <c r="H5" s="154"/>
      <c r="I5" s="154"/>
      <c r="J5" s="154"/>
      <c r="K5" s="155"/>
    </row>
    <row r="6" spans="1:18" ht="105" customHeight="1">
      <c r="A6" s="17">
        <f>+MRS!A6</f>
        <v>1</v>
      </c>
      <c r="B6" s="156" t="str">
        <f>MRS!B6</f>
        <v xml:space="preserve">HDG HEX BOLT &amp; NUT WITH WASHER </v>
      </c>
      <c r="C6" s="157"/>
      <c r="D6" s="151" t="str">
        <f>MRS!D6</f>
        <v>M16 x 50mm</v>
      </c>
      <c r="E6" s="152"/>
      <c r="F6" s="153"/>
      <c r="G6" s="89" t="str">
        <f>MRS!G6</f>
        <v>SET</v>
      </c>
      <c r="H6" s="89">
        <f>MRS!H6</f>
        <v>50</v>
      </c>
      <c r="I6" s="90">
        <f>MRS!I6</f>
        <v>2.4</v>
      </c>
      <c r="J6" s="90">
        <f>MRS!J6</f>
        <v>120</v>
      </c>
      <c r="K6" s="91"/>
      <c r="O6" s="92"/>
      <c r="P6" s="92"/>
      <c r="R6" s="92"/>
    </row>
    <row r="7" spans="1:18" ht="105" customHeight="1">
      <c r="A7" s="17">
        <f>+MRS!A7</f>
        <v>2</v>
      </c>
      <c r="B7" s="156" t="str">
        <f>MRS!B7</f>
        <v xml:space="preserve">HDG HEX BOLT &amp; NUT WITH WASHER </v>
      </c>
      <c r="C7" s="157"/>
      <c r="D7" s="151" t="str">
        <f>MRS!D7</f>
        <v>M16 x 60mm</v>
      </c>
      <c r="E7" s="152"/>
      <c r="F7" s="153"/>
      <c r="G7" s="89" t="str">
        <f>MRS!G7</f>
        <v>SET</v>
      </c>
      <c r="H7" s="89">
        <f>MRS!H7</f>
        <v>450</v>
      </c>
      <c r="I7" s="90">
        <f>MRS!I7</f>
        <v>2.6</v>
      </c>
      <c r="J7" s="90">
        <f>MRS!J7</f>
        <v>1170</v>
      </c>
      <c r="K7" s="91"/>
      <c r="O7" s="92"/>
      <c r="P7" s="92"/>
      <c r="R7" s="92"/>
    </row>
    <row r="8" spans="1:18" ht="105" customHeight="1">
      <c r="A8" s="17">
        <f>+MRS!A8</f>
        <v>3</v>
      </c>
      <c r="B8" s="156" t="str">
        <f>MRS!B8</f>
        <v xml:space="preserve">HDG HEX BOLT &amp; NUT WITH WASHER </v>
      </c>
      <c r="C8" s="157"/>
      <c r="D8" s="151" t="str">
        <f>MRS!D8</f>
        <v>M16 x 80mm</v>
      </c>
      <c r="E8" s="152"/>
      <c r="F8" s="153"/>
      <c r="G8" s="89" t="str">
        <f>MRS!G8</f>
        <v>SET</v>
      </c>
      <c r="H8" s="89">
        <f>MRS!H8</f>
        <v>50</v>
      </c>
      <c r="I8" s="90">
        <f>MRS!I8</f>
        <v>3.15</v>
      </c>
      <c r="J8" s="90">
        <f>MRS!J8</f>
        <v>157.5</v>
      </c>
      <c r="K8" s="91"/>
      <c r="O8" s="92"/>
      <c r="P8" s="92"/>
      <c r="R8" s="92"/>
    </row>
    <row r="9" spans="1:18" ht="105" customHeight="1">
      <c r="A9" s="17">
        <f>+MRS!A9</f>
        <v>4</v>
      </c>
      <c r="B9" s="156" t="str">
        <f>MRS!B9</f>
        <v xml:space="preserve">HDG HEX BOLT &amp; NUT WITH WASHER </v>
      </c>
      <c r="C9" s="157"/>
      <c r="D9" s="151" t="str">
        <f>MRS!D9</f>
        <v>M20 x 60mm</v>
      </c>
      <c r="E9" s="152"/>
      <c r="F9" s="153"/>
      <c r="G9" s="89" t="str">
        <f>MRS!G9</f>
        <v>SET</v>
      </c>
      <c r="H9" s="89">
        <f>MRS!H9</f>
        <v>150</v>
      </c>
      <c r="I9" s="90">
        <f>MRS!I9</f>
        <v>4.6500000000000004</v>
      </c>
      <c r="J9" s="90">
        <f>MRS!J9</f>
        <v>697.5</v>
      </c>
      <c r="K9" s="91"/>
      <c r="O9" s="92"/>
      <c r="P9" s="92"/>
      <c r="R9" s="92"/>
    </row>
    <row r="10" spans="1:18" ht="105" customHeight="1">
      <c r="A10" s="17">
        <f>+MRS!A10</f>
        <v>5</v>
      </c>
      <c r="B10" s="156" t="str">
        <f>MRS!B10</f>
        <v xml:space="preserve">HDG HEX BOLT &amp; NUT WITH WASHER </v>
      </c>
      <c r="C10" s="157"/>
      <c r="D10" s="151" t="str">
        <f>MRS!D10</f>
        <v>M20 x 70mm</v>
      </c>
      <c r="E10" s="152"/>
      <c r="F10" s="153"/>
      <c r="G10" s="89" t="str">
        <f>MRS!G10</f>
        <v>SET</v>
      </c>
      <c r="H10" s="89">
        <f>MRS!H10</f>
        <v>550</v>
      </c>
      <c r="I10" s="90">
        <f>MRS!I10</f>
        <v>4.9000000000000004</v>
      </c>
      <c r="J10" s="90">
        <f>MRS!J10</f>
        <v>2695</v>
      </c>
      <c r="K10" s="91"/>
      <c r="O10" s="92"/>
      <c r="P10" s="92"/>
      <c r="R10" s="92"/>
    </row>
    <row r="11" spans="1:18" ht="105" customHeight="1">
      <c r="A11" s="17">
        <v>6</v>
      </c>
      <c r="B11" s="156" t="str">
        <f>MRS!B11</f>
        <v xml:space="preserve">HDG HEX BOLT &amp; NUT WITH WASHER </v>
      </c>
      <c r="C11" s="157"/>
      <c r="D11" s="151" t="str">
        <f>MRS!D11</f>
        <v>M16 x 50mm</v>
      </c>
      <c r="E11" s="152"/>
      <c r="F11" s="153"/>
      <c r="G11" s="89" t="str">
        <f>MRS!G11</f>
        <v>SET</v>
      </c>
      <c r="H11" s="89">
        <f>MRS!H11</f>
        <v>350</v>
      </c>
      <c r="I11" s="90">
        <f>MRS!I11</f>
        <v>2.4</v>
      </c>
      <c r="J11" s="90">
        <f>MRS!J11</f>
        <v>840</v>
      </c>
      <c r="K11" s="91"/>
      <c r="O11" s="92"/>
      <c r="P11" s="92"/>
      <c r="R11" s="92"/>
    </row>
    <row r="12" spans="1:18" ht="105" customHeight="1">
      <c r="A12" s="17">
        <v>7</v>
      </c>
      <c r="B12" s="156" t="str">
        <f>MRS!B12</f>
        <v>ROUND BAR CS</v>
      </c>
      <c r="C12" s="157"/>
      <c r="D12" s="151" t="str">
        <f>MRS!D12</f>
        <v>10mm x 6Mtr</v>
      </c>
      <c r="E12" s="152"/>
      <c r="F12" s="153"/>
      <c r="G12" s="89" t="str">
        <f>MRS!G12</f>
        <v>EA</v>
      </c>
      <c r="H12" s="89">
        <f>MRS!H12</f>
        <v>100</v>
      </c>
      <c r="I12" s="90">
        <f>MRS!I12</f>
        <v>13.75</v>
      </c>
      <c r="J12" s="90">
        <f>MRS!J12</f>
        <v>1375</v>
      </c>
      <c r="K12" s="91"/>
      <c r="O12" s="92"/>
      <c r="P12" s="92"/>
      <c r="R12" s="92"/>
    </row>
    <row r="13" spans="1:18" ht="105" customHeight="1">
      <c r="A13" s="17">
        <v>8</v>
      </c>
      <c r="B13" s="156" t="str">
        <f>MRS!B13</f>
        <v>REC.TUBE PIPE CS</v>
      </c>
      <c r="C13" s="157"/>
      <c r="D13" s="151" t="str">
        <f>MRS!D13</f>
        <v xml:space="preserve">20 x 20 x 2mm ,6Mtr </v>
      </c>
      <c r="E13" s="152"/>
      <c r="F13" s="153"/>
      <c r="G13" s="89" t="str">
        <f>MRS!G13</f>
        <v>EA</v>
      </c>
      <c r="H13" s="89">
        <f>MRS!H13</f>
        <v>50</v>
      </c>
      <c r="I13" s="90">
        <f>MRS!I13</f>
        <v>30</v>
      </c>
      <c r="J13" s="90">
        <f>MRS!J13</f>
        <v>1500</v>
      </c>
      <c r="K13" s="91"/>
      <c r="O13" s="92"/>
      <c r="P13" s="92"/>
      <c r="R13" s="92"/>
    </row>
  </sheetData>
  <mergeCells count="26">
    <mergeCell ref="B12:C12"/>
    <mergeCell ref="D12:F12"/>
    <mergeCell ref="B13:C13"/>
    <mergeCell ref="D13:F13"/>
    <mergeCell ref="J1:K1"/>
    <mergeCell ref="J2:K2"/>
    <mergeCell ref="B7:C7"/>
    <mergeCell ref="D7:F7"/>
    <mergeCell ref="B8:C8"/>
    <mergeCell ref="D8:F8"/>
    <mergeCell ref="G4:G5"/>
    <mergeCell ref="H4:H5"/>
    <mergeCell ref="I4:I5"/>
    <mergeCell ref="J4:J5"/>
    <mergeCell ref="K4:K5"/>
    <mergeCell ref="B6:C6"/>
    <mergeCell ref="D6:F6"/>
    <mergeCell ref="A4:A5"/>
    <mergeCell ref="B4:C5"/>
    <mergeCell ref="D4:F5"/>
    <mergeCell ref="B11:C11"/>
    <mergeCell ref="D11:F11"/>
    <mergeCell ref="B9:C9"/>
    <mergeCell ref="D9:F9"/>
    <mergeCell ref="B10:C10"/>
    <mergeCell ref="D10:F10"/>
  </mergeCells>
  <phoneticPr fontId="8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C26" sqref="C26:G2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5.42578125" style="22" customWidth="1"/>
    <col min="7" max="7" width="6.5703125" style="22" customWidth="1"/>
    <col min="8" max="10" width="9.140625" style="22"/>
    <col min="11" max="11" width="9.7109375" style="22" bestFit="1" customWidth="1"/>
    <col min="12" max="12" width="9.42578125" style="22" bestFit="1" customWidth="1"/>
    <col min="13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102</v>
      </c>
      <c r="D9" s="34"/>
      <c r="E9" s="34"/>
    </row>
    <row r="10" spans="2:13" s="34" customFormat="1">
      <c r="B10" s="65"/>
      <c r="C10" s="34" t="s">
        <v>23</v>
      </c>
      <c r="D10" s="69" t="s">
        <v>103</v>
      </c>
      <c r="J10" s="34" t="s">
        <v>24</v>
      </c>
      <c r="K10" s="159">
        <f>MRS!L3</f>
        <v>46320</v>
      </c>
      <c r="L10" s="160"/>
      <c r="M10" s="160"/>
    </row>
    <row r="11" spans="2:13" s="34" customFormat="1">
      <c r="B11" s="65"/>
      <c r="C11" s="68" t="s">
        <v>25</v>
      </c>
      <c r="D11" s="69" t="s">
        <v>104</v>
      </c>
      <c r="J11" s="34" t="s">
        <v>26</v>
      </c>
      <c r="K11" s="161" t="str">
        <f>SUBSTITUTE(SUBSTITUTE(+MRS!A3,"  MRS No : ",""),"-MRS","-PO")</f>
        <v>SAC2-DS-PO-0503</v>
      </c>
      <c r="L11" s="161"/>
      <c r="M11" s="161"/>
    </row>
    <row r="12" spans="2:13" s="34" customFormat="1">
      <c r="B12" s="65"/>
      <c r="C12" s="68" t="s">
        <v>27</v>
      </c>
      <c r="D12" s="34" t="s">
        <v>105</v>
      </c>
      <c r="J12" s="34" t="s">
        <v>28</v>
      </c>
    </row>
    <row r="13" spans="2:13" s="34" customFormat="1">
      <c r="B13" s="65"/>
      <c r="C13" s="70"/>
      <c r="D13" s="69" t="s">
        <v>106</v>
      </c>
      <c r="J13" s="34" t="s">
        <v>29</v>
      </c>
    </row>
    <row r="14" spans="2:13" s="34" customFormat="1">
      <c r="B14" s="65"/>
      <c r="C14" s="96" t="s">
        <v>107</v>
      </c>
      <c r="J14" s="34" t="s">
        <v>30</v>
      </c>
      <c r="K14" s="34" t="s">
        <v>130</v>
      </c>
    </row>
    <row r="15" spans="2:13" s="34" customFormat="1">
      <c r="B15" s="65"/>
      <c r="C15" s="68" t="s">
        <v>108</v>
      </c>
      <c r="J15" s="34" t="s">
        <v>31</v>
      </c>
      <c r="K15" s="71">
        <v>46292</v>
      </c>
      <c r="L15" s="112"/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62" t="s">
        <v>32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</row>
    <row r="19" spans="2:13" ht="12" customHeight="1"/>
    <row r="20" spans="2:13" s="27" customFormat="1" ht="12" customHeight="1">
      <c r="B20" s="163" t="s">
        <v>33</v>
      </c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</row>
    <row r="21" spans="2:13" s="27" customFormat="1" ht="12" customHeight="1">
      <c r="B21" s="163" t="s">
        <v>34</v>
      </c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</row>
    <row r="22" spans="2:13" s="27" customFormat="1" ht="12" customHeight="1">
      <c r="B22" s="163" t="s">
        <v>35</v>
      </c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</row>
    <row r="23" spans="2:13" ht="3.75" customHeight="1"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</row>
    <row r="24" spans="2:13" ht="6.95" customHeight="1"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167" t="s">
        <v>142</v>
      </c>
      <c r="D26" s="167"/>
      <c r="E26" s="167"/>
      <c r="F26" s="167"/>
      <c r="G26" s="167"/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97">
        <f>'PO 2nd page'!G14</f>
        <v>8555</v>
      </c>
      <c r="G29" s="95"/>
      <c r="H29" s="95"/>
      <c r="M29" s="29"/>
    </row>
    <row r="30" spans="2:13" ht="15" customHeight="1">
      <c r="B30" s="28"/>
      <c r="C30" s="22" t="s">
        <v>41</v>
      </c>
      <c r="E30" s="22" t="s">
        <v>40</v>
      </c>
      <c r="F30" s="97">
        <f>'PO 2nd page'!G15</f>
        <v>1283.25</v>
      </c>
      <c r="G30" s="95"/>
      <c r="H30" s="95"/>
    </row>
    <row r="31" spans="2:13" ht="15" customHeight="1">
      <c r="B31" s="28"/>
      <c r="C31" s="22" t="s">
        <v>42</v>
      </c>
      <c r="D31" s="30"/>
      <c r="E31" s="22" t="s">
        <v>40</v>
      </c>
      <c r="F31" s="97">
        <f>'PO 2nd page'!G16</f>
        <v>9838.25</v>
      </c>
      <c r="G31" s="95"/>
      <c r="H31" s="95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87</v>
      </c>
      <c r="P49" s="75"/>
    </row>
    <row r="50" spans="2:16" s="76" customFormat="1" ht="12" customHeight="1">
      <c r="B50" s="77" t="s">
        <v>56</v>
      </c>
      <c r="C50" s="74" t="s">
        <v>82</v>
      </c>
    </row>
    <row r="51" spans="2:16" s="76" customFormat="1" ht="12" customHeight="1">
      <c r="B51" s="77" t="s">
        <v>56</v>
      </c>
      <c r="C51" s="74" t="s">
        <v>81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92</v>
      </c>
    </row>
    <row r="54" spans="2:16" ht="12" customHeight="1">
      <c r="B54" s="77" t="s">
        <v>56</v>
      </c>
      <c r="C54" s="98" t="s">
        <v>94</v>
      </c>
      <c r="F54" s="22" t="s">
        <v>127</v>
      </c>
      <c r="P54" s="22" t="str">
        <f>UPPER(F54)</f>
        <v>YAQOT ALARBYH COMPANY</v>
      </c>
    </row>
    <row r="55" spans="2:16" ht="12" customHeight="1">
      <c r="B55" s="77" t="s">
        <v>56</v>
      </c>
      <c r="C55" s="98" t="s">
        <v>95</v>
      </c>
      <c r="F55" s="99" t="s">
        <v>109</v>
      </c>
    </row>
    <row r="56" spans="2:16" ht="12" customHeight="1">
      <c r="B56" s="77" t="s">
        <v>56</v>
      </c>
      <c r="C56" s="98" t="s">
        <v>96</v>
      </c>
      <c r="F56" s="22" t="s">
        <v>110</v>
      </c>
    </row>
    <row r="57" spans="2:16" ht="12" customHeight="1">
      <c r="B57" s="77" t="s">
        <v>56</v>
      </c>
      <c r="C57" s="98" t="s">
        <v>97</v>
      </c>
      <c r="F57" s="22" t="s">
        <v>111</v>
      </c>
    </row>
    <row r="58" spans="2:16" ht="12" customHeight="1">
      <c r="B58" s="77" t="s">
        <v>56</v>
      </c>
      <c r="C58" s="98" t="s">
        <v>98</v>
      </c>
      <c r="F58" s="22" t="s">
        <v>112</v>
      </c>
    </row>
    <row r="59" spans="2:16" ht="12" customHeight="1">
      <c r="B59" s="77" t="s">
        <v>56</v>
      </c>
      <c r="C59" s="98" t="s">
        <v>99</v>
      </c>
      <c r="F59" s="22" t="s">
        <v>93</v>
      </c>
    </row>
    <row r="60" spans="2:16" ht="12" customHeight="1">
      <c r="B60" s="77"/>
      <c r="C60" s="98" t="s">
        <v>100</v>
      </c>
    </row>
    <row r="61" spans="2:16" ht="6.75" customHeight="1">
      <c r="B61" s="77"/>
      <c r="C61" s="98"/>
    </row>
    <row r="62" spans="2:16" ht="6" customHeight="1">
      <c r="B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Haris</v>
      </c>
    </row>
    <row r="68" spans="1:13" ht="13.5" customHeight="1">
      <c r="B68" s="22" t="s">
        <v>62</v>
      </c>
      <c r="J68" s="22" t="s">
        <v>63</v>
      </c>
      <c r="K68" s="18" t="s">
        <v>88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90</v>
      </c>
      <c r="J70" s="166" t="str">
        <f>C9</f>
        <v>YATCO(Yaqoot Arabia Trading Company)</v>
      </c>
      <c r="K70" s="166"/>
      <c r="L70" s="166"/>
      <c r="M70" s="166"/>
    </row>
    <row r="71" spans="1:13" ht="27.95" customHeight="1">
      <c r="A71" s="158" t="s">
        <v>66</v>
      </c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1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  <mergeCell ref="C26:G26"/>
  </mergeCells>
  <phoneticPr fontId="8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4"/>
  <sheetViews>
    <sheetView showGridLines="0" view="pageBreakPreview" zoomScaleSheetLayoutView="100" zoomScalePageLayoutView="55" workbookViewId="0">
      <selection activeCell="E6" sqref="E6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7" width="19.85546875" style="38" customWidth="1"/>
    <col min="8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SAC2-DS-PO-0503</v>
      </c>
      <c r="C2" s="174" t="s">
        <v>68</v>
      </c>
      <c r="D2" s="174"/>
      <c r="E2" s="174"/>
      <c r="F2" s="174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46320</v>
      </c>
      <c r="C3" s="44"/>
      <c r="D3" s="45"/>
      <c r="E3" s="175" t="s">
        <v>70</v>
      </c>
      <c r="F3" s="175"/>
      <c r="G3" s="175"/>
      <c r="H3" s="175"/>
      <c r="I3" s="46"/>
    </row>
    <row r="4" spans="1:13" s="48" customFormat="1" ht="28.5" customHeight="1" thickTop="1">
      <c r="A4" s="176" t="s">
        <v>71</v>
      </c>
      <c r="B4" s="178" t="s">
        <v>72</v>
      </c>
      <c r="C4" s="179"/>
      <c r="D4" s="182" t="s">
        <v>143</v>
      </c>
      <c r="E4" s="182" t="s">
        <v>144</v>
      </c>
      <c r="F4" s="184" t="str">
        <f>'PO 1st page'!C9</f>
        <v>YATCO(Yaqoot Arabia Trading Company)</v>
      </c>
      <c r="G4" s="185"/>
      <c r="H4" s="186" t="s">
        <v>73</v>
      </c>
      <c r="K4" s="49"/>
      <c r="L4" s="49"/>
      <c r="M4" s="49"/>
    </row>
    <row r="5" spans="1:13" s="48" customFormat="1" ht="21.95" customHeight="1">
      <c r="A5" s="177"/>
      <c r="B5" s="180"/>
      <c r="C5" s="181"/>
      <c r="D5" s="183"/>
      <c r="E5" s="183"/>
      <c r="F5" s="50" t="s">
        <v>74</v>
      </c>
      <c r="G5" s="50" t="s">
        <v>42</v>
      </c>
      <c r="H5" s="187"/>
      <c r="K5" s="49"/>
      <c r="L5" s="49"/>
      <c r="M5" s="49"/>
    </row>
    <row r="6" spans="1:13" s="48" customFormat="1" ht="36" customHeight="1">
      <c r="A6" s="78">
        <f t="shared" ref="A6:A10" si="0">ROW(A1)</f>
        <v>1</v>
      </c>
      <c r="B6" s="172" t="str">
        <f>MRS!B6&amp;" "&amp;MRS!D6</f>
        <v>HDG HEX BOLT &amp; NUT WITH WASHER  M16 x 50mm</v>
      </c>
      <c r="C6" s="173"/>
      <c r="D6" s="79" t="str">
        <f>MRS!G6</f>
        <v>SET</v>
      </c>
      <c r="E6" s="80">
        <f>MRS!H6</f>
        <v>50</v>
      </c>
      <c r="F6" s="81">
        <f>MRS!I6</f>
        <v>2.4</v>
      </c>
      <c r="G6" s="81">
        <f>MRS!J6</f>
        <v>120</v>
      </c>
      <c r="H6" s="82" t="s">
        <v>89</v>
      </c>
      <c r="K6" s="83"/>
      <c r="L6" s="84"/>
      <c r="M6" s="49"/>
    </row>
    <row r="7" spans="1:13" s="48" customFormat="1" ht="36" customHeight="1">
      <c r="A7" s="78">
        <f t="shared" si="0"/>
        <v>2</v>
      </c>
      <c r="B7" s="172" t="str">
        <f>MRS!B7&amp;" "&amp;MRS!D7</f>
        <v>HDG HEX BOLT &amp; NUT WITH WASHER  M16 x 60mm</v>
      </c>
      <c r="C7" s="173"/>
      <c r="D7" s="79" t="str">
        <f>MRS!G7</f>
        <v>SET</v>
      </c>
      <c r="E7" s="80">
        <f>MRS!H7</f>
        <v>450</v>
      </c>
      <c r="F7" s="81">
        <f>MRS!I7</f>
        <v>2.6</v>
      </c>
      <c r="G7" s="81">
        <f>MRS!J7</f>
        <v>1170</v>
      </c>
      <c r="H7" s="82"/>
      <c r="K7" s="83"/>
      <c r="L7" s="84"/>
      <c r="M7" s="49"/>
    </row>
    <row r="8" spans="1:13" s="48" customFormat="1" ht="36" customHeight="1">
      <c r="A8" s="78">
        <f t="shared" si="0"/>
        <v>3</v>
      </c>
      <c r="B8" s="172" t="str">
        <f>MRS!B8&amp;" "&amp;MRS!D8</f>
        <v>HDG HEX BOLT &amp; NUT WITH WASHER  M16 x 80mm</v>
      </c>
      <c r="C8" s="173"/>
      <c r="D8" s="79" t="str">
        <f>MRS!G8</f>
        <v>SET</v>
      </c>
      <c r="E8" s="80">
        <f>MRS!H8</f>
        <v>50</v>
      </c>
      <c r="F8" s="81">
        <f>MRS!I8</f>
        <v>3.15</v>
      </c>
      <c r="G8" s="81">
        <f>MRS!J8</f>
        <v>157.5</v>
      </c>
      <c r="H8" s="82"/>
      <c r="K8" s="49"/>
      <c r="L8" s="49"/>
      <c r="M8" s="49"/>
    </row>
    <row r="9" spans="1:13" s="48" customFormat="1" ht="36" customHeight="1">
      <c r="A9" s="78">
        <f t="shared" si="0"/>
        <v>4</v>
      </c>
      <c r="B9" s="172" t="str">
        <f>MRS!B9&amp;" "&amp;MRS!D9</f>
        <v>HDG HEX BOLT &amp; NUT WITH WASHER  M20 x 60mm</v>
      </c>
      <c r="C9" s="173"/>
      <c r="D9" s="79" t="str">
        <f>MRS!G9</f>
        <v>SET</v>
      </c>
      <c r="E9" s="80">
        <f>MRS!H9</f>
        <v>150</v>
      </c>
      <c r="F9" s="81">
        <f>MRS!I9</f>
        <v>4.6500000000000004</v>
      </c>
      <c r="G9" s="81">
        <f>MRS!J9</f>
        <v>697.5</v>
      </c>
      <c r="H9" s="85"/>
    </row>
    <row r="10" spans="1:13" s="48" customFormat="1" ht="36" customHeight="1">
      <c r="A10" s="78">
        <f t="shared" si="0"/>
        <v>5</v>
      </c>
      <c r="B10" s="172" t="str">
        <f>MRS!B10&amp;" "&amp;MRS!D10</f>
        <v>HDG HEX BOLT &amp; NUT WITH WASHER  M20 x 70mm</v>
      </c>
      <c r="C10" s="173"/>
      <c r="D10" s="79" t="str">
        <f>MRS!G10</f>
        <v>SET</v>
      </c>
      <c r="E10" s="80">
        <f>MRS!H10</f>
        <v>550</v>
      </c>
      <c r="F10" s="81">
        <f>MRS!I10</f>
        <v>4.9000000000000004</v>
      </c>
      <c r="G10" s="81">
        <f>MRS!J10</f>
        <v>2695</v>
      </c>
      <c r="H10" s="85"/>
    </row>
    <row r="11" spans="1:13" s="48" customFormat="1" ht="36" customHeight="1">
      <c r="A11" s="78">
        <v>6</v>
      </c>
      <c r="B11" s="172" t="str">
        <f>MRS!B11&amp;" "&amp;MRS!D11</f>
        <v>HDG HEX BOLT &amp; NUT WITH WASHER  M16 x 50mm</v>
      </c>
      <c r="C11" s="173"/>
      <c r="D11" s="79" t="str">
        <f>MRS!G11</f>
        <v>SET</v>
      </c>
      <c r="E11" s="80">
        <f>MRS!H11</f>
        <v>350</v>
      </c>
      <c r="F11" s="81">
        <f>MRS!I11</f>
        <v>2.4</v>
      </c>
      <c r="G11" s="81">
        <f>MRS!J11</f>
        <v>840</v>
      </c>
      <c r="H11" s="85"/>
    </row>
    <row r="12" spans="1:13" s="48" customFormat="1" ht="36" customHeight="1">
      <c r="A12" s="78">
        <v>7</v>
      </c>
      <c r="B12" s="172" t="str">
        <f>MRS!B12&amp;" "&amp;MRS!D12</f>
        <v>ROUND BAR CS 10mm x 6Mtr</v>
      </c>
      <c r="C12" s="173"/>
      <c r="D12" s="79" t="str">
        <f>MRS!G12</f>
        <v>EA</v>
      </c>
      <c r="E12" s="80">
        <f>MRS!H12</f>
        <v>100</v>
      </c>
      <c r="F12" s="81">
        <f>MRS!I12</f>
        <v>13.75</v>
      </c>
      <c r="G12" s="81">
        <f>MRS!J12</f>
        <v>1375</v>
      </c>
      <c r="H12" s="85"/>
    </row>
    <row r="13" spans="1:13" s="48" customFormat="1" ht="36" customHeight="1">
      <c r="A13" s="78">
        <v>8</v>
      </c>
      <c r="B13" s="172" t="str">
        <f>MRS!B13&amp;" "&amp;MRS!D13</f>
        <v xml:space="preserve">REC.TUBE PIPE CS 20 x 20 x 2mm ,6Mtr </v>
      </c>
      <c r="C13" s="173"/>
      <c r="D13" s="79" t="str">
        <f>MRS!G13</f>
        <v>EA</v>
      </c>
      <c r="E13" s="80">
        <f>MRS!H13</f>
        <v>50</v>
      </c>
      <c r="F13" s="81">
        <f>MRS!I13</f>
        <v>30</v>
      </c>
      <c r="G13" s="81">
        <f>MRS!J13</f>
        <v>1500</v>
      </c>
      <c r="H13" s="85"/>
    </row>
    <row r="14" spans="1:13" s="48" customFormat="1" ht="23.1" customHeight="1">
      <c r="A14" s="168" t="s">
        <v>75</v>
      </c>
      <c r="B14" s="169"/>
      <c r="C14" s="169"/>
      <c r="D14" s="169"/>
      <c r="E14" s="169"/>
      <c r="F14" s="169"/>
      <c r="G14" s="51">
        <f>SUM(G6:G13)</f>
        <v>8555</v>
      </c>
      <c r="H14" s="52"/>
    </row>
    <row r="15" spans="1:13" s="48" customFormat="1" ht="23.1" customHeight="1">
      <c r="A15" s="168" t="s">
        <v>41</v>
      </c>
      <c r="B15" s="169"/>
      <c r="C15" s="169"/>
      <c r="D15" s="169"/>
      <c r="E15" s="169"/>
      <c r="F15" s="169"/>
      <c r="G15" s="51">
        <f>+G14*0.15</f>
        <v>1283.25</v>
      </c>
      <c r="H15" s="52"/>
    </row>
    <row r="16" spans="1:13" s="48" customFormat="1" ht="24.95" customHeight="1" thickBot="1">
      <c r="A16" s="170" t="s">
        <v>76</v>
      </c>
      <c r="B16" s="171"/>
      <c r="C16" s="171"/>
      <c r="D16" s="171"/>
      <c r="E16" s="171"/>
      <c r="F16" s="171"/>
      <c r="G16" s="53">
        <f>G15+G14</f>
        <v>9838.25</v>
      </c>
      <c r="H16" s="54"/>
    </row>
    <row r="17" spans="1:13" ht="15.75" thickTop="1">
      <c r="A17" s="55" t="str">
        <f>" 1) Above Price are as per your quotation with ref "&amp;'PO 1st page'!K14</f>
        <v xml:space="preserve"> 1) Above Price are as per your quotation with ref QT-C26-150777-1</v>
      </c>
      <c r="B17" s="56"/>
      <c r="C17" s="56"/>
      <c r="D17" s="57"/>
      <c r="E17" s="57"/>
      <c r="F17" s="57"/>
      <c r="G17" s="57"/>
      <c r="H17" s="57"/>
    </row>
    <row r="18" spans="1:13" ht="15">
      <c r="A18" s="58" t="s">
        <v>77</v>
      </c>
      <c r="B18" s="59"/>
      <c r="C18" s="59"/>
      <c r="D18" s="60"/>
      <c r="E18" s="60"/>
      <c r="F18" s="60"/>
      <c r="G18" s="60"/>
      <c r="H18" s="60"/>
      <c r="I18" s="61"/>
    </row>
    <row r="19" spans="1:13" ht="15.75">
      <c r="A19" s="62"/>
    </row>
    <row r="20" spans="1:13">
      <c r="A20" s="158" t="s">
        <v>78</v>
      </c>
      <c r="B20" s="158"/>
      <c r="C20" s="158"/>
      <c r="D20" s="158"/>
      <c r="E20" s="158"/>
      <c r="F20" s="158"/>
      <c r="G20" s="158"/>
      <c r="H20" s="158"/>
      <c r="I20" s="63"/>
      <c r="J20" s="63"/>
      <c r="K20" s="63"/>
      <c r="L20" s="63"/>
      <c r="M20" s="63"/>
    </row>
    <row r="21" spans="1:13" ht="15.75">
      <c r="A21" s="62"/>
      <c r="C21" s="64"/>
    </row>
    <row r="22" spans="1:13" ht="15.75">
      <c r="A22" s="62"/>
      <c r="C22" s="64"/>
    </row>
    <row r="24" spans="1:13" ht="12" customHeight="1"/>
  </sheetData>
  <mergeCells count="20">
    <mergeCell ref="B11:C11"/>
    <mergeCell ref="B12:C12"/>
    <mergeCell ref="B6:C6"/>
    <mergeCell ref="B7:C7"/>
    <mergeCell ref="B8:C8"/>
    <mergeCell ref="B9:C9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A14:F14"/>
    <mergeCell ref="A15:F15"/>
    <mergeCell ref="A16:F16"/>
    <mergeCell ref="A20:H20"/>
    <mergeCell ref="B13:C13"/>
  </mergeCells>
  <phoneticPr fontId="8" type="noConversion"/>
  <printOptions horizontalCentered="1"/>
  <pageMargins left="0.39370078740157499" right="0.39370078740157499" top="0.39370078740157499" bottom="0.39370078740157499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2026-10-25T13:12:39Z</cp:lastPrinted>
  <dcterms:created xsi:type="dcterms:W3CDTF">2024-10-20T11:50:19Z</dcterms:created>
  <dcterms:modified xsi:type="dcterms:W3CDTF">2026-10-25T13:12:44Z</dcterms:modified>
</cp:coreProperties>
</file>