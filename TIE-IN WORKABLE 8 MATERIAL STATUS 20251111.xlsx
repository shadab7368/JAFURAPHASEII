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shadab\JAFURAPHASEII\"/>
    </mc:Choice>
  </mc:AlternateContent>
  <xr:revisionPtr revIDLastSave="0" documentId="8_{2F6AC838-FD94-4898-8B51-6D272DAC1CD0}" xr6:coauthVersionLast="47" xr6:coauthVersionMax="47" xr10:uidLastSave="{00000000-0000-0000-0000-000000000000}"/>
  <bookViews>
    <workbookView xWindow="-110" yWindow="-110" windowWidth="19420" windowHeight="10300" xr2:uid="{8CE8B889-BD75-42DD-9B3F-7962276F01DB}"/>
  </bookViews>
  <sheets>
    <sheet name="PICS" sheetId="1" r:id="rId1"/>
    <sheet name="Sheet1" sheetId="2" r:id="rId2"/>
  </sheets>
  <externalReferences>
    <externalReference r:id="rId3"/>
  </externalReferences>
  <definedNames>
    <definedName name="_xlnm._FilterDatabase" localSheetId="0" hidden="1">PICS!$A$3:$AI$61</definedName>
    <definedName name="_xlnm._FilterDatabase" localSheetId="1" hidden="1">Sheet1!$A$2:$H$2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2" i="1" l="1"/>
  <c r="AF13" i="1"/>
  <c r="AF20" i="1"/>
  <c r="AF25" i="1"/>
  <c r="AF27" i="1"/>
  <c r="AF32" i="1"/>
  <c r="AF33" i="1"/>
  <c r="AF38" i="1"/>
  <c r="AF40" i="1"/>
  <c r="AF44" i="1"/>
  <c r="AF55" i="1"/>
  <c r="AF6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4" i="1"/>
</calcChain>
</file>

<file path=xl/sharedStrings.xml><?xml version="1.0" encoding="utf-8"?>
<sst xmlns="http://schemas.openxmlformats.org/spreadsheetml/2006/main" count="938" uniqueCount="153">
  <si>
    <t>NO</t>
    <phoneticPr fontId="2" type="noConversion"/>
  </si>
  <si>
    <t>ISO DWG</t>
    <phoneticPr fontId="2" type="noConversion"/>
  </si>
  <si>
    <t>ITEM NO</t>
    <phoneticPr fontId="2" type="noConversion"/>
  </si>
  <si>
    <t>Mat Code</t>
  </si>
  <si>
    <t>Item</t>
  </si>
  <si>
    <t>Size1</t>
  </si>
  <si>
    <t>Size2</t>
  </si>
  <si>
    <t>Sch1</t>
  </si>
  <si>
    <t>Sch2</t>
  </si>
  <si>
    <t>Description</t>
  </si>
  <si>
    <t>Stock</t>
  </si>
  <si>
    <t>Vaild</t>
  </si>
  <si>
    <t>Moudule</t>
  </si>
  <si>
    <t>ISO DWG No</t>
  </si>
  <si>
    <t>Deleted</t>
  </si>
  <si>
    <t>Rev</t>
  </si>
  <si>
    <t>Unit</t>
  </si>
  <si>
    <t>Area</t>
  </si>
  <si>
    <t>System</t>
  </si>
  <si>
    <t>Class</t>
  </si>
  <si>
    <t>BM</t>
  </si>
  <si>
    <t>W.G</t>
  </si>
  <si>
    <t>PreBooked</t>
  </si>
  <si>
    <t>Booking</t>
  </si>
  <si>
    <t>Issued</t>
  </si>
  <si>
    <t>Remain</t>
  </si>
  <si>
    <t>Remark</t>
  </si>
  <si>
    <t>Paint Code</t>
  </si>
  <si>
    <t>A863-2_SB_LPC-24311-099</t>
  </si>
  <si>
    <t>M230575189</t>
  </si>
  <si>
    <t>FIG 8 BL</t>
  </si>
  <si>
    <t>2</t>
  </si>
  <si>
    <t xml:space="preserve">CS A516-Gr.70 CL150 RF B16.48 &amp; PJT-STD </t>
  </si>
  <si>
    <t>SB</t>
  </si>
  <si>
    <t>A0</t>
  </si>
  <si>
    <t>A863-2</t>
  </si>
  <si>
    <t>LPC</t>
  </si>
  <si>
    <t>1CS2U01</t>
  </si>
  <si>
    <t>SMP-1</t>
  </si>
  <si>
    <t>APCS-2C</t>
  </si>
  <si>
    <t>M192030561</t>
  </si>
  <si>
    <t>ROUND PLUG</t>
  </si>
  <si>
    <t>1</t>
  </si>
  <si>
    <t xml:space="preserve">CS A105 MTE B16.11 </t>
  </si>
  <si>
    <t>M280156151</t>
  </si>
  <si>
    <t>GSKT SPR WND</t>
  </si>
  <si>
    <t>0</t>
  </si>
  <si>
    <t>CL150</t>
  </si>
  <si>
    <t xml:space="preserve">316L SS WND GRAPH FILL 316L SS I/R CS O/R CL150 RF B16.20 4.5MM THK (3.2MM RING) </t>
  </si>
  <si>
    <t>-</t>
  </si>
  <si>
    <t>M264052297</t>
  </si>
  <si>
    <t xml:space="preserve">316L SS WND GRAPH FILL CS O/R CL150 RF B16.20 4.5MM THK (3.2MM RING) </t>
  </si>
  <si>
    <t>M230515170</t>
  </si>
  <si>
    <t>STUD B W/H HEX N</t>
  </si>
  <si>
    <t>0.625</t>
  </si>
  <si>
    <t>90</t>
  </si>
  <si>
    <t xml:space="preserve">AS A193 GR B7 / A194 GR 2H B18.31.2/B18.2.2 CERAMIC-FLUOROPOLYMER COATED </t>
  </si>
  <si>
    <t>M230578304</t>
  </si>
  <si>
    <t>100</t>
  </si>
  <si>
    <t>M212915447</t>
  </si>
  <si>
    <t>GATE VA LP</t>
  </si>
  <si>
    <t xml:space="preserve">CS A216-WCB CL150 RF B16.5 API 600 Trim No.5 BB OS&amp;Y-RS FLEX WDG Hand Wheel </t>
    <phoneticPr fontId="2" type="noConversion"/>
  </si>
  <si>
    <t>M191110503</t>
    <phoneticPr fontId="2" type="noConversion"/>
  </si>
  <si>
    <t>BL FLG</t>
  </si>
  <si>
    <t xml:space="preserve">CS A105 CL150 RF B16.5 </t>
  </si>
  <si>
    <t>KSH-C2</t>
  </si>
  <si>
    <t>SUPPORT</t>
  </si>
  <si>
    <t>A863-2_SB_N-24302-099</t>
  </si>
  <si>
    <t>M230575191</t>
  </si>
  <si>
    <t>3</t>
  </si>
  <si>
    <t>N</t>
  </si>
  <si>
    <t>1CS1P01</t>
  </si>
  <si>
    <t>APCS-1D</t>
  </si>
  <si>
    <t>M264052300</t>
  </si>
  <si>
    <t>M230718054</t>
  </si>
  <si>
    <t>105</t>
  </si>
  <si>
    <t>M238710449</t>
  </si>
  <si>
    <t>BALL VA FLG LP</t>
  </si>
  <si>
    <t xml:space="preserve">CS A216-WCB CL150 RF B16.5 API 6D Trim 316 RTFE FL. Side Entry RB Lever </t>
  </si>
  <si>
    <t>M191110508</t>
  </si>
  <si>
    <t>A863-2_SB_N-24312-099</t>
  </si>
  <si>
    <t>M191110503</t>
  </si>
  <si>
    <t>M238710447</t>
  </si>
  <si>
    <t>A863-2_SB_PA-24293-099</t>
  </si>
  <si>
    <t>PA</t>
  </si>
  <si>
    <t>1CS2P01</t>
  </si>
  <si>
    <t>A863-3B_SB_N-25075-099</t>
  </si>
  <si>
    <t>FIG 8 BL</t>
    <phoneticPr fontId="2" type="noConversion"/>
  </si>
  <si>
    <t>A863-3B</t>
  </si>
  <si>
    <t>A863-3B_SB_PA-24002-099</t>
  </si>
  <si>
    <t>A870-1_SB_LPS-24259-099</t>
  </si>
  <si>
    <t>C1</t>
  </si>
  <si>
    <t>A870-1</t>
  </si>
  <si>
    <t>LPS</t>
  </si>
  <si>
    <t>1CS1U01</t>
  </si>
  <si>
    <t>M280156153</t>
  </si>
  <si>
    <t>M367335618</t>
  </si>
  <si>
    <t xml:space="preserve">CS A216-WCB CL150 RF B16.5 API 600 Trim No.5 BB OS&amp;Y-RS FLEX WDG Hand Wheel for Safety </t>
  </si>
  <si>
    <t>S870-1_SB_LPS-24262-099</t>
  </si>
  <si>
    <t>M238840827</t>
  </si>
  <si>
    <t>75mm NPL</t>
  </si>
  <si>
    <t>S-XS</t>
  </si>
  <si>
    <t xml:space="preserve">CS A106-B SMLS OB x OP B36.10M </t>
  </si>
  <si>
    <t>D0</t>
  </si>
  <si>
    <t>S870-1</t>
  </si>
  <si>
    <t>M229869532</t>
  </si>
  <si>
    <t>GATE VA SE</t>
  </si>
  <si>
    <t xml:space="preserve">CS A105 CL800 SWE x FTE B16.11 API 602 STD Bore Trim No.5 BB OS&amp;Y-RS SLD WDG Hand Wheel </t>
  </si>
  <si>
    <t>M367335617</t>
  </si>
  <si>
    <t>GATE VA LP</t>
    <phoneticPr fontId="2" type="noConversion"/>
  </si>
  <si>
    <t>Shop/2,4</t>
    <phoneticPr fontId="2" type="noConversion"/>
  </si>
  <si>
    <t>COMMENT SMP1 MATERIAL TEAM</t>
    <phoneticPr fontId="2" type="noConversion"/>
  </si>
  <si>
    <t>STATUS</t>
    <phoneticPr fontId="2" type="noConversion"/>
  </si>
  <si>
    <t>READY FOR USE</t>
  </si>
  <si>
    <t>READY FOR USE</t>
    <phoneticPr fontId="2" type="noConversion"/>
  </si>
  <si>
    <t>PAINT SHOP</t>
    <phoneticPr fontId="2" type="noConversion"/>
  </si>
  <si>
    <t>Send for Paint(RBH-0079),(17-Sep send)</t>
  </si>
  <si>
    <t>Lay-a Store</t>
  </si>
  <si>
    <t>Booking Finish but not yet Received</t>
  </si>
  <si>
    <t>Send for Paint (RBH-0091),(30Oct-Send)</t>
  </si>
  <si>
    <t>Send for Paint(RBH-0079),(17-Sep Send)</t>
  </si>
  <si>
    <t>Non Painted Lay-a Store</t>
  </si>
  <si>
    <t>PAINT TO BE SENT</t>
    <phoneticPr fontId="2" type="noConversion"/>
  </si>
  <si>
    <t>RBH-0079</t>
    <phoneticPr fontId="2" type="noConversion"/>
  </si>
  <si>
    <t>RBH-0091</t>
    <phoneticPr fontId="2" type="noConversion"/>
  </si>
  <si>
    <t>PAINT REQ NO</t>
    <phoneticPr fontId="2" type="noConversion"/>
  </si>
  <si>
    <t>PAINT REQ DATE</t>
    <phoneticPr fontId="2" type="noConversion"/>
  </si>
  <si>
    <t>SUPPORT MATERIAL</t>
    <phoneticPr fontId="2" type="noConversion"/>
  </si>
  <si>
    <t>TIE-IN WORKABLE 8 DWG</t>
    <phoneticPr fontId="2" type="noConversion"/>
  </si>
  <si>
    <t>TO BE ISSUED</t>
    <phoneticPr fontId="2" type="noConversion"/>
  </si>
  <si>
    <t>ACTION BY</t>
    <phoneticPr fontId="2" type="noConversion"/>
  </si>
  <si>
    <t>PAT, CAN ISSUE</t>
    <phoneticPr fontId="2" type="noConversion"/>
  </si>
  <si>
    <t>SMP1</t>
    <phoneticPr fontId="2" type="noConversion"/>
  </si>
  <si>
    <t>SMP1 MATERIAL</t>
    <phoneticPr fontId="2" type="noConversion"/>
  </si>
  <si>
    <t>HD</t>
    <phoneticPr fontId="2" type="noConversion"/>
  </si>
  <si>
    <t>DULI RE-CHECK</t>
    <phoneticPr fontId="2" type="noConversion"/>
  </si>
  <si>
    <t>TIE-IN C/N</t>
    <phoneticPr fontId="2" type="noConversion"/>
  </si>
  <si>
    <t xml:space="preserve">Prebooked Balance </t>
  </si>
  <si>
    <t>Yesterday Booking Need to Collect from WH</t>
  </si>
  <si>
    <t>Paint Code Wrong (Actual Paint 11C)</t>
  </si>
  <si>
    <t xml:space="preserve">ITEM </t>
  </si>
  <si>
    <t xml:space="preserve">BM </t>
  </si>
  <si>
    <t xml:space="preserve">Paint Code </t>
  </si>
  <si>
    <t>MAT.CODE</t>
  </si>
  <si>
    <t>A863-2_SB_LPS-24308-099</t>
  </si>
  <si>
    <t>A863-3B_SB_LPS-24320-099</t>
  </si>
  <si>
    <t xml:space="preserve">ISO </t>
  </si>
  <si>
    <t>APCS-11C</t>
  </si>
  <si>
    <t>VALVES BOOKED SUMMARY</t>
  </si>
  <si>
    <t>A870-1_SB_N-24105-099</t>
  </si>
  <si>
    <t xml:space="preserve">Booking Date </t>
  </si>
  <si>
    <t>Size</t>
  </si>
  <si>
    <t>Actual Paint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</si>
</sst>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15" fontId="1" fillId="0" borderId="0" xfId="0" applyNumberFormat="1" applyFont="1"/>
    <xf numFmtId="0" fontId="1" fillId="3" borderId="0" xfId="0" applyFont="1" applyFill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5" borderId="0" xfId="0" applyFont="1" applyFill="1"/>
    <xf numFmtId="0" fontId="8" fillId="5" borderId="0" xfId="0" applyFont="1" applyFill="1"/>
    <xf numFmtId="0" fontId="8" fillId="3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JFGP2-MATERIAL/TOTAL%20ISO%20BM%20EACH%20WEEK/ISOBMList-11-03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2764-AD7C-4148-8E93-12D6BDE6908E}">
  <dimension ref="A1:AH65"/>
  <sheetViews>
    <sheetView tabSelected="1" zoomScaleNormal="100" workbookViewId="0">
      <pane xSplit="27" ySplit="3" topLeftCell="AC4" activePane="bottomRight" state="frozen"/>
      <selection pane="topRight" activeCell="AB1" sqref="AB1"/>
      <selection pane="bottomLeft" activeCell="A4" sqref="A4"/>
      <selection pane="bottomRight" activeCell="I28" sqref="I28"/>
    </sheetView>
  </sheetViews>
  <sheetFormatPr defaultColWidth="8.81640625" defaultRowHeight="13" outlineLevelCol="1"/>
  <cols>
    <col min="1" max="1" width="7.7265625" style="1" hidden="1" customWidth="1"/>
    <col min="2" max="2" width="8.81640625" style="1"/>
    <col min="3" max="3" width="52.7265625" style="2" hidden="1" customWidth="1" outlineLevel="1"/>
    <col min="4" max="4" width="8.1796875" style="2" customWidth="1" collapsed="1"/>
    <col min="5" max="5" width="16.1796875" style="2" customWidth="1"/>
    <col min="6" max="6" width="14.81640625" style="2" customWidth="1"/>
    <col min="7" max="7" width="8.81640625" style="2" bestFit="1" customWidth="1"/>
    <col min="8" max="9" width="8.81640625" style="2"/>
    <col min="10" max="10" width="0" style="2" hidden="1" customWidth="1"/>
    <col min="11" max="11" width="21.1796875" style="2" hidden="1" customWidth="1" outlineLevel="1"/>
    <col min="12" max="12" width="9.54296875" style="2" bestFit="1" customWidth="1" collapsed="1"/>
    <col min="13" max="13" width="9.54296875" style="2" bestFit="1" customWidth="1"/>
    <col min="14" max="14" width="8.81640625" style="2"/>
    <col min="15" max="15" width="25.81640625" style="2" customWidth="1"/>
    <col min="16" max="16" width="0" style="2" hidden="1" customWidth="1"/>
    <col min="17" max="17" width="8.81640625" style="2"/>
    <col min="18" max="18" width="0" style="2" hidden="1" customWidth="1"/>
    <col min="19" max="19" width="8.81640625" style="2"/>
    <col min="20" max="21" width="0" style="2" hidden="1" customWidth="1"/>
    <col min="22" max="22" width="8.81640625" style="2" bestFit="1" customWidth="1"/>
    <col min="23" max="23" width="8.81640625" style="2"/>
    <col min="24" max="27" width="8.81640625" style="2" bestFit="1" customWidth="1"/>
    <col min="28" max="28" width="0" style="2" hidden="1" customWidth="1"/>
    <col min="29" max="29" width="11.453125" style="2" customWidth="1"/>
    <col min="30" max="30" width="35.26953125" style="2" bestFit="1" customWidth="1"/>
    <col min="31" max="31" width="17.81640625" style="2" customWidth="1"/>
    <col min="32" max="32" width="14.7265625" style="2" customWidth="1"/>
    <col min="33" max="34" width="10.7265625" style="2" customWidth="1"/>
    <col min="35" max="16384" width="8.81640625" style="2"/>
  </cols>
  <sheetData>
    <row r="1" spans="1:34" ht="18.5">
      <c r="A1" s="14" t="s">
        <v>128</v>
      </c>
    </row>
    <row r="2" spans="1:34">
      <c r="A2" s="13"/>
      <c r="M2" s="2" t="s">
        <v>131</v>
      </c>
      <c r="X2" s="2" t="s">
        <v>134</v>
      </c>
      <c r="Y2" s="2" t="s">
        <v>132</v>
      </c>
      <c r="Z2" s="2" t="s">
        <v>132</v>
      </c>
    </row>
    <row r="3" spans="1:34">
      <c r="A3" s="1" t="s">
        <v>0</v>
      </c>
      <c r="B3" s="1" t="s">
        <v>136</v>
      </c>
      <c r="C3" s="1" t="s">
        <v>1</v>
      </c>
      <c r="D3" s="1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8" t="s">
        <v>10</v>
      </c>
      <c r="M3" s="8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8" t="s">
        <v>20</v>
      </c>
      <c r="W3" s="3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3" t="s">
        <v>26</v>
      </c>
      <c r="AC3" s="3" t="s">
        <v>27</v>
      </c>
      <c r="AD3" s="7" t="s">
        <v>111</v>
      </c>
      <c r="AE3" s="7" t="s">
        <v>112</v>
      </c>
      <c r="AF3" s="7" t="s">
        <v>130</v>
      </c>
      <c r="AG3" s="12" t="s">
        <v>125</v>
      </c>
      <c r="AH3" s="12" t="s">
        <v>126</v>
      </c>
    </row>
    <row r="4" spans="1:34">
      <c r="A4" s="1">
        <v>1</v>
      </c>
      <c r="B4" s="1">
        <v>6</v>
      </c>
      <c r="C4" s="2" t="str">
        <f>E4&amp;"_"&amp;O4&amp;"_"&amp;D4</f>
        <v>M230575189_A863-2_SB_LPC-24311-099_6</v>
      </c>
      <c r="D4" s="1">
        <v>6</v>
      </c>
      <c r="E4" s="4" t="s">
        <v>29</v>
      </c>
      <c r="F4" s="4" t="s">
        <v>30</v>
      </c>
      <c r="G4" s="4" t="s">
        <v>31</v>
      </c>
      <c r="H4" s="4"/>
      <c r="I4" s="4"/>
      <c r="J4" s="4"/>
      <c r="K4" s="5" t="s">
        <v>32</v>
      </c>
      <c r="L4" s="4">
        <v>285</v>
      </c>
      <c r="M4" s="4">
        <v>275</v>
      </c>
      <c r="N4" s="4" t="s">
        <v>33</v>
      </c>
      <c r="O4" s="4" t="s">
        <v>28</v>
      </c>
      <c r="P4" s="4"/>
      <c r="Q4" s="4" t="s">
        <v>34</v>
      </c>
      <c r="R4" s="4"/>
      <c r="S4" s="4" t="s">
        <v>35</v>
      </c>
      <c r="T4" s="4" t="s">
        <v>36</v>
      </c>
      <c r="U4" s="4" t="s">
        <v>37</v>
      </c>
      <c r="V4" s="4">
        <v>1</v>
      </c>
      <c r="W4" s="4" t="s">
        <v>38</v>
      </c>
      <c r="X4" s="4">
        <v>0</v>
      </c>
      <c r="Y4" s="4">
        <v>0</v>
      </c>
      <c r="Z4" s="4">
        <v>1</v>
      </c>
      <c r="AA4" s="4">
        <v>0</v>
      </c>
      <c r="AB4" s="4"/>
      <c r="AC4" s="4" t="s">
        <v>39</v>
      </c>
      <c r="AD4" s="2" t="s">
        <v>116</v>
      </c>
      <c r="AE4" s="2" t="s">
        <v>115</v>
      </c>
      <c r="AF4" s="2" t="s">
        <v>115</v>
      </c>
      <c r="AG4" s="2" t="s">
        <v>123</v>
      </c>
      <c r="AH4" s="11">
        <v>45917</v>
      </c>
    </row>
    <row r="5" spans="1:34">
      <c r="B5" s="1">
        <v>6</v>
      </c>
      <c r="C5" s="2" t="str">
        <f t="shared" ref="C5:C61" si="0">E5&amp;"_"&amp;O5&amp;"_"&amp;D5</f>
        <v>M192030561_A863-2_SB_LPC-24311-099_7</v>
      </c>
      <c r="D5" s="9">
        <v>7</v>
      </c>
      <c r="E5" s="4" t="s">
        <v>40</v>
      </c>
      <c r="F5" s="4" t="s">
        <v>41</v>
      </c>
      <c r="G5" s="4" t="s">
        <v>42</v>
      </c>
      <c r="H5" s="4"/>
      <c r="I5" s="4"/>
      <c r="J5" s="4"/>
      <c r="K5" s="5" t="s">
        <v>43</v>
      </c>
      <c r="L5" s="4">
        <v>4109</v>
      </c>
      <c r="M5" s="4">
        <v>4107</v>
      </c>
      <c r="N5" s="4" t="s">
        <v>33</v>
      </c>
      <c r="O5" s="4" t="s">
        <v>28</v>
      </c>
      <c r="P5" s="4"/>
      <c r="Q5" s="4" t="s">
        <v>34</v>
      </c>
      <c r="R5" s="4"/>
      <c r="S5" s="4" t="s">
        <v>35</v>
      </c>
      <c r="T5" s="4" t="s">
        <v>36</v>
      </c>
      <c r="U5" s="4" t="s">
        <v>37</v>
      </c>
      <c r="V5" s="4">
        <v>1</v>
      </c>
      <c r="W5" s="4" t="s">
        <v>38</v>
      </c>
      <c r="X5" s="4">
        <v>0</v>
      </c>
      <c r="Y5" s="4">
        <v>0</v>
      </c>
      <c r="Z5" s="4">
        <v>1</v>
      </c>
      <c r="AA5" s="4">
        <v>0</v>
      </c>
      <c r="AB5" s="4"/>
      <c r="AC5" s="4" t="s">
        <v>39</v>
      </c>
      <c r="AD5" s="10" t="s">
        <v>117</v>
      </c>
      <c r="AE5" s="2" t="s">
        <v>114</v>
      </c>
    </row>
    <row r="6" spans="1:34">
      <c r="B6" s="1">
        <v>6</v>
      </c>
      <c r="C6" s="2" t="str">
        <f t="shared" si="0"/>
        <v>M280156151_A863-2_SB_LPC-24311-099_8</v>
      </c>
      <c r="D6" s="1">
        <v>8</v>
      </c>
      <c r="E6" s="4" t="s">
        <v>44</v>
      </c>
      <c r="F6" s="4" t="s">
        <v>45</v>
      </c>
      <c r="G6" s="4" t="s">
        <v>31</v>
      </c>
      <c r="H6" s="4" t="s">
        <v>46</v>
      </c>
      <c r="I6" s="4" t="s">
        <v>47</v>
      </c>
      <c r="J6" s="4" t="s">
        <v>46</v>
      </c>
      <c r="K6" s="5" t="s">
        <v>48</v>
      </c>
      <c r="L6" s="4">
        <v>571</v>
      </c>
      <c r="M6" s="4">
        <v>571</v>
      </c>
      <c r="N6" s="4" t="s">
        <v>33</v>
      </c>
      <c r="O6" s="4" t="s">
        <v>28</v>
      </c>
      <c r="P6" s="4"/>
      <c r="Q6" s="4" t="s">
        <v>34</v>
      </c>
      <c r="R6" s="4"/>
      <c r="S6" s="4" t="s">
        <v>35</v>
      </c>
      <c r="T6" s="4" t="s">
        <v>36</v>
      </c>
      <c r="U6" s="4" t="s">
        <v>37</v>
      </c>
      <c r="V6" s="4">
        <v>5</v>
      </c>
      <c r="W6" s="4" t="s">
        <v>38</v>
      </c>
      <c r="X6" s="4">
        <v>0</v>
      </c>
      <c r="Y6" s="4">
        <v>0</v>
      </c>
      <c r="Z6" s="4">
        <v>0</v>
      </c>
      <c r="AA6" s="4">
        <v>5</v>
      </c>
      <c r="AB6" s="4"/>
      <c r="AC6" s="4" t="s">
        <v>49</v>
      </c>
      <c r="AD6" s="17" t="s">
        <v>137</v>
      </c>
    </row>
    <row r="7" spans="1:34">
      <c r="B7" s="1">
        <v>6</v>
      </c>
      <c r="C7" s="2" t="str">
        <f t="shared" si="0"/>
        <v>M264052297_A863-2_SB_LPC-24311-099_9</v>
      </c>
      <c r="D7" s="1">
        <v>9</v>
      </c>
      <c r="E7" s="4" t="s">
        <v>50</v>
      </c>
      <c r="F7" s="4" t="s">
        <v>45</v>
      </c>
      <c r="G7" s="4" t="s">
        <v>31</v>
      </c>
      <c r="H7" s="4"/>
      <c r="I7" s="4" t="s">
        <v>47</v>
      </c>
      <c r="J7" s="4"/>
      <c r="K7" s="5" t="s">
        <v>51</v>
      </c>
      <c r="L7" s="4">
        <v>3854</v>
      </c>
      <c r="M7" s="4">
        <v>3767</v>
      </c>
      <c r="N7" s="4" t="s">
        <v>33</v>
      </c>
      <c r="O7" s="4" t="s">
        <v>28</v>
      </c>
      <c r="P7" s="4"/>
      <c r="Q7" s="4" t="s">
        <v>34</v>
      </c>
      <c r="R7" s="4"/>
      <c r="S7" s="4" t="s">
        <v>35</v>
      </c>
      <c r="T7" s="4" t="s">
        <v>36</v>
      </c>
      <c r="U7" s="4" t="s">
        <v>37</v>
      </c>
      <c r="V7" s="4">
        <v>1</v>
      </c>
      <c r="W7" s="4" t="s">
        <v>38</v>
      </c>
      <c r="X7" s="4">
        <v>0</v>
      </c>
      <c r="Y7" s="4">
        <v>1</v>
      </c>
      <c r="Z7" s="4">
        <v>0</v>
      </c>
      <c r="AA7" s="4">
        <v>0</v>
      </c>
      <c r="AB7" s="4"/>
      <c r="AC7" s="4" t="s">
        <v>49</v>
      </c>
      <c r="AD7" s="2" t="s">
        <v>118</v>
      </c>
      <c r="AE7" s="2" t="s">
        <v>129</v>
      </c>
      <c r="AF7" s="2" t="s">
        <v>133</v>
      </c>
    </row>
    <row r="8" spans="1:34">
      <c r="B8" s="1">
        <v>6</v>
      </c>
      <c r="C8" s="2" t="str">
        <f t="shared" si="0"/>
        <v>M230515170_A863-2_SB_LPC-24311-099_10</v>
      </c>
      <c r="D8" s="9">
        <v>10</v>
      </c>
      <c r="E8" s="4" t="s">
        <v>52</v>
      </c>
      <c r="F8" s="4" t="s">
        <v>53</v>
      </c>
      <c r="G8" s="4" t="s">
        <v>54</v>
      </c>
      <c r="H8" s="4" t="s">
        <v>55</v>
      </c>
      <c r="I8" s="4"/>
      <c r="J8" s="4"/>
      <c r="K8" s="5" t="s">
        <v>56</v>
      </c>
      <c r="L8" s="4">
        <v>12180</v>
      </c>
      <c r="M8" s="4">
        <v>12044</v>
      </c>
      <c r="N8" s="4" t="s">
        <v>33</v>
      </c>
      <c r="O8" s="4" t="s">
        <v>28</v>
      </c>
      <c r="P8" s="4"/>
      <c r="Q8" s="4" t="s">
        <v>34</v>
      </c>
      <c r="R8" s="4"/>
      <c r="S8" s="4" t="s">
        <v>35</v>
      </c>
      <c r="T8" s="4" t="s">
        <v>36</v>
      </c>
      <c r="U8" s="4" t="s">
        <v>37</v>
      </c>
      <c r="V8" s="4">
        <v>16</v>
      </c>
      <c r="W8" s="4" t="s">
        <v>38</v>
      </c>
      <c r="X8" s="4">
        <v>0</v>
      </c>
      <c r="Y8" s="4">
        <v>0</v>
      </c>
      <c r="Z8" s="4">
        <v>16</v>
      </c>
      <c r="AA8" s="4">
        <v>0</v>
      </c>
      <c r="AB8" s="4"/>
      <c r="AC8" s="4" t="s">
        <v>49</v>
      </c>
      <c r="AD8" s="10" t="s">
        <v>117</v>
      </c>
      <c r="AE8" s="2" t="s">
        <v>113</v>
      </c>
    </row>
    <row r="9" spans="1:34">
      <c r="B9" s="1">
        <v>6</v>
      </c>
      <c r="C9" s="2" t="str">
        <f t="shared" si="0"/>
        <v>M230578304_A863-2_SB_LPC-24311-099_11</v>
      </c>
      <c r="D9" s="9">
        <v>11</v>
      </c>
      <c r="E9" s="4" t="s">
        <v>57</v>
      </c>
      <c r="F9" s="4" t="s">
        <v>53</v>
      </c>
      <c r="G9" s="4" t="s">
        <v>54</v>
      </c>
      <c r="H9" s="4" t="s">
        <v>58</v>
      </c>
      <c r="I9" s="4"/>
      <c r="J9" s="4"/>
      <c r="K9" s="5" t="s">
        <v>56</v>
      </c>
      <c r="L9" s="4">
        <v>8568</v>
      </c>
      <c r="M9" s="4">
        <v>8416</v>
      </c>
      <c r="N9" s="4" t="s">
        <v>33</v>
      </c>
      <c r="O9" s="4" t="s">
        <v>28</v>
      </c>
      <c r="P9" s="4"/>
      <c r="Q9" s="4" t="s">
        <v>34</v>
      </c>
      <c r="R9" s="4"/>
      <c r="S9" s="4" t="s">
        <v>35</v>
      </c>
      <c r="T9" s="4" t="s">
        <v>36</v>
      </c>
      <c r="U9" s="4" t="s">
        <v>37</v>
      </c>
      <c r="V9" s="4">
        <v>4</v>
      </c>
      <c r="W9" s="4" t="s">
        <v>38</v>
      </c>
      <c r="X9" s="4">
        <v>0</v>
      </c>
      <c r="Y9" s="4">
        <v>0</v>
      </c>
      <c r="Z9" s="4">
        <v>4</v>
      </c>
      <c r="AA9" s="4">
        <v>0</v>
      </c>
      <c r="AB9" s="4"/>
      <c r="AC9" s="4" t="s">
        <v>49</v>
      </c>
      <c r="AD9" s="10" t="s">
        <v>117</v>
      </c>
      <c r="AE9" s="2" t="s">
        <v>113</v>
      </c>
    </row>
    <row r="10" spans="1:34">
      <c r="B10" s="1">
        <v>6</v>
      </c>
      <c r="C10" s="2" t="str">
        <f t="shared" si="0"/>
        <v>M212915447_A863-2_SB_LPC-24311-099_12</v>
      </c>
      <c r="D10" s="1">
        <v>12</v>
      </c>
      <c r="E10" s="4" t="s">
        <v>59</v>
      </c>
      <c r="F10" s="4" t="s">
        <v>60</v>
      </c>
      <c r="G10" s="4" t="s">
        <v>31</v>
      </c>
      <c r="H10" s="4"/>
      <c r="I10" s="4"/>
      <c r="J10" s="4"/>
      <c r="K10" s="5" t="s">
        <v>61</v>
      </c>
      <c r="L10" s="4">
        <v>386</v>
      </c>
      <c r="M10" s="4">
        <v>378</v>
      </c>
      <c r="N10" s="4" t="s">
        <v>33</v>
      </c>
      <c r="O10" s="4" t="s">
        <v>28</v>
      </c>
      <c r="P10" s="4"/>
      <c r="Q10" s="4" t="s">
        <v>34</v>
      </c>
      <c r="R10" s="4"/>
      <c r="S10" s="4" t="s">
        <v>35</v>
      </c>
      <c r="T10" s="4" t="s">
        <v>36</v>
      </c>
      <c r="U10" s="4" t="s">
        <v>37</v>
      </c>
      <c r="V10" s="4">
        <v>2</v>
      </c>
      <c r="W10" s="4" t="s">
        <v>38</v>
      </c>
      <c r="X10" s="4">
        <v>2</v>
      </c>
      <c r="Y10" s="4">
        <v>0</v>
      </c>
      <c r="Z10" s="4">
        <v>0</v>
      </c>
      <c r="AA10" s="4">
        <v>2</v>
      </c>
      <c r="AB10" s="4"/>
      <c r="AC10" s="4" t="s">
        <v>39</v>
      </c>
      <c r="AD10" s="16" t="s">
        <v>138</v>
      </c>
      <c r="AF10" s="15" t="s">
        <v>135</v>
      </c>
    </row>
    <row r="11" spans="1:34">
      <c r="B11" s="1">
        <v>6</v>
      </c>
      <c r="C11" s="2" t="str">
        <f t="shared" si="0"/>
        <v>M191110503_A863-2_SB_LPC-24311-099_13</v>
      </c>
      <c r="D11" s="1">
        <v>13</v>
      </c>
      <c r="E11" s="4" t="s">
        <v>62</v>
      </c>
      <c r="F11" s="4" t="s">
        <v>63</v>
      </c>
      <c r="G11" s="4" t="s">
        <v>31</v>
      </c>
      <c r="H11" s="4"/>
      <c r="I11" s="4" t="s">
        <v>47</v>
      </c>
      <c r="J11" s="4"/>
      <c r="K11" s="5" t="s">
        <v>64</v>
      </c>
      <c r="L11" s="4">
        <v>213</v>
      </c>
      <c r="M11" s="4">
        <v>195</v>
      </c>
      <c r="N11" s="4" t="s">
        <v>33</v>
      </c>
      <c r="O11" s="4" t="s">
        <v>28</v>
      </c>
      <c r="P11" s="4"/>
      <c r="Q11" s="4" t="s">
        <v>34</v>
      </c>
      <c r="R11" s="4"/>
      <c r="S11" s="4" t="s">
        <v>35</v>
      </c>
      <c r="T11" s="4" t="s">
        <v>36</v>
      </c>
      <c r="U11" s="4" t="s">
        <v>37</v>
      </c>
      <c r="V11" s="4">
        <v>1</v>
      </c>
      <c r="W11" s="4" t="s">
        <v>38</v>
      </c>
      <c r="X11" s="4">
        <v>0</v>
      </c>
      <c r="Y11" s="4">
        <v>0</v>
      </c>
      <c r="Z11" s="4">
        <v>1</v>
      </c>
      <c r="AA11" s="4">
        <v>0</v>
      </c>
      <c r="AB11" s="4"/>
      <c r="AC11" s="4" t="s">
        <v>39</v>
      </c>
      <c r="AD11" s="2" t="s">
        <v>119</v>
      </c>
      <c r="AE11" s="2" t="s">
        <v>115</v>
      </c>
      <c r="AF11" s="2" t="s">
        <v>115</v>
      </c>
      <c r="AG11" s="2" t="s">
        <v>124</v>
      </c>
      <c r="AH11" s="11">
        <v>45960</v>
      </c>
    </row>
    <row r="12" spans="1:34">
      <c r="B12" s="1">
        <v>6</v>
      </c>
      <c r="C12" s="2" t="str">
        <f t="shared" si="0"/>
        <v>KSH-C2_A863-2_SB_LPC-24311-099_14</v>
      </c>
      <c r="D12" s="1">
        <v>14</v>
      </c>
      <c r="E12" s="4" t="s">
        <v>65</v>
      </c>
      <c r="F12" s="4" t="s">
        <v>66</v>
      </c>
      <c r="G12" s="4"/>
      <c r="H12" s="4"/>
      <c r="I12" s="4"/>
      <c r="J12" s="4"/>
      <c r="K12" s="5" t="s">
        <v>66</v>
      </c>
      <c r="L12" s="4">
        <v>0</v>
      </c>
      <c r="M12" s="4">
        <v>0</v>
      </c>
      <c r="N12" s="4" t="s">
        <v>33</v>
      </c>
      <c r="O12" s="4" t="s">
        <v>28</v>
      </c>
      <c r="P12" s="4"/>
      <c r="Q12" s="4" t="s">
        <v>34</v>
      </c>
      <c r="R12" s="4"/>
      <c r="S12" s="4" t="s">
        <v>35</v>
      </c>
      <c r="T12" s="4" t="s">
        <v>36</v>
      </c>
      <c r="U12" s="4" t="s">
        <v>37</v>
      </c>
      <c r="V12" s="4">
        <v>1</v>
      </c>
      <c r="W12" s="4" t="s">
        <v>38</v>
      </c>
      <c r="X12" s="4">
        <v>0</v>
      </c>
      <c r="Y12" s="4">
        <v>0</v>
      </c>
      <c r="Z12" s="4">
        <v>0</v>
      </c>
      <c r="AA12" s="4">
        <v>1</v>
      </c>
      <c r="AB12" s="4"/>
      <c r="AC12" s="4" t="s">
        <v>49</v>
      </c>
      <c r="AD12" s="2" t="s">
        <v>127</v>
      </c>
      <c r="AE12" s="2" t="s">
        <v>115</v>
      </c>
      <c r="AF12" s="2" t="str">
        <f t="shared" ref="AF12:AF13" si="1">$AF$4</f>
        <v>PAINT SHOP</v>
      </c>
    </row>
    <row r="13" spans="1:34">
      <c r="A13" s="1">
        <v>2</v>
      </c>
      <c r="B13" s="1">
        <v>8</v>
      </c>
      <c r="C13" s="2" t="str">
        <f t="shared" si="0"/>
        <v>M230575191_A863-2_SB_N-24302-099_5</v>
      </c>
      <c r="D13" s="1">
        <v>5</v>
      </c>
      <c r="E13" s="4" t="s">
        <v>68</v>
      </c>
      <c r="F13" s="4" t="s">
        <v>30</v>
      </c>
      <c r="G13" s="4" t="s">
        <v>69</v>
      </c>
      <c r="H13" s="4"/>
      <c r="I13" s="4"/>
      <c r="J13" s="4"/>
      <c r="K13" s="6" t="s">
        <v>32</v>
      </c>
      <c r="L13" s="4">
        <v>70</v>
      </c>
      <c r="M13" s="4">
        <v>70</v>
      </c>
      <c r="N13" s="4" t="s">
        <v>33</v>
      </c>
      <c r="O13" s="4" t="s">
        <v>67</v>
      </c>
      <c r="P13" s="4"/>
      <c r="Q13" s="4" t="s">
        <v>34</v>
      </c>
      <c r="R13" s="4"/>
      <c r="S13" s="4" t="s">
        <v>35</v>
      </c>
      <c r="T13" s="4" t="s">
        <v>70</v>
      </c>
      <c r="U13" s="4" t="s">
        <v>71</v>
      </c>
      <c r="V13" s="4">
        <v>1</v>
      </c>
      <c r="W13" s="4" t="s">
        <v>38</v>
      </c>
      <c r="X13" s="4">
        <v>0</v>
      </c>
      <c r="Y13" s="4">
        <v>0</v>
      </c>
      <c r="Z13" s="4">
        <v>1</v>
      </c>
      <c r="AA13" s="4">
        <v>0</v>
      </c>
      <c r="AB13" s="4"/>
      <c r="AC13" s="4" t="s">
        <v>72</v>
      </c>
      <c r="AD13" s="2" t="s">
        <v>120</v>
      </c>
      <c r="AE13" s="2" t="s">
        <v>115</v>
      </c>
      <c r="AF13" s="2" t="str">
        <f t="shared" si="1"/>
        <v>PAINT SHOP</v>
      </c>
      <c r="AG13" s="2" t="s">
        <v>123</v>
      </c>
      <c r="AH13" s="11">
        <v>45917</v>
      </c>
    </row>
    <row r="14" spans="1:34">
      <c r="B14" s="1">
        <v>8</v>
      </c>
      <c r="C14" s="2" t="str">
        <f t="shared" si="0"/>
        <v>M192030561_A863-2_SB_N-24302-099_6</v>
      </c>
      <c r="D14" s="9">
        <v>6</v>
      </c>
      <c r="E14" s="4" t="s">
        <v>40</v>
      </c>
      <c r="F14" s="4" t="s">
        <v>41</v>
      </c>
      <c r="G14" s="4" t="s">
        <v>42</v>
      </c>
      <c r="H14" s="4"/>
      <c r="I14" s="4"/>
      <c r="J14" s="4"/>
      <c r="K14" s="6" t="s">
        <v>43</v>
      </c>
      <c r="L14" s="4">
        <v>4109</v>
      </c>
      <c r="M14" s="4">
        <v>4107</v>
      </c>
      <c r="N14" s="4" t="s">
        <v>33</v>
      </c>
      <c r="O14" s="4" t="s">
        <v>67</v>
      </c>
      <c r="P14" s="4"/>
      <c r="Q14" s="4" t="s">
        <v>34</v>
      </c>
      <c r="R14" s="4"/>
      <c r="S14" s="4" t="s">
        <v>35</v>
      </c>
      <c r="T14" s="4" t="s">
        <v>70</v>
      </c>
      <c r="U14" s="4" t="s">
        <v>71</v>
      </c>
      <c r="V14" s="4">
        <v>1</v>
      </c>
      <c r="W14" s="4" t="s">
        <v>38</v>
      </c>
      <c r="X14" s="4">
        <v>0</v>
      </c>
      <c r="Y14" s="4">
        <v>0</v>
      </c>
      <c r="Z14" s="4">
        <v>1</v>
      </c>
      <c r="AA14" s="4">
        <v>0</v>
      </c>
      <c r="AB14" s="4"/>
      <c r="AC14" s="4" t="s">
        <v>72</v>
      </c>
      <c r="AD14" s="10" t="s">
        <v>117</v>
      </c>
      <c r="AE14" s="2" t="s">
        <v>113</v>
      </c>
    </row>
    <row r="15" spans="1:34">
      <c r="B15" s="1">
        <v>8</v>
      </c>
      <c r="C15" s="2" t="str">
        <f t="shared" si="0"/>
        <v>M264052300_A863-2_SB_N-24302-099_7</v>
      </c>
      <c r="D15" s="1">
        <v>7</v>
      </c>
      <c r="E15" s="4" t="s">
        <v>73</v>
      </c>
      <c r="F15" s="4" t="s">
        <v>45</v>
      </c>
      <c r="G15" s="4" t="s">
        <v>69</v>
      </c>
      <c r="H15" s="4"/>
      <c r="I15" s="4" t="s">
        <v>47</v>
      </c>
      <c r="J15" s="4"/>
      <c r="K15" s="6" t="s">
        <v>51</v>
      </c>
      <c r="L15" s="4">
        <v>1231</v>
      </c>
      <c r="M15" s="4">
        <v>1222</v>
      </c>
      <c r="N15" s="4" t="s">
        <v>33</v>
      </c>
      <c r="O15" s="4" t="s">
        <v>67</v>
      </c>
      <c r="P15" s="4"/>
      <c r="Q15" s="4" t="s">
        <v>34</v>
      </c>
      <c r="R15" s="4"/>
      <c r="S15" s="4" t="s">
        <v>35</v>
      </c>
      <c r="T15" s="4" t="s">
        <v>70</v>
      </c>
      <c r="U15" s="4" t="s">
        <v>71</v>
      </c>
      <c r="V15" s="4">
        <v>5</v>
      </c>
      <c r="W15" s="4" t="s">
        <v>38</v>
      </c>
      <c r="X15" s="4">
        <v>0</v>
      </c>
      <c r="Y15" s="4">
        <v>5</v>
      </c>
      <c r="Z15" s="4">
        <v>0</v>
      </c>
      <c r="AA15" s="4">
        <v>0</v>
      </c>
      <c r="AB15" s="4"/>
      <c r="AC15" s="4"/>
      <c r="AD15" s="2" t="s">
        <v>118</v>
      </c>
      <c r="AE15" s="2" t="s">
        <v>129</v>
      </c>
      <c r="AF15" s="2" t="s">
        <v>133</v>
      </c>
    </row>
    <row r="16" spans="1:34">
      <c r="B16" s="1">
        <v>8</v>
      </c>
      <c r="C16" s="2" t="str">
        <f t="shared" si="0"/>
        <v>M230578304_A863-2_SB_N-24302-099_8</v>
      </c>
      <c r="D16" s="9">
        <v>8</v>
      </c>
      <c r="E16" s="4" t="s">
        <v>57</v>
      </c>
      <c r="F16" s="4" t="s">
        <v>53</v>
      </c>
      <c r="G16" s="4" t="s">
        <v>54</v>
      </c>
      <c r="H16" s="4" t="s">
        <v>58</v>
      </c>
      <c r="I16" s="4"/>
      <c r="J16" s="4"/>
      <c r="K16" s="6" t="s">
        <v>56</v>
      </c>
      <c r="L16" s="4">
        <v>8568</v>
      </c>
      <c r="M16" s="4">
        <v>8416</v>
      </c>
      <c r="N16" s="4" t="s">
        <v>33</v>
      </c>
      <c r="O16" s="4" t="s">
        <v>67</v>
      </c>
      <c r="P16" s="4"/>
      <c r="Q16" s="4" t="s">
        <v>34</v>
      </c>
      <c r="R16" s="4"/>
      <c r="S16" s="4" t="s">
        <v>35</v>
      </c>
      <c r="T16" s="4" t="s">
        <v>70</v>
      </c>
      <c r="U16" s="4" t="s">
        <v>71</v>
      </c>
      <c r="V16" s="4">
        <v>12</v>
      </c>
      <c r="W16" s="4" t="s">
        <v>38</v>
      </c>
      <c r="X16" s="4">
        <v>0</v>
      </c>
      <c r="Y16" s="4">
        <v>0</v>
      </c>
      <c r="Z16" s="4">
        <v>12</v>
      </c>
      <c r="AA16" s="4">
        <v>0</v>
      </c>
      <c r="AB16" s="4"/>
      <c r="AC16" s="4"/>
      <c r="AD16" s="10" t="s">
        <v>117</v>
      </c>
      <c r="AE16" s="2" t="s">
        <v>113</v>
      </c>
    </row>
    <row r="17" spans="1:34">
      <c r="B17" s="1">
        <v>8</v>
      </c>
      <c r="C17" s="2" t="str">
        <f t="shared" si="0"/>
        <v>M230718054_A863-2_SB_N-24302-099_9</v>
      </c>
      <c r="D17" s="9">
        <v>9</v>
      </c>
      <c r="E17" s="4" t="s">
        <v>74</v>
      </c>
      <c r="F17" s="4" t="s">
        <v>53</v>
      </c>
      <c r="G17" s="4" t="s">
        <v>54</v>
      </c>
      <c r="H17" s="4" t="s">
        <v>75</v>
      </c>
      <c r="I17" s="4"/>
      <c r="J17" s="4"/>
      <c r="K17" s="6" t="s">
        <v>56</v>
      </c>
      <c r="L17" s="4">
        <v>1308</v>
      </c>
      <c r="M17" s="4">
        <v>1296</v>
      </c>
      <c r="N17" s="4" t="s">
        <v>33</v>
      </c>
      <c r="O17" s="4" t="s">
        <v>67</v>
      </c>
      <c r="P17" s="4"/>
      <c r="Q17" s="4" t="s">
        <v>34</v>
      </c>
      <c r="R17" s="4"/>
      <c r="S17" s="4" t="s">
        <v>35</v>
      </c>
      <c r="T17" s="4" t="s">
        <v>70</v>
      </c>
      <c r="U17" s="4" t="s">
        <v>71</v>
      </c>
      <c r="V17" s="4">
        <v>4</v>
      </c>
      <c r="W17" s="4" t="s">
        <v>38</v>
      </c>
      <c r="X17" s="4">
        <v>0</v>
      </c>
      <c r="Y17" s="4">
        <v>0</v>
      </c>
      <c r="Z17" s="4">
        <v>4</v>
      </c>
      <c r="AA17" s="4">
        <v>0</v>
      </c>
      <c r="AB17" s="4"/>
      <c r="AC17" s="4"/>
      <c r="AD17" s="10" t="s">
        <v>117</v>
      </c>
      <c r="AE17" s="2" t="s">
        <v>113</v>
      </c>
    </row>
    <row r="18" spans="1:34">
      <c r="B18" s="1">
        <v>8</v>
      </c>
      <c r="C18" s="2" t="str">
        <f t="shared" si="0"/>
        <v>M238710449_A863-2_SB_N-24302-099_10</v>
      </c>
      <c r="D18" s="1">
        <v>10</v>
      </c>
      <c r="E18" s="4" t="s">
        <v>76</v>
      </c>
      <c r="F18" s="4" t="s">
        <v>77</v>
      </c>
      <c r="G18" s="4" t="s">
        <v>69</v>
      </c>
      <c r="H18" s="4"/>
      <c r="I18" s="4"/>
      <c r="J18" s="4"/>
      <c r="K18" s="6" t="s">
        <v>78</v>
      </c>
      <c r="L18" s="4">
        <v>8</v>
      </c>
      <c r="M18" s="4">
        <v>8</v>
      </c>
      <c r="N18" s="4" t="s">
        <v>33</v>
      </c>
      <c r="O18" s="4" t="s">
        <v>67</v>
      </c>
      <c r="P18" s="4"/>
      <c r="Q18" s="4" t="s">
        <v>34</v>
      </c>
      <c r="R18" s="4"/>
      <c r="S18" s="4" t="s">
        <v>35</v>
      </c>
      <c r="T18" s="4" t="s">
        <v>70</v>
      </c>
      <c r="U18" s="4" t="s">
        <v>71</v>
      </c>
      <c r="V18" s="4">
        <v>2</v>
      </c>
      <c r="W18" s="4" t="s">
        <v>38</v>
      </c>
      <c r="X18" s="4">
        <v>0</v>
      </c>
      <c r="Y18" s="4">
        <v>0</v>
      </c>
      <c r="Z18" s="4">
        <v>0</v>
      </c>
      <c r="AA18" s="4">
        <v>2</v>
      </c>
      <c r="AB18" s="4"/>
      <c r="AC18" s="4" t="s">
        <v>72</v>
      </c>
      <c r="AD18" s="17" t="s">
        <v>137</v>
      </c>
      <c r="AF18" s="15" t="s">
        <v>135</v>
      </c>
    </row>
    <row r="19" spans="1:34">
      <c r="B19" s="1">
        <v>8</v>
      </c>
      <c r="C19" s="2" t="str">
        <f t="shared" si="0"/>
        <v>M191110508_A863-2_SB_N-24302-099_11</v>
      </c>
      <c r="D19" s="1">
        <v>11</v>
      </c>
      <c r="E19" s="4" t="s">
        <v>79</v>
      </c>
      <c r="F19" s="4" t="s">
        <v>63</v>
      </c>
      <c r="G19" s="4" t="s">
        <v>69</v>
      </c>
      <c r="H19" s="4"/>
      <c r="I19" s="4" t="s">
        <v>47</v>
      </c>
      <c r="J19" s="4"/>
      <c r="K19" s="6" t="s">
        <v>64</v>
      </c>
      <c r="L19" s="4">
        <v>40</v>
      </c>
      <c r="M19" s="4">
        <v>33</v>
      </c>
      <c r="N19" s="4" t="s">
        <v>33</v>
      </c>
      <c r="O19" s="4" t="s">
        <v>67</v>
      </c>
      <c r="P19" s="4"/>
      <c r="Q19" s="4" t="s">
        <v>34</v>
      </c>
      <c r="R19" s="4"/>
      <c r="S19" s="4" t="s">
        <v>35</v>
      </c>
      <c r="T19" s="4" t="s">
        <v>70</v>
      </c>
      <c r="U19" s="4" t="s">
        <v>71</v>
      </c>
      <c r="V19" s="4">
        <v>1</v>
      </c>
      <c r="W19" s="4" t="s">
        <v>38</v>
      </c>
      <c r="X19" s="4">
        <v>1</v>
      </c>
      <c r="Y19" s="4">
        <v>0</v>
      </c>
      <c r="Z19" s="4">
        <v>0</v>
      </c>
      <c r="AA19" s="4">
        <v>1</v>
      </c>
      <c r="AB19" s="4"/>
      <c r="AC19" s="4" t="s">
        <v>72</v>
      </c>
      <c r="AD19" s="16" t="s">
        <v>138</v>
      </c>
      <c r="AF19" s="15" t="s">
        <v>135</v>
      </c>
    </row>
    <row r="20" spans="1:34">
      <c r="A20" s="1">
        <v>3</v>
      </c>
      <c r="B20" s="1">
        <v>9</v>
      </c>
      <c r="C20" s="2" t="str">
        <f t="shared" si="0"/>
        <v>M230575189_A863-2_SB_N-24312-099_5</v>
      </c>
      <c r="D20" s="1">
        <v>5</v>
      </c>
      <c r="E20" s="4" t="s">
        <v>29</v>
      </c>
      <c r="F20" s="4" t="s">
        <v>30</v>
      </c>
      <c r="G20" s="4" t="s">
        <v>31</v>
      </c>
      <c r="H20" s="4"/>
      <c r="I20" s="4"/>
      <c r="J20" s="4"/>
      <c r="K20" s="5" t="s">
        <v>32</v>
      </c>
      <c r="L20" s="4">
        <v>285</v>
      </c>
      <c r="M20" s="4">
        <v>275</v>
      </c>
      <c r="N20" s="4" t="s">
        <v>33</v>
      </c>
      <c r="O20" s="4" t="s">
        <v>80</v>
      </c>
      <c r="P20" s="4"/>
      <c r="Q20" s="4" t="s">
        <v>34</v>
      </c>
      <c r="R20" s="4"/>
      <c r="S20" s="4" t="s">
        <v>35</v>
      </c>
      <c r="T20" s="4" t="s">
        <v>70</v>
      </c>
      <c r="U20" s="4" t="s">
        <v>71</v>
      </c>
      <c r="V20" s="4">
        <v>1</v>
      </c>
      <c r="W20" s="4" t="s">
        <v>38</v>
      </c>
      <c r="X20" s="4">
        <v>0</v>
      </c>
      <c r="Y20" s="4">
        <v>0</v>
      </c>
      <c r="Z20" s="4">
        <v>1</v>
      </c>
      <c r="AA20" s="4">
        <v>0</v>
      </c>
      <c r="AB20" s="4"/>
      <c r="AC20" s="4" t="s">
        <v>72</v>
      </c>
      <c r="AD20" s="2" t="s">
        <v>116</v>
      </c>
      <c r="AE20" s="2" t="s">
        <v>115</v>
      </c>
      <c r="AF20" s="2" t="str">
        <f>$AF$4</f>
        <v>PAINT SHOP</v>
      </c>
      <c r="AG20" s="2" t="s">
        <v>123</v>
      </c>
      <c r="AH20" s="11">
        <v>45917</v>
      </c>
    </row>
    <row r="21" spans="1:34">
      <c r="B21" s="1">
        <v>9</v>
      </c>
      <c r="C21" s="2" t="str">
        <f t="shared" si="0"/>
        <v>M192030561_A863-2_SB_N-24312-099_6</v>
      </c>
      <c r="D21" s="9">
        <v>6</v>
      </c>
      <c r="E21" s="4" t="s">
        <v>40</v>
      </c>
      <c r="F21" s="4" t="s">
        <v>41</v>
      </c>
      <c r="G21" s="4" t="s">
        <v>42</v>
      </c>
      <c r="H21" s="4"/>
      <c r="I21" s="4"/>
      <c r="J21" s="4"/>
      <c r="K21" s="5" t="s">
        <v>43</v>
      </c>
      <c r="L21" s="4">
        <v>4109</v>
      </c>
      <c r="M21" s="4">
        <v>4107</v>
      </c>
      <c r="N21" s="4" t="s">
        <v>33</v>
      </c>
      <c r="O21" s="4" t="s">
        <v>80</v>
      </c>
      <c r="P21" s="4"/>
      <c r="Q21" s="4" t="s">
        <v>34</v>
      </c>
      <c r="R21" s="4"/>
      <c r="S21" s="4" t="s">
        <v>35</v>
      </c>
      <c r="T21" s="4" t="s">
        <v>70</v>
      </c>
      <c r="U21" s="4" t="s">
        <v>71</v>
      </c>
      <c r="V21" s="4">
        <v>1</v>
      </c>
      <c r="W21" s="4" t="s">
        <v>38</v>
      </c>
      <c r="X21" s="4">
        <v>0</v>
      </c>
      <c r="Y21" s="4">
        <v>0</v>
      </c>
      <c r="Z21" s="4">
        <v>1</v>
      </c>
      <c r="AA21" s="4">
        <v>0</v>
      </c>
      <c r="AB21" s="4"/>
      <c r="AC21" s="4" t="s">
        <v>72</v>
      </c>
      <c r="AD21" s="10" t="s">
        <v>117</v>
      </c>
      <c r="AE21" s="2" t="s">
        <v>113</v>
      </c>
    </row>
    <row r="22" spans="1:34">
      <c r="B22" s="1">
        <v>9</v>
      </c>
      <c r="C22" s="2" t="str">
        <f t="shared" si="0"/>
        <v>M264052297_A863-2_SB_N-24312-099_7</v>
      </c>
      <c r="D22" s="1">
        <v>7</v>
      </c>
      <c r="E22" s="4" t="s">
        <v>50</v>
      </c>
      <c r="F22" s="4" t="s">
        <v>45</v>
      </c>
      <c r="G22" s="4" t="s">
        <v>31</v>
      </c>
      <c r="H22" s="4"/>
      <c r="I22" s="4" t="s">
        <v>47</v>
      </c>
      <c r="J22" s="4"/>
      <c r="K22" s="5" t="s">
        <v>51</v>
      </c>
      <c r="L22" s="4">
        <v>3854</v>
      </c>
      <c r="M22" s="4">
        <v>3767</v>
      </c>
      <c r="N22" s="4" t="s">
        <v>33</v>
      </c>
      <c r="O22" s="4" t="s">
        <v>80</v>
      </c>
      <c r="P22" s="4"/>
      <c r="Q22" s="4" t="s">
        <v>34</v>
      </c>
      <c r="R22" s="4"/>
      <c r="S22" s="4" t="s">
        <v>35</v>
      </c>
      <c r="T22" s="4" t="s">
        <v>70</v>
      </c>
      <c r="U22" s="4" t="s">
        <v>71</v>
      </c>
      <c r="V22" s="4">
        <v>5</v>
      </c>
      <c r="W22" s="4" t="s">
        <v>38</v>
      </c>
      <c r="X22" s="4">
        <v>0</v>
      </c>
      <c r="Y22" s="4">
        <v>5</v>
      </c>
      <c r="Z22" s="4">
        <v>0</v>
      </c>
      <c r="AA22" s="4">
        <v>0</v>
      </c>
      <c r="AB22" s="4"/>
      <c r="AC22" s="4"/>
      <c r="AD22" s="2" t="s">
        <v>118</v>
      </c>
      <c r="AE22" s="2" t="s">
        <v>129</v>
      </c>
      <c r="AF22" s="2" t="s">
        <v>133</v>
      </c>
    </row>
    <row r="23" spans="1:34">
      <c r="B23" s="1">
        <v>9</v>
      </c>
      <c r="C23" s="2" t="str">
        <f t="shared" si="0"/>
        <v>M230578304_A863-2_SB_N-24312-099_8</v>
      </c>
      <c r="D23" s="9">
        <v>8</v>
      </c>
      <c r="E23" s="4" t="s">
        <v>57</v>
      </c>
      <c r="F23" s="4" t="s">
        <v>53</v>
      </c>
      <c r="G23" s="4" t="s">
        <v>54</v>
      </c>
      <c r="H23" s="4" t="s">
        <v>58</v>
      </c>
      <c r="I23" s="4"/>
      <c r="J23" s="4"/>
      <c r="K23" s="5" t="s">
        <v>56</v>
      </c>
      <c r="L23" s="4">
        <v>8568</v>
      </c>
      <c r="M23" s="4">
        <v>8416</v>
      </c>
      <c r="N23" s="4" t="s">
        <v>33</v>
      </c>
      <c r="O23" s="4" t="s">
        <v>80</v>
      </c>
      <c r="P23" s="4"/>
      <c r="Q23" s="4" t="s">
        <v>34</v>
      </c>
      <c r="R23" s="4"/>
      <c r="S23" s="4" t="s">
        <v>35</v>
      </c>
      <c r="T23" s="4" t="s">
        <v>70</v>
      </c>
      <c r="U23" s="4" t="s">
        <v>71</v>
      </c>
      <c r="V23" s="4">
        <v>4</v>
      </c>
      <c r="W23" s="4" t="s">
        <v>38</v>
      </c>
      <c r="X23" s="4">
        <v>0</v>
      </c>
      <c r="Y23" s="4">
        <v>0</v>
      </c>
      <c r="Z23" s="4">
        <v>4</v>
      </c>
      <c r="AA23" s="4">
        <v>0</v>
      </c>
      <c r="AB23" s="4"/>
      <c r="AC23" s="4"/>
      <c r="AD23" s="10" t="s">
        <v>117</v>
      </c>
      <c r="AE23" s="2" t="s">
        <v>113</v>
      </c>
    </row>
    <row r="24" spans="1:34">
      <c r="B24" s="1">
        <v>9</v>
      </c>
      <c r="C24" s="2" t="str">
        <f t="shared" si="0"/>
        <v>M230515170_A863-2_SB_N-24312-099_9</v>
      </c>
      <c r="D24" s="9">
        <v>9</v>
      </c>
      <c r="E24" s="4" t="s">
        <v>52</v>
      </c>
      <c r="F24" s="4" t="s">
        <v>53</v>
      </c>
      <c r="G24" s="4" t="s">
        <v>54</v>
      </c>
      <c r="H24" s="4" t="s">
        <v>55</v>
      </c>
      <c r="I24" s="4"/>
      <c r="J24" s="4"/>
      <c r="K24" s="5" t="s">
        <v>56</v>
      </c>
      <c r="L24" s="4">
        <v>12180</v>
      </c>
      <c r="M24" s="4">
        <v>12044</v>
      </c>
      <c r="N24" s="4" t="s">
        <v>33</v>
      </c>
      <c r="O24" s="4" t="s">
        <v>80</v>
      </c>
      <c r="P24" s="4"/>
      <c r="Q24" s="4" t="s">
        <v>34</v>
      </c>
      <c r="R24" s="4"/>
      <c r="S24" s="4" t="s">
        <v>35</v>
      </c>
      <c r="T24" s="4" t="s">
        <v>70</v>
      </c>
      <c r="U24" s="4" t="s">
        <v>71</v>
      </c>
      <c r="V24" s="4">
        <v>12</v>
      </c>
      <c r="W24" s="4" t="s">
        <v>38</v>
      </c>
      <c r="X24" s="4">
        <v>0</v>
      </c>
      <c r="Y24" s="4">
        <v>0</v>
      </c>
      <c r="Z24" s="4">
        <v>12</v>
      </c>
      <c r="AA24" s="4">
        <v>0</v>
      </c>
      <c r="AB24" s="4"/>
      <c r="AC24" s="4"/>
      <c r="AD24" s="10" t="s">
        <v>117</v>
      </c>
      <c r="AE24" s="2" t="s">
        <v>113</v>
      </c>
    </row>
    <row r="25" spans="1:34">
      <c r="B25" s="1">
        <v>9</v>
      </c>
      <c r="C25" s="2" t="str">
        <f t="shared" si="0"/>
        <v>M191110503_A863-2_SB_N-24312-099_10</v>
      </c>
      <c r="D25" s="1">
        <v>10</v>
      </c>
      <c r="E25" s="4" t="s">
        <v>81</v>
      </c>
      <c r="F25" s="4" t="s">
        <v>63</v>
      </c>
      <c r="G25" s="4" t="s">
        <v>31</v>
      </c>
      <c r="H25" s="4"/>
      <c r="I25" s="4" t="s">
        <v>47</v>
      </c>
      <c r="J25" s="4"/>
      <c r="K25" s="5" t="s">
        <v>64</v>
      </c>
      <c r="L25" s="4">
        <v>213</v>
      </c>
      <c r="M25" s="4">
        <v>195</v>
      </c>
      <c r="N25" s="4" t="s">
        <v>33</v>
      </c>
      <c r="O25" s="4" t="s">
        <v>80</v>
      </c>
      <c r="P25" s="4"/>
      <c r="Q25" s="4" t="s">
        <v>34</v>
      </c>
      <c r="R25" s="4"/>
      <c r="S25" s="4" t="s">
        <v>35</v>
      </c>
      <c r="T25" s="4" t="s">
        <v>70</v>
      </c>
      <c r="U25" s="4" t="s">
        <v>71</v>
      </c>
      <c r="V25" s="4">
        <v>1</v>
      </c>
      <c r="W25" s="4" t="s">
        <v>38</v>
      </c>
      <c r="X25" s="4">
        <v>0</v>
      </c>
      <c r="Y25" s="4">
        <v>0</v>
      </c>
      <c r="Z25" s="4">
        <v>1</v>
      </c>
      <c r="AA25" s="4">
        <v>0</v>
      </c>
      <c r="AB25" s="4"/>
      <c r="AC25" s="4" t="s">
        <v>72</v>
      </c>
      <c r="AD25" s="2" t="s">
        <v>119</v>
      </c>
      <c r="AE25" s="2" t="s">
        <v>115</v>
      </c>
      <c r="AF25" s="2" t="str">
        <f>$AF$4</f>
        <v>PAINT SHOP</v>
      </c>
      <c r="AG25" s="2" t="s">
        <v>124</v>
      </c>
      <c r="AH25" s="11">
        <v>45960</v>
      </c>
    </row>
    <row r="26" spans="1:34">
      <c r="B26" s="1">
        <v>9</v>
      </c>
      <c r="C26" s="2" t="str">
        <f t="shared" si="0"/>
        <v>M238710447_A863-2_SB_N-24312-099_11</v>
      </c>
      <c r="D26" s="1">
        <v>11</v>
      </c>
      <c r="E26" s="4" t="s">
        <v>82</v>
      </c>
      <c r="F26" s="4" t="s">
        <v>77</v>
      </c>
      <c r="G26" s="4" t="s">
        <v>31</v>
      </c>
      <c r="H26" s="4"/>
      <c r="I26" s="4"/>
      <c r="J26" s="4"/>
      <c r="K26" s="5" t="s">
        <v>78</v>
      </c>
      <c r="L26" s="4">
        <v>32</v>
      </c>
      <c r="M26" s="4">
        <v>30</v>
      </c>
      <c r="N26" s="4" t="s">
        <v>33</v>
      </c>
      <c r="O26" s="4" t="s">
        <v>80</v>
      </c>
      <c r="P26" s="4"/>
      <c r="Q26" s="4" t="s">
        <v>34</v>
      </c>
      <c r="R26" s="4"/>
      <c r="S26" s="4" t="s">
        <v>35</v>
      </c>
      <c r="T26" s="4" t="s">
        <v>70</v>
      </c>
      <c r="U26" s="4" t="s">
        <v>71</v>
      </c>
      <c r="V26" s="4">
        <v>2</v>
      </c>
      <c r="W26" s="4" t="s">
        <v>38</v>
      </c>
      <c r="X26" s="4">
        <v>0</v>
      </c>
      <c r="Y26" s="4">
        <v>0</v>
      </c>
      <c r="Z26" s="4">
        <v>0</v>
      </c>
      <c r="AA26" s="4">
        <v>2</v>
      </c>
      <c r="AB26" s="4"/>
      <c r="AC26" s="4" t="s">
        <v>72</v>
      </c>
      <c r="AD26" s="17" t="s">
        <v>137</v>
      </c>
      <c r="AF26" s="15" t="s">
        <v>135</v>
      </c>
    </row>
    <row r="27" spans="1:34">
      <c r="A27" s="1">
        <v>4</v>
      </c>
      <c r="B27" s="1">
        <v>10</v>
      </c>
      <c r="C27" s="2" t="str">
        <f t="shared" si="0"/>
        <v>M230575189_A863-2_SB_PA-24293-099_3</v>
      </c>
      <c r="D27" s="1">
        <v>3</v>
      </c>
      <c r="E27" s="4" t="s">
        <v>29</v>
      </c>
      <c r="F27" s="4" t="s">
        <v>30</v>
      </c>
      <c r="G27" s="4" t="s">
        <v>31</v>
      </c>
      <c r="H27" s="4"/>
      <c r="I27" s="4"/>
      <c r="J27" s="4"/>
      <c r="K27" s="5" t="s">
        <v>32</v>
      </c>
      <c r="L27" s="4">
        <v>285</v>
      </c>
      <c r="M27" s="4">
        <v>275</v>
      </c>
      <c r="N27" s="4" t="s">
        <v>33</v>
      </c>
      <c r="O27" s="4" t="s">
        <v>83</v>
      </c>
      <c r="P27" s="4"/>
      <c r="Q27" s="4" t="s">
        <v>34</v>
      </c>
      <c r="R27" s="4"/>
      <c r="S27" s="4" t="s">
        <v>35</v>
      </c>
      <c r="T27" s="4" t="s">
        <v>84</v>
      </c>
      <c r="U27" s="4" t="s">
        <v>85</v>
      </c>
      <c r="V27" s="4">
        <v>1</v>
      </c>
      <c r="W27" s="4" t="s">
        <v>38</v>
      </c>
      <c r="X27" s="4">
        <v>0</v>
      </c>
      <c r="Y27" s="4">
        <v>0</v>
      </c>
      <c r="Z27" s="4">
        <v>1</v>
      </c>
      <c r="AA27" s="4">
        <v>0</v>
      </c>
      <c r="AB27" s="4"/>
      <c r="AC27" s="4" t="s">
        <v>72</v>
      </c>
      <c r="AD27" s="2" t="s">
        <v>116</v>
      </c>
      <c r="AE27" s="2" t="s">
        <v>115</v>
      </c>
      <c r="AF27" s="2" t="str">
        <f>$AF$4</f>
        <v>PAINT SHOP</v>
      </c>
      <c r="AG27" s="2" t="s">
        <v>123</v>
      </c>
      <c r="AH27" s="11">
        <v>45917</v>
      </c>
    </row>
    <row r="28" spans="1:34">
      <c r="B28" s="1">
        <v>10</v>
      </c>
      <c r="C28" s="2" t="str">
        <f t="shared" si="0"/>
        <v>M264052297_A863-2_SB_PA-24293-099_4</v>
      </c>
      <c r="D28" s="1">
        <v>4</v>
      </c>
      <c r="E28" s="4" t="s">
        <v>50</v>
      </c>
      <c r="F28" s="4" t="s">
        <v>45</v>
      </c>
      <c r="G28" s="4">
        <v>2</v>
      </c>
      <c r="H28" s="4"/>
      <c r="I28" s="4" t="s">
        <v>47</v>
      </c>
      <c r="J28" s="4"/>
      <c r="K28" s="5" t="s">
        <v>51</v>
      </c>
      <c r="L28" s="4">
        <v>3854</v>
      </c>
      <c r="M28" s="4">
        <v>3767</v>
      </c>
      <c r="N28" s="4" t="s">
        <v>33</v>
      </c>
      <c r="O28" s="4" t="s">
        <v>83</v>
      </c>
      <c r="P28" s="4"/>
      <c r="Q28" s="4" t="s">
        <v>34</v>
      </c>
      <c r="R28" s="4"/>
      <c r="S28" s="4" t="s">
        <v>35</v>
      </c>
      <c r="T28" s="4" t="s">
        <v>84</v>
      </c>
      <c r="U28" s="4" t="s">
        <v>85</v>
      </c>
      <c r="V28" s="4">
        <v>4</v>
      </c>
      <c r="W28" s="4" t="s">
        <v>38</v>
      </c>
      <c r="X28" s="4">
        <v>0</v>
      </c>
      <c r="Y28" s="4">
        <v>4</v>
      </c>
      <c r="Z28" s="4">
        <v>0</v>
      </c>
      <c r="AA28" s="4">
        <v>0</v>
      </c>
      <c r="AB28" s="4"/>
      <c r="AC28" s="4"/>
      <c r="AD28" s="2" t="s">
        <v>118</v>
      </c>
      <c r="AE28" s="2" t="s">
        <v>129</v>
      </c>
      <c r="AF28" s="2" t="s">
        <v>133</v>
      </c>
    </row>
    <row r="29" spans="1:34">
      <c r="B29" s="1">
        <v>10</v>
      </c>
      <c r="C29" s="2" t="str">
        <f t="shared" si="0"/>
        <v>M230515170_A863-2_SB_PA-24293-099_5</v>
      </c>
      <c r="D29" s="9">
        <v>5</v>
      </c>
      <c r="E29" s="4" t="s">
        <v>52</v>
      </c>
      <c r="F29" s="4" t="s">
        <v>53</v>
      </c>
      <c r="G29" s="4" t="s">
        <v>54</v>
      </c>
      <c r="H29" s="4" t="s">
        <v>55</v>
      </c>
      <c r="I29" s="4"/>
      <c r="J29" s="4"/>
      <c r="K29" s="5" t="s">
        <v>56</v>
      </c>
      <c r="L29" s="4">
        <v>12180</v>
      </c>
      <c r="M29" s="4">
        <v>12044</v>
      </c>
      <c r="N29" s="4" t="s">
        <v>33</v>
      </c>
      <c r="O29" s="4" t="s">
        <v>83</v>
      </c>
      <c r="P29" s="4"/>
      <c r="Q29" s="4" t="s">
        <v>34</v>
      </c>
      <c r="R29" s="4"/>
      <c r="S29" s="4" t="s">
        <v>35</v>
      </c>
      <c r="T29" s="4" t="s">
        <v>84</v>
      </c>
      <c r="U29" s="4" t="s">
        <v>85</v>
      </c>
      <c r="V29" s="4">
        <v>8</v>
      </c>
      <c r="W29" s="4" t="s">
        <v>38</v>
      </c>
      <c r="X29" s="4">
        <v>0</v>
      </c>
      <c r="Y29" s="4">
        <v>0</v>
      </c>
      <c r="Z29" s="4">
        <v>8</v>
      </c>
      <c r="AA29" s="4">
        <v>0</v>
      </c>
      <c r="AB29" s="4"/>
      <c r="AC29" s="4"/>
      <c r="AD29" s="10" t="s">
        <v>117</v>
      </c>
      <c r="AE29" s="2" t="s">
        <v>113</v>
      </c>
    </row>
    <row r="30" spans="1:34">
      <c r="B30" s="1">
        <v>10</v>
      </c>
      <c r="C30" s="2" t="str">
        <f t="shared" si="0"/>
        <v>M230578304_A863-2_SB_PA-24293-099_6</v>
      </c>
      <c r="D30" s="9">
        <v>6</v>
      </c>
      <c r="E30" s="4" t="s">
        <v>57</v>
      </c>
      <c r="F30" s="4" t="s">
        <v>53</v>
      </c>
      <c r="G30" s="4" t="s">
        <v>54</v>
      </c>
      <c r="H30" s="4" t="s">
        <v>58</v>
      </c>
      <c r="I30" s="4"/>
      <c r="J30" s="4"/>
      <c r="K30" s="5" t="s">
        <v>56</v>
      </c>
      <c r="L30" s="4">
        <v>8568</v>
      </c>
      <c r="M30" s="4">
        <v>8416</v>
      </c>
      <c r="N30" s="4" t="s">
        <v>33</v>
      </c>
      <c r="O30" s="4" t="s">
        <v>83</v>
      </c>
      <c r="P30" s="4"/>
      <c r="Q30" s="4" t="s">
        <v>34</v>
      </c>
      <c r="R30" s="4"/>
      <c r="S30" s="4" t="s">
        <v>35</v>
      </c>
      <c r="T30" s="4" t="s">
        <v>84</v>
      </c>
      <c r="U30" s="4" t="s">
        <v>85</v>
      </c>
      <c r="V30" s="4">
        <v>4</v>
      </c>
      <c r="W30" s="4" t="s">
        <v>38</v>
      </c>
      <c r="X30" s="4">
        <v>0</v>
      </c>
      <c r="Y30" s="4">
        <v>0</v>
      </c>
      <c r="Z30" s="4">
        <v>4</v>
      </c>
      <c r="AA30" s="4">
        <v>0</v>
      </c>
      <c r="AB30" s="4"/>
      <c r="AC30" s="4"/>
      <c r="AD30" s="10" t="s">
        <v>117</v>
      </c>
      <c r="AE30" s="2" t="s">
        <v>113</v>
      </c>
    </row>
    <row r="31" spans="1:34">
      <c r="B31" s="1">
        <v>10</v>
      </c>
      <c r="C31" s="2" t="str">
        <f t="shared" si="0"/>
        <v>M238710447_A863-2_SB_PA-24293-099_7</v>
      </c>
      <c r="D31" s="1">
        <v>7</v>
      </c>
      <c r="E31" s="4" t="s">
        <v>82</v>
      </c>
      <c r="F31" s="4" t="s">
        <v>77</v>
      </c>
      <c r="G31" s="4" t="s">
        <v>31</v>
      </c>
      <c r="H31" s="4"/>
      <c r="I31" s="4"/>
      <c r="J31" s="4"/>
      <c r="K31" s="5" t="s">
        <v>78</v>
      </c>
      <c r="L31" s="4">
        <v>32</v>
      </c>
      <c r="M31" s="4">
        <v>30</v>
      </c>
      <c r="N31" s="4" t="s">
        <v>33</v>
      </c>
      <c r="O31" s="4" t="s">
        <v>83</v>
      </c>
      <c r="P31" s="4"/>
      <c r="Q31" s="4" t="s">
        <v>34</v>
      </c>
      <c r="R31" s="4"/>
      <c r="S31" s="4" t="s">
        <v>35</v>
      </c>
      <c r="T31" s="4" t="s">
        <v>84</v>
      </c>
      <c r="U31" s="4" t="s">
        <v>85</v>
      </c>
      <c r="V31" s="4">
        <v>1</v>
      </c>
      <c r="W31" s="4" t="s">
        <v>38</v>
      </c>
      <c r="X31" s="4">
        <v>0</v>
      </c>
      <c r="Y31" s="4">
        <v>0</v>
      </c>
      <c r="Z31" s="4">
        <v>0</v>
      </c>
      <c r="AA31" s="4">
        <v>1</v>
      </c>
      <c r="AB31" s="4"/>
      <c r="AC31" s="4" t="s">
        <v>72</v>
      </c>
      <c r="AD31" s="17" t="s">
        <v>137</v>
      </c>
      <c r="AF31" s="15" t="s">
        <v>135</v>
      </c>
    </row>
    <row r="32" spans="1:34">
      <c r="B32" s="1">
        <v>10</v>
      </c>
      <c r="C32" s="2" t="str">
        <f t="shared" si="0"/>
        <v>M191110503_A863-2_SB_PA-24293-099_8</v>
      </c>
      <c r="D32" s="1">
        <v>8</v>
      </c>
      <c r="E32" s="4" t="s">
        <v>81</v>
      </c>
      <c r="F32" s="4" t="s">
        <v>63</v>
      </c>
      <c r="G32" s="4" t="s">
        <v>31</v>
      </c>
      <c r="H32" s="4"/>
      <c r="I32" s="4" t="s">
        <v>47</v>
      </c>
      <c r="J32" s="4"/>
      <c r="K32" s="5" t="s">
        <v>64</v>
      </c>
      <c r="L32" s="4">
        <v>213</v>
      </c>
      <c r="M32" s="4">
        <v>195</v>
      </c>
      <c r="N32" s="4" t="s">
        <v>33</v>
      </c>
      <c r="O32" s="4" t="s">
        <v>83</v>
      </c>
      <c r="P32" s="4"/>
      <c r="Q32" s="4" t="s">
        <v>34</v>
      </c>
      <c r="R32" s="4"/>
      <c r="S32" s="4" t="s">
        <v>35</v>
      </c>
      <c r="T32" s="4" t="s">
        <v>84</v>
      </c>
      <c r="U32" s="4" t="s">
        <v>85</v>
      </c>
      <c r="V32" s="4">
        <v>1</v>
      </c>
      <c r="W32" s="4" t="s">
        <v>38</v>
      </c>
      <c r="X32" s="4">
        <v>0</v>
      </c>
      <c r="Y32" s="4">
        <v>0</v>
      </c>
      <c r="Z32" s="4">
        <v>1</v>
      </c>
      <c r="AA32" s="4">
        <v>0</v>
      </c>
      <c r="AB32" s="4"/>
      <c r="AC32" s="4" t="s">
        <v>72</v>
      </c>
      <c r="AD32" s="2" t="s">
        <v>119</v>
      </c>
      <c r="AE32" s="2" t="s">
        <v>115</v>
      </c>
      <c r="AF32" s="2" t="str">
        <f t="shared" ref="AF32:AF33" si="2">$AF$4</f>
        <v>PAINT SHOP</v>
      </c>
      <c r="AG32" s="2" t="s">
        <v>124</v>
      </c>
      <c r="AH32" s="11">
        <v>45960</v>
      </c>
    </row>
    <row r="33" spans="1:34">
      <c r="A33" s="1">
        <v>5</v>
      </c>
      <c r="B33" s="1">
        <v>21</v>
      </c>
      <c r="C33" s="2" t="str">
        <f t="shared" si="0"/>
        <v>M230575189_A863-3B_SB_N-25075-099_6</v>
      </c>
      <c r="D33" s="1">
        <v>6</v>
      </c>
      <c r="E33" s="4" t="s">
        <v>29</v>
      </c>
      <c r="F33" s="4" t="s">
        <v>87</v>
      </c>
      <c r="G33" s="4" t="s">
        <v>31</v>
      </c>
      <c r="H33" s="4"/>
      <c r="I33" s="4"/>
      <c r="J33" s="4"/>
      <c r="K33" s="5" t="s">
        <v>32</v>
      </c>
      <c r="L33" s="4">
        <v>285</v>
      </c>
      <c r="M33" s="4">
        <v>275</v>
      </c>
      <c r="N33" s="4" t="s">
        <v>33</v>
      </c>
      <c r="O33" s="4" t="s">
        <v>86</v>
      </c>
      <c r="P33" s="4"/>
      <c r="Q33" s="4" t="s">
        <v>34</v>
      </c>
      <c r="R33" s="4"/>
      <c r="S33" s="4" t="s">
        <v>88</v>
      </c>
      <c r="T33" s="4" t="s">
        <v>70</v>
      </c>
      <c r="U33" s="4" t="s">
        <v>71</v>
      </c>
      <c r="V33" s="4">
        <v>1</v>
      </c>
      <c r="W33" s="4" t="s">
        <v>38</v>
      </c>
      <c r="X33" s="4">
        <v>0</v>
      </c>
      <c r="Y33" s="4">
        <v>0</v>
      </c>
      <c r="Z33" s="4">
        <v>1</v>
      </c>
      <c r="AA33" s="4">
        <v>0</v>
      </c>
      <c r="AB33" s="4"/>
      <c r="AC33" s="4" t="s">
        <v>72</v>
      </c>
      <c r="AD33" s="2" t="s">
        <v>116</v>
      </c>
      <c r="AE33" s="2" t="s">
        <v>115</v>
      </c>
      <c r="AF33" s="2" t="str">
        <f t="shared" si="2"/>
        <v>PAINT SHOP</v>
      </c>
      <c r="AG33" s="2" t="s">
        <v>123</v>
      </c>
      <c r="AH33" s="11">
        <v>45917</v>
      </c>
    </row>
    <row r="34" spans="1:34">
      <c r="B34" s="1">
        <v>21</v>
      </c>
      <c r="C34" s="2" t="str">
        <f t="shared" si="0"/>
        <v>M192030561_A863-3B_SB_N-25075-099_7</v>
      </c>
      <c r="D34" s="9">
        <v>7</v>
      </c>
      <c r="E34" s="4" t="s">
        <v>40</v>
      </c>
      <c r="F34" s="4" t="s">
        <v>41</v>
      </c>
      <c r="G34" s="4" t="s">
        <v>42</v>
      </c>
      <c r="H34" s="4"/>
      <c r="I34" s="4"/>
      <c r="J34" s="4"/>
      <c r="K34" s="5" t="s">
        <v>43</v>
      </c>
      <c r="L34" s="4">
        <v>4109</v>
      </c>
      <c r="M34" s="4">
        <v>4107</v>
      </c>
      <c r="N34" s="4" t="s">
        <v>33</v>
      </c>
      <c r="O34" s="4" t="s">
        <v>86</v>
      </c>
      <c r="P34" s="4"/>
      <c r="Q34" s="4" t="s">
        <v>34</v>
      </c>
      <c r="R34" s="4"/>
      <c r="S34" s="4" t="s">
        <v>88</v>
      </c>
      <c r="T34" s="4" t="s">
        <v>70</v>
      </c>
      <c r="U34" s="4" t="s">
        <v>71</v>
      </c>
      <c r="V34" s="4">
        <v>1</v>
      </c>
      <c r="W34" s="4" t="s">
        <v>38</v>
      </c>
      <c r="X34" s="4">
        <v>0</v>
      </c>
      <c r="Y34" s="4">
        <v>0</v>
      </c>
      <c r="Z34" s="4">
        <v>1</v>
      </c>
      <c r="AA34" s="4">
        <v>0</v>
      </c>
      <c r="AB34" s="4"/>
      <c r="AC34" s="4" t="s">
        <v>72</v>
      </c>
      <c r="AD34" s="10" t="s">
        <v>117</v>
      </c>
      <c r="AE34" s="2" t="s">
        <v>113</v>
      </c>
    </row>
    <row r="35" spans="1:34">
      <c r="B35" s="1">
        <v>21</v>
      </c>
      <c r="C35" s="2" t="str">
        <f t="shared" si="0"/>
        <v>M264052297_A863-3B_SB_N-25075-099_8</v>
      </c>
      <c r="D35" s="1">
        <v>8</v>
      </c>
      <c r="E35" s="4" t="s">
        <v>50</v>
      </c>
      <c r="F35" s="4" t="s">
        <v>45</v>
      </c>
      <c r="G35" s="4" t="s">
        <v>31</v>
      </c>
      <c r="H35" s="4"/>
      <c r="I35" s="4" t="s">
        <v>47</v>
      </c>
      <c r="J35" s="4"/>
      <c r="K35" s="5" t="s">
        <v>51</v>
      </c>
      <c r="L35" s="4">
        <v>3854</v>
      </c>
      <c r="M35" s="4">
        <v>3767</v>
      </c>
      <c r="N35" s="4" t="s">
        <v>33</v>
      </c>
      <c r="O35" s="4" t="s">
        <v>86</v>
      </c>
      <c r="P35" s="4"/>
      <c r="Q35" s="4" t="s">
        <v>34</v>
      </c>
      <c r="R35" s="4"/>
      <c r="S35" s="4" t="s">
        <v>88</v>
      </c>
      <c r="T35" s="4" t="s">
        <v>70</v>
      </c>
      <c r="U35" s="4" t="s">
        <v>71</v>
      </c>
      <c r="V35" s="4">
        <v>5</v>
      </c>
      <c r="W35" s="4" t="s">
        <v>38</v>
      </c>
      <c r="X35" s="4">
        <v>0</v>
      </c>
      <c r="Y35" s="4">
        <v>5</v>
      </c>
      <c r="Z35" s="4">
        <v>0</v>
      </c>
      <c r="AA35" s="4">
        <v>0</v>
      </c>
      <c r="AB35" s="4"/>
      <c r="AC35" s="4"/>
      <c r="AD35" s="2" t="s">
        <v>118</v>
      </c>
      <c r="AE35" s="2" t="s">
        <v>129</v>
      </c>
      <c r="AF35" s="2" t="s">
        <v>133</v>
      </c>
    </row>
    <row r="36" spans="1:34">
      <c r="B36" s="1">
        <v>21</v>
      </c>
      <c r="C36" s="2" t="str">
        <f t="shared" si="0"/>
        <v>M230578304_A863-3B_SB_N-25075-099_9</v>
      </c>
      <c r="D36" s="9">
        <v>9</v>
      </c>
      <c r="E36" s="4" t="s">
        <v>57</v>
      </c>
      <c r="F36" s="4" t="s">
        <v>53</v>
      </c>
      <c r="G36" s="4" t="s">
        <v>54</v>
      </c>
      <c r="H36" s="4" t="s">
        <v>58</v>
      </c>
      <c r="I36" s="4"/>
      <c r="J36" s="4"/>
      <c r="K36" s="5" t="s">
        <v>56</v>
      </c>
      <c r="L36" s="4">
        <v>8568</v>
      </c>
      <c r="M36" s="4">
        <v>8416</v>
      </c>
      <c r="N36" s="4" t="s">
        <v>33</v>
      </c>
      <c r="O36" s="4" t="s">
        <v>86</v>
      </c>
      <c r="P36" s="4"/>
      <c r="Q36" s="4" t="s">
        <v>34</v>
      </c>
      <c r="R36" s="4"/>
      <c r="S36" s="4" t="s">
        <v>88</v>
      </c>
      <c r="T36" s="4" t="s">
        <v>70</v>
      </c>
      <c r="U36" s="4" t="s">
        <v>71</v>
      </c>
      <c r="V36" s="4">
        <v>4</v>
      </c>
      <c r="W36" s="4" t="s">
        <v>38</v>
      </c>
      <c r="X36" s="4">
        <v>0</v>
      </c>
      <c r="Y36" s="4">
        <v>0</v>
      </c>
      <c r="Z36" s="4">
        <v>4</v>
      </c>
      <c r="AA36" s="4">
        <v>0</v>
      </c>
      <c r="AB36" s="4"/>
      <c r="AC36" s="4"/>
      <c r="AD36" s="10" t="s">
        <v>117</v>
      </c>
      <c r="AE36" s="2" t="s">
        <v>113</v>
      </c>
    </row>
    <row r="37" spans="1:34">
      <c r="B37" s="1">
        <v>21</v>
      </c>
      <c r="C37" s="2" t="str">
        <f t="shared" si="0"/>
        <v>M230515170_A863-3B_SB_N-25075-099_10</v>
      </c>
      <c r="D37" s="9">
        <v>10</v>
      </c>
      <c r="E37" s="4" t="s">
        <v>52</v>
      </c>
      <c r="F37" s="4" t="s">
        <v>53</v>
      </c>
      <c r="G37" s="4" t="s">
        <v>54</v>
      </c>
      <c r="H37" s="4" t="s">
        <v>55</v>
      </c>
      <c r="I37" s="4"/>
      <c r="J37" s="4"/>
      <c r="K37" s="5" t="s">
        <v>56</v>
      </c>
      <c r="L37" s="4">
        <v>12180</v>
      </c>
      <c r="M37" s="4">
        <v>12044</v>
      </c>
      <c r="N37" s="4" t="s">
        <v>33</v>
      </c>
      <c r="O37" s="4" t="s">
        <v>86</v>
      </c>
      <c r="P37" s="4"/>
      <c r="Q37" s="4" t="s">
        <v>34</v>
      </c>
      <c r="R37" s="4"/>
      <c r="S37" s="4" t="s">
        <v>88</v>
      </c>
      <c r="T37" s="4" t="s">
        <v>70</v>
      </c>
      <c r="U37" s="4" t="s">
        <v>71</v>
      </c>
      <c r="V37" s="4">
        <v>12</v>
      </c>
      <c r="W37" s="4" t="s">
        <v>38</v>
      </c>
      <c r="X37" s="4">
        <v>0</v>
      </c>
      <c r="Y37" s="4">
        <v>0</v>
      </c>
      <c r="Z37" s="4">
        <v>12</v>
      </c>
      <c r="AA37" s="4">
        <v>0</v>
      </c>
      <c r="AB37" s="4"/>
      <c r="AC37" s="4"/>
      <c r="AD37" s="10" t="s">
        <v>117</v>
      </c>
      <c r="AE37" s="2" t="s">
        <v>113</v>
      </c>
    </row>
    <row r="38" spans="1:34">
      <c r="B38" s="1">
        <v>21</v>
      </c>
      <c r="C38" s="2" t="str">
        <f t="shared" si="0"/>
        <v>M191110503_A863-3B_SB_N-25075-099_11</v>
      </c>
      <c r="D38" s="1">
        <v>11</v>
      </c>
      <c r="E38" s="4" t="s">
        <v>81</v>
      </c>
      <c r="F38" s="4" t="s">
        <v>63</v>
      </c>
      <c r="G38" s="4" t="s">
        <v>31</v>
      </c>
      <c r="H38" s="4"/>
      <c r="I38" s="4" t="s">
        <v>47</v>
      </c>
      <c r="J38" s="4"/>
      <c r="K38" s="5" t="s">
        <v>64</v>
      </c>
      <c r="L38" s="4">
        <v>213</v>
      </c>
      <c r="M38" s="4">
        <v>195</v>
      </c>
      <c r="N38" s="4" t="s">
        <v>33</v>
      </c>
      <c r="O38" s="4" t="s">
        <v>86</v>
      </c>
      <c r="P38" s="4"/>
      <c r="Q38" s="4" t="s">
        <v>34</v>
      </c>
      <c r="R38" s="4"/>
      <c r="S38" s="4" t="s">
        <v>88</v>
      </c>
      <c r="T38" s="4" t="s">
        <v>70</v>
      </c>
      <c r="U38" s="4" t="s">
        <v>71</v>
      </c>
      <c r="V38" s="4">
        <v>1</v>
      </c>
      <c r="W38" s="4" t="s">
        <v>38</v>
      </c>
      <c r="X38" s="4">
        <v>0</v>
      </c>
      <c r="Y38" s="4">
        <v>0</v>
      </c>
      <c r="Z38" s="4">
        <v>1</v>
      </c>
      <c r="AA38" s="4">
        <v>0</v>
      </c>
      <c r="AB38" s="4"/>
      <c r="AC38" s="4" t="s">
        <v>72</v>
      </c>
      <c r="AD38" s="2" t="s">
        <v>119</v>
      </c>
      <c r="AE38" s="2" t="s">
        <v>115</v>
      </c>
      <c r="AF38" s="2" t="str">
        <f>$AF$4</f>
        <v>PAINT SHOP</v>
      </c>
      <c r="AG38" s="2" t="s">
        <v>124</v>
      </c>
      <c r="AH38" s="11">
        <v>45960</v>
      </c>
    </row>
    <row r="39" spans="1:34">
      <c r="B39" s="1">
        <v>21</v>
      </c>
      <c r="C39" s="2" t="str">
        <f t="shared" si="0"/>
        <v>M238710447_A863-3B_SB_N-25075-099_12</v>
      </c>
      <c r="D39" s="1">
        <v>12</v>
      </c>
      <c r="E39" s="4" t="s">
        <v>82</v>
      </c>
      <c r="F39" s="4" t="s">
        <v>77</v>
      </c>
      <c r="G39" s="4" t="s">
        <v>31</v>
      </c>
      <c r="H39" s="4"/>
      <c r="I39" s="4"/>
      <c r="J39" s="4"/>
      <c r="K39" s="5" t="s">
        <v>78</v>
      </c>
      <c r="L39" s="4">
        <v>32</v>
      </c>
      <c r="M39" s="4">
        <v>30</v>
      </c>
      <c r="N39" s="4" t="s">
        <v>33</v>
      </c>
      <c r="O39" s="4" t="s">
        <v>86</v>
      </c>
      <c r="P39" s="4"/>
      <c r="Q39" s="4" t="s">
        <v>34</v>
      </c>
      <c r="R39" s="4"/>
      <c r="S39" s="4" t="s">
        <v>88</v>
      </c>
      <c r="T39" s="4" t="s">
        <v>70</v>
      </c>
      <c r="U39" s="4" t="s">
        <v>71</v>
      </c>
      <c r="V39" s="4">
        <v>2</v>
      </c>
      <c r="W39" s="4" t="s">
        <v>38</v>
      </c>
      <c r="X39" s="4">
        <v>0</v>
      </c>
      <c r="Y39" s="4">
        <v>0</v>
      </c>
      <c r="Z39" s="4">
        <v>0</v>
      </c>
      <c r="AA39" s="4">
        <v>2</v>
      </c>
      <c r="AB39" s="4"/>
      <c r="AC39" s="4" t="s">
        <v>72</v>
      </c>
      <c r="AD39" s="17" t="s">
        <v>137</v>
      </c>
      <c r="AF39" s="15" t="s">
        <v>135</v>
      </c>
    </row>
    <row r="40" spans="1:34">
      <c r="A40" s="1">
        <v>6</v>
      </c>
      <c r="B40" s="1">
        <v>22</v>
      </c>
      <c r="C40" s="2" t="str">
        <f t="shared" si="0"/>
        <v>M230575189_A863-3B_SB_PA-24002-099_1</v>
      </c>
      <c r="D40" s="1">
        <v>1</v>
      </c>
      <c r="E40" s="4" t="s">
        <v>29</v>
      </c>
      <c r="F40" s="4" t="s">
        <v>87</v>
      </c>
      <c r="G40" s="4" t="s">
        <v>31</v>
      </c>
      <c r="H40" s="4"/>
      <c r="I40" s="4"/>
      <c r="J40" s="4"/>
      <c r="K40" s="5" t="s">
        <v>32</v>
      </c>
      <c r="L40" s="4">
        <v>285</v>
      </c>
      <c r="M40" s="4">
        <v>275</v>
      </c>
      <c r="N40" s="4" t="s">
        <v>33</v>
      </c>
      <c r="O40" s="4" t="s">
        <v>89</v>
      </c>
      <c r="P40" s="4"/>
      <c r="Q40" s="4" t="s">
        <v>34</v>
      </c>
      <c r="R40" s="4"/>
      <c r="S40" s="4" t="s">
        <v>88</v>
      </c>
      <c r="T40" s="4" t="s">
        <v>84</v>
      </c>
      <c r="U40" s="4" t="s">
        <v>85</v>
      </c>
      <c r="V40" s="4">
        <v>1</v>
      </c>
      <c r="W40" s="4" t="s">
        <v>38</v>
      </c>
      <c r="X40" s="4">
        <v>0</v>
      </c>
      <c r="Y40" s="4">
        <v>0</v>
      </c>
      <c r="Z40" s="4">
        <v>1</v>
      </c>
      <c r="AA40" s="4">
        <v>0</v>
      </c>
      <c r="AB40" s="4"/>
      <c r="AC40" s="4" t="s">
        <v>72</v>
      </c>
      <c r="AD40" s="2" t="s">
        <v>116</v>
      </c>
      <c r="AE40" s="2" t="s">
        <v>115</v>
      </c>
      <c r="AF40" s="2" t="str">
        <f>$AF$4</f>
        <v>PAINT SHOP</v>
      </c>
      <c r="AG40" s="2" t="s">
        <v>123</v>
      </c>
      <c r="AH40" s="11">
        <v>45917</v>
      </c>
    </row>
    <row r="41" spans="1:34">
      <c r="B41" s="1">
        <v>22</v>
      </c>
      <c r="C41" s="2" t="str">
        <f t="shared" si="0"/>
        <v>M264052297_A863-3B_SB_PA-24002-099_2</v>
      </c>
      <c r="D41" s="1">
        <v>2</v>
      </c>
      <c r="E41" s="4" t="s">
        <v>50</v>
      </c>
      <c r="F41" s="4" t="s">
        <v>45</v>
      </c>
      <c r="G41" s="4" t="s">
        <v>31</v>
      </c>
      <c r="H41" s="4"/>
      <c r="I41" s="4" t="s">
        <v>47</v>
      </c>
      <c r="J41" s="4"/>
      <c r="K41" s="5" t="s">
        <v>51</v>
      </c>
      <c r="L41" s="4">
        <v>3854</v>
      </c>
      <c r="M41" s="4">
        <v>3767</v>
      </c>
      <c r="N41" s="4" t="s">
        <v>33</v>
      </c>
      <c r="O41" s="4" t="s">
        <v>89</v>
      </c>
      <c r="P41" s="4"/>
      <c r="Q41" s="4" t="s">
        <v>34</v>
      </c>
      <c r="R41" s="4"/>
      <c r="S41" s="4" t="s">
        <v>88</v>
      </c>
      <c r="T41" s="4" t="s">
        <v>84</v>
      </c>
      <c r="U41" s="4" t="s">
        <v>85</v>
      </c>
      <c r="V41" s="4">
        <v>3</v>
      </c>
      <c r="W41" s="4" t="s">
        <v>38</v>
      </c>
      <c r="X41" s="4">
        <v>0</v>
      </c>
      <c r="Y41" s="4">
        <v>3</v>
      </c>
      <c r="Z41" s="4">
        <v>0</v>
      </c>
      <c r="AA41" s="4">
        <v>0</v>
      </c>
      <c r="AB41" s="4"/>
      <c r="AC41" s="4"/>
      <c r="AD41" s="2" t="s">
        <v>118</v>
      </c>
      <c r="AE41" s="2" t="s">
        <v>129</v>
      </c>
      <c r="AF41" s="2" t="s">
        <v>133</v>
      </c>
    </row>
    <row r="42" spans="1:34">
      <c r="B42" s="1">
        <v>22</v>
      </c>
      <c r="C42" s="2" t="str">
        <f t="shared" si="0"/>
        <v>M230578304_A863-3B_SB_PA-24002-099_3</v>
      </c>
      <c r="D42" s="9">
        <v>3</v>
      </c>
      <c r="E42" s="4" t="s">
        <v>57</v>
      </c>
      <c r="F42" s="4" t="s">
        <v>53</v>
      </c>
      <c r="G42" s="4" t="s">
        <v>54</v>
      </c>
      <c r="H42" s="4" t="s">
        <v>58</v>
      </c>
      <c r="I42" s="4"/>
      <c r="J42" s="4"/>
      <c r="K42" s="5" t="s">
        <v>56</v>
      </c>
      <c r="L42" s="4">
        <v>8568</v>
      </c>
      <c r="M42" s="4">
        <v>8416</v>
      </c>
      <c r="N42" s="4" t="s">
        <v>33</v>
      </c>
      <c r="O42" s="4" t="s">
        <v>89</v>
      </c>
      <c r="P42" s="4"/>
      <c r="Q42" s="4" t="s">
        <v>34</v>
      </c>
      <c r="R42" s="4"/>
      <c r="S42" s="4" t="s">
        <v>88</v>
      </c>
      <c r="T42" s="4" t="s">
        <v>84</v>
      </c>
      <c r="U42" s="4" t="s">
        <v>85</v>
      </c>
      <c r="V42" s="4">
        <v>4</v>
      </c>
      <c r="W42" s="4" t="s">
        <v>38</v>
      </c>
      <c r="X42" s="4">
        <v>0</v>
      </c>
      <c r="Y42" s="4">
        <v>0</v>
      </c>
      <c r="Z42" s="4">
        <v>4</v>
      </c>
      <c r="AA42" s="4">
        <v>0</v>
      </c>
      <c r="AB42" s="4"/>
      <c r="AC42" s="4"/>
      <c r="AD42" s="10" t="s">
        <v>117</v>
      </c>
      <c r="AE42" s="2" t="s">
        <v>113</v>
      </c>
    </row>
    <row r="43" spans="1:34">
      <c r="B43" s="1">
        <v>22</v>
      </c>
      <c r="C43" s="2" t="str">
        <f t="shared" si="0"/>
        <v>M230515170_A863-3B_SB_PA-24002-099_4</v>
      </c>
      <c r="D43" s="9">
        <v>4</v>
      </c>
      <c r="E43" s="4" t="s">
        <v>52</v>
      </c>
      <c r="F43" s="4" t="s">
        <v>53</v>
      </c>
      <c r="G43" s="4" t="s">
        <v>54</v>
      </c>
      <c r="H43" s="4" t="s">
        <v>55</v>
      </c>
      <c r="I43" s="4"/>
      <c r="J43" s="4"/>
      <c r="K43" s="5" t="s">
        <v>56</v>
      </c>
      <c r="L43" s="4">
        <v>12180</v>
      </c>
      <c r="M43" s="4">
        <v>12044</v>
      </c>
      <c r="N43" s="4" t="s">
        <v>33</v>
      </c>
      <c r="O43" s="4" t="s">
        <v>89</v>
      </c>
      <c r="P43" s="4"/>
      <c r="Q43" s="4" t="s">
        <v>34</v>
      </c>
      <c r="R43" s="4"/>
      <c r="S43" s="4" t="s">
        <v>88</v>
      </c>
      <c r="T43" s="4" t="s">
        <v>84</v>
      </c>
      <c r="U43" s="4" t="s">
        <v>85</v>
      </c>
      <c r="V43" s="4">
        <v>4</v>
      </c>
      <c r="W43" s="4" t="s">
        <v>38</v>
      </c>
      <c r="X43" s="4">
        <v>0</v>
      </c>
      <c r="Y43" s="4">
        <v>0</v>
      </c>
      <c r="Z43" s="4">
        <v>4</v>
      </c>
      <c r="AA43" s="4">
        <v>0</v>
      </c>
      <c r="AB43" s="4"/>
      <c r="AC43" s="4"/>
      <c r="AD43" s="10" t="s">
        <v>117</v>
      </c>
      <c r="AE43" s="2" t="s">
        <v>113</v>
      </c>
    </row>
    <row r="44" spans="1:34">
      <c r="B44" s="1">
        <v>22</v>
      </c>
      <c r="C44" s="2" t="str">
        <f t="shared" si="0"/>
        <v>M191110503_A863-3B_SB_PA-24002-099_5</v>
      </c>
      <c r="D44" s="1">
        <v>5</v>
      </c>
      <c r="E44" s="4" t="s">
        <v>62</v>
      </c>
      <c r="F44" s="4" t="s">
        <v>63</v>
      </c>
      <c r="G44" s="4" t="s">
        <v>31</v>
      </c>
      <c r="H44" s="4"/>
      <c r="I44" s="4" t="s">
        <v>47</v>
      </c>
      <c r="J44" s="4"/>
      <c r="K44" s="5" t="s">
        <v>64</v>
      </c>
      <c r="L44" s="4">
        <v>213</v>
      </c>
      <c r="M44" s="4">
        <v>195</v>
      </c>
      <c r="N44" s="4" t="s">
        <v>33</v>
      </c>
      <c r="O44" s="4" t="s">
        <v>89</v>
      </c>
      <c r="P44" s="4"/>
      <c r="Q44" s="4" t="s">
        <v>34</v>
      </c>
      <c r="R44" s="4"/>
      <c r="S44" s="4" t="s">
        <v>88</v>
      </c>
      <c r="T44" s="4" t="s">
        <v>84</v>
      </c>
      <c r="U44" s="4" t="s">
        <v>85</v>
      </c>
      <c r="V44" s="4">
        <v>1</v>
      </c>
      <c r="W44" s="4" t="s">
        <v>38</v>
      </c>
      <c r="X44" s="4">
        <v>0</v>
      </c>
      <c r="Y44" s="4">
        <v>0</v>
      </c>
      <c r="Z44" s="4">
        <v>1</v>
      </c>
      <c r="AA44" s="4">
        <v>0</v>
      </c>
      <c r="AB44" s="4"/>
      <c r="AC44" s="4" t="s">
        <v>72</v>
      </c>
      <c r="AD44" s="2" t="s">
        <v>119</v>
      </c>
      <c r="AE44" s="2" t="s">
        <v>115</v>
      </c>
      <c r="AF44" s="2" t="str">
        <f>$AF$4</f>
        <v>PAINT SHOP</v>
      </c>
      <c r="AG44" s="2" t="s">
        <v>124</v>
      </c>
      <c r="AH44" s="11">
        <v>45960</v>
      </c>
    </row>
    <row r="45" spans="1:34">
      <c r="B45" s="1">
        <v>22</v>
      </c>
      <c r="C45" s="2" t="str">
        <f t="shared" si="0"/>
        <v>M238710447_A863-3B_SB_PA-24002-099_6</v>
      </c>
      <c r="D45" s="1">
        <v>6</v>
      </c>
      <c r="E45" s="4" t="s">
        <v>82</v>
      </c>
      <c r="F45" s="4" t="s">
        <v>77</v>
      </c>
      <c r="G45" s="4" t="s">
        <v>31</v>
      </c>
      <c r="H45" s="4"/>
      <c r="I45" s="4"/>
      <c r="J45" s="4"/>
      <c r="K45" s="5" t="s">
        <v>78</v>
      </c>
      <c r="L45" s="4">
        <v>32</v>
      </c>
      <c r="M45" s="4">
        <v>30</v>
      </c>
      <c r="N45" s="4" t="s">
        <v>33</v>
      </c>
      <c r="O45" s="4" t="s">
        <v>89</v>
      </c>
      <c r="P45" s="4"/>
      <c r="Q45" s="4" t="s">
        <v>34</v>
      </c>
      <c r="R45" s="4"/>
      <c r="S45" s="4" t="s">
        <v>88</v>
      </c>
      <c r="T45" s="4" t="s">
        <v>84</v>
      </c>
      <c r="U45" s="4" t="s">
        <v>85</v>
      </c>
      <c r="V45" s="4">
        <v>1</v>
      </c>
      <c r="W45" s="4" t="s">
        <v>38</v>
      </c>
      <c r="X45" s="4">
        <v>0</v>
      </c>
      <c r="Y45" s="4">
        <v>0</v>
      </c>
      <c r="Z45" s="4">
        <v>0</v>
      </c>
      <c r="AA45" s="4">
        <v>1</v>
      </c>
      <c r="AB45" s="4"/>
      <c r="AC45" s="4" t="s">
        <v>72</v>
      </c>
      <c r="AD45" s="17" t="s">
        <v>137</v>
      </c>
      <c r="AF45" s="15" t="s">
        <v>135</v>
      </c>
    </row>
    <row r="46" spans="1:34">
      <c r="A46" s="1">
        <v>7</v>
      </c>
      <c r="B46" s="1">
        <v>25</v>
      </c>
      <c r="C46" s="2" t="str">
        <f t="shared" si="0"/>
        <v>M230575191_A870-1_SB_LPS-24259-099_5</v>
      </c>
      <c r="D46" s="9">
        <v>5</v>
      </c>
      <c r="E46" s="4" t="s">
        <v>68</v>
      </c>
      <c r="F46" s="4" t="s">
        <v>30</v>
      </c>
      <c r="G46" s="4" t="s">
        <v>69</v>
      </c>
      <c r="H46" s="4"/>
      <c r="I46" s="4"/>
      <c r="J46" s="4"/>
      <c r="K46" s="5" t="s">
        <v>32</v>
      </c>
      <c r="L46" s="4">
        <v>70</v>
      </c>
      <c r="M46" s="4">
        <v>70</v>
      </c>
      <c r="N46" s="4" t="s">
        <v>33</v>
      </c>
      <c r="O46" s="4" t="s">
        <v>90</v>
      </c>
      <c r="P46" s="4"/>
      <c r="Q46" s="4" t="s">
        <v>91</v>
      </c>
      <c r="R46" s="4"/>
      <c r="S46" s="4" t="s">
        <v>92</v>
      </c>
      <c r="T46" s="4" t="s">
        <v>93</v>
      </c>
      <c r="U46" s="4" t="s">
        <v>94</v>
      </c>
      <c r="V46" s="4">
        <v>1</v>
      </c>
      <c r="W46" s="4" t="s">
        <v>38</v>
      </c>
      <c r="X46" s="4">
        <v>0</v>
      </c>
      <c r="Y46" s="4">
        <v>0</v>
      </c>
      <c r="Z46" s="4">
        <v>1</v>
      </c>
      <c r="AA46" s="4">
        <v>0</v>
      </c>
      <c r="AB46" s="4"/>
      <c r="AC46" s="4" t="s">
        <v>39</v>
      </c>
      <c r="AD46" s="10" t="s">
        <v>121</v>
      </c>
      <c r="AE46" s="2" t="s">
        <v>122</v>
      </c>
      <c r="AF46" s="2" t="s">
        <v>133</v>
      </c>
    </row>
    <row r="47" spans="1:34">
      <c r="B47" s="1">
        <v>25</v>
      </c>
      <c r="C47" s="2" t="str">
        <f t="shared" si="0"/>
        <v>M192030561_A870-1_SB_LPS-24259-099_6</v>
      </c>
      <c r="D47" s="9">
        <v>6</v>
      </c>
      <c r="E47" s="4" t="s">
        <v>40</v>
      </c>
      <c r="F47" s="4" t="s">
        <v>41</v>
      </c>
      <c r="G47" s="4" t="s">
        <v>42</v>
      </c>
      <c r="H47" s="4"/>
      <c r="I47" s="4"/>
      <c r="J47" s="4"/>
      <c r="K47" s="5" t="s">
        <v>43</v>
      </c>
      <c r="L47" s="4">
        <v>4109</v>
      </c>
      <c r="M47" s="4">
        <v>4107</v>
      </c>
      <c r="N47" s="4" t="s">
        <v>33</v>
      </c>
      <c r="O47" s="4" t="s">
        <v>90</v>
      </c>
      <c r="P47" s="4"/>
      <c r="Q47" s="4" t="s">
        <v>91</v>
      </c>
      <c r="R47" s="4"/>
      <c r="S47" s="4" t="s">
        <v>92</v>
      </c>
      <c r="T47" s="4" t="s">
        <v>93</v>
      </c>
      <c r="U47" s="4" t="s">
        <v>94</v>
      </c>
      <c r="V47" s="4">
        <v>1</v>
      </c>
      <c r="W47" s="4" t="s">
        <v>38</v>
      </c>
      <c r="X47" s="4">
        <v>0</v>
      </c>
      <c r="Y47" s="4">
        <v>0</v>
      </c>
      <c r="Z47" s="4">
        <v>1</v>
      </c>
      <c r="AA47" s="4">
        <v>0</v>
      </c>
      <c r="AB47" s="4"/>
      <c r="AC47" s="4" t="s">
        <v>39</v>
      </c>
      <c r="AD47" s="10" t="s">
        <v>117</v>
      </c>
      <c r="AE47" s="2" t="s">
        <v>113</v>
      </c>
    </row>
    <row r="48" spans="1:34">
      <c r="B48" s="1">
        <v>25</v>
      </c>
      <c r="C48" s="2" t="str">
        <f t="shared" si="0"/>
        <v>M280156153_A870-1_SB_LPS-24259-099_7</v>
      </c>
      <c r="D48" s="1">
        <v>7</v>
      </c>
      <c r="E48" s="4" t="s">
        <v>95</v>
      </c>
      <c r="F48" s="4" t="s">
        <v>45</v>
      </c>
      <c r="G48" s="4" t="s">
        <v>69</v>
      </c>
      <c r="H48" s="4" t="s">
        <v>46</v>
      </c>
      <c r="I48" s="4" t="s">
        <v>47</v>
      </c>
      <c r="J48" s="4" t="s">
        <v>46</v>
      </c>
      <c r="K48" s="5" t="s">
        <v>48</v>
      </c>
      <c r="L48" s="4">
        <v>170</v>
      </c>
      <c r="M48" s="4">
        <v>170</v>
      </c>
      <c r="N48" s="4" t="s">
        <v>33</v>
      </c>
      <c r="O48" s="4" t="s">
        <v>90</v>
      </c>
      <c r="P48" s="4"/>
      <c r="Q48" s="4" t="s">
        <v>91</v>
      </c>
      <c r="R48" s="4"/>
      <c r="S48" s="4" t="s">
        <v>92</v>
      </c>
      <c r="T48" s="4" t="s">
        <v>93</v>
      </c>
      <c r="U48" s="4" t="s">
        <v>94</v>
      </c>
      <c r="V48" s="4">
        <v>5</v>
      </c>
      <c r="W48" s="4" t="s">
        <v>38</v>
      </c>
      <c r="X48" s="4">
        <v>0</v>
      </c>
      <c r="Y48" s="4">
        <v>0</v>
      </c>
      <c r="Z48" s="4">
        <v>0</v>
      </c>
      <c r="AA48" s="4">
        <v>5</v>
      </c>
      <c r="AB48" s="4"/>
      <c r="AC48" s="4" t="s">
        <v>49</v>
      </c>
      <c r="AD48" s="17" t="s">
        <v>137</v>
      </c>
      <c r="AF48" s="15" t="s">
        <v>135</v>
      </c>
    </row>
    <row r="49" spans="1:34">
      <c r="B49" s="1">
        <v>25</v>
      </c>
      <c r="C49" s="2" t="str">
        <f t="shared" si="0"/>
        <v>M230718054_A870-1_SB_LPS-24259-099_8</v>
      </c>
      <c r="D49" s="9">
        <v>8</v>
      </c>
      <c r="E49" s="4" t="s">
        <v>74</v>
      </c>
      <c r="F49" s="4" t="s">
        <v>53</v>
      </c>
      <c r="G49" s="4" t="s">
        <v>54</v>
      </c>
      <c r="H49" s="4" t="s">
        <v>75</v>
      </c>
      <c r="I49" s="4"/>
      <c r="J49" s="4"/>
      <c r="K49" s="5" t="s">
        <v>56</v>
      </c>
      <c r="L49" s="4">
        <v>1308</v>
      </c>
      <c r="M49" s="4">
        <v>1296</v>
      </c>
      <c r="N49" s="4" t="s">
        <v>33</v>
      </c>
      <c r="O49" s="4" t="s">
        <v>90</v>
      </c>
      <c r="P49" s="4"/>
      <c r="Q49" s="4" t="s">
        <v>91</v>
      </c>
      <c r="R49" s="4"/>
      <c r="S49" s="4" t="s">
        <v>92</v>
      </c>
      <c r="T49" s="4" t="s">
        <v>93</v>
      </c>
      <c r="U49" s="4" t="s">
        <v>94</v>
      </c>
      <c r="V49" s="4">
        <v>4</v>
      </c>
      <c r="W49" s="4" t="s">
        <v>38</v>
      </c>
      <c r="X49" s="4">
        <v>4</v>
      </c>
      <c r="Y49" s="4">
        <v>0</v>
      </c>
      <c r="Z49" s="4">
        <v>0</v>
      </c>
      <c r="AA49" s="4">
        <v>4</v>
      </c>
      <c r="AB49" s="4"/>
      <c r="AC49" s="4" t="s">
        <v>49</v>
      </c>
      <c r="AD49" s="10" t="s">
        <v>117</v>
      </c>
      <c r="AE49" s="2" t="s">
        <v>113</v>
      </c>
    </row>
    <row r="50" spans="1:34">
      <c r="B50" s="1">
        <v>25</v>
      </c>
      <c r="C50" s="2" t="str">
        <f t="shared" si="0"/>
        <v>M230578304_A870-1_SB_LPS-24259-099_9</v>
      </c>
      <c r="D50" s="9">
        <v>9</v>
      </c>
      <c r="E50" s="4" t="s">
        <v>57</v>
      </c>
      <c r="F50" s="4" t="s">
        <v>53</v>
      </c>
      <c r="G50" s="4" t="s">
        <v>54</v>
      </c>
      <c r="H50" s="4" t="s">
        <v>58</v>
      </c>
      <c r="I50" s="4"/>
      <c r="J50" s="4"/>
      <c r="K50" s="5" t="s">
        <v>56</v>
      </c>
      <c r="L50" s="4">
        <v>8568</v>
      </c>
      <c r="M50" s="4">
        <v>8416</v>
      </c>
      <c r="N50" s="4" t="s">
        <v>33</v>
      </c>
      <c r="O50" s="4" t="s">
        <v>90</v>
      </c>
      <c r="P50" s="4"/>
      <c r="Q50" s="4" t="s">
        <v>91</v>
      </c>
      <c r="R50" s="4"/>
      <c r="S50" s="4" t="s">
        <v>92</v>
      </c>
      <c r="T50" s="4" t="s">
        <v>93</v>
      </c>
      <c r="U50" s="4" t="s">
        <v>94</v>
      </c>
      <c r="V50" s="4">
        <v>12</v>
      </c>
      <c r="W50" s="4" t="s">
        <v>38</v>
      </c>
      <c r="X50" s="4">
        <v>0</v>
      </c>
      <c r="Y50" s="4">
        <v>12</v>
      </c>
      <c r="Z50" s="4">
        <v>0</v>
      </c>
      <c r="AA50" s="4">
        <v>0</v>
      </c>
      <c r="AB50" s="4"/>
      <c r="AC50" s="4" t="s">
        <v>49</v>
      </c>
      <c r="AD50" s="10" t="s">
        <v>117</v>
      </c>
      <c r="AE50" s="2" t="s">
        <v>113</v>
      </c>
    </row>
    <row r="51" spans="1:34">
      <c r="B51" s="1">
        <v>25</v>
      </c>
      <c r="C51" s="2" t="str">
        <f t="shared" si="0"/>
        <v>M191110508_A870-1_SB_LPS-24259-099_10</v>
      </c>
      <c r="D51" s="1">
        <v>10</v>
      </c>
      <c r="E51" s="4" t="s">
        <v>79</v>
      </c>
      <c r="F51" s="4" t="s">
        <v>63</v>
      </c>
      <c r="G51" s="4" t="s">
        <v>69</v>
      </c>
      <c r="H51" s="4"/>
      <c r="I51" s="4" t="s">
        <v>47</v>
      </c>
      <c r="J51" s="4"/>
      <c r="K51" s="5" t="s">
        <v>64</v>
      </c>
      <c r="L51" s="4">
        <v>40</v>
      </c>
      <c r="M51" s="4">
        <v>33</v>
      </c>
      <c r="N51" s="4" t="s">
        <v>33</v>
      </c>
      <c r="O51" s="4" t="s">
        <v>90</v>
      </c>
      <c r="P51" s="4"/>
      <c r="Q51" s="4" t="s">
        <v>91</v>
      </c>
      <c r="R51" s="4"/>
      <c r="S51" s="4" t="s">
        <v>92</v>
      </c>
      <c r="T51" s="4" t="s">
        <v>93</v>
      </c>
      <c r="U51" s="4" t="s">
        <v>94</v>
      </c>
      <c r="V51" s="4">
        <v>1</v>
      </c>
      <c r="W51" s="4" t="s">
        <v>38</v>
      </c>
      <c r="X51" s="4">
        <v>0</v>
      </c>
      <c r="Y51" s="4">
        <v>0</v>
      </c>
      <c r="Z51" s="4">
        <v>1</v>
      </c>
      <c r="AA51" s="4">
        <v>0</v>
      </c>
      <c r="AB51" s="4"/>
      <c r="AC51" s="4" t="s">
        <v>39</v>
      </c>
      <c r="AD51" s="16" t="s">
        <v>138</v>
      </c>
      <c r="AF51" s="15" t="s">
        <v>135</v>
      </c>
    </row>
    <row r="52" spans="1:34">
      <c r="B52" s="1">
        <v>25</v>
      </c>
      <c r="C52" s="2" t="str">
        <f t="shared" si="0"/>
        <v>M367335618_A870-1_SB_LPS-24259-099_11</v>
      </c>
      <c r="D52" s="1">
        <v>11</v>
      </c>
      <c r="E52" s="4" t="s">
        <v>96</v>
      </c>
      <c r="F52" s="4" t="s">
        <v>60</v>
      </c>
      <c r="G52" s="4" t="s">
        <v>69</v>
      </c>
      <c r="H52" s="4" t="s">
        <v>46</v>
      </c>
      <c r="I52" s="4" t="s">
        <v>46</v>
      </c>
      <c r="J52" s="4" t="s">
        <v>46</v>
      </c>
      <c r="K52" s="5" t="s">
        <v>97</v>
      </c>
      <c r="L52" s="4">
        <v>12</v>
      </c>
      <c r="M52" s="4">
        <v>10</v>
      </c>
      <c r="N52" s="4" t="s">
        <v>33</v>
      </c>
      <c r="O52" s="4" t="s">
        <v>90</v>
      </c>
      <c r="P52" s="4"/>
      <c r="Q52" s="4" t="s">
        <v>91</v>
      </c>
      <c r="R52" s="4"/>
      <c r="S52" s="4" t="s">
        <v>92</v>
      </c>
      <c r="T52" s="4" t="s">
        <v>93</v>
      </c>
      <c r="U52" s="4" t="s">
        <v>94</v>
      </c>
      <c r="V52" s="4">
        <v>2</v>
      </c>
      <c r="W52" s="4" t="s">
        <v>38</v>
      </c>
      <c r="X52" s="4">
        <v>2</v>
      </c>
      <c r="Y52" s="4">
        <v>0</v>
      </c>
      <c r="Z52" s="4">
        <v>0</v>
      </c>
      <c r="AA52" s="4">
        <v>2</v>
      </c>
      <c r="AB52" s="4"/>
      <c r="AC52" s="4" t="s">
        <v>39</v>
      </c>
      <c r="AD52" s="16" t="s">
        <v>138</v>
      </c>
      <c r="AF52" s="15" t="s">
        <v>135</v>
      </c>
    </row>
    <row r="53" spans="1:34">
      <c r="A53" s="1">
        <v>8</v>
      </c>
      <c r="B53" s="1">
        <v>40</v>
      </c>
      <c r="C53" s="2" t="str">
        <f t="shared" si="0"/>
        <v>M238840827_S870-1_SB_LPS-24262-099_2</v>
      </c>
      <c r="D53" s="7">
        <v>2</v>
      </c>
      <c r="E53" s="4" t="s">
        <v>99</v>
      </c>
      <c r="F53" s="4" t="s">
        <v>100</v>
      </c>
      <c r="G53" s="4" t="s">
        <v>42</v>
      </c>
      <c r="H53" s="4"/>
      <c r="I53" s="4" t="s">
        <v>101</v>
      </c>
      <c r="J53" s="4"/>
      <c r="K53" s="5" t="s">
        <v>102</v>
      </c>
      <c r="L53" s="4">
        <v>0</v>
      </c>
      <c r="M53" s="4">
        <v>0</v>
      </c>
      <c r="N53" s="4" t="s">
        <v>33</v>
      </c>
      <c r="O53" s="4" t="s">
        <v>98</v>
      </c>
      <c r="P53" s="4"/>
      <c r="Q53" s="4" t="s">
        <v>103</v>
      </c>
      <c r="R53" s="4"/>
      <c r="S53" s="4" t="s">
        <v>104</v>
      </c>
      <c r="T53" s="4" t="s">
        <v>93</v>
      </c>
      <c r="U53" s="4" t="s">
        <v>94</v>
      </c>
      <c r="V53" s="4">
        <v>1</v>
      </c>
      <c r="W53" s="4" t="s">
        <v>38</v>
      </c>
      <c r="X53" s="4">
        <v>0</v>
      </c>
      <c r="Y53" s="4">
        <v>0</v>
      </c>
      <c r="Z53" s="4">
        <v>0</v>
      </c>
      <c r="AA53" s="4">
        <v>1</v>
      </c>
      <c r="AB53" s="4"/>
      <c r="AC53" s="4" t="s">
        <v>39</v>
      </c>
      <c r="AD53" s="18" t="s">
        <v>117</v>
      </c>
      <c r="AE53" s="19"/>
      <c r="AF53" s="20"/>
      <c r="AG53" s="19"/>
    </row>
    <row r="54" spans="1:34">
      <c r="B54" s="1">
        <v>40</v>
      </c>
      <c r="C54" s="2" t="str">
        <f t="shared" si="0"/>
        <v>M229869532_S870-1_SB_LPS-24262-099_4</v>
      </c>
      <c r="D54" s="7">
        <v>4</v>
      </c>
      <c r="E54" s="4" t="s">
        <v>105</v>
      </c>
      <c r="F54" s="4" t="s">
        <v>106</v>
      </c>
      <c r="G54" s="4" t="s">
        <v>42</v>
      </c>
      <c r="H54" s="4"/>
      <c r="I54" s="4"/>
      <c r="J54" s="4"/>
      <c r="K54" s="5" t="s">
        <v>107</v>
      </c>
      <c r="L54" s="4">
        <v>1958</v>
      </c>
      <c r="M54" s="4">
        <v>1852</v>
      </c>
      <c r="N54" s="4" t="s">
        <v>33</v>
      </c>
      <c r="O54" s="4" t="s">
        <v>98</v>
      </c>
      <c r="P54" s="4"/>
      <c r="Q54" s="4" t="s">
        <v>103</v>
      </c>
      <c r="R54" s="4"/>
      <c r="S54" s="4" t="s">
        <v>104</v>
      </c>
      <c r="T54" s="4" t="s">
        <v>93</v>
      </c>
      <c r="U54" s="4" t="s">
        <v>94</v>
      </c>
      <c r="V54" s="4">
        <v>1</v>
      </c>
      <c r="W54" s="4" t="s">
        <v>38</v>
      </c>
      <c r="X54" s="4">
        <v>0</v>
      </c>
      <c r="Y54" s="4">
        <v>0</v>
      </c>
      <c r="Z54" s="4">
        <v>0</v>
      </c>
      <c r="AA54" s="4">
        <v>1</v>
      </c>
      <c r="AB54" s="4"/>
      <c r="AC54" s="4" t="s">
        <v>39</v>
      </c>
      <c r="AD54" s="16" t="s">
        <v>138</v>
      </c>
      <c r="AF54" s="15" t="s">
        <v>135</v>
      </c>
    </row>
    <row r="55" spans="1:34">
      <c r="B55" s="1">
        <v>40</v>
      </c>
      <c r="C55" s="2" t="str">
        <f t="shared" si="0"/>
        <v>M230575189_S870-1_SB_LPS-24262-099_5</v>
      </c>
      <c r="D55" s="1">
        <v>5</v>
      </c>
      <c r="E55" s="4" t="s">
        <v>29</v>
      </c>
      <c r="F55" s="4" t="s">
        <v>87</v>
      </c>
      <c r="G55" s="4" t="s">
        <v>31</v>
      </c>
      <c r="H55" s="4"/>
      <c r="I55" s="4"/>
      <c r="J55" s="4"/>
      <c r="K55" s="5" t="s">
        <v>32</v>
      </c>
      <c r="L55" s="4">
        <v>285</v>
      </c>
      <c r="M55" s="4">
        <v>275</v>
      </c>
      <c r="N55" s="4" t="s">
        <v>33</v>
      </c>
      <c r="O55" s="4" t="s">
        <v>98</v>
      </c>
      <c r="P55" s="4"/>
      <c r="Q55" s="4" t="s">
        <v>103</v>
      </c>
      <c r="R55" s="4"/>
      <c r="S55" s="4" t="s">
        <v>104</v>
      </c>
      <c r="T55" s="4" t="s">
        <v>93</v>
      </c>
      <c r="U55" s="4" t="s">
        <v>94</v>
      </c>
      <c r="V55" s="4">
        <v>1</v>
      </c>
      <c r="W55" s="4" t="s">
        <v>38</v>
      </c>
      <c r="X55" s="4">
        <v>0</v>
      </c>
      <c r="Y55" s="4">
        <v>0</v>
      </c>
      <c r="Z55" s="4">
        <v>1</v>
      </c>
      <c r="AA55" s="4">
        <v>0</v>
      </c>
      <c r="AB55" s="4"/>
      <c r="AC55" s="4" t="s">
        <v>39</v>
      </c>
      <c r="AD55" s="2" t="s">
        <v>116</v>
      </c>
      <c r="AE55" s="2" t="s">
        <v>115</v>
      </c>
      <c r="AF55" s="2" t="str">
        <f>$AF$4</f>
        <v>PAINT SHOP</v>
      </c>
      <c r="AG55" s="2" t="s">
        <v>123</v>
      </c>
      <c r="AH55" s="11">
        <v>45917</v>
      </c>
    </row>
    <row r="56" spans="1:34">
      <c r="B56" s="1">
        <v>40</v>
      </c>
      <c r="C56" s="2" t="str">
        <f t="shared" si="0"/>
        <v>M192030561_S870-1_SB_LPS-24262-099_6</v>
      </c>
      <c r="D56" s="9">
        <v>6</v>
      </c>
      <c r="E56" s="4" t="s">
        <v>40</v>
      </c>
      <c r="F56" s="4" t="s">
        <v>41</v>
      </c>
      <c r="G56" s="4" t="s">
        <v>42</v>
      </c>
      <c r="H56" s="4"/>
      <c r="I56" s="4"/>
      <c r="J56" s="4"/>
      <c r="K56" s="5" t="s">
        <v>43</v>
      </c>
      <c r="L56" s="4">
        <v>4109</v>
      </c>
      <c r="M56" s="4">
        <v>4107</v>
      </c>
      <c r="N56" s="4" t="s">
        <v>33</v>
      </c>
      <c r="O56" s="4" t="s">
        <v>98</v>
      </c>
      <c r="P56" s="4"/>
      <c r="Q56" s="4" t="s">
        <v>103</v>
      </c>
      <c r="R56" s="4"/>
      <c r="S56" s="4" t="s">
        <v>104</v>
      </c>
      <c r="T56" s="4" t="s">
        <v>93</v>
      </c>
      <c r="U56" s="4" t="s">
        <v>94</v>
      </c>
      <c r="V56" s="4">
        <v>1</v>
      </c>
      <c r="W56" s="4" t="s">
        <v>38</v>
      </c>
      <c r="X56" s="4">
        <v>0</v>
      </c>
      <c r="Y56" s="4">
        <v>0</v>
      </c>
      <c r="Z56" s="4">
        <v>1</v>
      </c>
      <c r="AA56" s="4">
        <v>0</v>
      </c>
      <c r="AB56" s="4"/>
      <c r="AC56" s="4" t="s">
        <v>39</v>
      </c>
      <c r="AD56" s="10" t="s">
        <v>117</v>
      </c>
      <c r="AE56" s="2" t="s">
        <v>113</v>
      </c>
    </row>
    <row r="57" spans="1:34">
      <c r="B57" s="1">
        <v>40</v>
      </c>
      <c r="C57" s="2" t="str">
        <f t="shared" si="0"/>
        <v>M280156151_S870-1_SB_LPS-24262-099_7</v>
      </c>
      <c r="D57" s="1">
        <v>7</v>
      </c>
      <c r="E57" s="4" t="s">
        <v>44</v>
      </c>
      <c r="F57" s="4" t="s">
        <v>45</v>
      </c>
      <c r="G57" s="4" t="s">
        <v>31</v>
      </c>
      <c r="H57" s="4" t="s">
        <v>46</v>
      </c>
      <c r="I57" s="4" t="s">
        <v>47</v>
      </c>
      <c r="J57" s="4" t="s">
        <v>46</v>
      </c>
      <c r="K57" s="5" t="s">
        <v>48</v>
      </c>
      <c r="L57" s="4">
        <v>571</v>
      </c>
      <c r="M57" s="4">
        <v>571</v>
      </c>
      <c r="N57" s="4" t="s">
        <v>33</v>
      </c>
      <c r="O57" s="4" t="s">
        <v>98</v>
      </c>
      <c r="P57" s="4"/>
      <c r="Q57" s="4" t="s">
        <v>103</v>
      </c>
      <c r="R57" s="4"/>
      <c r="S57" s="4" t="s">
        <v>104</v>
      </c>
      <c r="T57" s="4" t="s">
        <v>93</v>
      </c>
      <c r="U57" s="4" t="s">
        <v>94</v>
      </c>
      <c r="V57" s="4">
        <v>5</v>
      </c>
      <c r="W57" s="4" t="s">
        <v>38</v>
      </c>
      <c r="X57" s="4">
        <v>0</v>
      </c>
      <c r="Y57" s="4">
        <v>0</v>
      </c>
      <c r="Z57" s="4">
        <v>0</v>
      </c>
      <c r="AA57" s="4">
        <v>5</v>
      </c>
      <c r="AB57" s="4"/>
      <c r="AC57" s="4" t="s">
        <v>49</v>
      </c>
      <c r="AD57" s="17" t="s">
        <v>137</v>
      </c>
      <c r="AF57" s="15" t="s">
        <v>135</v>
      </c>
    </row>
    <row r="58" spans="1:34">
      <c r="B58" s="1">
        <v>40</v>
      </c>
      <c r="C58" s="2" t="str">
        <f t="shared" si="0"/>
        <v>M230515170_S870-1_SB_LPS-24262-099_8</v>
      </c>
      <c r="D58" s="9">
        <v>8</v>
      </c>
      <c r="E58" s="4" t="s">
        <v>52</v>
      </c>
      <c r="F58" s="4" t="s">
        <v>53</v>
      </c>
      <c r="G58" s="4" t="s">
        <v>54</v>
      </c>
      <c r="H58" s="4" t="s">
        <v>55</v>
      </c>
      <c r="I58" s="4"/>
      <c r="J58" s="4"/>
      <c r="K58" s="5" t="s">
        <v>56</v>
      </c>
      <c r="L58" s="4">
        <v>12180</v>
      </c>
      <c r="M58" s="4">
        <v>12044</v>
      </c>
      <c r="N58" s="4" t="s">
        <v>33</v>
      </c>
      <c r="O58" s="4" t="s">
        <v>98</v>
      </c>
      <c r="P58" s="4"/>
      <c r="Q58" s="4" t="s">
        <v>103</v>
      </c>
      <c r="R58" s="4"/>
      <c r="S58" s="4" t="s">
        <v>104</v>
      </c>
      <c r="T58" s="4" t="s">
        <v>93</v>
      </c>
      <c r="U58" s="4" t="s">
        <v>94</v>
      </c>
      <c r="V58" s="4">
        <v>12</v>
      </c>
      <c r="W58" s="4" t="s">
        <v>38</v>
      </c>
      <c r="X58" s="4">
        <v>0</v>
      </c>
      <c r="Y58" s="4">
        <v>12</v>
      </c>
      <c r="Z58" s="4">
        <v>0</v>
      </c>
      <c r="AA58" s="4">
        <v>0</v>
      </c>
      <c r="AB58" s="4"/>
      <c r="AC58" s="4" t="s">
        <v>49</v>
      </c>
      <c r="AD58" s="10" t="s">
        <v>117</v>
      </c>
      <c r="AE58" s="2" t="s">
        <v>113</v>
      </c>
    </row>
    <row r="59" spans="1:34">
      <c r="B59" s="1">
        <v>40</v>
      </c>
      <c r="C59" s="2" t="str">
        <f t="shared" si="0"/>
        <v>M230578304_S870-1_SB_LPS-24262-099_9</v>
      </c>
      <c r="D59" s="9">
        <v>9</v>
      </c>
      <c r="E59" s="4" t="s">
        <v>57</v>
      </c>
      <c r="F59" s="4" t="s">
        <v>53</v>
      </c>
      <c r="G59" s="4" t="s">
        <v>54</v>
      </c>
      <c r="H59" s="4" t="s">
        <v>58</v>
      </c>
      <c r="I59" s="4"/>
      <c r="J59" s="4"/>
      <c r="K59" s="5" t="s">
        <v>56</v>
      </c>
      <c r="L59" s="4">
        <v>8568</v>
      </c>
      <c r="M59" s="4">
        <v>8416</v>
      </c>
      <c r="N59" s="4" t="s">
        <v>33</v>
      </c>
      <c r="O59" s="4" t="s">
        <v>98</v>
      </c>
      <c r="P59" s="4"/>
      <c r="Q59" s="4" t="s">
        <v>103</v>
      </c>
      <c r="R59" s="4"/>
      <c r="S59" s="4" t="s">
        <v>104</v>
      </c>
      <c r="T59" s="4" t="s">
        <v>93</v>
      </c>
      <c r="U59" s="4" t="s">
        <v>94</v>
      </c>
      <c r="V59" s="4">
        <v>4</v>
      </c>
      <c r="W59" s="4" t="s">
        <v>38</v>
      </c>
      <c r="X59" s="4">
        <v>0</v>
      </c>
      <c r="Y59" s="4">
        <v>4</v>
      </c>
      <c r="Z59" s="4">
        <v>0</v>
      </c>
      <c r="AA59" s="4">
        <v>0</v>
      </c>
      <c r="AB59" s="4"/>
      <c r="AC59" s="4" t="s">
        <v>49</v>
      </c>
      <c r="AD59" s="10" t="s">
        <v>117</v>
      </c>
      <c r="AE59" s="2" t="s">
        <v>113</v>
      </c>
    </row>
    <row r="60" spans="1:34">
      <c r="B60" s="1">
        <v>40</v>
      </c>
      <c r="C60" s="2" t="str">
        <f t="shared" si="0"/>
        <v>M367335617_S870-1_SB_LPS-24262-099_10</v>
      </c>
      <c r="D60" s="1">
        <v>10</v>
      </c>
      <c r="E60" s="4" t="s">
        <v>108</v>
      </c>
      <c r="F60" s="4" t="s">
        <v>109</v>
      </c>
      <c r="G60" s="4" t="s">
        <v>31</v>
      </c>
      <c r="H60" s="4" t="s">
        <v>46</v>
      </c>
      <c r="I60" s="4" t="s">
        <v>46</v>
      </c>
      <c r="J60" s="4" t="s">
        <v>46</v>
      </c>
      <c r="K60" s="5" t="s">
        <v>97</v>
      </c>
      <c r="L60" s="4">
        <v>29</v>
      </c>
      <c r="M60" s="4">
        <v>27</v>
      </c>
      <c r="N60" s="4" t="s">
        <v>33</v>
      </c>
      <c r="O60" s="4" t="s">
        <v>98</v>
      </c>
      <c r="P60" s="4"/>
      <c r="Q60" s="4" t="s">
        <v>103</v>
      </c>
      <c r="R60" s="4"/>
      <c r="S60" s="4" t="s">
        <v>104</v>
      </c>
      <c r="T60" s="4" t="s">
        <v>93</v>
      </c>
      <c r="U60" s="4" t="s">
        <v>94</v>
      </c>
      <c r="V60" s="4">
        <v>2</v>
      </c>
      <c r="W60" s="4" t="s">
        <v>38</v>
      </c>
      <c r="X60" s="4">
        <v>0</v>
      </c>
      <c r="Y60" s="4">
        <v>2</v>
      </c>
      <c r="Z60" s="4">
        <v>0</v>
      </c>
      <c r="AA60" s="4">
        <v>0</v>
      </c>
      <c r="AB60" s="4"/>
      <c r="AC60" s="4" t="s">
        <v>39</v>
      </c>
      <c r="AD60" s="2" t="s">
        <v>139</v>
      </c>
      <c r="AE60" s="2" t="s">
        <v>129</v>
      </c>
      <c r="AF60" s="2" t="s">
        <v>133</v>
      </c>
    </row>
    <row r="61" spans="1:34">
      <c r="B61" s="1">
        <v>40</v>
      </c>
      <c r="C61" s="2" t="str">
        <f t="shared" si="0"/>
        <v>M191110503_S870-1_SB_LPS-24262-099_11</v>
      </c>
      <c r="D61" s="1">
        <v>11</v>
      </c>
      <c r="E61" s="4" t="s">
        <v>81</v>
      </c>
      <c r="F61" s="4" t="s">
        <v>63</v>
      </c>
      <c r="G61" s="4" t="s">
        <v>31</v>
      </c>
      <c r="H61" s="4"/>
      <c r="I61" s="4" t="s">
        <v>47</v>
      </c>
      <c r="J61" s="4"/>
      <c r="K61" s="5" t="s">
        <v>64</v>
      </c>
      <c r="L61" s="4">
        <v>213</v>
      </c>
      <c r="M61" s="4">
        <v>195</v>
      </c>
      <c r="N61" s="4" t="s">
        <v>33</v>
      </c>
      <c r="O61" s="4" t="s">
        <v>98</v>
      </c>
      <c r="P61" s="4"/>
      <c r="Q61" s="4" t="s">
        <v>103</v>
      </c>
      <c r="R61" s="4"/>
      <c r="S61" s="4" t="s">
        <v>104</v>
      </c>
      <c r="T61" s="4" t="s">
        <v>93</v>
      </c>
      <c r="U61" s="4" t="s">
        <v>94</v>
      </c>
      <c r="V61" s="4">
        <v>1</v>
      </c>
      <c r="W61" s="4" t="s">
        <v>38</v>
      </c>
      <c r="X61" s="4">
        <v>0</v>
      </c>
      <c r="Y61" s="4">
        <v>0</v>
      </c>
      <c r="Z61" s="4">
        <v>1</v>
      </c>
      <c r="AA61" s="4">
        <v>0</v>
      </c>
      <c r="AB61" s="4"/>
      <c r="AC61" s="4" t="s">
        <v>39</v>
      </c>
      <c r="AD61" s="2" t="s">
        <v>119</v>
      </c>
      <c r="AE61" s="2" t="s">
        <v>115</v>
      </c>
      <c r="AF61" s="2" t="str">
        <f>$AF$4</f>
        <v>PAINT SHOP</v>
      </c>
      <c r="AG61" s="2" t="s">
        <v>124</v>
      </c>
      <c r="AH61" s="11">
        <v>45960</v>
      </c>
    </row>
    <row r="65" spans="3:4">
      <c r="C65" s="2" t="s">
        <v>98</v>
      </c>
      <c r="D65" s="2" t="s">
        <v>110</v>
      </c>
    </row>
  </sheetData>
  <autoFilter ref="A3:AI61" xr:uid="{896B2764-AD7C-4148-8E93-12D6BDE6908E}"/>
  <phoneticPr fontId="2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FAAD-E206-46B9-A125-AE1F912D18C7}">
  <sheetPr>
    <pageSetUpPr fitToPage="1"/>
  </sheetPr>
  <dimension ref="A1:H8"/>
  <sheetViews>
    <sheetView workbookViewId="0">
      <selection activeCell="F3" sqref="F3"/>
    </sheetView>
  </sheetViews>
  <sheetFormatPr defaultRowHeight="14.5"/>
  <cols>
    <col min="1" max="1" width="10.7265625" bestFit="1" customWidth="1"/>
    <col min="2" max="3" width="16" customWidth="1"/>
    <col min="4" max="4" width="8.54296875" customWidth="1"/>
    <col min="5" max="5" width="9.81640625" customWidth="1"/>
    <col min="6" max="6" width="26" bestFit="1" customWidth="1"/>
    <col min="7" max="7" width="16.54296875" customWidth="1"/>
    <col min="8" max="8" width="13.54296875" customWidth="1"/>
  </cols>
  <sheetData>
    <row r="1" spans="1:8">
      <c r="B1" s="27" t="s">
        <v>148</v>
      </c>
      <c r="C1" s="27"/>
      <c r="D1" s="27"/>
      <c r="E1" s="27"/>
      <c r="F1" s="27"/>
      <c r="G1" s="27"/>
    </row>
    <row r="2" spans="1:8" ht="30.75" customHeight="1">
      <c r="A2" s="24" t="s">
        <v>150</v>
      </c>
      <c r="B2" s="23" t="s">
        <v>140</v>
      </c>
      <c r="C2" s="23" t="s">
        <v>143</v>
      </c>
      <c r="D2" s="23" t="s">
        <v>151</v>
      </c>
      <c r="E2" s="23" t="s">
        <v>141</v>
      </c>
      <c r="F2" s="23" t="s">
        <v>146</v>
      </c>
      <c r="G2" s="23" t="s">
        <v>142</v>
      </c>
      <c r="H2" s="24" t="s">
        <v>152</v>
      </c>
    </row>
    <row r="3" spans="1:8" ht="17.25" customHeight="1">
      <c r="A3" s="25">
        <v>45944</v>
      </c>
      <c r="B3" s="21" t="s">
        <v>60</v>
      </c>
      <c r="C3" s="21" t="s">
        <v>59</v>
      </c>
      <c r="D3" s="21">
        <v>2</v>
      </c>
      <c r="E3" s="21">
        <v>2</v>
      </c>
      <c r="F3" s="21" t="s">
        <v>144</v>
      </c>
      <c r="G3" s="21" t="s">
        <v>147</v>
      </c>
      <c r="H3" s="21" t="s">
        <v>39</v>
      </c>
    </row>
    <row r="4" spans="1:8" ht="17.25" customHeight="1">
      <c r="A4" s="25">
        <v>45969</v>
      </c>
      <c r="B4" s="21" t="s">
        <v>60</v>
      </c>
      <c r="C4" s="21" t="s">
        <v>108</v>
      </c>
      <c r="D4" s="21">
        <v>2</v>
      </c>
      <c r="E4" s="21">
        <v>2</v>
      </c>
      <c r="F4" s="21" t="s">
        <v>98</v>
      </c>
      <c r="G4" s="21" t="s">
        <v>39</v>
      </c>
      <c r="H4" s="22" t="s">
        <v>147</v>
      </c>
    </row>
    <row r="5" spans="1:8" ht="17.25" customHeight="1">
      <c r="A5" s="25">
        <v>45972</v>
      </c>
      <c r="B5" s="21" t="s">
        <v>60</v>
      </c>
      <c r="C5" s="21" t="s">
        <v>59</v>
      </c>
      <c r="D5" s="21">
        <v>2</v>
      </c>
      <c r="E5" s="21">
        <v>2</v>
      </c>
      <c r="F5" s="21" t="s">
        <v>28</v>
      </c>
      <c r="G5" s="21" t="s">
        <v>39</v>
      </c>
      <c r="H5" s="26"/>
    </row>
    <row r="6" spans="1:8" ht="17.25" customHeight="1">
      <c r="A6" s="25">
        <v>45972</v>
      </c>
      <c r="B6" s="21" t="s">
        <v>60</v>
      </c>
      <c r="C6" s="21" t="s">
        <v>59</v>
      </c>
      <c r="D6" s="21">
        <v>2</v>
      </c>
      <c r="E6" s="21">
        <v>2</v>
      </c>
      <c r="F6" s="21" t="s">
        <v>145</v>
      </c>
      <c r="G6" s="22" t="s">
        <v>147</v>
      </c>
      <c r="H6" s="26"/>
    </row>
    <row r="7" spans="1:8" ht="17.25" customHeight="1">
      <c r="A7" s="25">
        <v>45972</v>
      </c>
      <c r="B7" s="21" t="s">
        <v>60</v>
      </c>
      <c r="C7" s="21" t="s">
        <v>96</v>
      </c>
      <c r="D7" s="21">
        <v>3</v>
      </c>
      <c r="E7" s="21">
        <v>2</v>
      </c>
      <c r="F7" s="21" t="s">
        <v>90</v>
      </c>
      <c r="G7" s="21" t="s">
        <v>39</v>
      </c>
      <c r="H7" s="26"/>
    </row>
    <row r="8" spans="1:8" ht="19.5" customHeight="1">
      <c r="A8" s="25">
        <v>45972</v>
      </c>
      <c r="B8" s="22" t="s">
        <v>106</v>
      </c>
      <c r="C8" s="22" t="s">
        <v>105</v>
      </c>
      <c r="D8" s="22">
        <v>1</v>
      </c>
      <c r="E8" s="22">
        <v>1</v>
      </c>
      <c r="F8" s="22" t="s">
        <v>149</v>
      </c>
      <c r="G8" s="22" t="s">
        <v>72</v>
      </c>
      <c r="H8" s="26"/>
    </row>
  </sheetData>
  <autoFilter ref="A2:H2" xr:uid="{19907A17-92E8-476D-B4AD-1658A5842D65}">
    <sortState xmlns:xlrd2="http://schemas.microsoft.com/office/spreadsheetml/2017/richdata2" ref="A3:H8">
      <sortCondition ref="A2"/>
    </sortState>
  </autoFilter>
  <mergeCells count="1">
    <mergeCell ref="B1:G1"/>
  </mergeCells>
  <pageMargins left="0.7" right="0.7" top="0.75" bottom="0.75" header="0.3" footer="0.3"/>
  <pageSetup paperSize="9" scale="7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FA707-1680-406F-94D7-312B2AD154CC}">
          <x14:formula1>
            <xm:f>'C:\Users\DELL\Desktop\JFGP2-MATERIAL\TOTAL ISO BM EACH WEEK\[ISOBMList-11-03-2025.xlsx]Sheet2'!#REF!</xm:f>
          </x14:formula1>
          <xm:sqref>G5 H6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sunam Kim</dc:creator>
  <cp:lastModifiedBy>shadab khan</cp:lastModifiedBy>
  <cp:lastPrinted>2025-11-12T03:39:54Z</cp:lastPrinted>
  <dcterms:created xsi:type="dcterms:W3CDTF">2025-11-11T12:47:51Z</dcterms:created>
  <dcterms:modified xsi:type="dcterms:W3CDTF">2025-11-12T06:02:16Z</dcterms:modified>
</cp:coreProperties>
</file>