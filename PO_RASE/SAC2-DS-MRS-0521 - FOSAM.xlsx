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Boss\PO\FOSAM\00188649\"/>
    </mc:Choice>
  </mc:AlternateContent>
  <xr:revisionPtr revIDLastSave="0" documentId="13_ncr:1_{02175769-2BB2-4E7F-AAD5-4D57AD931629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page'!$A$1:$N$69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4" i="3" l="1"/>
  <c r="C25" i="3" l="1"/>
  <c r="E3" i="1"/>
  <c r="B8" i="4"/>
  <c r="B7" i="4"/>
  <c r="B6" i="4"/>
  <c r="J8" i="1"/>
  <c r="J7" i="1"/>
  <c r="J10" i="2" l="1"/>
  <c r="I10" i="2"/>
  <c r="H10" i="2"/>
  <c r="G10" i="2"/>
  <c r="D10" i="2"/>
  <c r="B10" i="2"/>
  <c r="H6" i="4"/>
  <c r="A14" i="1"/>
  <c r="A10" i="1"/>
  <c r="A12" i="1"/>
  <c r="I9" i="2"/>
  <c r="H9" i="2"/>
  <c r="G9" i="2"/>
  <c r="D9" i="2"/>
  <c r="B9" i="2"/>
  <c r="I8" i="2"/>
  <c r="H8" i="2"/>
  <c r="G8" i="2"/>
  <c r="D8" i="2"/>
  <c r="B8" i="2"/>
  <c r="J9" i="2"/>
  <c r="J8" i="2"/>
  <c r="J7" i="2" l="1"/>
  <c r="I7" i="2"/>
  <c r="H7" i="2"/>
  <c r="G7" i="2"/>
  <c r="D7" i="2"/>
  <c r="B7" i="2"/>
  <c r="A15" i="2" l="1"/>
  <c r="A14" i="2"/>
  <c r="A13" i="2"/>
  <c r="A12" i="2"/>
  <c r="K10" i="3"/>
  <c r="B3" i="4" s="1"/>
  <c r="J6" i="1"/>
  <c r="J6" i="2" s="1"/>
  <c r="G6" i="4" s="1"/>
  <c r="I6" i="2"/>
  <c r="F6" i="4" s="1"/>
  <c r="H6" i="2"/>
  <c r="E6" i="4" s="1"/>
  <c r="G6" i="2"/>
  <c r="D6" i="4" s="1"/>
  <c r="D6" i="2"/>
  <c r="B6" i="2"/>
  <c r="A22" i="4"/>
  <c r="A17" i="4"/>
  <c r="A16" i="4"/>
  <c r="A15" i="4"/>
  <c r="A14" i="4"/>
  <c r="A13" i="4"/>
  <c r="A12" i="4"/>
  <c r="A11" i="4"/>
  <c r="A10" i="4"/>
  <c r="A9" i="4"/>
  <c r="A6" i="4"/>
  <c r="F4" i="4"/>
  <c r="J69" i="3"/>
  <c r="K66" i="3"/>
  <c r="K11" i="3"/>
  <c r="B2" i="4" s="1"/>
  <c r="A17" i="2"/>
  <c r="K3" i="2"/>
  <c r="A3" i="2"/>
  <c r="J2" i="2"/>
  <c r="D2" i="2"/>
  <c r="A2" i="2"/>
  <c r="J1" i="2"/>
  <c r="A16" i="2"/>
  <c r="A11" i="2"/>
  <c r="A10" i="2"/>
  <c r="A9" i="2"/>
  <c r="A8" i="2"/>
  <c r="A7" i="2"/>
  <c r="A6" i="1"/>
  <c r="A6" i="2" s="1"/>
  <c r="J16" i="1" l="1"/>
  <c r="G18" i="4"/>
  <c r="F28" i="3" s="1"/>
  <c r="F29" i="3" s="1"/>
  <c r="F30" i="3" s="1"/>
  <c r="G19" i="4" l="1"/>
  <c r="G21" i="4" s="1"/>
</calcChain>
</file>

<file path=xl/sharedStrings.xml><?xml version="1.0" encoding="utf-8"?>
<sst xmlns="http://schemas.openxmlformats.org/spreadsheetml/2006/main" count="165" uniqueCount="136">
  <si>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</si>
  <si>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</si>
  <si>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</si>
  <si>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</si>
  <si>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</si>
  <si>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</si>
  <si>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</si>
  <si>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</si>
  <si>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</si>
  <si>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</si>
  <si>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</si>
  <si>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</si>
  <si>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</si>
  <si>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</si>
  <si>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</si>
  <si>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</si>
  <si>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</si>
  <si>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</si>
  <si>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</si>
  <si>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</si>
  <si>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</si>
  <si>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</si>
  <si>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</si>
  <si>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</si>
  <si>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</si>
  <si>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</si>
  <si>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</si>
  <si>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</si>
  <si>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</si>
  <si>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</si>
  <si>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</si>
  <si>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</si>
  <si>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</si>
  <si>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</si>
  <si>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</si>
  <si>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</si>
  <si>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</si>
  <si>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</si>
  <si>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</si>
  <si>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</si>
  <si>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</si>
  <si>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</si>
  <si>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</si>
  <si>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</si>
  <si>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</si>
  <si>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</si>
  <si>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</si>
  <si>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</si>
  <si>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</si>
  <si>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</si>
  <si>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</si>
  <si>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</si>
  <si>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</si>
  <si>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</si>
  <si>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</si>
  <si>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</si>
  <si>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</si>
  <si>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</si>
  <si>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</si>
  <si>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</si>
  <si>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</si>
  <si>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</si>
  <si>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</si>
  <si>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</si>
  <si>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</si>
  <si>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</si>
  <si>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</si>
  <si>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</si>
  <si>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</si>
  <si>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</si>
  <si>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</si>
  <si>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</si>
  <si>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</si>
  <si>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</si>
  <si>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</si>
  <si>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</si>
  <si>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</si>
  <si>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</si>
  <si>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</si>
  <si>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</si>
  <si>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</si>
  <si>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</si>
  <si>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</si>
  <si>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</si>
  <si>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</si>
  <si>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</si>
  <si>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</si>
  <si>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Registration Fee</t>
  </si>
  <si>
    <t>Subcontract name (SAC2-SC-IK-SMP-01)</t>
  </si>
  <si>
    <t>FCL</t>
  </si>
  <si>
    <t>FCL(Fosam Company Ltd.)</t>
  </si>
  <si>
    <t>P.O. Box 21453 Jeddah 21453 Saudi Arabia</t>
  </si>
  <si>
    <t>300050279500003</t>
  </si>
  <si>
    <t>Sales Engineer</t>
  </si>
  <si>
    <t>One time</t>
  </si>
  <si>
    <t>Branch of Hyundai Engineering and Const. Co., Ltd. (HDEC)</t>
  </si>
  <si>
    <t>BRANCH OF HYUNDAI ENG. &amp; CONST. CO., LTD.</t>
  </si>
  <si>
    <t>Abdulrahman Wahbe</t>
  </si>
  <si>
    <t>Email: Abdulrahman.Wahbe@Fosroc.com</t>
  </si>
  <si>
    <t>Landline : +966 12 6375345</t>
  </si>
  <si>
    <t>2050106915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</si>
  <si>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</si>
  <si>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</si>
  <si>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</si>
  <si>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</si>
  <si>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</si>
  <si>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</si>
  <si>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</si>
  <si>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</si>
  <si>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</si>
  <si>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</si>
  <si>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</si>
  <si>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</si>
  <si>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KG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</si>
  <si>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</si>
  <si>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</si>
  <si>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 xml:space="preserve">Unit Price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</si>
  <si>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r>
      <t xml:space="preserve">Total Price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</si>
  <si>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t>Bank Account Details:</t>
  </si>
  <si>
    <t xml:space="preserve">  ACCOUNT NAME    </t>
  </si>
  <si>
    <t>FOSAM COMPANY LTD.</t>
  </si>
  <si>
    <t xml:space="preserve">  ACCOUNT NUMBER        </t>
  </si>
  <si>
    <t>021-118294-001</t>
  </si>
  <si>
    <t xml:space="preserve">  IBAN                         </t>
  </si>
  <si>
    <t>SA40 4500 0000 0211 1829 4001</t>
  </si>
  <si>
    <t xml:space="preserve">  BANK NAME            </t>
  </si>
  <si>
    <t>THE SAUDI AWWAL BANK</t>
  </si>
  <si>
    <t xml:space="preserve">  SWIFT CODE          </t>
  </si>
  <si>
    <t>SABBSARI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</si>
  <si>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</si>
  <si>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</si>
  <si>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</si>
  <si>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Conbextra TS (25kg)</t>
  </si>
  <si>
    <t>Non-shrink, cementitious aggregate filled grout
Consumption rate: 11.67 litres/bag</t>
  </si>
  <si>
    <t>00188649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</si>
  <si>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-MRS-0521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</si>
</sst>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</cellStyleXfs>
  <cellXfs count="231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7" fillId="3" borderId="0" xfId="5" applyFont="1" applyFill="1" applyAlignment="1">
      <alignment horizontal="left" vertical="center"/>
    </xf>
    <xf numFmtId="171" fontId="18" fillId="3" borderId="0" xfId="5" applyNumberFormat="1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1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1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2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43" fontId="11" fillId="0" borderId="46" xfId="6" quotePrefix="1" applyNumberFormat="1" applyFont="1" applyBorder="1" applyAlignment="1">
      <alignment vertical="center" wrapText="1"/>
    </xf>
    <xf numFmtId="0" fontId="52" fillId="0" borderId="47" xfId="6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4" fillId="2" borderId="21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8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70" fontId="48" fillId="0" borderId="7" xfId="3" applyNumberFormat="1" applyFont="1" applyBorder="1" applyAlignment="1">
      <alignment horizontal="right"/>
    </xf>
    <xf numFmtId="0" fontId="57" fillId="3" borderId="0" xfId="5" applyFont="1" applyFill="1"/>
    <xf numFmtId="0" fontId="16" fillId="3" borderId="0" xfId="5" quotePrefix="1" applyFont="1" applyFill="1"/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51" fillId="2" borderId="7" xfId="1" applyNumberFormat="1" applyFont="1" applyFill="1" applyBorder="1" applyAlignment="1">
      <alignment horizontal="left" vertical="center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13" fillId="2" borderId="4" xfId="1" applyFont="1" applyFill="1" applyBorder="1" applyAlignment="1">
      <alignment horizontal="center" vertical="center"/>
    </xf>
    <xf numFmtId="0" fontId="13" fillId="2" borderId="6" xfId="1" applyFont="1" applyFill="1" applyBorder="1" applyAlignment="1">
      <alignment horizontal="center" vertical="center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172" fontId="16" fillId="3" borderId="0" xfId="5" applyNumberFormat="1" applyFont="1" applyFill="1" applyAlignment="1">
      <alignment horizontal="center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978066</xdr:colOff>
          <xdr:row>17</xdr:row>
          <xdr:rowOff>19051</xdr:rowOff>
        </xdr:from>
        <xdr:to>
          <xdr:col>11</xdr:col>
          <xdr:colOff>1565107</xdr:colOff>
          <xdr:row>23</xdr:row>
          <xdr:rowOff>257177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E4CD544F-553D-6BFB-E22F-09A855B41B7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3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70145" y="4681288"/>
              <a:ext cx="8457699" cy="234365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A4" sqref="A4:A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9" width="17.85546875" style="2" customWidth="1"/>
    <col min="10" max="10" width="17.28515625" style="2" customWidth="1"/>
    <col min="11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34" t="s">
        <v>114</v>
      </c>
      <c r="B1" s="135"/>
      <c r="C1" s="107"/>
      <c r="D1" s="107"/>
      <c r="E1" s="107"/>
      <c r="F1" s="107"/>
      <c r="G1" s="1"/>
      <c r="J1" s="156" t="s">
        <v>81</v>
      </c>
      <c r="K1" s="157"/>
      <c r="L1" s="158"/>
    </row>
    <row r="2" spans="1:19" ht="20.100000000000001" customHeight="1">
      <c r="A2" s="3" t="s">
        <v>1</v>
      </c>
      <c r="B2" s="98"/>
      <c r="C2" s="98"/>
      <c r="D2" s="3" t="s">
        <v>115</v>
      </c>
      <c r="E2" s="98"/>
      <c r="F2" s="98"/>
      <c r="G2" s="98"/>
      <c r="H2" s="98"/>
      <c r="I2" s="4"/>
      <c r="J2" s="159" t="s">
        <v>88</v>
      </c>
      <c r="K2" s="160"/>
      <c r="L2" s="161"/>
    </row>
    <row r="3" spans="1:19" ht="20.100000000000001" customHeight="1">
      <c r="A3" s="3" t="s">
        <v>135</v>
      </c>
      <c r="B3" s="98"/>
      <c r="C3" s="98"/>
      <c r="D3" s="98"/>
      <c r="E3" s="162">
        <f>+L3+3</f>
        <v>46324</v>
      </c>
      <c r="F3" s="162"/>
      <c r="G3" s="162"/>
      <c r="H3" s="162"/>
      <c r="I3" s="162"/>
      <c r="J3" s="98"/>
      <c r="K3" s="98"/>
      <c r="L3" s="136">
        <v>46321</v>
      </c>
      <c r="M3" s="4"/>
    </row>
    <row r="4" spans="1:19" ht="15.95" customHeight="1">
      <c r="A4" s="139" t="s">
        <v>2</v>
      </c>
      <c r="B4" s="140" t="s">
        <v>3</v>
      </c>
      <c r="C4" s="140"/>
      <c r="D4" s="141" t="s">
        <v>4</v>
      </c>
      <c r="E4" s="142"/>
      <c r="F4" s="143"/>
      <c r="G4" s="147" t="s">
        <v>5</v>
      </c>
      <c r="H4" s="149" t="s">
        <v>6</v>
      </c>
      <c r="I4" s="149" t="s">
        <v>116</v>
      </c>
      <c r="J4" s="139" t="s">
        <v>117</v>
      </c>
      <c r="K4" s="149" t="s">
        <v>0</v>
      </c>
      <c r="L4" s="140" t="s">
        <v>7</v>
      </c>
    </row>
    <row r="5" spans="1:19" ht="19.5" customHeight="1">
      <c r="A5" s="139"/>
      <c r="B5" s="140"/>
      <c r="C5" s="140"/>
      <c r="D5" s="144"/>
      <c r="E5" s="145"/>
      <c r="F5" s="146"/>
      <c r="G5" s="148"/>
      <c r="H5" s="150"/>
      <c r="I5" s="150"/>
      <c r="J5" s="139"/>
      <c r="K5" s="150"/>
      <c r="L5" s="140"/>
    </row>
    <row r="6" spans="1:19" ht="56.25" customHeight="1">
      <c r="A6" s="5">
        <f t="shared" ref="A6:A14" si="0">ROW(A1)</f>
        <v>1</v>
      </c>
      <c r="B6" s="151" t="s">
        <v>132</v>
      </c>
      <c r="C6" s="152"/>
      <c r="D6" s="153" t="s">
        <v>133</v>
      </c>
      <c r="E6" s="154"/>
      <c r="F6" s="155"/>
      <c r="G6" s="108" t="s">
        <v>113</v>
      </c>
      <c r="H6" s="109">
        <v>4000</v>
      </c>
      <c r="I6" s="110">
        <v>16</v>
      </c>
      <c r="J6" s="110">
        <f>H6*I6</f>
        <v>64000</v>
      </c>
      <c r="K6" s="111" t="s">
        <v>89</v>
      </c>
      <c r="L6" s="126" t="s">
        <v>94</v>
      </c>
      <c r="S6" s="103"/>
    </row>
    <row r="7" spans="1:19" ht="64.5" customHeight="1">
      <c r="A7" s="5"/>
      <c r="B7" s="151"/>
      <c r="C7" s="152"/>
      <c r="D7" s="153"/>
      <c r="E7" s="154"/>
      <c r="F7" s="155"/>
      <c r="G7" s="108"/>
      <c r="H7" s="109"/>
      <c r="I7" s="110"/>
      <c r="J7" s="110">
        <f>H7*I7</f>
        <v>0</v>
      </c>
      <c r="K7" s="111"/>
      <c r="L7" s="112"/>
      <c r="S7" s="103"/>
    </row>
    <row r="8" spans="1:19" ht="56.25" customHeight="1">
      <c r="A8" s="5"/>
      <c r="B8" s="151"/>
      <c r="C8" s="152"/>
      <c r="D8" s="153"/>
      <c r="E8" s="154"/>
      <c r="F8" s="155"/>
      <c r="G8" s="108"/>
      <c r="H8" s="109"/>
      <c r="I8" s="110"/>
      <c r="J8" s="110">
        <f>H8*I8</f>
        <v>0</v>
      </c>
      <c r="K8" s="111"/>
      <c r="L8" s="112"/>
      <c r="S8" s="103"/>
    </row>
    <row r="9" spans="1:19" ht="22.5" customHeight="1">
      <c r="A9" s="5"/>
      <c r="B9" s="151"/>
      <c r="C9" s="152"/>
      <c r="D9" s="163"/>
      <c r="E9" s="164"/>
      <c r="F9" s="165"/>
      <c r="G9" s="108"/>
      <c r="H9" s="109"/>
      <c r="I9" s="113"/>
      <c r="J9" s="110"/>
      <c r="K9" s="111"/>
      <c r="L9" s="108"/>
      <c r="S9" s="103"/>
    </row>
    <row r="10" spans="1:19" ht="22.5" hidden="1" customHeight="1">
      <c r="A10" s="5">
        <f t="shared" si="0"/>
        <v>5</v>
      </c>
      <c r="B10" s="151"/>
      <c r="C10" s="152"/>
      <c r="D10" s="163"/>
      <c r="E10" s="164"/>
      <c r="F10" s="165"/>
      <c r="G10" s="108"/>
      <c r="H10" s="109"/>
      <c r="I10" s="110"/>
      <c r="J10" s="110"/>
      <c r="K10" s="111"/>
      <c r="L10" s="126"/>
      <c r="S10" s="103"/>
    </row>
    <row r="11" spans="1:19" ht="22.5" hidden="1" customHeight="1">
      <c r="A11" s="5">
        <v>4</v>
      </c>
      <c r="B11" s="166"/>
      <c r="C11" s="166"/>
      <c r="D11" s="167"/>
      <c r="E11" s="167"/>
      <c r="F11" s="167"/>
      <c r="G11" s="108"/>
      <c r="H11" s="109"/>
      <c r="I11" s="113"/>
      <c r="J11" s="110"/>
      <c r="K11" s="111"/>
      <c r="L11" s="108"/>
      <c r="S11" s="103"/>
    </row>
    <row r="12" spans="1:19" ht="22.5" hidden="1" customHeight="1">
      <c r="A12" s="5">
        <f t="shared" si="0"/>
        <v>7</v>
      </c>
      <c r="B12" s="151"/>
      <c r="C12" s="152"/>
      <c r="D12" s="163"/>
      <c r="E12" s="164"/>
      <c r="F12" s="165"/>
      <c r="G12" s="108"/>
      <c r="H12" s="109"/>
      <c r="I12" s="110"/>
      <c r="J12" s="110"/>
      <c r="K12" s="111"/>
      <c r="L12" s="112"/>
      <c r="S12" s="103"/>
    </row>
    <row r="13" spans="1:19" ht="22.5" hidden="1" customHeight="1">
      <c r="A13" s="5">
        <v>5</v>
      </c>
      <c r="B13" s="151"/>
      <c r="C13" s="152"/>
      <c r="D13" s="163"/>
      <c r="E13" s="164"/>
      <c r="F13" s="165"/>
      <c r="G13" s="108"/>
      <c r="H13" s="109"/>
      <c r="I13" s="110"/>
      <c r="J13" s="110"/>
      <c r="K13" s="111"/>
      <c r="L13" s="112"/>
      <c r="S13" s="103"/>
    </row>
    <row r="14" spans="1:19" ht="22.5" hidden="1" customHeight="1">
      <c r="A14" s="5">
        <f t="shared" si="0"/>
        <v>9</v>
      </c>
      <c r="B14" s="121"/>
      <c r="C14" s="122"/>
      <c r="D14" s="123"/>
      <c r="E14" s="124"/>
      <c r="F14" s="125"/>
      <c r="G14" s="108"/>
      <c r="H14" s="109"/>
      <c r="I14" s="110"/>
      <c r="J14" s="110"/>
      <c r="K14" s="111"/>
      <c r="L14" s="112"/>
      <c r="S14" s="103"/>
    </row>
    <row r="15" spans="1:19" ht="22.5" hidden="1" customHeight="1">
      <c r="A15" s="5">
        <v>6</v>
      </c>
      <c r="B15" s="151"/>
      <c r="C15" s="152"/>
      <c r="D15" s="163"/>
      <c r="E15" s="164"/>
      <c r="F15" s="165"/>
      <c r="G15" s="108"/>
      <c r="H15" s="109"/>
      <c r="I15" s="110"/>
      <c r="J15" s="110"/>
      <c r="K15" s="111"/>
      <c r="L15" s="112"/>
      <c r="S15" s="103"/>
    </row>
    <row r="16" spans="1:19" ht="22.5" customHeight="1">
      <c r="A16" s="168" t="s">
        <v>8</v>
      </c>
      <c r="B16" s="169"/>
      <c r="C16" s="114"/>
      <c r="D16" s="115"/>
      <c r="E16" s="115"/>
      <c r="F16" s="115"/>
      <c r="G16" s="116"/>
      <c r="H16" s="116"/>
      <c r="I16" s="117" t="s">
        <v>9</v>
      </c>
      <c r="J16" s="110">
        <f>SUM(J6:J15)</f>
        <v>64000</v>
      </c>
      <c r="K16" s="110"/>
      <c r="L16" s="118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79"/>
      <c r="Z18" s="11"/>
    </row>
    <row r="19" spans="1:26" ht="50.1" customHeight="1">
      <c r="Y19" s="180"/>
    </row>
    <row r="20" spans="1:26" ht="15" customHeight="1">
      <c r="O20" s="175" t="s">
        <v>101</v>
      </c>
      <c r="P20" s="181"/>
      <c r="Q20" s="181"/>
      <c r="R20" s="176"/>
      <c r="S20" s="127"/>
      <c r="T20" s="175" t="s">
        <v>102</v>
      </c>
      <c r="U20" s="181"/>
      <c r="V20" s="181"/>
      <c r="W20" s="181"/>
      <c r="X20" s="181"/>
      <c r="Y20" s="176"/>
    </row>
    <row r="21" spans="1:26" ht="15" customHeight="1">
      <c r="O21" s="172" t="s">
        <v>103</v>
      </c>
      <c r="P21" s="170" t="s">
        <v>104</v>
      </c>
      <c r="Q21" s="172" t="s">
        <v>105</v>
      </c>
      <c r="R21" s="170" t="s">
        <v>106</v>
      </c>
      <c r="S21" s="127"/>
      <c r="T21" s="172" t="s">
        <v>107</v>
      </c>
      <c r="U21" s="170" t="s">
        <v>108</v>
      </c>
      <c r="V21" s="175" t="s">
        <v>109</v>
      </c>
      <c r="W21" s="181"/>
      <c r="X21" s="176"/>
      <c r="Y21" s="170" t="s">
        <v>110</v>
      </c>
    </row>
    <row r="22" spans="1:26" ht="18" customHeight="1">
      <c r="O22" s="173"/>
      <c r="P22" s="171"/>
      <c r="Q22" s="173"/>
      <c r="R22" s="171"/>
      <c r="S22" s="128"/>
      <c r="T22" s="173"/>
      <c r="U22" s="171"/>
      <c r="V22" s="13" t="s">
        <v>103</v>
      </c>
      <c r="W22" s="182" t="s">
        <v>111</v>
      </c>
      <c r="X22" s="183"/>
      <c r="Y22" s="171"/>
    </row>
    <row r="23" spans="1:26" ht="50.1" customHeight="1">
      <c r="O23" s="14"/>
      <c r="P23" s="14"/>
      <c r="Q23" s="14"/>
      <c r="R23" s="14"/>
      <c r="S23" s="127"/>
      <c r="T23" s="14"/>
      <c r="U23" s="14"/>
      <c r="V23" s="14"/>
      <c r="W23" s="175"/>
      <c r="X23" s="176"/>
      <c r="Y23" s="129"/>
    </row>
    <row r="24" spans="1:26" ht="36" customHeight="1">
      <c r="W24" s="130"/>
      <c r="X24" s="177" t="s">
        <v>112</v>
      </c>
      <c r="Y24" s="12" t="s">
        <v>110</v>
      </c>
    </row>
    <row r="25" spans="1:26" ht="50.1" customHeight="1">
      <c r="O25" s="131"/>
      <c r="P25" s="131"/>
      <c r="Q25" s="131"/>
      <c r="R25" s="131"/>
      <c r="S25" s="131"/>
      <c r="T25" s="131"/>
      <c r="U25" s="131"/>
      <c r="V25" s="131"/>
      <c r="W25" s="132"/>
      <c r="X25" s="178"/>
      <c r="Y25" s="133"/>
    </row>
    <row r="26" spans="1:26" ht="19.899999999999999" customHeight="1"/>
    <row r="27" spans="1:26" ht="17.45" customHeight="1">
      <c r="O27" s="174"/>
      <c r="P27" s="174"/>
    </row>
    <row r="28" spans="1:26" ht="19.899999999999999" customHeight="1">
      <c r="O28" s="174"/>
      <c r="P28" s="174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70" t="s">
        <v>12</v>
      </c>
    </row>
    <row r="41" spans="15:22" ht="19.899999999999999" customHeight="1">
      <c r="T41" s="171"/>
    </row>
    <row r="42" spans="15:22" ht="64.900000000000006" customHeight="1">
      <c r="T42" s="14"/>
    </row>
    <row r="46" spans="15:22" ht="21" customHeight="1">
      <c r="O46" s="170" t="s">
        <v>12</v>
      </c>
      <c r="P46" s="170" t="s">
        <v>12</v>
      </c>
      <c r="Q46" s="170" t="s">
        <v>12</v>
      </c>
      <c r="T46" s="170" t="s">
        <v>13</v>
      </c>
      <c r="U46" s="170" t="s">
        <v>11</v>
      </c>
      <c r="V46" s="170" t="s">
        <v>12</v>
      </c>
    </row>
    <row r="47" spans="15:22" ht="21" customHeight="1">
      <c r="O47" s="171"/>
      <c r="P47" s="171"/>
      <c r="Q47" s="171"/>
      <c r="T47" s="173"/>
      <c r="U47" s="173"/>
      <c r="V47" s="171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70" t="s">
        <v>12</v>
      </c>
      <c r="P50" s="170" t="s">
        <v>12</v>
      </c>
      <c r="Q50" s="170" t="s">
        <v>12</v>
      </c>
      <c r="T50" s="170" t="s">
        <v>11</v>
      </c>
      <c r="U50" s="170" t="s">
        <v>13</v>
      </c>
      <c r="V50" s="170" t="s">
        <v>12</v>
      </c>
    </row>
    <row r="51" spans="15:22" ht="21" customHeight="1">
      <c r="O51" s="171"/>
      <c r="P51" s="171"/>
      <c r="Q51" s="171"/>
      <c r="T51" s="173"/>
      <c r="U51" s="173"/>
      <c r="V51" s="171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0"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T40:T41"/>
    <mergeCell ref="O46:O47"/>
    <mergeCell ref="P46:P47"/>
    <mergeCell ref="Q46:Q47"/>
    <mergeCell ref="T46:T47"/>
    <mergeCell ref="B15:C15"/>
    <mergeCell ref="D15:F15"/>
    <mergeCell ref="A16:B16"/>
    <mergeCell ref="P21:P22"/>
    <mergeCell ref="Q21:Q22"/>
    <mergeCell ref="B11:C11"/>
    <mergeCell ref="D11:F11"/>
    <mergeCell ref="B12:C12"/>
    <mergeCell ref="D12:F12"/>
    <mergeCell ref="B13:C13"/>
    <mergeCell ref="D13:F13"/>
    <mergeCell ref="B8:C8"/>
    <mergeCell ref="D8:F8"/>
    <mergeCell ref="B9:C9"/>
    <mergeCell ref="D9:F9"/>
    <mergeCell ref="B10:C10"/>
    <mergeCell ref="D10:F10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A4:A5"/>
    <mergeCell ref="B4:C5"/>
    <mergeCell ref="D4:F5"/>
    <mergeCell ref="G4:G5"/>
    <mergeCell ref="H4:H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P10" sqref="P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6" t="s">
        <v>86</v>
      </c>
      <c r="B1" s="97"/>
      <c r="C1" s="97"/>
      <c r="D1" s="97"/>
      <c r="E1" s="97"/>
      <c r="F1" s="97"/>
      <c r="G1" s="1"/>
      <c r="J1" s="184" t="str">
        <f>+MRS!J1</f>
        <v>DAESHIN PLANT</v>
      </c>
      <c r="K1" s="185"/>
    </row>
    <row r="2" spans="1:18" ht="24.95" customHeight="1">
      <c r="A2" s="3" t="str">
        <f>+MRS!A2</f>
        <v xml:space="preserve">  PJT :  SACE2           </v>
      </c>
      <c r="B2" s="98"/>
      <c r="C2" s="98"/>
      <c r="D2" s="3" t="str">
        <f>+MRS!D2</f>
        <v>Division (In charge Name) : ADMIN MANAGER (Dong Chang Kim)</v>
      </c>
      <c r="E2" s="98"/>
      <c r="F2" s="98"/>
      <c r="G2" s="16"/>
      <c r="H2" s="16"/>
      <c r="I2" s="16"/>
      <c r="J2" s="186" t="str">
        <f>+MRS!J2</f>
        <v>Subcontract name (SAC2-SC-IK-SMP-01)</v>
      </c>
      <c r="K2" s="187"/>
    </row>
    <row r="3" spans="1:18" ht="24.95" customHeight="1">
      <c r="A3" s="3" t="str">
        <f>+MRS!A3</f>
        <v xml:space="preserve">  MRS No : SAC2-DS-MRS-0521</v>
      </c>
      <c r="B3" s="98"/>
      <c r="C3" s="98"/>
      <c r="D3" s="98"/>
      <c r="E3" s="98"/>
      <c r="F3" s="98"/>
      <c r="G3" s="98"/>
      <c r="H3" s="98"/>
      <c r="I3" s="98"/>
      <c r="J3" s="98"/>
      <c r="K3" s="99">
        <f>+MRS!L3</f>
        <v>46321</v>
      </c>
    </row>
    <row r="4" spans="1:18" ht="15.95" customHeight="1">
      <c r="A4" s="188" t="s">
        <v>2</v>
      </c>
      <c r="B4" s="189" t="s">
        <v>14</v>
      </c>
      <c r="C4" s="189"/>
      <c r="D4" s="188" t="s">
        <v>4</v>
      </c>
      <c r="E4" s="188"/>
      <c r="F4" s="188"/>
      <c r="G4" s="189" t="s">
        <v>5</v>
      </c>
      <c r="H4" s="188" t="s">
        <v>82</v>
      </c>
      <c r="I4" s="188" t="s">
        <v>15</v>
      </c>
      <c r="J4" s="188" t="s">
        <v>16</v>
      </c>
      <c r="K4" s="189" t="s">
        <v>7</v>
      </c>
    </row>
    <row r="5" spans="1:18" ht="15.95" customHeight="1">
      <c r="A5" s="188"/>
      <c r="B5" s="189"/>
      <c r="C5" s="189"/>
      <c r="D5" s="188"/>
      <c r="E5" s="188"/>
      <c r="F5" s="188"/>
      <c r="G5" s="189"/>
      <c r="H5" s="188"/>
      <c r="I5" s="188"/>
      <c r="J5" s="188"/>
      <c r="K5" s="189"/>
    </row>
    <row r="6" spans="1:18" ht="105" customHeight="1">
      <c r="A6" s="17">
        <f>+MRS!A6</f>
        <v>1</v>
      </c>
      <c r="B6" s="190" t="str">
        <f>MRS!B6</f>
        <v>Conbextra TS (25kg)</v>
      </c>
      <c r="C6" s="191"/>
      <c r="D6" s="192" t="str">
        <f>MRS!D6</f>
        <v>Non-shrink, cementitious aggregate filled grout
Consumption rate: 11.67 litres/bag</v>
      </c>
      <c r="E6" s="193"/>
      <c r="F6" s="194"/>
      <c r="G6" s="100" t="str">
        <f>MRS!G6</f>
        <v>KG</v>
      </c>
      <c r="H6" s="100">
        <f>MRS!H6</f>
        <v>4000</v>
      </c>
      <c r="I6" s="101">
        <f>MRS!I6</f>
        <v>16</v>
      </c>
      <c r="J6" s="101">
        <f>MRS!J6</f>
        <v>64000</v>
      </c>
      <c r="K6" s="102"/>
      <c r="O6" s="103"/>
      <c r="P6" s="103"/>
      <c r="R6" s="103"/>
    </row>
    <row r="7" spans="1:18" ht="105" customHeight="1">
      <c r="A7" s="17" t="e">
        <f>+MRS!#REF!</f>
        <v>#REF!</v>
      </c>
      <c r="B7" s="190">
        <f>MRS!B7</f>
        <v>0</v>
      </c>
      <c r="C7" s="191"/>
      <c r="D7" s="192">
        <f>MRS!D7</f>
        <v>0</v>
      </c>
      <c r="E7" s="193"/>
      <c r="F7" s="194"/>
      <c r="G7" s="100">
        <f>MRS!G7</f>
        <v>0</v>
      </c>
      <c r="H7" s="100">
        <f>MRS!H7</f>
        <v>0</v>
      </c>
      <c r="I7" s="101">
        <f>MRS!I7</f>
        <v>0</v>
      </c>
      <c r="J7" s="101">
        <f>MRS!J7</f>
        <v>0</v>
      </c>
      <c r="K7" s="102"/>
      <c r="O7" s="103"/>
      <c r="P7" s="103"/>
      <c r="R7" s="103"/>
    </row>
    <row r="8" spans="1:18" ht="105" customHeight="1">
      <c r="A8" s="17">
        <f>+MRS!A7</f>
        <v>0</v>
      </c>
      <c r="B8" s="190">
        <f>MRS!B8</f>
        <v>0</v>
      </c>
      <c r="C8" s="191"/>
      <c r="D8" s="192">
        <f>MRS!D8</f>
        <v>0</v>
      </c>
      <c r="E8" s="193"/>
      <c r="F8" s="194"/>
      <c r="G8" s="100">
        <f>MRS!G8</f>
        <v>0</v>
      </c>
      <c r="H8" s="100">
        <f>MRS!H8</f>
        <v>0</v>
      </c>
      <c r="I8" s="101">
        <f>MRS!I8</f>
        <v>0</v>
      </c>
      <c r="J8" s="101">
        <f>MRS!J8</f>
        <v>0</v>
      </c>
      <c r="K8" s="102"/>
      <c r="O8" s="103"/>
      <c r="P8" s="103"/>
      <c r="R8" s="103"/>
    </row>
    <row r="9" spans="1:18" ht="105" customHeight="1">
      <c r="A9" s="17">
        <f>+MRS!A8</f>
        <v>0</v>
      </c>
      <c r="B9" s="190">
        <f>MRS!B9</f>
        <v>0</v>
      </c>
      <c r="C9" s="191"/>
      <c r="D9" s="192">
        <f>MRS!D9</f>
        <v>0</v>
      </c>
      <c r="E9" s="193"/>
      <c r="F9" s="194"/>
      <c r="G9" s="100">
        <f>MRS!G9</f>
        <v>0</v>
      </c>
      <c r="H9" s="100">
        <f>MRS!H9</f>
        <v>0</v>
      </c>
      <c r="I9" s="101">
        <f>MRS!I9</f>
        <v>0</v>
      </c>
      <c r="J9" s="101">
        <f>MRS!J9</f>
        <v>0</v>
      </c>
      <c r="K9" s="102"/>
      <c r="O9" s="103"/>
      <c r="P9" s="103"/>
      <c r="R9" s="103"/>
    </row>
    <row r="10" spans="1:18" ht="105" customHeight="1">
      <c r="A10" s="17">
        <f>+MRS!A9</f>
        <v>0</v>
      </c>
      <c r="B10" s="190">
        <f>MRS!B10</f>
        <v>0</v>
      </c>
      <c r="C10" s="191"/>
      <c r="D10" s="192">
        <f>MRS!D10</f>
        <v>0</v>
      </c>
      <c r="E10" s="193"/>
      <c r="F10" s="194"/>
      <c r="G10" s="100">
        <f>MRS!G10</f>
        <v>0</v>
      </c>
      <c r="H10" s="100">
        <f>MRS!H10</f>
        <v>0</v>
      </c>
      <c r="I10" s="101">
        <f>MRS!I10</f>
        <v>0</v>
      </c>
      <c r="J10" s="101">
        <f>MRS!J10</f>
        <v>0</v>
      </c>
      <c r="K10" s="102"/>
      <c r="O10" s="103"/>
      <c r="P10" s="103"/>
      <c r="R10" s="103"/>
    </row>
    <row r="11" spans="1:18" ht="105" customHeight="1">
      <c r="A11" s="17">
        <f>+MRS!A10</f>
        <v>5</v>
      </c>
      <c r="B11" s="195"/>
      <c r="C11" s="196"/>
      <c r="D11" s="197"/>
      <c r="E11" s="198"/>
      <c r="F11" s="199"/>
      <c r="G11" s="104"/>
      <c r="H11" s="105"/>
      <c r="I11" s="106"/>
      <c r="J11" s="106"/>
      <c r="K11" s="102"/>
      <c r="O11" s="103"/>
      <c r="P11" s="103"/>
      <c r="R11" s="103"/>
    </row>
    <row r="12" spans="1:18" ht="105" customHeight="1">
      <c r="A12" s="17">
        <f>+MRS!A11</f>
        <v>4</v>
      </c>
      <c r="B12" s="195"/>
      <c r="C12" s="196"/>
      <c r="D12" s="197"/>
      <c r="E12" s="198"/>
      <c r="F12" s="199"/>
      <c r="G12" s="104"/>
      <c r="H12" s="105"/>
      <c r="I12" s="106"/>
      <c r="J12" s="106"/>
      <c r="K12" s="102"/>
      <c r="O12" s="103"/>
      <c r="P12" s="103"/>
      <c r="R12" s="103"/>
    </row>
    <row r="13" spans="1:18" ht="105" customHeight="1">
      <c r="A13" s="17">
        <f>+MRS!A12</f>
        <v>7</v>
      </c>
      <c r="B13" s="195"/>
      <c r="C13" s="196"/>
      <c r="D13" s="197"/>
      <c r="E13" s="198"/>
      <c r="F13" s="199"/>
      <c r="G13" s="104"/>
      <c r="H13" s="105"/>
      <c r="I13" s="106"/>
      <c r="J13" s="106"/>
      <c r="K13" s="102"/>
      <c r="O13" s="103"/>
      <c r="P13" s="103"/>
      <c r="R13" s="103"/>
    </row>
    <row r="14" spans="1:18" ht="105" customHeight="1">
      <c r="A14" s="17">
        <f>+MRS!A13</f>
        <v>5</v>
      </c>
      <c r="B14" s="195"/>
      <c r="C14" s="196"/>
      <c r="D14" s="197"/>
      <c r="E14" s="198"/>
      <c r="F14" s="199"/>
      <c r="G14" s="104"/>
      <c r="H14" s="105"/>
      <c r="I14" s="106"/>
      <c r="J14" s="106"/>
      <c r="K14" s="102"/>
      <c r="O14" s="103"/>
      <c r="P14" s="103"/>
      <c r="R14" s="103"/>
    </row>
    <row r="15" spans="1:18" ht="105" customHeight="1">
      <c r="A15" s="17">
        <f>+MRS!A15</f>
        <v>6</v>
      </c>
      <c r="B15" s="195"/>
      <c r="C15" s="196"/>
      <c r="D15" s="197"/>
      <c r="E15" s="198"/>
      <c r="F15" s="199"/>
      <c r="G15" s="104"/>
      <c r="H15" s="105"/>
      <c r="I15" s="106"/>
      <c r="J15" s="106"/>
      <c r="K15" s="102"/>
      <c r="O15" s="103"/>
      <c r="P15" s="103"/>
      <c r="R15" s="103"/>
    </row>
    <row r="16" spans="1:18" ht="105" customHeight="1">
      <c r="A16" s="17" t="e">
        <f>+MRS!#REF!</f>
        <v>#REF!</v>
      </c>
      <c r="B16" s="195"/>
      <c r="C16" s="196"/>
      <c r="D16" s="197"/>
      <c r="E16" s="198"/>
      <c r="F16" s="199"/>
      <c r="G16" s="104"/>
      <c r="H16" s="105"/>
      <c r="I16" s="106"/>
      <c r="J16" s="106"/>
      <c r="K16" s="102"/>
      <c r="O16" s="103"/>
      <c r="P16" s="103"/>
      <c r="R16" s="103"/>
    </row>
    <row r="17" spans="1:18" ht="105" customHeight="1">
      <c r="A17" s="17" t="e">
        <f>+MRS!#REF!</f>
        <v>#REF!</v>
      </c>
      <c r="B17" s="195"/>
      <c r="C17" s="196"/>
      <c r="D17" s="197"/>
      <c r="E17" s="198"/>
      <c r="F17" s="199"/>
      <c r="G17" s="104"/>
      <c r="H17" s="105"/>
      <c r="I17" s="106"/>
      <c r="J17" s="106"/>
      <c r="K17" s="102"/>
      <c r="O17" s="103"/>
      <c r="P17" s="103"/>
      <c r="R17" s="103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3"/>
  <sheetViews>
    <sheetView view="pageBreakPreview" zoomScaleSheetLayoutView="100" workbookViewId="0">
      <selection activeCell="K16" sqref="K16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96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90</v>
      </c>
      <c r="D9" s="35"/>
      <c r="E9" s="35"/>
    </row>
    <row r="10" spans="2:13" s="35" customFormat="1">
      <c r="B10" s="68"/>
      <c r="C10" s="35" t="s">
        <v>23</v>
      </c>
      <c r="D10" s="72" t="s">
        <v>100</v>
      </c>
      <c r="J10" s="35" t="s">
        <v>24</v>
      </c>
      <c r="K10" s="201">
        <f>MRS!L3</f>
        <v>46321</v>
      </c>
      <c r="L10" s="202"/>
      <c r="M10" s="202"/>
    </row>
    <row r="11" spans="2:13" s="35" customFormat="1">
      <c r="B11" s="68"/>
      <c r="C11" s="71" t="s">
        <v>25</v>
      </c>
      <c r="D11" s="72" t="s">
        <v>92</v>
      </c>
      <c r="J11" s="35" t="s">
        <v>26</v>
      </c>
      <c r="K11" s="203" t="str">
        <f>SUBSTITUTE(SUBSTITUTE(+MRS!A3,"  MRS No : ",""),"-MRS","-PO")</f>
        <v>SAC2-DS-PO-0521</v>
      </c>
      <c r="L11" s="203"/>
      <c r="M11" s="203"/>
    </row>
    <row r="12" spans="2:13" s="35" customFormat="1">
      <c r="B12" s="68"/>
      <c r="C12" s="71" t="s">
        <v>27</v>
      </c>
      <c r="D12" s="35" t="s">
        <v>97</v>
      </c>
      <c r="J12" s="35" t="s">
        <v>28</v>
      </c>
    </row>
    <row r="13" spans="2:13" s="35" customFormat="1">
      <c r="B13" s="68"/>
      <c r="C13" s="73"/>
      <c r="D13" s="72" t="s">
        <v>98</v>
      </c>
      <c r="J13" s="35" t="s">
        <v>29</v>
      </c>
    </row>
    <row r="14" spans="2:13" s="35" customFormat="1">
      <c r="B14" s="68"/>
      <c r="C14" s="73" t="s">
        <v>91</v>
      </c>
      <c r="J14" s="35" t="s">
        <v>30</v>
      </c>
      <c r="K14" s="72" t="s">
        <v>134</v>
      </c>
    </row>
    <row r="15" spans="2:13" s="35" customFormat="1">
      <c r="C15" s="73" t="s">
        <v>99</v>
      </c>
      <c r="J15" s="35" t="s">
        <v>31</v>
      </c>
      <c r="K15" s="74">
        <v>46321</v>
      </c>
    </row>
    <row r="16" spans="2:13" ht="12" customHeight="1">
      <c r="C16" s="25"/>
      <c r="K16" s="26"/>
    </row>
    <row r="17" spans="2:13" ht="20.25">
      <c r="B17" s="204" t="s">
        <v>32</v>
      </c>
      <c r="C17" s="204"/>
      <c r="D17" s="204"/>
      <c r="E17" s="204"/>
      <c r="F17" s="204"/>
      <c r="G17" s="204"/>
      <c r="H17" s="204"/>
      <c r="I17" s="204"/>
      <c r="J17" s="204"/>
      <c r="K17" s="204"/>
      <c r="L17" s="204"/>
      <c r="M17" s="204"/>
    </row>
    <row r="18" spans="2:13" ht="12" customHeight="1"/>
    <row r="19" spans="2:13" s="27" customFormat="1" ht="12" customHeight="1">
      <c r="B19" s="205" t="s">
        <v>33</v>
      </c>
      <c r="C19" s="205"/>
      <c r="D19" s="205"/>
      <c r="E19" s="205"/>
      <c r="F19" s="205"/>
      <c r="G19" s="205"/>
      <c r="H19" s="205"/>
      <c r="I19" s="205"/>
      <c r="J19" s="205"/>
      <c r="K19" s="205"/>
      <c r="L19" s="205"/>
      <c r="M19" s="205"/>
    </row>
    <row r="20" spans="2:13" s="27" customFormat="1" ht="12" customHeight="1">
      <c r="B20" s="205" t="s">
        <v>34</v>
      </c>
      <c r="C20" s="205"/>
      <c r="D20" s="205"/>
      <c r="E20" s="205"/>
      <c r="F20" s="205"/>
      <c r="G20" s="205"/>
      <c r="H20" s="205"/>
      <c r="I20" s="205"/>
      <c r="J20" s="205"/>
      <c r="K20" s="205"/>
      <c r="L20" s="205"/>
      <c r="M20" s="205"/>
    </row>
    <row r="21" spans="2:13" s="27" customFormat="1" ht="12" customHeight="1">
      <c r="B21" s="205" t="s">
        <v>35</v>
      </c>
      <c r="C21" s="205"/>
      <c r="D21" s="205"/>
      <c r="E21" s="205"/>
      <c r="F21" s="205"/>
      <c r="G21" s="205"/>
      <c r="H21" s="205"/>
      <c r="I21" s="205"/>
      <c r="J21" s="205"/>
      <c r="K21" s="205"/>
      <c r="L21" s="205"/>
      <c r="M21" s="205"/>
    </row>
    <row r="22" spans="2:13" ht="6.95" customHeight="1">
      <c r="B22" s="206"/>
      <c r="C22" s="206"/>
      <c r="D22" s="206"/>
      <c r="E22" s="206"/>
      <c r="F22" s="206"/>
      <c r="G22" s="206"/>
      <c r="H22" s="206"/>
      <c r="I22" s="206"/>
      <c r="J22" s="206"/>
      <c r="K22" s="206"/>
      <c r="L22" s="206"/>
      <c r="M22" s="206"/>
    </row>
    <row r="23" spans="2:13" ht="6.95" customHeight="1">
      <c r="B23" s="207"/>
      <c r="C23" s="207"/>
      <c r="D23" s="207"/>
      <c r="E23" s="207"/>
      <c r="F23" s="207"/>
      <c r="G23" s="207"/>
      <c r="H23" s="207"/>
      <c r="I23" s="207"/>
      <c r="J23" s="207"/>
      <c r="K23" s="207"/>
      <c r="L23" s="207"/>
      <c r="M23" s="207"/>
    </row>
    <row r="24" spans="2:13" s="28" customFormat="1" ht="12" customHeight="1">
      <c r="B24" s="28">
        <v>1</v>
      </c>
      <c r="C24" s="28" t="s">
        <v>36</v>
      </c>
    </row>
    <row r="25" spans="2:13" s="35" customFormat="1" ht="12" customHeight="1">
      <c r="B25" s="69"/>
      <c r="C25" s="72" t="str">
        <f>MRS!$B$6</f>
        <v>Conbextra TS (25kg)</v>
      </c>
      <c r="M25" s="75" t="s">
        <v>37</v>
      </c>
    </row>
    <row r="26" spans="2:13" ht="12" customHeight="1">
      <c r="B26" s="28"/>
    </row>
    <row r="27" spans="2:13" ht="12" customHeight="1">
      <c r="B27" s="28">
        <v>2</v>
      </c>
      <c r="C27" s="28" t="s">
        <v>38</v>
      </c>
    </row>
    <row r="28" spans="2:13" ht="12" customHeight="1">
      <c r="B28" s="28"/>
      <c r="C28" s="22" t="s">
        <v>39</v>
      </c>
      <c r="E28" s="22" t="s">
        <v>40</v>
      </c>
      <c r="F28" s="208">
        <f>'PO 2nd page'!G18</f>
        <v>64000</v>
      </c>
      <c r="G28" s="208"/>
      <c r="H28" s="29"/>
      <c r="M28" s="30"/>
    </row>
    <row r="29" spans="2:13" ht="12" customHeight="1">
      <c r="B29" s="28"/>
      <c r="C29" s="22" t="s">
        <v>41</v>
      </c>
      <c r="E29" s="22" t="s">
        <v>40</v>
      </c>
      <c r="F29" s="208">
        <f>F28*15%</f>
        <v>9600</v>
      </c>
      <c r="G29" s="208"/>
    </row>
    <row r="30" spans="2:13" ht="12" customHeight="1">
      <c r="B30" s="28"/>
      <c r="C30" s="22" t="s">
        <v>42</v>
      </c>
      <c r="D30" s="31"/>
      <c r="E30" s="22" t="s">
        <v>40</v>
      </c>
      <c r="F30" s="208">
        <f>SUM(F28:G29)</f>
        <v>73600</v>
      </c>
      <c r="G30" s="208"/>
      <c r="H30" s="29"/>
    </row>
    <row r="31" spans="2:13" ht="12" customHeight="1">
      <c r="B31" s="28"/>
    </row>
    <row r="32" spans="2:13" ht="12" customHeight="1">
      <c r="B32" s="28">
        <v>3</v>
      </c>
      <c r="C32" s="28" t="s">
        <v>43</v>
      </c>
    </row>
    <row r="33" spans="2:16" ht="12" customHeight="1">
      <c r="B33" s="28"/>
      <c r="C33" s="18" t="s">
        <v>44</v>
      </c>
    </row>
    <row r="34" spans="2:16" ht="12" customHeight="1">
      <c r="B34" s="28"/>
      <c r="C34" s="18" t="s">
        <v>45</v>
      </c>
    </row>
    <row r="35" spans="2:16" ht="12" customHeight="1">
      <c r="B35" s="28"/>
      <c r="C35" s="18" t="s">
        <v>46</v>
      </c>
    </row>
    <row r="36" spans="2:16" ht="12" customHeight="1">
      <c r="B36" s="28"/>
    </row>
    <row r="37" spans="2:16" ht="12" customHeight="1">
      <c r="B37" s="28">
        <v>4</v>
      </c>
      <c r="C37" s="28" t="s">
        <v>47</v>
      </c>
    </row>
    <row r="38" spans="2:16" ht="12" customHeight="1">
      <c r="B38" s="28"/>
      <c r="C38" s="22" t="s">
        <v>48</v>
      </c>
    </row>
    <row r="39" spans="2:16" ht="12" customHeight="1">
      <c r="B39" s="28"/>
    </row>
    <row r="40" spans="2:16" ht="12" customHeight="1">
      <c r="B40" s="28">
        <v>5</v>
      </c>
      <c r="C40" s="28" t="s">
        <v>49</v>
      </c>
    </row>
    <row r="41" spans="2:16" ht="12" customHeight="1">
      <c r="B41" s="28"/>
      <c r="C41" s="32" t="s">
        <v>50</v>
      </c>
      <c r="D41" s="33"/>
      <c r="E41" s="34"/>
      <c r="F41" s="34"/>
      <c r="G41" s="34"/>
      <c r="H41" s="34"/>
      <c r="I41" s="34"/>
      <c r="J41" s="34"/>
      <c r="K41" s="34"/>
      <c r="L41" s="34"/>
      <c r="M41" s="34"/>
    </row>
    <row r="42" spans="2:16" ht="12" customHeight="1">
      <c r="B42" s="28"/>
      <c r="C42" s="32" t="s">
        <v>51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6" ht="12" customHeight="1">
      <c r="B43" s="28"/>
      <c r="C43" s="32" t="s">
        <v>52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6" ht="12" customHeight="1">
      <c r="B44" s="28"/>
      <c r="C44" s="32" t="s">
        <v>53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6" ht="12" customHeight="1">
      <c r="B45" s="28"/>
      <c r="C45" s="35" t="s">
        <v>54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6" ht="12" customHeight="1">
      <c r="B46" s="28"/>
    </row>
    <row r="47" spans="2:16" ht="12" customHeight="1">
      <c r="B47" s="28">
        <v>6</v>
      </c>
      <c r="C47" s="28" t="s">
        <v>55</v>
      </c>
    </row>
    <row r="48" spans="2:16" s="35" customFormat="1" ht="12" customHeight="1">
      <c r="B48" s="76" t="s">
        <v>56</v>
      </c>
      <c r="C48" s="77" t="s">
        <v>84</v>
      </c>
      <c r="P48" s="78"/>
    </row>
    <row r="49" spans="2:16" s="79" customFormat="1" ht="12" customHeight="1">
      <c r="B49" s="80" t="s">
        <v>56</v>
      </c>
      <c r="C49" s="77" t="s">
        <v>85</v>
      </c>
    </row>
    <row r="50" spans="2:16" s="79" customFormat="1" ht="12" customHeight="1">
      <c r="B50" s="80" t="s">
        <v>56</v>
      </c>
      <c r="C50" s="77" t="s">
        <v>83</v>
      </c>
    </row>
    <row r="51" spans="2:16" ht="2.25" customHeight="1">
      <c r="B51" s="39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</row>
    <row r="52" spans="2:16" ht="6.75" customHeight="1">
      <c r="B52" s="28"/>
    </row>
    <row r="53" spans="2:16" ht="12" customHeight="1">
      <c r="B53" s="38">
        <v>7</v>
      </c>
      <c r="C53" s="28" t="s">
        <v>118</v>
      </c>
    </row>
    <row r="54" spans="2:16" ht="12" customHeight="1">
      <c r="B54" s="80" t="s">
        <v>56</v>
      </c>
      <c r="C54" s="137" t="s">
        <v>119</v>
      </c>
      <c r="F54" s="22" t="s">
        <v>120</v>
      </c>
      <c r="P54" s="22" t="str">
        <f>UPPER(F54)</f>
        <v>FOSAM COMPANY LTD.</v>
      </c>
    </row>
    <row r="55" spans="2:16" ht="12" customHeight="1">
      <c r="B55" s="80" t="s">
        <v>56</v>
      </c>
      <c r="C55" s="137" t="s">
        <v>121</v>
      </c>
      <c r="F55" s="138" t="s">
        <v>122</v>
      </c>
    </row>
    <row r="56" spans="2:16" ht="12" customHeight="1">
      <c r="B56" s="80" t="s">
        <v>56</v>
      </c>
      <c r="C56" s="137" t="s">
        <v>123</v>
      </c>
      <c r="F56" s="138" t="s">
        <v>124</v>
      </c>
    </row>
    <row r="57" spans="2:16" ht="12" customHeight="1">
      <c r="B57" s="80" t="s">
        <v>56</v>
      </c>
      <c r="C57" s="137" t="s">
        <v>125</v>
      </c>
      <c r="F57" s="22" t="s">
        <v>126</v>
      </c>
    </row>
    <row r="58" spans="2:16" ht="12" customHeight="1">
      <c r="B58" s="80" t="s">
        <v>56</v>
      </c>
      <c r="C58" s="137" t="s">
        <v>127</v>
      </c>
      <c r="F58" s="22" t="s">
        <v>128</v>
      </c>
    </row>
    <row r="59" spans="2:16" ht="12" customHeight="1">
      <c r="B59" s="80" t="s">
        <v>56</v>
      </c>
      <c r="C59" s="137" t="s">
        <v>129</v>
      </c>
      <c r="F59" s="22" t="s">
        <v>130</v>
      </c>
    </row>
    <row r="60" spans="2:16" ht="12" customHeight="1">
      <c r="B60" s="80"/>
      <c r="C60" s="31" t="s">
        <v>131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11.1" customHeight="1">
      <c r="B62" s="38"/>
    </row>
    <row r="63" spans="2:16">
      <c r="B63" s="28" t="s">
        <v>57</v>
      </c>
      <c r="J63" s="28" t="s">
        <v>58</v>
      </c>
    </row>
    <row r="64" spans="2:16" ht="50.1" customHeight="1"/>
    <row r="65" spans="1:13" ht="18" customHeight="1">
      <c r="B65" s="22" t="s">
        <v>59</v>
      </c>
      <c r="J65" s="22" t="s">
        <v>59</v>
      </c>
    </row>
    <row r="66" spans="1:13" ht="18" customHeight="1">
      <c r="B66" s="22" t="s">
        <v>60</v>
      </c>
      <c r="J66" s="22" t="s">
        <v>61</v>
      </c>
      <c r="K66" s="18" t="str">
        <f>UPPER(D12)</f>
        <v>ABDULRAHMAN WAHBE</v>
      </c>
    </row>
    <row r="67" spans="1:13" ht="18" customHeight="1">
      <c r="B67" s="22" t="s">
        <v>62</v>
      </c>
      <c r="J67" s="22" t="s">
        <v>63</v>
      </c>
      <c r="K67" s="18" t="s">
        <v>93</v>
      </c>
    </row>
    <row r="68" spans="1:13" ht="15" customHeight="1">
      <c r="B68" s="22" t="s">
        <v>64</v>
      </c>
      <c r="J68" s="22" t="s">
        <v>65</v>
      </c>
    </row>
    <row r="69" spans="1:13" s="24" customFormat="1" ht="15" customHeight="1">
      <c r="B69" s="21" t="s">
        <v>95</v>
      </c>
      <c r="J69" s="28" t="str">
        <f>C9</f>
        <v>FCL(Fosam Company Ltd.)</v>
      </c>
    </row>
    <row r="70" spans="1:13" ht="27.95" customHeight="1">
      <c r="A70" s="200" t="s">
        <v>66</v>
      </c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  <c r="M70" s="200"/>
    </row>
    <row r="77" spans="1:13">
      <c r="B77" s="28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</sheetData>
  <mergeCells count="12">
    <mergeCell ref="A70:M70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0:G3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2" max="12" man="1"/>
  </rowBreaks>
  <colBreaks count="1" manualBreakCount="1">
    <brk id="5" max="60" man="1"/>
  </colBreaks>
  <ignoredErrors>
    <ignoredError sqref="K14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tabSelected="1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67</v>
      </c>
      <c r="B2" s="43" t="str">
        <f>+'PO 1st page'!K11</f>
        <v>SAC2-DS-PO-0521</v>
      </c>
      <c r="C2" s="211" t="s">
        <v>68</v>
      </c>
      <c r="D2" s="211"/>
      <c r="E2" s="211"/>
      <c r="F2" s="211"/>
      <c r="G2" s="44"/>
      <c r="H2" s="44"/>
    </row>
    <row r="3" spans="1:13" s="50" customFormat="1" ht="28.5" customHeight="1" thickBot="1">
      <c r="A3" s="45" t="s">
        <v>69</v>
      </c>
      <c r="B3" s="46">
        <f>+'PO 1st page'!K10</f>
        <v>46321</v>
      </c>
      <c r="C3" s="47"/>
      <c r="D3" s="48"/>
      <c r="E3" s="212" t="s">
        <v>70</v>
      </c>
      <c r="F3" s="212"/>
      <c r="G3" s="212"/>
      <c r="H3" s="212"/>
      <c r="I3" s="49"/>
    </row>
    <row r="4" spans="1:13" s="51" customFormat="1" ht="28.5" customHeight="1" thickTop="1">
      <c r="A4" s="213" t="s">
        <v>71</v>
      </c>
      <c r="B4" s="215" t="s">
        <v>72</v>
      </c>
      <c r="C4" s="216"/>
      <c r="D4" s="219" t="s">
        <v>73</v>
      </c>
      <c r="E4" s="219" t="s">
        <v>74</v>
      </c>
      <c r="F4" s="221" t="str">
        <f>'PO 1st page'!C9</f>
        <v>FCL(Fosam Company Ltd.)</v>
      </c>
      <c r="G4" s="222"/>
      <c r="H4" s="223" t="s">
        <v>75</v>
      </c>
      <c r="K4" s="52"/>
      <c r="L4" s="52"/>
      <c r="M4" s="52"/>
    </row>
    <row r="5" spans="1:13" s="51" customFormat="1" ht="21.95" customHeight="1">
      <c r="A5" s="214"/>
      <c r="B5" s="217"/>
      <c r="C5" s="218"/>
      <c r="D5" s="220"/>
      <c r="E5" s="220"/>
      <c r="F5" s="53" t="s">
        <v>76</v>
      </c>
      <c r="G5" s="53" t="s">
        <v>42</v>
      </c>
      <c r="H5" s="224"/>
      <c r="K5" s="52"/>
      <c r="L5" s="52"/>
      <c r="M5" s="52"/>
    </row>
    <row r="6" spans="1:13" s="51" customFormat="1" ht="53.25" customHeight="1">
      <c r="A6" s="81">
        <f t="shared" ref="A6:A17" si="0">ROW(A1)</f>
        <v>1</v>
      </c>
      <c r="B6" s="225" t="str">
        <f>CONCATENATE(MRS!B6," ",MRS!D6)</f>
        <v>Conbextra TS (25kg) Non-shrink, cementitious aggregate filled grout
Consumption rate: 11.67 litres/bag</v>
      </c>
      <c r="C6" s="226"/>
      <c r="D6" s="82" t="str">
        <f>+'MRS LIST'!G6</f>
        <v>KG</v>
      </c>
      <c r="E6" s="83">
        <f>+'MRS LIST'!H6</f>
        <v>4000</v>
      </c>
      <c r="F6" s="84">
        <f>+'MRS LIST'!I6</f>
        <v>16</v>
      </c>
      <c r="G6" s="85">
        <f>+'MRS LIST'!J6</f>
        <v>64000</v>
      </c>
      <c r="H6" s="86" t="str">
        <f>MRS!L6</f>
        <v>One time</v>
      </c>
      <c r="K6" s="87"/>
      <c r="L6" s="88"/>
      <c r="M6" s="52"/>
    </row>
    <row r="7" spans="1:13" s="51" customFormat="1" ht="27.75" customHeight="1">
      <c r="A7" s="81">
        <v>2</v>
      </c>
      <c r="B7" s="225" t="str">
        <f>CONCATENATE(MRS!B7," ",MRS!D7)</f>
        <v xml:space="preserve"> </v>
      </c>
      <c r="C7" s="226"/>
      <c r="D7" s="82"/>
      <c r="E7" s="83"/>
      <c r="F7" s="84"/>
      <c r="G7" s="85"/>
      <c r="H7" s="86"/>
      <c r="K7" s="87"/>
      <c r="L7" s="88"/>
      <c r="M7" s="52"/>
    </row>
    <row r="8" spans="1:13" s="51" customFormat="1" ht="27.75" customHeight="1">
      <c r="A8" s="89">
        <v>3</v>
      </c>
      <c r="B8" s="225" t="str">
        <f>CONCATENATE(MRS!B8," ",MRS!D8)</f>
        <v xml:space="preserve"> </v>
      </c>
      <c r="C8" s="226"/>
      <c r="D8" s="82"/>
      <c r="E8" s="83"/>
      <c r="F8" s="84"/>
      <c r="G8" s="85"/>
      <c r="H8" s="86"/>
      <c r="K8" s="52"/>
      <c r="L8" s="52"/>
      <c r="M8" s="52"/>
    </row>
    <row r="9" spans="1:13" s="51" customFormat="1" ht="27.75" customHeight="1">
      <c r="A9" s="89">
        <f t="shared" si="0"/>
        <v>4</v>
      </c>
      <c r="B9" s="225"/>
      <c r="C9" s="226"/>
      <c r="D9" s="82"/>
      <c r="E9" s="83"/>
      <c r="F9" s="84"/>
      <c r="G9" s="85"/>
      <c r="H9" s="86"/>
    </row>
    <row r="10" spans="1:13" s="51" customFormat="1" ht="32.1" customHeight="1">
      <c r="A10" s="89">
        <f t="shared" si="0"/>
        <v>5</v>
      </c>
      <c r="B10" s="225"/>
      <c r="C10" s="226"/>
      <c r="D10" s="82"/>
      <c r="E10" s="83"/>
      <c r="F10" s="84"/>
      <c r="G10" s="85"/>
      <c r="H10" s="86"/>
    </row>
    <row r="11" spans="1:13" s="51" customFormat="1" ht="32.1" customHeight="1">
      <c r="A11" s="89">
        <f t="shared" si="0"/>
        <v>6</v>
      </c>
      <c r="B11" s="209"/>
      <c r="C11" s="210"/>
      <c r="D11" s="90"/>
      <c r="E11" s="91"/>
      <c r="F11" s="92"/>
      <c r="G11" s="93"/>
      <c r="H11" s="94"/>
    </row>
    <row r="12" spans="1:13" s="51" customFormat="1" ht="32.1" customHeight="1">
      <c r="A12" s="89">
        <f t="shared" si="0"/>
        <v>7</v>
      </c>
      <c r="B12" s="209"/>
      <c r="C12" s="210"/>
      <c r="D12" s="90"/>
      <c r="E12" s="91"/>
      <c r="F12" s="92"/>
      <c r="G12" s="93"/>
      <c r="H12" s="94"/>
    </row>
    <row r="13" spans="1:13" s="51" customFormat="1" ht="32.1" customHeight="1">
      <c r="A13" s="89">
        <f t="shared" si="0"/>
        <v>8</v>
      </c>
      <c r="B13" s="209"/>
      <c r="C13" s="210"/>
      <c r="D13" s="90"/>
      <c r="E13" s="91"/>
      <c r="F13" s="92"/>
      <c r="G13" s="93"/>
      <c r="H13" s="94"/>
    </row>
    <row r="14" spans="1:13" s="51" customFormat="1" ht="32.1" customHeight="1">
      <c r="A14" s="89">
        <f t="shared" si="0"/>
        <v>9</v>
      </c>
      <c r="B14" s="209"/>
      <c r="C14" s="210"/>
      <c r="D14" s="90"/>
      <c r="E14" s="91"/>
      <c r="F14" s="95"/>
      <c r="G14" s="93"/>
      <c r="H14" s="94"/>
    </row>
    <row r="15" spans="1:13" s="51" customFormat="1" ht="32.1" customHeight="1">
      <c r="A15" s="89">
        <f t="shared" si="0"/>
        <v>10</v>
      </c>
      <c r="B15" s="209"/>
      <c r="C15" s="210"/>
      <c r="D15" s="90"/>
      <c r="E15" s="91"/>
      <c r="F15" s="95"/>
      <c r="G15" s="93"/>
      <c r="H15" s="94"/>
    </row>
    <row r="16" spans="1:13" s="51" customFormat="1" ht="32.1" customHeight="1">
      <c r="A16" s="89">
        <f t="shared" si="0"/>
        <v>11</v>
      </c>
      <c r="B16" s="209"/>
      <c r="C16" s="210"/>
      <c r="D16" s="90"/>
      <c r="E16" s="91"/>
      <c r="F16" s="92"/>
      <c r="G16" s="93"/>
      <c r="H16" s="94"/>
    </row>
    <row r="17" spans="1:13" s="51" customFormat="1" ht="32.1" customHeight="1">
      <c r="A17" s="89">
        <f t="shared" si="0"/>
        <v>12</v>
      </c>
      <c r="B17" s="209"/>
      <c r="C17" s="210"/>
      <c r="D17" s="90"/>
      <c r="E17" s="91"/>
      <c r="F17" s="92"/>
      <c r="G17" s="93"/>
      <c r="H17" s="94"/>
    </row>
    <row r="18" spans="1:13" s="51" customFormat="1" ht="23.1" customHeight="1">
      <c r="A18" s="227" t="s">
        <v>77</v>
      </c>
      <c r="B18" s="228"/>
      <c r="C18" s="228"/>
      <c r="D18" s="228"/>
      <c r="E18" s="228"/>
      <c r="F18" s="228"/>
      <c r="G18" s="54">
        <f>SUM(G6:G17)</f>
        <v>64000</v>
      </c>
      <c r="H18" s="55"/>
    </row>
    <row r="19" spans="1:13" s="51" customFormat="1" ht="23.1" customHeight="1">
      <c r="A19" s="227" t="s">
        <v>41</v>
      </c>
      <c r="B19" s="228"/>
      <c r="C19" s="228"/>
      <c r="D19" s="228"/>
      <c r="E19" s="228"/>
      <c r="F19" s="228"/>
      <c r="G19" s="54">
        <f>+G18*0.15</f>
        <v>9600</v>
      </c>
      <c r="H19" s="55"/>
    </row>
    <row r="20" spans="1:13" s="51" customFormat="1" ht="23.1" customHeight="1">
      <c r="A20" s="227" t="s">
        <v>87</v>
      </c>
      <c r="B20" s="228"/>
      <c r="C20" s="228"/>
      <c r="D20" s="228"/>
      <c r="E20" s="228"/>
      <c r="F20" s="228"/>
      <c r="G20" s="119">
        <v>0</v>
      </c>
      <c r="H20" s="120"/>
    </row>
    <row r="21" spans="1:13" s="51" customFormat="1" ht="24.95" customHeight="1" thickBot="1">
      <c r="A21" s="229" t="s">
        <v>78</v>
      </c>
      <c r="B21" s="230"/>
      <c r="C21" s="230"/>
      <c r="D21" s="230"/>
      <c r="E21" s="230"/>
      <c r="F21" s="230"/>
      <c r="G21" s="56">
        <f>SUM(G18:G20)</f>
        <v>73600</v>
      </c>
      <c r="H21" s="57"/>
    </row>
    <row r="22" spans="1:13" ht="15.75" thickTop="1">
      <c r="A22" s="58" t="str">
        <f>" 1) Above Price are as per your quotation with ref "&amp;'PO 1st page'!K14</f>
        <v xml:space="preserve"> 1) Above Price are as per your quotation with ref 00188649</v>
      </c>
      <c r="B22" s="59"/>
      <c r="C22" s="59"/>
      <c r="D22" s="60"/>
      <c r="E22" s="60"/>
      <c r="F22" s="60"/>
      <c r="G22" s="60"/>
      <c r="H22" s="60"/>
    </row>
    <row r="23" spans="1:13" ht="15">
      <c r="A23" s="61" t="s">
        <v>79</v>
      </c>
      <c r="B23" s="62"/>
      <c r="C23" s="62"/>
      <c r="D23" s="63"/>
      <c r="E23" s="63"/>
      <c r="F23" s="63"/>
      <c r="G23" s="63"/>
      <c r="H23" s="63"/>
      <c r="I23" s="64"/>
    </row>
    <row r="24" spans="1:13" ht="15.75">
      <c r="A24" s="65"/>
    </row>
    <row r="25" spans="1:13">
      <c r="A25" s="200" t="s">
        <v>80</v>
      </c>
      <c r="B25" s="200"/>
      <c r="C25" s="200"/>
      <c r="D25" s="200"/>
      <c r="E25" s="200"/>
      <c r="F25" s="200"/>
      <c r="G25" s="200"/>
      <c r="H25" s="200"/>
      <c r="I25" s="66"/>
      <c r="J25" s="66"/>
      <c r="K25" s="66"/>
      <c r="L25" s="66"/>
      <c r="M25" s="66"/>
    </row>
    <row r="26" spans="1:13" ht="15.75">
      <c r="A26" s="65"/>
      <c r="C26" s="67"/>
    </row>
    <row r="27" spans="1:13" ht="15.75">
      <c r="A27" s="65"/>
      <c r="C27" s="67"/>
    </row>
    <row r="29" spans="1:13" ht="12" customHeight="1"/>
  </sheetData>
  <mergeCells count="25"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shadab khan</cp:lastModifiedBy>
  <cp:lastPrinted>2026-10-26T14:16:18Z</cp:lastPrinted>
  <dcterms:created xsi:type="dcterms:W3CDTF">2024-10-20T11:50:19Z</dcterms:created>
  <dcterms:modified xsi:type="dcterms:W3CDTF">2026-10-26T14:17:44Z</dcterms:modified>
</cp:coreProperties>
</file>