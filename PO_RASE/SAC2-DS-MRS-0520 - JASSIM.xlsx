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PO_RASE\"/>
    </mc:Choice>
  </mc:AlternateContent>
  <xr:revisionPtr revIDLastSave="0" documentId="13_ncr:1_{59EEE321-5D5F-42DE-A2C0-6C774CE1EE4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MRS!$A$1:$M$16</definedName>
    <definedName name="_xlnm.Print_Area" localSheetId="1">'MRS LIST'!$A$1:$K$7</definedName>
    <definedName name="_xlnm.Print_Area" localSheetId="2">'PO 1st page'!$A$1:$N$71</definedName>
    <definedName name="_xlnm.Print_Area" localSheetId="3">'PO 2nd page'!$A$1:$H$14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B7" i="4"/>
  <c r="A7" i="4"/>
  <c r="G7" i="2"/>
  <c r="H7" i="2"/>
  <c r="I7" i="2"/>
  <c r="F7" i="4" s="1"/>
  <c r="D7" i="2"/>
  <c r="B7" i="2"/>
  <c r="J7" i="1"/>
  <c r="J7" i="2" s="1"/>
  <c r="G7" i="4" s="1"/>
  <c r="A7" i="1" l="1"/>
  <c r="A7" i="2" s="1"/>
  <c r="B6" i="4"/>
  <c r="E3" i="1" l="1"/>
  <c r="H6" i="2" l="1"/>
  <c r="G6" i="2"/>
  <c r="D6" i="2"/>
  <c r="B6" i="2"/>
  <c r="E6" i="4"/>
  <c r="D6" i="4"/>
  <c r="J6" i="1"/>
  <c r="J6" i="2" s="1"/>
  <c r="J8" i="1" l="1"/>
  <c r="K67" i="3"/>
  <c r="K10" i="3" l="1"/>
  <c r="A11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8" i="4" s="1"/>
  <c r="F29" i="3" s="1"/>
  <c r="G9" i="4" l="1"/>
  <c r="F30" i="3" s="1"/>
  <c r="G10" i="4" l="1"/>
  <c r="F31" i="3" s="1"/>
</calcChain>
</file>

<file path=xl/sharedStrings.xml><?xml version="1.0" encoding="utf-8"?>
<sst xmlns="http://schemas.openxmlformats.org/spreadsheetml/2006/main" count="172" uniqueCount="137">
  <si>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</si>
  <si>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</si>
  <si>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</si>
  <si>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</si>
  <si>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</si>
  <si>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</si>
  <si>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</si>
  <si>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</si>
  <si>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</si>
  <si>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</si>
  <si>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</si>
  <si>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</si>
  <si>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</si>
  <si>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</si>
  <si>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</si>
  <si>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</si>
  <si>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</si>
  <si>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</si>
  <si>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</si>
  <si>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</si>
  <si>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</si>
  <si>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</si>
  <si>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</si>
  <si>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</si>
  <si>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</si>
  <si>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</si>
  <si>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</si>
  <si>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</si>
  <si>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</si>
  <si>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</si>
  <si>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</si>
  <si>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</si>
  <si>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</si>
  <si>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</si>
  <si>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</si>
  <si>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</si>
  <si>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</si>
  <si>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</si>
  <si>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</si>
  <si>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</si>
  <si>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</si>
  <si>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</si>
  <si>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</si>
  <si>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</si>
  <si>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</si>
  <si>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</si>
  <si>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</si>
  <si>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</si>
  <si>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</si>
  <si>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</si>
  <si>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</si>
  <si>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</si>
  <si>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</si>
  <si>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</si>
  <si>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</si>
  <si>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</si>
  <si>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</si>
  <si>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</si>
  <si>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</si>
  <si>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</si>
  <si>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</si>
  <si>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</si>
  <si>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</si>
  <si>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</si>
  <si>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</si>
  <si>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</si>
  <si>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</si>
  <si>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</si>
  <si>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</si>
  <si>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</si>
  <si>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</si>
  <si>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</si>
  <si>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</si>
  <si>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</si>
  <si>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</si>
  <si>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</si>
  <si>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</si>
  <si>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</si>
  <si>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</si>
  <si>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</si>
  <si>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</si>
  <si>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</si>
  <si>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</si>
  <si>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</si>
  <si>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</si>
  <si>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</si>
  <si>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</si>
  <si>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</si>
  <si>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</si>
  <si>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</si>
  <si>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</si>
  <si>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</si>
  <si>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</si>
  <si>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</si>
  <si>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</si>
  <si>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</si>
  <si>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</si>
  <si>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</si>
  <si>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</si>
  <si>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</si>
  <si>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</si>
  <si>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</si>
  <si>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</si>
  <si>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</si>
  <si>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</si>
  <si>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</si>
  <si>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</si>
  <si>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</si>
  <si>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</si>
  <si>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</si>
  <si>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</si>
  <si>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</si>
  <si>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</si>
  <si>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</si>
  <si>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</si>
  <si>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</si>
  <si>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</si>
  <si>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</si>
  <si>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</si>
  <si>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</si>
  <si>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</si>
  <si>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</si>
  <si>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</si>
  <si>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</si>
  <si>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</si>
  <si>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</si>
  <si>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</si>
  <si>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</si>
  <si>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QTY</t>
  </si>
  <si>
    <t>UNIT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</si>
  <si>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-MRS-0520</t>
    </r>
  </si>
  <si>
    <t>Q-20263265</t>
  </si>
  <si>
    <t>Welding rod</t>
  </si>
  <si>
    <t>E7018-1 H4R  3.2mm</t>
  </si>
  <si>
    <t>ENiCrMo-3   3.2mm</t>
  </si>
  <si>
    <t>Kg</t>
  </si>
  <si>
    <t>Welding Consumable 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</si>
</sst>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6" xfId="6" applyNumberFormat="1" applyFont="1" applyBorder="1" applyAlignment="1">
      <alignment horizontal="center" vertical="center" wrapText="1"/>
    </xf>
    <xf numFmtId="0" fontId="8" fillId="0" borderId="37" xfId="6" applyFont="1" applyBorder="1"/>
    <xf numFmtId="0" fontId="10" fillId="0" borderId="0" xfId="6" applyFont="1" applyAlignment="1">
      <alignment vertical="center"/>
    </xf>
    <xf numFmtId="0" fontId="26" fillId="0" borderId="38" xfId="6" applyFont="1" applyBorder="1" applyAlignment="1">
      <alignment vertical="center"/>
    </xf>
    <xf numFmtId="0" fontId="26" fillId="0" borderId="38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39" xfId="5" applyFont="1" applyFill="1" applyBorder="1"/>
    <xf numFmtId="0" fontId="18" fillId="3" borderId="39" xfId="5" applyFont="1" applyFill="1" applyBorder="1"/>
    <xf numFmtId="0" fontId="6" fillId="2" borderId="17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0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2" borderId="14" xfId="4" applyNumberFormat="1" applyFont="1" applyFill="1" applyBorder="1" applyAlignment="1">
      <alignment horizontal="center" vertical="center" wrapText="1"/>
    </xf>
    <xf numFmtId="0" fontId="8" fillId="2" borderId="42" xfId="1" quotePrefix="1" applyFont="1" applyFill="1" applyBorder="1" applyAlignment="1">
      <alignment vertical="center"/>
    </xf>
    <xf numFmtId="0" fontId="6" fillId="2" borderId="18" xfId="7" applyFont="1" applyFill="1" applyBorder="1" applyAlignment="1">
      <alignment horizontal="center" vertical="center" wrapText="1"/>
    </xf>
    <xf numFmtId="0" fontId="6" fillId="2" borderId="18" xfId="8" applyFont="1" applyFill="1" applyBorder="1" applyAlignment="1">
      <alignment horizontal="center" vertical="center"/>
    </xf>
    <xf numFmtId="43" fontId="6" fillId="0" borderId="18" xfId="9" quotePrefix="1" applyFont="1" applyFill="1" applyBorder="1" applyAlignment="1">
      <alignment vertical="center"/>
    </xf>
    <xf numFmtId="43" fontId="6" fillId="0" borderId="18" xfId="6" applyNumberFormat="1" applyFont="1" applyBorder="1" applyAlignment="1">
      <alignment vertical="center"/>
    </xf>
    <xf numFmtId="0" fontId="3" fillId="2" borderId="8" xfId="1" applyFill="1" applyBorder="1" applyAlignment="1">
      <alignment horizontal="right" vertical="center"/>
    </xf>
    <xf numFmtId="0" fontId="3" fillId="2" borderId="14" xfId="1" applyFill="1" applyBorder="1" applyAlignment="1">
      <alignment horizontal="center" vertical="center" wrapText="1"/>
    </xf>
    <xf numFmtId="0" fontId="3" fillId="2" borderId="41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42" fillId="0" borderId="19" xfId="0" applyFont="1" applyBorder="1" applyAlignment="1">
      <alignment horizontal="center" vertical="center" wrapText="1"/>
    </xf>
    <xf numFmtId="0" fontId="42" fillId="0" borderId="20" xfId="0" applyFont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  <xf numFmtId="0" fontId="10" fillId="0" borderId="35" xfId="6" quotePrefix="1" applyFont="1" applyBorder="1" applyAlignment="1">
      <alignment horizontal="right" vertical="center"/>
    </xf>
    <xf numFmtId="0" fontId="10" fillId="0" borderId="36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42" fillId="3" borderId="18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8</xdr:row>
          <xdr:rowOff>246146</xdr:rowOff>
        </xdr:from>
        <xdr:to>
          <xdr:col>11</xdr:col>
          <xdr:colOff>1480385</xdr:colOff>
          <xdr:row>15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:$Y$17" spid="_x0000_s14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7</xdr:row>
      <xdr:rowOff>0</xdr:rowOff>
    </xdr:from>
    <xdr:to>
      <xdr:col>15</xdr:col>
      <xdr:colOff>543942</xdr:colOff>
      <xdr:row>7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7</xdr:row>
      <xdr:rowOff>0</xdr:rowOff>
    </xdr:from>
    <xdr:to>
      <xdr:col>15</xdr:col>
      <xdr:colOff>543942</xdr:colOff>
      <xdr:row>7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0</xdr:rowOff>
    </xdr:from>
    <xdr:to>
      <xdr:col>28</xdr:col>
      <xdr:colOff>1</xdr:colOff>
      <xdr:row>7</xdr:row>
      <xdr:rowOff>1072552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7</xdr:row>
      <xdr:rowOff>0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7</xdr:row>
      <xdr:rowOff>0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4"/>
  <sheetViews>
    <sheetView showGridLines="0" view="pageBreakPreview" zoomScale="95" zoomScaleNormal="95" zoomScaleSheetLayoutView="95" workbookViewId="0">
      <selection activeCell="J8" sqref="J8"/>
    </sheetView>
  </sheetViews>
  <sheetFormatPr defaultColWidth="9" defaultRowHeight="21" customHeight="1"/>
  <cols>
    <col min="1" max="1" width="11" style="2" customWidth="1"/>
    <col min="2" max="2" width="8.140625" style="2" customWidth="1"/>
    <col min="3" max="3" width="28.710937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7" t="s">
        <v>126</v>
      </c>
      <c r="B1" s="108"/>
      <c r="C1" s="88"/>
      <c r="D1" s="88"/>
      <c r="E1" s="88"/>
      <c r="F1" s="88"/>
      <c r="G1" s="1"/>
      <c r="J1" s="141" t="s">
        <v>79</v>
      </c>
      <c r="K1" s="142"/>
      <c r="L1" s="143"/>
    </row>
    <row r="2" spans="1:26" ht="20.100000000000001" customHeight="1">
      <c r="A2" s="3" t="s">
        <v>1</v>
      </c>
      <c r="B2" s="82"/>
      <c r="C2" s="82"/>
      <c r="D2" s="3" t="s">
        <v>127</v>
      </c>
      <c r="E2" s="82"/>
      <c r="F2" s="82"/>
      <c r="G2" s="82"/>
      <c r="H2" s="82"/>
      <c r="I2" s="4"/>
      <c r="J2" s="144" t="s">
        <v>86</v>
      </c>
      <c r="K2" s="145"/>
      <c r="L2" s="146"/>
    </row>
    <row r="3" spans="1:26" ht="20.100000000000001" customHeight="1">
      <c r="A3" s="3" t="s">
        <v>130</v>
      </c>
      <c r="B3" s="82"/>
      <c r="C3" s="82"/>
      <c r="D3" s="82"/>
      <c r="E3" s="147">
        <f>+L3+3</f>
        <v>46324</v>
      </c>
      <c r="F3" s="147"/>
      <c r="G3" s="147"/>
      <c r="H3" s="147"/>
      <c r="I3" s="147"/>
      <c r="J3" s="82"/>
      <c r="K3" s="82"/>
      <c r="L3" s="109">
        <v>46321</v>
      </c>
      <c r="M3" s="4"/>
    </row>
    <row r="4" spans="1:26" ht="15.95" customHeight="1">
      <c r="A4" s="129" t="s">
        <v>2</v>
      </c>
      <c r="B4" s="131" t="s">
        <v>3</v>
      </c>
      <c r="C4" s="132"/>
      <c r="D4" s="133" t="s">
        <v>4</v>
      </c>
      <c r="E4" s="133"/>
      <c r="F4" s="134"/>
      <c r="G4" s="152" t="s">
        <v>5</v>
      </c>
      <c r="H4" s="148" t="s">
        <v>6</v>
      </c>
      <c r="I4" s="148" t="s">
        <v>83</v>
      </c>
      <c r="J4" s="150" t="s">
        <v>84</v>
      </c>
      <c r="K4" s="148" t="s">
        <v>0</v>
      </c>
      <c r="L4" s="151" t="s">
        <v>7</v>
      </c>
    </row>
    <row r="5" spans="1:26" ht="24.75" customHeight="1">
      <c r="A5" s="130"/>
      <c r="B5" s="131"/>
      <c r="C5" s="132"/>
      <c r="D5" s="135"/>
      <c r="E5" s="135"/>
      <c r="F5" s="136"/>
      <c r="G5" s="153"/>
      <c r="H5" s="149"/>
      <c r="I5" s="149"/>
      <c r="J5" s="148"/>
      <c r="K5" s="149"/>
      <c r="L5" s="152"/>
    </row>
    <row r="6" spans="1:26" ht="32.25" customHeight="1">
      <c r="A6" s="116">
        <f t="shared" ref="A6:A7" si="0">ROW(A1)</f>
        <v>1</v>
      </c>
      <c r="B6" s="139" t="s">
        <v>132</v>
      </c>
      <c r="C6" s="140" t="s">
        <v>132</v>
      </c>
      <c r="D6" s="137" t="s">
        <v>133</v>
      </c>
      <c r="E6" s="137" t="s">
        <v>133</v>
      </c>
      <c r="F6" s="138" t="s">
        <v>133</v>
      </c>
      <c r="G6" s="114" t="s">
        <v>135</v>
      </c>
      <c r="H6" s="110">
        <v>1500</v>
      </c>
      <c r="I6" s="111">
        <v>16.25</v>
      </c>
      <c r="J6" s="112">
        <f>H6*I6</f>
        <v>24375</v>
      </c>
      <c r="K6" s="113" t="s">
        <v>88</v>
      </c>
      <c r="L6" s="115" t="s">
        <v>96</v>
      </c>
      <c r="R6" s="87"/>
    </row>
    <row r="7" spans="1:26" ht="32.25" customHeight="1">
      <c r="A7" s="116">
        <f t="shared" si="0"/>
        <v>2</v>
      </c>
      <c r="B7" s="139" t="s">
        <v>132</v>
      </c>
      <c r="C7" s="140" t="s">
        <v>132</v>
      </c>
      <c r="D7" s="137" t="s">
        <v>134</v>
      </c>
      <c r="E7" s="137" t="s">
        <v>134</v>
      </c>
      <c r="F7" s="138" t="s">
        <v>134</v>
      </c>
      <c r="G7" s="114" t="s">
        <v>135</v>
      </c>
      <c r="H7" s="110">
        <v>100</v>
      </c>
      <c r="I7" s="111">
        <v>268</v>
      </c>
      <c r="J7" s="112">
        <f t="shared" ref="J7" si="1">H7*I7</f>
        <v>26800</v>
      </c>
      <c r="K7" s="113" t="s">
        <v>56</v>
      </c>
      <c r="L7" s="115" t="s">
        <v>56</v>
      </c>
      <c r="R7" s="87"/>
    </row>
    <row r="8" spans="1:26" ht="30" customHeight="1">
      <c r="A8" s="123" t="s">
        <v>8</v>
      </c>
      <c r="B8" s="124"/>
      <c r="C8" s="117"/>
      <c r="D8" s="92"/>
      <c r="E8" s="92"/>
      <c r="F8" s="92"/>
      <c r="G8" s="93"/>
      <c r="H8" s="93"/>
      <c r="I8" s="122" t="s">
        <v>9</v>
      </c>
      <c r="J8" s="89">
        <f>SUM(J6:J7)</f>
        <v>51175</v>
      </c>
      <c r="K8" s="113" t="s">
        <v>56</v>
      </c>
      <c r="L8" s="115" t="s">
        <v>56</v>
      </c>
    </row>
    <row r="9" spans="1:26" ht="20.100000000000001" customHeight="1">
      <c r="A9" s="5" t="s">
        <v>10</v>
      </c>
      <c r="B9" s="6"/>
      <c r="C9" s="6"/>
      <c r="D9" s="6"/>
      <c r="E9" s="6"/>
      <c r="F9" s="6"/>
      <c r="G9" s="6"/>
      <c r="H9" s="6"/>
      <c r="I9" s="6"/>
      <c r="J9" s="6"/>
      <c r="K9" s="7"/>
      <c r="L9" s="8"/>
    </row>
    <row r="10" spans="1:26" ht="18" customHeight="1">
      <c r="A10" s="9"/>
      <c r="J10" s="1"/>
      <c r="K10" s="1"/>
      <c r="O10" s="10"/>
      <c r="P10" s="10"/>
      <c r="Q10" s="10"/>
      <c r="R10" s="10"/>
      <c r="S10" s="10"/>
      <c r="T10" s="10"/>
      <c r="U10" s="10"/>
      <c r="V10" s="10"/>
      <c r="W10" s="10"/>
      <c r="Y10" s="156"/>
      <c r="Z10" s="10"/>
    </row>
    <row r="11" spans="1:26" ht="50.1" customHeight="1">
      <c r="Y11" s="157"/>
    </row>
    <row r="12" spans="1:26" ht="15" customHeight="1">
      <c r="O12" s="158" t="s">
        <v>114</v>
      </c>
      <c r="P12" s="159"/>
      <c r="Q12" s="159"/>
      <c r="R12" s="160"/>
      <c r="S12" s="100"/>
      <c r="T12" s="158" t="s">
        <v>115</v>
      </c>
      <c r="U12" s="159"/>
      <c r="V12" s="159"/>
      <c r="W12" s="159"/>
      <c r="X12" s="159"/>
      <c r="Y12" s="160"/>
    </row>
    <row r="13" spans="1:26" ht="15" customHeight="1">
      <c r="O13" s="161" t="s">
        <v>116</v>
      </c>
      <c r="P13" s="125" t="s">
        <v>117</v>
      </c>
      <c r="Q13" s="161" t="s">
        <v>118</v>
      </c>
      <c r="R13" s="125" t="s">
        <v>119</v>
      </c>
      <c r="S13" s="100"/>
      <c r="T13" s="161" t="s">
        <v>120</v>
      </c>
      <c r="U13" s="125" t="s">
        <v>121</v>
      </c>
      <c r="V13" s="158" t="s">
        <v>122</v>
      </c>
      <c r="W13" s="159"/>
      <c r="X13" s="160"/>
      <c r="Y13" s="125" t="s">
        <v>123</v>
      </c>
    </row>
    <row r="14" spans="1:26" ht="18" customHeight="1">
      <c r="O14" s="127"/>
      <c r="P14" s="126"/>
      <c r="Q14" s="127"/>
      <c r="R14" s="126"/>
      <c r="S14" s="101"/>
      <c r="T14" s="127"/>
      <c r="U14" s="126"/>
      <c r="V14" s="12" t="s">
        <v>116</v>
      </c>
      <c r="W14" s="162" t="s">
        <v>124</v>
      </c>
      <c r="X14" s="163"/>
      <c r="Y14" s="126"/>
    </row>
    <row r="15" spans="1:26" ht="50.1" customHeight="1">
      <c r="O15" s="13"/>
      <c r="P15" s="13"/>
      <c r="Q15" s="13"/>
      <c r="R15" s="13"/>
      <c r="S15" s="100"/>
      <c r="T15" s="13"/>
      <c r="U15" s="13"/>
      <c r="V15" s="13"/>
      <c r="W15" s="158"/>
      <c r="X15" s="160"/>
      <c r="Y15" s="102"/>
    </row>
    <row r="16" spans="1:26" ht="36" customHeight="1">
      <c r="W16" s="103"/>
      <c r="X16" s="154" t="s">
        <v>125</v>
      </c>
      <c r="Y16" s="11" t="s">
        <v>123</v>
      </c>
    </row>
    <row r="17" spans="15:25" ht="50.1" customHeight="1">
      <c r="O17" s="104"/>
      <c r="P17" s="104"/>
      <c r="Q17" s="104"/>
      <c r="R17" s="104"/>
      <c r="S17" s="104"/>
      <c r="T17" s="104"/>
      <c r="U17" s="104"/>
      <c r="V17" s="104"/>
      <c r="W17" s="105"/>
      <c r="X17" s="155"/>
      <c r="Y17" s="106"/>
    </row>
    <row r="18" spans="15:25" ht="19.899999999999999" customHeight="1"/>
    <row r="19" spans="15:25" ht="17.45" customHeight="1">
      <c r="O19" s="128"/>
      <c r="P19" s="128"/>
    </row>
    <row r="20" spans="15:25" ht="19.899999999999999" customHeight="1">
      <c r="O20" s="128"/>
      <c r="P20" s="128"/>
    </row>
    <row r="21" spans="15:25" ht="14.25">
      <c r="O21" s="10"/>
      <c r="P21" s="10"/>
    </row>
    <row r="22" spans="15:25" ht="65.099999999999994" customHeight="1"/>
    <row r="23" spans="15:25" ht="14.25">
      <c r="O23" s="10"/>
      <c r="P23" s="10"/>
    </row>
    <row r="24" spans="15:25" ht="19.899999999999999" customHeight="1"/>
    <row r="25" spans="15:25" ht="14.25"/>
    <row r="26" spans="15:25" ht="19.899999999999999" customHeight="1"/>
    <row r="27" spans="15:25" ht="14.25"/>
    <row r="28" spans="15:25" ht="19.899999999999999" customHeight="1"/>
    <row r="29" spans="15:25" ht="19.899999999999999" customHeight="1"/>
    <row r="30" spans="15:25" ht="64.900000000000006" customHeight="1"/>
    <row r="32" spans="15:25" ht="19.899999999999999" customHeight="1"/>
    <row r="33" spans="15:19" ht="19.899999999999999" customHeight="1"/>
    <row r="34" spans="15:19" ht="64.900000000000006" customHeight="1"/>
    <row r="38" spans="15:19" ht="21" customHeight="1">
      <c r="O38" s="125" t="s">
        <v>12</v>
      </c>
      <c r="P38" s="125" t="s">
        <v>12</v>
      </c>
      <c r="S38" s="125" t="s">
        <v>11</v>
      </c>
    </row>
    <row r="39" spans="15:19" ht="21" customHeight="1">
      <c r="O39" s="126"/>
      <c r="P39" s="126"/>
      <c r="S39" s="127"/>
    </row>
    <row r="40" spans="15:19" ht="64.900000000000006" customHeight="1">
      <c r="O40" s="13"/>
      <c r="P40" s="13"/>
      <c r="S40" s="14"/>
    </row>
    <row r="41" spans="15:19" ht="7.15" customHeight="1"/>
    <row r="42" spans="15:19" ht="21" customHeight="1">
      <c r="O42" s="125" t="s">
        <v>12</v>
      </c>
      <c r="P42" s="125" t="s">
        <v>12</v>
      </c>
      <c r="S42" s="125" t="s">
        <v>13</v>
      </c>
    </row>
    <row r="43" spans="15:19" ht="21" customHeight="1">
      <c r="O43" s="126"/>
      <c r="P43" s="126"/>
      <c r="S43" s="127"/>
    </row>
    <row r="44" spans="15:19" ht="64.900000000000006" customHeight="1">
      <c r="O44" s="13"/>
      <c r="P44" s="13"/>
      <c r="S44" s="13"/>
    </row>
  </sheetData>
  <mergeCells count="39">
    <mergeCell ref="X16:X17"/>
    <mergeCell ref="Y10:Y11"/>
    <mergeCell ref="O12:R12"/>
    <mergeCell ref="T12:Y12"/>
    <mergeCell ref="O13:O14"/>
    <mergeCell ref="Q13:Q14"/>
    <mergeCell ref="R13:R14"/>
    <mergeCell ref="T13:T14"/>
    <mergeCell ref="U13:U14"/>
    <mergeCell ref="V13:X13"/>
    <mergeCell ref="Y13:Y14"/>
    <mergeCell ref="W14:X14"/>
    <mergeCell ref="W15:X15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A4:A5"/>
    <mergeCell ref="B4:C5"/>
    <mergeCell ref="D4:F5"/>
    <mergeCell ref="D7:F7"/>
    <mergeCell ref="B7:C7"/>
    <mergeCell ref="D6:F6"/>
    <mergeCell ref="B6:C6"/>
    <mergeCell ref="A8:B8"/>
    <mergeCell ref="P13:P14"/>
    <mergeCell ref="S38:S39"/>
    <mergeCell ref="O42:O43"/>
    <mergeCell ref="P42:P43"/>
    <mergeCell ref="S42:S43"/>
    <mergeCell ref="O19:O20"/>
    <mergeCell ref="P19:P20"/>
    <mergeCell ref="O38:O39"/>
    <mergeCell ref="P38:P39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9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I6" sqref="I6"/>
    </sheetView>
  </sheetViews>
  <sheetFormatPr defaultColWidth="9" defaultRowHeight="21" customHeight="1"/>
  <cols>
    <col min="1" max="1" width="6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0" t="s">
        <v>85</v>
      </c>
      <c r="B1" s="81"/>
      <c r="C1" s="81"/>
      <c r="D1" s="81"/>
      <c r="E1" s="81"/>
      <c r="F1" s="81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82"/>
      <c r="C2" s="82"/>
      <c r="D2" s="3" t="str">
        <f>+MRS!D2</f>
        <v>Division (In charge Name) : ADMIN MANAGER (Dong Chang Kim)</v>
      </c>
      <c r="E2" s="82"/>
      <c r="F2" s="82"/>
      <c r="G2" s="15"/>
      <c r="H2" s="15"/>
      <c r="I2" s="15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SAC2-DS-MRS-0520</v>
      </c>
      <c r="B3" s="82"/>
      <c r="C3" s="82"/>
      <c r="D3" s="82"/>
      <c r="E3" s="82"/>
      <c r="F3" s="82"/>
      <c r="G3" s="82"/>
      <c r="H3" s="82"/>
      <c r="I3" s="82"/>
      <c r="J3" s="82"/>
      <c r="K3" s="83">
        <f>+MRS!L3</f>
        <v>46321</v>
      </c>
    </row>
    <row r="4" spans="1:18" ht="15.95" customHeight="1">
      <c r="A4" s="169" t="s">
        <v>2</v>
      </c>
      <c r="B4" s="170" t="s">
        <v>14</v>
      </c>
      <c r="C4" s="170"/>
      <c r="D4" s="169" t="s">
        <v>4</v>
      </c>
      <c r="E4" s="169"/>
      <c r="F4" s="169"/>
      <c r="G4" s="170" t="s">
        <v>5</v>
      </c>
      <c r="H4" s="169" t="s">
        <v>80</v>
      </c>
      <c r="I4" s="169" t="s">
        <v>15</v>
      </c>
      <c r="J4" s="169" t="s">
        <v>16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16">
        <f>+MRS!A6</f>
        <v>1</v>
      </c>
      <c r="B6" s="171" t="str">
        <f>MRS!B6</f>
        <v>Welding rod</v>
      </c>
      <c r="C6" s="172"/>
      <c r="D6" s="166" t="str">
        <f>MRS!D6</f>
        <v>E7018-1 H4R  3.2mm</v>
      </c>
      <c r="E6" s="167"/>
      <c r="F6" s="168"/>
      <c r="G6" s="84" t="str">
        <f>MRS!G6</f>
        <v>Kg</v>
      </c>
      <c r="H6" s="84">
        <f>MRS!H6</f>
        <v>1500</v>
      </c>
      <c r="I6" s="85">
        <f>MRS!I6</f>
        <v>16.25</v>
      </c>
      <c r="J6" s="85">
        <f>MRS!J6</f>
        <v>24375</v>
      </c>
      <c r="K6" s="86"/>
      <c r="O6" s="87"/>
      <c r="P6" s="87"/>
      <c r="R6" s="87"/>
    </row>
    <row r="7" spans="1:18" ht="105" customHeight="1">
      <c r="A7" s="16">
        <f>+MRS!A7</f>
        <v>2</v>
      </c>
      <c r="B7" s="171" t="str">
        <f>MRS!B7</f>
        <v>Welding rod</v>
      </c>
      <c r="C7" s="172"/>
      <c r="D7" s="166" t="str">
        <f>MRS!D7</f>
        <v>ENiCrMo-3   3.2mm</v>
      </c>
      <c r="E7" s="167"/>
      <c r="F7" s="168"/>
      <c r="G7" s="84" t="str">
        <f>MRS!G7</f>
        <v>Kg</v>
      </c>
      <c r="H7" s="84">
        <f>MRS!H7</f>
        <v>100</v>
      </c>
      <c r="I7" s="85">
        <f>MRS!I7</f>
        <v>268</v>
      </c>
      <c r="J7" s="85">
        <f>MRS!J7</f>
        <v>26800</v>
      </c>
      <c r="K7" s="86"/>
      <c r="O7" s="87"/>
      <c r="P7" s="87"/>
      <c r="R7" s="87"/>
    </row>
    <row r="8" spans="1:18" ht="105" customHeight="1">
      <c r="A8" s="16"/>
      <c r="B8" s="164"/>
      <c r="C8" s="165"/>
      <c r="D8" s="166"/>
      <c r="E8" s="167"/>
      <c r="F8" s="168"/>
      <c r="G8" s="84"/>
      <c r="H8" s="84"/>
      <c r="I8" s="85"/>
      <c r="J8" s="85"/>
      <c r="K8" s="86"/>
      <c r="O8" s="87"/>
      <c r="P8" s="87"/>
      <c r="R8" s="87"/>
    </row>
    <row r="9" spans="1:18" ht="105" customHeight="1">
      <c r="A9" s="16"/>
      <c r="B9" s="164"/>
      <c r="C9" s="165"/>
      <c r="D9" s="166"/>
      <c r="E9" s="167"/>
      <c r="F9" s="168"/>
      <c r="G9" s="84"/>
      <c r="H9" s="84"/>
      <c r="I9" s="85"/>
      <c r="J9" s="85"/>
      <c r="K9" s="86"/>
      <c r="O9" s="87"/>
      <c r="P9" s="87"/>
      <c r="R9" s="87"/>
    </row>
    <row r="10" spans="1:18" ht="105" customHeight="1">
      <c r="A10" s="16"/>
      <c r="B10" s="164"/>
      <c r="C10" s="165"/>
      <c r="D10" s="166"/>
      <c r="E10" s="167"/>
      <c r="F10" s="168"/>
      <c r="G10" s="84"/>
      <c r="H10" s="84"/>
      <c r="I10" s="85"/>
      <c r="J10" s="85"/>
      <c r="K10" s="86"/>
      <c r="O10" s="87"/>
      <c r="P10" s="87"/>
      <c r="R10" s="87"/>
    </row>
    <row r="11" spans="1:18" ht="105" customHeight="1">
      <c r="A11" s="16"/>
      <c r="B11" s="164"/>
      <c r="C11" s="165"/>
      <c r="D11" s="166"/>
      <c r="E11" s="167"/>
      <c r="F11" s="168"/>
      <c r="G11" s="84"/>
      <c r="H11" s="84"/>
      <c r="I11" s="85"/>
      <c r="J11" s="85"/>
      <c r="K11" s="86"/>
      <c r="O11" s="87"/>
      <c r="P11" s="87"/>
      <c r="R11" s="87"/>
    </row>
    <row r="12" spans="1:18" ht="105" customHeight="1">
      <c r="A12" s="16"/>
      <c r="B12" s="164"/>
      <c r="C12" s="165"/>
      <c r="D12" s="166"/>
      <c r="E12" s="167"/>
      <c r="F12" s="168"/>
      <c r="G12" s="84"/>
      <c r="H12" s="84"/>
      <c r="I12" s="85"/>
      <c r="J12" s="85"/>
      <c r="K12" s="86"/>
      <c r="O12" s="87"/>
      <c r="P12" s="87"/>
      <c r="R12" s="87"/>
    </row>
    <row r="13" spans="1:18" ht="105" customHeight="1">
      <c r="A13" s="16"/>
      <c r="B13" s="164"/>
      <c r="C13" s="165"/>
      <c r="D13" s="166"/>
      <c r="E13" s="167"/>
      <c r="F13" s="168"/>
      <c r="G13" s="84"/>
      <c r="H13" s="84"/>
      <c r="I13" s="85"/>
      <c r="J13" s="85"/>
      <c r="K13" s="86"/>
      <c r="O13" s="87"/>
      <c r="P13" s="87"/>
      <c r="R13" s="87"/>
    </row>
    <row r="14" spans="1:18" ht="105" customHeight="1">
      <c r="A14" s="16"/>
      <c r="B14" s="164"/>
      <c r="C14" s="165"/>
      <c r="D14" s="166"/>
      <c r="E14" s="167"/>
      <c r="F14" s="168"/>
      <c r="G14" s="84"/>
      <c r="H14" s="84"/>
      <c r="I14" s="85"/>
      <c r="J14" s="85"/>
      <c r="K14" s="86"/>
      <c r="O14" s="87"/>
      <c r="P14" s="87"/>
      <c r="R14" s="87"/>
    </row>
    <row r="15" spans="1:18" ht="105" customHeight="1">
      <c r="A15" s="16"/>
      <c r="B15" s="164"/>
      <c r="C15" s="165"/>
      <c r="D15" s="166"/>
      <c r="E15" s="167"/>
      <c r="F15" s="168"/>
      <c r="G15" s="84"/>
      <c r="H15" s="84"/>
      <c r="I15" s="85"/>
      <c r="J15" s="85"/>
      <c r="K15" s="86"/>
      <c r="O15" s="87"/>
      <c r="P15" s="87"/>
      <c r="R15" s="87"/>
    </row>
    <row r="16" spans="1:18" ht="105" customHeight="1">
      <c r="A16" s="16"/>
      <c r="B16" s="164"/>
      <c r="C16" s="165"/>
      <c r="D16" s="166"/>
      <c r="E16" s="167"/>
      <c r="F16" s="168"/>
      <c r="G16" s="84"/>
      <c r="H16" s="84"/>
      <c r="I16" s="85"/>
      <c r="J16" s="85"/>
      <c r="K16" s="86"/>
      <c r="O16" s="87"/>
      <c r="P16" s="87"/>
      <c r="R16" s="87"/>
    </row>
    <row r="17" spans="1:18" ht="105" customHeight="1">
      <c r="A17" s="16"/>
      <c r="B17" s="164"/>
      <c r="C17" s="165"/>
      <c r="D17" s="166"/>
      <c r="E17" s="167"/>
      <c r="F17" s="168"/>
      <c r="G17" s="84"/>
      <c r="H17" s="84"/>
      <c r="I17" s="85"/>
      <c r="J17" s="85"/>
      <c r="K17" s="86"/>
      <c r="O17" s="87"/>
      <c r="P17" s="87"/>
      <c r="R17" s="87"/>
    </row>
    <row r="18" spans="1:18" ht="105" customHeight="1">
      <c r="A18" s="16"/>
      <c r="B18" s="164"/>
      <c r="C18" s="165"/>
      <c r="D18" s="166"/>
      <c r="E18" s="167"/>
      <c r="F18" s="168"/>
      <c r="G18" s="84"/>
      <c r="H18" s="84"/>
      <c r="I18" s="85"/>
      <c r="J18" s="85"/>
      <c r="K18" s="86"/>
      <c r="O18" s="87"/>
      <c r="P18" s="87"/>
      <c r="R18" s="87"/>
    </row>
    <row r="19" spans="1:18" ht="105" customHeight="1">
      <c r="A19" s="16"/>
      <c r="B19" s="164"/>
      <c r="C19" s="165"/>
      <c r="D19" s="166"/>
      <c r="E19" s="167"/>
      <c r="F19" s="168"/>
      <c r="G19" s="84"/>
      <c r="H19" s="84"/>
      <c r="I19" s="85"/>
      <c r="J19" s="85"/>
      <c r="K19" s="86"/>
      <c r="O19" s="87"/>
      <c r="P19" s="87"/>
      <c r="R19" s="87"/>
    </row>
    <row r="20" spans="1:18" ht="105" customHeight="1">
      <c r="A20" s="16"/>
      <c r="B20" s="164"/>
      <c r="C20" s="165"/>
      <c r="D20" s="166"/>
      <c r="E20" s="167"/>
      <c r="F20" s="168"/>
      <c r="G20" s="84"/>
      <c r="H20" s="84"/>
      <c r="I20" s="85"/>
      <c r="J20" s="85"/>
      <c r="K20" s="86"/>
      <c r="O20" s="87"/>
      <c r="P20" s="87"/>
      <c r="R20" s="87"/>
    </row>
    <row r="21" spans="1:18" ht="105" customHeight="1">
      <c r="A21" s="16"/>
      <c r="B21" s="164"/>
      <c r="C21" s="165"/>
      <c r="D21" s="166"/>
      <c r="E21" s="167"/>
      <c r="F21" s="168"/>
      <c r="G21" s="84"/>
      <c r="H21" s="84"/>
      <c r="I21" s="85"/>
      <c r="J21" s="85"/>
      <c r="K21" s="86"/>
      <c r="O21" s="87"/>
      <c r="P21" s="87"/>
      <c r="R21" s="87"/>
    </row>
    <row r="22" spans="1:18" ht="105" customHeight="1">
      <c r="A22" s="16"/>
      <c r="B22" s="164"/>
      <c r="C22" s="165"/>
      <c r="D22" s="166"/>
      <c r="E22" s="167"/>
      <c r="F22" s="168"/>
      <c r="G22" s="84"/>
      <c r="H22" s="84"/>
      <c r="I22" s="85"/>
      <c r="J22" s="85"/>
      <c r="K22" s="86"/>
      <c r="O22" s="87"/>
      <c r="P22" s="87"/>
      <c r="R22" s="87"/>
    </row>
    <row r="23" spans="1:18" ht="105" customHeight="1">
      <c r="A23" s="16"/>
      <c r="B23" s="164"/>
      <c r="C23" s="165"/>
      <c r="D23" s="166"/>
      <c r="E23" s="167"/>
      <c r="F23" s="168"/>
      <c r="G23" s="84"/>
      <c r="H23" s="84"/>
      <c r="I23" s="85"/>
      <c r="J23" s="85"/>
      <c r="K23" s="86"/>
      <c r="O23" s="87"/>
      <c r="P23" s="87"/>
      <c r="R23" s="87"/>
    </row>
    <row r="24" spans="1:18" ht="105" customHeight="1">
      <c r="A24" s="16"/>
      <c r="B24" s="164"/>
      <c r="C24" s="165"/>
      <c r="D24" s="166"/>
      <c r="E24" s="167"/>
      <c r="F24" s="168"/>
      <c r="G24" s="84"/>
      <c r="H24" s="84"/>
      <c r="I24" s="85"/>
      <c r="J24" s="85"/>
      <c r="K24" s="86"/>
      <c r="O24" s="87"/>
      <c r="P24" s="87"/>
      <c r="R24" s="87"/>
    </row>
    <row r="25" spans="1:18" ht="105" customHeight="1">
      <c r="A25" s="16"/>
      <c r="B25" s="164"/>
      <c r="C25" s="165"/>
      <c r="D25" s="166"/>
      <c r="E25" s="167"/>
      <c r="F25" s="168"/>
      <c r="G25" s="84"/>
      <c r="H25" s="84"/>
      <c r="I25" s="85"/>
      <c r="J25" s="85"/>
      <c r="K25" s="86"/>
      <c r="O25" s="87"/>
      <c r="P25" s="87"/>
      <c r="R25" s="87"/>
    </row>
    <row r="26" spans="1:18" ht="105" customHeight="1">
      <c r="A26" s="16"/>
      <c r="B26" s="164"/>
      <c r="C26" s="165"/>
      <c r="D26" s="166"/>
      <c r="E26" s="167"/>
      <c r="F26" s="168"/>
      <c r="G26" s="84"/>
      <c r="H26" s="84"/>
      <c r="I26" s="85"/>
      <c r="J26" s="85"/>
      <c r="K26" s="86"/>
      <c r="O26" s="87"/>
      <c r="P26" s="87"/>
      <c r="R26" s="87"/>
    </row>
    <row r="27" spans="1:18" ht="105" customHeight="1">
      <c r="A27" s="16"/>
      <c r="B27" s="164"/>
      <c r="C27" s="165"/>
      <c r="D27" s="166"/>
      <c r="E27" s="167"/>
      <c r="F27" s="168"/>
      <c r="G27" s="84"/>
      <c r="H27" s="84"/>
      <c r="I27" s="85"/>
      <c r="J27" s="85"/>
      <c r="K27" s="86"/>
      <c r="O27" s="87"/>
      <c r="P27" s="87"/>
      <c r="R27" s="87"/>
    </row>
    <row r="28" spans="1:18" ht="105" customHeight="1">
      <c r="A28" s="16"/>
      <c r="B28" s="164"/>
      <c r="C28" s="165"/>
      <c r="D28" s="166"/>
      <c r="E28" s="167"/>
      <c r="F28" s="168"/>
      <c r="G28" s="84"/>
      <c r="H28" s="84"/>
      <c r="I28" s="85"/>
      <c r="J28" s="85"/>
      <c r="K28" s="86"/>
      <c r="O28" s="87"/>
      <c r="P28" s="87"/>
      <c r="R28" s="87"/>
    </row>
    <row r="29" spans="1:18" ht="105" customHeight="1">
      <c r="A29" s="16"/>
      <c r="B29" s="164"/>
      <c r="C29" s="165"/>
      <c r="D29" s="166"/>
      <c r="E29" s="167"/>
      <c r="F29" s="168"/>
      <c r="G29" s="84"/>
      <c r="H29" s="84"/>
      <c r="I29" s="85"/>
      <c r="J29" s="85"/>
      <c r="K29" s="86"/>
      <c r="O29" s="87"/>
      <c r="P29" s="87"/>
      <c r="R29" s="87"/>
    </row>
    <row r="30" spans="1:18" ht="105" customHeight="1">
      <c r="A30" s="16"/>
      <c r="B30" s="164"/>
      <c r="C30" s="165"/>
      <c r="D30" s="166"/>
      <c r="E30" s="167"/>
      <c r="F30" s="168"/>
      <c r="G30" s="84"/>
      <c r="H30" s="84"/>
      <c r="I30" s="85"/>
      <c r="J30" s="85"/>
      <c r="K30" s="86"/>
      <c r="O30" s="87"/>
      <c r="P30" s="87"/>
      <c r="R30" s="87"/>
    </row>
    <row r="31" spans="1:18" ht="105" customHeight="1">
      <c r="A31" s="16"/>
      <c r="B31" s="164"/>
      <c r="C31" s="165"/>
      <c r="D31" s="166"/>
      <c r="E31" s="167"/>
      <c r="F31" s="168"/>
      <c r="G31" s="84"/>
      <c r="H31" s="84"/>
      <c r="I31" s="85"/>
      <c r="J31" s="85"/>
      <c r="K31" s="86"/>
      <c r="O31" s="87"/>
      <c r="P31" s="87"/>
      <c r="R31" s="87"/>
    </row>
    <row r="32" spans="1:18" ht="105" customHeight="1">
      <c r="A32" s="16"/>
      <c r="B32" s="164"/>
      <c r="C32" s="165"/>
      <c r="D32" s="166"/>
      <c r="E32" s="167"/>
      <c r="F32" s="168"/>
      <c r="G32" s="84"/>
      <c r="H32" s="84"/>
      <c r="I32" s="85"/>
      <c r="J32" s="85"/>
      <c r="K32" s="86"/>
      <c r="O32" s="87"/>
      <c r="P32" s="87"/>
      <c r="R32" s="87"/>
    </row>
    <row r="33" spans="1:18" ht="105" customHeight="1">
      <c r="A33" s="16"/>
      <c r="B33" s="164"/>
      <c r="C33" s="165"/>
      <c r="D33" s="166"/>
      <c r="E33" s="167"/>
      <c r="F33" s="168"/>
      <c r="G33" s="84"/>
      <c r="H33" s="84"/>
      <c r="I33" s="85"/>
      <c r="J33" s="85"/>
      <c r="K33" s="86"/>
      <c r="O33" s="87"/>
      <c r="P33" s="87"/>
      <c r="R33" s="87"/>
    </row>
    <row r="34" spans="1:18" ht="105" customHeight="1">
      <c r="A34" s="16"/>
      <c r="B34" s="164"/>
      <c r="C34" s="165"/>
      <c r="D34" s="166"/>
      <c r="E34" s="167"/>
      <c r="F34" s="168"/>
      <c r="G34" s="84"/>
      <c r="H34" s="84"/>
      <c r="I34" s="85"/>
      <c r="J34" s="85"/>
      <c r="K34" s="86"/>
      <c r="O34" s="87"/>
      <c r="P34" s="87"/>
      <c r="R34" s="87"/>
    </row>
    <row r="35" spans="1:18" ht="105" customHeight="1">
      <c r="A35" s="16"/>
      <c r="B35" s="164"/>
      <c r="C35" s="165"/>
      <c r="D35" s="166"/>
      <c r="E35" s="167"/>
      <c r="F35" s="168"/>
      <c r="G35" s="84"/>
      <c r="H35" s="84"/>
      <c r="I35" s="85"/>
      <c r="J35" s="85"/>
      <c r="K35" s="86"/>
      <c r="O35" s="87"/>
      <c r="P35" s="87"/>
      <c r="R35" s="87"/>
    </row>
    <row r="36" spans="1:18" ht="105" customHeight="1">
      <c r="A36" s="16"/>
      <c r="B36" s="164"/>
      <c r="C36" s="165"/>
      <c r="D36" s="166"/>
      <c r="E36" s="167"/>
      <c r="F36" s="168"/>
      <c r="G36" s="84"/>
      <c r="H36" s="84"/>
      <c r="I36" s="85"/>
      <c r="J36" s="85"/>
      <c r="K36" s="86"/>
      <c r="O36" s="87"/>
      <c r="P36" s="87"/>
      <c r="R36" s="87"/>
    </row>
    <row r="37" spans="1:18" ht="105" customHeight="1">
      <c r="A37" s="16"/>
      <c r="B37" s="164"/>
      <c r="C37" s="165"/>
      <c r="D37" s="166"/>
      <c r="E37" s="167"/>
      <c r="F37" s="168"/>
      <c r="G37" s="84"/>
      <c r="H37" s="84"/>
      <c r="I37" s="85"/>
      <c r="J37" s="85"/>
      <c r="K37" s="86"/>
      <c r="O37" s="87"/>
      <c r="P37" s="87"/>
      <c r="R37" s="87"/>
    </row>
    <row r="38" spans="1:18" ht="105" customHeight="1">
      <c r="A38" s="16"/>
      <c r="B38" s="164"/>
      <c r="C38" s="165"/>
      <c r="D38" s="166"/>
      <c r="E38" s="167"/>
      <c r="F38" s="168"/>
      <c r="G38" s="84"/>
      <c r="H38" s="84"/>
      <c r="I38" s="85"/>
      <c r="J38" s="85"/>
      <c r="K38" s="86"/>
      <c r="O38" s="87"/>
      <c r="P38" s="87"/>
      <c r="R38" s="87"/>
    </row>
    <row r="39" spans="1:18" ht="105" customHeight="1">
      <c r="A39" s="16"/>
      <c r="B39" s="164"/>
      <c r="C39" s="165"/>
      <c r="D39" s="166"/>
      <c r="E39" s="167"/>
      <c r="F39" s="168"/>
      <c r="G39" s="84"/>
      <c r="H39" s="84"/>
      <c r="I39" s="85"/>
      <c r="J39" s="85"/>
      <c r="K39" s="86"/>
      <c r="O39" s="87"/>
      <c r="P39" s="87"/>
      <c r="R39" s="87"/>
    </row>
    <row r="40" spans="1:18" ht="105" customHeight="1">
      <c r="A40" s="16"/>
      <c r="B40" s="164"/>
      <c r="C40" s="165"/>
      <c r="D40" s="166"/>
      <c r="E40" s="167"/>
      <c r="F40" s="168"/>
      <c r="G40" s="84"/>
      <c r="H40" s="84"/>
      <c r="I40" s="85"/>
      <c r="J40" s="85"/>
      <c r="K40" s="86"/>
      <c r="O40" s="87"/>
      <c r="P40" s="87"/>
      <c r="R40" s="87"/>
    </row>
    <row r="41" spans="1:18" ht="105" customHeight="1">
      <c r="A41" s="16"/>
      <c r="B41" s="164"/>
      <c r="C41" s="165"/>
      <c r="D41" s="166"/>
      <c r="E41" s="167"/>
      <c r="F41" s="168"/>
      <c r="G41" s="84"/>
      <c r="H41" s="84"/>
      <c r="I41" s="85"/>
      <c r="J41" s="85"/>
      <c r="K41" s="86"/>
      <c r="O41" s="87"/>
      <c r="P41" s="87"/>
      <c r="R41" s="87"/>
    </row>
    <row r="42" spans="1:18" ht="105" customHeight="1">
      <c r="A42" s="16"/>
      <c r="B42" s="164"/>
      <c r="C42" s="165"/>
      <c r="D42" s="166"/>
      <c r="E42" s="167"/>
      <c r="F42" s="168"/>
      <c r="G42" s="84"/>
      <c r="H42" s="84"/>
      <c r="I42" s="85"/>
      <c r="J42" s="85"/>
      <c r="K42" s="86"/>
      <c r="O42" s="87"/>
      <c r="P42" s="87"/>
      <c r="R42" s="87"/>
    </row>
    <row r="43" spans="1:18" ht="105" customHeight="1">
      <c r="A43" s="16"/>
      <c r="B43" s="164"/>
      <c r="C43" s="165"/>
      <c r="D43" s="166"/>
      <c r="E43" s="167"/>
      <c r="F43" s="168"/>
      <c r="G43" s="84"/>
      <c r="H43" s="84"/>
      <c r="I43" s="85"/>
      <c r="J43" s="85"/>
      <c r="K43" s="86"/>
      <c r="O43" s="87"/>
      <c r="P43" s="87"/>
      <c r="R43" s="87"/>
    </row>
    <row r="44" spans="1:18" ht="105" customHeight="1">
      <c r="A44" s="16"/>
      <c r="B44" s="164"/>
      <c r="C44" s="165"/>
      <c r="D44" s="166"/>
      <c r="E44" s="167"/>
      <c r="F44" s="168"/>
      <c r="G44" s="84"/>
      <c r="H44" s="84"/>
      <c r="I44" s="85"/>
      <c r="J44" s="85"/>
      <c r="K44" s="86"/>
      <c r="O44" s="87"/>
      <c r="P44" s="87"/>
      <c r="R44" s="87"/>
    </row>
    <row r="45" spans="1:18" ht="105" customHeight="1">
      <c r="A45" s="16"/>
      <c r="B45" s="164"/>
      <c r="C45" s="165"/>
      <c r="D45" s="166"/>
      <c r="E45" s="167"/>
      <c r="F45" s="168"/>
      <c r="G45" s="84"/>
      <c r="H45" s="84"/>
      <c r="I45" s="85"/>
      <c r="J45" s="85"/>
      <c r="K45" s="86"/>
      <c r="O45" s="87"/>
      <c r="P45" s="87"/>
      <c r="R45" s="87"/>
    </row>
    <row r="46" spans="1:18" ht="105" customHeight="1">
      <c r="A46" s="16"/>
      <c r="B46" s="164"/>
      <c r="C46" s="165"/>
      <c r="D46" s="166"/>
      <c r="E46" s="167"/>
      <c r="F46" s="168"/>
      <c r="G46" s="84"/>
      <c r="H46" s="84"/>
      <c r="I46" s="85"/>
      <c r="J46" s="85"/>
      <c r="K46" s="86"/>
      <c r="O46" s="87"/>
      <c r="P46" s="87"/>
      <c r="R46" s="87"/>
    </row>
    <row r="47" spans="1:18" ht="105" customHeight="1">
      <c r="A47" s="16"/>
      <c r="B47" s="164"/>
      <c r="C47" s="165"/>
      <c r="D47" s="166"/>
      <c r="E47" s="167"/>
      <c r="F47" s="168"/>
      <c r="G47" s="84"/>
      <c r="H47" s="84"/>
      <c r="I47" s="85"/>
      <c r="J47" s="85"/>
      <c r="K47" s="86"/>
      <c r="O47" s="87"/>
      <c r="P47" s="87"/>
      <c r="R47" s="87"/>
    </row>
    <row r="48" spans="1:18" ht="105" customHeight="1">
      <c r="A48" s="16"/>
      <c r="B48" s="164"/>
      <c r="C48" s="165"/>
      <c r="D48" s="166"/>
      <c r="E48" s="167"/>
      <c r="F48" s="168"/>
      <c r="G48" s="84"/>
      <c r="H48" s="84"/>
      <c r="I48" s="85"/>
      <c r="J48" s="85"/>
      <c r="K48" s="86"/>
      <c r="O48" s="87"/>
      <c r="P48" s="87"/>
      <c r="R48" s="87"/>
    </row>
    <row r="49" spans="1:18" ht="105" customHeight="1">
      <c r="A49" s="16"/>
      <c r="B49" s="164"/>
      <c r="C49" s="165"/>
      <c r="D49" s="166"/>
      <c r="E49" s="167"/>
      <c r="F49" s="168"/>
      <c r="G49" s="84"/>
      <c r="H49" s="84"/>
      <c r="I49" s="85"/>
      <c r="J49" s="85"/>
      <c r="K49" s="86"/>
      <c r="O49" s="87"/>
      <c r="P49" s="87"/>
      <c r="R49" s="87"/>
    </row>
    <row r="50" spans="1:18" ht="105" customHeight="1">
      <c r="A50" s="16"/>
      <c r="B50" s="164"/>
      <c r="C50" s="165"/>
      <c r="D50" s="166"/>
      <c r="E50" s="167"/>
      <c r="F50" s="168"/>
      <c r="G50" s="84"/>
      <c r="H50" s="84"/>
      <c r="I50" s="85"/>
      <c r="J50" s="85"/>
      <c r="K50" s="86"/>
      <c r="O50" s="87"/>
      <c r="P50" s="87"/>
      <c r="R50" s="87"/>
    </row>
    <row r="51" spans="1:18" ht="105" customHeight="1">
      <c r="A51" s="16"/>
      <c r="B51" s="164"/>
      <c r="C51" s="165"/>
      <c r="D51" s="166"/>
      <c r="E51" s="167"/>
      <c r="F51" s="168"/>
      <c r="G51" s="84"/>
      <c r="H51" s="84"/>
      <c r="I51" s="85"/>
      <c r="J51" s="85"/>
      <c r="K51" s="86"/>
      <c r="O51" s="87"/>
      <c r="P51" s="87"/>
      <c r="R51" s="87"/>
    </row>
    <row r="52" spans="1:18" ht="105" customHeight="1">
      <c r="A52" s="16"/>
      <c r="B52" s="164"/>
      <c r="C52" s="165"/>
      <c r="D52" s="166"/>
      <c r="E52" s="167"/>
      <c r="F52" s="168"/>
      <c r="G52" s="84"/>
      <c r="H52" s="84"/>
      <c r="I52" s="85"/>
      <c r="J52" s="85"/>
      <c r="K52" s="86"/>
      <c r="O52" s="87"/>
      <c r="P52" s="87"/>
      <c r="R52" s="87"/>
    </row>
    <row r="53" spans="1:18" ht="105" customHeight="1">
      <c r="A53" s="16"/>
      <c r="B53" s="164"/>
      <c r="C53" s="165"/>
      <c r="D53" s="166"/>
      <c r="E53" s="167"/>
      <c r="F53" s="168"/>
      <c r="G53" s="84"/>
      <c r="H53" s="84"/>
      <c r="I53" s="85"/>
      <c r="J53" s="85"/>
      <c r="K53" s="86"/>
      <c r="O53" s="87"/>
      <c r="P53" s="87"/>
      <c r="R53" s="87"/>
    </row>
    <row r="54" spans="1:18" ht="105" customHeight="1">
      <c r="A54" s="16"/>
      <c r="B54" s="164"/>
      <c r="C54" s="165"/>
      <c r="D54" s="166"/>
      <c r="E54" s="167"/>
      <c r="F54" s="168"/>
      <c r="G54" s="84"/>
      <c r="H54" s="84"/>
      <c r="I54" s="85"/>
      <c r="J54" s="85"/>
      <c r="K54" s="86"/>
      <c r="O54" s="87"/>
      <c r="P54" s="87"/>
      <c r="R54" s="87"/>
    </row>
    <row r="55" spans="1:18" ht="105" customHeight="1">
      <c r="A55" s="16"/>
      <c r="B55" s="164"/>
      <c r="C55" s="165"/>
      <c r="D55" s="166"/>
      <c r="E55" s="167"/>
      <c r="F55" s="168"/>
      <c r="G55" s="84"/>
      <c r="H55" s="84"/>
      <c r="I55" s="85"/>
      <c r="J55" s="85"/>
      <c r="K55" s="86"/>
      <c r="O55" s="87"/>
      <c r="P55" s="87"/>
      <c r="R55" s="87"/>
    </row>
    <row r="56" spans="1:18" ht="105" customHeight="1">
      <c r="A56" s="16"/>
      <c r="B56" s="164"/>
      <c r="C56" s="165"/>
      <c r="D56" s="166"/>
      <c r="E56" s="167"/>
      <c r="F56" s="168"/>
      <c r="G56" s="84"/>
      <c r="H56" s="84"/>
      <c r="I56" s="85"/>
      <c r="J56" s="85"/>
      <c r="K56" s="86"/>
      <c r="O56" s="87"/>
      <c r="P56" s="87"/>
      <c r="R56" s="87"/>
    </row>
    <row r="57" spans="1:18" ht="105" customHeight="1">
      <c r="A57" s="16"/>
      <c r="B57" s="164"/>
      <c r="C57" s="165"/>
      <c r="D57" s="166"/>
      <c r="E57" s="167"/>
      <c r="F57" s="168"/>
      <c r="G57" s="84"/>
      <c r="H57" s="84"/>
      <c r="I57" s="85"/>
      <c r="J57" s="85"/>
      <c r="K57" s="86"/>
      <c r="O57" s="87"/>
      <c r="P57" s="87"/>
      <c r="R57" s="87"/>
    </row>
    <row r="58" spans="1:18" ht="105" customHeight="1">
      <c r="A58" s="16"/>
      <c r="B58" s="164"/>
      <c r="C58" s="165"/>
      <c r="D58" s="166"/>
      <c r="E58" s="167"/>
      <c r="F58" s="168"/>
      <c r="G58" s="84"/>
      <c r="H58" s="84"/>
      <c r="I58" s="85"/>
      <c r="J58" s="85"/>
      <c r="K58" s="86"/>
      <c r="O58" s="87"/>
      <c r="P58" s="87"/>
      <c r="R58" s="87"/>
    </row>
    <row r="59" spans="1:18" ht="105" customHeight="1">
      <c r="A59" s="16"/>
      <c r="B59" s="164"/>
      <c r="C59" s="165"/>
      <c r="D59" s="166"/>
      <c r="E59" s="167"/>
      <c r="F59" s="168"/>
      <c r="G59" s="84"/>
      <c r="H59" s="84"/>
      <c r="I59" s="85"/>
      <c r="J59" s="85"/>
      <c r="K59" s="86"/>
      <c r="O59" s="87"/>
      <c r="P59" s="87"/>
      <c r="R59" s="87"/>
    </row>
    <row r="60" spans="1:18" ht="105" customHeight="1">
      <c r="A60" s="16"/>
      <c r="B60" s="164"/>
      <c r="C60" s="165"/>
      <c r="D60" s="166"/>
      <c r="E60" s="167"/>
      <c r="F60" s="168"/>
      <c r="G60" s="84"/>
      <c r="H60" s="84"/>
      <c r="I60" s="85"/>
      <c r="J60" s="85"/>
      <c r="K60" s="86"/>
      <c r="O60" s="87"/>
      <c r="P60" s="87"/>
      <c r="R60" s="87"/>
    </row>
    <row r="61" spans="1:18" ht="105" customHeight="1">
      <c r="A61" s="16"/>
      <c r="B61" s="164"/>
      <c r="C61" s="165"/>
      <c r="D61" s="166"/>
      <c r="E61" s="167"/>
      <c r="F61" s="168"/>
      <c r="G61" s="84"/>
      <c r="H61" s="84"/>
      <c r="I61" s="85"/>
      <c r="J61" s="85"/>
      <c r="K61" s="86"/>
      <c r="O61" s="87"/>
      <c r="P61" s="87"/>
      <c r="R61" s="87"/>
    </row>
    <row r="62" spans="1:18" ht="105" customHeight="1">
      <c r="A62" s="16"/>
      <c r="B62" s="164"/>
      <c r="C62" s="165"/>
      <c r="D62" s="166"/>
      <c r="E62" s="167"/>
      <c r="F62" s="168"/>
      <c r="G62" s="84"/>
      <c r="H62" s="84"/>
      <c r="I62" s="85"/>
      <c r="J62" s="85"/>
      <c r="K62" s="86"/>
      <c r="O62" s="87"/>
      <c r="P62" s="87"/>
      <c r="R62" s="87"/>
    </row>
    <row r="63" spans="1:18" ht="105" customHeight="1">
      <c r="A63" s="16"/>
      <c r="B63" s="164"/>
      <c r="C63" s="165"/>
      <c r="D63" s="166"/>
      <c r="E63" s="167"/>
      <c r="F63" s="168"/>
      <c r="G63" s="84"/>
      <c r="H63" s="84"/>
      <c r="I63" s="85"/>
      <c r="J63" s="85"/>
      <c r="K63" s="86"/>
      <c r="O63" s="87"/>
      <c r="P63" s="87"/>
      <c r="R63" s="87"/>
    </row>
    <row r="64" spans="1:18" ht="105" customHeight="1">
      <c r="A64" s="16"/>
      <c r="B64" s="164"/>
      <c r="C64" s="165"/>
      <c r="D64" s="166"/>
      <c r="E64" s="167"/>
      <c r="F64" s="168"/>
      <c r="G64" s="84"/>
      <c r="H64" s="84"/>
      <c r="I64" s="85"/>
      <c r="J64" s="85"/>
      <c r="K64" s="86"/>
      <c r="O64" s="87"/>
      <c r="P64" s="87"/>
      <c r="R64" s="87"/>
    </row>
    <row r="65" spans="1:18" ht="105" customHeight="1">
      <c r="A65" s="16"/>
      <c r="B65" s="164"/>
      <c r="C65" s="165"/>
      <c r="D65" s="166"/>
      <c r="E65" s="167"/>
      <c r="F65" s="168"/>
      <c r="G65" s="84"/>
      <c r="H65" s="84"/>
      <c r="I65" s="85"/>
      <c r="J65" s="85"/>
      <c r="K65" s="86"/>
      <c r="O65" s="87"/>
      <c r="P65" s="87"/>
      <c r="R65" s="87"/>
    </row>
    <row r="66" spans="1:18" ht="105" customHeight="1">
      <c r="A66" s="16"/>
      <c r="B66" s="164"/>
      <c r="C66" s="165"/>
      <c r="D66" s="166"/>
      <c r="E66" s="167"/>
      <c r="F66" s="168"/>
      <c r="G66" s="84"/>
      <c r="H66" s="84"/>
      <c r="I66" s="85"/>
      <c r="J66" s="85"/>
      <c r="K66" s="86"/>
      <c r="O66" s="87"/>
      <c r="P66" s="87"/>
      <c r="R66" s="87"/>
    </row>
    <row r="67" spans="1:18" ht="105" customHeight="1">
      <c r="A67" s="16"/>
      <c r="B67" s="164"/>
      <c r="C67" s="165"/>
      <c r="D67" s="166"/>
      <c r="E67" s="167"/>
      <c r="F67" s="168"/>
      <c r="G67" s="84"/>
      <c r="H67" s="84"/>
      <c r="I67" s="85"/>
      <c r="J67" s="85"/>
      <c r="K67" s="86"/>
      <c r="O67" s="87"/>
      <c r="P67" s="87"/>
      <c r="R67" s="87"/>
    </row>
    <row r="68" spans="1:18" ht="105" customHeight="1">
      <c r="A68" s="16"/>
      <c r="B68" s="164"/>
      <c r="C68" s="165"/>
      <c r="D68" s="166"/>
      <c r="E68" s="167"/>
      <c r="F68" s="168"/>
      <c r="G68" s="84"/>
      <c r="H68" s="84"/>
      <c r="I68" s="85"/>
      <c r="J68" s="85"/>
      <c r="K68" s="86"/>
      <c r="O68" s="87"/>
      <c r="P68" s="87"/>
      <c r="R68" s="87"/>
    </row>
    <row r="69" spans="1:18" ht="105" customHeight="1">
      <c r="A69" s="16"/>
      <c r="B69" s="164"/>
      <c r="C69" s="165"/>
      <c r="D69" s="166"/>
      <c r="E69" s="167"/>
      <c r="F69" s="168"/>
      <c r="G69" s="84"/>
      <c r="H69" s="84"/>
      <c r="I69" s="85"/>
      <c r="J69" s="85"/>
      <c r="K69" s="86"/>
      <c r="O69" s="87"/>
      <c r="P69" s="87"/>
      <c r="R69" s="87"/>
    </row>
    <row r="70" spans="1:18" ht="105" customHeight="1">
      <c r="A70" s="16"/>
      <c r="B70" s="164"/>
      <c r="C70" s="165"/>
      <c r="D70" s="166"/>
      <c r="E70" s="167"/>
      <c r="F70" s="168"/>
      <c r="G70" s="84"/>
      <c r="H70" s="84"/>
      <c r="I70" s="85"/>
      <c r="J70" s="85"/>
      <c r="K70" s="86"/>
      <c r="O70" s="87"/>
      <c r="P70" s="87"/>
      <c r="R70" s="87"/>
    </row>
    <row r="71" spans="1:18" ht="105" customHeight="1">
      <c r="A71" s="16"/>
      <c r="B71" s="164"/>
      <c r="C71" s="165"/>
      <c r="D71" s="166"/>
      <c r="E71" s="167"/>
      <c r="F71" s="168"/>
      <c r="G71" s="84"/>
      <c r="H71" s="84"/>
      <c r="I71" s="85"/>
      <c r="J71" s="85"/>
      <c r="K71" s="86"/>
      <c r="O71" s="87"/>
      <c r="P71" s="87"/>
      <c r="R71" s="87"/>
    </row>
    <row r="72" spans="1:18" ht="105" customHeight="1">
      <c r="A72" s="16"/>
      <c r="B72" s="164"/>
      <c r="C72" s="165"/>
      <c r="D72" s="166"/>
      <c r="E72" s="167"/>
      <c r="F72" s="168"/>
      <c r="G72" s="84"/>
      <c r="H72" s="84"/>
      <c r="I72" s="85"/>
      <c r="J72" s="85"/>
      <c r="K72" s="86"/>
      <c r="O72" s="87"/>
      <c r="P72" s="87"/>
      <c r="R72" s="87"/>
    </row>
    <row r="73" spans="1:18" ht="105" customHeight="1">
      <c r="A73" s="16"/>
      <c r="B73" s="164"/>
      <c r="C73" s="165"/>
      <c r="D73" s="166"/>
      <c r="E73" s="167"/>
      <c r="F73" s="168"/>
      <c r="G73" s="84"/>
      <c r="H73" s="84"/>
      <c r="I73" s="85"/>
      <c r="J73" s="85"/>
      <c r="K73" s="86"/>
      <c r="O73" s="87"/>
      <c r="P73" s="87"/>
      <c r="R73" s="87"/>
    </row>
    <row r="74" spans="1:18" ht="105" customHeight="1">
      <c r="A74" s="16"/>
      <c r="B74" s="164"/>
      <c r="C74" s="165"/>
      <c r="D74" s="166"/>
      <c r="E74" s="167"/>
      <c r="F74" s="168"/>
      <c r="G74" s="84"/>
      <c r="H74" s="84"/>
      <c r="I74" s="85"/>
      <c r="J74" s="85"/>
      <c r="K74" s="86"/>
      <c r="O74" s="87"/>
      <c r="P74" s="87"/>
      <c r="R74" s="87"/>
    </row>
    <row r="75" spans="1:18" ht="105" customHeight="1">
      <c r="A75" s="16"/>
      <c r="B75" s="164"/>
      <c r="C75" s="165"/>
      <c r="D75" s="166"/>
      <c r="E75" s="167"/>
      <c r="F75" s="168"/>
      <c r="G75" s="84"/>
      <c r="H75" s="84"/>
      <c r="I75" s="85"/>
      <c r="J75" s="85"/>
      <c r="K75" s="86"/>
      <c r="O75" s="87"/>
      <c r="P75" s="87"/>
      <c r="R75" s="87"/>
    </row>
    <row r="76" spans="1:18" ht="105" customHeight="1">
      <c r="A76" s="16"/>
      <c r="B76" s="164"/>
      <c r="C76" s="165"/>
      <c r="D76" s="166"/>
      <c r="E76" s="167"/>
      <c r="F76" s="168"/>
      <c r="G76" s="84"/>
      <c r="H76" s="84"/>
      <c r="I76" s="85"/>
      <c r="J76" s="85"/>
      <c r="K76" s="86"/>
      <c r="O76" s="87"/>
      <c r="P76" s="87"/>
      <c r="R76" s="87"/>
    </row>
    <row r="77" spans="1:18" ht="105" customHeight="1">
      <c r="A77" s="16"/>
      <c r="B77" s="164"/>
      <c r="C77" s="165"/>
      <c r="D77" s="166"/>
      <c r="E77" s="167"/>
      <c r="F77" s="168"/>
      <c r="G77" s="84"/>
      <c r="H77" s="84"/>
      <c r="I77" s="85"/>
      <c r="J77" s="85"/>
      <c r="K77" s="86"/>
      <c r="O77" s="87"/>
      <c r="P77" s="87"/>
      <c r="R77" s="87"/>
    </row>
    <row r="78" spans="1:18" ht="105" customHeight="1">
      <c r="A78" s="16"/>
      <c r="B78" s="164"/>
      <c r="C78" s="165"/>
      <c r="D78" s="166"/>
      <c r="E78" s="167"/>
      <c r="F78" s="168"/>
      <c r="G78" s="84"/>
      <c r="H78" s="84"/>
      <c r="I78" s="85"/>
      <c r="J78" s="85"/>
      <c r="K78" s="86"/>
      <c r="O78" s="87"/>
      <c r="P78" s="87"/>
      <c r="R78" s="87"/>
    </row>
    <row r="79" spans="1:18" ht="105" customHeight="1">
      <c r="A79" s="16"/>
      <c r="B79" s="164"/>
      <c r="C79" s="165"/>
      <c r="D79" s="166"/>
      <c r="E79" s="167"/>
      <c r="F79" s="168"/>
      <c r="G79" s="84"/>
      <c r="H79" s="84"/>
      <c r="I79" s="85"/>
      <c r="J79" s="85"/>
      <c r="K79" s="86"/>
      <c r="O79" s="87"/>
      <c r="P79" s="87"/>
      <c r="R79" s="87"/>
    </row>
    <row r="80" spans="1:18" ht="105" customHeight="1">
      <c r="A80" s="16"/>
      <c r="B80" s="164"/>
      <c r="C80" s="165"/>
      <c r="D80" s="166"/>
      <c r="E80" s="167"/>
      <c r="F80" s="168"/>
      <c r="G80" s="84"/>
      <c r="H80" s="84"/>
      <c r="I80" s="85"/>
      <c r="J80" s="85"/>
      <c r="K80" s="86"/>
      <c r="O80" s="87"/>
      <c r="P80" s="87"/>
      <c r="R80" s="87"/>
    </row>
    <row r="81" spans="1:18" ht="105" customHeight="1">
      <c r="A81" s="16"/>
      <c r="B81" s="164"/>
      <c r="C81" s="165"/>
      <c r="D81" s="166"/>
      <c r="E81" s="167"/>
      <c r="F81" s="168"/>
      <c r="G81" s="84"/>
      <c r="H81" s="84"/>
      <c r="I81" s="85"/>
      <c r="J81" s="85"/>
      <c r="K81" s="86"/>
      <c r="O81" s="87"/>
      <c r="P81" s="87"/>
      <c r="R81" s="87"/>
    </row>
    <row r="82" spans="1:18" ht="105" customHeight="1">
      <c r="A82" s="16"/>
      <c r="B82" s="164"/>
      <c r="C82" s="165"/>
      <c r="D82" s="166"/>
      <c r="E82" s="167"/>
      <c r="F82" s="168"/>
      <c r="G82" s="84"/>
      <c r="H82" s="84"/>
      <c r="I82" s="85"/>
      <c r="J82" s="85"/>
      <c r="K82" s="86"/>
      <c r="O82" s="87"/>
      <c r="P82" s="87"/>
      <c r="R82" s="87"/>
    </row>
    <row r="83" spans="1:18" ht="105" customHeight="1">
      <c r="A83" s="16"/>
      <c r="B83" s="164"/>
      <c r="C83" s="165"/>
      <c r="D83" s="166"/>
      <c r="E83" s="167"/>
      <c r="F83" s="168"/>
      <c r="G83" s="84"/>
      <c r="H83" s="84"/>
      <c r="I83" s="85"/>
      <c r="J83" s="85"/>
      <c r="K83" s="86"/>
      <c r="O83" s="87"/>
      <c r="P83" s="87"/>
      <c r="R83" s="87"/>
    </row>
    <row r="84" spans="1:18" ht="105" customHeight="1">
      <c r="A84" s="16"/>
      <c r="B84" s="164"/>
      <c r="C84" s="165"/>
      <c r="D84" s="166"/>
      <c r="E84" s="167"/>
      <c r="F84" s="168"/>
      <c r="G84" s="84"/>
      <c r="H84" s="84"/>
      <c r="I84" s="85"/>
      <c r="J84" s="85"/>
      <c r="K84" s="86"/>
      <c r="O84" s="87"/>
      <c r="P84" s="87"/>
      <c r="R84" s="87"/>
    </row>
    <row r="85" spans="1:18" ht="105" customHeight="1">
      <c r="A85" s="16"/>
      <c r="B85" s="164"/>
      <c r="C85" s="165"/>
      <c r="D85" s="166"/>
      <c r="E85" s="167"/>
      <c r="F85" s="168"/>
      <c r="G85" s="84"/>
      <c r="H85" s="84"/>
      <c r="I85" s="85"/>
      <c r="J85" s="85"/>
      <c r="K85" s="86"/>
      <c r="O85" s="87"/>
      <c r="P85" s="87"/>
      <c r="R85" s="87"/>
    </row>
    <row r="86" spans="1:18" ht="105" customHeight="1">
      <c r="A86" s="16"/>
      <c r="B86" s="164"/>
      <c r="C86" s="165"/>
      <c r="D86" s="166"/>
      <c r="E86" s="167"/>
      <c r="F86" s="168"/>
      <c r="G86" s="84"/>
      <c r="H86" s="84"/>
      <c r="I86" s="85"/>
      <c r="J86" s="85"/>
      <c r="K86" s="86"/>
      <c r="O86" s="87"/>
      <c r="P86" s="87"/>
      <c r="R86" s="87"/>
    </row>
    <row r="87" spans="1:18" ht="105" customHeight="1">
      <c r="A87" s="16"/>
      <c r="B87" s="164"/>
      <c r="C87" s="165"/>
      <c r="D87" s="166"/>
      <c r="E87" s="167"/>
      <c r="F87" s="168"/>
      <c r="G87" s="84"/>
      <c r="H87" s="84"/>
      <c r="I87" s="85"/>
      <c r="J87" s="85"/>
      <c r="K87" s="86"/>
      <c r="O87" s="87"/>
      <c r="P87" s="87"/>
      <c r="R87" s="87"/>
    </row>
    <row r="88" spans="1:18" ht="105" customHeight="1">
      <c r="A88" s="16"/>
      <c r="B88" s="164"/>
      <c r="C88" s="165"/>
      <c r="D88" s="166"/>
      <c r="E88" s="167"/>
      <c r="F88" s="168"/>
      <c r="G88" s="84"/>
      <c r="H88" s="84"/>
      <c r="I88" s="85"/>
      <c r="J88" s="85"/>
      <c r="K88" s="86"/>
      <c r="O88" s="87"/>
      <c r="P88" s="87"/>
      <c r="R88" s="87"/>
    </row>
    <row r="89" spans="1:18" ht="105" customHeight="1">
      <c r="A89" s="16"/>
      <c r="B89" s="164"/>
      <c r="C89" s="165"/>
      <c r="D89" s="166"/>
      <c r="E89" s="167"/>
      <c r="F89" s="168"/>
      <c r="G89" s="84"/>
      <c r="H89" s="84"/>
      <c r="I89" s="85"/>
      <c r="J89" s="85"/>
      <c r="K89" s="86"/>
      <c r="O89" s="87"/>
      <c r="P89" s="87"/>
      <c r="R89" s="87"/>
    </row>
    <row r="90" spans="1:18" ht="105" customHeight="1">
      <c r="A90" s="16"/>
      <c r="B90" s="164"/>
      <c r="C90" s="165"/>
      <c r="D90" s="166"/>
      <c r="E90" s="167"/>
      <c r="F90" s="168"/>
      <c r="G90" s="84"/>
      <c r="H90" s="84"/>
      <c r="I90" s="85"/>
      <c r="J90" s="85"/>
      <c r="K90" s="86"/>
      <c r="O90" s="87"/>
      <c r="P90" s="87"/>
      <c r="R90" s="87"/>
    </row>
    <row r="91" spans="1:18" ht="105" customHeight="1">
      <c r="A91" s="16"/>
      <c r="B91" s="164"/>
      <c r="C91" s="165"/>
      <c r="D91" s="166"/>
      <c r="E91" s="167"/>
      <c r="F91" s="168"/>
      <c r="G91" s="84"/>
      <c r="H91" s="84"/>
      <c r="I91" s="85"/>
      <c r="J91" s="85"/>
      <c r="K91" s="86"/>
      <c r="O91" s="87"/>
      <c r="P91" s="87"/>
      <c r="R91" s="87"/>
    </row>
    <row r="92" spans="1:18" ht="105" customHeight="1">
      <c r="A92" s="16"/>
      <c r="B92" s="164"/>
      <c r="C92" s="165"/>
      <c r="D92" s="166"/>
      <c r="E92" s="167"/>
      <c r="F92" s="168"/>
      <c r="G92" s="84"/>
      <c r="H92" s="84"/>
      <c r="I92" s="85"/>
      <c r="J92" s="85"/>
      <c r="K92" s="86"/>
      <c r="O92" s="87"/>
      <c r="P92" s="87"/>
      <c r="R92" s="87"/>
    </row>
    <row r="93" spans="1:18" ht="105" customHeight="1">
      <c r="A93" s="16"/>
      <c r="B93" s="164"/>
      <c r="C93" s="165"/>
      <c r="D93" s="166"/>
      <c r="E93" s="167"/>
      <c r="F93" s="168"/>
      <c r="G93" s="84"/>
      <c r="H93" s="84"/>
      <c r="I93" s="85"/>
      <c r="J93" s="85"/>
      <c r="K93" s="86"/>
      <c r="O93" s="87"/>
      <c r="P93" s="87"/>
      <c r="R93" s="87"/>
    </row>
    <row r="94" spans="1:18" ht="105" customHeight="1">
      <c r="A94" s="16"/>
      <c r="B94" s="164"/>
      <c r="C94" s="165"/>
      <c r="D94" s="166"/>
      <c r="E94" s="167"/>
      <c r="F94" s="168"/>
      <c r="G94" s="84"/>
      <c r="H94" s="84"/>
      <c r="I94" s="85"/>
      <c r="J94" s="85"/>
      <c r="K94" s="86"/>
      <c r="O94" s="87"/>
      <c r="P94" s="87"/>
      <c r="R94" s="87"/>
    </row>
    <row r="95" spans="1:18" ht="105" customHeight="1">
      <c r="A95" s="16"/>
      <c r="B95" s="164"/>
      <c r="C95" s="165"/>
      <c r="D95" s="166"/>
      <c r="E95" s="167"/>
      <c r="F95" s="168"/>
      <c r="G95" s="84"/>
      <c r="H95" s="84"/>
      <c r="I95" s="85"/>
      <c r="J95" s="85"/>
      <c r="K95" s="86"/>
      <c r="O95" s="87"/>
      <c r="P95" s="87"/>
      <c r="R95" s="87"/>
    </row>
    <row r="96" spans="1:18" ht="105" customHeight="1">
      <c r="A96" s="16"/>
      <c r="B96" s="164"/>
      <c r="C96" s="165"/>
      <c r="D96" s="166"/>
      <c r="E96" s="167"/>
      <c r="F96" s="168"/>
      <c r="G96" s="84"/>
      <c r="H96" s="84"/>
      <c r="I96" s="85"/>
      <c r="J96" s="85"/>
      <c r="K96" s="86"/>
      <c r="O96" s="87"/>
      <c r="P96" s="87"/>
      <c r="R96" s="87"/>
    </row>
    <row r="97" spans="1:18" ht="105" customHeight="1">
      <c r="A97" s="16"/>
      <c r="B97" s="164"/>
      <c r="C97" s="165"/>
      <c r="D97" s="166"/>
      <c r="E97" s="167"/>
      <c r="F97" s="168"/>
      <c r="G97" s="84"/>
      <c r="H97" s="84"/>
      <c r="I97" s="85"/>
      <c r="J97" s="85"/>
      <c r="K97" s="86"/>
      <c r="O97" s="87"/>
      <c r="P97" s="87"/>
      <c r="R97" s="87"/>
    </row>
    <row r="98" spans="1:18" ht="105" customHeight="1">
      <c r="A98" s="16"/>
      <c r="B98" s="164"/>
      <c r="C98" s="165"/>
      <c r="D98" s="166"/>
      <c r="E98" s="167"/>
      <c r="F98" s="168"/>
      <c r="G98" s="84"/>
      <c r="H98" s="84"/>
      <c r="I98" s="85"/>
      <c r="J98" s="85"/>
      <c r="K98" s="86"/>
      <c r="O98" s="87"/>
      <c r="P98" s="87"/>
      <c r="R98" s="87"/>
    </row>
    <row r="99" spans="1:18" ht="105" customHeight="1">
      <c r="A99" s="16"/>
      <c r="B99" s="164"/>
      <c r="C99" s="165"/>
      <c r="D99" s="166"/>
      <c r="E99" s="167"/>
      <c r="F99" s="168"/>
      <c r="G99" s="84"/>
      <c r="H99" s="84"/>
      <c r="I99" s="85"/>
      <c r="J99" s="85"/>
      <c r="K99" s="86"/>
      <c r="O99" s="87"/>
      <c r="P99" s="87"/>
      <c r="R99" s="87"/>
    </row>
    <row r="100" spans="1:18" ht="105" customHeight="1">
      <c r="A100" s="16"/>
      <c r="B100" s="164"/>
      <c r="C100" s="165"/>
      <c r="D100" s="166"/>
      <c r="E100" s="167"/>
      <c r="F100" s="168"/>
      <c r="G100" s="84"/>
      <c r="H100" s="84"/>
      <c r="I100" s="85"/>
      <c r="J100" s="85"/>
      <c r="K100" s="86"/>
      <c r="O100" s="87"/>
      <c r="P100" s="87"/>
      <c r="R100" s="87"/>
    </row>
    <row r="101" spans="1:18" ht="105" customHeight="1">
      <c r="A101" s="16"/>
      <c r="B101" s="164"/>
      <c r="C101" s="165"/>
      <c r="D101" s="166"/>
      <c r="E101" s="167"/>
      <c r="F101" s="168"/>
      <c r="G101" s="84"/>
      <c r="H101" s="84"/>
      <c r="I101" s="85"/>
      <c r="J101" s="85"/>
      <c r="K101" s="86"/>
      <c r="O101" s="87"/>
      <c r="P101" s="87"/>
      <c r="R101" s="87"/>
    </row>
    <row r="102" spans="1:18" ht="105" customHeight="1">
      <c r="A102" s="16"/>
      <c r="B102" s="164"/>
      <c r="C102" s="165"/>
      <c r="D102" s="166"/>
      <c r="E102" s="167"/>
      <c r="F102" s="168"/>
      <c r="G102" s="84"/>
      <c r="H102" s="84"/>
      <c r="I102" s="85"/>
      <c r="J102" s="85"/>
      <c r="K102" s="86"/>
      <c r="O102" s="87"/>
      <c r="P102" s="87"/>
      <c r="R102" s="87"/>
    </row>
    <row r="103" spans="1:18" ht="105" customHeight="1">
      <c r="A103" s="16"/>
      <c r="B103" s="164"/>
      <c r="C103" s="165"/>
      <c r="D103" s="166"/>
      <c r="E103" s="167"/>
      <c r="F103" s="168"/>
      <c r="G103" s="84"/>
      <c r="H103" s="84"/>
      <c r="I103" s="85"/>
      <c r="J103" s="85"/>
      <c r="K103" s="86"/>
      <c r="O103" s="87"/>
      <c r="P103" s="87"/>
      <c r="R103" s="87"/>
    </row>
    <row r="104" spans="1:18" ht="105" customHeight="1">
      <c r="A104" s="16"/>
      <c r="B104" s="164"/>
      <c r="C104" s="165"/>
      <c r="D104" s="166"/>
      <c r="E104" s="167"/>
      <c r="F104" s="168"/>
      <c r="G104" s="84"/>
      <c r="H104" s="84"/>
      <c r="I104" s="85"/>
      <c r="J104" s="85"/>
      <c r="K104" s="86"/>
      <c r="O104" s="87"/>
      <c r="P104" s="87"/>
      <c r="R104" s="87"/>
    </row>
    <row r="105" spans="1:18" ht="105" customHeight="1">
      <c r="A105" s="16"/>
      <c r="B105" s="164"/>
      <c r="C105" s="165"/>
      <c r="D105" s="166"/>
      <c r="E105" s="167"/>
      <c r="F105" s="168"/>
      <c r="G105" s="84"/>
      <c r="H105" s="84"/>
      <c r="I105" s="85"/>
      <c r="J105" s="85"/>
      <c r="K105" s="86"/>
      <c r="O105" s="87"/>
      <c r="P105" s="87"/>
      <c r="R105" s="87"/>
    </row>
    <row r="106" spans="1:18" ht="105" customHeight="1">
      <c r="A106" s="16"/>
      <c r="B106" s="164"/>
      <c r="C106" s="165"/>
      <c r="D106" s="166"/>
      <c r="E106" s="167"/>
      <c r="F106" s="168"/>
      <c r="G106" s="84"/>
      <c r="H106" s="84"/>
      <c r="I106" s="85"/>
      <c r="J106" s="85"/>
      <c r="K106" s="86"/>
      <c r="O106" s="87"/>
      <c r="P106" s="87"/>
      <c r="R106" s="87"/>
    </row>
    <row r="107" spans="1:18" ht="105" customHeight="1">
      <c r="A107" s="16"/>
      <c r="B107" s="164"/>
      <c r="C107" s="165"/>
      <c r="D107" s="166"/>
      <c r="E107" s="167"/>
      <c r="F107" s="168"/>
      <c r="G107" s="84"/>
      <c r="H107" s="84"/>
      <c r="I107" s="85"/>
      <c r="J107" s="85"/>
      <c r="K107" s="86"/>
      <c r="O107" s="87"/>
      <c r="P107" s="87"/>
      <c r="R107" s="87"/>
    </row>
    <row r="108" spans="1:18" ht="105" customHeight="1">
      <c r="A108" s="16"/>
      <c r="B108" s="164"/>
      <c r="C108" s="165"/>
      <c r="D108" s="166"/>
      <c r="E108" s="167"/>
      <c r="F108" s="168"/>
      <c r="G108" s="84"/>
      <c r="H108" s="84"/>
      <c r="I108" s="85"/>
      <c r="J108" s="85"/>
      <c r="K108" s="86"/>
      <c r="O108" s="87"/>
      <c r="P108" s="87"/>
      <c r="R108" s="87"/>
    </row>
    <row r="109" spans="1:18" ht="105" customHeight="1">
      <c r="A109" s="16"/>
      <c r="B109" s="164"/>
      <c r="C109" s="165"/>
      <c r="D109" s="166"/>
      <c r="E109" s="167"/>
      <c r="F109" s="168"/>
      <c r="G109" s="84"/>
      <c r="H109" s="84"/>
      <c r="I109" s="85"/>
      <c r="J109" s="85"/>
      <c r="K109" s="86"/>
      <c r="O109" s="87"/>
      <c r="P109" s="87"/>
      <c r="R109" s="87"/>
    </row>
    <row r="110" spans="1:18" ht="105" customHeight="1">
      <c r="A110" s="16"/>
      <c r="B110" s="164"/>
      <c r="C110" s="165"/>
      <c r="D110" s="166"/>
      <c r="E110" s="167"/>
      <c r="F110" s="168"/>
      <c r="G110" s="84"/>
      <c r="H110" s="84"/>
      <c r="I110" s="85"/>
      <c r="J110" s="85"/>
      <c r="K110" s="86"/>
      <c r="O110" s="87"/>
      <c r="P110" s="87"/>
      <c r="R110" s="87"/>
    </row>
    <row r="111" spans="1:18" ht="105" customHeight="1">
      <c r="A111" s="16"/>
      <c r="B111" s="164"/>
      <c r="C111" s="165"/>
      <c r="D111" s="166"/>
      <c r="E111" s="167"/>
      <c r="F111" s="168"/>
      <c r="G111" s="84"/>
      <c r="H111" s="84"/>
      <c r="I111" s="85"/>
      <c r="J111" s="85"/>
      <c r="K111" s="86"/>
      <c r="O111" s="87"/>
      <c r="P111" s="87"/>
      <c r="R111" s="87"/>
    </row>
    <row r="112" spans="1:18" ht="105" customHeight="1">
      <c r="A112" s="16"/>
      <c r="B112" s="164"/>
      <c r="C112" s="165"/>
      <c r="D112" s="166"/>
      <c r="E112" s="167"/>
      <c r="F112" s="168"/>
      <c r="G112" s="84"/>
      <c r="H112" s="84"/>
      <c r="I112" s="85"/>
      <c r="J112" s="85"/>
      <c r="K112" s="86"/>
      <c r="O112" s="87"/>
      <c r="P112" s="87"/>
      <c r="R112" s="87"/>
    </row>
    <row r="113" spans="1:18" ht="105" customHeight="1">
      <c r="A113" s="16"/>
      <c r="B113" s="164"/>
      <c r="C113" s="165"/>
      <c r="D113" s="166"/>
      <c r="E113" s="167"/>
      <c r="F113" s="168"/>
      <c r="G113" s="84"/>
      <c r="H113" s="84"/>
      <c r="I113" s="85"/>
      <c r="J113" s="85"/>
      <c r="K113" s="86"/>
      <c r="O113" s="87"/>
      <c r="P113" s="87"/>
      <c r="R113" s="87"/>
    </row>
    <row r="114" spans="1:18" ht="105" customHeight="1">
      <c r="A114" s="16"/>
      <c r="B114" s="164"/>
      <c r="C114" s="165"/>
      <c r="D114" s="166"/>
      <c r="E114" s="167"/>
      <c r="F114" s="168"/>
      <c r="G114" s="84"/>
      <c r="H114" s="84"/>
      <c r="I114" s="85"/>
      <c r="J114" s="85"/>
      <c r="K114" s="86"/>
      <c r="O114" s="87"/>
      <c r="P114" s="87"/>
      <c r="R114" s="87"/>
    </row>
    <row r="115" spans="1:18" ht="105" customHeight="1">
      <c r="A115" s="16"/>
      <c r="B115" s="164"/>
      <c r="C115" s="165"/>
      <c r="D115" s="166"/>
      <c r="E115" s="167"/>
      <c r="F115" s="168"/>
      <c r="G115" s="84"/>
      <c r="H115" s="84"/>
      <c r="I115" s="85"/>
      <c r="J115" s="85"/>
      <c r="K115" s="86"/>
      <c r="O115" s="87"/>
      <c r="P115" s="87"/>
      <c r="R115" s="87"/>
    </row>
    <row r="116" spans="1:18" ht="105" customHeight="1">
      <c r="A116" s="16"/>
      <c r="B116" s="164"/>
      <c r="C116" s="165"/>
      <c r="D116" s="166"/>
      <c r="E116" s="167"/>
      <c r="F116" s="168"/>
      <c r="G116" s="84"/>
      <c r="H116" s="84"/>
      <c r="I116" s="85"/>
      <c r="J116" s="85"/>
      <c r="K116" s="86"/>
      <c r="O116" s="87"/>
      <c r="P116" s="87"/>
      <c r="R116" s="87"/>
    </row>
    <row r="117" spans="1:18" ht="105" customHeight="1">
      <c r="A117" s="16"/>
      <c r="B117" s="164"/>
      <c r="C117" s="165"/>
      <c r="D117" s="166"/>
      <c r="E117" s="167"/>
      <c r="F117" s="168"/>
      <c r="G117" s="84"/>
      <c r="H117" s="84"/>
      <c r="I117" s="85"/>
      <c r="J117" s="85"/>
      <c r="K117" s="86"/>
      <c r="O117" s="87"/>
      <c r="P117" s="87"/>
      <c r="R117" s="87"/>
    </row>
    <row r="118" spans="1:18" ht="105" customHeight="1">
      <c r="A118" s="16"/>
      <c r="B118" s="164"/>
      <c r="C118" s="165"/>
      <c r="D118" s="166"/>
      <c r="E118" s="167"/>
      <c r="F118" s="168"/>
      <c r="G118" s="84"/>
      <c r="H118" s="84"/>
      <c r="I118" s="85"/>
      <c r="J118" s="85"/>
      <c r="K118" s="86"/>
      <c r="O118" s="87"/>
      <c r="P118" s="87"/>
      <c r="R118" s="87"/>
    </row>
    <row r="119" spans="1:18" ht="105" customHeight="1">
      <c r="A119" s="16"/>
      <c r="B119" s="164"/>
      <c r="C119" s="165"/>
      <c r="D119" s="166"/>
      <c r="E119" s="167"/>
      <c r="F119" s="168"/>
      <c r="G119" s="84"/>
      <c r="H119" s="84"/>
      <c r="I119" s="85"/>
      <c r="J119" s="85"/>
      <c r="K119" s="86"/>
      <c r="O119" s="87"/>
      <c r="P119" s="87"/>
      <c r="R119" s="87"/>
    </row>
  </sheetData>
  <mergeCells count="238">
    <mergeCell ref="J1:K1"/>
    <mergeCell ref="J2:K2"/>
    <mergeCell ref="B7:C7"/>
    <mergeCell ref="D7:F7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8:C118"/>
    <mergeCell ref="D118:F118"/>
    <mergeCell ref="B119:C119"/>
    <mergeCell ref="D119:F119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10" zoomScale="130" zoomScaleNormal="100" zoomScaleSheetLayoutView="130" workbookViewId="0">
      <selection activeCell="J29" sqref="J29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99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89</v>
      </c>
      <c r="D9" s="33"/>
      <c r="E9" s="33"/>
    </row>
    <row r="10" spans="2:13" s="33" customFormat="1">
      <c r="B10" s="64"/>
      <c r="C10" s="33" t="s">
        <v>23</v>
      </c>
      <c r="D10" s="68" t="s">
        <v>90</v>
      </c>
      <c r="J10" s="33" t="s">
        <v>24</v>
      </c>
      <c r="K10" s="174">
        <f>MRS!L3</f>
        <v>46321</v>
      </c>
      <c r="L10" s="175"/>
      <c r="M10" s="175"/>
    </row>
    <row r="11" spans="2:13" s="33" customFormat="1">
      <c r="B11" s="64"/>
      <c r="C11" s="67" t="s">
        <v>25</v>
      </c>
      <c r="D11" s="68" t="s">
        <v>91</v>
      </c>
      <c r="J11" s="33" t="s">
        <v>26</v>
      </c>
      <c r="K11" s="176" t="str">
        <f>SUBSTITUTE(SUBSTITUTE(+MRS!A3,"  MRS No : ",""),"-MRS","-PO")</f>
        <v>SAC2-DS-PO-0520</v>
      </c>
      <c r="L11" s="176"/>
      <c r="M11" s="176"/>
    </row>
    <row r="12" spans="2:13" s="33" customFormat="1">
      <c r="B12" s="64"/>
      <c r="C12" s="67" t="s">
        <v>27</v>
      </c>
      <c r="D12" s="33" t="s">
        <v>92</v>
      </c>
      <c r="J12" s="33" t="s">
        <v>28</v>
      </c>
    </row>
    <row r="13" spans="2:13" s="33" customFormat="1">
      <c r="B13" s="64"/>
      <c r="C13" s="69"/>
      <c r="D13" s="68" t="s">
        <v>93</v>
      </c>
      <c r="J13" s="33" t="s">
        <v>29</v>
      </c>
    </row>
    <row r="14" spans="2:13" s="33" customFormat="1">
      <c r="B14" s="64"/>
      <c r="C14" s="94" t="s">
        <v>98</v>
      </c>
      <c r="J14" s="33" t="s">
        <v>30</v>
      </c>
      <c r="K14" s="33" t="s">
        <v>131</v>
      </c>
    </row>
    <row r="15" spans="2:13" s="33" customFormat="1">
      <c r="B15" s="64"/>
      <c r="C15" s="67" t="s">
        <v>94</v>
      </c>
      <c r="J15" s="33" t="s">
        <v>31</v>
      </c>
      <c r="K15" s="70">
        <v>46321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77" t="s">
        <v>32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26" customFormat="1" ht="12" customHeight="1">
      <c r="B20" s="178" t="s">
        <v>33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26" customFormat="1" ht="12" customHeight="1">
      <c r="B21" s="178" t="s">
        <v>34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26" customFormat="1" ht="12" customHeight="1">
      <c r="B22" s="178" t="s">
        <v>35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3.7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68" t="s">
        <v>136</v>
      </c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5">
        <f>'PO 2nd page'!G8</f>
        <v>51175</v>
      </c>
      <c r="G29" s="91"/>
      <c r="H29" s="91"/>
      <c r="M29" s="28"/>
    </row>
    <row r="30" spans="2:13" ht="15" customHeight="1">
      <c r="B30" s="27"/>
      <c r="C30" s="21" t="s">
        <v>41</v>
      </c>
      <c r="E30" s="21" t="s">
        <v>40</v>
      </c>
      <c r="F30" s="95">
        <f>'PO 2nd page'!G9</f>
        <v>7676.25</v>
      </c>
      <c r="G30" s="91"/>
      <c r="H30" s="91"/>
    </row>
    <row r="31" spans="2:13" ht="15" customHeight="1">
      <c r="B31" s="27"/>
      <c r="C31" s="21" t="s">
        <v>42</v>
      </c>
      <c r="D31" s="29"/>
      <c r="E31" s="21" t="s">
        <v>40</v>
      </c>
      <c r="F31" s="95">
        <f>'PO 2nd page'!G10</f>
        <v>58851.25</v>
      </c>
      <c r="G31" s="91"/>
      <c r="H31" s="91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100</v>
      </c>
    </row>
    <row r="54" spans="2:16" ht="12" customHeight="1">
      <c r="B54" s="76" t="s">
        <v>56</v>
      </c>
      <c r="C54" s="96" t="s">
        <v>106</v>
      </c>
      <c r="F54" s="21" t="s">
        <v>101</v>
      </c>
    </row>
    <row r="55" spans="2:16" ht="12" customHeight="1">
      <c r="B55" s="76" t="s">
        <v>56</v>
      </c>
      <c r="C55" s="96" t="s">
        <v>107</v>
      </c>
      <c r="F55" s="97" t="s">
        <v>102</v>
      </c>
    </row>
    <row r="56" spans="2:16" ht="12" customHeight="1">
      <c r="B56" s="76" t="s">
        <v>56</v>
      </c>
      <c r="C56" s="96" t="s">
        <v>108</v>
      </c>
      <c r="F56" s="21" t="s">
        <v>113</v>
      </c>
    </row>
    <row r="57" spans="2:16" ht="12" customHeight="1">
      <c r="B57" s="76" t="s">
        <v>56</v>
      </c>
      <c r="C57" s="96" t="s">
        <v>109</v>
      </c>
      <c r="F57" s="21" t="s">
        <v>103</v>
      </c>
    </row>
    <row r="58" spans="2:16" ht="12" customHeight="1">
      <c r="B58" s="76" t="s">
        <v>56</v>
      </c>
      <c r="C58" s="96" t="s">
        <v>110</v>
      </c>
      <c r="F58" s="21" t="s">
        <v>104</v>
      </c>
    </row>
    <row r="59" spans="2:16" ht="12" customHeight="1">
      <c r="B59" s="76" t="s">
        <v>56</v>
      </c>
      <c r="C59" s="96" t="s">
        <v>111</v>
      </c>
      <c r="F59" s="21" t="s">
        <v>105</v>
      </c>
    </row>
    <row r="60" spans="2:16" ht="12" customHeight="1">
      <c r="B60" s="76"/>
      <c r="C60" s="96" t="s">
        <v>112</v>
      </c>
    </row>
    <row r="61" spans="2:16" ht="6.75" customHeight="1">
      <c r="B61" s="76"/>
      <c r="C61" s="96"/>
    </row>
    <row r="62" spans="2:16" ht="6" customHeight="1"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Shashank Kamra</v>
      </c>
    </row>
    <row r="68" spans="1:13" ht="13.5" customHeight="1">
      <c r="B68" s="21" t="s">
        <v>62</v>
      </c>
      <c r="J68" s="21" t="s">
        <v>63</v>
      </c>
      <c r="K68" s="17" t="s">
        <v>95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97</v>
      </c>
      <c r="J70" s="181" t="str">
        <f>C9</f>
        <v>JSAJ(Jassim Saif Amer Aljaberi Trading Est.)</v>
      </c>
      <c r="K70" s="181"/>
      <c r="L70" s="181"/>
      <c r="M70" s="181"/>
    </row>
    <row r="71" spans="1:13" ht="27.95" customHeight="1">
      <c r="A71" s="173" t="s">
        <v>66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8"/>
  <sheetViews>
    <sheetView showGridLines="0" view="pageBreakPreview" zoomScaleSheetLayoutView="100" zoomScalePageLayoutView="55" workbookViewId="0">
      <selection activeCell="F20" sqref="F20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SAC2-DS-PO-0520</v>
      </c>
      <c r="C2" s="186" t="s">
        <v>68</v>
      </c>
      <c r="D2" s="186"/>
      <c r="E2" s="186"/>
      <c r="F2" s="186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46321</v>
      </c>
      <c r="C3" s="43"/>
      <c r="D3" s="44"/>
      <c r="E3" s="187" t="s">
        <v>70</v>
      </c>
      <c r="F3" s="187"/>
      <c r="G3" s="187"/>
      <c r="H3" s="187"/>
      <c r="I3" s="45"/>
    </row>
    <row r="4" spans="1:13" s="47" customFormat="1" ht="28.5" customHeight="1" thickTop="1">
      <c r="A4" s="188" t="s">
        <v>71</v>
      </c>
      <c r="B4" s="190" t="s">
        <v>72</v>
      </c>
      <c r="C4" s="191"/>
      <c r="D4" s="194" t="s">
        <v>129</v>
      </c>
      <c r="E4" s="194" t="s">
        <v>128</v>
      </c>
      <c r="F4" s="196" t="str">
        <f>'PO 1st page'!C9</f>
        <v>JSAJ(Jassim Saif Amer Aljaberi Trading Est.)</v>
      </c>
      <c r="G4" s="197"/>
      <c r="H4" s="198" t="s">
        <v>73</v>
      </c>
      <c r="K4" s="48"/>
      <c r="L4" s="48"/>
      <c r="M4" s="48"/>
    </row>
    <row r="5" spans="1:13" s="47" customFormat="1" ht="21.95" customHeight="1">
      <c r="A5" s="189"/>
      <c r="B5" s="192"/>
      <c r="C5" s="193"/>
      <c r="D5" s="195"/>
      <c r="E5" s="195"/>
      <c r="F5" s="49" t="s">
        <v>74</v>
      </c>
      <c r="G5" s="49" t="s">
        <v>42</v>
      </c>
      <c r="H5" s="199"/>
      <c r="K5" s="48"/>
      <c r="L5" s="48"/>
      <c r="M5" s="48"/>
    </row>
    <row r="6" spans="1:13" s="47" customFormat="1" ht="32.1" customHeight="1">
      <c r="A6" s="77">
        <f t="shared" ref="A6:A7" si="0">ROW(A1)</f>
        <v>1</v>
      </c>
      <c r="B6" s="200" t="str">
        <f>MRS!B6&amp;" "&amp;MRS!D6</f>
        <v>Welding rod E7018-1 H4R  3.2mm</v>
      </c>
      <c r="C6" s="200"/>
      <c r="D6" s="118" t="str">
        <f>MRS!G6</f>
        <v>Kg</v>
      </c>
      <c r="E6" s="119">
        <f>MRS!H6</f>
        <v>1500</v>
      </c>
      <c r="F6" s="120">
        <f>+'MRS LIST'!I6</f>
        <v>16.25</v>
      </c>
      <c r="G6" s="121">
        <f>+'MRS LIST'!J6</f>
        <v>24375</v>
      </c>
      <c r="H6" s="78" t="s">
        <v>96</v>
      </c>
      <c r="K6" s="79"/>
      <c r="L6" s="80"/>
      <c r="M6" s="48"/>
    </row>
    <row r="7" spans="1:13" s="47" customFormat="1" ht="32.1" customHeight="1">
      <c r="A7" s="77">
        <f t="shared" si="0"/>
        <v>2</v>
      </c>
      <c r="B7" s="200" t="str">
        <f>MRS!B7&amp;" "&amp;MRS!D7</f>
        <v>Welding rod ENiCrMo-3   3.2mm</v>
      </c>
      <c r="C7" s="200"/>
      <c r="D7" s="118" t="str">
        <f>MRS!G7</f>
        <v>Kg</v>
      </c>
      <c r="E7" s="119">
        <f>MRS!H7</f>
        <v>100</v>
      </c>
      <c r="F7" s="120">
        <f>+'MRS LIST'!I7</f>
        <v>268</v>
      </c>
      <c r="G7" s="121">
        <f>+'MRS LIST'!J7</f>
        <v>26800</v>
      </c>
      <c r="H7" s="78"/>
      <c r="K7" s="79"/>
      <c r="L7" s="80"/>
      <c r="M7" s="48"/>
    </row>
    <row r="8" spans="1:13" s="47" customFormat="1" ht="23.1" customHeight="1">
      <c r="A8" s="182" t="s">
        <v>75</v>
      </c>
      <c r="B8" s="183"/>
      <c r="C8" s="183"/>
      <c r="D8" s="183"/>
      <c r="E8" s="183"/>
      <c r="F8" s="183"/>
      <c r="G8" s="50">
        <f>SUM(G6:G7)</f>
        <v>51175</v>
      </c>
      <c r="H8" s="51"/>
    </row>
    <row r="9" spans="1:13" s="47" customFormat="1" ht="23.1" customHeight="1">
      <c r="A9" s="182" t="s">
        <v>41</v>
      </c>
      <c r="B9" s="183"/>
      <c r="C9" s="183"/>
      <c r="D9" s="183"/>
      <c r="E9" s="183"/>
      <c r="F9" s="183"/>
      <c r="G9" s="50">
        <f>+G8*0.15</f>
        <v>7676.25</v>
      </c>
      <c r="H9" s="51"/>
    </row>
    <row r="10" spans="1:13" s="47" customFormat="1" ht="24.95" customHeight="1" thickBot="1">
      <c r="A10" s="184" t="s">
        <v>76</v>
      </c>
      <c r="B10" s="185"/>
      <c r="C10" s="185"/>
      <c r="D10" s="185"/>
      <c r="E10" s="185"/>
      <c r="F10" s="185"/>
      <c r="G10" s="52">
        <f>G9+G8</f>
        <v>58851.25</v>
      </c>
      <c r="H10" s="53"/>
    </row>
    <row r="11" spans="1:13" ht="15.75" thickTop="1">
      <c r="A11" s="54" t="str">
        <f>" 1) Above Price are as per your quotation with ref "&amp;'PO 1st page'!K14</f>
        <v xml:space="preserve"> 1) Above Price are as per your quotation with ref Q-20263265</v>
      </c>
      <c r="B11" s="55"/>
      <c r="C11" s="55"/>
      <c r="D11" s="56"/>
      <c r="E11" s="56"/>
      <c r="F11" s="56"/>
      <c r="G11" s="56"/>
      <c r="H11" s="56"/>
    </row>
    <row r="12" spans="1:13" ht="15">
      <c r="A12" s="57" t="s">
        <v>77</v>
      </c>
      <c r="B12" s="58"/>
      <c r="C12" s="58"/>
      <c r="D12" s="59"/>
      <c r="E12" s="59"/>
      <c r="F12" s="59"/>
      <c r="G12" s="59"/>
      <c r="H12" s="59"/>
      <c r="I12" s="60"/>
    </row>
    <row r="13" spans="1:13" ht="15.75">
      <c r="A13" s="61"/>
    </row>
    <row r="14" spans="1:13">
      <c r="A14" s="173" t="s">
        <v>78</v>
      </c>
      <c r="B14" s="173"/>
      <c r="C14" s="173"/>
      <c r="D14" s="173"/>
      <c r="E14" s="173"/>
      <c r="F14" s="173"/>
      <c r="G14" s="173"/>
      <c r="H14" s="173"/>
      <c r="I14" s="62"/>
      <c r="J14" s="62"/>
      <c r="K14" s="62"/>
      <c r="L14" s="62"/>
      <c r="M14" s="62"/>
    </row>
    <row r="15" spans="1:13" ht="15.75">
      <c r="A15" s="61"/>
      <c r="C15" s="63"/>
    </row>
    <row r="16" spans="1:13" ht="15.75">
      <c r="A16" s="61"/>
      <c r="C16" s="63"/>
    </row>
    <row r="18" ht="12" customHeight="1"/>
  </sheetData>
  <mergeCells count="14">
    <mergeCell ref="A8:F8"/>
    <mergeCell ref="A9:F9"/>
    <mergeCell ref="A10:F10"/>
    <mergeCell ref="A14:H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2026-10-27T03:43:28Z</cp:lastPrinted>
  <dcterms:created xsi:type="dcterms:W3CDTF">2024-10-20T11:50:19Z</dcterms:created>
  <dcterms:modified xsi:type="dcterms:W3CDTF">2026-10-27T03:55:48Z</dcterms:modified>
</cp:coreProperties>
</file>