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oss\PO\PO_RASE\"/>
    </mc:Choice>
  </mc:AlternateContent>
  <xr:revisionPtr revIDLastSave="0" documentId="13_ncr:1_{84018337-05D5-4344-98D8-24F4F8067C8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MRS!$A$1:$M$126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page'!$A$1:$H$124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B114" i="4"/>
  <c r="B115" i="4"/>
  <c r="B116" i="4"/>
  <c r="B117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15" i="4"/>
  <c r="B16" i="4"/>
  <c r="B17" i="4"/>
  <c r="B18" i="4"/>
  <c r="B19" i="4"/>
  <c r="B20" i="4"/>
  <c r="B21" i="4"/>
  <c r="B22" i="4"/>
  <c r="B23" i="4"/>
  <c r="B24" i="4"/>
  <c r="B25" i="4"/>
  <c r="B26" i="4"/>
  <c r="B9" i="4"/>
  <c r="B10" i="4"/>
  <c r="B11" i="4"/>
  <c r="B12" i="4"/>
  <c r="B13" i="4"/>
  <c r="B14" i="4"/>
  <c r="B7" i="4"/>
  <c r="B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7" i="4"/>
  <c r="A18" i="4"/>
  <c r="A19" i="4"/>
  <c r="A20" i="4"/>
  <c r="A21" i="4"/>
  <c r="A22" i="4"/>
  <c r="A23" i="4"/>
  <c r="A24" i="4"/>
  <c r="A25" i="4"/>
  <c r="A26" i="4"/>
  <c r="A27" i="4"/>
  <c r="A28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7" i="4"/>
  <c r="A8" i="4"/>
  <c r="A9" i="4"/>
  <c r="A10" i="4"/>
  <c r="A11" i="4"/>
  <c r="A12" i="4"/>
  <c r="A13" i="4"/>
  <c r="A14" i="4"/>
  <c r="A15" i="4"/>
  <c r="A16" i="4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G68" i="2"/>
  <c r="H68" i="2"/>
  <c r="I68" i="2"/>
  <c r="G69" i="2"/>
  <c r="H69" i="2"/>
  <c r="I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G89" i="2"/>
  <c r="H89" i="2"/>
  <c r="I89" i="2"/>
  <c r="G90" i="2"/>
  <c r="H90" i="2"/>
  <c r="I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98" i="2"/>
  <c r="H98" i="2"/>
  <c r="I98" i="2"/>
  <c r="G99" i="2"/>
  <c r="H99" i="2"/>
  <c r="I99" i="2"/>
  <c r="G100" i="2"/>
  <c r="H100" i="2"/>
  <c r="I100" i="2"/>
  <c r="G101" i="2"/>
  <c r="H101" i="2"/>
  <c r="I101" i="2"/>
  <c r="G102" i="2"/>
  <c r="H102" i="2"/>
  <c r="I102" i="2"/>
  <c r="G103" i="2"/>
  <c r="H103" i="2"/>
  <c r="I103" i="2"/>
  <c r="G104" i="2"/>
  <c r="H104" i="2"/>
  <c r="I104" i="2"/>
  <c r="G105" i="2"/>
  <c r="H105" i="2"/>
  <c r="I105" i="2"/>
  <c r="G106" i="2"/>
  <c r="H106" i="2"/>
  <c r="I106" i="2"/>
  <c r="G107" i="2"/>
  <c r="H107" i="2"/>
  <c r="I107" i="2"/>
  <c r="G108" i="2"/>
  <c r="H108" i="2"/>
  <c r="I108" i="2"/>
  <c r="G109" i="2"/>
  <c r="H109" i="2"/>
  <c r="I109" i="2"/>
  <c r="G110" i="2"/>
  <c r="H110" i="2"/>
  <c r="I110" i="2"/>
  <c r="G111" i="2"/>
  <c r="H111" i="2"/>
  <c r="I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A117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7" i="1"/>
  <c r="A8" i="1"/>
  <c r="A9" i="1"/>
  <c r="A10" i="1"/>
  <c r="A11" i="1"/>
  <c r="B6" i="4"/>
  <c r="E3" i="1" l="1"/>
  <c r="H6" i="2" l="1"/>
  <c r="G6" i="2"/>
  <c r="D6" i="2"/>
  <c r="B6" i="2"/>
  <c r="E6" i="4"/>
  <c r="D6" i="4"/>
  <c r="J6" i="1"/>
  <c r="J6" i="2" s="1"/>
  <c r="J118" i="1" l="1"/>
  <c r="K67" i="3"/>
  <c r="K10" i="3" l="1"/>
  <c r="A121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G118" i="4" s="1"/>
  <c r="F29" i="3" s="1"/>
  <c r="G119" i="4" l="1"/>
  <c r="F30" i="3" s="1"/>
  <c r="G120" i="4" l="1"/>
  <c r="F31" i="3" s="1"/>
</calcChain>
</file>

<file path=xl/sharedStrings.xml><?xml version="1.0" encoding="utf-8"?>
<sst xmlns="http://schemas.openxmlformats.org/spreadsheetml/2006/main" count="706" uniqueCount="331">
  <si>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</si>
  <si>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</si>
  <si>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</si>
  <si>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</si>
  <si>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</si>
  <si>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</si>
  <si>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</si>
  <si>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</si>
  <si>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</si>
  <si>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</si>
  <si>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</si>
  <si>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</si>
  <si>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</si>
  <si>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</si>
  <si>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</si>
  <si>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</si>
  <si>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</si>
  <si>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</si>
  <si>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</si>
  <si>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</si>
  <si>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</si>
  <si>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</si>
  <si>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</si>
  <si>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</si>
  <si>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</si>
  <si>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</si>
  <si>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</si>
  <si>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</si>
  <si>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</si>
  <si>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</si>
  <si>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</si>
  <si>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</si>
  <si>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</si>
  <si>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</si>
  <si>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</si>
  <si>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</si>
  <si>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</si>
  <si>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</si>
  <si>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</si>
  <si>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</si>
  <si>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</si>
  <si>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</si>
  <si>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</si>
  <si>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</si>
  <si>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</si>
  <si>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</si>
  <si>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</si>
  <si>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</si>
  <si>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</si>
  <si>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</si>
  <si>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</si>
  <si>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</si>
  <si>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</si>
  <si>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</si>
  <si>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</si>
  <si>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</si>
  <si>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</si>
  <si>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</si>
  <si>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</si>
  <si>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</si>
  <si>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</si>
  <si>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</si>
  <si>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</si>
  <si>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</si>
  <si>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</si>
  <si>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</si>
  <si>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</si>
  <si>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</si>
  <si>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</si>
  <si>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</si>
  <si>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</si>
  <si>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</si>
  <si>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</si>
  <si>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</si>
  <si>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</si>
  <si>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</si>
  <si>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</si>
  <si>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</si>
  <si>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</si>
  <si>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</si>
  <si>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</si>
  <si>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</si>
  <si>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</si>
  <si>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</si>
  <si>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</si>
  <si>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</si>
  <si>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</si>
  <si>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</si>
  <si>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</si>
  <si>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</si>
  <si>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</si>
  <si>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</si>
  <si>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</si>
  <si>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</si>
  <si>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</si>
  <si>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</si>
  <si>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</si>
  <si>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</si>
  <si>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</si>
  <si>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</si>
  <si>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</si>
  <si>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</si>
  <si>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</si>
  <si>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</si>
  <si>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</si>
  <si>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</si>
  <si>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</si>
  <si>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</si>
  <si>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</si>
  <si>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</si>
  <si>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</si>
  <si>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</si>
  <si>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</si>
  <si>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</si>
  <si>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</si>
  <si>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</si>
  <si>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</si>
  <si>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</si>
  <si>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</si>
  <si>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</si>
  <si>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</si>
  <si>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</si>
  <si>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</si>
  <si>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</si>
  <si>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</si>
  <si>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</si>
  <si>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</si>
  <si>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</si>
  <si>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Nos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</si>
  <si>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-MRS-0507</t>
    </r>
  </si>
  <si>
    <t>Q-20263261</t>
  </si>
  <si>
    <t>QTY</t>
  </si>
  <si>
    <t>UNIT</t>
  </si>
  <si>
    <t>Automatic Center Punch</t>
  </si>
  <si>
    <t>Toilet Cleaning Brush</t>
  </si>
  <si>
    <t>3M 8515 N95 Mask</t>
  </si>
  <si>
    <t>Ear Plug with Corded</t>
  </si>
  <si>
    <t>Tig Torch Head with Handle</t>
  </si>
  <si>
    <t>Telescopic Magnet Pickup</t>
  </si>
  <si>
    <t>Tig Torch Switch</t>
  </si>
  <si>
    <t>Argon Regulator</t>
  </si>
  <si>
    <t>Scaffolding Hand Gloves</t>
  </si>
  <si>
    <t>Megaphone Speaker</t>
  </si>
  <si>
    <t xml:space="preserve">Teflon Tape </t>
  </si>
  <si>
    <t>19mm x 40yard</t>
  </si>
  <si>
    <t>2"</t>
  </si>
  <si>
    <t>5"</t>
  </si>
  <si>
    <t>12"</t>
  </si>
  <si>
    <t>14"</t>
  </si>
  <si>
    <t>Insulation Tape</t>
  </si>
  <si>
    <t xml:space="preserve"> Black 2"</t>
  </si>
  <si>
    <t xml:space="preserve">AC Gas R410A </t>
  </si>
  <si>
    <t>11.6kg</t>
  </si>
  <si>
    <t xml:space="preserve">Wall Exhaust Fan </t>
  </si>
  <si>
    <t>220V 295x135x295mm</t>
  </si>
  <si>
    <t>Bacteria Test Kit Bactaslyde</t>
  </si>
  <si>
    <t xml:space="preserve"> BS103</t>
  </si>
  <si>
    <t xml:space="preserve">Flap Wheel </t>
  </si>
  <si>
    <t>S/S 25x20x6mm</t>
  </si>
  <si>
    <t>Hi Stick Spray Paint Rust Resistant</t>
  </si>
  <si>
    <t xml:space="preserve"> Dark Blue</t>
  </si>
  <si>
    <t xml:space="preserve"> Yellow</t>
  </si>
  <si>
    <t>Parts Handle Side</t>
  </si>
  <si>
    <t xml:space="preserve"> (562211-00) for DWE4002-B5 Dewalt</t>
  </si>
  <si>
    <t>Gun for HIT-RE 500 V4 Hilti</t>
  </si>
  <si>
    <t xml:space="preserve"> HDM-500</t>
  </si>
  <si>
    <t xml:space="preserve">Armature 220V (70927) for Beaver BE </t>
  </si>
  <si>
    <t>50G AT Asada</t>
  </si>
  <si>
    <t xml:space="preserve">Field Coil 220V (70926) for Beaver BE </t>
  </si>
  <si>
    <t>Sledge Hammer</t>
  </si>
  <si>
    <t xml:space="preserve"> 2LB</t>
  </si>
  <si>
    <t>Screw Driver</t>
  </si>
  <si>
    <t xml:space="preserve"> Plus+ 9"</t>
  </si>
  <si>
    <t xml:space="preserve">Screw Driver </t>
  </si>
  <si>
    <t>Flat- 9"</t>
  </si>
  <si>
    <t>Disposable Coverall</t>
  </si>
  <si>
    <t xml:space="preserve"> 2XL</t>
  </si>
  <si>
    <t xml:space="preserve">Spray Paint </t>
  </si>
  <si>
    <t>G2100 Dark Blue (240G)</t>
  </si>
  <si>
    <t>Spray Paint</t>
  </si>
  <si>
    <t xml:space="preserve"> G2100 Yellow (240G)</t>
  </si>
  <si>
    <t xml:space="preserve">Hand Winch </t>
  </si>
  <si>
    <t>5mmx10mtr</t>
  </si>
  <si>
    <t>Adjustable Wrench</t>
  </si>
  <si>
    <t xml:space="preserve"> 18"</t>
  </si>
  <si>
    <t xml:space="preserve">Electric Insulation Tape </t>
  </si>
  <si>
    <t>Yellow</t>
  </si>
  <si>
    <t xml:space="preserve">Half Round File </t>
  </si>
  <si>
    <t>C/S 12"</t>
  </si>
  <si>
    <t xml:space="preserve"> Star 9"</t>
  </si>
  <si>
    <t xml:space="preserve"> 24"</t>
  </si>
  <si>
    <t>Latex Half Coated Gloves</t>
  </si>
  <si>
    <t xml:space="preserve"> Green Crinkled</t>
  </si>
  <si>
    <t xml:space="preserve">Flap Disc </t>
  </si>
  <si>
    <t>S/S 4" 80 Grit</t>
  </si>
  <si>
    <t>S/S 40x20x6mm</t>
  </si>
  <si>
    <t xml:space="preserve">Cup Brush </t>
  </si>
  <si>
    <t>S/S Crimped M10x75mm</t>
  </si>
  <si>
    <t>Low Chloride Paint Marker</t>
  </si>
  <si>
    <t xml:space="preserve"> Blue</t>
  </si>
  <si>
    <t xml:space="preserve">Zinc Spray Paint </t>
  </si>
  <si>
    <t>Weicon(400 ml)</t>
  </si>
  <si>
    <t xml:space="preserve">Welding Glass </t>
  </si>
  <si>
    <t>Dark #11</t>
  </si>
  <si>
    <t>Welding Glass</t>
  </si>
  <si>
    <t xml:space="preserve"> Dark #12</t>
  </si>
  <si>
    <t xml:space="preserve">Welding Cable Connector </t>
  </si>
  <si>
    <t>35-50mm2 Male &amp; Female</t>
  </si>
  <si>
    <t>50-70mm2 Male &amp; Female</t>
  </si>
  <si>
    <t>Tig Collet Body</t>
  </si>
  <si>
    <t xml:space="preserve"> 350A 3.2mm SS</t>
  </si>
  <si>
    <t xml:space="preserve">Tig Collet Pin </t>
  </si>
  <si>
    <t>350A 3.2mm SS</t>
  </si>
  <si>
    <t>Tungsten Electrode</t>
  </si>
  <si>
    <t xml:space="preserve"> 2.4mm</t>
  </si>
  <si>
    <t xml:space="preserve">Argon Hose Quick Connector </t>
  </si>
  <si>
    <t>15x6mm</t>
  </si>
  <si>
    <t xml:space="preserve">Tube Cutter </t>
  </si>
  <si>
    <t>12-50mm Super Ego Spain</t>
  </si>
  <si>
    <t>Cutting Disc</t>
  </si>
  <si>
    <t xml:space="preserve"> C/S 7"x3mm Maks</t>
  </si>
  <si>
    <t>Permanent Marker Pen Twin Tip</t>
  </si>
  <si>
    <t xml:space="preserve"> Black 1.0x0.5mm</t>
  </si>
  <si>
    <t>Electric Insulation Tape</t>
  </si>
  <si>
    <t xml:space="preserve"> Green</t>
  </si>
  <si>
    <t>Paint Brush</t>
  </si>
  <si>
    <t xml:space="preserve"> 1"</t>
  </si>
  <si>
    <t xml:space="preserve">Concrete Drill Bit </t>
  </si>
  <si>
    <t>10mm</t>
  </si>
  <si>
    <t xml:space="preserve"> C/S 5"x3mm Maks</t>
  </si>
  <si>
    <t xml:space="preserve">Diamond Cutting Wheel </t>
  </si>
  <si>
    <t>Diamond Grinding Wheel</t>
  </si>
  <si>
    <t xml:space="preserve"> 5"</t>
  </si>
  <si>
    <t>Chemical Gloves</t>
  </si>
  <si>
    <t xml:space="preserve"> XL Heavy Duty Red Color</t>
  </si>
  <si>
    <t>Nicome Carbon Battery</t>
  </si>
  <si>
    <t xml:space="preserve"> 9V, 6F22</t>
  </si>
  <si>
    <t xml:space="preserve">LED Torch Light Rechargeable </t>
  </si>
  <si>
    <t>GFL4658Z Geepas</t>
  </si>
  <si>
    <t>Grinding Disc</t>
  </si>
  <si>
    <t xml:space="preserve"> C/S 4"x6mm Maks</t>
  </si>
  <si>
    <t xml:space="preserve"> Black</t>
  </si>
  <si>
    <t xml:space="preserve">Carbide Burr Flame Shape </t>
  </si>
  <si>
    <t>12x32x6mm</t>
  </si>
  <si>
    <t xml:space="preserve">Carbide Burr Taper Shape </t>
  </si>
  <si>
    <t>10x20x6mm</t>
  </si>
  <si>
    <t xml:space="preserve">Welding Electrode Holder </t>
  </si>
  <si>
    <t>500A</t>
  </si>
  <si>
    <t xml:space="preserve">Double Ear Clamp </t>
  </si>
  <si>
    <t>S/S 11-13mm</t>
  </si>
  <si>
    <t>Double Ear Clamp</t>
  </si>
  <si>
    <t xml:space="preserve"> S/S 13-15mm</t>
  </si>
  <si>
    <t xml:space="preserve">Q-Shaped Reaction Bar for GSR122E/STC12TE </t>
  </si>
  <si>
    <t>#11QH, TONE Japan</t>
  </si>
  <si>
    <t>Carbon Brush</t>
  </si>
  <si>
    <t xml:space="preserve"> E995 for STC-12TE Tone Japan</t>
  </si>
  <si>
    <t>Set Screw for GSR122E/STC12TE</t>
  </si>
  <si>
    <t xml:space="preserve"> #M6X6, TONE Japan</t>
  </si>
  <si>
    <t>Two Way Radio Walkie Talkie Baofeng</t>
  </si>
  <si>
    <t xml:space="preserve"> BF-888S</t>
  </si>
  <si>
    <t xml:space="preserve"> S/S 4"x1mm Maks</t>
  </si>
  <si>
    <t xml:space="preserve"> C/S 4"x3mm Maks</t>
  </si>
  <si>
    <t xml:space="preserve"> S/S 4"x3mm Maks</t>
  </si>
  <si>
    <t xml:space="preserve">Grinding Disc </t>
  </si>
  <si>
    <t>S/S 4"x6mm Maks</t>
  </si>
  <si>
    <t>300A</t>
  </si>
  <si>
    <t xml:space="preserve"> 350A 2.4mm</t>
  </si>
  <si>
    <t>Tig Torch</t>
  </si>
  <si>
    <t xml:space="preserve"> Back Cap Long (57Y02)</t>
  </si>
  <si>
    <t xml:space="preserve"> Back Cap Short (57Y04)</t>
  </si>
  <si>
    <t xml:space="preserve">Tungsten Electrode </t>
  </si>
  <si>
    <t>3.2mm</t>
  </si>
  <si>
    <t xml:space="preserve">Ceramic Nozzle </t>
  </si>
  <si>
    <t>350A #6</t>
  </si>
  <si>
    <t>Dust Mask</t>
  </si>
  <si>
    <t xml:space="preserve"> N95 Venus</t>
  </si>
  <si>
    <t>Cotton Rags</t>
  </si>
  <si>
    <t xml:space="preserve"> White 10Kg</t>
  </si>
  <si>
    <t>Hacksaw Blade</t>
  </si>
  <si>
    <t xml:space="preserve"> S/S 12"</t>
  </si>
  <si>
    <t>Sponge Foam Sheet</t>
  </si>
  <si>
    <t xml:space="preserve"> 900x1900x100mm</t>
  </si>
  <si>
    <t>350A #7</t>
  </si>
  <si>
    <t>Ceramic Nozzle</t>
  </si>
  <si>
    <t xml:space="preserve"> 350A #8</t>
  </si>
  <si>
    <t xml:space="preserve">Hacksaw Frame </t>
  </si>
  <si>
    <t>Cable Tie</t>
  </si>
  <si>
    <t xml:space="preserve"> 4.8mmx300mm White (100ea/pkt)</t>
  </si>
  <si>
    <t xml:space="preserve">Paint Scraper </t>
  </si>
  <si>
    <t>C/S 4" 80 Grit</t>
  </si>
  <si>
    <t>Flap Wheel</t>
  </si>
  <si>
    <t xml:space="preserve"> C/S 40x20x6mm</t>
  </si>
  <si>
    <t>Enamel Paint</t>
  </si>
  <si>
    <t xml:space="preserve"> Blue 3.5kg</t>
  </si>
  <si>
    <t>PVC Coated Tie Wire</t>
  </si>
  <si>
    <t xml:space="preserve"> 6kg</t>
  </si>
  <si>
    <t>Face Shield Visor</t>
  </si>
  <si>
    <t xml:space="preserve"> 15"</t>
  </si>
  <si>
    <t>Welding Tig Gloves</t>
  </si>
  <si>
    <t xml:space="preserve"> 10"</t>
  </si>
  <si>
    <t xml:space="preserve">Welding Tig Gloves </t>
  </si>
  <si>
    <t>Welding Apron</t>
  </si>
  <si>
    <t xml:space="preserve"> Leather</t>
  </si>
  <si>
    <t xml:space="preserve"> Dark #10</t>
  </si>
  <si>
    <t xml:space="preserve">Permanent Marker Pen Twin Tip </t>
  </si>
  <si>
    <t>Black N75W Pentel</t>
  </si>
  <si>
    <t xml:space="preserve"> Blue 1.0x0.5mm</t>
  </si>
  <si>
    <t xml:space="preserve">Hand Wire Brush </t>
  </si>
  <si>
    <t>C/S</t>
  </si>
  <si>
    <t xml:space="preserve"> C/S 12"</t>
  </si>
  <si>
    <t>Ordinary Plywood</t>
  </si>
  <si>
    <t xml:space="preserve"> 4'x8'x12mm</t>
  </si>
  <si>
    <t xml:space="preserve">Drill Bit </t>
  </si>
  <si>
    <t>CS 4mm</t>
  </si>
  <si>
    <t>CS 5mm</t>
  </si>
  <si>
    <t>Drill Bit</t>
  </si>
  <si>
    <t xml:space="preserve"> CS 6mm</t>
  </si>
  <si>
    <t>CS 8mm</t>
  </si>
  <si>
    <t>CS 10mm</t>
  </si>
  <si>
    <t>CS 12mm</t>
  </si>
  <si>
    <t xml:space="preserve">Rubber Hand Gloves </t>
  </si>
  <si>
    <t>M</t>
  </si>
  <si>
    <t>Polythene Sheet</t>
  </si>
  <si>
    <t xml:space="preserve"> 4x20mtr 0.5mm</t>
  </si>
  <si>
    <t>Pair</t>
  </si>
  <si>
    <t>Pkt</t>
  </si>
  <si>
    <t>Kit</t>
  </si>
  <si>
    <t>Can</t>
  </si>
  <si>
    <t>Sh't</t>
  </si>
  <si>
    <t>roll</t>
  </si>
  <si>
    <t>Site Consumable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</si>
</sst>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8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8" xfId="6" applyFont="1" applyFill="1" applyBorder="1" applyAlignment="1">
      <alignment horizontal="center" vertical="center" wrapText="1"/>
    </xf>
    <xf numFmtId="43" fontId="13" fillId="0" borderId="18" xfId="6" quotePrefix="1" applyNumberFormat="1" applyFont="1" applyBorder="1" applyAlignment="1">
      <alignment vertical="center" wrapText="1"/>
    </xf>
    <xf numFmtId="0" fontId="8" fillId="0" borderId="32" xfId="6" applyFont="1" applyBorder="1"/>
    <xf numFmtId="170" fontId="10" fillId="0" borderId="36" xfId="6" applyNumberFormat="1" applyFont="1" applyBorder="1" applyAlignment="1">
      <alignment horizontal="center" vertical="center" wrapText="1"/>
    </xf>
    <xf numFmtId="0" fontId="8" fillId="0" borderId="37" xfId="6" applyFont="1" applyBorder="1"/>
    <xf numFmtId="0" fontId="10" fillId="0" borderId="0" xfId="6" applyFont="1" applyAlignment="1">
      <alignment vertical="center"/>
    </xf>
    <xf numFmtId="0" fontId="26" fillId="0" borderId="38" xfId="6" applyFont="1" applyBorder="1" applyAlignment="1">
      <alignment vertical="center"/>
    </xf>
    <xf numFmtId="0" fontId="26" fillId="0" borderId="38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3" xfId="6" quotePrefix="1" applyFont="1" applyBorder="1" applyAlignment="1">
      <alignment horizontal="center" vertical="center"/>
    </xf>
    <xf numFmtId="0" fontId="3" fillId="0" borderId="34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6" fillId="0" borderId="31" xfId="6" quotePrefix="1" applyFont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8" xfId="0" applyFont="1" applyBorder="1" applyAlignment="1">
      <alignment horizontal="center" vertical="center"/>
    </xf>
    <xf numFmtId="172" fontId="42" fillId="0" borderId="18" xfId="10" applyNumberFormat="1" applyFont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167" fontId="3" fillId="0" borderId="14" xfId="0" applyNumberFormat="1" applyFont="1" applyBorder="1" applyAlignment="1">
      <alignment horizontal="right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16" xfId="1" applyFill="1" applyBorder="1" applyAlignment="1">
      <alignment vertical="center"/>
    </xf>
    <xf numFmtId="0" fontId="3" fillId="2" borderId="16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39" xfId="5" applyFont="1" applyFill="1" applyBorder="1"/>
    <xf numFmtId="0" fontId="18" fillId="3" borderId="39" xfId="5" applyFont="1" applyFill="1" applyBorder="1"/>
    <xf numFmtId="0" fontId="6" fillId="2" borderId="17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0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3" fillId="2" borderId="14" xfId="4" applyNumberFormat="1" applyFont="1" applyFill="1" applyBorder="1" applyAlignment="1">
      <alignment horizontal="center" vertical="center" wrapText="1"/>
    </xf>
    <xf numFmtId="0" fontId="8" fillId="2" borderId="42" xfId="1" quotePrefix="1" applyFont="1" applyFill="1" applyBorder="1" applyAlignment="1">
      <alignment vertical="center"/>
    </xf>
    <xf numFmtId="0" fontId="6" fillId="2" borderId="18" xfId="7" applyFont="1" applyFill="1" applyBorder="1" applyAlignment="1">
      <alignment horizontal="center" vertical="center" wrapText="1"/>
    </xf>
    <xf numFmtId="0" fontId="6" fillId="2" borderId="18" xfId="8" applyFont="1" applyFill="1" applyBorder="1" applyAlignment="1">
      <alignment horizontal="center" vertical="center"/>
    </xf>
    <xf numFmtId="43" fontId="6" fillId="0" borderId="18" xfId="9" quotePrefix="1" applyFont="1" applyFill="1" applyBorder="1" applyAlignment="1">
      <alignment vertical="center"/>
    </xf>
    <xf numFmtId="43" fontId="6" fillId="0" borderId="18" xfId="6" applyNumberFormat="1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3" fillId="2" borderId="14" xfId="1" applyFill="1" applyBorder="1" applyAlignment="1">
      <alignment horizontal="center" vertical="center" wrapText="1"/>
    </xf>
    <xf numFmtId="0" fontId="3" fillId="2" borderId="41" xfId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2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18" xfId="5" applyFont="1" applyFill="1" applyBorder="1" applyAlignment="1">
      <alignment horizontal="left" vertical="center" wrapText="1"/>
    </xf>
    <xf numFmtId="0" fontId="13" fillId="0" borderId="31" xfId="6" quotePrefix="1" applyFont="1" applyBorder="1" applyAlignment="1">
      <alignment horizontal="right" vertical="center"/>
    </xf>
    <xf numFmtId="0" fontId="13" fillId="0" borderId="18" xfId="6" quotePrefix="1" applyFont="1" applyBorder="1" applyAlignment="1">
      <alignment horizontal="right" vertical="center"/>
    </xf>
    <xf numFmtId="0" fontId="10" fillId="0" borderId="35" xfId="6" quotePrefix="1" applyFont="1" applyBorder="1" applyAlignment="1">
      <alignment horizontal="right" vertical="center"/>
    </xf>
    <xf numFmtId="0" fontId="10" fillId="0" borderId="36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3" xfId="6" applyFont="1" applyBorder="1" applyAlignment="1">
      <alignment horizontal="right" vertical="center"/>
    </xf>
    <xf numFmtId="0" fontId="8" fillId="4" borderId="24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18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/>
    </xf>
    <xf numFmtId="0" fontId="0" fillId="0" borderId="43" xfId="0" applyBorder="1" applyAlignment="1"/>
    <xf numFmtId="0" fontId="0" fillId="0" borderId="44" xfId="0" applyBorder="1" applyAlignment="1"/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118</xdr:row>
          <xdr:rowOff>246146</xdr:rowOff>
        </xdr:from>
        <xdr:to>
          <xdr:col>11</xdr:col>
          <xdr:colOff>1480385</xdr:colOff>
          <xdr:row>125</xdr:row>
          <xdr:rowOff>233613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22:$Y$127" spid="_x0000_s14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54"/>
  <sheetViews>
    <sheetView showGridLines="0" tabSelected="1" view="pageBreakPreview" topLeftCell="A10" zoomScale="95" zoomScaleNormal="95" zoomScaleSheetLayoutView="95" workbookViewId="0">
      <selection activeCell="D9" sqref="D9:F9"/>
    </sheetView>
  </sheetViews>
  <sheetFormatPr defaultColWidth="9" defaultRowHeight="21" customHeight="1"/>
  <cols>
    <col min="1" max="1" width="11" style="2" customWidth="1"/>
    <col min="2" max="2" width="8.140625" style="2" customWidth="1"/>
    <col min="3" max="3" width="28.710937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9" t="s">
        <v>126</v>
      </c>
      <c r="B1" s="110"/>
      <c r="C1" s="89"/>
      <c r="D1" s="89"/>
      <c r="E1" s="89"/>
      <c r="F1" s="89"/>
      <c r="G1" s="1"/>
      <c r="J1" s="136" t="s">
        <v>79</v>
      </c>
      <c r="K1" s="137"/>
      <c r="L1" s="138"/>
    </row>
    <row r="2" spans="1:18" ht="20.100000000000001" customHeight="1">
      <c r="A2" s="3" t="s">
        <v>1</v>
      </c>
      <c r="B2" s="83"/>
      <c r="C2" s="83"/>
      <c r="D2" s="3" t="s">
        <v>127</v>
      </c>
      <c r="E2" s="83"/>
      <c r="F2" s="83"/>
      <c r="G2" s="83"/>
      <c r="H2" s="83"/>
      <c r="I2" s="4"/>
      <c r="J2" s="139" t="s">
        <v>86</v>
      </c>
      <c r="K2" s="140"/>
      <c r="L2" s="141"/>
    </row>
    <row r="3" spans="1:18" ht="20.100000000000001" customHeight="1">
      <c r="A3" s="3" t="s">
        <v>129</v>
      </c>
      <c r="B3" s="83"/>
      <c r="C3" s="83"/>
      <c r="D3" s="83"/>
      <c r="E3" s="142">
        <f>+L3+3</f>
        <v>46323</v>
      </c>
      <c r="F3" s="142"/>
      <c r="G3" s="142"/>
      <c r="H3" s="142"/>
      <c r="I3" s="142"/>
      <c r="J3" s="83"/>
      <c r="K3" s="83"/>
      <c r="L3" s="111">
        <v>46320</v>
      </c>
      <c r="M3" s="4"/>
    </row>
    <row r="4" spans="1:18" ht="15.95" customHeight="1">
      <c r="A4" s="130" t="s">
        <v>2</v>
      </c>
      <c r="B4" s="196" t="s">
        <v>3</v>
      </c>
      <c r="C4" s="197"/>
      <c r="D4" s="132" t="s">
        <v>4</v>
      </c>
      <c r="E4" s="132"/>
      <c r="F4" s="133"/>
      <c r="G4" s="147" t="s">
        <v>5</v>
      </c>
      <c r="H4" s="143" t="s">
        <v>6</v>
      </c>
      <c r="I4" s="143" t="s">
        <v>83</v>
      </c>
      <c r="J4" s="145" t="s">
        <v>84</v>
      </c>
      <c r="K4" s="143" t="s">
        <v>0</v>
      </c>
      <c r="L4" s="146" t="s">
        <v>7</v>
      </c>
    </row>
    <row r="5" spans="1:18" ht="24.75" customHeight="1">
      <c r="A5" s="131"/>
      <c r="B5" s="196"/>
      <c r="C5" s="197"/>
      <c r="D5" s="134"/>
      <c r="E5" s="134"/>
      <c r="F5" s="135"/>
      <c r="G5" s="148"/>
      <c r="H5" s="144"/>
      <c r="I5" s="144"/>
      <c r="J5" s="143"/>
      <c r="K5" s="144"/>
      <c r="L5" s="147"/>
    </row>
    <row r="6" spans="1:18" ht="32.25" customHeight="1">
      <c r="A6" s="118">
        <f t="shared" ref="A6:A69" si="0">ROW(A1)</f>
        <v>1</v>
      </c>
      <c r="B6" s="198" t="s">
        <v>143</v>
      </c>
      <c r="C6" s="199"/>
      <c r="D6" s="124" t="s">
        <v>144</v>
      </c>
      <c r="E6" s="124"/>
      <c r="F6" s="125"/>
      <c r="G6" s="116" t="s">
        <v>128</v>
      </c>
      <c r="H6" s="112">
        <v>1500</v>
      </c>
      <c r="I6" s="113">
        <v>1.6</v>
      </c>
      <c r="J6" s="114">
        <f>H6*I6</f>
        <v>2400</v>
      </c>
      <c r="K6" s="115" t="s">
        <v>88</v>
      </c>
      <c r="L6" s="117" t="s">
        <v>96</v>
      </c>
      <c r="R6" s="88"/>
    </row>
    <row r="7" spans="1:18" ht="32.25" customHeight="1">
      <c r="A7" s="118">
        <f t="shared" si="0"/>
        <v>2</v>
      </c>
      <c r="B7" s="200" t="s">
        <v>149</v>
      </c>
      <c r="C7" s="201"/>
      <c r="D7" s="124" t="s">
        <v>150</v>
      </c>
      <c r="E7" s="124"/>
      <c r="F7" s="125"/>
      <c r="G7" s="116" t="s">
        <v>128</v>
      </c>
      <c r="H7" s="112">
        <v>18</v>
      </c>
      <c r="I7" s="113">
        <v>3</v>
      </c>
      <c r="J7" s="114">
        <f t="shared" ref="J7:J70" si="1">H7*I7</f>
        <v>54</v>
      </c>
      <c r="K7" s="115" t="s">
        <v>56</v>
      </c>
      <c r="L7" s="117" t="s">
        <v>56</v>
      </c>
      <c r="R7" s="88"/>
    </row>
    <row r="8" spans="1:18" ht="32.25" customHeight="1">
      <c r="A8" s="118">
        <f t="shared" si="0"/>
        <v>3</v>
      </c>
      <c r="B8" s="198" t="s">
        <v>151</v>
      </c>
      <c r="C8" s="199"/>
      <c r="D8" s="124" t="s">
        <v>152</v>
      </c>
      <c r="E8" s="124"/>
      <c r="F8" s="125"/>
      <c r="G8" s="116" t="s">
        <v>128</v>
      </c>
      <c r="H8" s="112">
        <v>12</v>
      </c>
      <c r="I8" s="113">
        <v>620</v>
      </c>
      <c r="J8" s="114">
        <f t="shared" si="1"/>
        <v>7440</v>
      </c>
      <c r="K8" s="115" t="s">
        <v>56</v>
      </c>
      <c r="L8" s="117" t="s">
        <v>56</v>
      </c>
      <c r="R8" s="88"/>
    </row>
    <row r="9" spans="1:18" ht="32.25" customHeight="1">
      <c r="A9" s="118">
        <f t="shared" si="0"/>
        <v>4</v>
      </c>
      <c r="B9" s="198" t="s">
        <v>153</v>
      </c>
      <c r="C9" s="199"/>
      <c r="D9" s="124" t="s">
        <v>154</v>
      </c>
      <c r="E9" s="124"/>
      <c r="F9" s="125"/>
      <c r="G9" s="116" t="s">
        <v>128</v>
      </c>
      <c r="H9" s="112">
        <v>5</v>
      </c>
      <c r="I9" s="113">
        <v>55</v>
      </c>
      <c r="J9" s="114">
        <f t="shared" si="1"/>
        <v>275</v>
      </c>
      <c r="K9" s="115" t="s">
        <v>56</v>
      </c>
      <c r="L9" s="117" t="s">
        <v>56</v>
      </c>
      <c r="R9" s="88"/>
    </row>
    <row r="10" spans="1:18" ht="32.25" customHeight="1">
      <c r="A10" s="118">
        <f t="shared" si="0"/>
        <v>5</v>
      </c>
      <c r="B10" s="198" t="s">
        <v>155</v>
      </c>
      <c r="C10" s="199"/>
      <c r="D10" s="124" t="s">
        <v>156</v>
      </c>
      <c r="E10" s="124"/>
      <c r="F10" s="125"/>
      <c r="G10" s="116" t="s">
        <v>326</v>
      </c>
      <c r="H10" s="112">
        <v>6</v>
      </c>
      <c r="I10" s="113">
        <v>190</v>
      </c>
      <c r="J10" s="114">
        <f t="shared" si="1"/>
        <v>1140</v>
      </c>
      <c r="K10" s="115" t="s">
        <v>56</v>
      </c>
      <c r="L10" s="117" t="s">
        <v>56</v>
      </c>
      <c r="R10" s="88"/>
    </row>
    <row r="11" spans="1:18" ht="32.25" customHeight="1">
      <c r="A11" s="118">
        <f t="shared" si="0"/>
        <v>6</v>
      </c>
      <c r="B11" s="198" t="s">
        <v>157</v>
      </c>
      <c r="C11" s="199"/>
      <c r="D11" s="124" t="s">
        <v>158</v>
      </c>
      <c r="E11" s="124"/>
      <c r="F11" s="125"/>
      <c r="G11" s="116" t="s">
        <v>128</v>
      </c>
      <c r="H11" s="112">
        <v>600</v>
      </c>
      <c r="I11" s="113">
        <v>4</v>
      </c>
      <c r="J11" s="114">
        <f t="shared" si="1"/>
        <v>2400</v>
      </c>
      <c r="K11" s="115" t="s">
        <v>56</v>
      </c>
      <c r="L11" s="117" t="s">
        <v>56</v>
      </c>
      <c r="R11" s="88"/>
    </row>
    <row r="12" spans="1:18" ht="32.25" customHeight="1">
      <c r="A12" s="118">
        <f t="shared" si="0"/>
        <v>7</v>
      </c>
      <c r="B12" s="198" t="s">
        <v>159</v>
      </c>
      <c r="C12" s="199"/>
      <c r="D12" s="124" t="s">
        <v>160</v>
      </c>
      <c r="E12" s="124"/>
      <c r="F12" s="125"/>
      <c r="G12" s="116" t="s">
        <v>128</v>
      </c>
      <c r="H12" s="112">
        <v>36</v>
      </c>
      <c r="I12" s="113">
        <v>4.4000000000000004</v>
      </c>
      <c r="J12" s="114">
        <f t="shared" si="1"/>
        <v>158.4</v>
      </c>
      <c r="K12" s="115" t="s">
        <v>56</v>
      </c>
      <c r="L12" s="117" t="s">
        <v>56</v>
      </c>
      <c r="R12" s="88"/>
    </row>
    <row r="13" spans="1:18" ht="32.25" customHeight="1">
      <c r="A13" s="118">
        <f t="shared" si="0"/>
        <v>8</v>
      </c>
      <c r="B13" s="198" t="s">
        <v>159</v>
      </c>
      <c r="C13" s="199"/>
      <c r="D13" s="124" t="s">
        <v>161</v>
      </c>
      <c r="E13" s="124"/>
      <c r="F13" s="125"/>
      <c r="G13" s="116" t="s">
        <v>128</v>
      </c>
      <c r="H13" s="112">
        <v>12</v>
      </c>
      <c r="I13" s="113">
        <v>4.4000000000000004</v>
      </c>
      <c r="J13" s="114">
        <f t="shared" si="1"/>
        <v>52.800000000000004</v>
      </c>
      <c r="K13" s="115" t="s">
        <v>56</v>
      </c>
      <c r="L13" s="117" t="s">
        <v>56</v>
      </c>
      <c r="R13" s="88"/>
    </row>
    <row r="14" spans="1:18" ht="32.25" customHeight="1">
      <c r="A14" s="118">
        <f t="shared" si="0"/>
        <v>9</v>
      </c>
      <c r="B14" s="198" t="s">
        <v>162</v>
      </c>
      <c r="C14" s="199"/>
      <c r="D14" s="124" t="s">
        <v>163</v>
      </c>
      <c r="E14" s="124"/>
      <c r="F14" s="125"/>
      <c r="G14" s="116" t="s">
        <v>128</v>
      </c>
      <c r="H14" s="112">
        <v>30</v>
      </c>
      <c r="I14" s="113">
        <v>8</v>
      </c>
      <c r="J14" s="114">
        <f t="shared" si="1"/>
        <v>240</v>
      </c>
      <c r="K14" s="115" t="s">
        <v>56</v>
      </c>
      <c r="L14" s="117" t="s">
        <v>56</v>
      </c>
      <c r="R14" s="88"/>
    </row>
    <row r="15" spans="1:18" ht="32.25" customHeight="1">
      <c r="A15" s="118">
        <f t="shared" si="0"/>
        <v>10</v>
      </c>
      <c r="B15" s="198" t="s">
        <v>164</v>
      </c>
      <c r="C15" s="199"/>
      <c r="D15" s="124" t="s">
        <v>165</v>
      </c>
      <c r="E15" s="124"/>
      <c r="F15" s="125"/>
      <c r="G15" s="116" t="s">
        <v>128</v>
      </c>
      <c r="H15" s="112">
        <v>3</v>
      </c>
      <c r="I15" s="113">
        <v>870</v>
      </c>
      <c r="J15" s="114">
        <f t="shared" si="1"/>
        <v>2610</v>
      </c>
      <c r="K15" s="115" t="s">
        <v>56</v>
      </c>
      <c r="L15" s="117" t="s">
        <v>56</v>
      </c>
      <c r="R15" s="88"/>
    </row>
    <row r="16" spans="1:18" ht="32.25" customHeight="1">
      <c r="A16" s="118">
        <f t="shared" si="0"/>
        <v>11</v>
      </c>
      <c r="B16" s="198" t="s">
        <v>133</v>
      </c>
      <c r="C16" s="199"/>
      <c r="D16" s="124"/>
      <c r="E16" s="124"/>
      <c r="F16" s="125"/>
      <c r="G16" s="116" t="s">
        <v>128</v>
      </c>
      <c r="H16" s="112">
        <v>6</v>
      </c>
      <c r="I16" s="113">
        <v>32</v>
      </c>
      <c r="J16" s="114">
        <f t="shared" si="1"/>
        <v>192</v>
      </c>
      <c r="K16" s="115" t="s">
        <v>56</v>
      </c>
      <c r="L16" s="117" t="s">
        <v>56</v>
      </c>
      <c r="R16" s="88"/>
    </row>
    <row r="17" spans="1:18" ht="32.25" customHeight="1">
      <c r="A17" s="118">
        <f t="shared" si="0"/>
        <v>12</v>
      </c>
      <c r="B17" s="198" t="s">
        <v>166</v>
      </c>
      <c r="C17" s="199"/>
      <c r="D17" s="124" t="s">
        <v>167</v>
      </c>
      <c r="E17" s="124"/>
      <c r="F17" s="125"/>
      <c r="G17" s="116" t="s">
        <v>128</v>
      </c>
      <c r="H17" s="112">
        <v>2</v>
      </c>
      <c r="I17" s="113">
        <v>1320</v>
      </c>
      <c r="J17" s="114">
        <f t="shared" si="1"/>
        <v>2640</v>
      </c>
      <c r="K17" s="115" t="s">
        <v>56</v>
      </c>
      <c r="L17" s="117" t="s">
        <v>56</v>
      </c>
      <c r="R17" s="88"/>
    </row>
    <row r="18" spans="1:18" ht="32.25" customHeight="1">
      <c r="A18" s="118">
        <f t="shared" si="0"/>
        <v>13</v>
      </c>
      <c r="B18" s="198" t="s">
        <v>168</v>
      </c>
      <c r="C18" s="199"/>
      <c r="D18" s="124" t="s">
        <v>167</v>
      </c>
      <c r="E18" s="124"/>
      <c r="F18" s="125"/>
      <c r="G18" s="116" t="s">
        <v>128</v>
      </c>
      <c r="H18" s="112">
        <v>2</v>
      </c>
      <c r="I18" s="113">
        <v>680</v>
      </c>
      <c r="J18" s="114">
        <f t="shared" si="1"/>
        <v>1360</v>
      </c>
      <c r="K18" s="115" t="s">
        <v>56</v>
      </c>
      <c r="L18" s="117" t="s">
        <v>56</v>
      </c>
      <c r="R18" s="88"/>
    </row>
    <row r="19" spans="1:18" ht="32.25" customHeight="1">
      <c r="A19" s="118">
        <f t="shared" si="0"/>
        <v>14</v>
      </c>
      <c r="B19" s="198" t="s">
        <v>169</v>
      </c>
      <c r="C19" s="199"/>
      <c r="D19" s="124" t="s">
        <v>170</v>
      </c>
      <c r="E19" s="124"/>
      <c r="F19" s="125"/>
      <c r="G19" s="116" t="s">
        <v>128</v>
      </c>
      <c r="H19" s="112">
        <v>10</v>
      </c>
      <c r="I19" s="113">
        <v>22</v>
      </c>
      <c r="J19" s="114">
        <f t="shared" si="1"/>
        <v>220</v>
      </c>
      <c r="K19" s="115" t="s">
        <v>56</v>
      </c>
      <c r="L19" s="117" t="s">
        <v>56</v>
      </c>
      <c r="R19" s="88"/>
    </row>
    <row r="20" spans="1:18" ht="32.25" customHeight="1">
      <c r="A20" s="118">
        <f t="shared" si="0"/>
        <v>15</v>
      </c>
      <c r="B20" s="198" t="s">
        <v>171</v>
      </c>
      <c r="C20" s="199"/>
      <c r="D20" s="124" t="s">
        <v>172</v>
      </c>
      <c r="E20" s="124"/>
      <c r="F20" s="125"/>
      <c r="G20" s="116" t="s">
        <v>128</v>
      </c>
      <c r="H20" s="112">
        <v>4</v>
      </c>
      <c r="I20" s="113">
        <v>6.8</v>
      </c>
      <c r="J20" s="114">
        <f t="shared" si="1"/>
        <v>27.2</v>
      </c>
      <c r="K20" s="115" t="s">
        <v>56</v>
      </c>
      <c r="L20" s="117" t="s">
        <v>56</v>
      </c>
      <c r="R20" s="88"/>
    </row>
    <row r="21" spans="1:18" ht="32.25" customHeight="1">
      <c r="A21" s="118">
        <f t="shared" si="0"/>
        <v>16</v>
      </c>
      <c r="B21" s="198" t="s">
        <v>173</v>
      </c>
      <c r="C21" s="199"/>
      <c r="D21" s="124" t="s">
        <v>174</v>
      </c>
      <c r="E21" s="124"/>
      <c r="F21" s="125"/>
      <c r="G21" s="116" t="s">
        <v>128</v>
      </c>
      <c r="H21" s="112">
        <v>4</v>
      </c>
      <c r="I21" s="113">
        <v>6.8</v>
      </c>
      <c r="J21" s="114">
        <f t="shared" si="1"/>
        <v>27.2</v>
      </c>
      <c r="K21" s="115" t="s">
        <v>56</v>
      </c>
      <c r="L21" s="117" t="s">
        <v>56</v>
      </c>
      <c r="R21" s="88"/>
    </row>
    <row r="22" spans="1:18" ht="32.25" customHeight="1">
      <c r="A22" s="118">
        <f t="shared" si="0"/>
        <v>17</v>
      </c>
      <c r="B22" s="198" t="s">
        <v>175</v>
      </c>
      <c r="C22" s="199"/>
      <c r="D22" s="124" t="s">
        <v>176</v>
      </c>
      <c r="E22" s="124"/>
      <c r="F22" s="125"/>
      <c r="G22" s="116" t="s">
        <v>128</v>
      </c>
      <c r="H22" s="112">
        <v>300</v>
      </c>
      <c r="I22" s="113">
        <v>4</v>
      </c>
      <c r="J22" s="114">
        <f t="shared" si="1"/>
        <v>1200</v>
      </c>
      <c r="K22" s="115" t="s">
        <v>56</v>
      </c>
      <c r="L22" s="117" t="s">
        <v>56</v>
      </c>
      <c r="R22" s="88"/>
    </row>
    <row r="23" spans="1:18" ht="32.25" customHeight="1">
      <c r="A23" s="118">
        <f t="shared" si="0"/>
        <v>18</v>
      </c>
      <c r="B23" s="198" t="s">
        <v>177</v>
      </c>
      <c r="C23" s="199"/>
      <c r="D23" s="124" t="s">
        <v>178</v>
      </c>
      <c r="E23" s="124"/>
      <c r="F23" s="125"/>
      <c r="G23" s="116" t="s">
        <v>128</v>
      </c>
      <c r="H23" s="112">
        <v>50</v>
      </c>
      <c r="I23" s="113">
        <v>4.3</v>
      </c>
      <c r="J23" s="114">
        <f t="shared" si="1"/>
        <v>215</v>
      </c>
      <c r="K23" s="115" t="s">
        <v>56</v>
      </c>
      <c r="L23" s="117" t="s">
        <v>56</v>
      </c>
      <c r="R23" s="88"/>
    </row>
    <row r="24" spans="1:18" ht="32.25" customHeight="1">
      <c r="A24" s="118">
        <f t="shared" si="0"/>
        <v>19</v>
      </c>
      <c r="B24" s="198" t="s">
        <v>179</v>
      </c>
      <c r="C24" s="199"/>
      <c r="D24" s="124" t="s">
        <v>180</v>
      </c>
      <c r="E24" s="124"/>
      <c r="F24" s="125"/>
      <c r="G24" s="116" t="s">
        <v>128</v>
      </c>
      <c r="H24" s="112">
        <v>12</v>
      </c>
      <c r="I24" s="113">
        <v>4.3</v>
      </c>
      <c r="J24" s="114">
        <f t="shared" si="1"/>
        <v>51.599999999999994</v>
      </c>
      <c r="K24" s="115" t="s">
        <v>56</v>
      </c>
      <c r="L24" s="117" t="s">
        <v>56</v>
      </c>
      <c r="R24" s="88"/>
    </row>
    <row r="25" spans="1:18" ht="32.25" customHeight="1">
      <c r="A25" s="118">
        <f t="shared" si="0"/>
        <v>20</v>
      </c>
      <c r="B25" s="198" t="s">
        <v>134</v>
      </c>
      <c r="C25" s="199"/>
      <c r="D25" s="124"/>
      <c r="E25" s="124"/>
      <c r="F25" s="125"/>
      <c r="G25" s="116" t="s">
        <v>128</v>
      </c>
      <c r="H25" s="112">
        <v>50</v>
      </c>
      <c r="I25" s="113">
        <v>7.2</v>
      </c>
      <c r="J25" s="114">
        <f t="shared" si="1"/>
        <v>360</v>
      </c>
      <c r="K25" s="115" t="s">
        <v>88</v>
      </c>
      <c r="L25" s="117" t="s">
        <v>96</v>
      </c>
      <c r="R25" s="88"/>
    </row>
    <row r="26" spans="1:18" ht="32.25" customHeight="1">
      <c r="A26" s="118">
        <f t="shared" si="0"/>
        <v>21</v>
      </c>
      <c r="B26" s="198" t="s">
        <v>135</v>
      </c>
      <c r="C26" s="199"/>
      <c r="D26" s="124"/>
      <c r="E26" s="124"/>
      <c r="F26" s="125"/>
      <c r="G26" s="116" t="s">
        <v>128</v>
      </c>
      <c r="H26" s="112">
        <v>30</v>
      </c>
      <c r="I26" s="113">
        <v>9.5</v>
      </c>
      <c r="J26" s="114">
        <f t="shared" si="1"/>
        <v>285</v>
      </c>
      <c r="K26" s="115" t="s">
        <v>56</v>
      </c>
      <c r="L26" s="117" t="s">
        <v>56</v>
      </c>
      <c r="R26" s="88"/>
    </row>
    <row r="27" spans="1:18" ht="32.25" customHeight="1">
      <c r="A27" s="118">
        <f t="shared" si="0"/>
        <v>22</v>
      </c>
      <c r="B27" s="198" t="s">
        <v>181</v>
      </c>
      <c r="C27" s="199"/>
      <c r="D27" s="124" t="s">
        <v>182</v>
      </c>
      <c r="E27" s="124"/>
      <c r="F27" s="125"/>
      <c r="G27" s="116" t="s">
        <v>128</v>
      </c>
      <c r="H27" s="112">
        <v>2</v>
      </c>
      <c r="I27" s="113">
        <v>135</v>
      </c>
      <c r="J27" s="114">
        <f t="shared" si="1"/>
        <v>270</v>
      </c>
      <c r="K27" s="115" t="s">
        <v>56</v>
      </c>
      <c r="L27" s="117" t="s">
        <v>56</v>
      </c>
      <c r="R27" s="88"/>
    </row>
    <row r="28" spans="1:18" ht="32.25" customHeight="1">
      <c r="A28" s="118">
        <f t="shared" si="0"/>
        <v>23</v>
      </c>
      <c r="B28" s="198" t="s">
        <v>183</v>
      </c>
      <c r="C28" s="199"/>
      <c r="D28" s="124" t="s">
        <v>184</v>
      </c>
      <c r="E28" s="124"/>
      <c r="F28" s="125"/>
      <c r="G28" s="116" t="s">
        <v>128</v>
      </c>
      <c r="H28" s="112">
        <v>2</v>
      </c>
      <c r="I28" s="113">
        <v>52</v>
      </c>
      <c r="J28" s="114">
        <f t="shared" si="1"/>
        <v>104</v>
      </c>
      <c r="K28" s="115" t="s">
        <v>56</v>
      </c>
      <c r="L28" s="117" t="s">
        <v>56</v>
      </c>
      <c r="R28" s="88"/>
    </row>
    <row r="29" spans="1:18" ht="32.25" customHeight="1">
      <c r="A29" s="118">
        <f t="shared" si="0"/>
        <v>24</v>
      </c>
      <c r="B29" s="198" t="s">
        <v>185</v>
      </c>
      <c r="C29" s="199"/>
      <c r="D29" s="124" t="s">
        <v>186</v>
      </c>
      <c r="E29" s="124"/>
      <c r="F29" s="125"/>
      <c r="G29" s="116" t="s">
        <v>128</v>
      </c>
      <c r="H29" s="112">
        <v>300</v>
      </c>
      <c r="I29" s="113">
        <v>1.9</v>
      </c>
      <c r="J29" s="114">
        <f t="shared" si="1"/>
        <v>570</v>
      </c>
      <c r="K29" s="115" t="s">
        <v>56</v>
      </c>
      <c r="L29" s="117" t="s">
        <v>56</v>
      </c>
      <c r="R29" s="88"/>
    </row>
    <row r="30" spans="1:18" ht="32.25" customHeight="1">
      <c r="A30" s="118">
        <f t="shared" si="0"/>
        <v>25</v>
      </c>
      <c r="B30" s="198" t="s">
        <v>187</v>
      </c>
      <c r="C30" s="199"/>
      <c r="D30" s="124" t="s">
        <v>188</v>
      </c>
      <c r="E30" s="124"/>
      <c r="F30" s="125"/>
      <c r="G30" s="116" t="s">
        <v>128</v>
      </c>
      <c r="H30" s="112">
        <v>15</v>
      </c>
      <c r="I30" s="113">
        <v>9.5</v>
      </c>
      <c r="J30" s="114">
        <f t="shared" si="1"/>
        <v>142.5</v>
      </c>
      <c r="K30" s="115" t="s">
        <v>56</v>
      </c>
      <c r="L30" s="117" t="s">
        <v>56</v>
      </c>
      <c r="R30" s="88"/>
    </row>
    <row r="31" spans="1:18" ht="32.25" customHeight="1">
      <c r="A31" s="118">
        <f t="shared" si="0"/>
        <v>26</v>
      </c>
      <c r="B31" s="198" t="s">
        <v>171</v>
      </c>
      <c r="C31" s="199"/>
      <c r="D31" s="124" t="s">
        <v>189</v>
      </c>
      <c r="E31" s="124"/>
      <c r="F31" s="125"/>
      <c r="G31" s="116" t="s">
        <v>128</v>
      </c>
      <c r="H31" s="112">
        <v>4</v>
      </c>
      <c r="I31" s="113">
        <v>9.6</v>
      </c>
      <c r="J31" s="114">
        <f t="shared" si="1"/>
        <v>38.4</v>
      </c>
      <c r="K31" s="115" t="s">
        <v>56</v>
      </c>
      <c r="L31" s="117" t="s">
        <v>56</v>
      </c>
      <c r="R31" s="88"/>
    </row>
    <row r="32" spans="1:18" ht="32.25" customHeight="1">
      <c r="A32" s="118">
        <f t="shared" si="0"/>
        <v>27</v>
      </c>
      <c r="B32" s="198" t="s">
        <v>183</v>
      </c>
      <c r="C32" s="199"/>
      <c r="D32" s="124" t="s">
        <v>190</v>
      </c>
      <c r="E32" s="124"/>
      <c r="F32" s="125"/>
      <c r="G32" s="116" t="s">
        <v>128</v>
      </c>
      <c r="H32" s="112">
        <v>4</v>
      </c>
      <c r="I32" s="113">
        <v>98</v>
      </c>
      <c r="J32" s="114">
        <f t="shared" si="1"/>
        <v>392</v>
      </c>
      <c r="K32" s="115" t="s">
        <v>56</v>
      </c>
      <c r="L32" s="117" t="s">
        <v>56</v>
      </c>
      <c r="R32" s="88"/>
    </row>
    <row r="33" spans="1:18" ht="32.25" customHeight="1">
      <c r="A33" s="118">
        <f t="shared" si="0"/>
        <v>28</v>
      </c>
      <c r="B33" s="198" t="s">
        <v>191</v>
      </c>
      <c r="C33" s="199"/>
      <c r="D33" s="124" t="s">
        <v>192</v>
      </c>
      <c r="E33" s="124"/>
      <c r="F33" s="125"/>
      <c r="G33" s="116" t="s">
        <v>324</v>
      </c>
      <c r="H33" s="112">
        <v>9050</v>
      </c>
      <c r="I33" s="113">
        <v>1.3</v>
      </c>
      <c r="J33" s="114">
        <f t="shared" si="1"/>
        <v>11765</v>
      </c>
      <c r="K33" s="115" t="s">
        <v>56</v>
      </c>
      <c r="L33" s="117" t="s">
        <v>56</v>
      </c>
      <c r="R33" s="88"/>
    </row>
    <row r="34" spans="1:18" ht="32.25" customHeight="1">
      <c r="A34" s="118">
        <f t="shared" si="0"/>
        <v>29</v>
      </c>
      <c r="B34" s="198" t="s">
        <v>193</v>
      </c>
      <c r="C34" s="199"/>
      <c r="D34" s="124" t="s">
        <v>194</v>
      </c>
      <c r="E34" s="124"/>
      <c r="F34" s="125"/>
      <c r="G34" s="116" t="s">
        <v>128</v>
      </c>
      <c r="H34" s="112">
        <v>3800</v>
      </c>
      <c r="I34" s="113">
        <v>3</v>
      </c>
      <c r="J34" s="114">
        <f t="shared" si="1"/>
        <v>11400</v>
      </c>
      <c r="K34" s="115" t="s">
        <v>56</v>
      </c>
      <c r="L34" s="117" t="s">
        <v>56</v>
      </c>
      <c r="R34" s="88"/>
    </row>
    <row r="35" spans="1:18" ht="32.25" customHeight="1">
      <c r="A35" s="118">
        <f t="shared" si="0"/>
        <v>30</v>
      </c>
      <c r="B35" s="198" t="s">
        <v>157</v>
      </c>
      <c r="C35" s="199"/>
      <c r="D35" s="124" t="s">
        <v>195</v>
      </c>
      <c r="E35" s="124"/>
      <c r="F35" s="125"/>
      <c r="G35" s="116" t="s">
        <v>128</v>
      </c>
      <c r="H35" s="112">
        <v>1250</v>
      </c>
      <c r="I35" s="113">
        <v>7.8</v>
      </c>
      <c r="J35" s="114">
        <f t="shared" si="1"/>
        <v>9750</v>
      </c>
      <c r="K35" s="115" t="s">
        <v>56</v>
      </c>
      <c r="L35" s="117" t="s">
        <v>56</v>
      </c>
      <c r="R35" s="88"/>
    </row>
    <row r="36" spans="1:18" ht="32.25" customHeight="1">
      <c r="A36" s="118">
        <f t="shared" si="0"/>
        <v>31</v>
      </c>
      <c r="B36" s="198" t="s">
        <v>196</v>
      </c>
      <c r="C36" s="199"/>
      <c r="D36" s="124" t="s">
        <v>197</v>
      </c>
      <c r="E36" s="124"/>
      <c r="F36" s="125"/>
      <c r="G36" s="116" t="s">
        <v>128</v>
      </c>
      <c r="H36" s="112">
        <v>1550</v>
      </c>
      <c r="I36" s="113">
        <v>17.5</v>
      </c>
      <c r="J36" s="114">
        <f t="shared" si="1"/>
        <v>27125</v>
      </c>
      <c r="K36" s="115" t="s">
        <v>56</v>
      </c>
      <c r="L36" s="117" t="s">
        <v>56</v>
      </c>
      <c r="R36" s="88"/>
    </row>
    <row r="37" spans="1:18" ht="32.25" customHeight="1">
      <c r="A37" s="118">
        <f t="shared" si="0"/>
        <v>32</v>
      </c>
      <c r="B37" s="198" t="s">
        <v>198</v>
      </c>
      <c r="C37" s="199"/>
      <c r="D37" s="124" t="s">
        <v>199</v>
      </c>
      <c r="E37" s="124"/>
      <c r="F37" s="125"/>
      <c r="G37" s="116" t="s">
        <v>128</v>
      </c>
      <c r="H37" s="112">
        <v>624</v>
      </c>
      <c r="I37" s="113">
        <v>12.8</v>
      </c>
      <c r="J37" s="114">
        <f t="shared" si="1"/>
        <v>7987.2000000000007</v>
      </c>
      <c r="K37" s="115" t="s">
        <v>56</v>
      </c>
      <c r="L37" s="117" t="s">
        <v>56</v>
      </c>
      <c r="R37" s="88"/>
    </row>
    <row r="38" spans="1:18" ht="32.25" customHeight="1">
      <c r="A38" s="118">
        <f t="shared" si="0"/>
        <v>33</v>
      </c>
      <c r="B38" s="198" t="s">
        <v>200</v>
      </c>
      <c r="C38" s="199"/>
      <c r="D38" s="124" t="s">
        <v>201</v>
      </c>
      <c r="E38" s="124"/>
      <c r="F38" s="125"/>
      <c r="G38" s="116" t="s">
        <v>128</v>
      </c>
      <c r="H38" s="112">
        <v>120</v>
      </c>
      <c r="I38" s="113">
        <v>32</v>
      </c>
      <c r="J38" s="114">
        <f t="shared" si="1"/>
        <v>3840</v>
      </c>
      <c r="K38" s="115" t="s">
        <v>56</v>
      </c>
      <c r="L38" s="117" t="s">
        <v>56</v>
      </c>
      <c r="R38" s="88"/>
    </row>
    <row r="39" spans="1:18" ht="32.25" customHeight="1">
      <c r="A39" s="118">
        <f t="shared" si="0"/>
        <v>34</v>
      </c>
      <c r="B39" s="198" t="s">
        <v>136</v>
      </c>
      <c r="C39" s="199"/>
      <c r="D39" s="124"/>
      <c r="E39" s="124"/>
      <c r="F39" s="125"/>
      <c r="G39" s="116" t="s">
        <v>128</v>
      </c>
      <c r="H39" s="112">
        <v>3100</v>
      </c>
      <c r="I39" s="113">
        <v>0.55000000000000004</v>
      </c>
      <c r="J39" s="114">
        <f t="shared" si="1"/>
        <v>1705.0000000000002</v>
      </c>
      <c r="K39" s="115" t="s">
        <v>56</v>
      </c>
      <c r="L39" s="117" t="s">
        <v>56</v>
      </c>
      <c r="R39" s="88"/>
    </row>
    <row r="40" spans="1:18" ht="32.25" customHeight="1">
      <c r="A40" s="118">
        <f t="shared" si="0"/>
        <v>35</v>
      </c>
      <c r="B40" s="198" t="s">
        <v>202</v>
      </c>
      <c r="C40" s="199"/>
      <c r="D40" s="124" t="s">
        <v>203</v>
      </c>
      <c r="E40" s="124"/>
      <c r="F40" s="125"/>
      <c r="G40" s="116" t="s">
        <v>128</v>
      </c>
      <c r="H40" s="112">
        <v>210</v>
      </c>
      <c r="I40" s="113">
        <v>0.85</v>
      </c>
      <c r="J40" s="114">
        <f t="shared" si="1"/>
        <v>178.5</v>
      </c>
      <c r="K40" s="115" t="s">
        <v>56</v>
      </c>
      <c r="L40" s="117" t="s">
        <v>56</v>
      </c>
      <c r="R40" s="88"/>
    </row>
    <row r="41" spans="1:18" ht="32.25" customHeight="1">
      <c r="A41" s="118">
        <f t="shared" si="0"/>
        <v>36</v>
      </c>
      <c r="B41" s="198" t="s">
        <v>204</v>
      </c>
      <c r="C41" s="199"/>
      <c r="D41" s="124" t="s">
        <v>205</v>
      </c>
      <c r="E41" s="124"/>
      <c r="F41" s="125"/>
      <c r="G41" s="116" t="s">
        <v>128</v>
      </c>
      <c r="H41" s="112">
        <v>260</v>
      </c>
      <c r="I41" s="113">
        <v>0.85</v>
      </c>
      <c r="J41" s="114">
        <f t="shared" si="1"/>
        <v>221</v>
      </c>
      <c r="K41" s="115" t="s">
        <v>56</v>
      </c>
      <c r="L41" s="117" t="s">
        <v>56</v>
      </c>
      <c r="R41" s="88"/>
    </row>
    <row r="42" spans="1:18" ht="32.25" customHeight="1">
      <c r="A42" s="118">
        <f t="shared" si="0"/>
        <v>37</v>
      </c>
      <c r="B42" s="198" t="s">
        <v>206</v>
      </c>
      <c r="C42" s="199"/>
      <c r="D42" s="124" t="s">
        <v>207</v>
      </c>
      <c r="E42" s="124"/>
      <c r="F42" s="125"/>
      <c r="G42" s="116" t="s">
        <v>128</v>
      </c>
      <c r="H42" s="112">
        <v>50</v>
      </c>
      <c r="I42" s="113">
        <v>13</v>
      </c>
      <c r="J42" s="114">
        <f t="shared" si="1"/>
        <v>650</v>
      </c>
      <c r="K42" s="115" t="s">
        <v>56</v>
      </c>
      <c r="L42" s="117" t="s">
        <v>56</v>
      </c>
      <c r="R42" s="88"/>
    </row>
    <row r="43" spans="1:18" ht="32.25" customHeight="1">
      <c r="A43" s="118">
        <f t="shared" si="0"/>
        <v>38</v>
      </c>
      <c r="B43" s="198" t="s">
        <v>206</v>
      </c>
      <c r="C43" s="199"/>
      <c r="D43" s="124" t="s">
        <v>208</v>
      </c>
      <c r="E43" s="124"/>
      <c r="F43" s="125"/>
      <c r="G43" s="116" t="s">
        <v>128</v>
      </c>
      <c r="H43" s="112">
        <v>150</v>
      </c>
      <c r="I43" s="113">
        <v>15</v>
      </c>
      <c r="J43" s="114">
        <f t="shared" si="1"/>
        <v>2250</v>
      </c>
      <c r="K43" s="115" t="s">
        <v>56</v>
      </c>
      <c r="L43" s="117" t="s">
        <v>56</v>
      </c>
      <c r="R43" s="88"/>
    </row>
    <row r="44" spans="1:18" ht="32.25" customHeight="1">
      <c r="A44" s="118">
        <f t="shared" si="0"/>
        <v>39</v>
      </c>
      <c r="B44" s="198" t="s">
        <v>209</v>
      </c>
      <c r="C44" s="199"/>
      <c r="D44" s="124" t="s">
        <v>210</v>
      </c>
      <c r="E44" s="124"/>
      <c r="F44" s="125"/>
      <c r="G44" s="116" t="s">
        <v>128</v>
      </c>
      <c r="H44" s="112">
        <v>350</v>
      </c>
      <c r="I44" s="113">
        <v>11.8</v>
      </c>
      <c r="J44" s="114">
        <f t="shared" si="1"/>
        <v>4130</v>
      </c>
      <c r="K44" s="115" t="s">
        <v>56</v>
      </c>
      <c r="L44" s="117" t="s">
        <v>56</v>
      </c>
      <c r="R44" s="88"/>
    </row>
    <row r="45" spans="1:18" ht="32.25" customHeight="1">
      <c r="A45" s="118">
        <f t="shared" si="0"/>
        <v>40</v>
      </c>
      <c r="B45" s="198" t="s">
        <v>211</v>
      </c>
      <c r="C45" s="199"/>
      <c r="D45" s="124" t="s">
        <v>212</v>
      </c>
      <c r="E45" s="124"/>
      <c r="F45" s="125"/>
      <c r="G45" s="116" t="s">
        <v>128</v>
      </c>
      <c r="H45" s="112">
        <v>100</v>
      </c>
      <c r="I45" s="113">
        <v>5.5</v>
      </c>
      <c r="J45" s="114">
        <f t="shared" si="1"/>
        <v>550</v>
      </c>
      <c r="K45" s="115" t="s">
        <v>56</v>
      </c>
      <c r="L45" s="117" t="s">
        <v>56</v>
      </c>
      <c r="R45" s="88"/>
    </row>
    <row r="46" spans="1:18" ht="32.25" customHeight="1">
      <c r="A46" s="118">
        <f t="shared" si="0"/>
        <v>41</v>
      </c>
      <c r="B46" s="198" t="s">
        <v>137</v>
      </c>
      <c r="C46" s="199"/>
      <c r="D46" s="124"/>
      <c r="E46" s="124"/>
      <c r="F46" s="125"/>
      <c r="G46" s="116" t="s">
        <v>128</v>
      </c>
      <c r="H46" s="112">
        <v>50</v>
      </c>
      <c r="I46" s="113">
        <v>35</v>
      </c>
      <c r="J46" s="114">
        <f t="shared" si="1"/>
        <v>1750</v>
      </c>
      <c r="K46" s="115" t="s">
        <v>56</v>
      </c>
      <c r="L46" s="117" t="s">
        <v>56</v>
      </c>
      <c r="R46" s="88"/>
    </row>
    <row r="47" spans="1:18" ht="32.25" customHeight="1">
      <c r="A47" s="118">
        <f t="shared" si="0"/>
        <v>42</v>
      </c>
      <c r="B47" s="198" t="s">
        <v>213</v>
      </c>
      <c r="C47" s="199"/>
      <c r="D47" s="124" t="s">
        <v>214</v>
      </c>
      <c r="E47" s="124"/>
      <c r="F47" s="125"/>
      <c r="G47" s="116" t="s">
        <v>128</v>
      </c>
      <c r="H47" s="112">
        <v>1000</v>
      </c>
      <c r="I47" s="113">
        <v>21</v>
      </c>
      <c r="J47" s="114">
        <f t="shared" si="1"/>
        <v>21000</v>
      </c>
      <c r="K47" s="115" t="s">
        <v>88</v>
      </c>
      <c r="L47" s="117" t="s">
        <v>96</v>
      </c>
      <c r="R47" s="88"/>
    </row>
    <row r="48" spans="1:18" ht="32.25" customHeight="1">
      <c r="A48" s="118">
        <f t="shared" si="0"/>
        <v>43</v>
      </c>
      <c r="B48" s="198" t="s">
        <v>215</v>
      </c>
      <c r="C48" s="199"/>
      <c r="D48" s="124" t="s">
        <v>216</v>
      </c>
      <c r="E48" s="124"/>
      <c r="F48" s="125"/>
      <c r="G48" s="116" t="s">
        <v>128</v>
      </c>
      <c r="H48" s="112">
        <v>250</v>
      </c>
      <c r="I48" s="113">
        <v>28</v>
      </c>
      <c r="J48" s="114">
        <f t="shared" si="1"/>
        <v>7000</v>
      </c>
      <c r="K48" s="115" t="s">
        <v>56</v>
      </c>
      <c r="L48" s="117" t="s">
        <v>56</v>
      </c>
      <c r="R48" s="88"/>
    </row>
    <row r="49" spans="1:18" ht="32.25" customHeight="1">
      <c r="A49" s="118">
        <f t="shared" si="0"/>
        <v>44</v>
      </c>
      <c r="B49" s="198" t="s">
        <v>217</v>
      </c>
      <c r="C49" s="199"/>
      <c r="D49" s="124" t="s">
        <v>218</v>
      </c>
      <c r="E49" s="124"/>
      <c r="F49" s="125"/>
      <c r="G49" s="116" t="s">
        <v>128</v>
      </c>
      <c r="H49" s="112">
        <v>2</v>
      </c>
      <c r="I49" s="113">
        <v>176</v>
      </c>
      <c r="J49" s="114">
        <f t="shared" si="1"/>
        <v>352</v>
      </c>
      <c r="K49" s="115" t="s">
        <v>56</v>
      </c>
      <c r="L49" s="117" t="s">
        <v>56</v>
      </c>
      <c r="R49" s="88"/>
    </row>
    <row r="50" spans="1:18" ht="32.25" customHeight="1">
      <c r="A50" s="118">
        <f t="shared" si="0"/>
        <v>45</v>
      </c>
      <c r="B50" s="198" t="s">
        <v>219</v>
      </c>
      <c r="C50" s="199"/>
      <c r="D50" s="124" t="s">
        <v>220</v>
      </c>
      <c r="E50" s="124"/>
      <c r="F50" s="125"/>
      <c r="G50" s="116" t="s">
        <v>128</v>
      </c>
      <c r="H50" s="112">
        <v>200</v>
      </c>
      <c r="I50" s="113">
        <v>3.3</v>
      </c>
      <c r="J50" s="114">
        <f t="shared" si="1"/>
        <v>660</v>
      </c>
      <c r="K50" s="115" t="s">
        <v>56</v>
      </c>
      <c r="L50" s="117" t="s">
        <v>56</v>
      </c>
      <c r="R50" s="88"/>
    </row>
    <row r="51" spans="1:18" ht="32.25" customHeight="1">
      <c r="A51" s="118">
        <f t="shared" si="0"/>
        <v>46</v>
      </c>
      <c r="B51" s="198" t="s">
        <v>221</v>
      </c>
      <c r="C51" s="199"/>
      <c r="D51" s="124" t="s">
        <v>222</v>
      </c>
      <c r="E51" s="124"/>
      <c r="F51" s="125"/>
      <c r="G51" s="116" t="s">
        <v>128</v>
      </c>
      <c r="H51" s="112">
        <v>768</v>
      </c>
      <c r="I51" s="113">
        <v>1.65</v>
      </c>
      <c r="J51" s="114">
        <f t="shared" si="1"/>
        <v>1267.1999999999998</v>
      </c>
      <c r="K51" s="115" t="s">
        <v>56</v>
      </c>
      <c r="L51" s="117" t="s">
        <v>56</v>
      </c>
      <c r="R51" s="88"/>
    </row>
    <row r="52" spans="1:18" ht="32.25" customHeight="1">
      <c r="A52" s="118">
        <f t="shared" si="0"/>
        <v>47</v>
      </c>
      <c r="B52" s="198" t="s">
        <v>223</v>
      </c>
      <c r="C52" s="199"/>
      <c r="D52" s="124" t="s">
        <v>224</v>
      </c>
      <c r="E52" s="124"/>
      <c r="F52" s="125"/>
      <c r="G52" s="116" t="s">
        <v>128</v>
      </c>
      <c r="H52" s="112">
        <v>500</v>
      </c>
      <c r="I52" s="113">
        <v>1.9</v>
      </c>
      <c r="J52" s="114">
        <f t="shared" si="1"/>
        <v>950</v>
      </c>
      <c r="K52" s="115" t="s">
        <v>56</v>
      </c>
      <c r="L52" s="117" t="s">
        <v>56</v>
      </c>
      <c r="R52" s="88"/>
    </row>
    <row r="53" spans="1:18" ht="32.25" customHeight="1">
      <c r="A53" s="118">
        <f t="shared" si="0"/>
        <v>48</v>
      </c>
      <c r="B53" s="198" t="s">
        <v>225</v>
      </c>
      <c r="C53" s="199"/>
      <c r="D53" s="124" t="s">
        <v>226</v>
      </c>
      <c r="E53" s="124"/>
      <c r="F53" s="125"/>
      <c r="G53" s="116" t="s">
        <v>128</v>
      </c>
      <c r="H53" s="112">
        <v>50</v>
      </c>
      <c r="I53" s="113">
        <v>1.25</v>
      </c>
      <c r="J53" s="114">
        <f t="shared" si="1"/>
        <v>62.5</v>
      </c>
      <c r="K53" s="115" t="s">
        <v>56</v>
      </c>
      <c r="L53" s="117" t="s">
        <v>56</v>
      </c>
      <c r="R53" s="88"/>
    </row>
    <row r="54" spans="1:18" ht="32.25" customHeight="1">
      <c r="A54" s="118">
        <f t="shared" si="0"/>
        <v>49</v>
      </c>
      <c r="B54" s="198" t="s">
        <v>227</v>
      </c>
      <c r="C54" s="199"/>
      <c r="D54" s="124" t="s">
        <v>228</v>
      </c>
      <c r="E54" s="124"/>
      <c r="F54" s="125"/>
      <c r="G54" s="116" t="s">
        <v>128</v>
      </c>
      <c r="H54" s="112">
        <v>10</v>
      </c>
      <c r="I54" s="113">
        <v>3.7</v>
      </c>
      <c r="J54" s="114">
        <f t="shared" si="1"/>
        <v>37</v>
      </c>
      <c r="K54" s="115" t="s">
        <v>56</v>
      </c>
      <c r="L54" s="117" t="s">
        <v>56</v>
      </c>
      <c r="R54" s="88"/>
    </row>
    <row r="55" spans="1:18" ht="32.25" customHeight="1">
      <c r="A55" s="118">
        <f t="shared" si="0"/>
        <v>50</v>
      </c>
      <c r="B55" s="198" t="s">
        <v>219</v>
      </c>
      <c r="C55" s="199"/>
      <c r="D55" s="124" t="s">
        <v>229</v>
      </c>
      <c r="E55" s="124"/>
      <c r="F55" s="125"/>
      <c r="G55" s="116" t="s">
        <v>128</v>
      </c>
      <c r="H55" s="112">
        <v>50</v>
      </c>
      <c r="I55" s="113">
        <v>2.15</v>
      </c>
      <c r="J55" s="114">
        <f t="shared" si="1"/>
        <v>107.5</v>
      </c>
      <c r="K55" s="115" t="s">
        <v>56</v>
      </c>
      <c r="L55" s="117" t="s">
        <v>56</v>
      </c>
      <c r="R55" s="88"/>
    </row>
    <row r="56" spans="1:18" ht="32.25" customHeight="1">
      <c r="A56" s="118">
        <f t="shared" si="0"/>
        <v>51</v>
      </c>
      <c r="B56" s="198" t="s">
        <v>230</v>
      </c>
      <c r="C56" s="199"/>
      <c r="D56" s="124" t="s">
        <v>146</v>
      </c>
      <c r="E56" s="124"/>
      <c r="F56" s="125"/>
      <c r="G56" s="116" t="s">
        <v>128</v>
      </c>
      <c r="H56" s="112">
        <v>5</v>
      </c>
      <c r="I56" s="113">
        <v>16</v>
      </c>
      <c r="J56" s="114">
        <f t="shared" si="1"/>
        <v>80</v>
      </c>
      <c r="K56" s="115" t="s">
        <v>56</v>
      </c>
      <c r="L56" s="117" t="s">
        <v>56</v>
      </c>
      <c r="R56" s="88"/>
    </row>
    <row r="57" spans="1:18" ht="32.25" customHeight="1">
      <c r="A57" s="118">
        <f t="shared" si="0"/>
        <v>52</v>
      </c>
      <c r="B57" s="198" t="s">
        <v>231</v>
      </c>
      <c r="C57" s="199"/>
      <c r="D57" s="124" t="s">
        <v>232</v>
      </c>
      <c r="E57" s="124"/>
      <c r="F57" s="125"/>
      <c r="G57" s="116" t="s">
        <v>128</v>
      </c>
      <c r="H57" s="112">
        <v>5</v>
      </c>
      <c r="I57" s="113">
        <v>28.5</v>
      </c>
      <c r="J57" s="114">
        <f t="shared" si="1"/>
        <v>142.5</v>
      </c>
      <c r="K57" s="115" t="s">
        <v>56</v>
      </c>
      <c r="L57" s="117" t="s">
        <v>56</v>
      </c>
      <c r="R57" s="88"/>
    </row>
    <row r="58" spans="1:18" ht="32.25" customHeight="1">
      <c r="A58" s="118">
        <f t="shared" si="0"/>
        <v>53</v>
      </c>
      <c r="B58" s="198" t="s">
        <v>138</v>
      </c>
      <c r="C58" s="199"/>
      <c r="D58" s="124"/>
      <c r="E58" s="124"/>
      <c r="F58" s="125"/>
      <c r="G58" s="116" t="s">
        <v>128</v>
      </c>
      <c r="H58" s="112">
        <v>10</v>
      </c>
      <c r="I58" s="113">
        <v>18</v>
      </c>
      <c r="J58" s="114">
        <f t="shared" si="1"/>
        <v>180</v>
      </c>
      <c r="K58" s="115" t="s">
        <v>56</v>
      </c>
      <c r="L58" s="117" t="s">
        <v>56</v>
      </c>
      <c r="R58" s="88"/>
    </row>
    <row r="59" spans="1:18" ht="32.25" customHeight="1">
      <c r="A59" s="118">
        <f t="shared" si="0"/>
        <v>54</v>
      </c>
      <c r="B59" s="198" t="s">
        <v>233</v>
      </c>
      <c r="C59" s="199"/>
      <c r="D59" s="124" t="s">
        <v>234</v>
      </c>
      <c r="E59" s="124"/>
      <c r="F59" s="125"/>
      <c r="G59" s="116" t="s">
        <v>324</v>
      </c>
      <c r="H59" s="112">
        <v>120</v>
      </c>
      <c r="I59" s="113">
        <v>4</v>
      </c>
      <c r="J59" s="114">
        <f t="shared" si="1"/>
        <v>480</v>
      </c>
      <c r="K59" s="115" t="s">
        <v>56</v>
      </c>
      <c r="L59" s="117" t="s">
        <v>56</v>
      </c>
      <c r="R59" s="88"/>
    </row>
    <row r="60" spans="1:18" ht="32.25" customHeight="1">
      <c r="A60" s="118">
        <f t="shared" si="0"/>
        <v>55</v>
      </c>
      <c r="B60" s="198" t="s">
        <v>235</v>
      </c>
      <c r="C60" s="199"/>
      <c r="D60" s="124" t="s">
        <v>236</v>
      </c>
      <c r="E60" s="124"/>
      <c r="F60" s="125"/>
      <c r="G60" s="116" t="s">
        <v>128</v>
      </c>
      <c r="H60" s="112">
        <v>24</v>
      </c>
      <c r="I60" s="113">
        <v>3.9</v>
      </c>
      <c r="J60" s="114">
        <f t="shared" si="1"/>
        <v>93.6</v>
      </c>
      <c r="K60" s="115" t="s">
        <v>56</v>
      </c>
      <c r="L60" s="117" t="s">
        <v>56</v>
      </c>
      <c r="R60" s="88"/>
    </row>
    <row r="61" spans="1:18" ht="32.25" customHeight="1">
      <c r="A61" s="118">
        <f t="shared" si="0"/>
        <v>56</v>
      </c>
      <c r="B61" s="198" t="s">
        <v>237</v>
      </c>
      <c r="C61" s="199"/>
      <c r="D61" s="124" t="s">
        <v>238</v>
      </c>
      <c r="E61" s="124"/>
      <c r="F61" s="125"/>
      <c r="G61" s="116" t="s">
        <v>128</v>
      </c>
      <c r="H61" s="112">
        <v>12</v>
      </c>
      <c r="I61" s="113">
        <v>46</v>
      </c>
      <c r="J61" s="114">
        <f t="shared" si="1"/>
        <v>552</v>
      </c>
      <c r="K61" s="115" t="s">
        <v>56</v>
      </c>
      <c r="L61" s="117" t="s">
        <v>56</v>
      </c>
      <c r="R61" s="88"/>
    </row>
    <row r="62" spans="1:18" ht="32.25" customHeight="1">
      <c r="A62" s="118">
        <f t="shared" si="0"/>
        <v>57</v>
      </c>
      <c r="B62" s="198" t="s">
        <v>239</v>
      </c>
      <c r="C62" s="199"/>
      <c r="D62" s="124" t="s">
        <v>240</v>
      </c>
      <c r="E62" s="124"/>
      <c r="F62" s="125"/>
      <c r="G62" s="116" t="s">
        <v>128</v>
      </c>
      <c r="H62" s="112">
        <v>300</v>
      </c>
      <c r="I62" s="113">
        <v>2.2999999999999998</v>
      </c>
      <c r="J62" s="114">
        <f t="shared" si="1"/>
        <v>690</v>
      </c>
      <c r="K62" s="115" t="s">
        <v>56</v>
      </c>
      <c r="L62" s="117" t="s">
        <v>56</v>
      </c>
      <c r="R62" s="88"/>
    </row>
    <row r="63" spans="1:18" ht="32.25" customHeight="1">
      <c r="A63" s="118">
        <f t="shared" si="0"/>
        <v>58</v>
      </c>
      <c r="B63" s="198" t="s">
        <v>223</v>
      </c>
      <c r="C63" s="199"/>
      <c r="D63" s="124" t="s">
        <v>241</v>
      </c>
      <c r="E63" s="124"/>
      <c r="F63" s="125"/>
      <c r="G63" s="116" t="s">
        <v>128</v>
      </c>
      <c r="H63" s="112">
        <v>100</v>
      </c>
      <c r="I63" s="113">
        <v>1.9</v>
      </c>
      <c r="J63" s="114">
        <f t="shared" si="1"/>
        <v>190</v>
      </c>
      <c r="K63" s="115" t="s">
        <v>56</v>
      </c>
      <c r="L63" s="117" t="s">
        <v>56</v>
      </c>
      <c r="R63" s="88"/>
    </row>
    <row r="64" spans="1:18" ht="32.25" customHeight="1">
      <c r="A64" s="118">
        <f t="shared" si="0"/>
        <v>59</v>
      </c>
      <c r="B64" s="198" t="s">
        <v>242</v>
      </c>
      <c r="C64" s="199"/>
      <c r="D64" s="124" t="s">
        <v>243</v>
      </c>
      <c r="E64" s="124"/>
      <c r="F64" s="125"/>
      <c r="G64" s="116" t="s">
        <v>128</v>
      </c>
      <c r="H64" s="112">
        <v>30</v>
      </c>
      <c r="I64" s="113">
        <v>45</v>
      </c>
      <c r="J64" s="114">
        <f t="shared" si="1"/>
        <v>1350</v>
      </c>
      <c r="K64" s="115" t="s">
        <v>56</v>
      </c>
      <c r="L64" s="117" t="s">
        <v>56</v>
      </c>
      <c r="R64" s="88"/>
    </row>
    <row r="65" spans="1:18" ht="32.25" customHeight="1">
      <c r="A65" s="118">
        <f t="shared" si="0"/>
        <v>60</v>
      </c>
      <c r="B65" s="198" t="s">
        <v>244</v>
      </c>
      <c r="C65" s="199"/>
      <c r="D65" s="124" t="s">
        <v>245</v>
      </c>
      <c r="E65" s="124"/>
      <c r="F65" s="125"/>
      <c r="G65" s="116" t="s">
        <v>128</v>
      </c>
      <c r="H65" s="112">
        <v>80</v>
      </c>
      <c r="I65" s="113">
        <v>46</v>
      </c>
      <c r="J65" s="114">
        <f t="shared" si="1"/>
        <v>3680</v>
      </c>
      <c r="K65" s="115" t="s">
        <v>56</v>
      </c>
      <c r="L65" s="117" t="s">
        <v>56</v>
      </c>
      <c r="R65" s="88"/>
    </row>
    <row r="66" spans="1:18" ht="32.25" customHeight="1">
      <c r="A66" s="118">
        <f t="shared" si="0"/>
        <v>61</v>
      </c>
      <c r="B66" s="198" t="s">
        <v>246</v>
      </c>
      <c r="C66" s="199"/>
      <c r="D66" s="124" t="s">
        <v>247</v>
      </c>
      <c r="E66" s="124"/>
      <c r="F66" s="125"/>
      <c r="G66" s="116" t="s">
        <v>128</v>
      </c>
      <c r="H66" s="112">
        <v>75</v>
      </c>
      <c r="I66" s="113">
        <v>26</v>
      </c>
      <c r="J66" s="114">
        <f t="shared" si="1"/>
        <v>1950</v>
      </c>
      <c r="K66" s="115" t="s">
        <v>56</v>
      </c>
      <c r="L66" s="117" t="s">
        <v>56</v>
      </c>
      <c r="R66" s="88"/>
    </row>
    <row r="67" spans="1:18" ht="32.25" customHeight="1">
      <c r="A67" s="118">
        <f t="shared" si="0"/>
        <v>62</v>
      </c>
      <c r="B67" s="198" t="s">
        <v>248</v>
      </c>
      <c r="C67" s="199"/>
      <c r="D67" s="124" t="s">
        <v>249</v>
      </c>
      <c r="E67" s="124"/>
      <c r="F67" s="125"/>
      <c r="G67" s="116" t="s">
        <v>128</v>
      </c>
      <c r="H67" s="112">
        <v>100</v>
      </c>
      <c r="I67" s="113">
        <v>4.5999999999999996</v>
      </c>
      <c r="J67" s="114">
        <f t="shared" si="1"/>
        <v>459.99999999999994</v>
      </c>
      <c r="K67" s="115" t="s">
        <v>56</v>
      </c>
      <c r="L67" s="117" t="s">
        <v>56</v>
      </c>
      <c r="R67" s="88"/>
    </row>
    <row r="68" spans="1:18" ht="32.25" customHeight="1">
      <c r="A68" s="118">
        <f t="shared" si="0"/>
        <v>63</v>
      </c>
      <c r="B68" s="198" t="s">
        <v>250</v>
      </c>
      <c r="C68" s="199"/>
      <c r="D68" s="124" t="s">
        <v>251</v>
      </c>
      <c r="E68" s="124"/>
      <c r="F68" s="125"/>
      <c r="G68" s="116" t="s">
        <v>128</v>
      </c>
      <c r="H68" s="112">
        <v>100</v>
      </c>
      <c r="I68" s="113">
        <v>4.5999999999999996</v>
      </c>
      <c r="J68" s="114">
        <f t="shared" si="1"/>
        <v>459.99999999999994</v>
      </c>
      <c r="K68" s="115" t="s">
        <v>56</v>
      </c>
      <c r="L68" s="117" t="s">
        <v>56</v>
      </c>
      <c r="R68" s="88"/>
    </row>
    <row r="69" spans="1:18" ht="32.25" customHeight="1">
      <c r="A69" s="118">
        <f t="shared" si="0"/>
        <v>64</v>
      </c>
      <c r="B69" s="198" t="s">
        <v>252</v>
      </c>
      <c r="C69" s="199"/>
      <c r="D69" s="124" t="s">
        <v>253</v>
      </c>
      <c r="E69" s="124"/>
      <c r="F69" s="125"/>
      <c r="G69" s="116" t="s">
        <v>128</v>
      </c>
      <c r="H69" s="112">
        <v>20</v>
      </c>
      <c r="I69" s="113">
        <v>680</v>
      </c>
      <c r="J69" s="114">
        <f t="shared" si="1"/>
        <v>13600</v>
      </c>
      <c r="K69" s="115" t="s">
        <v>88</v>
      </c>
      <c r="L69" s="117" t="s">
        <v>96</v>
      </c>
      <c r="R69" s="88"/>
    </row>
    <row r="70" spans="1:18" ht="32.25" customHeight="1">
      <c r="A70" s="118">
        <f t="shared" ref="A70:A117" si="2">ROW(A65)</f>
        <v>65</v>
      </c>
      <c r="B70" s="198" t="s">
        <v>254</v>
      </c>
      <c r="C70" s="199"/>
      <c r="D70" s="124" t="s">
        <v>255</v>
      </c>
      <c r="E70" s="124"/>
      <c r="F70" s="125"/>
      <c r="G70" s="116" t="s">
        <v>128</v>
      </c>
      <c r="H70" s="112">
        <v>100</v>
      </c>
      <c r="I70" s="113">
        <v>45</v>
      </c>
      <c r="J70" s="114">
        <f t="shared" si="1"/>
        <v>4500</v>
      </c>
      <c r="K70" s="115" t="s">
        <v>56</v>
      </c>
      <c r="L70" s="117" t="s">
        <v>56</v>
      </c>
      <c r="R70" s="88"/>
    </row>
    <row r="71" spans="1:18" ht="32.25" customHeight="1">
      <c r="A71" s="118">
        <f t="shared" si="2"/>
        <v>66</v>
      </c>
      <c r="B71" s="198" t="s">
        <v>256</v>
      </c>
      <c r="C71" s="199"/>
      <c r="D71" s="124" t="s">
        <v>257</v>
      </c>
      <c r="E71" s="124"/>
      <c r="F71" s="125"/>
      <c r="G71" s="116" t="s">
        <v>128</v>
      </c>
      <c r="H71" s="112">
        <v>100</v>
      </c>
      <c r="I71" s="113">
        <v>10</v>
      </c>
      <c r="J71" s="114">
        <f t="shared" ref="J71:J117" si="3">H71*I71</f>
        <v>1000</v>
      </c>
      <c r="K71" s="115" t="s">
        <v>56</v>
      </c>
      <c r="L71" s="117" t="s">
        <v>56</v>
      </c>
      <c r="R71" s="88"/>
    </row>
    <row r="72" spans="1:18" ht="32.25" customHeight="1">
      <c r="A72" s="118">
        <f t="shared" si="2"/>
        <v>67</v>
      </c>
      <c r="B72" s="198" t="s">
        <v>258</v>
      </c>
      <c r="C72" s="199"/>
      <c r="D72" s="124" t="s">
        <v>259</v>
      </c>
      <c r="E72" s="124"/>
      <c r="F72" s="125"/>
      <c r="G72" s="116" t="s">
        <v>128</v>
      </c>
      <c r="H72" s="112">
        <v>50</v>
      </c>
      <c r="I72" s="113">
        <v>125</v>
      </c>
      <c r="J72" s="114">
        <f t="shared" si="3"/>
        <v>6250</v>
      </c>
      <c r="K72" s="115" t="s">
        <v>56</v>
      </c>
      <c r="L72" s="117" t="s">
        <v>56</v>
      </c>
      <c r="R72" s="88"/>
    </row>
    <row r="73" spans="1:18" ht="32.25" customHeight="1">
      <c r="A73" s="118">
        <f t="shared" si="2"/>
        <v>68</v>
      </c>
      <c r="B73" s="198" t="s">
        <v>219</v>
      </c>
      <c r="C73" s="199"/>
      <c r="D73" s="124" t="s">
        <v>260</v>
      </c>
      <c r="E73" s="124"/>
      <c r="F73" s="125"/>
      <c r="G73" s="116" t="s">
        <v>128</v>
      </c>
      <c r="H73" s="112">
        <v>18700</v>
      </c>
      <c r="I73" s="113">
        <v>1.3</v>
      </c>
      <c r="J73" s="114">
        <f t="shared" si="3"/>
        <v>24310</v>
      </c>
      <c r="K73" s="115" t="s">
        <v>56</v>
      </c>
      <c r="L73" s="117" t="s">
        <v>56</v>
      </c>
      <c r="R73" s="88"/>
    </row>
    <row r="74" spans="1:18" ht="32.25" customHeight="1">
      <c r="A74" s="118">
        <f t="shared" si="2"/>
        <v>69</v>
      </c>
      <c r="B74" s="198" t="s">
        <v>219</v>
      </c>
      <c r="C74" s="199"/>
      <c r="D74" s="124" t="s">
        <v>261</v>
      </c>
      <c r="E74" s="124"/>
      <c r="F74" s="125"/>
      <c r="G74" s="116" t="s">
        <v>128</v>
      </c>
      <c r="H74" s="112">
        <v>4600</v>
      </c>
      <c r="I74" s="113">
        <v>1.6</v>
      </c>
      <c r="J74" s="114">
        <f t="shared" si="3"/>
        <v>7360</v>
      </c>
      <c r="K74" s="115" t="s">
        <v>56</v>
      </c>
      <c r="L74" s="117" t="s">
        <v>56</v>
      </c>
      <c r="R74" s="88"/>
    </row>
    <row r="75" spans="1:18" ht="32.25" customHeight="1">
      <c r="A75" s="118">
        <f t="shared" si="2"/>
        <v>70</v>
      </c>
      <c r="B75" s="198" t="s">
        <v>219</v>
      </c>
      <c r="C75" s="199"/>
      <c r="D75" s="124" t="s">
        <v>262</v>
      </c>
      <c r="E75" s="124"/>
      <c r="F75" s="125"/>
      <c r="G75" s="116" t="s">
        <v>128</v>
      </c>
      <c r="H75" s="112">
        <v>3300</v>
      </c>
      <c r="I75" s="113">
        <v>2</v>
      </c>
      <c r="J75" s="114">
        <f t="shared" si="3"/>
        <v>6600</v>
      </c>
      <c r="K75" s="115" t="s">
        <v>56</v>
      </c>
      <c r="L75" s="117" t="s">
        <v>56</v>
      </c>
      <c r="R75" s="88"/>
    </row>
    <row r="76" spans="1:18" ht="32.25" customHeight="1">
      <c r="A76" s="118">
        <f t="shared" si="2"/>
        <v>71</v>
      </c>
      <c r="B76" s="198" t="s">
        <v>263</v>
      </c>
      <c r="C76" s="199"/>
      <c r="D76" s="124" t="s">
        <v>264</v>
      </c>
      <c r="E76" s="124"/>
      <c r="F76" s="125"/>
      <c r="G76" s="116" t="s">
        <v>128</v>
      </c>
      <c r="H76" s="112">
        <v>1600</v>
      </c>
      <c r="I76" s="113">
        <v>2.4</v>
      </c>
      <c r="J76" s="114">
        <f t="shared" si="3"/>
        <v>3840</v>
      </c>
      <c r="K76" s="115" t="s">
        <v>56</v>
      </c>
      <c r="L76" s="117" t="s">
        <v>56</v>
      </c>
      <c r="R76" s="88"/>
    </row>
    <row r="77" spans="1:18" ht="32.25" customHeight="1">
      <c r="A77" s="118">
        <f t="shared" si="2"/>
        <v>72</v>
      </c>
      <c r="B77" s="198" t="s">
        <v>246</v>
      </c>
      <c r="C77" s="199"/>
      <c r="D77" s="124" t="s">
        <v>265</v>
      </c>
      <c r="E77" s="124"/>
      <c r="F77" s="125"/>
      <c r="G77" s="116" t="s">
        <v>128</v>
      </c>
      <c r="H77" s="112">
        <v>25</v>
      </c>
      <c r="I77" s="113">
        <v>20</v>
      </c>
      <c r="J77" s="114">
        <f t="shared" si="3"/>
        <v>500</v>
      </c>
      <c r="K77" s="115" t="s">
        <v>56</v>
      </c>
      <c r="L77" s="117" t="s">
        <v>56</v>
      </c>
      <c r="R77" s="88"/>
    </row>
    <row r="78" spans="1:18" ht="32.25" customHeight="1">
      <c r="A78" s="118">
        <f t="shared" si="2"/>
        <v>73</v>
      </c>
      <c r="B78" s="198" t="s">
        <v>209</v>
      </c>
      <c r="C78" s="199"/>
      <c r="D78" s="124" t="s">
        <v>266</v>
      </c>
      <c r="E78" s="124"/>
      <c r="F78" s="125"/>
      <c r="G78" s="116" t="s">
        <v>128</v>
      </c>
      <c r="H78" s="112">
        <v>150</v>
      </c>
      <c r="I78" s="113">
        <v>11.8</v>
      </c>
      <c r="J78" s="114">
        <f t="shared" si="3"/>
        <v>1770</v>
      </c>
      <c r="K78" s="115" t="s">
        <v>56</v>
      </c>
      <c r="L78" s="117" t="s">
        <v>56</v>
      </c>
      <c r="R78" s="88"/>
    </row>
    <row r="79" spans="1:18" ht="32.25" customHeight="1">
      <c r="A79" s="118">
        <f t="shared" si="2"/>
        <v>74</v>
      </c>
      <c r="B79" s="198" t="s">
        <v>267</v>
      </c>
      <c r="C79" s="199"/>
      <c r="D79" s="124" t="s">
        <v>268</v>
      </c>
      <c r="E79" s="124"/>
      <c r="F79" s="125"/>
      <c r="G79" s="116" t="s">
        <v>128</v>
      </c>
      <c r="H79" s="112">
        <v>100</v>
      </c>
      <c r="I79" s="113">
        <v>3.6</v>
      </c>
      <c r="J79" s="114">
        <f t="shared" si="3"/>
        <v>360</v>
      </c>
      <c r="K79" s="115" t="s">
        <v>56</v>
      </c>
      <c r="L79" s="117" t="s">
        <v>56</v>
      </c>
      <c r="R79" s="88"/>
    </row>
    <row r="80" spans="1:18" ht="32.25" customHeight="1">
      <c r="A80" s="118">
        <f t="shared" si="2"/>
        <v>75</v>
      </c>
      <c r="B80" s="198" t="s">
        <v>267</v>
      </c>
      <c r="C80" s="199"/>
      <c r="D80" s="124" t="s">
        <v>269</v>
      </c>
      <c r="E80" s="124"/>
      <c r="F80" s="125"/>
      <c r="G80" s="116" t="s">
        <v>128</v>
      </c>
      <c r="H80" s="112">
        <v>100</v>
      </c>
      <c r="I80" s="113">
        <v>3</v>
      </c>
      <c r="J80" s="114">
        <f t="shared" si="3"/>
        <v>300</v>
      </c>
      <c r="K80" s="115" t="s">
        <v>56</v>
      </c>
      <c r="L80" s="117" t="s">
        <v>56</v>
      </c>
      <c r="R80" s="88"/>
    </row>
    <row r="81" spans="1:18" ht="32.25" customHeight="1">
      <c r="A81" s="118">
        <f t="shared" si="2"/>
        <v>76</v>
      </c>
      <c r="B81" s="198" t="s">
        <v>139</v>
      </c>
      <c r="C81" s="199"/>
      <c r="D81" s="124"/>
      <c r="E81" s="124"/>
      <c r="F81" s="125"/>
      <c r="G81" s="116" t="s">
        <v>128</v>
      </c>
      <c r="H81" s="112">
        <v>100</v>
      </c>
      <c r="I81" s="113">
        <v>10.5</v>
      </c>
      <c r="J81" s="114">
        <f t="shared" si="3"/>
        <v>1050</v>
      </c>
      <c r="K81" s="115" t="s">
        <v>56</v>
      </c>
      <c r="L81" s="117" t="s">
        <v>56</v>
      </c>
      <c r="R81" s="88"/>
    </row>
    <row r="82" spans="1:18" ht="32.25" customHeight="1">
      <c r="A82" s="118">
        <f t="shared" si="2"/>
        <v>77</v>
      </c>
      <c r="B82" s="198" t="s">
        <v>270</v>
      </c>
      <c r="C82" s="199"/>
      <c r="D82" s="124" t="s">
        <v>271</v>
      </c>
      <c r="E82" s="124"/>
      <c r="F82" s="125"/>
      <c r="G82" s="116" t="s">
        <v>128</v>
      </c>
      <c r="H82" s="112">
        <v>200</v>
      </c>
      <c r="I82" s="113">
        <v>25</v>
      </c>
      <c r="J82" s="114">
        <f t="shared" si="3"/>
        <v>5000</v>
      </c>
      <c r="K82" s="115" t="s">
        <v>56</v>
      </c>
      <c r="L82" s="117" t="s">
        <v>56</v>
      </c>
      <c r="R82" s="88"/>
    </row>
    <row r="83" spans="1:18" ht="32.25" customHeight="1">
      <c r="A83" s="118">
        <f t="shared" si="2"/>
        <v>78</v>
      </c>
      <c r="B83" s="198" t="s">
        <v>272</v>
      </c>
      <c r="C83" s="199"/>
      <c r="D83" s="124" t="s">
        <v>273</v>
      </c>
      <c r="E83" s="124"/>
      <c r="F83" s="125"/>
      <c r="G83" s="116" t="s">
        <v>128</v>
      </c>
      <c r="H83" s="112">
        <v>200</v>
      </c>
      <c r="I83" s="113">
        <v>11.8</v>
      </c>
      <c r="J83" s="114">
        <f t="shared" si="3"/>
        <v>2360</v>
      </c>
      <c r="K83" s="115" t="s">
        <v>56</v>
      </c>
      <c r="L83" s="117" t="s">
        <v>56</v>
      </c>
      <c r="R83" s="88"/>
    </row>
    <row r="84" spans="1:18" ht="32.25" customHeight="1">
      <c r="A84" s="118">
        <f t="shared" si="2"/>
        <v>79</v>
      </c>
      <c r="B84" s="198" t="s">
        <v>274</v>
      </c>
      <c r="C84" s="199"/>
      <c r="D84" s="124" t="s">
        <v>275</v>
      </c>
      <c r="E84" s="124"/>
      <c r="F84" s="125"/>
      <c r="G84" s="116" t="s">
        <v>128</v>
      </c>
      <c r="H84" s="112">
        <v>3800</v>
      </c>
      <c r="I84" s="113">
        <v>1.35</v>
      </c>
      <c r="J84" s="114">
        <f t="shared" si="3"/>
        <v>5130</v>
      </c>
      <c r="K84" s="115" t="s">
        <v>56</v>
      </c>
      <c r="L84" s="117" t="s">
        <v>56</v>
      </c>
      <c r="R84" s="88"/>
    </row>
    <row r="85" spans="1:18" ht="32.25" customHeight="1">
      <c r="A85" s="118">
        <f t="shared" si="2"/>
        <v>80</v>
      </c>
      <c r="B85" s="198" t="s">
        <v>276</v>
      </c>
      <c r="C85" s="199"/>
      <c r="D85" s="124" t="s">
        <v>277</v>
      </c>
      <c r="E85" s="124"/>
      <c r="F85" s="125"/>
      <c r="G85" s="116" t="s">
        <v>128</v>
      </c>
      <c r="H85" s="112">
        <v>6</v>
      </c>
      <c r="I85" s="113">
        <v>78</v>
      </c>
      <c r="J85" s="114">
        <f t="shared" si="3"/>
        <v>468</v>
      </c>
      <c r="K85" s="115" t="s">
        <v>56</v>
      </c>
      <c r="L85" s="117" t="s">
        <v>56</v>
      </c>
      <c r="R85" s="88"/>
    </row>
    <row r="86" spans="1:18" ht="32.25" customHeight="1">
      <c r="A86" s="118">
        <f t="shared" si="2"/>
        <v>81</v>
      </c>
      <c r="B86" s="198" t="s">
        <v>278</v>
      </c>
      <c r="C86" s="199"/>
      <c r="D86" s="124" t="s">
        <v>279</v>
      </c>
      <c r="E86" s="124"/>
      <c r="F86" s="125"/>
      <c r="G86" s="116" t="s">
        <v>128</v>
      </c>
      <c r="H86" s="112">
        <v>300</v>
      </c>
      <c r="I86" s="113">
        <v>0.8</v>
      </c>
      <c r="J86" s="114">
        <f t="shared" si="3"/>
        <v>240</v>
      </c>
      <c r="K86" s="115" t="s">
        <v>56</v>
      </c>
      <c r="L86" s="117" t="s">
        <v>56</v>
      </c>
      <c r="R86" s="88"/>
    </row>
    <row r="87" spans="1:18" ht="32.25" customHeight="1">
      <c r="A87" s="118">
        <f t="shared" si="2"/>
        <v>82</v>
      </c>
      <c r="B87" s="198" t="s">
        <v>280</v>
      </c>
      <c r="C87" s="199"/>
      <c r="D87" s="124" t="s">
        <v>281</v>
      </c>
      <c r="E87" s="124"/>
      <c r="F87" s="125"/>
      <c r="G87" s="116" t="s">
        <v>128</v>
      </c>
      <c r="H87" s="112">
        <v>25</v>
      </c>
      <c r="I87" s="113">
        <v>102</v>
      </c>
      <c r="J87" s="114">
        <f t="shared" si="3"/>
        <v>2550</v>
      </c>
      <c r="K87" s="115" t="s">
        <v>56</v>
      </c>
      <c r="L87" s="117" t="s">
        <v>56</v>
      </c>
      <c r="R87" s="88"/>
    </row>
    <row r="88" spans="1:18" ht="32.25" customHeight="1">
      <c r="A88" s="118">
        <f t="shared" si="2"/>
        <v>83</v>
      </c>
      <c r="B88" s="198" t="s">
        <v>272</v>
      </c>
      <c r="C88" s="199"/>
      <c r="D88" s="124" t="s">
        <v>282</v>
      </c>
      <c r="E88" s="124"/>
      <c r="F88" s="125"/>
      <c r="G88" s="116" t="s">
        <v>128</v>
      </c>
      <c r="H88" s="112">
        <v>300</v>
      </c>
      <c r="I88" s="113">
        <v>11.8</v>
      </c>
      <c r="J88" s="114">
        <f t="shared" si="3"/>
        <v>3540</v>
      </c>
      <c r="K88" s="115" t="s">
        <v>56</v>
      </c>
      <c r="L88" s="117" t="s">
        <v>56</v>
      </c>
      <c r="R88" s="88"/>
    </row>
    <row r="89" spans="1:18" ht="32.25" customHeight="1">
      <c r="A89" s="118">
        <f t="shared" si="2"/>
        <v>84</v>
      </c>
      <c r="B89" s="198" t="s">
        <v>283</v>
      </c>
      <c r="C89" s="199"/>
      <c r="D89" s="124" t="s">
        <v>284</v>
      </c>
      <c r="E89" s="124"/>
      <c r="F89" s="125"/>
      <c r="G89" s="116" t="s">
        <v>128</v>
      </c>
      <c r="H89" s="112">
        <v>300</v>
      </c>
      <c r="I89" s="113">
        <v>11.8</v>
      </c>
      <c r="J89" s="114">
        <f t="shared" si="3"/>
        <v>3540</v>
      </c>
      <c r="K89" s="115" t="s">
        <v>56</v>
      </c>
      <c r="L89" s="117" t="s">
        <v>56</v>
      </c>
      <c r="R89" s="88"/>
    </row>
    <row r="90" spans="1:18" ht="32.25" customHeight="1">
      <c r="A90" s="118">
        <f t="shared" si="2"/>
        <v>85</v>
      </c>
      <c r="B90" s="198" t="s">
        <v>140</v>
      </c>
      <c r="C90" s="199"/>
      <c r="D90" s="124"/>
      <c r="E90" s="124"/>
      <c r="F90" s="125"/>
      <c r="G90" s="116" t="s">
        <v>128</v>
      </c>
      <c r="H90" s="112">
        <v>50</v>
      </c>
      <c r="I90" s="113">
        <v>140</v>
      </c>
      <c r="J90" s="114">
        <f t="shared" si="3"/>
        <v>7000</v>
      </c>
      <c r="K90" s="115" t="s">
        <v>56</v>
      </c>
      <c r="L90" s="117" t="s">
        <v>56</v>
      </c>
      <c r="R90" s="88"/>
    </row>
    <row r="91" spans="1:18" ht="32.25" customHeight="1">
      <c r="A91" s="118">
        <f t="shared" si="2"/>
        <v>86</v>
      </c>
      <c r="B91" s="198" t="s">
        <v>285</v>
      </c>
      <c r="C91" s="199"/>
      <c r="D91" s="124" t="s">
        <v>147</v>
      </c>
      <c r="E91" s="124"/>
      <c r="F91" s="125"/>
      <c r="G91" s="116" t="s">
        <v>128</v>
      </c>
      <c r="H91" s="112">
        <v>30</v>
      </c>
      <c r="I91" s="113">
        <v>11</v>
      </c>
      <c r="J91" s="114">
        <f t="shared" si="3"/>
        <v>330</v>
      </c>
      <c r="K91" s="115" t="s">
        <v>88</v>
      </c>
      <c r="L91" s="117" t="s">
        <v>96</v>
      </c>
      <c r="R91" s="88"/>
    </row>
    <row r="92" spans="1:18" ht="32.25" customHeight="1">
      <c r="A92" s="118">
        <f t="shared" si="2"/>
        <v>87</v>
      </c>
      <c r="B92" s="198" t="s">
        <v>286</v>
      </c>
      <c r="C92" s="199"/>
      <c r="D92" s="124" t="s">
        <v>287</v>
      </c>
      <c r="E92" s="124"/>
      <c r="F92" s="125"/>
      <c r="G92" s="116" t="s">
        <v>325</v>
      </c>
      <c r="H92" s="112">
        <v>110</v>
      </c>
      <c r="I92" s="113">
        <v>8</v>
      </c>
      <c r="J92" s="114">
        <f t="shared" si="3"/>
        <v>880</v>
      </c>
      <c r="K92" s="115" t="s">
        <v>56</v>
      </c>
      <c r="L92" s="117" t="s">
        <v>56</v>
      </c>
      <c r="R92" s="88"/>
    </row>
    <row r="93" spans="1:18" ht="32.25" customHeight="1">
      <c r="A93" s="118">
        <f t="shared" si="2"/>
        <v>88</v>
      </c>
      <c r="B93" s="198" t="s">
        <v>288</v>
      </c>
      <c r="C93" s="199"/>
      <c r="D93" s="124" t="s">
        <v>145</v>
      </c>
      <c r="E93" s="124"/>
      <c r="F93" s="125"/>
      <c r="G93" s="116" t="s">
        <v>128</v>
      </c>
      <c r="H93" s="112">
        <v>50</v>
      </c>
      <c r="I93" s="113">
        <v>1.7</v>
      </c>
      <c r="J93" s="114">
        <f t="shared" si="3"/>
        <v>85</v>
      </c>
      <c r="K93" s="115" t="s">
        <v>56</v>
      </c>
      <c r="L93" s="117" t="s">
        <v>56</v>
      </c>
      <c r="R93" s="88"/>
    </row>
    <row r="94" spans="1:18" ht="32.25" customHeight="1">
      <c r="A94" s="118">
        <f t="shared" si="2"/>
        <v>89</v>
      </c>
      <c r="B94" s="198" t="s">
        <v>193</v>
      </c>
      <c r="C94" s="199"/>
      <c r="D94" s="124" t="s">
        <v>289</v>
      </c>
      <c r="E94" s="124"/>
      <c r="F94" s="125"/>
      <c r="G94" s="116" t="s">
        <v>128</v>
      </c>
      <c r="H94" s="112">
        <v>1200</v>
      </c>
      <c r="I94" s="113">
        <v>2.2999999999999998</v>
      </c>
      <c r="J94" s="114">
        <f t="shared" si="3"/>
        <v>2760</v>
      </c>
      <c r="K94" s="115" t="s">
        <v>56</v>
      </c>
      <c r="L94" s="117" t="s">
        <v>56</v>
      </c>
      <c r="R94" s="88"/>
    </row>
    <row r="95" spans="1:18" ht="32.25" customHeight="1">
      <c r="A95" s="118">
        <f t="shared" si="2"/>
        <v>90</v>
      </c>
      <c r="B95" s="198" t="s">
        <v>290</v>
      </c>
      <c r="C95" s="199"/>
      <c r="D95" s="124" t="s">
        <v>291</v>
      </c>
      <c r="E95" s="124"/>
      <c r="F95" s="125"/>
      <c r="G95" s="116" t="s">
        <v>128</v>
      </c>
      <c r="H95" s="112">
        <v>200</v>
      </c>
      <c r="I95" s="113">
        <v>5.5</v>
      </c>
      <c r="J95" s="114">
        <f t="shared" si="3"/>
        <v>1100</v>
      </c>
      <c r="K95" s="115" t="s">
        <v>56</v>
      </c>
      <c r="L95" s="117" t="s">
        <v>56</v>
      </c>
      <c r="R95" s="88"/>
    </row>
    <row r="96" spans="1:18" ht="32.25" customHeight="1">
      <c r="A96" s="118">
        <f t="shared" si="2"/>
        <v>91</v>
      </c>
      <c r="B96" s="198" t="s">
        <v>292</v>
      </c>
      <c r="C96" s="199"/>
      <c r="D96" s="124" t="s">
        <v>293</v>
      </c>
      <c r="E96" s="124"/>
      <c r="F96" s="125"/>
      <c r="G96" s="116" t="s">
        <v>327</v>
      </c>
      <c r="H96" s="112">
        <v>8</v>
      </c>
      <c r="I96" s="113">
        <v>75</v>
      </c>
      <c r="J96" s="114">
        <f t="shared" si="3"/>
        <v>600</v>
      </c>
      <c r="K96" s="115" t="s">
        <v>56</v>
      </c>
      <c r="L96" s="117" t="s">
        <v>56</v>
      </c>
      <c r="R96" s="88"/>
    </row>
    <row r="97" spans="1:18" ht="32.25" customHeight="1">
      <c r="A97" s="118">
        <f t="shared" si="2"/>
        <v>92</v>
      </c>
      <c r="B97" s="198" t="s">
        <v>294</v>
      </c>
      <c r="C97" s="199"/>
      <c r="D97" s="124" t="s">
        <v>295</v>
      </c>
      <c r="E97" s="124"/>
      <c r="F97" s="125"/>
      <c r="G97" s="116" t="s">
        <v>128</v>
      </c>
      <c r="H97" s="112">
        <v>10</v>
      </c>
      <c r="I97" s="113">
        <v>33</v>
      </c>
      <c r="J97" s="114">
        <f t="shared" si="3"/>
        <v>330</v>
      </c>
      <c r="K97" s="115" t="s">
        <v>56</v>
      </c>
      <c r="L97" s="117" t="s">
        <v>56</v>
      </c>
      <c r="R97" s="88"/>
    </row>
    <row r="98" spans="1:18" ht="32.25" customHeight="1">
      <c r="A98" s="118">
        <f t="shared" si="2"/>
        <v>93</v>
      </c>
      <c r="B98" s="198" t="s">
        <v>296</v>
      </c>
      <c r="C98" s="199"/>
      <c r="D98" s="124" t="s">
        <v>297</v>
      </c>
      <c r="E98" s="124"/>
      <c r="F98" s="125"/>
      <c r="G98" s="116" t="s">
        <v>128</v>
      </c>
      <c r="H98" s="112">
        <v>150</v>
      </c>
      <c r="I98" s="113">
        <v>4</v>
      </c>
      <c r="J98" s="114">
        <f t="shared" si="3"/>
        <v>600</v>
      </c>
      <c r="K98" s="115" t="s">
        <v>56</v>
      </c>
      <c r="L98" s="117" t="s">
        <v>56</v>
      </c>
      <c r="R98" s="88"/>
    </row>
    <row r="99" spans="1:18" ht="32.25" customHeight="1">
      <c r="A99" s="118">
        <f t="shared" si="2"/>
        <v>94</v>
      </c>
      <c r="B99" s="198" t="s">
        <v>298</v>
      </c>
      <c r="C99" s="199"/>
      <c r="D99" s="124" t="s">
        <v>299</v>
      </c>
      <c r="E99" s="124"/>
      <c r="F99" s="125"/>
      <c r="G99" s="116" t="s">
        <v>324</v>
      </c>
      <c r="H99" s="112">
        <v>580</v>
      </c>
      <c r="I99" s="113">
        <v>6.1</v>
      </c>
      <c r="J99" s="114">
        <f t="shared" si="3"/>
        <v>3538</v>
      </c>
      <c r="K99" s="115" t="s">
        <v>56</v>
      </c>
      <c r="L99" s="117" t="s">
        <v>56</v>
      </c>
      <c r="R99" s="88"/>
    </row>
    <row r="100" spans="1:18" ht="32.25" customHeight="1">
      <c r="A100" s="118">
        <f t="shared" si="2"/>
        <v>95</v>
      </c>
      <c r="B100" s="198" t="s">
        <v>300</v>
      </c>
      <c r="C100" s="199"/>
      <c r="D100" s="124" t="s">
        <v>148</v>
      </c>
      <c r="E100" s="124"/>
      <c r="F100" s="125"/>
      <c r="G100" s="116" t="s">
        <v>324</v>
      </c>
      <c r="H100" s="112">
        <v>620</v>
      </c>
      <c r="I100" s="113">
        <v>7.3</v>
      </c>
      <c r="J100" s="114">
        <f t="shared" si="3"/>
        <v>4526</v>
      </c>
      <c r="K100" s="115" t="s">
        <v>56</v>
      </c>
      <c r="L100" s="117" t="s">
        <v>56</v>
      </c>
      <c r="R100" s="88"/>
    </row>
    <row r="101" spans="1:18" ht="32.25" customHeight="1">
      <c r="A101" s="118">
        <f t="shared" si="2"/>
        <v>96</v>
      </c>
      <c r="B101" s="198" t="s">
        <v>301</v>
      </c>
      <c r="C101" s="199"/>
      <c r="D101" s="124" t="s">
        <v>302</v>
      </c>
      <c r="E101" s="124"/>
      <c r="F101" s="125"/>
      <c r="G101" s="116" t="s">
        <v>128</v>
      </c>
      <c r="H101" s="112">
        <v>130</v>
      </c>
      <c r="I101" s="113">
        <v>11.8</v>
      </c>
      <c r="J101" s="114">
        <f t="shared" si="3"/>
        <v>1534</v>
      </c>
      <c r="K101" s="115" t="s">
        <v>56</v>
      </c>
      <c r="L101" s="117" t="s">
        <v>56</v>
      </c>
      <c r="R101" s="88"/>
    </row>
    <row r="102" spans="1:18" ht="32.25" customHeight="1">
      <c r="A102" s="118">
        <f t="shared" si="2"/>
        <v>97</v>
      </c>
      <c r="B102" s="198" t="s">
        <v>204</v>
      </c>
      <c r="C102" s="199"/>
      <c r="D102" s="124" t="s">
        <v>303</v>
      </c>
      <c r="E102" s="124"/>
      <c r="F102" s="125"/>
      <c r="G102" s="116" t="s">
        <v>128</v>
      </c>
      <c r="H102" s="112">
        <v>110</v>
      </c>
      <c r="I102" s="113">
        <v>0.85</v>
      </c>
      <c r="J102" s="114">
        <f t="shared" si="3"/>
        <v>93.5</v>
      </c>
      <c r="K102" s="115" t="s">
        <v>56</v>
      </c>
      <c r="L102" s="117" t="s">
        <v>56</v>
      </c>
      <c r="R102" s="88"/>
    </row>
    <row r="103" spans="1:18" ht="32.25" customHeight="1">
      <c r="A103" s="118">
        <f t="shared" si="2"/>
        <v>98</v>
      </c>
      <c r="B103" s="198" t="s">
        <v>141</v>
      </c>
      <c r="C103" s="199"/>
      <c r="D103" s="124"/>
      <c r="E103" s="124"/>
      <c r="F103" s="125"/>
      <c r="G103" s="116" t="s">
        <v>324</v>
      </c>
      <c r="H103" s="112">
        <v>360</v>
      </c>
      <c r="I103" s="113">
        <v>3.8</v>
      </c>
      <c r="J103" s="114">
        <f t="shared" si="3"/>
        <v>1368</v>
      </c>
      <c r="K103" s="115" t="s">
        <v>56</v>
      </c>
      <c r="L103" s="117" t="s">
        <v>56</v>
      </c>
      <c r="R103" s="88"/>
    </row>
    <row r="104" spans="1:18" ht="32.25" customHeight="1">
      <c r="A104" s="118">
        <f t="shared" si="2"/>
        <v>99</v>
      </c>
      <c r="B104" s="198" t="s">
        <v>304</v>
      </c>
      <c r="C104" s="199"/>
      <c r="D104" s="124" t="s">
        <v>305</v>
      </c>
      <c r="E104" s="124"/>
      <c r="F104" s="125"/>
      <c r="G104" s="116" t="s">
        <v>128</v>
      </c>
      <c r="H104" s="112">
        <v>24</v>
      </c>
      <c r="I104" s="113">
        <v>3.15</v>
      </c>
      <c r="J104" s="114">
        <f t="shared" si="3"/>
        <v>75.599999999999994</v>
      </c>
      <c r="K104" s="115" t="s">
        <v>56</v>
      </c>
      <c r="L104" s="117" t="s">
        <v>56</v>
      </c>
      <c r="R104" s="88"/>
    </row>
    <row r="105" spans="1:18" ht="32.25" customHeight="1">
      <c r="A105" s="118">
        <f t="shared" si="2"/>
        <v>100</v>
      </c>
      <c r="B105" s="198" t="s">
        <v>221</v>
      </c>
      <c r="C105" s="199"/>
      <c r="D105" s="124" t="s">
        <v>306</v>
      </c>
      <c r="E105" s="124"/>
      <c r="F105" s="125"/>
      <c r="G105" s="116" t="s">
        <v>128</v>
      </c>
      <c r="H105" s="112">
        <v>24</v>
      </c>
      <c r="I105" s="113">
        <v>1.65</v>
      </c>
      <c r="J105" s="114">
        <f t="shared" si="3"/>
        <v>39.599999999999994</v>
      </c>
      <c r="K105" s="115" t="s">
        <v>56</v>
      </c>
      <c r="L105" s="117" t="s">
        <v>56</v>
      </c>
      <c r="R105" s="88"/>
    </row>
    <row r="106" spans="1:18" ht="32.25" customHeight="1">
      <c r="A106" s="118">
        <f t="shared" si="2"/>
        <v>101</v>
      </c>
      <c r="B106" s="198" t="s">
        <v>307</v>
      </c>
      <c r="C106" s="199"/>
      <c r="D106" s="124" t="s">
        <v>308</v>
      </c>
      <c r="E106" s="124"/>
      <c r="F106" s="125"/>
      <c r="G106" s="116" t="s">
        <v>128</v>
      </c>
      <c r="H106" s="112">
        <v>24</v>
      </c>
      <c r="I106" s="113">
        <v>2.5</v>
      </c>
      <c r="J106" s="114">
        <f t="shared" si="3"/>
        <v>60</v>
      </c>
      <c r="K106" s="115" t="s">
        <v>56</v>
      </c>
      <c r="L106" s="117" t="s">
        <v>56</v>
      </c>
      <c r="R106" s="88"/>
    </row>
    <row r="107" spans="1:18" ht="32.25" customHeight="1">
      <c r="A107" s="118">
        <f t="shared" si="2"/>
        <v>102</v>
      </c>
      <c r="B107" s="198" t="s">
        <v>278</v>
      </c>
      <c r="C107" s="199"/>
      <c r="D107" s="124" t="s">
        <v>309</v>
      </c>
      <c r="E107" s="124"/>
      <c r="F107" s="125"/>
      <c r="G107" s="116" t="s">
        <v>128</v>
      </c>
      <c r="H107" s="112">
        <v>200</v>
      </c>
      <c r="I107" s="113">
        <v>0.6</v>
      </c>
      <c r="J107" s="114">
        <f t="shared" si="3"/>
        <v>120</v>
      </c>
      <c r="K107" s="115" t="s">
        <v>56</v>
      </c>
      <c r="L107" s="117" t="s">
        <v>56</v>
      </c>
      <c r="R107" s="88"/>
    </row>
    <row r="108" spans="1:18" ht="32.25" customHeight="1">
      <c r="A108" s="118">
        <f t="shared" si="2"/>
        <v>103</v>
      </c>
      <c r="B108" s="198" t="s">
        <v>310</v>
      </c>
      <c r="C108" s="199"/>
      <c r="D108" s="124" t="s">
        <v>311</v>
      </c>
      <c r="E108" s="124"/>
      <c r="F108" s="125"/>
      <c r="G108" s="116" t="s">
        <v>328</v>
      </c>
      <c r="H108" s="112">
        <v>100</v>
      </c>
      <c r="I108" s="113">
        <v>95</v>
      </c>
      <c r="J108" s="114">
        <f t="shared" si="3"/>
        <v>9500</v>
      </c>
      <c r="K108" s="115" t="s">
        <v>56</v>
      </c>
      <c r="L108" s="117" t="s">
        <v>56</v>
      </c>
      <c r="R108" s="88"/>
    </row>
    <row r="109" spans="1:18" ht="32.25" customHeight="1">
      <c r="A109" s="118">
        <f t="shared" si="2"/>
        <v>104</v>
      </c>
      <c r="B109" s="198" t="s">
        <v>312</v>
      </c>
      <c r="C109" s="199"/>
      <c r="D109" s="124" t="s">
        <v>313</v>
      </c>
      <c r="E109" s="124"/>
      <c r="F109" s="125"/>
      <c r="G109" s="116" t="s">
        <v>128</v>
      </c>
      <c r="H109" s="112">
        <v>20</v>
      </c>
      <c r="I109" s="113">
        <v>0.8</v>
      </c>
      <c r="J109" s="114">
        <f t="shared" si="3"/>
        <v>16</v>
      </c>
      <c r="K109" s="115" t="s">
        <v>56</v>
      </c>
      <c r="L109" s="117" t="s">
        <v>56</v>
      </c>
      <c r="R109" s="88"/>
    </row>
    <row r="110" spans="1:18" ht="32.25" customHeight="1">
      <c r="A110" s="118">
        <f t="shared" si="2"/>
        <v>105</v>
      </c>
      <c r="B110" s="198" t="s">
        <v>312</v>
      </c>
      <c r="C110" s="199"/>
      <c r="D110" s="124" t="s">
        <v>314</v>
      </c>
      <c r="E110" s="124"/>
      <c r="F110" s="125"/>
      <c r="G110" s="116" t="s">
        <v>128</v>
      </c>
      <c r="H110" s="112">
        <v>20</v>
      </c>
      <c r="I110" s="113">
        <v>1.1000000000000001</v>
      </c>
      <c r="J110" s="114">
        <f t="shared" si="3"/>
        <v>22</v>
      </c>
      <c r="K110" s="115" t="s">
        <v>56</v>
      </c>
      <c r="L110" s="117" t="s">
        <v>56</v>
      </c>
      <c r="R110" s="88"/>
    </row>
    <row r="111" spans="1:18" ht="32.25" customHeight="1">
      <c r="A111" s="118">
        <f t="shared" si="2"/>
        <v>106</v>
      </c>
      <c r="B111" s="198" t="s">
        <v>315</v>
      </c>
      <c r="C111" s="199"/>
      <c r="D111" s="124" t="s">
        <v>316</v>
      </c>
      <c r="E111" s="124"/>
      <c r="F111" s="125"/>
      <c r="G111" s="116" t="s">
        <v>128</v>
      </c>
      <c r="H111" s="112">
        <v>20</v>
      </c>
      <c r="I111" s="113">
        <v>1.2</v>
      </c>
      <c r="J111" s="114">
        <f t="shared" si="3"/>
        <v>24</v>
      </c>
      <c r="K111" s="115" t="s">
        <v>56</v>
      </c>
      <c r="L111" s="117" t="s">
        <v>56</v>
      </c>
      <c r="R111" s="88"/>
    </row>
    <row r="112" spans="1:18" ht="32.25" customHeight="1">
      <c r="A112" s="118">
        <f t="shared" si="2"/>
        <v>107</v>
      </c>
      <c r="B112" s="198" t="s">
        <v>312</v>
      </c>
      <c r="C112" s="199"/>
      <c r="D112" s="124" t="s">
        <v>317</v>
      </c>
      <c r="E112" s="124"/>
      <c r="F112" s="125"/>
      <c r="G112" s="112" t="s">
        <v>128</v>
      </c>
      <c r="H112" s="112">
        <v>20</v>
      </c>
      <c r="I112" s="113">
        <v>2.8</v>
      </c>
      <c r="J112" s="114">
        <f t="shared" si="3"/>
        <v>56</v>
      </c>
      <c r="K112" s="115" t="s">
        <v>56</v>
      </c>
      <c r="L112" s="117" t="s">
        <v>56</v>
      </c>
      <c r="R112" s="88"/>
    </row>
    <row r="113" spans="1:26" ht="32.25" customHeight="1">
      <c r="A113" s="118">
        <f t="shared" si="2"/>
        <v>108</v>
      </c>
      <c r="B113" s="198" t="s">
        <v>312</v>
      </c>
      <c r="C113" s="199"/>
      <c r="D113" s="124" t="s">
        <v>318</v>
      </c>
      <c r="E113" s="124"/>
      <c r="F113" s="125"/>
      <c r="G113" s="112" t="s">
        <v>128</v>
      </c>
      <c r="H113" s="112">
        <v>20</v>
      </c>
      <c r="I113" s="113">
        <v>4.2</v>
      </c>
      <c r="J113" s="114">
        <f t="shared" si="3"/>
        <v>84</v>
      </c>
      <c r="K113" s="115" t="s">
        <v>88</v>
      </c>
      <c r="L113" s="117" t="s">
        <v>96</v>
      </c>
      <c r="R113" s="88"/>
    </row>
    <row r="114" spans="1:26" ht="32.25" customHeight="1">
      <c r="A114" s="118">
        <f t="shared" si="2"/>
        <v>109</v>
      </c>
      <c r="B114" s="198" t="s">
        <v>312</v>
      </c>
      <c r="C114" s="199"/>
      <c r="D114" s="124" t="s">
        <v>319</v>
      </c>
      <c r="E114" s="124"/>
      <c r="F114" s="125"/>
      <c r="G114" s="112" t="s">
        <v>128</v>
      </c>
      <c r="H114" s="112">
        <v>20</v>
      </c>
      <c r="I114" s="113">
        <v>5.5</v>
      </c>
      <c r="J114" s="114">
        <f t="shared" si="3"/>
        <v>110</v>
      </c>
      <c r="K114" s="115" t="s">
        <v>56</v>
      </c>
      <c r="L114" s="117" t="s">
        <v>56</v>
      </c>
      <c r="R114" s="88"/>
    </row>
    <row r="115" spans="1:26" ht="32.25" customHeight="1">
      <c r="A115" s="118">
        <f t="shared" si="2"/>
        <v>110</v>
      </c>
      <c r="B115" s="198" t="s">
        <v>320</v>
      </c>
      <c r="C115" s="199"/>
      <c r="D115" s="124" t="s">
        <v>321</v>
      </c>
      <c r="E115" s="124"/>
      <c r="F115" s="125"/>
      <c r="G115" s="112" t="s">
        <v>324</v>
      </c>
      <c r="H115" s="112">
        <v>100</v>
      </c>
      <c r="I115" s="113">
        <v>2</v>
      </c>
      <c r="J115" s="114">
        <f t="shared" si="3"/>
        <v>200</v>
      </c>
      <c r="K115" s="115" t="s">
        <v>56</v>
      </c>
      <c r="L115" s="117" t="s">
        <v>56</v>
      </c>
      <c r="R115" s="88"/>
    </row>
    <row r="116" spans="1:26" ht="32.25" customHeight="1">
      <c r="A116" s="118">
        <f t="shared" si="2"/>
        <v>111</v>
      </c>
      <c r="B116" s="198" t="s">
        <v>322</v>
      </c>
      <c r="C116" s="199"/>
      <c r="D116" s="124" t="s">
        <v>323</v>
      </c>
      <c r="E116" s="124"/>
      <c r="F116" s="125"/>
      <c r="G116" s="112" t="s">
        <v>329</v>
      </c>
      <c r="H116" s="112">
        <v>5</v>
      </c>
      <c r="I116" s="113">
        <v>430</v>
      </c>
      <c r="J116" s="114">
        <f t="shared" si="3"/>
        <v>2150</v>
      </c>
      <c r="K116" s="115" t="s">
        <v>56</v>
      </c>
      <c r="L116" s="117" t="s">
        <v>56</v>
      </c>
      <c r="R116" s="88"/>
    </row>
    <row r="117" spans="1:26" ht="32.25" customHeight="1">
      <c r="A117" s="118">
        <f t="shared" si="2"/>
        <v>112</v>
      </c>
      <c r="B117" s="198" t="s">
        <v>142</v>
      </c>
      <c r="C117" s="199"/>
      <c r="D117" s="124"/>
      <c r="E117" s="124"/>
      <c r="F117" s="125"/>
      <c r="G117" s="112" t="s">
        <v>128</v>
      </c>
      <c r="H117" s="112">
        <v>3</v>
      </c>
      <c r="I117" s="113">
        <v>107</v>
      </c>
      <c r="J117" s="114">
        <f t="shared" si="3"/>
        <v>321</v>
      </c>
      <c r="K117" s="115" t="s">
        <v>56</v>
      </c>
      <c r="L117" s="117" t="s">
        <v>56</v>
      </c>
      <c r="R117" s="88"/>
    </row>
    <row r="118" spans="1:26" ht="30" customHeight="1">
      <c r="A118" s="151" t="s">
        <v>8</v>
      </c>
      <c r="B118" s="152"/>
      <c r="C118" s="119"/>
      <c r="D118" s="93"/>
      <c r="E118" s="93"/>
      <c r="F118" s="93"/>
      <c r="G118" s="94"/>
      <c r="H118" s="94"/>
      <c r="I118" s="95" t="s">
        <v>9</v>
      </c>
      <c r="J118" s="90">
        <f>SUM(J6:J117)</f>
        <v>281701.79999999993</v>
      </c>
      <c r="K118" s="115" t="s">
        <v>56</v>
      </c>
      <c r="L118" s="117" t="s">
        <v>56</v>
      </c>
    </row>
    <row r="119" spans="1:26" ht="20.100000000000001" customHeight="1">
      <c r="A119" s="5" t="s">
        <v>10</v>
      </c>
      <c r="B119" s="6"/>
      <c r="C119" s="6"/>
      <c r="D119" s="6"/>
      <c r="E119" s="6"/>
      <c r="F119" s="6"/>
      <c r="G119" s="6"/>
      <c r="H119" s="6"/>
      <c r="I119" s="6"/>
      <c r="J119" s="6"/>
      <c r="K119" s="7"/>
      <c r="L119" s="8"/>
    </row>
    <row r="120" spans="1:26" ht="18" customHeight="1">
      <c r="A120" s="9"/>
      <c r="J120" s="1"/>
      <c r="K120" s="1"/>
      <c r="O120" s="10"/>
      <c r="P120" s="10"/>
      <c r="Q120" s="10"/>
      <c r="R120" s="10"/>
      <c r="S120" s="10"/>
      <c r="T120" s="10"/>
      <c r="U120" s="10"/>
      <c r="V120" s="10"/>
      <c r="W120" s="10"/>
      <c r="Y120" s="155"/>
      <c r="Z120" s="10"/>
    </row>
    <row r="121" spans="1:26" ht="50.1" customHeight="1">
      <c r="Y121" s="156"/>
    </row>
    <row r="122" spans="1:26" ht="15" customHeight="1">
      <c r="O122" s="149" t="s">
        <v>114</v>
      </c>
      <c r="P122" s="157"/>
      <c r="Q122" s="157"/>
      <c r="R122" s="150"/>
      <c r="S122" s="102"/>
      <c r="T122" s="149" t="s">
        <v>115</v>
      </c>
      <c r="U122" s="157"/>
      <c r="V122" s="157"/>
      <c r="W122" s="157"/>
      <c r="X122" s="157"/>
      <c r="Y122" s="150"/>
    </row>
    <row r="123" spans="1:26" ht="15" customHeight="1">
      <c r="O123" s="158" t="s">
        <v>116</v>
      </c>
      <c r="P123" s="126" t="s">
        <v>117</v>
      </c>
      <c r="Q123" s="158" t="s">
        <v>118</v>
      </c>
      <c r="R123" s="126" t="s">
        <v>119</v>
      </c>
      <c r="S123" s="102"/>
      <c r="T123" s="158" t="s">
        <v>120</v>
      </c>
      <c r="U123" s="126" t="s">
        <v>121</v>
      </c>
      <c r="V123" s="149" t="s">
        <v>122</v>
      </c>
      <c r="W123" s="157"/>
      <c r="X123" s="150"/>
      <c r="Y123" s="126" t="s">
        <v>123</v>
      </c>
    </row>
    <row r="124" spans="1:26" ht="18" customHeight="1">
      <c r="O124" s="127"/>
      <c r="P124" s="128"/>
      <c r="Q124" s="127"/>
      <c r="R124" s="128"/>
      <c r="S124" s="103"/>
      <c r="T124" s="127"/>
      <c r="U124" s="128"/>
      <c r="V124" s="12" t="s">
        <v>116</v>
      </c>
      <c r="W124" s="159" t="s">
        <v>124</v>
      </c>
      <c r="X124" s="160"/>
      <c r="Y124" s="128"/>
    </row>
    <row r="125" spans="1:26" ht="50.1" customHeight="1">
      <c r="O125" s="13"/>
      <c r="P125" s="13"/>
      <c r="Q125" s="13"/>
      <c r="R125" s="13"/>
      <c r="S125" s="102"/>
      <c r="T125" s="13"/>
      <c r="U125" s="13"/>
      <c r="V125" s="13"/>
      <c r="W125" s="149"/>
      <c r="X125" s="150"/>
      <c r="Y125" s="104"/>
    </row>
    <row r="126" spans="1:26" ht="36" customHeight="1">
      <c r="W126" s="105"/>
      <c r="X126" s="153" t="s">
        <v>125</v>
      </c>
      <c r="Y126" s="11" t="s">
        <v>123</v>
      </c>
    </row>
    <row r="127" spans="1:26" ht="50.1" customHeight="1">
      <c r="O127" s="106"/>
      <c r="P127" s="106"/>
      <c r="Q127" s="106"/>
      <c r="R127" s="106"/>
      <c r="S127" s="106"/>
      <c r="T127" s="106"/>
      <c r="U127" s="106"/>
      <c r="V127" s="106"/>
      <c r="W127" s="107"/>
      <c r="X127" s="154"/>
      <c r="Y127" s="108"/>
    </row>
    <row r="128" spans="1:26" ht="19.899999999999999" customHeight="1"/>
    <row r="129" spans="15:16" ht="17.45" customHeight="1">
      <c r="O129" s="129"/>
      <c r="P129" s="129"/>
    </row>
    <row r="130" spans="15:16" ht="19.899999999999999" customHeight="1">
      <c r="O130" s="129"/>
      <c r="P130" s="129"/>
    </row>
    <row r="131" spans="15:16" ht="14.25">
      <c r="O131" s="10"/>
      <c r="P131" s="10"/>
    </row>
    <row r="132" spans="15:16" ht="65.099999999999994" customHeight="1"/>
    <row r="133" spans="15:16" ht="14.25">
      <c r="O133" s="10"/>
      <c r="P133" s="10"/>
    </row>
    <row r="134" spans="15:16" ht="19.899999999999999" customHeight="1"/>
    <row r="135" spans="15:16" ht="14.25"/>
    <row r="136" spans="15:16" ht="19.899999999999999" customHeight="1"/>
    <row r="137" spans="15:16" ht="14.25"/>
    <row r="138" spans="15:16" ht="19.899999999999999" customHeight="1"/>
    <row r="139" spans="15:16" ht="19.899999999999999" customHeight="1"/>
    <row r="140" spans="15:16" ht="64.900000000000006" customHeight="1"/>
    <row r="142" spans="15:16" ht="19.899999999999999" customHeight="1"/>
    <row r="143" spans="15:16" ht="19.899999999999999" customHeight="1"/>
    <row r="144" spans="15:16" ht="64.900000000000006" customHeight="1"/>
    <row r="148" spans="15:19" ht="21" customHeight="1">
      <c r="O148" s="126" t="s">
        <v>12</v>
      </c>
      <c r="P148" s="126" t="s">
        <v>12</v>
      </c>
      <c r="S148" s="126" t="s">
        <v>11</v>
      </c>
    </row>
    <row r="149" spans="15:19" ht="21" customHeight="1">
      <c r="O149" s="128"/>
      <c r="P149" s="128"/>
      <c r="S149" s="127"/>
    </row>
    <row r="150" spans="15:19" ht="64.900000000000006" customHeight="1">
      <c r="O150" s="13"/>
      <c r="P150" s="13"/>
      <c r="S150" s="14"/>
    </row>
    <row r="151" spans="15:19" ht="7.15" customHeight="1"/>
    <row r="152" spans="15:19" ht="21" customHeight="1">
      <c r="O152" s="126" t="s">
        <v>12</v>
      </c>
      <c r="P152" s="126" t="s">
        <v>12</v>
      </c>
      <c r="S152" s="126" t="s">
        <v>13</v>
      </c>
    </row>
    <row r="153" spans="15:19" ht="21" customHeight="1">
      <c r="O153" s="128"/>
      <c r="P153" s="128"/>
      <c r="S153" s="127"/>
    </row>
    <row r="154" spans="15:19" ht="64.900000000000006" customHeight="1">
      <c r="O154" s="13"/>
      <c r="P154" s="13"/>
      <c r="S154" s="13"/>
    </row>
  </sheetData>
  <mergeCells count="259">
    <mergeCell ref="X126:X127"/>
    <mergeCell ref="Y120:Y121"/>
    <mergeCell ref="O122:R122"/>
    <mergeCell ref="T122:Y122"/>
    <mergeCell ref="O123:O124"/>
    <mergeCell ref="Q123:Q124"/>
    <mergeCell ref="R123:R124"/>
    <mergeCell ref="T123:T124"/>
    <mergeCell ref="U123:U124"/>
    <mergeCell ref="V123:X123"/>
    <mergeCell ref="Y123:Y124"/>
    <mergeCell ref="W124:X124"/>
    <mergeCell ref="W125:X125"/>
    <mergeCell ref="D114:F114"/>
    <mergeCell ref="D115:F115"/>
    <mergeCell ref="D116:F116"/>
    <mergeCell ref="D117:F117"/>
    <mergeCell ref="A118:B118"/>
    <mergeCell ref="P123:P124"/>
    <mergeCell ref="D6:F6"/>
    <mergeCell ref="B112:C112"/>
    <mergeCell ref="D112:F112"/>
    <mergeCell ref="B10:C10"/>
    <mergeCell ref="B11:C11"/>
    <mergeCell ref="J1:L1"/>
    <mergeCell ref="J2:L2"/>
    <mergeCell ref="E3:I3"/>
    <mergeCell ref="I4:I5"/>
    <mergeCell ref="J4:J5"/>
    <mergeCell ref="K4:K5"/>
    <mergeCell ref="L4:L5"/>
    <mergeCell ref="G4:G5"/>
    <mergeCell ref="H4:H5"/>
    <mergeCell ref="B6:C6"/>
    <mergeCell ref="A4:A5"/>
    <mergeCell ref="B4:C5"/>
    <mergeCell ref="D4:F5"/>
    <mergeCell ref="D7:F7"/>
    <mergeCell ref="D8:F8"/>
    <mergeCell ref="D9:F9"/>
    <mergeCell ref="B7:C7"/>
    <mergeCell ref="B8:C8"/>
    <mergeCell ref="B9:C9"/>
    <mergeCell ref="S148:S149"/>
    <mergeCell ref="O152:O153"/>
    <mergeCell ref="P152:P153"/>
    <mergeCell ref="S152:S153"/>
    <mergeCell ref="O129:O130"/>
    <mergeCell ref="P129:P130"/>
    <mergeCell ref="O148:O149"/>
    <mergeCell ref="P148:P149"/>
    <mergeCell ref="B113:C113"/>
    <mergeCell ref="D113:F113"/>
    <mergeCell ref="B114:C114"/>
    <mergeCell ref="B115:C115"/>
    <mergeCell ref="B116:C116"/>
    <mergeCell ref="B117:C117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D15:F15"/>
    <mergeCell ref="D16:F16"/>
    <mergeCell ref="D17:F17"/>
    <mergeCell ref="D18:F18"/>
    <mergeCell ref="D19:F19"/>
    <mergeCell ref="D10:F10"/>
    <mergeCell ref="D11:F11"/>
    <mergeCell ref="D12:F12"/>
    <mergeCell ref="D13:F13"/>
    <mergeCell ref="D14:F14"/>
    <mergeCell ref="D25:F25"/>
    <mergeCell ref="D26:F26"/>
    <mergeCell ref="D27:F27"/>
    <mergeCell ref="D28:F28"/>
    <mergeCell ref="D29:F29"/>
    <mergeCell ref="D20:F20"/>
    <mergeCell ref="D21:F21"/>
    <mergeCell ref="D22:F22"/>
    <mergeCell ref="D23:F23"/>
    <mergeCell ref="D24:F24"/>
    <mergeCell ref="D35:F35"/>
    <mergeCell ref="D36:F36"/>
    <mergeCell ref="D37:F37"/>
    <mergeCell ref="D38:F38"/>
    <mergeCell ref="D39:F39"/>
    <mergeCell ref="D30:F30"/>
    <mergeCell ref="D31:F31"/>
    <mergeCell ref="D32:F32"/>
    <mergeCell ref="D33:F33"/>
    <mergeCell ref="D34:F34"/>
    <mergeCell ref="D45:F45"/>
    <mergeCell ref="D46:F46"/>
    <mergeCell ref="D47:F47"/>
    <mergeCell ref="D48:F48"/>
    <mergeCell ref="D49:F49"/>
    <mergeCell ref="D40:F40"/>
    <mergeCell ref="D41:F41"/>
    <mergeCell ref="D42:F42"/>
    <mergeCell ref="D43:F43"/>
    <mergeCell ref="D44:F44"/>
    <mergeCell ref="D55:F55"/>
    <mergeCell ref="D56:F56"/>
    <mergeCell ref="D57:F57"/>
    <mergeCell ref="D58:F58"/>
    <mergeCell ref="D59:F59"/>
    <mergeCell ref="D50:F50"/>
    <mergeCell ref="D51:F51"/>
    <mergeCell ref="D52:F52"/>
    <mergeCell ref="D53:F53"/>
    <mergeCell ref="D54:F54"/>
    <mergeCell ref="D65:F65"/>
    <mergeCell ref="D66:F66"/>
    <mergeCell ref="D67:F67"/>
    <mergeCell ref="D68:F68"/>
    <mergeCell ref="D69:F69"/>
    <mergeCell ref="D60:F60"/>
    <mergeCell ref="D61:F61"/>
    <mergeCell ref="D62:F62"/>
    <mergeCell ref="D63:F63"/>
    <mergeCell ref="D64:F64"/>
    <mergeCell ref="D75:F75"/>
    <mergeCell ref="D76:F76"/>
    <mergeCell ref="D77:F77"/>
    <mergeCell ref="D78:F78"/>
    <mergeCell ref="D79:F79"/>
    <mergeCell ref="D70:F70"/>
    <mergeCell ref="D71:F71"/>
    <mergeCell ref="D72:F72"/>
    <mergeCell ref="D73:F73"/>
    <mergeCell ref="D74:F74"/>
    <mergeCell ref="D85:F85"/>
    <mergeCell ref="D86:F86"/>
    <mergeCell ref="D87:F87"/>
    <mergeCell ref="D88:F88"/>
    <mergeCell ref="D89:F89"/>
    <mergeCell ref="D80:F80"/>
    <mergeCell ref="D81:F81"/>
    <mergeCell ref="D82:F82"/>
    <mergeCell ref="D83:F83"/>
    <mergeCell ref="D84:F84"/>
    <mergeCell ref="D95:F95"/>
    <mergeCell ref="D96:F96"/>
    <mergeCell ref="D97:F97"/>
    <mergeCell ref="D98:F98"/>
    <mergeCell ref="D99:F99"/>
    <mergeCell ref="D90:F90"/>
    <mergeCell ref="D91:F91"/>
    <mergeCell ref="D92:F92"/>
    <mergeCell ref="D93:F93"/>
    <mergeCell ref="D94:F94"/>
    <mergeCell ref="D110:F110"/>
    <mergeCell ref="D111:F111"/>
    <mergeCell ref="D105:F105"/>
    <mergeCell ref="D106:F106"/>
    <mergeCell ref="D107:F107"/>
    <mergeCell ref="D108:F108"/>
    <mergeCell ref="D109:F109"/>
    <mergeCell ref="D100:F100"/>
    <mergeCell ref="D101:F101"/>
    <mergeCell ref="D102:F102"/>
    <mergeCell ref="D103:F103"/>
    <mergeCell ref="D104:F104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7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0"/>
  <sheetViews>
    <sheetView showGridLines="0" zoomScale="95" zoomScaleNormal="95" zoomScaleSheetLayoutView="70" workbookViewId="0">
      <pane ySplit="5" topLeftCell="A92" activePane="bottomLeft" state="frozen"/>
      <selection activeCell="D30" sqref="D30"/>
      <selection pane="bottomLeft" activeCell="D118" sqref="D118:F118"/>
    </sheetView>
  </sheetViews>
  <sheetFormatPr defaultColWidth="9" defaultRowHeight="21" customHeight="1"/>
  <cols>
    <col min="1" max="1" width="6.855468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1" t="s">
        <v>85</v>
      </c>
      <c r="B1" s="82"/>
      <c r="C1" s="82"/>
      <c r="D1" s="82"/>
      <c r="E1" s="82"/>
      <c r="F1" s="82"/>
      <c r="G1" s="1"/>
      <c r="J1" s="136" t="str">
        <f>+MRS!J1</f>
        <v>DAESHIN PLANT</v>
      </c>
      <c r="K1" s="138"/>
    </row>
    <row r="2" spans="1:18" ht="24.95" customHeight="1">
      <c r="A2" s="3" t="str">
        <f>+MRS!A2</f>
        <v xml:space="preserve">  PJT :  SACE2           </v>
      </c>
      <c r="B2" s="83"/>
      <c r="C2" s="83"/>
      <c r="D2" s="3" t="str">
        <f>+MRS!D2</f>
        <v>Division (In charge Name) : ADMIN MANAGER (Dong Chang Kim)</v>
      </c>
      <c r="E2" s="83"/>
      <c r="F2" s="83"/>
      <c r="G2" s="15"/>
      <c r="H2" s="15"/>
      <c r="I2" s="15"/>
      <c r="J2" s="139" t="str">
        <f>+MRS!J2</f>
        <v>Subcontract name (SAC2-SC-IK-SMP-01)</v>
      </c>
      <c r="K2" s="141"/>
    </row>
    <row r="3" spans="1:18" ht="24.95" customHeight="1">
      <c r="A3" s="3" t="str">
        <f>+MRS!A3</f>
        <v xml:space="preserve">  MRS No : SAC2-DS-MRS-0507</v>
      </c>
      <c r="B3" s="83"/>
      <c r="C3" s="83"/>
      <c r="D3" s="83"/>
      <c r="E3" s="83"/>
      <c r="F3" s="83"/>
      <c r="G3" s="83"/>
      <c r="H3" s="83"/>
      <c r="I3" s="83"/>
      <c r="J3" s="83"/>
      <c r="K3" s="84">
        <f>+MRS!L3</f>
        <v>46320</v>
      </c>
    </row>
    <row r="4" spans="1:18" ht="15.95" customHeight="1">
      <c r="A4" s="166" t="s">
        <v>2</v>
      </c>
      <c r="B4" s="167" t="s">
        <v>14</v>
      </c>
      <c r="C4" s="167"/>
      <c r="D4" s="166" t="s">
        <v>4</v>
      </c>
      <c r="E4" s="166"/>
      <c r="F4" s="166"/>
      <c r="G4" s="167" t="s">
        <v>5</v>
      </c>
      <c r="H4" s="166" t="s">
        <v>80</v>
      </c>
      <c r="I4" s="166" t="s">
        <v>15</v>
      </c>
      <c r="J4" s="166" t="s">
        <v>16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16">
        <f>+MRS!A6</f>
        <v>1</v>
      </c>
      <c r="B6" s="161" t="str">
        <f>MRS!B6</f>
        <v xml:space="preserve">Teflon Tape </v>
      </c>
      <c r="C6" s="162"/>
      <c r="D6" s="163" t="str">
        <f>MRS!D6</f>
        <v>19mm x 40yard</v>
      </c>
      <c r="E6" s="164"/>
      <c r="F6" s="165"/>
      <c r="G6" s="85" t="str">
        <f>MRS!G6</f>
        <v>Nos</v>
      </c>
      <c r="H6" s="85">
        <f>MRS!H6</f>
        <v>1500</v>
      </c>
      <c r="I6" s="86">
        <f>MRS!I6</f>
        <v>1.6</v>
      </c>
      <c r="J6" s="86">
        <f>MRS!J6</f>
        <v>2400</v>
      </c>
      <c r="K6" s="87"/>
      <c r="O6" s="88"/>
      <c r="P6" s="88"/>
      <c r="R6" s="88"/>
    </row>
    <row r="7" spans="1:18" ht="105" customHeight="1">
      <c r="A7" s="16">
        <f>+MRS!A7</f>
        <v>2</v>
      </c>
      <c r="B7" s="161" t="str">
        <f>MRS!B7</f>
        <v>Insulation Tape</v>
      </c>
      <c r="C7" s="162"/>
      <c r="D7" s="163" t="str">
        <f>MRS!D7</f>
        <v xml:space="preserve"> Black 2"</v>
      </c>
      <c r="E7" s="164"/>
      <c r="F7" s="165"/>
      <c r="G7" s="85" t="str">
        <f>MRS!G7</f>
        <v>Nos</v>
      </c>
      <c r="H7" s="85">
        <f>MRS!H7</f>
        <v>18</v>
      </c>
      <c r="I7" s="86">
        <f>MRS!I7</f>
        <v>3</v>
      </c>
      <c r="J7" s="86">
        <f>MRS!J7</f>
        <v>54</v>
      </c>
      <c r="K7" s="87"/>
      <c r="O7" s="88"/>
      <c r="P7" s="88"/>
      <c r="R7" s="88"/>
    </row>
    <row r="8" spans="1:18" ht="105" customHeight="1">
      <c r="A8" s="16">
        <f>+MRS!A8</f>
        <v>3</v>
      </c>
      <c r="B8" s="161" t="str">
        <f>MRS!B8</f>
        <v xml:space="preserve">AC Gas R410A </v>
      </c>
      <c r="C8" s="162"/>
      <c r="D8" s="163" t="str">
        <f>MRS!D8</f>
        <v>11.6kg</v>
      </c>
      <c r="E8" s="164"/>
      <c r="F8" s="165"/>
      <c r="G8" s="85" t="str">
        <f>MRS!G8</f>
        <v>Nos</v>
      </c>
      <c r="H8" s="85">
        <f>MRS!H8</f>
        <v>12</v>
      </c>
      <c r="I8" s="86">
        <f>MRS!I8</f>
        <v>620</v>
      </c>
      <c r="J8" s="86">
        <f>MRS!J8</f>
        <v>7440</v>
      </c>
      <c r="K8" s="87"/>
      <c r="O8" s="88"/>
      <c r="P8" s="88"/>
      <c r="R8" s="88"/>
    </row>
    <row r="9" spans="1:18" ht="105" customHeight="1">
      <c r="A9" s="16">
        <f>+MRS!A9</f>
        <v>4</v>
      </c>
      <c r="B9" s="161" t="str">
        <f>MRS!B9</f>
        <v xml:space="preserve">Wall Exhaust Fan </v>
      </c>
      <c r="C9" s="162"/>
      <c r="D9" s="163" t="str">
        <f>MRS!D9</f>
        <v>220V 295x135x295mm</v>
      </c>
      <c r="E9" s="164"/>
      <c r="F9" s="165"/>
      <c r="G9" s="85" t="str">
        <f>MRS!G9</f>
        <v>Nos</v>
      </c>
      <c r="H9" s="85">
        <f>MRS!H9</f>
        <v>5</v>
      </c>
      <c r="I9" s="86">
        <f>MRS!I9</f>
        <v>55</v>
      </c>
      <c r="J9" s="86">
        <f>MRS!J9</f>
        <v>275</v>
      </c>
      <c r="K9" s="87"/>
      <c r="O9" s="88"/>
      <c r="P9" s="88"/>
      <c r="R9" s="88"/>
    </row>
    <row r="10" spans="1:18" ht="105" customHeight="1">
      <c r="A10" s="16">
        <f>+MRS!A10</f>
        <v>5</v>
      </c>
      <c r="B10" s="161" t="str">
        <f>MRS!B10</f>
        <v>Bacteria Test Kit Bactaslyde</v>
      </c>
      <c r="C10" s="162"/>
      <c r="D10" s="163" t="str">
        <f>MRS!D10</f>
        <v xml:space="preserve"> BS103</v>
      </c>
      <c r="E10" s="164"/>
      <c r="F10" s="165"/>
      <c r="G10" s="85" t="str">
        <f>MRS!G10</f>
        <v>Kit</v>
      </c>
      <c r="H10" s="85">
        <f>MRS!H10</f>
        <v>6</v>
      </c>
      <c r="I10" s="86">
        <f>MRS!I10</f>
        <v>190</v>
      </c>
      <c r="J10" s="86">
        <f>MRS!J10</f>
        <v>1140</v>
      </c>
      <c r="K10" s="87"/>
      <c r="O10" s="88"/>
      <c r="P10" s="88"/>
      <c r="R10" s="88"/>
    </row>
    <row r="11" spans="1:18" ht="105" customHeight="1">
      <c r="A11" s="16">
        <f>+MRS!A11</f>
        <v>6</v>
      </c>
      <c r="B11" s="161" t="str">
        <f>MRS!B11</f>
        <v xml:space="preserve">Flap Wheel </v>
      </c>
      <c r="C11" s="162"/>
      <c r="D11" s="163" t="str">
        <f>MRS!D11</f>
        <v>S/S 25x20x6mm</v>
      </c>
      <c r="E11" s="164"/>
      <c r="F11" s="165"/>
      <c r="G11" s="85" t="str">
        <f>MRS!G11</f>
        <v>Nos</v>
      </c>
      <c r="H11" s="85">
        <f>MRS!H11</f>
        <v>600</v>
      </c>
      <c r="I11" s="86">
        <f>MRS!I11</f>
        <v>4</v>
      </c>
      <c r="J11" s="86">
        <f>MRS!J11</f>
        <v>2400</v>
      </c>
      <c r="K11" s="87"/>
      <c r="O11" s="88"/>
      <c r="P11" s="88"/>
      <c r="R11" s="88"/>
    </row>
    <row r="12" spans="1:18" ht="105" customHeight="1">
      <c r="A12" s="16">
        <f>+MRS!A12</f>
        <v>7</v>
      </c>
      <c r="B12" s="161" t="str">
        <f>MRS!B12</f>
        <v>Hi Stick Spray Paint Rust Resistant</v>
      </c>
      <c r="C12" s="162"/>
      <c r="D12" s="163" t="str">
        <f>MRS!D12</f>
        <v xml:space="preserve"> Dark Blue</v>
      </c>
      <c r="E12" s="164"/>
      <c r="F12" s="165"/>
      <c r="G12" s="85" t="str">
        <f>MRS!G12</f>
        <v>Nos</v>
      </c>
      <c r="H12" s="85">
        <f>MRS!H12</f>
        <v>36</v>
      </c>
      <c r="I12" s="86">
        <f>MRS!I12</f>
        <v>4.4000000000000004</v>
      </c>
      <c r="J12" s="86">
        <f>MRS!J12</f>
        <v>158.4</v>
      </c>
      <c r="K12" s="87"/>
      <c r="O12" s="88"/>
      <c r="P12" s="88"/>
      <c r="R12" s="88"/>
    </row>
    <row r="13" spans="1:18" ht="105" customHeight="1">
      <c r="A13" s="16">
        <f>+MRS!A13</f>
        <v>8</v>
      </c>
      <c r="B13" s="161" t="str">
        <f>MRS!B13</f>
        <v>Hi Stick Spray Paint Rust Resistant</v>
      </c>
      <c r="C13" s="162"/>
      <c r="D13" s="163" t="str">
        <f>MRS!D13</f>
        <v xml:space="preserve"> Yellow</v>
      </c>
      <c r="E13" s="164"/>
      <c r="F13" s="165"/>
      <c r="G13" s="85" t="str">
        <f>MRS!G13</f>
        <v>Nos</v>
      </c>
      <c r="H13" s="85">
        <f>MRS!H13</f>
        <v>12</v>
      </c>
      <c r="I13" s="86">
        <f>MRS!I13</f>
        <v>4.4000000000000004</v>
      </c>
      <c r="J13" s="86">
        <f>MRS!J13</f>
        <v>52.800000000000004</v>
      </c>
      <c r="K13" s="87"/>
      <c r="O13" s="88"/>
      <c r="P13" s="88"/>
      <c r="R13" s="88"/>
    </row>
    <row r="14" spans="1:18" ht="105" customHeight="1">
      <c r="A14" s="16">
        <f>+MRS!A14</f>
        <v>9</v>
      </c>
      <c r="B14" s="161" t="str">
        <f>MRS!B14</f>
        <v>Parts Handle Side</v>
      </c>
      <c r="C14" s="162"/>
      <c r="D14" s="163" t="str">
        <f>MRS!D14</f>
        <v xml:space="preserve"> (562211-00) for DWE4002-B5 Dewalt</v>
      </c>
      <c r="E14" s="164"/>
      <c r="F14" s="165"/>
      <c r="G14" s="85" t="str">
        <f>MRS!G14</f>
        <v>Nos</v>
      </c>
      <c r="H14" s="85">
        <f>MRS!H14</f>
        <v>30</v>
      </c>
      <c r="I14" s="86">
        <f>MRS!I14</f>
        <v>8</v>
      </c>
      <c r="J14" s="86">
        <f>MRS!J14</f>
        <v>240</v>
      </c>
      <c r="K14" s="87"/>
      <c r="O14" s="88"/>
      <c r="P14" s="88"/>
      <c r="R14" s="88"/>
    </row>
    <row r="15" spans="1:18" ht="105" customHeight="1">
      <c r="A15" s="16">
        <f>+MRS!A15</f>
        <v>10</v>
      </c>
      <c r="B15" s="161" t="str">
        <f>MRS!B15</f>
        <v>Gun for HIT-RE 500 V4 Hilti</v>
      </c>
      <c r="C15" s="162"/>
      <c r="D15" s="163" t="str">
        <f>MRS!D15</f>
        <v xml:space="preserve"> HDM-500</v>
      </c>
      <c r="E15" s="164"/>
      <c r="F15" s="165"/>
      <c r="G15" s="85" t="str">
        <f>MRS!G15</f>
        <v>Nos</v>
      </c>
      <c r="H15" s="85">
        <f>MRS!H15</f>
        <v>3</v>
      </c>
      <c r="I15" s="86">
        <f>MRS!I15</f>
        <v>870</v>
      </c>
      <c r="J15" s="86">
        <f>MRS!J15</f>
        <v>2610</v>
      </c>
      <c r="K15" s="87"/>
      <c r="O15" s="88"/>
      <c r="P15" s="88"/>
      <c r="R15" s="88"/>
    </row>
    <row r="16" spans="1:18" ht="105" customHeight="1">
      <c r="A16" s="16">
        <f>+MRS!A16</f>
        <v>11</v>
      </c>
      <c r="B16" s="161" t="str">
        <f>MRS!B16</f>
        <v>Automatic Center Punch</v>
      </c>
      <c r="C16" s="162"/>
      <c r="D16" s="163">
        <f>MRS!D16</f>
        <v>0</v>
      </c>
      <c r="E16" s="164"/>
      <c r="F16" s="165"/>
      <c r="G16" s="85" t="str">
        <f>MRS!G16</f>
        <v>Nos</v>
      </c>
      <c r="H16" s="85">
        <f>MRS!H16</f>
        <v>6</v>
      </c>
      <c r="I16" s="86">
        <f>MRS!I16</f>
        <v>32</v>
      </c>
      <c r="J16" s="86">
        <f>MRS!J16</f>
        <v>192</v>
      </c>
      <c r="K16" s="87"/>
      <c r="O16" s="88"/>
      <c r="P16" s="88"/>
      <c r="R16" s="88"/>
    </row>
    <row r="17" spans="1:18" ht="105" customHeight="1">
      <c r="A17" s="16">
        <f>+MRS!A17</f>
        <v>12</v>
      </c>
      <c r="B17" s="161" t="str">
        <f>MRS!B17</f>
        <v xml:space="preserve">Armature 220V (70927) for Beaver BE </v>
      </c>
      <c r="C17" s="162"/>
      <c r="D17" s="163" t="str">
        <f>MRS!D17</f>
        <v>50G AT Asada</v>
      </c>
      <c r="E17" s="164"/>
      <c r="F17" s="165"/>
      <c r="G17" s="85" t="str">
        <f>MRS!G17</f>
        <v>Nos</v>
      </c>
      <c r="H17" s="85">
        <f>MRS!H17</f>
        <v>2</v>
      </c>
      <c r="I17" s="86">
        <f>MRS!I17</f>
        <v>1320</v>
      </c>
      <c r="J17" s="86">
        <f>MRS!J17</f>
        <v>2640</v>
      </c>
      <c r="K17" s="87"/>
      <c r="O17" s="88"/>
      <c r="P17" s="88"/>
      <c r="R17" s="88"/>
    </row>
    <row r="18" spans="1:18" ht="105" customHeight="1">
      <c r="A18" s="16">
        <f>+MRS!A18</f>
        <v>13</v>
      </c>
      <c r="B18" s="161" t="str">
        <f>MRS!B18</f>
        <v xml:space="preserve">Field Coil 220V (70926) for Beaver BE </v>
      </c>
      <c r="C18" s="162"/>
      <c r="D18" s="163" t="str">
        <f>MRS!D18</f>
        <v>50G AT Asada</v>
      </c>
      <c r="E18" s="164"/>
      <c r="F18" s="165"/>
      <c r="G18" s="85" t="str">
        <f>MRS!G18</f>
        <v>Nos</v>
      </c>
      <c r="H18" s="85">
        <f>MRS!H18</f>
        <v>2</v>
      </c>
      <c r="I18" s="86">
        <f>MRS!I18</f>
        <v>680</v>
      </c>
      <c r="J18" s="86">
        <f>MRS!J18</f>
        <v>1360</v>
      </c>
      <c r="K18" s="87"/>
      <c r="O18" s="88"/>
      <c r="P18" s="88"/>
      <c r="R18" s="88"/>
    </row>
    <row r="19" spans="1:18" ht="105" customHeight="1">
      <c r="A19" s="16">
        <f>+MRS!A19</f>
        <v>14</v>
      </c>
      <c r="B19" s="161" t="str">
        <f>MRS!B19</f>
        <v>Sledge Hammer</v>
      </c>
      <c r="C19" s="162"/>
      <c r="D19" s="163" t="str">
        <f>MRS!D19</f>
        <v xml:space="preserve"> 2LB</v>
      </c>
      <c r="E19" s="164"/>
      <c r="F19" s="165"/>
      <c r="G19" s="85" t="str">
        <f>MRS!G19</f>
        <v>Nos</v>
      </c>
      <c r="H19" s="85">
        <f>MRS!H19</f>
        <v>10</v>
      </c>
      <c r="I19" s="86">
        <f>MRS!I19</f>
        <v>22</v>
      </c>
      <c r="J19" s="86">
        <f>MRS!J19</f>
        <v>220</v>
      </c>
      <c r="K19" s="87"/>
      <c r="O19" s="88"/>
      <c r="P19" s="88"/>
      <c r="R19" s="88"/>
    </row>
    <row r="20" spans="1:18" ht="105" customHeight="1">
      <c r="A20" s="16">
        <f>+MRS!A20</f>
        <v>15</v>
      </c>
      <c r="B20" s="161" t="str">
        <f>MRS!B20</f>
        <v>Screw Driver</v>
      </c>
      <c r="C20" s="162"/>
      <c r="D20" s="163" t="str">
        <f>MRS!D20</f>
        <v xml:space="preserve"> Plus+ 9"</v>
      </c>
      <c r="E20" s="164"/>
      <c r="F20" s="165"/>
      <c r="G20" s="85" t="str">
        <f>MRS!G20</f>
        <v>Nos</v>
      </c>
      <c r="H20" s="85">
        <f>MRS!H20</f>
        <v>4</v>
      </c>
      <c r="I20" s="86">
        <f>MRS!I20</f>
        <v>6.8</v>
      </c>
      <c r="J20" s="86">
        <f>MRS!J20</f>
        <v>27.2</v>
      </c>
      <c r="K20" s="87"/>
      <c r="O20" s="88"/>
      <c r="P20" s="88"/>
      <c r="R20" s="88"/>
    </row>
    <row r="21" spans="1:18" ht="105" customHeight="1">
      <c r="A21" s="16">
        <f>+MRS!A21</f>
        <v>16</v>
      </c>
      <c r="B21" s="161" t="str">
        <f>MRS!B21</f>
        <v xml:space="preserve">Screw Driver </v>
      </c>
      <c r="C21" s="162"/>
      <c r="D21" s="163" t="str">
        <f>MRS!D21</f>
        <v>Flat- 9"</v>
      </c>
      <c r="E21" s="164"/>
      <c r="F21" s="165"/>
      <c r="G21" s="85" t="str">
        <f>MRS!G21</f>
        <v>Nos</v>
      </c>
      <c r="H21" s="85">
        <f>MRS!H21</f>
        <v>4</v>
      </c>
      <c r="I21" s="86">
        <f>MRS!I21</f>
        <v>6.8</v>
      </c>
      <c r="J21" s="86">
        <f>MRS!J21</f>
        <v>27.2</v>
      </c>
      <c r="K21" s="87"/>
      <c r="O21" s="88"/>
      <c r="P21" s="88"/>
      <c r="R21" s="88"/>
    </row>
    <row r="22" spans="1:18" ht="105" customHeight="1">
      <c r="A22" s="16">
        <f>+MRS!A22</f>
        <v>17</v>
      </c>
      <c r="B22" s="161" t="str">
        <f>MRS!B22</f>
        <v>Disposable Coverall</v>
      </c>
      <c r="C22" s="162"/>
      <c r="D22" s="163" t="str">
        <f>MRS!D22</f>
        <v xml:space="preserve"> 2XL</v>
      </c>
      <c r="E22" s="164"/>
      <c r="F22" s="165"/>
      <c r="G22" s="85" t="str">
        <f>MRS!G22</f>
        <v>Nos</v>
      </c>
      <c r="H22" s="85">
        <f>MRS!H22</f>
        <v>300</v>
      </c>
      <c r="I22" s="86">
        <f>MRS!I22</f>
        <v>4</v>
      </c>
      <c r="J22" s="86">
        <f>MRS!J22</f>
        <v>1200</v>
      </c>
      <c r="K22" s="87"/>
      <c r="O22" s="88"/>
      <c r="P22" s="88"/>
      <c r="R22" s="88"/>
    </row>
    <row r="23" spans="1:18" ht="105" customHeight="1">
      <c r="A23" s="16">
        <f>+MRS!A23</f>
        <v>18</v>
      </c>
      <c r="B23" s="161" t="str">
        <f>MRS!B23</f>
        <v xml:space="preserve">Spray Paint </v>
      </c>
      <c r="C23" s="162"/>
      <c r="D23" s="163" t="str">
        <f>MRS!D23</f>
        <v>G2100 Dark Blue (240G)</v>
      </c>
      <c r="E23" s="164"/>
      <c r="F23" s="165"/>
      <c r="G23" s="85" t="str">
        <f>MRS!G23</f>
        <v>Nos</v>
      </c>
      <c r="H23" s="85">
        <f>MRS!H23</f>
        <v>50</v>
      </c>
      <c r="I23" s="86">
        <f>MRS!I23</f>
        <v>4.3</v>
      </c>
      <c r="J23" s="86">
        <f>MRS!J23</f>
        <v>215</v>
      </c>
      <c r="K23" s="87"/>
      <c r="O23" s="88"/>
      <c r="P23" s="88"/>
      <c r="R23" s="88"/>
    </row>
    <row r="24" spans="1:18" ht="105" customHeight="1">
      <c r="A24" s="16">
        <f>+MRS!A24</f>
        <v>19</v>
      </c>
      <c r="B24" s="161" t="str">
        <f>MRS!B24</f>
        <v>Spray Paint</v>
      </c>
      <c r="C24" s="162"/>
      <c r="D24" s="163" t="str">
        <f>MRS!D24</f>
        <v xml:space="preserve"> G2100 Yellow (240G)</v>
      </c>
      <c r="E24" s="164"/>
      <c r="F24" s="165"/>
      <c r="G24" s="85" t="str">
        <f>MRS!G24</f>
        <v>Nos</v>
      </c>
      <c r="H24" s="85">
        <f>MRS!H24</f>
        <v>12</v>
      </c>
      <c r="I24" s="86">
        <f>MRS!I24</f>
        <v>4.3</v>
      </c>
      <c r="J24" s="86">
        <f>MRS!J24</f>
        <v>51.599999999999994</v>
      </c>
      <c r="K24" s="87"/>
      <c r="O24" s="88"/>
      <c r="P24" s="88"/>
      <c r="R24" s="88"/>
    </row>
    <row r="25" spans="1:18" ht="105" customHeight="1">
      <c r="A25" s="16">
        <f>+MRS!A25</f>
        <v>20</v>
      </c>
      <c r="B25" s="161" t="str">
        <f>MRS!B25</f>
        <v>Toilet Cleaning Brush</v>
      </c>
      <c r="C25" s="162"/>
      <c r="D25" s="163">
        <f>MRS!D25</f>
        <v>0</v>
      </c>
      <c r="E25" s="164"/>
      <c r="F25" s="165"/>
      <c r="G25" s="85" t="str">
        <f>MRS!G25</f>
        <v>Nos</v>
      </c>
      <c r="H25" s="85">
        <f>MRS!H25</f>
        <v>50</v>
      </c>
      <c r="I25" s="86">
        <f>MRS!I25</f>
        <v>7.2</v>
      </c>
      <c r="J25" s="86">
        <f>MRS!J25</f>
        <v>360</v>
      </c>
      <c r="K25" s="87"/>
      <c r="O25" s="88"/>
      <c r="P25" s="88"/>
      <c r="R25" s="88"/>
    </row>
    <row r="26" spans="1:18" ht="105" customHeight="1">
      <c r="A26" s="16">
        <f>+MRS!A26</f>
        <v>21</v>
      </c>
      <c r="B26" s="161" t="str">
        <f>MRS!B26</f>
        <v>3M 8515 N95 Mask</v>
      </c>
      <c r="C26" s="162"/>
      <c r="D26" s="163">
        <f>MRS!D26</f>
        <v>0</v>
      </c>
      <c r="E26" s="164"/>
      <c r="F26" s="165"/>
      <c r="G26" s="85" t="str">
        <f>MRS!G26</f>
        <v>Nos</v>
      </c>
      <c r="H26" s="85">
        <f>MRS!H26</f>
        <v>30</v>
      </c>
      <c r="I26" s="86">
        <f>MRS!I26</f>
        <v>9.5</v>
      </c>
      <c r="J26" s="86">
        <f>MRS!J26</f>
        <v>285</v>
      </c>
      <c r="K26" s="87"/>
      <c r="O26" s="88"/>
      <c r="P26" s="88"/>
      <c r="R26" s="88"/>
    </row>
    <row r="27" spans="1:18" ht="105" customHeight="1">
      <c r="A27" s="16">
        <f>+MRS!A27</f>
        <v>22</v>
      </c>
      <c r="B27" s="161" t="str">
        <f>MRS!B27</f>
        <v xml:space="preserve">Hand Winch </v>
      </c>
      <c r="C27" s="162"/>
      <c r="D27" s="163" t="str">
        <f>MRS!D27</f>
        <v>5mmx10mtr</v>
      </c>
      <c r="E27" s="164"/>
      <c r="F27" s="165"/>
      <c r="G27" s="85" t="str">
        <f>MRS!G27</f>
        <v>Nos</v>
      </c>
      <c r="H27" s="85">
        <f>MRS!H27</f>
        <v>2</v>
      </c>
      <c r="I27" s="86">
        <f>MRS!I27</f>
        <v>135</v>
      </c>
      <c r="J27" s="86">
        <f>MRS!J27</f>
        <v>270</v>
      </c>
      <c r="K27" s="87"/>
      <c r="O27" s="88"/>
      <c r="P27" s="88"/>
      <c r="R27" s="88"/>
    </row>
    <row r="28" spans="1:18" ht="105" customHeight="1">
      <c r="A28" s="16">
        <f>+MRS!A28</f>
        <v>23</v>
      </c>
      <c r="B28" s="161" t="str">
        <f>MRS!B28</f>
        <v>Adjustable Wrench</v>
      </c>
      <c r="C28" s="162"/>
      <c r="D28" s="163" t="str">
        <f>MRS!D28</f>
        <v xml:space="preserve"> 18"</v>
      </c>
      <c r="E28" s="164"/>
      <c r="F28" s="165"/>
      <c r="G28" s="85" t="str">
        <f>MRS!G28</f>
        <v>Nos</v>
      </c>
      <c r="H28" s="85">
        <f>MRS!H28</f>
        <v>2</v>
      </c>
      <c r="I28" s="86">
        <f>MRS!I28</f>
        <v>52</v>
      </c>
      <c r="J28" s="86">
        <f>MRS!J28</f>
        <v>104</v>
      </c>
      <c r="K28" s="87"/>
      <c r="O28" s="88"/>
      <c r="P28" s="88"/>
      <c r="R28" s="88"/>
    </row>
    <row r="29" spans="1:18" ht="105" customHeight="1">
      <c r="A29" s="16">
        <f>+MRS!A29</f>
        <v>24</v>
      </c>
      <c r="B29" s="161" t="str">
        <f>MRS!B29</f>
        <v xml:space="preserve">Electric Insulation Tape </v>
      </c>
      <c r="C29" s="162"/>
      <c r="D29" s="163" t="str">
        <f>MRS!D29</f>
        <v>Yellow</v>
      </c>
      <c r="E29" s="164"/>
      <c r="F29" s="165"/>
      <c r="G29" s="85" t="str">
        <f>MRS!G29</f>
        <v>Nos</v>
      </c>
      <c r="H29" s="85">
        <f>MRS!H29</f>
        <v>300</v>
      </c>
      <c r="I29" s="86">
        <f>MRS!I29</f>
        <v>1.9</v>
      </c>
      <c r="J29" s="86">
        <f>MRS!J29</f>
        <v>570</v>
      </c>
      <c r="K29" s="87"/>
      <c r="O29" s="88"/>
      <c r="P29" s="88"/>
      <c r="R29" s="88"/>
    </row>
    <row r="30" spans="1:18" ht="105" customHeight="1">
      <c r="A30" s="16">
        <f>+MRS!A30</f>
        <v>25</v>
      </c>
      <c r="B30" s="161" t="str">
        <f>MRS!B30</f>
        <v xml:space="preserve">Half Round File </v>
      </c>
      <c r="C30" s="162"/>
      <c r="D30" s="163" t="str">
        <f>MRS!D30</f>
        <v>C/S 12"</v>
      </c>
      <c r="E30" s="164"/>
      <c r="F30" s="165"/>
      <c r="G30" s="85" t="str">
        <f>MRS!G30</f>
        <v>Nos</v>
      </c>
      <c r="H30" s="85">
        <f>MRS!H30</f>
        <v>15</v>
      </c>
      <c r="I30" s="86">
        <f>MRS!I30</f>
        <v>9.5</v>
      </c>
      <c r="J30" s="86">
        <f>MRS!J30</f>
        <v>142.5</v>
      </c>
      <c r="K30" s="87"/>
      <c r="O30" s="88"/>
      <c r="P30" s="88"/>
      <c r="R30" s="88"/>
    </row>
    <row r="31" spans="1:18" ht="105" customHeight="1">
      <c r="A31" s="16">
        <f>+MRS!A31</f>
        <v>26</v>
      </c>
      <c r="B31" s="161" t="str">
        <f>MRS!B31</f>
        <v>Screw Driver</v>
      </c>
      <c r="C31" s="162"/>
      <c r="D31" s="163" t="str">
        <f>MRS!D31</f>
        <v xml:space="preserve"> Star 9"</v>
      </c>
      <c r="E31" s="164"/>
      <c r="F31" s="165"/>
      <c r="G31" s="85" t="str">
        <f>MRS!G31</f>
        <v>Nos</v>
      </c>
      <c r="H31" s="85">
        <f>MRS!H31</f>
        <v>4</v>
      </c>
      <c r="I31" s="86">
        <f>MRS!I31</f>
        <v>9.6</v>
      </c>
      <c r="J31" s="86">
        <f>MRS!J31</f>
        <v>38.4</v>
      </c>
      <c r="K31" s="87"/>
      <c r="O31" s="88"/>
      <c r="P31" s="88"/>
      <c r="R31" s="88"/>
    </row>
    <row r="32" spans="1:18" ht="105" customHeight="1">
      <c r="A32" s="16">
        <f>+MRS!A32</f>
        <v>27</v>
      </c>
      <c r="B32" s="161" t="str">
        <f>MRS!B32</f>
        <v>Adjustable Wrench</v>
      </c>
      <c r="C32" s="162"/>
      <c r="D32" s="163" t="str">
        <f>MRS!D32</f>
        <v xml:space="preserve"> 24"</v>
      </c>
      <c r="E32" s="164"/>
      <c r="F32" s="165"/>
      <c r="G32" s="85" t="str">
        <f>MRS!G32</f>
        <v>Nos</v>
      </c>
      <c r="H32" s="85">
        <f>MRS!H32</f>
        <v>4</v>
      </c>
      <c r="I32" s="86">
        <f>MRS!I32</f>
        <v>98</v>
      </c>
      <c r="J32" s="86">
        <f>MRS!J32</f>
        <v>392</v>
      </c>
      <c r="K32" s="87"/>
      <c r="O32" s="88"/>
      <c r="P32" s="88"/>
      <c r="R32" s="88"/>
    </row>
    <row r="33" spans="1:18" ht="105" customHeight="1">
      <c r="A33" s="16">
        <f>+MRS!A33</f>
        <v>28</v>
      </c>
      <c r="B33" s="161" t="str">
        <f>MRS!B33</f>
        <v>Latex Half Coated Gloves</v>
      </c>
      <c r="C33" s="162"/>
      <c r="D33" s="163" t="str">
        <f>MRS!D33</f>
        <v xml:space="preserve"> Green Crinkled</v>
      </c>
      <c r="E33" s="164"/>
      <c r="F33" s="165"/>
      <c r="G33" s="85" t="str">
        <f>MRS!G33</f>
        <v>Pair</v>
      </c>
      <c r="H33" s="85">
        <f>MRS!H33</f>
        <v>9050</v>
      </c>
      <c r="I33" s="86">
        <f>MRS!I33</f>
        <v>1.3</v>
      </c>
      <c r="J33" s="86">
        <f>MRS!J33</f>
        <v>11765</v>
      </c>
      <c r="K33" s="87"/>
      <c r="O33" s="88"/>
      <c r="P33" s="88"/>
      <c r="R33" s="88"/>
    </row>
    <row r="34" spans="1:18" ht="105" customHeight="1">
      <c r="A34" s="16">
        <f>+MRS!A34</f>
        <v>29</v>
      </c>
      <c r="B34" s="161" t="str">
        <f>MRS!B34</f>
        <v xml:space="preserve">Flap Disc </v>
      </c>
      <c r="C34" s="162"/>
      <c r="D34" s="163" t="str">
        <f>MRS!D34</f>
        <v>S/S 4" 80 Grit</v>
      </c>
      <c r="E34" s="164"/>
      <c r="F34" s="165"/>
      <c r="G34" s="85" t="str">
        <f>MRS!G34</f>
        <v>Nos</v>
      </c>
      <c r="H34" s="85">
        <f>MRS!H34</f>
        <v>3800</v>
      </c>
      <c r="I34" s="86">
        <f>MRS!I34</f>
        <v>3</v>
      </c>
      <c r="J34" s="86">
        <f>MRS!J34</f>
        <v>11400</v>
      </c>
      <c r="K34" s="87"/>
      <c r="O34" s="88"/>
      <c r="P34" s="88"/>
      <c r="R34" s="88"/>
    </row>
    <row r="35" spans="1:18" ht="105" customHeight="1">
      <c r="A35" s="16">
        <f>+MRS!A35</f>
        <v>30</v>
      </c>
      <c r="B35" s="161" t="str">
        <f>MRS!B35</f>
        <v xml:space="preserve">Flap Wheel </v>
      </c>
      <c r="C35" s="162"/>
      <c r="D35" s="163" t="str">
        <f>MRS!D35</f>
        <v>S/S 40x20x6mm</v>
      </c>
      <c r="E35" s="164"/>
      <c r="F35" s="165"/>
      <c r="G35" s="85" t="str">
        <f>MRS!G35</f>
        <v>Nos</v>
      </c>
      <c r="H35" s="85">
        <f>MRS!H35</f>
        <v>1250</v>
      </c>
      <c r="I35" s="86">
        <f>MRS!I35</f>
        <v>7.8</v>
      </c>
      <c r="J35" s="86">
        <f>MRS!J35</f>
        <v>9750</v>
      </c>
      <c r="K35" s="87"/>
      <c r="O35" s="88"/>
      <c r="P35" s="88"/>
      <c r="R35" s="88"/>
    </row>
    <row r="36" spans="1:18" ht="105" customHeight="1">
      <c r="A36" s="16">
        <f>+MRS!A36</f>
        <v>31</v>
      </c>
      <c r="B36" s="161" t="str">
        <f>MRS!B36</f>
        <v xml:space="preserve">Cup Brush </v>
      </c>
      <c r="C36" s="162"/>
      <c r="D36" s="163" t="str">
        <f>MRS!D36</f>
        <v>S/S Crimped M10x75mm</v>
      </c>
      <c r="E36" s="164"/>
      <c r="F36" s="165"/>
      <c r="G36" s="85" t="str">
        <f>MRS!G36</f>
        <v>Nos</v>
      </c>
      <c r="H36" s="85">
        <f>MRS!H36</f>
        <v>1550</v>
      </c>
      <c r="I36" s="86">
        <f>MRS!I36</f>
        <v>17.5</v>
      </c>
      <c r="J36" s="86">
        <f>MRS!J36</f>
        <v>27125</v>
      </c>
      <c r="K36" s="87"/>
      <c r="O36" s="88"/>
      <c r="P36" s="88"/>
      <c r="R36" s="88"/>
    </row>
    <row r="37" spans="1:18" ht="105" customHeight="1">
      <c r="A37" s="16">
        <f>+MRS!A37</f>
        <v>32</v>
      </c>
      <c r="B37" s="161" t="str">
        <f>MRS!B37</f>
        <v>Low Chloride Paint Marker</v>
      </c>
      <c r="C37" s="162"/>
      <c r="D37" s="163" t="str">
        <f>MRS!D37</f>
        <v xml:space="preserve"> Blue</v>
      </c>
      <c r="E37" s="164"/>
      <c r="F37" s="165"/>
      <c r="G37" s="85" t="str">
        <f>MRS!G37</f>
        <v>Nos</v>
      </c>
      <c r="H37" s="85">
        <f>MRS!H37</f>
        <v>624</v>
      </c>
      <c r="I37" s="86">
        <f>MRS!I37</f>
        <v>12.8</v>
      </c>
      <c r="J37" s="86">
        <f>MRS!J37</f>
        <v>7987.2000000000007</v>
      </c>
      <c r="K37" s="87"/>
      <c r="O37" s="88"/>
      <c r="P37" s="88"/>
      <c r="R37" s="88"/>
    </row>
    <row r="38" spans="1:18" ht="105" customHeight="1">
      <c r="A38" s="16">
        <f>+MRS!A38</f>
        <v>33</v>
      </c>
      <c r="B38" s="161" t="str">
        <f>MRS!B38</f>
        <v xml:space="preserve">Zinc Spray Paint </v>
      </c>
      <c r="C38" s="162"/>
      <c r="D38" s="163" t="str">
        <f>MRS!D38</f>
        <v>Weicon(400 ml)</v>
      </c>
      <c r="E38" s="164"/>
      <c r="F38" s="165"/>
      <c r="G38" s="85" t="str">
        <f>MRS!G38</f>
        <v>Nos</v>
      </c>
      <c r="H38" s="85">
        <f>MRS!H38</f>
        <v>120</v>
      </c>
      <c r="I38" s="86">
        <f>MRS!I38</f>
        <v>32</v>
      </c>
      <c r="J38" s="86">
        <f>MRS!J38</f>
        <v>3840</v>
      </c>
      <c r="K38" s="87"/>
      <c r="O38" s="88"/>
      <c r="P38" s="88"/>
      <c r="R38" s="88"/>
    </row>
    <row r="39" spans="1:18" ht="105" customHeight="1">
      <c r="A39" s="16">
        <f>+MRS!A39</f>
        <v>34</v>
      </c>
      <c r="B39" s="161" t="str">
        <f>MRS!B39</f>
        <v>Ear Plug with Corded</v>
      </c>
      <c r="C39" s="162"/>
      <c r="D39" s="163">
        <f>MRS!D39</f>
        <v>0</v>
      </c>
      <c r="E39" s="164"/>
      <c r="F39" s="165"/>
      <c r="G39" s="85" t="str">
        <f>MRS!G39</f>
        <v>Nos</v>
      </c>
      <c r="H39" s="85">
        <f>MRS!H39</f>
        <v>3100</v>
      </c>
      <c r="I39" s="86">
        <f>MRS!I39</f>
        <v>0.55000000000000004</v>
      </c>
      <c r="J39" s="86">
        <f>MRS!J39</f>
        <v>1705.0000000000002</v>
      </c>
      <c r="K39" s="87"/>
      <c r="O39" s="88"/>
      <c r="P39" s="88"/>
      <c r="R39" s="88"/>
    </row>
    <row r="40" spans="1:18" ht="105" customHeight="1">
      <c r="A40" s="16">
        <f>+MRS!A40</f>
        <v>35</v>
      </c>
      <c r="B40" s="161" t="str">
        <f>MRS!B40</f>
        <v xml:space="preserve">Welding Glass </v>
      </c>
      <c r="C40" s="162"/>
      <c r="D40" s="163" t="str">
        <f>MRS!D40</f>
        <v>Dark #11</v>
      </c>
      <c r="E40" s="164"/>
      <c r="F40" s="165"/>
      <c r="G40" s="85" t="str">
        <f>MRS!G40</f>
        <v>Nos</v>
      </c>
      <c r="H40" s="85">
        <f>MRS!H40</f>
        <v>210</v>
      </c>
      <c r="I40" s="86">
        <f>MRS!I40</f>
        <v>0.85</v>
      </c>
      <c r="J40" s="86">
        <f>MRS!J40</f>
        <v>178.5</v>
      </c>
      <c r="K40" s="87"/>
      <c r="O40" s="88"/>
      <c r="P40" s="88"/>
      <c r="R40" s="88"/>
    </row>
    <row r="41" spans="1:18" ht="105" customHeight="1">
      <c r="A41" s="16">
        <f>+MRS!A41</f>
        <v>36</v>
      </c>
      <c r="B41" s="161" t="str">
        <f>MRS!B41</f>
        <v>Welding Glass</v>
      </c>
      <c r="C41" s="162"/>
      <c r="D41" s="163" t="str">
        <f>MRS!D41</f>
        <v xml:space="preserve"> Dark #12</v>
      </c>
      <c r="E41" s="164"/>
      <c r="F41" s="165"/>
      <c r="G41" s="85" t="str">
        <f>MRS!G41</f>
        <v>Nos</v>
      </c>
      <c r="H41" s="85">
        <f>MRS!H41</f>
        <v>260</v>
      </c>
      <c r="I41" s="86">
        <f>MRS!I41</f>
        <v>0.85</v>
      </c>
      <c r="J41" s="86">
        <f>MRS!J41</f>
        <v>221</v>
      </c>
      <c r="K41" s="87"/>
      <c r="O41" s="88"/>
      <c r="P41" s="88"/>
      <c r="R41" s="88"/>
    </row>
    <row r="42" spans="1:18" ht="105" customHeight="1">
      <c r="A42" s="16">
        <f>+MRS!A42</f>
        <v>37</v>
      </c>
      <c r="B42" s="161" t="str">
        <f>MRS!B42</f>
        <v xml:space="preserve">Welding Cable Connector </v>
      </c>
      <c r="C42" s="162"/>
      <c r="D42" s="163" t="str">
        <f>MRS!D42</f>
        <v>35-50mm2 Male &amp; Female</v>
      </c>
      <c r="E42" s="164"/>
      <c r="F42" s="165"/>
      <c r="G42" s="85" t="str">
        <f>MRS!G42</f>
        <v>Nos</v>
      </c>
      <c r="H42" s="85">
        <f>MRS!H42</f>
        <v>50</v>
      </c>
      <c r="I42" s="86">
        <f>MRS!I42</f>
        <v>13</v>
      </c>
      <c r="J42" s="86">
        <f>MRS!J42</f>
        <v>650</v>
      </c>
      <c r="K42" s="87"/>
      <c r="O42" s="88"/>
      <c r="P42" s="88"/>
      <c r="R42" s="88"/>
    </row>
    <row r="43" spans="1:18" ht="105" customHeight="1">
      <c r="A43" s="16">
        <f>+MRS!A43</f>
        <v>38</v>
      </c>
      <c r="B43" s="161" t="str">
        <f>MRS!B43</f>
        <v xml:space="preserve">Welding Cable Connector </v>
      </c>
      <c r="C43" s="162"/>
      <c r="D43" s="163" t="str">
        <f>MRS!D43</f>
        <v>50-70mm2 Male &amp; Female</v>
      </c>
      <c r="E43" s="164"/>
      <c r="F43" s="165"/>
      <c r="G43" s="85" t="str">
        <f>MRS!G43</f>
        <v>Nos</v>
      </c>
      <c r="H43" s="85">
        <f>MRS!H43</f>
        <v>150</v>
      </c>
      <c r="I43" s="86">
        <f>MRS!I43</f>
        <v>15</v>
      </c>
      <c r="J43" s="86">
        <f>MRS!J43</f>
        <v>2250</v>
      </c>
      <c r="K43" s="87"/>
      <c r="O43" s="88"/>
      <c r="P43" s="88"/>
      <c r="R43" s="88"/>
    </row>
    <row r="44" spans="1:18" ht="105" customHeight="1">
      <c r="A44" s="16">
        <f>+MRS!A44</f>
        <v>39</v>
      </c>
      <c r="B44" s="161" t="str">
        <f>MRS!B44</f>
        <v>Tig Collet Body</v>
      </c>
      <c r="C44" s="162"/>
      <c r="D44" s="163" t="str">
        <f>MRS!D44</f>
        <v xml:space="preserve"> 350A 3.2mm SS</v>
      </c>
      <c r="E44" s="164"/>
      <c r="F44" s="165"/>
      <c r="G44" s="85" t="str">
        <f>MRS!G44</f>
        <v>Nos</v>
      </c>
      <c r="H44" s="85">
        <f>MRS!H44</f>
        <v>350</v>
      </c>
      <c r="I44" s="86">
        <f>MRS!I44</f>
        <v>11.8</v>
      </c>
      <c r="J44" s="86">
        <f>MRS!J44</f>
        <v>4130</v>
      </c>
      <c r="K44" s="87"/>
      <c r="O44" s="88"/>
      <c r="P44" s="88"/>
      <c r="R44" s="88"/>
    </row>
    <row r="45" spans="1:18" ht="105" customHeight="1">
      <c r="A45" s="16">
        <f>+MRS!A45</f>
        <v>40</v>
      </c>
      <c r="B45" s="161" t="str">
        <f>MRS!B45</f>
        <v xml:space="preserve">Tig Collet Pin </v>
      </c>
      <c r="C45" s="162"/>
      <c r="D45" s="163" t="str">
        <f>MRS!D45</f>
        <v>350A 3.2mm SS</v>
      </c>
      <c r="E45" s="164"/>
      <c r="F45" s="165"/>
      <c r="G45" s="85" t="str">
        <f>MRS!G45</f>
        <v>Nos</v>
      </c>
      <c r="H45" s="85">
        <f>MRS!H45</f>
        <v>100</v>
      </c>
      <c r="I45" s="86">
        <f>MRS!I45</f>
        <v>5.5</v>
      </c>
      <c r="J45" s="86">
        <f>MRS!J45</f>
        <v>550</v>
      </c>
      <c r="K45" s="87"/>
      <c r="O45" s="88"/>
      <c r="P45" s="88"/>
      <c r="R45" s="88"/>
    </row>
    <row r="46" spans="1:18" ht="105" customHeight="1">
      <c r="A46" s="16">
        <f>+MRS!A46</f>
        <v>41</v>
      </c>
      <c r="B46" s="161" t="str">
        <f>MRS!B46</f>
        <v>Tig Torch Head with Handle</v>
      </c>
      <c r="C46" s="162"/>
      <c r="D46" s="163">
        <f>MRS!D46</f>
        <v>0</v>
      </c>
      <c r="E46" s="164"/>
      <c r="F46" s="165"/>
      <c r="G46" s="85" t="str">
        <f>MRS!G46</f>
        <v>Nos</v>
      </c>
      <c r="H46" s="85">
        <f>MRS!H46</f>
        <v>50</v>
      </c>
      <c r="I46" s="86">
        <f>MRS!I46</f>
        <v>35</v>
      </c>
      <c r="J46" s="86">
        <f>MRS!J46</f>
        <v>1750</v>
      </c>
      <c r="K46" s="87"/>
      <c r="O46" s="88"/>
      <c r="P46" s="88"/>
      <c r="R46" s="88"/>
    </row>
    <row r="47" spans="1:18" ht="105" customHeight="1">
      <c r="A47" s="16">
        <f>+MRS!A47</f>
        <v>42</v>
      </c>
      <c r="B47" s="161" t="str">
        <f>MRS!B47</f>
        <v>Tungsten Electrode</v>
      </c>
      <c r="C47" s="162"/>
      <c r="D47" s="163" t="str">
        <f>MRS!D47</f>
        <v xml:space="preserve"> 2.4mm</v>
      </c>
      <c r="E47" s="164"/>
      <c r="F47" s="165"/>
      <c r="G47" s="85" t="str">
        <f>MRS!G47</f>
        <v>Nos</v>
      </c>
      <c r="H47" s="85">
        <f>MRS!H47</f>
        <v>1000</v>
      </c>
      <c r="I47" s="86">
        <f>MRS!I47</f>
        <v>21</v>
      </c>
      <c r="J47" s="86">
        <f>MRS!J47</f>
        <v>21000</v>
      </c>
      <c r="K47" s="87"/>
      <c r="O47" s="88"/>
      <c r="P47" s="88"/>
      <c r="R47" s="88"/>
    </row>
    <row r="48" spans="1:18" ht="105" customHeight="1">
      <c r="A48" s="16">
        <f>+MRS!A48</f>
        <v>43</v>
      </c>
      <c r="B48" s="161" t="str">
        <f>MRS!B48</f>
        <v xml:space="preserve">Argon Hose Quick Connector </v>
      </c>
      <c r="C48" s="162"/>
      <c r="D48" s="163" t="str">
        <f>MRS!D48</f>
        <v>15x6mm</v>
      </c>
      <c r="E48" s="164"/>
      <c r="F48" s="165"/>
      <c r="G48" s="85" t="str">
        <f>MRS!G48</f>
        <v>Nos</v>
      </c>
      <c r="H48" s="85">
        <f>MRS!H48</f>
        <v>250</v>
      </c>
      <c r="I48" s="86">
        <f>MRS!I48</f>
        <v>28</v>
      </c>
      <c r="J48" s="86">
        <f>MRS!J48</f>
        <v>7000</v>
      </c>
      <c r="K48" s="87"/>
      <c r="O48" s="88"/>
      <c r="P48" s="88"/>
      <c r="R48" s="88"/>
    </row>
    <row r="49" spans="1:18" ht="105" customHeight="1">
      <c r="A49" s="16">
        <f>+MRS!A49</f>
        <v>44</v>
      </c>
      <c r="B49" s="161" t="str">
        <f>MRS!B49</f>
        <v xml:space="preserve">Tube Cutter </v>
      </c>
      <c r="C49" s="162"/>
      <c r="D49" s="163" t="str">
        <f>MRS!D49</f>
        <v>12-50mm Super Ego Spain</v>
      </c>
      <c r="E49" s="164"/>
      <c r="F49" s="165"/>
      <c r="G49" s="85" t="str">
        <f>MRS!G49</f>
        <v>Nos</v>
      </c>
      <c r="H49" s="85">
        <f>MRS!H49</f>
        <v>2</v>
      </c>
      <c r="I49" s="86">
        <f>MRS!I49</f>
        <v>176</v>
      </c>
      <c r="J49" s="86">
        <f>MRS!J49</f>
        <v>352</v>
      </c>
      <c r="K49" s="87"/>
      <c r="O49" s="88"/>
      <c r="P49" s="88"/>
      <c r="R49" s="88"/>
    </row>
    <row r="50" spans="1:18" ht="105" customHeight="1">
      <c r="A50" s="16">
        <f>+MRS!A50</f>
        <v>45</v>
      </c>
      <c r="B50" s="161" t="str">
        <f>MRS!B50</f>
        <v>Cutting Disc</v>
      </c>
      <c r="C50" s="162"/>
      <c r="D50" s="163" t="str">
        <f>MRS!D50</f>
        <v xml:space="preserve"> C/S 7"x3mm Maks</v>
      </c>
      <c r="E50" s="164"/>
      <c r="F50" s="165"/>
      <c r="G50" s="85" t="str">
        <f>MRS!G50</f>
        <v>Nos</v>
      </c>
      <c r="H50" s="85">
        <f>MRS!H50</f>
        <v>200</v>
      </c>
      <c r="I50" s="86">
        <f>MRS!I50</f>
        <v>3.3</v>
      </c>
      <c r="J50" s="86">
        <f>MRS!J50</f>
        <v>660</v>
      </c>
      <c r="K50" s="87"/>
      <c r="O50" s="88"/>
      <c r="P50" s="88"/>
      <c r="R50" s="88"/>
    </row>
    <row r="51" spans="1:18" ht="105" customHeight="1">
      <c r="A51" s="16">
        <f>+MRS!A51</f>
        <v>46</v>
      </c>
      <c r="B51" s="161" t="str">
        <f>MRS!B51</f>
        <v>Permanent Marker Pen Twin Tip</v>
      </c>
      <c r="C51" s="162"/>
      <c r="D51" s="163" t="str">
        <f>MRS!D51</f>
        <v xml:space="preserve"> Black 1.0x0.5mm</v>
      </c>
      <c r="E51" s="164"/>
      <c r="F51" s="165"/>
      <c r="G51" s="85" t="str">
        <f>MRS!G51</f>
        <v>Nos</v>
      </c>
      <c r="H51" s="85">
        <f>MRS!H51</f>
        <v>768</v>
      </c>
      <c r="I51" s="86">
        <f>MRS!I51</f>
        <v>1.65</v>
      </c>
      <c r="J51" s="86">
        <f>MRS!J51</f>
        <v>1267.1999999999998</v>
      </c>
      <c r="K51" s="87"/>
      <c r="O51" s="88"/>
      <c r="P51" s="88"/>
      <c r="R51" s="88"/>
    </row>
    <row r="52" spans="1:18" ht="105" customHeight="1">
      <c r="A52" s="16">
        <f>+MRS!A52</f>
        <v>47</v>
      </c>
      <c r="B52" s="161" t="str">
        <f>MRS!B52</f>
        <v>Electric Insulation Tape</v>
      </c>
      <c r="C52" s="162"/>
      <c r="D52" s="163" t="str">
        <f>MRS!D52</f>
        <v xml:space="preserve"> Green</v>
      </c>
      <c r="E52" s="164"/>
      <c r="F52" s="165"/>
      <c r="G52" s="85" t="str">
        <f>MRS!G52</f>
        <v>Nos</v>
      </c>
      <c r="H52" s="85">
        <f>MRS!H52</f>
        <v>500</v>
      </c>
      <c r="I52" s="86">
        <f>MRS!I52</f>
        <v>1.9</v>
      </c>
      <c r="J52" s="86">
        <f>MRS!J52</f>
        <v>950</v>
      </c>
      <c r="K52" s="87"/>
      <c r="O52" s="88"/>
      <c r="P52" s="88"/>
      <c r="R52" s="88"/>
    </row>
    <row r="53" spans="1:18" ht="105" customHeight="1">
      <c r="A53" s="16">
        <f>+MRS!A53</f>
        <v>48</v>
      </c>
      <c r="B53" s="161" t="str">
        <f>MRS!B53</f>
        <v>Paint Brush</v>
      </c>
      <c r="C53" s="162"/>
      <c r="D53" s="163" t="str">
        <f>MRS!D53</f>
        <v xml:space="preserve"> 1"</v>
      </c>
      <c r="E53" s="164"/>
      <c r="F53" s="165"/>
      <c r="G53" s="85" t="str">
        <f>MRS!G53</f>
        <v>Nos</v>
      </c>
      <c r="H53" s="85">
        <f>MRS!H53</f>
        <v>50</v>
      </c>
      <c r="I53" s="86">
        <f>MRS!I53</f>
        <v>1.25</v>
      </c>
      <c r="J53" s="86">
        <f>MRS!J53</f>
        <v>62.5</v>
      </c>
      <c r="K53" s="87"/>
      <c r="O53" s="88"/>
      <c r="P53" s="88"/>
      <c r="R53" s="88"/>
    </row>
    <row r="54" spans="1:18" ht="105" customHeight="1">
      <c r="A54" s="16">
        <f>+MRS!A54</f>
        <v>49</v>
      </c>
      <c r="B54" s="161" t="str">
        <f>MRS!B54</f>
        <v xml:space="preserve">Concrete Drill Bit </v>
      </c>
      <c r="C54" s="162"/>
      <c r="D54" s="163" t="str">
        <f>MRS!D54</f>
        <v>10mm</v>
      </c>
      <c r="E54" s="164"/>
      <c r="F54" s="165"/>
      <c r="G54" s="85" t="str">
        <f>MRS!G54</f>
        <v>Nos</v>
      </c>
      <c r="H54" s="85">
        <f>MRS!H54</f>
        <v>10</v>
      </c>
      <c r="I54" s="86">
        <f>MRS!I54</f>
        <v>3.7</v>
      </c>
      <c r="J54" s="86">
        <f>MRS!J54</f>
        <v>37</v>
      </c>
      <c r="K54" s="87"/>
      <c r="O54" s="88"/>
      <c r="P54" s="88"/>
      <c r="R54" s="88"/>
    </row>
    <row r="55" spans="1:18" ht="105" customHeight="1">
      <c r="A55" s="16">
        <f>+MRS!A55</f>
        <v>50</v>
      </c>
      <c r="B55" s="161" t="str">
        <f>MRS!B55</f>
        <v>Cutting Disc</v>
      </c>
      <c r="C55" s="162"/>
      <c r="D55" s="163" t="str">
        <f>MRS!D55</f>
        <v xml:space="preserve"> C/S 5"x3mm Maks</v>
      </c>
      <c r="E55" s="164"/>
      <c r="F55" s="165"/>
      <c r="G55" s="85" t="str">
        <f>MRS!G55</f>
        <v>Nos</v>
      </c>
      <c r="H55" s="85">
        <f>MRS!H55</f>
        <v>50</v>
      </c>
      <c r="I55" s="86">
        <f>MRS!I55</f>
        <v>2.15</v>
      </c>
      <c r="J55" s="86">
        <f>MRS!J55</f>
        <v>107.5</v>
      </c>
      <c r="K55" s="87"/>
      <c r="O55" s="88"/>
      <c r="P55" s="88"/>
      <c r="R55" s="88"/>
    </row>
    <row r="56" spans="1:18" ht="105" customHeight="1">
      <c r="A56" s="16">
        <f>+MRS!A56</f>
        <v>51</v>
      </c>
      <c r="B56" s="161" t="str">
        <f>MRS!B56</f>
        <v xml:space="preserve">Diamond Cutting Wheel </v>
      </c>
      <c r="C56" s="162"/>
      <c r="D56" s="163" t="str">
        <f>MRS!D56</f>
        <v>5"</v>
      </c>
      <c r="E56" s="164"/>
      <c r="F56" s="165"/>
      <c r="G56" s="85" t="str">
        <f>MRS!G56</f>
        <v>Nos</v>
      </c>
      <c r="H56" s="85">
        <f>MRS!H56</f>
        <v>5</v>
      </c>
      <c r="I56" s="86">
        <f>MRS!I56</f>
        <v>16</v>
      </c>
      <c r="J56" s="86">
        <f>MRS!J56</f>
        <v>80</v>
      </c>
      <c r="K56" s="87"/>
      <c r="O56" s="88"/>
      <c r="P56" s="88"/>
      <c r="R56" s="88"/>
    </row>
    <row r="57" spans="1:18" ht="105" customHeight="1">
      <c r="A57" s="16">
        <f>+MRS!A57</f>
        <v>52</v>
      </c>
      <c r="B57" s="161" t="str">
        <f>MRS!B57</f>
        <v>Diamond Grinding Wheel</v>
      </c>
      <c r="C57" s="162"/>
      <c r="D57" s="163" t="str">
        <f>MRS!D57</f>
        <v xml:space="preserve"> 5"</v>
      </c>
      <c r="E57" s="164"/>
      <c r="F57" s="165"/>
      <c r="G57" s="85" t="str">
        <f>MRS!G57</f>
        <v>Nos</v>
      </c>
      <c r="H57" s="85">
        <f>MRS!H57</f>
        <v>5</v>
      </c>
      <c r="I57" s="86">
        <f>MRS!I57</f>
        <v>28.5</v>
      </c>
      <c r="J57" s="86">
        <f>MRS!J57</f>
        <v>142.5</v>
      </c>
      <c r="K57" s="87"/>
      <c r="O57" s="88"/>
      <c r="P57" s="88"/>
      <c r="R57" s="88"/>
    </row>
    <row r="58" spans="1:18" ht="105" customHeight="1">
      <c r="A58" s="16">
        <f>+MRS!A58</f>
        <v>53</v>
      </c>
      <c r="B58" s="161" t="str">
        <f>MRS!B58</f>
        <v>Telescopic Magnet Pickup</v>
      </c>
      <c r="C58" s="162"/>
      <c r="D58" s="163">
        <f>MRS!D58</f>
        <v>0</v>
      </c>
      <c r="E58" s="164"/>
      <c r="F58" s="165"/>
      <c r="G58" s="85" t="str">
        <f>MRS!G58</f>
        <v>Nos</v>
      </c>
      <c r="H58" s="85">
        <f>MRS!H58</f>
        <v>10</v>
      </c>
      <c r="I58" s="86">
        <f>MRS!I58</f>
        <v>18</v>
      </c>
      <c r="J58" s="86">
        <f>MRS!J58</f>
        <v>180</v>
      </c>
      <c r="K58" s="87"/>
      <c r="O58" s="88"/>
      <c r="P58" s="88"/>
      <c r="R58" s="88"/>
    </row>
    <row r="59" spans="1:18" ht="105" customHeight="1">
      <c r="A59" s="16">
        <f>+MRS!A59</f>
        <v>54</v>
      </c>
      <c r="B59" s="161" t="str">
        <f>MRS!B59</f>
        <v>Chemical Gloves</v>
      </c>
      <c r="C59" s="162"/>
      <c r="D59" s="163" t="str">
        <f>MRS!D59</f>
        <v xml:space="preserve"> XL Heavy Duty Red Color</v>
      </c>
      <c r="E59" s="164"/>
      <c r="F59" s="165"/>
      <c r="G59" s="85" t="str">
        <f>MRS!G59</f>
        <v>Pair</v>
      </c>
      <c r="H59" s="85">
        <f>MRS!H59</f>
        <v>120</v>
      </c>
      <c r="I59" s="86">
        <f>MRS!I59</f>
        <v>4</v>
      </c>
      <c r="J59" s="86">
        <f>MRS!J59</f>
        <v>480</v>
      </c>
      <c r="K59" s="87"/>
      <c r="O59" s="88"/>
      <c r="P59" s="88"/>
      <c r="R59" s="88"/>
    </row>
    <row r="60" spans="1:18" ht="105" customHeight="1">
      <c r="A60" s="16">
        <f>+MRS!A60</f>
        <v>55</v>
      </c>
      <c r="B60" s="161" t="str">
        <f>MRS!B60</f>
        <v>Nicome Carbon Battery</v>
      </c>
      <c r="C60" s="162"/>
      <c r="D60" s="163" t="str">
        <f>MRS!D60</f>
        <v xml:space="preserve"> 9V, 6F22</v>
      </c>
      <c r="E60" s="164"/>
      <c r="F60" s="165"/>
      <c r="G60" s="85" t="str">
        <f>MRS!G60</f>
        <v>Nos</v>
      </c>
      <c r="H60" s="85">
        <f>MRS!H60</f>
        <v>24</v>
      </c>
      <c r="I60" s="86">
        <f>MRS!I60</f>
        <v>3.9</v>
      </c>
      <c r="J60" s="86">
        <f>MRS!J60</f>
        <v>93.6</v>
      </c>
      <c r="K60" s="87"/>
      <c r="O60" s="88"/>
      <c r="P60" s="88"/>
      <c r="R60" s="88"/>
    </row>
    <row r="61" spans="1:18" ht="105" customHeight="1">
      <c r="A61" s="16">
        <f>+MRS!A61</f>
        <v>56</v>
      </c>
      <c r="B61" s="161" t="str">
        <f>MRS!B61</f>
        <v xml:space="preserve">LED Torch Light Rechargeable </v>
      </c>
      <c r="C61" s="162"/>
      <c r="D61" s="163" t="str">
        <f>MRS!D61</f>
        <v>GFL4658Z Geepas</v>
      </c>
      <c r="E61" s="164"/>
      <c r="F61" s="165"/>
      <c r="G61" s="85" t="str">
        <f>MRS!G61</f>
        <v>Nos</v>
      </c>
      <c r="H61" s="85">
        <f>MRS!H61</f>
        <v>12</v>
      </c>
      <c r="I61" s="86">
        <f>MRS!I61</f>
        <v>46</v>
      </c>
      <c r="J61" s="86">
        <f>MRS!J61</f>
        <v>552</v>
      </c>
      <c r="K61" s="87"/>
      <c r="O61" s="88"/>
      <c r="P61" s="88"/>
      <c r="R61" s="88"/>
    </row>
    <row r="62" spans="1:18" ht="105" customHeight="1">
      <c r="A62" s="16">
        <f>+MRS!A62</f>
        <v>57</v>
      </c>
      <c r="B62" s="161" t="str">
        <f>MRS!B62</f>
        <v>Grinding Disc</v>
      </c>
      <c r="C62" s="162"/>
      <c r="D62" s="163" t="str">
        <f>MRS!D62</f>
        <v xml:space="preserve"> C/S 4"x6mm Maks</v>
      </c>
      <c r="E62" s="164"/>
      <c r="F62" s="165"/>
      <c r="G62" s="85" t="str">
        <f>MRS!G62</f>
        <v>Nos</v>
      </c>
      <c r="H62" s="85">
        <f>MRS!H62</f>
        <v>300</v>
      </c>
      <c r="I62" s="86">
        <f>MRS!I62</f>
        <v>2.2999999999999998</v>
      </c>
      <c r="J62" s="86">
        <f>MRS!J62</f>
        <v>690</v>
      </c>
      <c r="K62" s="87"/>
      <c r="O62" s="88"/>
      <c r="P62" s="88"/>
      <c r="R62" s="88"/>
    </row>
    <row r="63" spans="1:18" ht="105" customHeight="1">
      <c r="A63" s="16">
        <f>+MRS!A63</f>
        <v>58</v>
      </c>
      <c r="B63" s="161" t="str">
        <f>MRS!B63</f>
        <v>Electric Insulation Tape</v>
      </c>
      <c r="C63" s="162"/>
      <c r="D63" s="163" t="str">
        <f>MRS!D63</f>
        <v xml:space="preserve"> Black</v>
      </c>
      <c r="E63" s="164"/>
      <c r="F63" s="165"/>
      <c r="G63" s="85" t="str">
        <f>MRS!G63</f>
        <v>Nos</v>
      </c>
      <c r="H63" s="85">
        <f>MRS!H63</f>
        <v>100</v>
      </c>
      <c r="I63" s="86">
        <f>MRS!I63</f>
        <v>1.9</v>
      </c>
      <c r="J63" s="86">
        <f>MRS!J63</f>
        <v>190</v>
      </c>
      <c r="K63" s="87"/>
      <c r="O63" s="88"/>
      <c r="P63" s="88"/>
      <c r="R63" s="88"/>
    </row>
    <row r="64" spans="1:18" ht="105" customHeight="1">
      <c r="A64" s="16">
        <f>+MRS!A64</f>
        <v>59</v>
      </c>
      <c r="B64" s="161" t="str">
        <f>MRS!B64</f>
        <v xml:space="preserve">Carbide Burr Flame Shape </v>
      </c>
      <c r="C64" s="162"/>
      <c r="D64" s="163" t="str">
        <f>MRS!D64</f>
        <v>12x32x6mm</v>
      </c>
      <c r="E64" s="164"/>
      <c r="F64" s="165"/>
      <c r="G64" s="85" t="str">
        <f>MRS!G64</f>
        <v>Nos</v>
      </c>
      <c r="H64" s="85">
        <f>MRS!H64</f>
        <v>30</v>
      </c>
      <c r="I64" s="86">
        <f>MRS!I64</f>
        <v>45</v>
      </c>
      <c r="J64" s="86">
        <f>MRS!J64</f>
        <v>1350</v>
      </c>
      <c r="K64" s="87"/>
      <c r="O64" s="88"/>
      <c r="P64" s="88"/>
      <c r="R64" s="88"/>
    </row>
    <row r="65" spans="1:18" ht="105" customHeight="1">
      <c r="A65" s="16">
        <f>+MRS!A65</f>
        <v>60</v>
      </c>
      <c r="B65" s="161" t="str">
        <f>MRS!B65</f>
        <v xml:space="preserve">Carbide Burr Taper Shape </v>
      </c>
      <c r="C65" s="162"/>
      <c r="D65" s="163" t="str">
        <f>MRS!D65</f>
        <v>10x20x6mm</v>
      </c>
      <c r="E65" s="164"/>
      <c r="F65" s="165"/>
      <c r="G65" s="85" t="str">
        <f>MRS!G65</f>
        <v>Nos</v>
      </c>
      <c r="H65" s="85">
        <f>MRS!H65</f>
        <v>80</v>
      </c>
      <c r="I65" s="86">
        <f>MRS!I65</f>
        <v>46</v>
      </c>
      <c r="J65" s="86">
        <f>MRS!J65</f>
        <v>3680</v>
      </c>
      <c r="K65" s="87"/>
      <c r="O65" s="88"/>
      <c r="P65" s="88"/>
      <c r="R65" s="88"/>
    </row>
    <row r="66" spans="1:18" ht="105" customHeight="1">
      <c r="A66" s="16">
        <f>+MRS!A66</f>
        <v>61</v>
      </c>
      <c r="B66" s="161" t="str">
        <f>MRS!B66</f>
        <v xml:space="preserve">Welding Electrode Holder </v>
      </c>
      <c r="C66" s="162"/>
      <c r="D66" s="163" t="str">
        <f>MRS!D66</f>
        <v>500A</v>
      </c>
      <c r="E66" s="164"/>
      <c r="F66" s="165"/>
      <c r="G66" s="85" t="str">
        <f>MRS!G66</f>
        <v>Nos</v>
      </c>
      <c r="H66" s="85">
        <f>MRS!H66</f>
        <v>75</v>
      </c>
      <c r="I66" s="86">
        <f>MRS!I66</f>
        <v>26</v>
      </c>
      <c r="J66" s="86">
        <f>MRS!J66</f>
        <v>1950</v>
      </c>
      <c r="K66" s="87"/>
      <c r="O66" s="88"/>
      <c r="P66" s="88"/>
      <c r="R66" s="88"/>
    </row>
    <row r="67" spans="1:18" ht="105" customHeight="1">
      <c r="A67" s="16">
        <f>+MRS!A67</f>
        <v>62</v>
      </c>
      <c r="B67" s="161" t="str">
        <f>MRS!B67</f>
        <v xml:space="preserve">Double Ear Clamp </v>
      </c>
      <c r="C67" s="162"/>
      <c r="D67" s="163" t="str">
        <f>MRS!D67</f>
        <v>S/S 11-13mm</v>
      </c>
      <c r="E67" s="164"/>
      <c r="F67" s="165"/>
      <c r="G67" s="85" t="str">
        <f>MRS!G67</f>
        <v>Nos</v>
      </c>
      <c r="H67" s="85">
        <f>MRS!H67</f>
        <v>100</v>
      </c>
      <c r="I67" s="86">
        <f>MRS!I67</f>
        <v>4.5999999999999996</v>
      </c>
      <c r="J67" s="86">
        <f>MRS!J67</f>
        <v>459.99999999999994</v>
      </c>
      <c r="K67" s="87"/>
      <c r="O67" s="88"/>
      <c r="P67" s="88"/>
      <c r="R67" s="88"/>
    </row>
    <row r="68" spans="1:18" ht="105" customHeight="1">
      <c r="A68" s="16">
        <f>+MRS!A68</f>
        <v>63</v>
      </c>
      <c r="B68" s="161" t="str">
        <f>MRS!B68</f>
        <v>Double Ear Clamp</v>
      </c>
      <c r="C68" s="162"/>
      <c r="D68" s="163" t="str">
        <f>MRS!D68</f>
        <v xml:space="preserve"> S/S 13-15mm</v>
      </c>
      <c r="E68" s="164"/>
      <c r="F68" s="165"/>
      <c r="G68" s="85" t="str">
        <f>MRS!G68</f>
        <v>Nos</v>
      </c>
      <c r="H68" s="85">
        <f>MRS!H68</f>
        <v>100</v>
      </c>
      <c r="I68" s="86">
        <f>MRS!I68</f>
        <v>4.5999999999999996</v>
      </c>
      <c r="J68" s="86">
        <f>MRS!J68</f>
        <v>459.99999999999994</v>
      </c>
      <c r="K68" s="87"/>
      <c r="O68" s="88"/>
      <c r="P68" s="88"/>
      <c r="R68" s="88"/>
    </row>
    <row r="69" spans="1:18" ht="105" customHeight="1">
      <c r="A69" s="16">
        <f>+MRS!A69</f>
        <v>64</v>
      </c>
      <c r="B69" s="161" t="str">
        <f>MRS!B69</f>
        <v xml:space="preserve">Q-Shaped Reaction Bar for GSR122E/STC12TE </v>
      </c>
      <c r="C69" s="162"/>
      <c r="D69" s="163" t="str">
        <f>MRS!D69</f>
        <v>#11QH, TONE Japan</v>
      </c>
      <c r="E69" s="164"/>
      <c r="F69" s="165"/>
      <c r="G69" s="85" t="str">
        <f>MRS!G69</f>
        <v>Nos</v>
      </c>
      <c r="H69" s="85">
        <f>MRS!H69</f>
        <v>20</v>
      </c>
      <c r="I69" s="86">
        <f>MRS!I69</f>
        <v>680</v>
      </c>
      <c r="J69" s="86">
        <f>MRS!J69</f>
        <v>13600</v>
      </c>
      <c r="K69" s="87"/>
      <c r="O69" s="88"/>
      <c r="P69" s="88"/>
      <c r="R69" s="88"/>
    </row>
    <row r="70" spans="1:18" ht="105" customHeight="1">
      <c r="A70" s="16">
        <f>+MRS!A70</f>
        <v>65</v>
      </c>
      <c r="B70" s="161" t="str">
        <f>MRS!B70</f>
        <v>Carbon Brush</v>
      </c>
      <c r="C70" s="162"/>
      <c r="D70" s="163" t="str">
        <f>MRS!D70</f>
        <v xml:space="preserve"> E995 for STC-12TE Tone Japan</v>
      </c>
      <c r="E70" s="164"/>
      <c r="F70" s="165"/>
      <c r="G70" s="85" t="str">
        <f>MRS!G70</f>
        <v>Nos</v>
      </c>
      <c r="H70" s="85">
        <f>MRS!H70</f>
        <v>100</v>
      </c>
      <c r="I70" s="86">
        <f>MRS!I70</f>
        <v>45</v>
      </c>
      <c r="J70" s="86">
        <f>MRS!J70</f>
        <v>4500</v>
      </c>
      <c r="K70" s="87"/>
      <c r="O70" s="88"/>
      <c r="P70" s="88"/>
      <c r="R70" s="88"/>
    </row>
    <row r="71" spans="1:18" ht="105" customHeight="1">
      <c r="A71" s="16">
        <f>+MRS!A71</f>
        <v>66</v>
      </c>
      <c r="B71" s="161" t="str">
        <f>MRS!B71</f>
        <v>Set Screw for GSR122E/STC12TE</v>
      </c>
      <c r="C71" s="162"/>
      <c r="D71" s="163" t="str">
        <f>MRS!D71</f>
        <v xml:space="preserve"> #M6X6, TONE Japan</v>
      </c>
      <c r="E71" s="164"/>
      <c r="F71" s="165"/>
      <c r="G71" s="85" t="str">
        <f>MRS!G71</f>
        <v>Nos</v>
      </c>
      <c r="H71" s="85">
        <f>MRS!H71</f>
        <v>100</v>
      </c>
      <c r="I71" s="86">
        <f>MRS!I71</f>
        <v>10</v>
      </c>
      <c r="J71" s="86">
        <f>MRS!J71</f>
        <v>1000</v>
      </c>
      <c r="K71" s="87"/>
      <c r="O71" s="88"/>
      <c r="P71" s="88"/>
      <c r="R71" s="88"/>
    </row>
    <row r="72" spans="1:18" ht="105" customHeight="1">
      <c r="A72" s="16">
        <f>+MRS!A72</f>
        <v>67</v>
      </c>
      <c r="B72" s="161" t="str">
        <f>MRS!B72</f>
        <v>Two Way Radio Walkie Talkie Baofeng</v>
      </c>
      <c r="C72" s="162"/>
      <c r="D72" s="163" t="str">
        <f>MRS!D72</f>
        <v xml:space="preserve"> BF-888S</v>
      </c>
      <c r="E72" s="164"/>
      <c r="F72" s="165"/>
      <c r="G72" s="85" t="str">
        <f>MRS!G72</f>
        <v>Nos</v>
      </c>
      <c r="H72" s="85">
        <f>MRS!H72</f>
        <v>50</v>
      </c>
      <c r="I72" s="86">
        <f>MRS!I72</f>
        <v>125</v>
      </c>
      <c r="J72" s="86">
        <f>MRS!J72</f>
        <v>6250</v>
      </c>
      <c r="K72" s="87"/>
      <c r="O72" s="88"/>
      <c r="P72" s="88"/>
      <c r="R72" s="88"/>
    </row>
    <row r="73" spans="1:18" ht="105" customHeight="1">
      <c r="A73" s="16">
        <f>+MRS!A73</f>
        <v>68</v>
      </c>
      <c r="B73" s="161" t="str">
        <f>MRS!B73</f>
        <v>Cutting Disc</v>
      </c>
      <c r="C73" s="162"/>
      <c r="D73" s="163" t="str">
        <f>MRS!D73</f>
        <v xml:space="preserve"> S/S 4"x1mm Maks</v>
      </c>
      <c r="E73" s="164"/>
      <c r="F73" s="165"/>
      <c r="G73" s="85" t="str">
        <f>MRS!G73</f>
        <v>Nos</v>
      </c>
      <c r="H73" s="85">
        <f>MRS!H73</f>
        <v>18700</v>
      </c>
      <c r="I73" s="86">
        <f>MRS!I73</f>
        <v>1.3</v>
      </c>
      <c r="J73" s="86">
        <f>MRS!J73</f>
        <v>24310</v>
      </c>
      <c r="K73" s="87"/>
      <c r="O73" s="88"/>
      <c r="P73" s="88"/>
      <c r="R73" s="88"/>
    </row>
    <row r="74" spans="1:18" ht="105" customHeight="1">
      <c r="A74" s="16">
        <f>+MRS!A74</f>
        <v>69</v>
      </c>
      <c r="B74" s="161" t="str">
        <f>MRS!B74</f>
        <v>Cutting Disc</v>
      </c>
      <c r="C74" s="162"/>
      <c r="D74" s="163" t="str">
        <f>MRS!D74</f>
        <v xml:space="preserve"> C/S 4"x3mm Maks</v>
      </c>
      <c r="E74" s="164"/>
      <c r="F74" s="165"/>
      <c r="G74" s="85" t="str">
        <f>MRS!G74</f>
        <v>Nos</v>
      </c>
      <c r="H74" s="85">
        <f>MRS!H74</f>
        <v>4600</v>
      </c>
      <c r="I74" s="86">
        <f>MRS!I74</f>
        <v>1.6</v>
      </c>
      <c r="J74" s="86">
        <f>MRS!J74</f>
        <v>7360</v>
      </c>
      <c r="K74" s="87"/>
      <c r="O74" s="88"/>
      <c r="P74" s="88"/>
      <c r="R74" s="88"/>
    </row>
    <row r="75" spans="1:18" ht="105" customHeight="1">
      <c r="A75" s="16">
        <f>+MRS!A75</f>
        <v>70</v>
      </c>
      <c r="B75" s="161" t="str">
        <f>MRS!B75</f>
        <v>Cutting Disc</v>
      </c>
      <c r="C75" s="162"/>
      <c r="D75" s="163" t="str">
        <f>MRS!D75</f>
        <v xml:space="preserve"> S/S 4"x3mm Maks</v>
      </c>
      <c r="E75" s="164"/>
      <c r="F75" s="165"/>
      <c r="G75" s="85" t="str">
        <f>MRS!G75</f>
        <v>Nos</v>
      </c>
      <c r="H75" s="85">
        <f>MRS!H75</f>
        <v>3300</v>
      </c>
      <c r="I75" s="86">
        <f>MRS!I75</f>
        <v>2</v>
      </c>
      <c r="J75" s="86">
        <f>MRS!J75</f>
        <v>6600</v>
      </c>
      <c r="K75" s="87"/>
      <c r="O75" s="88"/>
      <c r="P75" s="88"/>
      <c r="R75" s="88"/>
    </row>
    <row r="76" spans="1:18" ht="105" customHeight="1">
      <c r="A76" s="16">
        <f>+MRS!A76</f>
        <v>71</v>
      </c>
      <c r="B76" s="161" t="str">
        <f>MRS!B76</f>
        <v xml:space="preserve">Grinding Disc </v>
      </c>
      <c r="C76" s="162"/>
      <c r="D76" s="163" t="str">
        <f>MRS!D76</f>
        <v>S/S 4"x6mm Maks</v>
      </c>
      <c r="E76" s="164"/>
      <c r="F76" s="165"/>
      <c r="G76" s="85" t="str">
        <f>MRS!G76</f>
        <v>Nos</v>
      </c>
      <c r="H76" s="85">
        <f>MRS!H76</f>
        <v>1600</v>
      </c>
      <c r="I76" s="86">
        <f>MRS!I76</f>
        <v>2.4</v>
      </c>
      <c r="J76" s="86">
        <f>MRS!J76</f>
        <v>3840</v>
      </c>
      <c r="K76" s="87"/>
      <c r="O76" s="88"/>
      <c r="P76" s="88"/>
      <c r="R76" s="88"/>
    </row>
    <row r="77" spans="1:18" ht="105" customHeight="1">
      <c r="A77" s="16">
        <f>+MRS!A77</f>
        <v>72</v>
      </c>
      <c r="B77" s="161" t="str">
        <f>MRS!B77</f>
        <v xml:space="preserve">Welding Electrode Holder </v>
      </c>
      <c r="C77" s="162"/>
      <c r="D77" s="163" t="str">
        <f>MRS!D77</f>
        <v>300A</v>
      </c>
      <c r="E77" s="164"/>
      <c r="F77" s="165"/>
      <c r="G77" s="85" t="str">
        <f>MRS!G77</f>
        <v>Nos</v>
      </c>
      <c r="H77" s="85">
        <f>MRS!H77</f>
        <v>25</v>
      </c>
      <c r="I77" s="86">
        <f>MRS!I77</f>
        <v>20</v>
      </c>
      <c r="J77" s="86">
        <f>MRS!J77</f>
        <v>500</v>
      </c>
      <c r="K77" s="87"/>
      <c r="O77" s="88"/>
      <c r="P77" s="88"/>
      <c r="R77" s="88"/>
    </row>
    <row r="78" spans="1:18" ht="105" customHeight="1">
      <c r="A78" s="16">
        <f>+MRS!A78</f>
        <v>73</v>
      </c>
      <c r="B78" s="161" t="str">
        <f>MRS!B78</f>
        <v>Tig Collet Body</v>
      </c>
      <c r="C78" s="162"/>
      <c r="D78" s="163" t="str">
        <f>MRS!D78</f>
        <v xml:space="preserve"> 350A 2.4mm</v>
      </c>
      <c r="E78" s="164"/>
      <c r="F78" s="165"/>
      <c r="G78" s="85" t="str">
        <f>MRS!G78</f>
        <v>Nos</v>
      </c>
      <c r="H78" s="85">
        <f>MRS!H78</f>
        <v>150</v>
      </c>
      <c r="I78" s="86">
        <f>MRS!I78</f>
        <v>11.8</v>
      </c>
      <c r="J78" s="86">
        <f>MRS!J78</f>
        <v>1770</v>
      </c>
      <c r="K78" s="87"/>
      <c r="O78" s="88"/>
      <c r="P78" s="88"/>
      <c r="R78" s="88"/>
    </row>
    <row r="79" spans="1:18" ht="105" customHeight="1">
      <c r="A79" s="16">
        <f>+MRS!A79</f>
        <v>74</v>
      </c>
      <c r="B79" s="161" t="str">
        <f>MRS!B79</f>
        <v>Tig Torch</v>
      </c>
      <c r="C79" s="162"/>
      <c r="D79" s="163" t="str">
        <f>MRS!D79</f>
        <v xml:space="preserve"> Back Cap Long (57Y02)</v>
      </c>
      <c r="E79" s="164"/>
      <c r="F79" s="165"/>
      <c r="G79" s="85" t="str">
        <f>MRS!G79</f>
        <v>Nos</v>
      </c>
      <c r="H79" s="85">
        <f>MRS!H79</f>
        <v>100</v>
      </c>
      <c r="I79" s="86">
        <f>MRS!I79</f>
        <v>3.6</v>
      </c>
      <c r="J79" s="86">
        <f>MRS!J79</f>
        <v>360</v>
      </c>
      <c r="K79" s="87"/>
      <c r="O79" s="88"/>
      <c r="P79" s="88"/>
      <c r="R79" s="88"/>
    </row>
    <row r="80" spans="1:18" ht="105" customHeight="1">
      <c r="A80" s="16">
        <f>+MRS!A80</f>
        <v>75</v>
      </c>
      <c r="B80" s="161" t="str">
        <f>MRS!B80</f>
        <v>Tig Torch</v>
      </c>
      <c r="C80" s="162"/>
      <c r="D80" s="163" t="str">
        <f>MRS!D80</f>
        <v xml:space="preserve"> Back Cap Short (57Y04)</v>
      </c>
      <c r="E80" s="164"/>
      <c r="F80" s="165"/>
      <c r="G80" s="85" t="str">
        <f>MRS!G80</f>
        <v>Nos</v>
      </c>
      <c r="H80" s="85">
        <f>MRS!H80</f>
        <v>100</v>
      </c>
      <c r="I80" s="86">
        <f>MRS!I80</f>
        <v>3</v>
      </c>
      <c r="J80" s="86">
        <f>MRS!J80</f>
        <v>300</v>
      </c>
      <c r="K80" s="87"/>
      <c r="O80" s="88"/>
      <c r="P80" s="88"/>
      <c r="R80" s="88"/>
    </row>
    <row r="81" spans="1:18" ht="105" customHeight="1">
      <c r="A81" s="16">
        <f>+MRS!A81</f>
        <v>76</v>
      </c>
      <c r="B81" s="161" t="str">
        <f>MRS!B81</f>
        <v>Tig Torch Switch</v>
      </c>
      <c r="C81" s="162"/>
      <c r="D81" s="163">
        <f>MRS!D81</f>
        <v>0</v>
      </c>
      <c r="E81" s="164"/>
      <c r="F81" s="165"/>
      <c r="G81" s="85" t="str">
        <f>MRS!G81</f>
        <v>Nos</v>
      </c>
      <c r="H81" s="85">
        <f>MRS!H81</f>
        <v>100</v>
      </c>
      <c r="I81" s="86">
        <f>MRS!I81</f>
        <v>10.5</v>
      </c>
      <c r="J81" s="86">
        <f>MRS!J81</f>
        <v>1050</v>
      </c>
      <c r="K81" s="87"/>
      <c r="O81" s="88"/>
      <c r="P81" s="88"/>
      <c r="R81" s="88"/>
    </row>
    <row r="82" spans="1:18" ht="105" customHeight="1">
      <c r="A82" s="16">
        <f>+MRS!A82</f>
        <v>77</v>
      </c>
      <c r="B82" s="161" t="str">
        <f>MRS!B82</f>
        <v xml:space="preserve">Tungsten Electrode </v>
      </c>
      <c r="C82" s="162"/>
      <c r="D82" s="163" t="str">
        <f>MRS!D82</f>
        <v>3.2mm</v>
      </c>
      <c r="E82" s="164"/>
      <c r="F82" s="165"/>
      <c r="G82" s="85" t="str">
        <f>MRS!G82</f>
        <v>Nos</v>
      </c>
      <c r="H82" s="85">
        <f>MRS!H82</f>
        <v>200</v>
      </c>
      <c r="I82" s="86">
        <f>MRS!I82</f>
        <v>25</v>
      </c>
      <c r="J82" s="86">
        <f>MRS!J82</f>
        <v>5000</v>
      </c>
      <c r="K82" s="87"/>
      <c r="O82" s="88"/>
      <c r="P82" s="88"/>
      <c r="R82" s="88"/>
    </row>
    <row r="83" spans="1:18" ht="105" customHeight="1">
      <c r="A83" s="16">
        <f>+MRS!A83</f>
        <v>78</v>
      </c>
      <c r="B83" s="161" t="str">
        <f>MRS!B83</f>
        <v xml:space="preserve">Ceramic Nozzle </v>
      </c>
      <c r="C83" s="162"/>
      <c r="D83" s="163" t="str">
        <f>MRS!D83</f>
        <v>350A #6</v>
      </c>
      <c r="E83" s="164"/>
      <c r="F83" s="165"/>
      <c r="G83" s="85" t="str">
        <f>MRS!G83</f>
        <v>Nos</v>
      </c>
      <c r="H83" s="85">
        <f>MRS!H83</f>
        <v>200</v>
      </c>
      <c r="I83" s="86">
        <f>MRS!I83</f>
        <v>11.8</v>
      </c>
      <c r="J83" s="86">
        <f>MRS!J83</f>
        <v>2360</v>
      </c>
      <c r="K83" s="87"/>
      <c r="O83" s="88"/>
      <c r="P83" s="88"/>
      <c r="R83" s="88"/>
    </row>
    <row r="84" spans="1:18" ht="105" customHeight="1">
      <c r="A84" s="16">
        <f>+MRS!A84</f>
        <v>79</v>
      </c>
      <c r="B84" s="161" t="str">
        <f>MRS!B84</f>
        <v>Dust Mask</v>
      </c>
      <c r="C84" s="162"/>
      <c r="D84" s="163" t="str">
        <f>MRS!D84</f>
        <v xml:space="preserve"> N95 Venus</v>
      </c>
      <c r="E84" s="164"/>
      <c r="F84" s="165"/>
      <c r="G84" s="85" t="str">
        <f>MRS!G84</f>
        <v>Nos</v>
      </c>
      <c r="H84" s="85">
        <f>MRS!H84</f>
        <v>3800</v>
      </c>
      <c r="I84" s="86">
        <f>MRS!I84</f>
        <v>1.35</v>
      </c>
      <c r="J84" s="86">
        <f>MRS!J84</f>
        <v>5130</v>
      </c>
      <c r="K84" s="87"/>
      <c r="O84" s="88"/>
      <c r="P84" s="88"/>
      <c r="R84" s="88"/>
    </row>
    <row r="85" spans="1:18" ht="105" customHeight="1">
      <c r="A85" s="16">
        <f>+MRS!A85</f>
        <v>80</v>
      </c>
      <c r="B85" s="161" t="str">
        <f>MRS!B85</f>
        <v>Cotton Rags</v>
      </c>
      <c r="C85" s="162"/>
      <c r="D85" s="163" t="str">
        <f>MRS!D85</f>
        <v xml:space="preserve"> White 10Kg</v>
      </c>
      <c r="E85" s="164"/>
      <c r="F85" s="165"/>
      <c r="G85" s="85" t="str">
        <f>MRS!G85</f>
        <v>Nos</v>
      </c>
      <c r="H85" s="85">
        <f>MRS!H85</f>
        <v>6</v>
      </c>
      <c r="I85" s="86">
        <f>MRS!I85</f>
        <v>78</v>
      </c>
      <c r="J85" s="86">
        <f>MRS!J85</f>
        <v>468</v>
      </c>
      <c r="K85" s="87"/>
      <c r="O85" s="88"/>
      <c r="P85" s="88"/>
      <c r="R85" s="88"/>
    </row>
    <row r="86" spans="1:18" ht="105" customHeight="1">
      <c r="A86" s="16">
        <f>+MRS!A86</f>
        <v>81</v>
      </c>
      <c r="B86" s="161" t="str">
        <f>MRS!B86</f>
        <v>Hacksaw Blade</v>
      </c>
      <c r="C86" s="162"/>
      <c r="D86" s="163" t="str">
        <f>MRS!D86</f>
        <v xml:space="preserve"> S/S 12"</v>
      </c>
      <c r="E86" s="164"/>
      <c r="F86" s="165"/>
      <c r="G86" s="85" t="str">
        <f>MRS!G86</f>
        <v>Nos</v>
      </c>
      <c r="H86" s="85">
        <f>MRS!H86</f>
        <v>300</v>
      </c>
      <c r="I86" s="86">
        <f>MRS!I86</f>
        <v>0.8</v>
      </c>
      <c r="J86" s="86">
        <f>MRS!J86</f>
        <v>240</v>
      </c>
      <c r="K86" s="87"/>
      <c r="O86" s="88"/>
      <c r="P86" s="88"/>
      <c r="R86" s="88"/>
    </row>
    <row r="87" spans="1:18" ht="105" customHeight="1">
      <c r="A87" s="16">
        <f>+MRS!A87</f>
        <v>82</v>
      </c>
      <c r="B87" s="161" t="str">
        <f>MRS!B87</f>
        <v>Sponge Foam Sheet</v>
      </c>
      <c r="C87" s="162"/>
      <c r="D87" s="163" t="str">
        <f>MRS!D87</f>
        <v xml:space="preserve"> 900x1900x100mm</v>
      </c>
      <c r="E87" s="164"/>
      <c r="F87" s="165"/>
      <c r="G87" s="85" t="str">
        <f>MRS!G87</f>
        <v>Nos</v>
      </c>
      <c r="H87" s="85">
        <f>MRS!H87</f>
        <v>25</v>
      </c>
      <c r="I87" s="86">
        <f>MRS!I87</f>
        <v>102</v>
      </c>
      <c r="J87" s="86">
        <f>MRS!J87</f>
        <v>2550</v>
      </c>
      <c r="K87" s="87"/>
      <c r="O87" s="88"/>
      <c r="P87" s="88"/>
      <c r="R87" s="88"/>
    </row>
    <row r="88" spans="1:18" ht="105" customHeight="1">
      <c r="A88" s="16">
        <f>+MRS!A88</f>
        <v>83</v>
      </c>
      <c r="B88" s="161" t="str">
        <f>MRS!B88</f>
        <v xml:space="preserve">Ceramic Nozzle </v>
      </c>
      <c r="C88" s="162"/>
      <c r="D88" s="163" t="str">
        <f>MRS!D88</f>
        <v>350A #7</v>
      </c>
      <c r="E88" s="164"/>
      <c r="F88" s="165"/>
      <c r="G88" s="85" t="str">
        <f>MRS!G88</f>
        <v>Nos</v>
      </c>
      <c r="H88" s="85">
        <f>MRS!H88</f>
        <v>300</v>
      </c>
      <c r="I88" s="86">
        <f>MRS!I88</f>
        <v>11.8</v>
      </c>
      <c r="J88" s="86">
        <f>MRS!J88</f>
        <v>3540</v>
      </c>
      <c r="K88" s="87"/>
      <c r="O88" s="88"/>
      <c r="P88" s="88"/>
      <c r="R88" s="88"/>
    </row>
    <row r="89" spans="1:18" ht="105" customHeight="1">
      <c r="A89" s="16">
        <f>+MRS!A89</f>
        <v>84</v>
      </c>
      <c r="B89" s="161" t="str">
        <f>MRS!B89</f>
        <v>Ceramic Nozzle</v>
      </c>
      <c r="C89" s="162"/>
      <c r="D89" s="163" t="str">
        <f>MRS!D89</f>
        <v xml:space="preserve"> 350A #8</v>
      </c>
      <c r="E89" s="164"/>
      <c r="F89" s="165"/>
      <c r="G89" s="85" t="str">
        <f>MRS!G89</f>
        <v>Nos</v>
      </c>
      <c r="H89" s="85">
        <f>MRS!H89</f>
        <v>300</v>
      </c>
      <c r="I89" s="86">
        <f>MRS!I89</f>
        <v>11.8</v>
      </c>
      <c r="J89" s="86">
        <f>MRS!J89</f>
        <v>3540</v>
      </c>
      <c r="K89" s="87"/>
      <c r="O89" s="88"/>
      <c r="P89" s="88"/>
      <c r="R89" s="88"/>
    </row>
    <row r="90" spans="1:18" ht="105" customHeight="1">
      <c r="A90" s="16">
        <f>+MRS!A90</f>
        <v>85</v>
      </c>
      <c r="B90" s="161" t="str">
        <f>MRS!B90</f>
        <v>Argon Regulator</v>
      </c>
      <c r="C90" s="162"/>
      <c r="D90" s="163">
        <f>MRS!D90</f>
        <v>0</v>
      </c>
      <c r="E90" s="164"/>
      <c r="F90" s="165"/>
      <c r="G90" s="85" t="str">
        <f>MRS!G90</f>
        <v>Nos</v>
      </c>
      <c r="H90" s="85">
        <f>MRS!H90</f>
        <v>50</v>
      </c>
      <c r="I90" s="86">
        <f>MRS!I90</f>
        <v>140</v>
      </c>
      <c r="J90" s="86">
        <f>MRS!J90</f>
        <v>7000</v>
      </c>
      <c r="K90" s="87"/>
      <c r="O90" s="88"/>
      <c r="P90" s="88"/>
      <c r="R90" s="88"/>
    </row>
    <row r="91" spans="1:18" ht="105" customHeight="1">
      <c r="A91" s="16">
        <f>+MRS!A91</f>
        <v>86</v>
      </c>
      <c r="B91" s="161" t="str">
        <f>MRS!B91</f>
        <v xml:space="preserve">Hacksaw Frame </v>
      </c>
      <c r="C91" s="162"/>
      <c r="D91" s="163" t="str">
        <f>MRS!D91</f>
        <v>12"</v>
      </c>
      <c r="E91" s="164"/>
      <c r="F91" s="165"/>
      <c r="G91" s="85" t="str">
        <f>MRS!G91</f>
        <v>Nos</v>
      </c>
      <c r="H91" s="85">
        <f>MRS!H91</f>
        <v>30</v>
      </c>
      <c r="I91" s="86">
        <f>MRS!I91</f>
        <v>11</v>
      </c>
      <c r="J91" s="86">
        <f>MRS!J91</f>
        <v>330</v>
      </c>
      <c r="K91" s="87"/>
      <c r="O91" s="88"/>
      <c r="P91" s="88"/>
      <c r="R91" s="88"/>
    </row>
    <row r="92" spans="1:18" ht="105" customHeight="1">
      <c r="A92" s="16">
        <f>+MRS!A92</f>
        <v>87</v>
      </c>
      <c r="B92" s="161" t="str">
        <f>MRS!B92</f>
        <v>Cable Tie</v>
      </c>
      <c r="C92" s="162"/>
      <c r="D92" s="163" t="str">
        <f>MRS!D92</f>
        <v xml:space="preserve"> 4.8mmx300mm White (100ea/pkt)</v>
      </c>
      <c r="E92" s="164"/>
      <c r="F92" s="165"/>
      <c r="G92" s="85" t="str">
        <f>MRS!G92</f>
        <v>Pkt</v>
      </c>
      <c r="H92" s="85">
        <f>MRS!H92</f>
        <v>110</v>
      </c>
      <c r="I92" s="86">
        <f>MRS!I92</f>
        <v>8</v>
      </c>
      <c r="J92" s="86">
        <f>MRS!J92</f>
        <v>880</v>
      </c>
      <c r="K92" s="87"/>
      <c r="O92" s="88"/>
      <c r="P92" s="88"/>
      <c r="R92" s="88"/>
    </row>
    <row r="93" spans="1:18" ht="105" customHeight="1">
      <c r="A93" s="16">
        <f>+MRS!A93</f>
        <v>88</v>
      </c>
      <c r="B93" s="161" t="str">
        <f>MRS!B93</f>
        <v xml:space="preserve">Paint Scraper </v>
      </c>
      <c r="C93" s="162"/>
      <c r="D93" s="163" t="str">
        <f>MRS!D93</f>
        <v>2"</v>
      </c>
      <c r="E93" s="164"/>
      <c r="F93" s="165"/>
      <c r="G93" s="85" t="str">
        <f>MRS!G93</f>
        <v>Nos</v>
      </c>
      <c r="H93" s="85">
        <f>MRS!H93</f>
        <v>50</v>
      </c>
      <c r="I93" s="86">
        <f>MRS!I93</f>
        <v>1.7</v>
      </c>
      <c r="J93" s="86">
        <f>MRS!J93</f>
        <v>85</v>
      </c>
      <c r="K93" s="87"/>
      <c r="O93" s="88"/>
      <c r="P93" s="88"/>
      <c r="R93" s="88"/>
    </row>
    <row r="94" spans="1:18" ht="105" customHeight="1">
      <c r="A94" s="16">
        <f>+MRS!A94</f>
        <v>89</v>
      </c>
      <c r="B94" s="161" t="str">
        <f>MRS!B94</f>
        <v xml:space="preserve">Flap Disc </v>
      </c>
      <c r="C94" s="162"/>
      <c r="D94" s="163" t="str">
        <f>MRS!D94</f>
        <v>C/S 4" 80 Grit</v>
      </c>
      <c r="E94" s="164"/>
      <c r="F94" s="165"/>
      <c r="G94" s="85" t="str">
        <f>MRS!G94</f>
        <v>Nos</v>
      </c>
      <c r="H94" s="85">
        <f>MRS!H94</f>
        <v>1200</v>
      </c>
      <c r="I94" s="86">
        <f>MRS!I94</f>
        <v>2.2999999999999998</v>
      </c>
      <c r="J94" s="86">
        <f>MRS!J94</f>
        <v>2760</v>
      </c>
      <c r="K94" s="87"/>
      <c r="O94" s="88"/>
      <c r="P94" s="88"/>
      <c r="R94" s="88"/>
    </row>
    <row r="95" spans="1:18" ht="105" customHeight="1">
      <c r="A95" s="16">
        <f>+MRS!A95</f>
        <v>90</v>
      </c>
      <c r="B95" s="161" t="str">
        <f>MRS!B95</f>
        <v>Flap Wheel</v>
      </c>
      <c r="C95" s="162"/>
      <c r="D95" s="163" t="str">
        <f>MRS!D95</f>
        <v xml:space="preserve"> C/S 40x20x6mm</v>
      </c>
      <c r="E95" s="164"/>
      <c r="F95" s="165"/>
      <c r="G95" s="85" t="str">
        <f>MRS!G95</f>
        <v>Nos</v>
      </c>
      <c r="H95" s="85">
        <f>MRS!H95</f>
        <v>200</v>
      </c>
      <c r="I95" s="86">
        <f>MRS!I95</f>
        <v>5.5</v>
      </c>
      <c r="J95" s="86">
        <f>MRS!J95</f>
        <v>1100</v>
      </c>
      <c r="K95" s="87"/>
      <c r="O95" s="88"/>
      <c r="P95" s="88"/>
      <c r="R95" s="88"/>
    </row>
    <row r="96" spans="1:18" ht="105" customHeight="1">
      <c r="A96" s="16">
        <f>+MRS!A96</f>
        <v>91</v>
      </c>
      <c r="B96" s="161" t="str">
        <f>MRS!B96</f>
        <v>Enamel Paint</v>
      </c>
      <c r="C96" s="162"/>
      <c r="D96" s="163" t="str">
        <f>MRS!D96</f>
        <v xml:space="preserve"> Blue 3.5kg</v>
      </c>
      <c r="E96" s="164"/>
      <c r="F96" s="165"/>
      <c r="G96" s="85" t="str">
        <f>MRS!G96</f>
        <v>Can</v>
      </c>
      <c r="H96" s="85">
        <f>MRS!H96</f>
        <v>8</v>
      </c>
      <c r="I96" s="86">
        <f>MRS!I96</f>
        <v>75</v>
      </c>
      <c r="J96" s="86">
        <f>MRS!J96</f>
        <v>600</v>
      </c>
      <c r="K96" s="87"/>
      <c r="O96" s="88"/>
      <c r="P96" s="88"/>
      <c r="R96" s="88"/>
    </row>
    <row r="97" spans="1:18" ht="105" customHeight="1">
      <c r="A97" s="16">
        <f>+MRS!A97</f>
        <v>92</v>
      </c>
      <c r="B97" s="161" t="str">
        <f>MRS!B97</f>
        <v>PVC Coated Tie Wire</v>
      </c>
      <c r="C97" s="162"/>
      <c r="D97" s="163" t="str">
        <f>MRS!D97</f>
        <v xml:space="preserve"> 6kg</v>
      </c>
      <c r="E97" s="164"/>
      <c r="F97" s="165"/>
      <c r="G97" s="85" t="str">
        <f>MRS!G97</f>
        <v>Nos</v>
      </c>
      <c r="H97" s="85">
        <f>MRS!H97</f>
        <v>10</v>
      </c>
      <c r="I97" s="86">
        <f>MRS!I97</f>
        <v>33</v>
      </c>
      <c r="J97" s="86">
        <f>MRS!J97</f>
        <v>330</v>
      </c>
      <c r="K97" s="87"/>
      <c r="O97" s="88"/>
      <c r="P97" s="88"/>
      <c r="R97" s="88"/>
    </row>
    <row r="98" spans="1:18" ht="105" customHeight="1">
      <c r="A98" s="16">
        <f>+MRS!A98</f>
        <v>93</v>
      </c>
      <c r="B98" s="161" t="str">
        <f>MRS!B98</f>
        <v>Face Shield Visor</v>
      </c>
      <c r="C98" s="162"/>
      <c r="D98" s="163" t="str">
        <f>MRS!D98</f>
        <v xml:space="preserve"> 15"</v>
      </c>
      <c r="E98" s="164"/>
      <c r="F98" s="165"/>
      <c r="G98" s="85" t="str">
        <f>MRS!G98</f>
        <v>Nos</v>
      </c>
      <c r="H98" s="85">
        <f>MRS!H98</f>
        <v>150</v>
      </c>
      <c r="I98" s="86">
        <f>MRS!I98</f>
        <v>4</v>
      </c>
      <c r="J98" s="86">
        <f>MRS!J98</f>
        <v>600</v>
      </c>
      <c r="K98" s="87"/>
      <c r="O98" s="88"/>
      <c r="P98" s="88"/>
      <c r="R98" s="88"/>
    </row>
    <row r="99" spans="1:18" ht="105" customHeight="1">
      <c r="A99" s="16">
        <f>+MRS!A99</f>
        <v>94</v>
      </c>
      <c r="B99" s="161" t="str">
        <f>MRS!B99</f>
        <v>Welding Tig Gloves</v>
      </c>
      <c r="C99" s="162"/>
      <c r="D99" s="163" t="str">
        <f>MRS!D99</f>
        <v xml:space="preserve"> 10"</v>
      </c>
      <c r="E99" s="164"/>
      <c r="F99" s="165"/>
      <c r="G99" s="85" t="str">
        <f>MRS!G99</f>
        <v>Pair</v>
      </c>
      <c r="H99" s="85">
        <f>MRS!H99</f>
        <v>580</v>
      </c>
      <c r="I99" s="86">
        <f>MRS!I99</f>
        <v>6.1</v>
      </c>
      <c r="J99" s="86">
        <f>MRS!J99</f>
        <v>3538</v>
      </c>
      <c r="K99" s="87"/>
      <c r="O99" s="88"/>
      <c r="P99" s="88"/>
      <c r="R99" s="88"/>
    </row>
    <row r="100" spans="1:18" ht="105" customHeight="1">
      <c r="A100" s="16">
        <f>+MRS!A100</f>
        <v>95</v>
      </c>
      <c r="B100" s="161" t="str">
        <f>MRS!B100</f>
        <v xml:space="preserve">Welding Tig Gloves </v>
      </c>
      <c r="C100" s="162"/>
      <c r="D100" s="163" t="str">
        <f>MRS!D100</f>
        <v>14"</v>
      </c>
      <c r="E100" s="164"/>
      <c r="F100" s="165"/>
      <c r="G100" s="85" t="str">
        <f>MRS!G100</f>
        <v>Pair</v>
      </c>
      <c r="H100" s="85">
        <f>MRS!H100</f>
        <v>620</v>
      </c>
      <c r="I100" s="86">
        <f>MRS!I100</f>
        <v>7.3</v>
      </c>
      <c r="J100" s="86">
        <f>MRS!J100</f>
        <v>4526</v>
      </c>
      <c r="K100" s="87"/>
      <c r="O100" s="88"/>
      <c r="P100" s="88"/>
      <c r="R100" s="88"/>
    </row>
    <row r="101" spans="1:18" ht="105" customHeight="1">
      <c r="A101" s="16">
        <f>+MRS!A101</f>
        <v>96</v>
      </c>
      <c r="B101" s="161" t="str">
        <f>MRS!B101</f>
        <v>Welding Apron</v>
      </c>
      <c r="C101" s="162"/>
      <c r="D101" s="163" t="str">
        <f>MRS!D101</f>
        <v xml:space="preserve"> Leather</v>
      </c>
      <c r="E101" s="164"/>
      <c r="F101" s="165"/>
      <c r="G101" s="85" t="str">
        <f>MRS!G101</f>
        <v>Nos</v>
      </c>
      <c r="H101" s="85">
        <f>MRS!H101</f>
        <v>130</v>
      </c>
      <c r="I101" s="86">
        <f>MRS!I101</f>
        <v>11.8</v>
      </c>
      <c r="J101" s="86">
        <f>MRS!J101</f>
        <v>1534</v>
      </c>
      <c r="K101" s="87"/>
      <c r="O101" s="88"/>
      <c r="P101" s="88"/>
      <c r="R101" s="88"/>
    </row>
    <row r="102" spans="1:18" ht="105" customHeight="1">
      <c r="A102" s="16">
        <f>+MRS!A102</f>
        <v>97</v>
      </c>
      <c r="B102" s="161" t="str">
        <f>MRS!B102</f>
        <v>Welding Glass</v>
      </c>
      <c r="C102" s="162"/>
      <c r="D102" s="163" t="str">
        <f>MRS!D102</f>
        <v xml:space="preserve"> Dark #10</v>
      </c>
      <c r="E102" s="164"/>
      <c r="F102" s="165"/>
      <c r="G102" s="85" t="str">
        <f>MRS!G102</f>
        <v>Nos</v>
      </c>
      <c r="H102" s="85">
        <f>MRS!H102</f>
        <v>110</v>
      </c>
      <c r="I102" s="86">
        <f>MRS!I102</f>
        <v>0.85</v>
      </c>
      <c r="J102" s="86">
        <f>MRS!J102</f>
        <v>93.5</v>
      </c>
      <c r="K102" s="87"/>
      <c r="O102" s="88"/>
      <c r="P102" s="88"/>
      <c r="R102" s="88"/>
    </row>
    <row r="103" spans="1:18" ht="105" customHeight="1">
      <c r="A103" s="16">
        <f>+MRS!A103</f>
        <v>98</v>
      </c>
      <c r="B103" s="161" t="str">
        <f>MRS!B103</f>
        <v>Scaffolding Hand Gloves</v>
      </c>
      <c r="C103" s="162"/>
      <c r="D103" s="163">
        <f>MRS!D103</f>
        <v>0</v>
      </c>
      <c r="E103" s="164"/>
      <c r="F103" s="165"/>
      <c r="G103" s="85" t="str">
        <f>MRS!G103</f>
        <v>Pair</v>
      </c>
      <c r="H103" s="85">
        <f>MRS!H103</f>
        <v>360</v>
      </c>
      <c r="I103" s="86">
        <f>MRS!I103</f>
        <v>3.8</v>
      </c>
      <c r="J103" s="86">
        <f>MRS!J103</f>
        <v>1368</v>
      </c>
      <c r="K103" s="87"/>
      <c r="O103" s="88"/>
      <c r="P103" s="88"/>
      <c r="R103" s="88"/>
    </row>
    <row r="104" spans="1:18" ht="105" customHeight="1">
      <c r="A104" s="16">
        <f>+MRS!A104</f>
        <v>99</v>
      </c>
      <c r="B104" s="161" t="str">
        <f>MRS!B104</f>
        <v xml:space="preserve">Permanent Marker Pen Twin Tip </v>
      </c>
      <c r="C104" s="162"/>
      <c r="D104" s="163" t="str">
        <f>MRS!D104</f>
        <v>Black N75W Pentel</v>
      </c>
      <c r="E104" s="164"/>
      <c r="F104" s="165"/>
      <c r="G104" s="85" t="str">
        <f>MRS!G104</f>
        <v>Nos</v>
      </c>
      <c r="H104" s="85">
        <f>MRS!H104</f>
        <v>24</v>
      </c>
      <c r="I104" s="86">
        <f>MRS!I104</f>
        <v>3.15</v>
      </c>
      <c r="J104" s="86">
        <f>MRS!J104</f>
        <v>75.599999999999994</v>
      </c>
      <c r="K104" s="87"/>
      <c r="O104" s="88"/>
      <c r="P104" s="88"/>
      <c r="R104" s="88"/>
    </row>
    <row r="105" spans="1:18" ht="105" customHeight="1">
      <c r="A105" s="16">
        <f>+MRS!A105</f>
        <v>100</v>
      </c>
      <c r="B105" s="161" t="str">
        <f>MRS!B105</f>
        <v>Permanent Marker Pen Twin Tip</v>
      </c>
      <c r="C105" s="162"/>
      <c r="D105" s="163" t="str">
        <f>MRS!D105</f>
        <v xml:space="preserve"> Blue 1.0x0.5mm</v>
      </c>
      <c r="E105" s="164"/>
      <c r="F105" s="165"/>
      <c r="G105" s="85" t="str">
        <f>MRS!G105</f>
        <v>Nos</v>
      </c>
      <c r="H105" s="85">
        <f>MRS!H105</f>
        <v>24</v>
      </c>
      <c r="I105" s="86">
        <f>MRS!I105</f>
        <v>1.65</v>
      </c>
      <c r="J105" s="86">
        <f>MRS!J105</f>
        <v>39.599999999999994</v>
      </c>
      <c r="K105" s="87"/>
      <c r="O105" s="88"/>
      <c r="P105" s="88"/>
      <c r="R105" s="88"/>
    </row>
    <row r="106" spans="1:18" ht="105" customHeight="1">
      <c r="A106" s="16">
        <f>+MRS!A106</f>
        <v>101</v>
      </c>
      <c r="B106" s="161" t="str">
        <f>MRS!B106</f>
        <v xml:space="preserve">Hand Wire Brush </v>
      </c>
      <c r="C106" s="162"/>
      <c r="D106" s="163" t="str">
        <f>MRS!D106</f>
        <v>C/S</v>
      </c>
      <c r="E106" s="164"/>
      <c r="F106" s="165"/>
      <c r="G106" s="85" t="str">
        <f>MRS!G106</f>
        <v>Nos</v>
      </c>
      <c r="H106" s="85">
        <f>MRS!H106</f>
        <v>24</v>
      </c>
      <c r="I106" s="86">
        <f>MRS!I106</f>
        <v>2.5</v>
      </c>
      <c r="J106" s="86">
        <f>MRS!J106</f>
        <v>60</v>
      </c>
      <c r="K106" s="87"/>
      <c r="O106" s="88"/>
      <c r="P106" s="88"/>
      <c r="R106" s="88"/>
    </row>
    <row r="107" spans="1:18" ht="105" customHeight="1">
      <c r="A107" s="16">
        <f>+MRS!A107</f>
        <v>102</v>
      </c>
      <c r="B107" s="161" t="str">
        <f>MRS!B107</f>
        <v>Hacksaw Blade</v>
      </c>
      <c r="C107" s="162"/>
      <c r="D107" s="163" t="str">
        <f>MRS!D107</f>
        <v xml:space="preserve"> C/S 12"</v>
      </c>
      <c r="E107" s="164"/>
      <c r="F107" s="165"/>
      <c r="G107" s="85" t="str">
        <f>MRS!G107</f>
        <v>Nos</v>
      </c>
      <c r="H107" s="85">
        <f>MRS!H107</f>
        <v>200</v>
      </c>
      <c r="I107" s="86">
        <f>MRS!I107</f>
        <v>0.6</v>
      </c>
      <c r="J107" s="86">
        <f>MRS!J107</f>
        <v>120</v>
      </c>
      <c r="K107" s="87"/>
      <c r="O107" s="88"/>
      <c r="P107" s="88"/>
      <c r="R107" s="88"/>
    </row>
    <row r="108" spans="1:18" ht="105" customHeight="1">
      <c r="A108" s="16">
        <f>+MRS!A108</f>
        <v>103</v>
      </c>
      <c r="B108" s="161" t="str">
        <f>MRS!B108</f>
        <v>Ordinary Plywood</v>
      </c>
      <c r="C108" s="162"/>
      <c r="D108" s="163" t="str">
        <f>MRS!D108</f>
        <v xml:space="preserve"> 4'x8'x12mm</v>
      </c>
      <c r="E108" s="164"/>
      <c r="F108" s="165"/>
      <c r="G108" s="85" t="str">
        <f>MRS!G108</f>
        <v>Sh't</v>
      </c>
      <c r="H108" s="85">
        <f>MRS!H108</f>
        <v>100</v>
      </c>
      <c r="I108" s="86">
        <f>MRS!I108</f>
        <v>95</v>
      </c>
      <c r="J108" s="86">
        <f>MRS!J108</f>
        <v>9500</v>
      </c>
      <c r="K108" s="87"/>
      <c r="O108" s="88"/>
      <c r="P108" s="88"/>
      <c r="R108" s="88"/>
    </row>
    <row r="109" spans="1:18" ht="105" customHeight="1">
      <c r="A109" s="16">
        <f>+MRS!A109</f>
        <v>104</v>
      </c>
      <c r="B109" s="161" t="str">
        <f>MRS!B109</f>
        <v xml:space="preserve">Drill Bit </v>
      </c>
      <c r="C109" s="162"/>
      <c r="D109" s="163" t="str">
        <f>MRS!D109</f>
        <v>CS 4mm</v>
      </c>
      <c r="E109" s="164"/>
      <c r="F109" s="165"/>
      <c r="G109" s="85" t="str">
        <f>MRS!G109</f>
        <v>Nos</v>
      </c>
      <c r="H109" s="85">
        <f>MRS!H109</f>
        <v>20</v>
      </c>
      <c r="I109" s="86">
        <f>MRS!I109</f>
        <v>0.8</v>
      </c>
      <c r="J109" s="86">
        <f>MRS!J109</f>
        <v>16</v>
      </c>
      <c r="K109" s="87"/>
      <c r="O109" s="88"/>
      <c r="P109" s="88"/>
      <c r="R109" s="88"/>
    </row>
    <row r="110" spans="1:18" ht="105" customHeight="1">
      <c r="A110" s="16">
        <f>+MRS!A110</f>
        <v>105</v>
      </c>
      <c r="B110" s="161" t="str">
        <f>MRS!B110</f>
        <v xml:space="preserve">Drill Bit </v>
      </c>
      <c r="C110" s="162"/>
      <c r="D110" s="163" t="str">
        <f>MRS!D110</f>
        <v>CS 5mm</v>
      </c>
      <c r="E110" s="164"/>
      <c r="F110" s="165"/>
      <c r="G110" s="85" t="str">
        <f>MRS!G110</f>
        <v>Nos</v>
      </c>
      <c r="H110" s="85">
        <f>MRS!H110</f>
        <v>20</v>
      </c>
      <c r="I110" s="86">
        <f>MRS!I110</f>
        <v>1.1000000000000001</v>
      </c>
      <c r="J110" s="86">
        <f>MRS!J110</f>
        <v>22</v>
      </c>
      <c r="K110" s="87"/>
      <c r="O110" s="88"/>
      <c r="P110" s="88"/>
      <c r="R110" s="88"/>
    </row>
    <row r="111" spans="1:18" ht="105" customHeight="1">
      <c r="A111" s="16">
        <f>+MRS!A111</f>
        <v>106</v>
      </c>
      <c r="B111" s="161" t="str">
        <f>MRS!B111</f>
        <v>Drill Bit</v>
      </c>
      <c r="C111" s="162"/>
      <c r="D111" s="163" t="str">
        <f>MRS!D111</f>
        <v xml:space="preserve"> CS 6mm</v>
      </c>
      <c r="E111" s="164"/>
      <c r="F111" s="165"/>
      <c r="G111" s="85" t="str">
        <f>MRS!G111</f>
        <v>Nos</v>
      </c>
      <c r="H111" s="85">
        <f>MRS!H111</f>
        <v>20</v>
      </c>
      <c r="I111" s="86">
        <f>MRS!I111</f>
        <v>1.2</v>
      </c>
      <c r="J111" s="86">
        <f>MRS!J111</f>
        <v>24</v>
      </c>
      <c r="K111" s="87"/>
      <c r="O111" s="88"/>
      <c r="P111" s="88"/>
      <c r="R111" s="88"/>
    </row>
    <row r="112" spans="1:18" ht="105" customHeight="1">
      <c r="A112" s="16">
        <f>+MRS!A112</f>
        <v>107</v>
      </c>
      <c r="B112" s="161" t="str">
        <f>MRS!B112</f>
        <v xml:space="preserve">Drill Bit </v>
      </c>
      <c r="C112" s="162"/>
      <c r="D112" s="163" t="str">
        <f>MRS!D112</f>
        <v>CS 8mm</v>
      </c>
      <c r="E112" s="164"/>
      <c r="F112" s="165"/>
      <c r="G112" s="85" t="str">
        <f>MRS!G112</f>
        <v>Nos</v>
      </c>
      <c r="H112" s="85">
        <f>MRS!H112</f>
        <v>20</v>
      </c>
      <c r="I112" s="86">
        <f>MRS!I112</f>
        <v>2.8</v>
      </c>
      <c r="J112" s="86">
        <f>MRS!J112</f>
        <v>56</v>
      </c>
      <c r="K112" s="87"/>
      <c r="O112" s="88"/>
      <c r="P112" s="88"/>
      <c r="R112" s="88"/>
    </row>
    <row r="113" spans="1:18" ht="105" customHeight="1">
      <c r="A113" s="16">
        <f>+MRS!A113</f>
        <v>108</v>
      </c>
      <c r="B113" s="161" t="str">
        <f>MRS!B113</f>
        <v xml:space="preserve">Drill Bit </v>
      </c>
      <c r="C113" s="162"/>
      <c r="D113" s="163" t="str">
        <f>MRS!D113</f>
        <v>CS 10mm</v>
      </c>
      <c r="E113" s="164"/>
      <c r="F113" s="165"/>
      <c r="G113" s="85" t="str">
        <f>MRS!G113</f>
        <v>Nos</v>
      </c>
      <c r="H113" s="85">
        <f>MRS!H113</f>
        <v>20</v>
      </c>
      <c r="I113" s="86">
        <f>MRS!I113</f>
        <v>4.2</v>
      </c>
      <c r="J113" s="86">
        <f>MRS!J113</f>
        <v>84</v>
      </c>
      <c r="K113" s="87"/>
      <c r="O113" s="88"/>
      <c r="P113" s="88"/>
      <c r="R113" s="88"/>
    </row>
    <row r="114" spans="1:18" ht="105" customHeight="1">
      <c r="A114" s="16">
        <f>+MRS!A114</f>
        <v>109</v>
      </c>
      <c r="B114" s="161" t="str">
        <f>MRS!B114</f>
        <v xml:space="preserve">Drill Bit </v>
      </c>
      <c r="C114" s="162"/>
      <c r="D114" s="163" t="str">
        <f>MRS!D114</f>
        <v>CS 12mm</v>
      </c>
      <c r="E114" s="164"/>
      <c r="F114" s="165"/>
      <c r="G114" s="85" t="str">
        <f>MRS!G114</f>
        <v>Nos</v>
      </c>
      <c r="H114" s="85">
        <f>MRS!H114</f>
        <v>20</v>
      </c>
      <c r="I114" s="86">
        <f>MRS!I114</f>
        <v>5.5</v>
      </c>
      <c r="J114" s="86">
        <f>MRS!J114</f>
        <v>110</v>
      </c>
      <c r="K114" s="87"/>
      <c r="O114" s="88"/>
      <c r="P114" s="88"/>
      <c r="R114" s="88"/>
    </row>
    <row r="115" spans="1:18" ht="105" customHeight="1">
      <c r="A115" s="16">
        <f>+MRS!A115</f>
        <v>110</v>
      </c>
      <c r="B115" s="161" t="str">
        <f>MRS!B115</f>
        <v xml:space="preserve">Rubber Hand Gloves </v>
      </c>
      <c r="C115" s="162"/>
      <c r="D115" s="163" t="str">
        <f>MRS!D115</f>
        <v>M</v>
      </c>
      <c r="E115" s="164"/>
      <c r="F115" s="165"/>
      <c r="G115" s="85" t="str">
        <f>MRS!G115</f>
        <v>Pair</v>
      </c>
      <c r="H115" s="85">
        <f>MRS!H115</f>
        <v>100</v>
      </c>
      <c r="I115" s="86">
        <f>MRS!I115</f>
        <v>2</v>
      </c>
      <c r="J115" s="86">
        <f>MRS!J115</f>
        <v>200</v>
      </c>
      <c r="K115" s="87"/>
      <c r="O115" s="88"/>
      <c r="P115" s="88"/>
      <c r="R115" s="88"/>
    </row>
    <row r="116" spans="1:18" ht="105" customHeight="1">
      <c r="A116" s="16">
        <f>+MRS!A116</f>
        <v>111</v>
      </c>
      <c r="B116" s="161" t="str">
        <f>MRS!B116</f>
        <v>Polythene Sheet</v>
      </c>
      <c r="C116" s="162"/>
      <c r="D116" s="163" t="str">
        <f>MRS!D116</f>
        <v xml:space="preserve"> 4x20mtr 0.5mm</v>
      </c>
      <c r="E116" s="164"/>
      <c r="F116" s="165"/>
      <c r="G116" s="85" t="str">
        <f>MRS!G116</f>
        <v>roll</v>
      </c>
      <c r="H116" s="85">
        <f>MRS!H116</f>
        <v>5</v>
      </c>
      <c r="I116" s="86">
        <f>MRS!I116</f>
        <v>430</v>
      </c>
      <c r="J116" s="86">
        <f>MRS!J116</f>
        <v>2150</v>
      </c>
      <c r="K116" s="87"/>
      <c r="O116" s="88"/>
      <c r="P116" s="88"/>
      <c r="R116" s="88"/>
    </row>
    <row r="117" spans="1:18" ht="105" customHeight="1">
      <c r="A117" s="16">
        <f>+MRS!A117</f>
        <v>112</v>
      </c>
      <c r="B117" s="161" t="str">
        <f>MRS!B117</f>
        <v>Megaphone Speaker</v>
      </c>
      <c r="C117" s="162"/>
      <c r="D117" s="163">
        <f>MRS!D117</f>
        <v>0</v>
      </c>
      <c r="E117" s="164"/>
      <c r="F117" s="165"/>
      <c r="G117" s="85" t="str">
        <f>MRS!G117</f>
        <v>Nos</v>
      </c>
      <c r="H117" s="85">
        <f>MRS!H117</f>
        <v>3</v>
      </c>
      <c r="I117" s="86">
        <f>MRS!I117</f>
        <v>107</v>
      </c>
      <c r="J117" s="86">
        <f>MRS!J117</f>
        <v>321</v>
      </c>
      <c r="K117" s="87"/>
      <c r="O117" s="88"/>
      <c r="P117" s="88"/>
      <c r="R117" s="88"/>
    </row>
    <row r="118" spans="1:18" ht="105" customHeight="1">
      <c r="A118" s="16"/>
      <c r="B118" s="161"/>
      <c r="C118" s="162"/>
      <c r="D118" s="163"/>
      <c r="E118" s="164"/>
      <c r="F118" s="165"/>
      <c r="G118" s="85"/>
      <c r="H118" s="85"/>
      <c r="I118" s="86"/>
      <c r="J118" s="86"/>
      <c r="K118" s="87"/>
      <c r="O118" s="88"/>
      <c r="P118" s="88"/>
      <c r="R118" s="88"/>
    </row>
    <row r="119" spans="1:18" ht="105" customHeight="1">
      <c r="A119" s="16"/>
      <c r="B119" s="161"/>
      <c r="C119" s="162"/>
      <c r="D119" s="163"/>
      <c r="E119" s="164"/>
      <c r="F119" s="165"/>
      <c r="G119" s="85"/>
      <c r="H119" s="85"/>
      <c r="I119" s="86"/>
      <c r="J119" s="86"/>
      <c r="K119" s="87"/>
      <c r="O119" s="88"/>
      <c r="P119" s="88"/>
      <c r="R119" s="88"/>
    </row>
    <row r="120" spans="1:18" ht="105" customHeight="1">
      <c r="A120" s="16"/>
      <c r="B120" s="161"/>
      <c r="C120" s="162"/>
      <c r="D120" s="163"/>
      <c r="E120" s="164"/>
      <c r="F120" s="165"/>
      <c r="G120" s="85"/>
      <c r="H120" s="85"/>
      <c r="I120" s="86"/>
      <c r="J120" s="86"/>
      <c r="K120" s="87"/>
      <c r="O120" s="88"/>
      <c r="P120" s="88"/>
      <c r="R120" s="88"/>
    </row>
    <row r="121" spans="1:18" ht="105" customHeight="1">
      <c r="A121" s="16"/>
      <c r="B121" s="161"/>
      <c r="C121" s="162"/>
      <c r="D121" s="163"/>
      <c r="E121" s="164"/>
      <c r="F121" s="165"/>
      <c r="G121" s="85"/>
      <c r="H121" s="85"/>
      <c r="I121" s="86"/>
      <c r="J121" s="86"/>
      <c r="K121" s="87"/>
      <c r="O121" s="88"/>
      <c r="P121" s="88"/>
      <c r="R121" s="88"/>
    </row>
    <row r="122" spans="1:18" ht="105" customHeight="1">
      <c r="A122" s="16"/>
      <c r="B122" s="161"/>
      <c r="C122" s="162"/>
      <c r="D122" s="163"/>
      <c r="E122" s="164"/>
      <c r="F122" s="165"/>
      <c r="G122" s="85"/>
      <c r="H122" s="85"/>
      <c r="I122" s="86"/>
      <c r="J122" s="86"/>
      <c r="K122" s="87"/>
      <c r="O122" s="88"/>
      <c r="P122" s="88"/>
      <c r="R122" s="88"/>
    </row>
    <row r="123" spans="1:18" ht="105" customHeight="1">
      <c r="A123" s="16"/>
      <c r="B123" s="161"/>
      <c r="C123" s="162"/>
      <c r="D123" s="163"/>
      <c r="E123" s="164"/>
      <c r="F123" s="165"/>
      <c r="G123" s="85"/>
      <c r="H123" s="85"/>
      <c r="I123" s="86"/>
      <c r="J123" s="86"/>
      <c r="K123" s="87"/>
      <c r="O123" s="88"/>
      <c r="P123" s="88"/>
      <c r="R123" s="88"/>
    </row>
    <row r="124" spans="1:18" ht="105" customHeight="1">
      <c r="A124" s="16"/>
      <c r="B124" s="161"/>
      <c r="C124" s="162"/>
      <c r="D124" s="163"/>
      <c r="E124" s="164"/>
      <c r="F124" s="165"/>
      <c r="G124" s="85"/>
      <c r="H124" s="85"/>
      <c r="I124" s="86"/>
      <c r="J124" s="86"/>
      <c r="K124" s="87"/>
      <c r="O124" s="88"/>
      <c r="P124" s="88"/>
      <c r="R124" s="88"/>
    </row>
    <row r="125" spans="1:18" ht="105" customHeight="1">
      <c r="A125" s="16"/>
      <c r="B125" s="161"/>
      <c r="C125" s="162"/>
      <c r="D125" s="163"/>
      <c r="E125" s="164"/>
      <c r="F125" s="165"/>
      <c r="G125" s="85"/>
      <c r="H125" s="85"/>
      <c r="I125" s="86"/>
      <c r="J125" s="86"/>
      <c r="K125" s="87"/>
      <c r="O125" s="88"/>
      <c r="P125" s="88"/>
      <c r="R125" s="88"/>
    </row>
    <row r="126" spans="1:18" ht="105" customHeight="1">
      <c r="A126" s="16"/>
      <c r="B126" s="161"/>
      <c r="C126" s="162"/>
      <c r="D126" s="163"/>
      <c r="E126" s="164"/>
      <c r="F126" s="165"/>
      <c r="G126" s="85"/>
      <c r="H126" s="85"/>
      <c r="I126" s="86"/>
      <c r="J126" s="86"/>
      <c r="K126" s="87"/>
      <c r="O126" s="88"/>
      <c r="P126" s="88"/>
      <c r="R126" s="88"/>
    </row>
    <row r="127" spans="1:18" ht="105" customHeight="1">
      <c r="A127" s="16"/>
      <c r="B127" s="161"/>
      <c r="C127" s="162"/>
      <c r="D127" s="163"/>
      <c r="E127" s="164"/>
      <c r="F127" s="165"/>
      <c r="G127" s="85"/>
      <c r="H127" s="85"/>
      <c r="I127" s="86"/>
      <c r="J127" s="86"/>
      <c r="K127" s="87"/>
      <c r="O127" s="88"/>
      <c r="P127" s="88"/>
      <c r="R127" s="88"/>
    </row>
    <row r="128" spans="1:18" ht="105" customHeight="1">
      <c r="A128" s="16"/>
      <c r="B128" s="161"/>
      <c r="C128" s="162"/>
      <c r="D128" s="163"/>
      <c r="E128" s="164"/>
      <c r="F128" s="165"/>
      <c r="G128" s="85"/>
      <c r="H128" s="85"/>
      <c r="I128" s="86"/>
      <c r="J128" s="86"/>
      <c r="K128" s="87"/>
      <c r="O128" s="88"/>
      <c r="P128" s="88"/>
      <c r="R128" s="88"/>
    </row>
    <row r="129" spans="1:18" ht="105" customHeight="1">
      <c r="A129" s="16"/>
      <c r="B129" s="161"/>
      <c r="C129" s="162"/>
      <c r="D129" s="163"/>
      <c r="E129" s="164"/>
      <c r="F129" s="165"/>
      <c r="G129" s="85"/>
      <c r="H129" s="85"/>
      <c r="I129" s="86"/>
      <c r="J129" s="86"/>
      <c r="K129" s="87"/>
      <c r="O129" s="88"/>
      <c r="P129" s="88"/>
      <c r="R129" s="88"/>
    </row>
    <row r="130" spans="1:18" ht="105" customHeight="1">
      <c r="A130" s="16"/>
      <c r="B130" s="161"/>
      <c r="C130" s="162"/>
      <c r="D130" s="163"/>
      <c r="E130" s="164"/>
      <c r="F130" s="165"/>
      <c r="G130" s="85"/>
      <c r="H130" s="85"/>
      <c r="I130" s="86"/>
      <c r="J130" s="86"/>
      <c r="K130" s="87"/>
      <c r="O130" s="88"/>
      <c r="P130" s="88"/>
      <c r="R130" s="88"/>
    </row>
    <row r="131" spans="1:18" ht="105" customHeight="1">
      <c r="A131" s="16"/>
      <c r="B131" s="161"/>
      <c r="C131" s="162"/>
      <c r="D131" s="163"/>
      <c r="E131" s="164"/>
      <c r="F131" s="165"/>
      <c r="G131" s="85"/>
      <c r="H131" s="85"/>
      <c r="I131" s="86"/>
      <c r="J131" s="86"/>
      <c r="K131" s="87"/>
      <c r="O131" s="88"/>
      <c r="P131" s="88"/>
      <c r="R131" s="88"/>
    </row>
    <row r="132" spans="1:18" ht="105" customHeight="1">
      <c r="A132" s="16"/>
      <c r="B132" s="161"/>
      <c r="C132" s="162"/>
      <c r="D132" s="163"/>
      <c r="E132" s="164"/>
      <c r="F132" s="165"/>
      <c r="G132" s="85"/>
      <c r="H132" s="85"/>
      <c r="I132" s="86"/>
      <c r="J132" s="86"/>
      <c r="K132" s="87"/>
      <c r="O132" s="88"/>
      <c r="P132" s="88"/>
      <c r="R132" s="88"/>
    </row>
    <row r="133" spans="1:18" ht="105" customHeight="1">
      <c r="A133" s="16"/>
      <c r="B133" s="161"/>
      <c r="C133" s="162"/>
      <c r="D133" s="163"/>
      <c r="E133" s="164"/>
      <c r="F133" s="165"/>
      <c r="G133" s="85"/>
      <c r="H133" s="85"/>
      <c r="I133" s="86"/>
      <c r="J133" s="86"/>
      <c r="K133" s="87"/>
      <c r="O133" s="88"/>
      <c r="P133" s="88"/>
      <c r="R133" s="88"/>
    </row>
    <row r="134" spans="1:18" ht="105" customHeight="1">
      <c r="A134" s="16"/>
      <c r="B134" s="161"/>
      <c r="C134" s="162"/>
      <c r="D134" s="163"/>
      <c r="E134" s="164"/>
      <c r="F134" s="165"/>
      <c r="G134" s="85"/>
      <c r="H134" s="85"/>
      <c r="I134" s="86"/>
      <c r="J134" s="86"/>
      <c r="K134" s="87"/>
      <c r="O134" s="88"/>
      <c r="P134" s="88"/>
      <c r="R134" s="88"/>
    </row>
    <row r="135" spans="1:18" ht="105" customHeight="1">
      <c r="A135" s="16"/>
      <c r="B135" s="161"/>
      <c r="C135" s="162"/>
      <c r="D135" s="163"/>
      <c r="E135" s="164"/>
      <c r="F135" s="165"/>
      <c r="G135" s="85"/>
      <c r="H135" s="85"/>
      <c r="I135" s="86"/>
      <c r="J135" s="86"/>
      <c r="K135" s="87"/>
      <c r="O135" s="88"/>
      <c r="P135" s="88"/>
      <c r="R135" s="88"/>
    </row>
    <row r="136" spans="1:18" ht="105" customHeight="1">
      <c r="A136" s="16"/>
      <c r="B136" s="161"/>
      <c r="C136" s="162"/>
      <c r="D136" s="163"/>
      <c r="E136" s="164"/>
      <c r="F136" s="165"/>
      <c r="G136" s="85"/>
      <c r="H136" s="85"/>
      <c r="I136" s="86"/>
      <c r="J136" s="86"/>
      <c r="K136" s="87"/>
      <c r="O136" s="88"/>
      <c r="P136" s="88"/>
      <c r="R136" s="88"/>
    </row>
    <row r="137" spans="1:18" ht="105" customHeight="1">
      <c r="A137" s="16"/>
      <c r="B137" s="161"/>
      <c r="C137" s="162"/>
      <c r="D137" s="163"/>
      <c r="E137" s="164"/>
      <c r="F137" s="165"/>
      <c r="G137" s="85"/>
      <c r="H137" s="85"/>
      <c r="I137" s="86"/>
      <c r="J137" s="86"/>
      <c r="K137" s="87"/>
      <c r="O137" s="88"/>
      <c r="P137" s="88"/>
      <c r="R137" s="88"/>
    </row>
    <row r="138" spans="1:18" ht="105" customHeight="1">
      <c r="A138" s="16"/>
      <c r="B138" s="161"/>
      <c r="C138" s="162"/>
      <c r="D138" s="163"/>
      <c r="E138" s="164"/>
      <c r="F138" s="165"/>
      <c r="G138" s="85"/>
      <c r="H138" s="85"/>
      <c r="I138" s="86"/>
      <c r="J138" s="86"/>
      <c r="K138" s="87"/>
      <c r="O138" s="88"/>
      <c r="P138" s="88"/>
      <c r="R138" s="88"/>
    </row>
    <row r="139" spans="1:18" ht="105" customHeight="1">
      <c r="A139" s="16"/>
      <c r="B139" s="161"/>
      <c r="C139" s="162"/>
      <c r="D139" s="163"/>
      <c r="E139" s="164"/>
      <c r="F139" s="165"/>
      <c r="G139" s="85"/>
      <c r="H139" s="85"/>
      <c r="I139" s="86"/>
      <c r="J139" s="86"/>
      <c r="K139" s="87"/>
      <c r="O139" s="88"/>
      <c r="P139" s="88"/>
      <c r="R139" s="88"/>
    </row>
    <row r="140" spans="1:18" ht="105" customHeight="1">
      <c r="A140" s="16"/>
      <c r="B140" s="161"/>
      <c r="C140" s="162"/>
      <c r="D140" s="163"/>
      <c r="E140" s="164"/>
      <c r="F140" s="165"/>
      <c r="G140" s="85"/>
      <c r="H140" s="85"/>
      <c r="I140" s="86"/>
      <c r="J140" s="86"/>
      <c r="K140" s="87"/>
      <c r="O140" s="88"/>
      <c r="P140" s="88"/>
      <c r="R140" s="88"/>
    </row>
    <row r="141" spans="1:18" ht="105" customHeight="1">
      <c r="A141" s="16"/>
      <c r="B141" s="161"/>
      <c r="C141" s="162"/>
      <c r="D141" s="163"/>
      <c r="E141" s="164"/>
      <c r="F141" s="165"/>
      <c r="G141" s="85"/>
      <c r="H141" s="85"/>
      <c r="I141" s="86"/>
      <c r="J141" s="86"/>
      <c r="K141" s="87"/>
      <c r="O141" s="88"/>
      <c r="P141" s="88"/>
      <c r="R141" s="88"/>
    </row>
    <row r="142" spans="1:18" ht="105" customHeight="1">
      <c r="A142" s="16"/>
      <c r="B142" s="161"/>
      <c r="C142" s="162"/>
      <c r="D142" s="163"/>
      <c r="E142" s="164"/>
      <c r="F142" s="165"/>
      <c r="G142" s="85"/>
      <c r="H142" s="85"/>
      <c r="I142" s="86"/>
      <c r="J142" s="86"/>
      <c r="K142" s="87"/>
      <c r="O142" s="88"/>
      <c r="P142" s="88"/>
      <c r="R142" s="88"/>
    </row>
    <row r="143" spans="1:18" ht="105" customHeight="1">
      <c r="A143" s="16"/>
      <c r="B143" s="161"/>
      <c r="C143" s="162"/>
      <c r="D143" s="163"/>
      <c r="E143" s="164"/>
      <c r="F143" s="165"/>
      <c r="G143" s="85"/>
      <c r="H143" s="85"/>
      <c r="I143" s="86"/>
      <c r="J143" s="86"/>
      <c r="K143" s="87"/>
      <c r="O143" s="88"/>
      <c r="P143" s="88"/>
      <c r="R143" s="88"/>
    </row>
    <row r="144" spans="1:18" ht="105" customHeight="1">
      <c r="A144" s="16"/>
      <c r="B144" s="161"/>
      <c r="C144" s="162"/>
      <c r="D144" s="163"/>
      <c r="E144" s="164"/>
      <c r="F144" s="165"/>
      <c r="G144" s="85"/>
      <c r="H144" s="85"/>
      <c r="I144" s="86"/>
      <c r="J144" s="86"/>
      <c r="K144" s="87"/>
      <c r="O144" s="88"/>
      <c r="P144" s="88"/>
      <c r="R144" s="88"/>
    </row>
    <row r="145" spans="1:18" ht="105" customHeight="1">
      <c r="A145" s="16"/>
      <c r="B145" s="161"/>
      <c r="C145" s="162"/>
      <c r="D145" s="163"/>
      <c r="E145" s="164"/>
      <c r="F145" s="165"/>
      <c r="G145" s="85"/>
      <c r="H145" s="85"/>
      <c r="I145" s="86"/>
      <c r="J145" s="86"/>
      <c r="K145" s="87"/>
      <c r="O145" s="88"/>
      <c r="P145" s="88"/>
      <c r="R145" s="88"/>
    </row>
    <row r="146" spans="1:18" ht="105" customHeight="1">
      <c r="A146" s="16"/>
      <c r="B146" s="161"/>
      <c r="C146" s="162"/>
      <c r="D146" s="163"/>
      <c r="E146" s="164"/>
      <c r="F146" s="165"/>
      <c r="G146" s="85"/>
      <c r="H146" s="85"/>
      <c r="I146" s="86"/>
      <c r="J146" s="86"/>
      <c r="K146" s="87"/>
      <c r="O146" s="88"/>
      <c r="P146" s="88"/>
      <c r="R146" s="88"/>
    </row>
    <row r="147" spans="1:18" ht="105" customHeight="1">
      <c r="A147" s="16"/>
      <c r="B147" s="161"/>
      <c r="C147" s="162"/>
      <c r="D147" s="163"/>
      <c r="E147" s="164"/>
      <c r="F147" s="165"/>
      <c r="G147" s="85"/>
      <c r="H147" s="85"/>
      <c r="I147" s="86"/>
      <c r="J147" s="86"/>
      <c r="K147" s="87"/>
      <c r="O147" s="88"/>
      <c r="P147" s="88"/>
      <c r="R147" s="88"/>
    </row>
    <row r="148" spans="1:18" ht="105" customHeight="1">
      <c r="A148" s="16"/>
      <c r="B148" s="161"/>
      <c r="C148" s="162"/>
      <c r="D148" s="163"/>
      <c r="E148" s="164"/>
      <c r="F148" s="165"/>
      <c r="G148" s="85"/>
      <c r="H148" s="85"/>
      <c r="I148" s="86"/>
      <c r="J148" s="86"/>
      <c r="K148" s="87"/>
      <c r="O148" s="88"/>
      <c r="P148" s="88"/>
      <c r="R148" s="88"/>
    </row>
    <row r="149" spans="1:18" ht="105" customHeight="1">
      <c r="A149" s="16"/>
      <c r="B149" s="161"/>
      <c r="C149" s="162"/>
      <c r="D149" s="163"/>
      <c r="E149" s="164"/>
      <c r="F149" s="165"/>
      <c r="G149" s="85"/>
      <c r="H149" s="85"/>
      <c r="I149" s="86"/>
      <c r="J149" s="86"/>
      <c r="K149" s="87"/>
      <c r="O149" s="88"/>
      <c r="P149" s="88"/>
      <c r="R149" s="88"/>
    </row>
    <row r="150" spans="1:18" ht="105" customHeight="1">
      <c r="A150" s="16"/>
      <c r="B150" s="161"/>
      <c r="C150" s="162"/>
      <c r="D150" s="163"/>
      <c r="E150" s="164"/>
      <c r="F150" s="165"/>
      <c r="G150" s="85"/>
      <c r="H150" s="85"/>
      <c r="I150" s="86"/>
      <c r="J150" s="86"/>
      <c r="K150" s="87"/>
      <c r="O150" s="88"/>
      <c r="P150" s="88"/>
      <c r="R150" s="88"/>
    </row>
    <row r="151" spans="1:18" ht="105" customHeight="1">
      <c r="A151" s="16"/>
      <c r="B151" s="161"/>
      <c r="C151" s="162"/>
      <c r="D151" s="163"/>
      <c r="E151" s="164"/>
      <c r="F151" s="165"/>
      <c r="G151" s="85"/>
      <c r="H151" s="85"/>
      <c r="I151" s="86"/>
      <c r="J151" s="86"/>
      <c r="K151" s="87"/>
      <c r="O151" s="88"/>
      <c r="P151" s="88"/>
      <c r="R151" s="88"/>
    </row>
    <row r="152" spans="1:18" ht="105" customHeight="1">
      <c r="A152" s="16"/>
      <c r="B152" s="161"/>
      <c r="C152" s="162"/>
      <c r="D152" s="163"/>
      <c r="E152" s="164"/>
      <c r="F152" s="165"/>
      <c r="G152" s="85"/>
      <c r="H152" s="85"/>
      <c r="I152" s="86"/>
      <c r="J152" s="86"/>
      <c r="K152" s="87"/>
      <c r="O152" s="88"/>
      <c r="P152" s="88"/>
      <c r="R152" s="88"/>
    </row>
    <row r="153" spans="1:18" ht="105" customHeight="1">
      <c r="A153" s="16"/>
      <c r="B153" s="161"/>
      <c r="C153" s="162"/>
      <c r="D153" s="163"/>
      <c r="E153" s="164"/>
      <c r="F153" s="165"/>
      <c r="G153" s="85"/>
      <c r="H153" s="85"/>
      <c r="I153" s="86"/>
      <c r="J153" s="86"/>
      <c r="K153" s="87"/>
      <c r="O153" s="88"/>
      <c r="P153" s="88"/>
      <c r="R153" s="88"/>
    </row>
    <row r="154" spans="1:18" ht="105" customHeight="1">
      <c r="A154" s="16"/>
      <c r="B154" s="161"/>
      <c r="C154" s="162"/>
      <c r="D154" s="163"/>
      <c r="E154" s="164"/>
      <c r="F154" s="165"/>
      <c r="G154" s="85"/>
      <c r="H154" s="85"/>
      <c r="I154" s="86"/>
      <c r="J154" s="86"/>
      <c r="K154" s="87"/>
      <c r="O154" s="88"/>
      <c r="P154" s="88"/>
      <c r="R154" s="88"/>
    </row>
    <row r="155" spans="1:18" ht="105" customHeight="1">
      <c r="A155" s="16"/>
      <c r="B155" s="161"/>
      <c r="C155" s="162"/>
      <c r="D155" s="163"/>
      <c r="E155" s="164"/>
      <c r="F155" s="165"/>
      <c r="G155" s="85"/>
      <c r="H155" s="85"/>
      <c r="I155" s="86"/>
      <c r="J155" s="86"/>
      <c r="K155" s="87"/>
      <c r="O155" s="88"/>
      <c r="P155" s="88"/>
      <c r="R155" s="88"/>
    </row>
    <row r="156" spans="1:18" ht="105" customHeight="1">
      <c r="A156" s="16"/>
      <c r="B156" s="161"/>
      <c r="C156" s="162"/>
      <c r="D156" s="163"/>
      <c r="E156" s="164"/>
      <c r="F156" s="165"/>
      <c r="G156" s="85"/>
      <c r="H156" s="85"/>
      <c r="I156" s="86"/>
      <c r="J156" s="86"/>
      <c r="K156" s="87"/>
      <c r="O156" s="88"/>
      <c r="P156" s="88"/>
      <c r="R156" s="88"/>
    </row>
    <row r="157" spans="1:18" ht="105" customHeight="1">
      <c r="A157" s="16"/>
      <c r="B157" s="161"/>
      <c r="C157" s="162"/>
      <c r="D157" s="163"/>
      <c r="E157" s="164"/>
      <c r="F157" s="165"/>
      <c r="G157" s="85"/>
      <c r="H157" s="85"/>
      <c r="I157" s="86"/>
      <c r="J157" s="86"/>
      <c r="K157" s="87"/>
      <c r="O157" s="88"/>
      <c r="P157" s="88"/>
      <c r="R157" s="88"/>
    </row>
    <row r="158" spans="1:18" ht="105" customHeight="1">
      <c r="A158" s="16"/>
      <c r="B158" s="161"/>
      <c r="C158" s="162"/>
      <c r="D158" s="163"/>
      <c r="E158" s="164"/>
      <c r="F158" s="165"/>
      <c r="G158" s="85"/>
      <c r="H158" s="85"/>
      <c r="I158" s="86"/>
      <c r="J158" s="86"/>
      <c r="K158" s="87"/>
      <c r="O158" s="88"/>
      <c r="P158" s="88"/>
      <c r="R158" s="88"/>
    </row>
    <row r="159" spans="1:18" ht="105" customHeight="1">
      <c r="A159" s="16"/>
      <c r="B159" s="161"/>
      <c r="C159" s="162"/>
      <c r="D159" s="163"/>
      <c r="E159" s="164"/>
      <c r="F159" s="165"/>
      <c r="G159" s="85"/>
      <c r="H159" s="85"/>
      <c r="I159" s="86"/>
      <c r="J159" s="86"/>
      <c r="K159" s="87"/>
      <c r="O159" s="88"/>
      <c r="P159" s="88"/>
      <c r="R159" s="88"/>
    </row>
    <row r="160" spans="1:18" ht="105" customHeight="1">
      <c r="A160" s="16"/>
      <c r="B160" s="161"/>
      <c r="C160" s="162"/>
      <c r="D160" s="163"/>
      <c r="E160" s="164"/>
      <c r="F160" s="165"/>
      <c r="G160" s="85"/>
      <c r="H160" s="85"/>
      <c r="I160" s="86"/>
      <c r="J160" s="86"/>
      <c r="K160" s="87"/>
      <c r="O160" s="88"/>
      <c r="P160" s="88"/>
      <c r="R160" s="88"/>
    </row>
    <row r="161" spans="1:18" ht="105" customHeight="1">
      <c r="A161" s="16"/>
      <c r="B161" s="161"/>
      <c r="C161" s="162"/>
      <c r="D161" s="163"/>
      <c r="E161" s="164"/>
      <c r="F161" s="165"/>
      <c r="G161" s="85"/>
      <c r="H161" s="85"/>
      <c r="I161" s="86"/>
      <c r="J161" s="86"/>
      <c r="K161" s="87"/>
      <c r="O161" s="88"/>
      <c r="P161" s="88"/>
      <c r="R161" s="88"/>
    </row>
    <row r="162" spans="1:18" ht="105" customHeight="1">
      <c r="A162" s="16"/>
      <c r="B162" s="161"/>
      <c r="C162" s="162"/>
      <c r="D162" s="163"/>
      <c r="E162" s="164"/>
      <c r="F162" s="165"/>
      <c r="G162" s="85"/>
      <c r="H162" s="85"/>
      <c r="I162" s="86"/>
      <c r="J162" s="86"/>
      <c r="K162" s="87"/>
      <c r="O162" s="88"/>
      <c r="P162" s="88"/>
      <c r="R162" s="88"/>
    </row>
    <row r="163" spans="1:18" ht="105" customHeight="1">
      <c r="A163" s="16"/>
      <c r="B163" s="161"/>
      <c r="C163" s="162"/>
      <c r="D163" s="163"/>
      <c r="E163" s="164"/>
      <c r="F163" s="165"/>
      <c r="G163" s="85"/>
      <c r="H163" s="85"/>
      <c r="I163" s="86"/>
      <c r="J163" s="86"/>
      <c r="K163" s="87"/>
      <c r="O163" s="88"/>
      <c r="P163" s="88"/>
      <c r="R163" s="88"/>
    </row>
    <row r="164" spans="1:18" ht="105" customHeight="1">
      <c r="A164" s="16"/>
      <c r="B164" s="161"/>
      <c r="C164" s="162"/>
      <c r="D164" s="163"/>
      <c r="E164" s="164"/>
      <c r="F164" s="165"/>
      <c r="G164" s="85"/>
      <c r="H164" s="85"/>
      <c r="I164" s="86"/>
      <c r="J164" s="86"/>
      <c r="K164" s="87"/>
      <c r="O164" s="88"/>
      <c r="P164" s="88"/>
      <c r="R164" s="88"/>
    </row>
    <row r="165" spans="1:18" ht="105" customHeight="1">
      <c r="A165" s="16"/>
      <c r="B165" s="161"/>
      <c r="C165" s="162"/>
      <c r="D165" s="163"/>
      <c r="E165" s="164"/>
      <c r="F165" s="165"/>
      <c r="G165" s="85"/>
      <c r="H165" s="85"/>
      <c r="I165" s="86"/>
      <c r="J165" s="86"/>
      <c r="K165" s="87"/>
      <c r="O165" s="88"/>
      <c r="P165" s="88"/>
      <c r="R165" s="88"/>
    </row>
    <row r="166" spans="1:18" ht="105" customHeight="1">
      <c r="A166" s="16"/>
      <c r="B166" s="161"/>
      <c r="C166" s="162"/>
      <c r="D166" s="163"/>
      <c r="E166" s="164"/>
      <c r="F166" s="165"/>
      <c r="G166" s="85"/>
      <c r="H166" s="85"/>
      <c r="I166" s="86"/>
      <c r="J166" s="86"/>
      <c r="K166" s="87"/>
      <c r="O166" s="88"/>
      <c r="P166" s="88"/>
      <c r="R166" s="88"/>
    </row>
    <row r="167" spans="1:18" ht="105" customHeight="1">
      <c r="A167" s="16"/>
      <c r="B167" s="161"/>
      <c r="C167" s="162"/>
      <c r="D167" s="163"/>
      <c r="E167" s="164"/>
      <c r="F167" s="165"/>
      <c r="G167" s="85"/>
      <c r="H167" s="85"/>
      <c r="I167" s="86"/>
      <c r="J167" s="86"/>
      <c r="K167" s="87"/>
      <c r="O167" s="88"/>
      <c r="P167" s="88"/>
      <c r="R167" s="88"/>
    </row>
    <row r="168" spans="1:18" ht="105" customHeight="1">
      <c r="A168" s="16"/>
      <c r="B168" s="161"/>
      <c r="C168" s="162"/>
      <c r="D168" s="163"/>
      <c r="E168" s="164"/>
      <c r="F168" s="165"/>
      <c r="G168" s="85"/>
      <c r="H168" s="85"/>
      <c r="I168" s="86"/>
      <c r="J168" s="86"/>
      <c r="K168" s="87"/>
      <c r="O168" s="88"/>
      <c r="P168" s="88"/>
      <c r="R168" s="88"/>
    </row>
    <row r="169" spans="1:18" ht="105" customHeight="1">
      <c r="A169" s="16"/>
      <c r="B169" s="161"/>
      <c r="C169" s="162"/>
      <c r="D169" s="163"/>
      <c r="E169" s="164"/>
      <c r="F169" s="165"/>
      <c r="G169" s="85"/>
      <c r="H169" s="85"/>
      <c r="I169" s="86"/>
      <c r="J169" s="86"/>
      <c r="K169" s="87"/>
      <c r="O169" s="88"/>
      <c r="P169" s="88"/>
      <c r="R169" s="88"/>
    </row>
    <row r="170" spans="1:18" ht="105" customHeight="1">
      <c r="A170" s="16"/>
      <c r="B170" s="161"/>
      <c r="C170" s="162"/>
      <c r="D170" s="163"/>
      <c r="E170" s="164"/>
      <c r="F170" s="165"/>
      <c r="G170" s="85"/>
      <c r="H170" s="85"/>
      <c r="I170" s="86"/>
      <c r="J170" s="86"/>
      <c r="K170" s="87"/>
      <c r="O170" s="88"/>
      <c r="P170" s="88"/>
      <c r="R170" s="88"/>
    </row>
    <row r="171" spans="1:18" ht="105" customHeight="1">
      <c r="A171" s="16"/>
      <c r="B171" s="161"/>
      <c r="C171" s="162"/>
      <c r="D171" s="163"/>
      <c r="E171" s="164"/>
      <c r="F171" s="165"/>
      <c r="G171" s="85"/>
      <c r="H171" s="85"/>
      <c r="I171" s="86"/>
      <c r="J171" s="86"/>
      <c r="K171" s="87"/>
      <c r="O171" s="88"/>
      <c r="P171" s="88"/>
      <c r="R171" s="88"/>
    </row>
    <row r="172" spans="1:18" ht="105" customHeight="1">
      <c r="A172" s="16"/>
      <c r="B172" s="161"/>
      <c r="C172" s="162"/>
      <c r="D172" s="163"/>
      <c r="E172" s="164"/>
      <c r="F172" s="165"/>
      <c r="G172" s="85"/>
      <c r="H172" s="85"/>
      <c r="I172" s="86"/>
      <c r="J172" s="86"/>
      <c r="K172" s="87"/>
      <c r="O172" s="88"/>
      <c r="P172" s="88"/>
      <c r="R172" s="88"/>
    </row>
    <row r="173" spans="1:18" ht="105" customHeight="1">
      <c r="A173" s="16"/>
      <c r="B173" s="161"/>
      <c r="C173" s="162"/>
      <c r="D173" s="163"/>
      <c r="E173" s="164"/>
      <c r="F173" s="165"/>
      <c r="G173" s="85"/>
      <c r="H173" s="85"/>
      <c r="I173" s="86"/>
      <c r="J173" s="86"/>
      <c r="K173" s="87"/>
      <c r="O173" s="88"/>
      <c r="P173" s="88"/>
      <c r="R173" s="88"/>
    </row>
    <row r="174" spans="1:18" ht="105" customHeight="1">
      <c r="A174" s="16"/>
      <c r="B174" s="161"/>
      <c r="C174" s="162"/>
      <c r="D174" s="163"/>
      <c r="E174" s="164"/>
      <c r="F174" s="165"/>
      <c r="G174" s="85"/>
      <c r="H174" s="85"/>
      <c r="I174" s="86"/>
      <c r="J174" s="86"/>
      <c r="K174" s="87"/>
      <c r="O174" s="88"/>
      <c r="P174" s="88"/>
      <c r="R174" s="88"/>
    </row>
    <row r="175" spans="1:18" ht="105" customHeight="1">
      <c r="A175" s="16"/>
      <c r="B175" s="161"/>
      <c r="C175" s="162"/>
      <c r="D175" s="163"/>
      <c r="E175" s="164"/>
      <c r="F175" s="165"/>
      <c r="G175" s="85"/>
      <c r="H175" s="85"/>
      <c r="I175" s="86"/>
      <c r="J175" s="86"/>
      <c r="K175" s="87"/>
      <c r="O175" s="88"/>
      <c r="P175" s="88"/>
      <c r="R175" s="88"/>
    </row>
    <row r="176" spans="1:18" ht="105" customHeight="1">
      <c r="A176" s="16"/>
      <c r="B176" s="161"/>
      <c r="C176" s="162"/>
      <c r="D176" s="163"/>
      <c r="E176" s="164"/>
      <c r="F176" s="165"/>
      <c r="G176" s="85"/>
      <c r="H176" s="85"/>
      <c r="I176" s="86"/>
      <c r="J176" s="86"/>
      <c r="K176" s="87"/>
      <c r="O176" s="88"/>
      <c r="P176" s="88"/>
      <c r="R176" s="88"/>
    </row>
    <row r="177" spans="1:18" ht="105" customHeight="1">
      <c r="A177" s="16"/>
      <c r="B177" s="161"/>
      <c r="C177" s="162"/>
      <c r="D177" s="163"/>
      <c r="E177" s="164"/>
      <c r="F177" s="165"/>
      <c r="G177" s="85"/>
      <c r="H177" s="85"/>
      <c r="I177" s="86"/>
      <c r="J177" s="86"/>
      <c r="K177" s="87"/>
      <c r="O177" s="88"/>
      <c r="P177" s="88"/>
      <c r="R177" s="88"/>
    </row>
    <row r="178" spans="1:18" ht="105" customHeight="1">
      <c r="A178" s="16"/>
      <c r="B178" s="161"/>
      <c r="C178" s="162"/>
      <c r="D178" s="163"/>
      <c r="E178" s="164"/>
      <c r="F178" s="165"/>
      <c r="G178" s="85"/>
      <c r="H178" s="85"/>
      <c r="I178" s="86"/>
      <c r="J178" s="86"/>
      <c r="K178" s="87"/>
      <c r="O178" s="88"/>
      <c r="P178" s="88"/>
      <c r="R178" s="88"/>
    </row>
    <row r="179" spans="1:18" ht="105" customHeight="1">
      <c r="A179" s="16"/>
      <c r="B179" s="161"/>
      <c r="C179" s="162"/>
      <c r="D179" s="163"/>
      <c r="E179" s="164"/>
      <c r="F179" s="165"/>
      <c r="G179" s="85"/>
      <c r="H179" s="85"/>
      <c r="I179" s="86"/>
      <c r="J179" s="86"/>
      <c r="K179" s="87"/>
      <c r="O179" s="88"/>
      <c r="P179" s="88"/>
      <c r="R179" s="88"/>
    </row>
    <row r="180" spans="1:18" ht="105" customHeight="1">
      <c r="A180" s="16"/>
      <c r="B180" s="161"/>
      <c r="C180" s="162"/>
      <c r="D180" s="163"/>
      <c r="E180" s="164"/>
      <c r="F180" s="165"/>
      <c r="G180" s="85"/>
      <c r="H180" s="85"/>
      <c r="I180" s="86"/>
      <c r="J180" s="86"/>
      <c r="K180" s="87"/>
      <c r="O180" s="88"/>
      <c r="P180" s="88"/>
      <c r="R180" s="88"/>
    </row>
    <row r="181" spans="1:18" ht="105" customHeight="1">
      <c r="A181" s="16"/>
      <c r="B181" s="161"/>
      <c r="C181" s="162"/>
      <c r="D181" s="163"/>
      <c r="E181" s="164"/>
      <c r="F181" s="165"/>
      <c r="G181" s="85"/>
      <c r="H181" s="85"/>
      <c r="I181" s="86"/>
      <c r="J181" s="86"/>
      <c r="K181" s="87"/>
      <c r="O181" s="88"/>
      <c r="P181" s="88"/>
      <c r="R181" s="88"/>
    </row>
    <row r="182" spans="1:18" ht="105" customHeight="1">
      <c r="A182" s="16"/>
      <c r="B182" s="161"/>
      <c r="C182" s="162"/>
      <c r="D182" s="163"/>
      <c r="E182" s="164"/>
      <c r="F182" s="165"/>
      <c r="G182" s="85"/>
      <c r="H182" s="85"/>
      <c r="I182" s="86"/>
      <c r="J182" s="86"/>
      <c r="K182" s="87"/>
      <c r="O182" s="88"/>
      <c r="P182" s="88"/>
      <c r="R182" s="88"/>
    </row>
    <row r="183" spans="1:18" ht="105" customHeight="1">
      <c r="A183" s="16"/>
      <c r="B183" s="161"/>
      <c r="C183" s="162"/>
      <c r="D183" s="163"/>
      <c r="E183" s="164"/>
      <c r="F183" s="165"/>
      <c r="G183" s="85"/>
      <c r="H183" s="85"/>
      <c r="I183" s="86"/>
      <c r="J183" s="86"/>
      <c r="K183" s="87"/>
      <c r="O183" s="88"/>
      <c r="P183" s="88"/>
      <c r="R183" s="88"/>
    </row>
    <row r="184" spans="1:18" ht="105" customHeight="1">
      <c r="A184" s="16"/>
      <c r="B184" s="161"/>
      <c r="C184" s="162"/>
      <c r="D184" s="163"/>
      <c r="E184" s="164"/>
      <c r="F184" s="165"/>
      <c r="G184" s="85"/>
      <c r="H184" s="85"/>
      <c r="I184" s="86"/>
      <c r="J184" s="86"/>
      <c r="K184" s="87"/>
      <c r="O184" s="88"/>
      <c r="P184" s="88"/>
      <c r="R184" s="88"/>
    </row>
    <row r="185" spans="1:18" ht="105" customHeight="1">
      <c r="A185" s="16"/>
      <c r="B185" s="161"/>
      <c r="C185" s="162"/>
      <c r="D185" s="163"/>
      <c r="E185" s="164"/>
      <c r="F185" s="165"/>
      <c r="G185" s="85"/>
      <c r="H185" s="85"/>
      <c r="I185" s="86"/>
      <c r="J185" s="86"/>
      <c r="K185" s="87"/>
      <c r="O185" s="88"/>
      <c r="P185" s="88"/>
      <c r="R185" s="88"/>
    </row>
    <row r="186" spans="1:18" ht="105" customHeight="1">
      <c r="A186" s="16"/>
      <c r="B186" s="161"/>
      <c r="C186" s="162"/>
      <c r="D186" s="163"/>
      <c r="E186" s="164"/>
      <c r="F186" s="165"/>
      <c r="G186" s="85"/>
      <c r="H186" s="85"/>
      <c r="I186" s="86"/>
      <c r="J186" s="86"/>
      <c r="K186" s="87"/>
      <c r="O186" s="88"/>
      <c r="P186" s="88"/>
      <c r="R186" s="88"/>
    </row>
    <row r="187" spans="1:18" ht="105" customHeight="1">
      <c r="A187" s="16"/>
      <c r="B187" s="161"/>
      <c r="C187" s="162"/>
      <c r="D187" s="163"/>
      <c r="E187" s="164"/>
      <c r="F187" s="165"/>
      <c r="G187" s="85"/>
      <c r="H187" s="85"/>
      <c r="I187" s="86"/>
      <c r="J187" s="86"/>
      <c r="K187" s="87"/>
      <c r="O187" s="88"/>
      <c r="P187" s="88"/>
      <c r="R187" s="88"/>
    </row>
    <row r="188" spans="1:18" ht="105" customHeight="1">
      <c r="A188" s="16"/>
      <c r="B188" s="161"/>
      <c r="C188" s="162"/>
      <c r="D188" s="163"/>
      <c r="E188" s="164"/>
      <c r="F188" s="165"/>
      <c r="G188" s="85"/>
      <c r="H188" s="85"/>
      <c r="I188" s="86"/>
      <c r="J188" s="86"/>
      <c r="K188" s="87"/>
      <c r="O188" s="88"/>
      <c r="P188" s="88"/>
      <c r="R188" s="88"/>
    </row>
    <row r="189" spans="1:18" ht="105" customHeight="1">
      <c r="A189" s="16"/>
      <c r="B189" s="161"/>
      <c r="C189" s="162"/>
      <c r="D189" s="163"/>
      <c r="E189" s="164"/>
      <c r="F189" s="165"/>
      <c r="G189" s="85"/>
      <c r="H189" s="85"/>
      <c r="I189" s="86"/>
      <c r="J189" s="86"/>
      <c r="K189" s="87"/>
      <c r="O189" s="88"/>
      <c r="P189" s="88"/>
      <c r="R189" s="88"/>
    </row>
    <row r="190" spans="1:18" ht="105" customHeight="1">
      <c r="A190" s="16"/>
      <c r="B190" s="161"/>
      <c r="C190" s="162"/>
      <c r="D190" s="163"/>
      <c r="E190" s="164"/>
      <c r="F190" s="165"/>
      <c r="G190" s="85"/>
      <c r="H190" s="85"/>
      <c r="I190" s="86"/>
      <c r="J190" s="86"/>
      <c r="K190" s="87"/>
      <c r="O190" s="88"/>
      <c r="P190" s="88"/>
      <c r="R190" s="88"/>
    </row>
    <row r="191" spans="1:18" ht="105" customHeight="1">
      <c r="A191" s="16"/>
      <c r="B191" s="161"/>
      <c r="C191" s="162"/>
      <c r="D191" s="163"/>
      <c r="E191" s="164"/>
      <c r="F191" s="165"/>
      <c r="G191" s="85"/>
      <c r="H191" s="85"/>
      <c r="I191" s="86"/>
      <c r="J191" s="86"/>
      <c r="K191" s="87"/>
      <c r="O191" s="88"/>
      <c r="P191" s="88"/>
      <c r="R191" s="88"/>
    </row>
    <row r="192" spans="1:18" ht="105" customHeight="1">
      <c r="A192" s="16"/>
      <c r="B192" s="161"/>
      <c r="C192" s="162"/>
      <c r="D192" s="163"/>
      <c r="E192" s="164"/>
      <c r="F192" s="165"/>
      <c r="G192" s="85"/>
      <c r="H192" s="85"/>
      <c r="I192" s="86"/>
      <c r="J192" s="86"/>
      <c r="K192" s="87"/>
      <c r="O192" s="88"/>
      <c r="P192" s="88"/>
      <c r="R192" s="88"/>
    </row>
    <row r="193" spans="1:18" ht="105" customHeight="1">
      <c r="A193" s="16"/>
      <c r="B193" s="161"/>
      <c r="C193" s="162"/>
      <c r="D193" s="163"/>
      <c r="E193" s="164"/>
      <c r="F193" s="165"/>
      <c r="G193" s="85"/>
      <c r="H193" s="85"/>
      <c r="I193" s="86"/>
      <c r="J193" s="86"/>
      <c r="K193" s="87"/>
      <c r="O193" s="88"/>
      <c r="P193" s="88"/>
      <c r="R193" s="88"/>
    </row>
    <row r="194" spans="1:18" ht="105" customHeight="1">
      <c r="A194" s="16"/>
      <c r="B194" s="161"/>
      <c r="C194" s="162"/>
      <c r="D194" s="163"/>
      <c r="E194" s="164"/>
      <c r="F194" s="165"/>
      <c r="G194" s="85"/>
      <c r="H194" s="85"/>
      <c r="I194" s="86"/>
      <c r="J194" s="86"/>
      <c r="K194" s="87"/>
      <c r="O194" s="88"/>
      <c r="P194" s="88"/>
      <c r="R194" s="88"/>
    </row>
    <row r="195" spans="1:18" ht="105" customHeight="1">
      <c r="A195" s="16"/>
      <c r="B195" s="161"/>
      <c r="C195" s="162"/>
      <c r="D195" s="163"/>
      <c r="E195" s="164"/>
      <c r="F195" s="165"/>
      <c r="G195" s="85"/>
      <c r="H195" s="85"/>
      <c r="I195" s="86"/>
      <c r="J195" s="86"/>
      <c r="K195" s="87"/>
      <c r="O195" s="88"/>
      <c r="P195" s="88"/>
      <c r="R195" s="88"/>
    </row>
    <row r="196" spans="1:18" ht="105" customHeight="1">
      <c r="A196" s="16"/>
      <c r="B196" s="161"/>
      <c r="C196" s="162"/>
      <c r="D196" s="163"/>
      <c r="E196" s="164"/>
      <c r="F196" s="165"/>
      <c r="G196" s="85"/>
      <c r="H196" s="85"/>
      <c r="I196" s="86"/>
      <c r="J196" s="86"/>
      <c r="K196" s="87"/>
      <c r="O196" s="88"/>
      <c r="P196" s="88"/>
      <c r="R196" s="88"/>
    </row>
    <row r="197" spans="1:18" ht="105" customHeight="1">
      <c r="A197" s="16"/>
      <c r="B197" s="161"/>
      <c r="C197" s="162"/>
      <c r="D197" s="163"/>
      <c r="E197" s="164"/>
      <c r="F197" s="165"/>
      <c r="G197" s="85"/>
      <c r="H197" s="85"/>
      <c r="I197" s="86"/>
      <c r="J197" s="86"/>
      <c r="K197" s="87"/>
      <c r="O197" s="88"/>
      <c r="P197" s="88"/>
      <c r="R197" s="88"/>
    </row>
    <row r="198" spans="1:18" ht="105" customHeight="1">
      <c r="A198" s="16"/>
      <c r="B198" s="161"/>
      <c r="C198" s="162"/>
      <c r="D198" s="163"/>
      <c r="E198" s="164"/>
      <c r="F198" s="165"/>
      <c r="G198" s="85"/>
      <c r="H198" s="85"/>
      <c r="I198" s="86"/>
      <c r="J198" s="86"/>
      <c r="K198" s="87"/>
      <c r="O198" s="88"/>
      <c r="P198" s="88"/>
      <c r="R198" s="88"/>
    </row>
    <row r="199" spans="1:18" ht="105" customHeight="1">
      <c r="A199" s="16"/>
      <c r="B199" s="161"/>
      <c r="C199" s="162"/>
      <c r="D199" s="163"/>
      <c r="E199" s="164"/>
      <c r="F199" s="165"/>
      <c r="G199" s="85"/>
      <c r="H199" s="85"/>
      <c r="I199" s="86"/>
      <c r="J199" s="86"/>
      <c r="K199" s="87"/>
      <c r="O199" s="88"/>
      <c r="P199" s="88"/>
      <c r="R199" s="88"/>
    </row>
    <row r="200" spans="1:18" ht="105" customHeight="1">
      <c r="A200" s="16"/>
      <c r="B200" s="161"/>
      <c r="C200" s="162"/>
      <c r="D200" s="163"/>
      <c r="E200" s="164"/>
      <c r="F200" s="165"/>
      <c r="G200" s="85"/>
      <c r="H200" s="85"/>
      <c r="I200" s="86"/>
      <c r="J200" s="86"/>
      <c r="K200" s="87"/>
      <c r="O200" s="88"/>
      <c r="P200" s="88"/>
      <c r="R200" s="88"/>
    </row>
    <row r="201" spans="1:18" ht="105" customHeight="1">
      <c r="A201" s="16"/>
      <c r="B201" s="161"/>
      <c r="C201" s="162"/>
      <c r="D201" s="163"/>
      <c r="E201" s="164"/>
      <c r="F201" s="165"/>
      <c r="G201" s="85"/>
      <c r="H201" s="85"/>
      <c r="I201" s="86"/>
      <c r="J201" s="86"/>
      <c r="K201" s="87"/>
      <c r="O201" s="88"/>
      <c r="P201" s="88"/>
      <c r="R201" s="88"/>
    </row>
    <row r="202" spans="1:18" ht="105" customHeight="1">
      <c r="A202" s="16"/>
      <c r="B202" s="161"/>
      <c r="C202" s="162"/>
      <c r="D202" s="163"/>
      <c r="E202" s="164"/>
      <c r="F202" s="165"/>
      <c r="G202" s="85"/>
      <c r="H202" s="85"/>
      <c r="I202" s="86"/>
      <c r="J202" s="86"/>
      <c r="K202" s="87"/>
      <c r="O202" s="88"/>
      <c r="P202" s="88"/>
      <c r="R202" s="88"/>
    </row>
    <row r="203" spans="1:18" ht="105" customHeight="1">
      <c r="A203" s="16"/>
      <c r="B203" s="161"/>
      <c r="C203" s="162"/>
      <c r="D203" s="163"/>
      <c r="E203" s="164"/>
      <c r="F203" s="165"/>
      <c r="G203" s="85"/>
      <c r="H203" s="85"/>
      <c r="I203" s="86"/>
      <c r="J203" s="86"/>
      <c r="K203" s="87"/>
      <c r="O203" s="88"/>
      <c r="P203" s="88"/>
      <c r="R203" s="88"/>
    </row>
    <row r="204" spans="1:18" ht="105" customHeight="1">
      <c r="A204" s="16"/>
      <c r="B204" s="161"/>
      <c r="C204" s="162"/>
      <c r="D204" s="163"/>
      <c r="E204" s="164"/>
      <c r="F204" s="165"/>
      <c r="G204" s="85"/>
      <c r="H204" s="85"/>
      <c r="I204" s="86"/>
      <c r="J204" s="86"/>
      <c r="K204" s="87"/>
      <c r="O204" s="88"/>
      <c r="P204" s="88"/>
      <c r="R204" s="88"/>
    </row>
    <row r="205" spans="1:18" ht="105" customHeight="1">
      <c r="A205" s="16"/>
      <c r="B205" s="161"/>
      <c r="C205" s="162"/>
      <c r="D205" s="163"/>
      <c r="E205" s="164"/>
      <c r="F205" s="165"/>
      <c r="G205" s="85"/>
      <c r="H205" s="85"/>
      <c r="I205" s="86"/>
      <c r="J205" s="86"/>
      <c r="K205" s="87"/>
      <c r="O205" s="88"/>
      <c r="P205" s="88"/>
      <c r="R205" s="88"/>
    </row>
    <row r="206" spans="1:18" ht="105" customHeight="1">
      <c r="A206" s="16"/>
      <c r="B206" s="161"/>
      <c r="C206" s="162"/>
      <c r="D206" s="163"/>
      <c r="E206" s="164"/>
      <c r="F206" s="165"/>
      <c r="G206" s="85"/>
      <c r="H206" s="85"/>
      <c r="I206" s="86"/>
      <c r="J206" s="86"/>
      <c r="K206" s="87"/>
      <c r="O206" s="88"/>
      <c r="P206" s="88"/>
      <c r="R206" s="88"/>
    </row>
    <row r="207" spans="1:18" ht="105" customHeight="1">
      <c r="A207" s="16"/>
      <c r="B207" s="161"/>
      <c r="C207" s="162"/>
      <c r="D207" s="163"/>
      <c r="E207" s="164"/>
      <c r="F207" s="165"/>
      <c r="G207" s="85"/>
      <c r="H207" s="85"/>
      <c r="I207" s="86"/>
      <c r="J207" s="86"/>
      <c r="K207" s="87"/>
      <c r="O207" s="88"/>
      <c r="P207" s="88"/>
      <c r="R207" s="88"/>
    </row>
    <row r="208" spans="1:18" ht="105" customHeight="1">
      <c r="A208" s="16"/>
      <c r="B208" s="161"/>
      <c r="C208" s="162"/>
      <c r="D208" s="163"/>
      <c r="E208" s="164"/>
      <c r="F208" s="165"/>
      <c r="G208" s="85"/>
      <c r="H208" s="85"/>
      <c r="I208" s="86"/>
      <c r="J208" s="86"/>
      <c r="K208" s="87"/>
      <c r="O208" s="88"/>
      <c r="P208" s="88"/>
      <c r="R208" s="88"/>
    </row>
    <row r="209" spans="1:18" ht="105" customHeight="1">
      <c r="A209" s="16"/>
      <c r="B209" s="161"/>
      <c r="C209" s="162"/>
      <c r="D209" s="163"/>
      <c r="E209" s="164"/>
      <c r="F209" s="165"/>
      <c r="G209" s="85"/>
      <c r="H209" s="85"/>
      <c r="I209" s="86"/>
      <c r="J209" s="86"/>
      <c r="K209" s="87"/>
      <c r="O209" s="88"/>
      <c r="P209" s="88"/>
      <c r="R209" s="88"/>
    </row>
    <row r="210" spans="1:18" ht="105" customHeight="1">
      <c r="A210" s="16"/>
      <c r="B210" s="161"/>
      <c r="C210" s="162"/>
      <c r="D210" s="163"/>
      <c r="E210" s="164"/>
      <c r="F210" s="165"/>
      <c r="G210" s="85"/>
      <c r="H210" s="85"/>
      <c r="I210" s="86"/>
      <c r="J210" s="86"/>
      <c r="K210" s="87"/>
      <c r="O210" s="88"/>
      <c r="P210" s="88"/>
      <c r="R210" s="88"/>
    </row>
    <row r="211" spans="1:18" ht="105" customHeight="1">
      <c r="A211" s="16"/>
      <c r="B211" s="161"/>
      <c r="C211" s="162"/>
      <c r="D211" s="163"/>
      <c r="E211" s="164"/>
      <c r="F211" s="165"/>
      <c r="G211" s="85"/>
      <c r="H211" s="85"/>
      <c r="I211" s="86"/>
      <c r="J211" s="86"/>
      <c r="K211" s="87"/>
      <c r="O211" s="88"/>
      <c r="P211" s="88"/>
      <c r="R211" s="88"/>
    </row>
    <row r="212" spans="1:18" ht="105" customHeight="1">
      <c r="A212" s="16"/>
      <c r="B212" s="161"/>
      <c r="C212" s="162"/>
      <c r="D212" s="163"/>
      <c r="E212" s="164"/>
      <c r="F212" s="165"/>
      <c r="G212" s="85"/>
      <c r="H212" s="85"/>
      <c r="I212" s="86"/>
      <c r="J212" s="86"/>
      <c r="K212" s="87"/>
      <c r="O212" s="88"/>
      <c r="P212" s="88"/>
      <c r="R212" s="88"/>
    </row>
    <row r="213" spans="1:18" ht="105" customHeight="1">
      <c r="A213" s="16"/>
      <c r="B213" s="161"/>
      <c r="C213" s="162"/>
      <c r="D213" s="163"/>
      <c r="E213" s="164"/>
      <c r="F213" s="165"/>
      <c r="G213" s="85"/>
      <c r="H213" s="85"/>
      <c r="I213" s="86"/>
      <c r="J213" s="86"/>
      <c r="K213" s="87"/>
      <c r="O213" s="88"/>
      <c r="P213" s="88"/>
      <c r="R213" s="88"/>
    </row>
    <row r="214" spans="1:18" ht="105" customHeight="1">
      <c r="A214" s="16"/>
      <c r="B214" s="161"/>
      <c r="C214" s="162"/>
      <c r="D214" s="163"/>
      <c r="E214" s="164"/>
      <c r="F214" s="165"/>
      <c r="G214" s="85"/>
      <c r="H214" s="85"/>
      <c r="I214" s="86"/>
      <c r="J214" s="86"/>
      <c r="K214" s="87"/>
      <c r="O214" s="88"/>
      <c r="P214" s="88"/>
      <c r="R214" s="88"/>
    </row>
    <row r="215" spans="1:18" ht="105" customHeight="1">
      <c r="A215" s="16"/>
      <c r="B215" s="161"/>
      <c r="C215" s="162"/>
      <c r="D215" s="163"/>
      <c r="E215" s="164"/>
      <c r="F215" s="165"/>
      <c r="G215" s="85"/>
      <c r="H215" s="85"/>
      <c r="I215" s="86"/>
      <c r="J215" s="86"/>
      <c r="K215" s="87"/>
      <c r="O215" s="88"/>
      <c r="P215" s="88"/>
      <c r="R215" s="88"/>
    </row>
    <row r="216" spans="1:18" ht="105" customHeight="1">
      <c r="A216" s="16"/>
      <c r="B216" s="161"/>
      <c r="C216" s="162"/>
      <c r="D216" s="163"/>
      <c r="E216" s="164"/>
      <c r="F216" s="165"/>
      <c r="G216" s="85"/>
      <c r="H216" s="85"/>
      <c r="I216" s="86"/>
      <c r="J216" s="86"/>
      <c r="K216" s="87"/>
      <c r="O216" s="88"/>
      <c r="P216" s="88"/>
      <c r="R216" s="88"/>
    </row>
    <row r="217" spans="1:18" ht="105" customHeight="1">
      <c r="A217" s="16"/>
      <c r="B217" s="161"/>
      <c r="C217" s="162"/>
      <c r="D217" s="163"/>
      <c r="E217" s="164"/>
      <c r="F217" s="165"/>
      <c r="G217" s="85"/>
      <c r="H217" s="85"/>
      <c r="I217" s="86"/>
      <c r="J217" s="86"/>
      <c r="K217" s="87"/>
      <c r="O217" s="88"/>
      <c r="P217" s="88"/>
      <c r="R217" s="88"/>
    </row>
    <row r="218" spans="1:18" ht="105" customHeight="1">
      <c r="A218" s="16"/>
      <c r="B218" s="161"/>
      <c r="C218" s="162"/>
      <c r="D218" s="163"/>
      <c r="E218" s="164"/>
      <c r="F218" s="165"/>
      <c r="G218" s="85"/>
      <c r="H218" s="85"/>
      <c r="I218" s="86"/>
      <c r="J218" s="86"/>
      <c r="K218" s="87"/>
      <c r="O218" s="88"/>
      <c r="P218" s="88"/>
      <c r="R218" s="88"/>
    </row>
    <row r="219" spans="1:18" ht="105" customHeight="1">
      <c r="A219" s="16"/>
      <c r="B219" s="161"/>
      <c r="C219" s="162"/>
      <c r="D219" s="163"/>
      <c r="E219" s="164"/>
      <c r="F219" s="165"/>
      <c r="G219" s="85"/>
      <c r="H219" s="85"/>
      <c r="I219" s="86"/>
      <c r="J219" s="86"/>
      <c r="K219" s="87"/>
      <c r="O219" s="88"/>
      <c r="P219" s="88"/>
      <c r="R219" s="88"/>
    </row>
    <row r="220" spans="1:18" ht="105" customHeight="1">
      <c r="A220" s="16"/>
      <c r="B220" s="161"/>
      <c r="C220" s="162"/>
      <c r="D220" s="163"/>
      <c r="E220" s="164"/>
      <c r="F220" s="165"/>
      <c r="G220" s="85"/>
      <c r="H220" s="85"/>
      <c r="I220" s="86"/>
      <c r="J220" s="86"/>
      <c r="K220" s="87"/>
      <c r="O220" s="88"/>
      <c r="P220" s="88"/>
      <c r="R220" s="88"/>
    </row>
    <row r="221" spans="1:18" ht="105" customHeight="1">
      <c r="A221" s="16"/>
      <c r="B221" s="161"/>
      <c r="C221" s="162"/>
      <c r="D221" s="163"/>
      <c r="E221" s="164"/>
      <c r="F221" s="165"/>
      <c r="G221" s="85"/>
      <c r="H221" s="85"/>
      <c r="I221" s="86"/>
      <c r="J221" s="86"/>
      <c r="K221" s="87"/>
      <c r="O221" s="88"/>
      <c r="P221" s="88"/>
      <c r="R221" s="88"/>
    </row>
    <row r="222" spans="1:18" ht="105" customHeight="1">
      <c r="A222" s="16"/>
      <c r="B222" s="161"/>
      <c r="C222" s="162"/>
      <c r="D222" s="163"/>
      <c r="E222" s="164"/>
      <c r="F222" s="165"/>
      <c r="G222" s="85"/>
      <c r="H222" s="85"/>
      <c r="I222" s="86"/>
      <c r="J222" s="86"/>
      <c r="K222" s="87"/>
      <c r="O222" s="88"/>
      <c r="P222" s="88"/>
      <c r="R222" s="88"/>
    </row>
    <row r="223" spans="1:18" ht="105" customHeight="1">
      <c r="A223" s="16"/>
      <c r="B223" s="161"/>
      <c r="C223" s="162"/>
      <c r="D223" s="163"/>
      <c r="E223" s="164"/>
      <c r="F223" s="165"/>
      <c r="G223" s="85"/>
      <c r="H223" s="85"/>
      <c r="I223" s="86"/>
      <c r="J223" s="86"/>
      <c r="K223" s="87"/>
      <c r="O223" s="88"/>
      <c r="P223" s="88"/>
      <c r="R223" s="88"/>
    </row>
    <row r="224" spans="1:18" ht="105" customHeight="1">
      <c r="A224" s="16"/>
      <c r="B224" s="161"/>
      <c r="C224" s="162"/>
      <c r="D224" s="163"/>
      <c r="E224" s="164"/>
      <c r="F224" s="165"/>
      <c r="G224" s="85"/>
      <c r="H224" s="85"/>
      <c r="I224" s="86"/>
      <c r="J224" s="86"/>
      <c r="K224" s="87"/>
      <c r="O224" s="88"/>
      <c r="P224" s="88"/>
      <c r="R224" s="88"/>
    </row>
    <row r="225" spans="1:18" ht="105" customHeight="1">
      <c r="A225" s="16"/>
      <c r="B225" s="161"/>
      <c r="C225" s="162"/>
      <c r="D225" s="163"/>
      <c r="E225" s="164"/>
      <c r="F225" s="165"/>
      <c r="G225" s="85"/>
      <c r="H225" s="85"/>
      <c r="I225" s="86"/>
      <c r="J225" s="86"/>
      <c r="K225" s="87"/>
      <c r="O225" s="88"/>
      <c r="P225" s="88"/>
      <c r="R225" s="88"/>
    </row>
    <row r="226" spans="1:18" ht="105" customHeight="1">
      <c r="A226" s="16"/>
      <c r="B226" s="161"/>
      <c r="C226" s="162"/>
      <c r="D226" s="163"/>
      <c r="E226" s="164"/>
      <c r="F226" s="165"/>
      <c r="G226" s="85"/>
      <c r="H226" s="85"/>
      <c r="I226" s="86"/>
      <c r="J226" s="86"/>
      <c r="K226" s="87"/>
      <c r="O226" s="88"/>
      <c r="P226" s="88"/>
      <c r="R226" s="88"/>
    </row>
    <row r="227" spans="1:18" ht="105" customHeight="1">
      <c r="A227" s="16"/>
      <c r="B227" s="161"/>
      <c r="C227" s="162"/>
      <c r="D227" s="163"/>
      <c r="E227" s="164"/>
      <c r="F227" s="165"/>
      <c r="G227" s="85"/>
      <c r="H227" s="85"/>
      <c r="I227" s="86"/>
      <c r="J227" s="86"/>
      <c r="K227" s="87"/>
      <c r="O227" s="88"/>
      <c r="P227" s="88"/>
      <c r="R227" s="88"/>
    </row>
    <row r="228" spans="1:18" ht="105" customHeight="1">
      <c r="A228" s="16"/>
      <c r="B228" s="161"/>
      <c r="C228" s="162"/>
      <c r="D228" s="163"/>
      <c r="E228" s="164"/>
      <c r="F228" s="165"/>
      <c r="G228" s="85"/>
      <c r="H228" s="85"/>
      <c r="I228" s="86"/>
      <c r="J228" s="86"/>
      <c r="K228" s="87"/>
      <c r="O228" s="88"/>
      <c r="P228" s="88"/>
      <c r="R228" s="88"/>
    </row>
    <row r="229" spans="1:18" ht="105" customHeight="1">
      <c r="A229" s="16"/>
      <c r="B229" s="161"/>
      <c r="C229" s="162"/>
      <c r="D229" s="163"/>
      <c r="E229" s="164"/>
      <c r="F229" s="165"/>
      <c r="G229" s="85"/>
      <c r="H229" s="85"/>
      <c r="I229" s="86"/>
      <c r="J229" s="86"/>
      <c r="K229" s="87"/>
      <c r="O229" s="88"/>
      <c r="P229" s="88"/>
      <c r="R229" s="88"/>
    </row>
    <row r="230" spans="1:18" ht="105" customHeight="1">
      <c r="A230" s="16"/>
      <c r="B230" s="161"/>
      <c r="C230" s="162"/>
      <c r="D230" s="163"/>
      <c r="E230" s="164"/>
      <c r="F230" s="165"/>
      <c r="G230" s="85"/>
      <c r="H230" s="85"/>
      <c r="I230" s="86"/>
      <c r="J230" s="86"/>
      <c r="K230" s="87"/>
      <c r="O230" s="88"/>
      <c r="P230" s="88"/>
      <c r="R230" s="88"/>
    </row>
  </sheetData>
  <mergeCells count="460"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54:F54"/>
    <mergeCell ref="D55:F55"/>
    <mergeCell ref="D56:F56"/>
    <mergeCell ref="D57:F57"/>
    <mergeCell ref="D58:F58"/>
    <mergeCell ref="B59:C59"/>
    <mergeCell ref="D59:F59"/>
    <mergeCell ref="B60:C60"/>
    <mergeCell ref="D60:F60"/>
    <mergeCell ref="B55:C55"/>
    <mergeCell ref="B56:C56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6:C116"/>
    <mergeCell ref="D116:F116"/>
    <mergeCell ref="B117:C117"/>
    <mergeCell ref="D117:F117"/>
    <mergeCell ref="B118:C118"/>
    <mergeCell ref="D118:F118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B188:C188"/>
    <mergeCell ref="D188:F188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4:C194"/>
    <mergeCell ref="D194:F194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C199"/>
    <mergeCell ref="D199:F199"/>
    <mergeCell ref="B200:C200"/>
    <mergeCell ref="D200:F200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C205"/>
    <mergeCell ref="D205:F205"/>
    <mergeCell ref="B206:C206"/>
    <mergeCell ref="D206:F206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C211"/>
    <mergeCell ref="D211:F211"/>
    <mergeCell ref="B212:C212"/>
    <mergeCell ref="D212:F212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C217"/>
    <mergeCell ref="D217:F217"/>
    <mergeCell ref="B218:C218"/>
    <mergeCell ref="D218:F218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C223"/>
    <mergeCell ref="D223:F223"/>
    <mergeCell ref="B229:C229"/>
    <mergeCell ref="D229:F229"/>
    <mergeCell ref="B230:C230"/>
    <mergeCell ref="D230:F230"/>
    <mergeCell ref="B224:C224"/>
    <mergeCell ref="D224:F224"/>
    <mergeCell ref="B225:C225"/>
    <mergeCell ref="D225:F225"/>
    <mergeCell ref="B226:C226"/>
    <mergeCell ref="D226:F226"/>
    <mergeCell ref="B227:C227"/>
    <mergeCell ref="D227:F227"/>
    <mergeCell ref="B228:C228"/>
    <mergeCell ref="D228:F228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0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4" style="21" customWidth="1"/>
    <col min="7" max="7" width="6.5703125" style="21" customWidth="1"/>
    <col min="8" max="10" width="9.140625" style="21"/>
    <col min="11" max="11" width="9.4257812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99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89</v>
      </c>
      <c r="D9" s="33"/>
      <c r="E9" s="33"/>
    </row>
    <row r="10" spans="2:13" s="33" customFormat="1">
      <c r="B10" s="64"/>
      <c r="C10" s="33" t="s">
        <v>23</v>
      </c>
      <c r="D10" s="68" t="s">
        <v>90</v>
      </c>
      <c r="J10" s="33" t="s">
        <v>24</v>
      </c>
      <c r="K10" s="169">
        <f>MRS!L3</f>
        <v>46320</v>
      </c>
      <c r="L10" s="170"/>
      <c r="M10" s="170"/>
    </row>
    <row r="11" spans="2:13" s="33" customFormat="1">
      <c r="B11" s="64"/>
      <c r="C11" s="67" t="s">
        <v>25</v>
      </c>
      <c r="D11" s="68" t="s">
        <v>91</v>
      </c>
      <c r="J11" s="33" t="s">
        <v>26</v>
      </c>
      <c r="K11" s="171" t="str">
        <f>SUBSTITUTE(SUBSTITUTE(+MRS!A3,"  MRS No : ",""),"-MRS","-PO")</f>
        <v>SAC2-DS-PO-0507</v>
      </c>
      <c r="L11" s="171"/>
      <c r="M11" s="171"/>
    </row>
    <row r="12" spans="2:13" s="33" customFormat="1">
      <c r="B12" s="64"/>
      <c r="C12" s="67" t="s">
        <v>27</v>
      </c>
      <c r="D12" s="33" t="s">
        <v>92</v>
      </c>
      <c r="J12" s="33" t="s">
        <v>28</v>
      </c>
    </row>
    <row r="13" spans="2:13" s="33" customFormat="1">
      <c r="B13" s="64"/>
      <c r="C13" s="69"/>
      <c r="D13" s="68" t="s">
        <v>93</v>
      </c>
      <c r="J13" s="33" t="s">
        <v>29</v>
      </c>
    </row>
    <row r="14" spans="2:13" s="33" customFormat="1">
      <c r="B14" s="64"/>
      <c r="C14" s="96" t="s">
        <v>98</v>
      </c>
      <c r="J14" s="33" t="s">
        <v>30</v>
      </c>
      <c r="K14" s="33" t="s">
        <v>130</v>
      </c>
    </row>
    <row r="15" spans="2:13" s="33" customFormat="1">
      <c r="B15" s="64"/>
      <c r="C15" s="67" t="s">
        <v>94</v>
      </c>
      <c r="J15" s="33" t="s">
        <v>31</v>
      </c>
      <c r="K15" s="70">
        <v>46310</v>
      </c>
    </row>
    <row r="16" spans="2:13" s="33" customFormat="1">
      <c r="C16" s="69"/>
      <c r="K16" s="70"/>
    </row>
    <row r="17" spans="2:13" ht="6" customHeight="1">
      <c r="C17" s="24"/>
      <c r="K17" s="25"/>
    </row>
    <row r="18" spans="2:13" ht="20.25">
      <c r="B18" s="172" t="s">
        <v>32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</row>
    <row r="19" spans="2:13" ht="12" customHeight="1"/>
    <row r="20" spans="2:13" s="26" customFormat="1" ht="12" customHeight="1">
      <c r="B20" s="173" t="s">
        <v>33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</row>
    <row r="21" spans="2:13" s="26" customFormat="1" ht="12" customHeight="1">
      <c r="B21" s="173" t="s">
        <v>34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2:13" s="26" customFormat="1" ht="12" customHeight="1">
      <c r="B22" s="173" t="s">
        <v>35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2:13" ht="3.75" customHeight="1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2:13" ht="6.95" customHeight="1"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</row>
    <row r="25" spans="2:13" s="27" customFormat="1" ht="15" customHeight="1">
      <c r="B25" s="27">
        <v>1</v>
      </c>
      <c r="C25" s="27" t="s">
        <v>36</v>
      </c>
    </row>
    <row r="26" spans="2:13" s="33" customFormat="1" ht="15" customHeight="1">
      <c r="B26" s="65"/>
      <c r="C26" s="68" t="s">
        <v>330</v>
      </c>
      <c r="M26" s="71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5" customHeight="1">
      <c r="B29" s="27"/>
      <c r="C29" s="21" t="s">
        <v>39</v>
      </c>
      <c r="E29" s="21" t="s">
        <v>40</v>
      </c>
      <c r="F29" s="97">
        <f>'PO 2nd page'!G118</f>
        <v>281701.79999999993</v>
      </c>
      <c r="G29" s="92"/>
      <c r="H29" s="92"/>
      <c r="M29" s="28"/>
    </row>
    <row r="30" spans="2:13" ht="15" customHeight="1">
      <c r="B30" s="27"/>
      <c r="C30" s="21" t="s">
        <v>41</v>
      </c>
      <c r="E30" s="21" t="s">
        <v>40</v>
      </c>
      <c r="F30" s="97">
        <f>'PO 2nd page'!G119</f>
        <v>42255.26999999999</v>
      </c>
      <c r="G30" s="92"/>
      <c r="H30" s="92"/>
    </row>
    <row r="31" spans="2:13" ht="15" customHeight="1">
      <c r="B31" s="27"/>
      <c r="C31" s="21" t="s">
        <v>42</v>
      </c>
      <c r="D31" s="29"/>
      <c r="E31" s="21" t="s">
        <v>40</v>
      </c>
      <c r="F31" s="97">
        <f>'PO 2nd page'!G120</f>
        <v>323957.06999999995</v>
      </c>
      <c r="G31" s="92"/>
      <c r="H31" s="92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2" t="s">
        <v>56</v>
      </c>
      <c r="C49" s="73" t="s">
        <v>87</v>
      </c>
      <c r="P49" s="74"/>
    </row>
    <row r="50" spans="2:16" s="75" customFormat="1" ht="12" customHeight="1">
      <c r="B50" s="76" t="s">
        <v>56</v>
      </c>
      <c r="C50" s="73" t="s">
        <v>82</v>
      </c>
    </row>
    <row r="51" spans="2:16" s="75" customFormat="1" ht="12" customHeight="1">
      <c r="B51" s="76" t="s">
        <v>56</v>
      </c>
      <c r="C51" s="73" t="s">
        <v>81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100</v>
      </c>
    </row>
    <row r="54" spans="2:16" ht="12" customHeight="1">
      <c r="B54" s="76" t="s">
        <v>56</v>
      </c>
      <c r="C54" s="98" t="s">
        <v>106</v>
      </c>
      <c r="F54" s="21" t="s">
        <v>101</v>
      </c>
    </row>
    <row r="55" spans="2:16" ht="12" customHeight="1">
      <c r="B55" s="76" t="s">
        <v>56</v>
      </c>
      <c r="C55" s="98" t="s">
        <v>107</v>
      </c>
      <c r="F55" s="99" t="s">
        <v>102</v>
      </c>
    </row>
    <row r="56" spans="2:16" ht="12" customHeight="1">
      <c r="B56" s="76" t="s">
        <v>56</v>
      </c>
      <c r="C56" s="98" t="s">
        <v>108</v>
      </c>
      <c r="F56" s="21" t="s">
        <v>113</v>
      </c>
    </row>
    <row r="57" spans="2:16" ht="12" customHeight="1">
      <c r="B57" s="76" t="s">
        <v>56</v>
      </c>
      <c r="C57" s="98" t="s">
        <v>109</v>
      </c>
      <c r="F57" s="21" t="s">
        <v>103</v>
      </c>
    </row>
    <row r="58" spans="2:16" ht="12" customHeight="1">
      <c r="B58" s="76" t="s">
        <v>56</v>
      </c>
      <c r="C58" s="98" t="s">
        <v>110</v>
      </c>
      <c r="F58" s="21" t="s">
        <v>104</v>
      </c>
    </row>
    <row r="59" spans="2:16" ht="12" customHeight="1">
      <c r="B59" s="76" t="s">
        <v>56</v>
      </c>
      <c r="C59" s="98" t="s">
        <v>111</v>
      </c>
      <c r="F59" s="21" t="s">
        <v>105</v>
      </c>
    </row>
    <row r="60" spans="2:16" ht="12" customHeight="1">
      <c r="B60" s="76"/>
      <c r="C60" s="98" t="s">
        <v>112</v>
      </c>
    </row>
    <row r="61" spans="2:16" ht="6.75" customHeight="1">
      <c r="B61" s="76"/>
      <c r="C61" s="98"/>
    </row>
    <row r="62" spans="2:16" ht="6" customHeight="1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41.25" customHeight="1"/>
    <row r="66" spans="1:13" ht="13.5" customHeight="1">
      <c r="B66" s="21" t="s">
        <v>59</v>
      </c>
      <c r="J66" s="21" t="s">
        <v>59</v>
      </c>
    </row>
    <row r="67" spans="1:13" ht="13.5" customHeight="1">
      <c r="B67" s="21" t="s">
        <v>60</v>
      </c>
      <c r="J67" s="21" t="s">
        <v>61</v>
      </c>
      <c r="K67" s="17" t="str">
        <f>D12</f>
        <v>Shashank Kamra</v>
      </c>
    </row>
    <row r="68" spans="1:13" ht="13.5" customHeight="1">
      <c r="B68" s="21" t="s">
        <v>62</v>
      </c>
      <c r="J68" s="21" t="s">
        <v>63</v>
      </c>
      <c r="K68" s="17" t="s">
        <v>95</v>
      </c>
    </row>
    <row r="69" spans="1:13" ht="13.5" customHeight="1">
      <c r="B69" s="21" t="s">
        <v>64</v>
      </c>
      <c r="J69" s="21" t="s">
        <v>65</v>
      </c>
    </row>
    <row r="70" spans="1:13" s="23" customFormat="1" ht="24.75" customHeight="1">
      <c r="B70" s="20" t="s">
        <v>97</v>
      </c>
      <c r="J70" s="176" t="str">
        <f>C9</f>
        <v>JSAJ(Jassim Saif Amer Aljaberi Trading Est.)</v>
      </c>
      <c r="K70" s="176"/>
      <c r="L70" s="176"/>
      <c r="M70" s="176"/>
    </row>
    <row r="71" spans="1:13" ht="27.95" customHeight="1">
      <c r="A71" s="168" t="s">
        <v>66</v>
      </c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28"/>
  <sheetViews>
    <sheetView showGridLines="0" view="pageBreakPreview" topLeftCell="A52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23.5703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SAC2-DS-PO-0507</v>
      </c>
      <c r="C2" s="182" t="s">
        <v>68</v>
      </c>
      <c r="D2" s="182"/>
      <c r="E2" s="182"/>
      <c r="F2" s="182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46320</v>
      </c>
      <c r="C3" s="43"/>
      <c r="D3" s="44"/>
      <c r="E3" s="183" t="s">
        <v>70</v>
      </c>
      <c r="F3" s="183"/>
      <c r="G3" s="183"/>
      <c r="H3" s="183"/>
      <c r="I3" s="45"/>
    </row>
    <row r="4" spans="1:13" s="47" customFormat="1" ht="28.5" customHeight="1" thickTop="1">
      <c r="A4" s="184" t="s">
        <v>71</v>
      </c>
      <c r="B4" s="186" t="s">
        <v>72</v>
      </c>
      <c r="C4" s="187"/>
      <c r="D4" s="190" t="s">
        <v>132</v>
      </c>
      <c r="E4" s="190" t="s">
        <v>131</v>
      </c>
      <c r="F4" s="192" t="str">
        <f>'PO 1st page'!C9</f>
        <v>JSAJ(Jassim Saif Amer Aljaberi Trading Est.)</v>
      </c>
      <c r="G4" s="193"/>
      <c r="H4" s="194" t="s">
        <v>73</v>
      </c>
      <c r="K4" s="48"/>
      <c r="L4" s="48"/>
      <c r="M4" s="48"/>
    </row>
    <row r="5" spans="1:13" s="47" customFormat="1" ht="21.95" customHeight="1">
      <c r="A5" s="185"/>
      <c r="B5" s="188"/>
      <c r="C5" s="189"/>
      <c r="D5" s="191"/>
      <c r="E5" s="191"/>
      <c r="F5" s="49" t="s">
        <v>74</v>
      </c>
      <c r="G5" s="49" t="s">
        <v>42</v>
      </c>
      <c r="H5" s="195"/>
      <c r="K5" s="48"/>
      <c r="L5" s="48"/>
      <c r="M5" s="48"/>
    </row>
    <row r="6" spans="1:13" s="47" customFormat="1" ht="32.1" customHeight="1">
      <c r="A6" s="77">
        <f t="shared" ref="A6:A117" si="0">ROW(A1)</f>
        <v>1</v>
      </c>
      <c r="B6" s="177" t="str">
        <f>MRS!B6&amp;" "&amp;MRS!D6</f>
        <v>Teflon Tape  19mm x 40yard</v>
      </c>
      <c r="C6" s="177"/>
      <c r="D6" s="120" t="str">
        <f>MRS!G6</f>
        <v>Nos</v>
      </c>
      <c r="E6" s="121">
        <f>MRS!H6</f>
        <v>1500</v>
      </c>
      <c r="F6" s="122">
        <f>+'MRS LIST'!I6</f>
        <v>1.6</v>
      </c>
      <c r="G6" s="123">
        <f>+'MRS LIST'!J6</f>
        <v>2400</v>
      </c>
      <c r="H6" s="78" t="s">
        <v>96</v>
      </c>
      <c r="K6" s="79"/>
      <c r="L6" s="80"/>
      <c r="M6" s="48"/>
    </row>
    <row r="7" spans="1:13" s="47" customFormat="1" ht="32.1" customHeight="1">
      <c r="A7" s="77">
        <f t="shared" si="0"/>
        <v>2</v>
      </c>
      <c r="B7" s="177" t="str">
        <f>MRS!B7&amp;" "&amp;MRS!D7</f>
        <v>Insulation Tape  Black 2"</v>
      </c>
      <c r="C7" s="177"/>
      <c r="D7" s="120" t="str">
        <f>MRS!G7</f>
        <v>Nos</v>
      </c>
      <c r="E7" s="121">
        <f>MRS!H7</f>
        <v>18</v>
      </c>
      <c r="F7" s="122">
        <f>+'MRS LIST'!I7</f>
        <v>3</v>
      </c>
      <c r="G7" s="123">
        <f>+'MRS LIST'!J7</f>
        <v>54</v>
      </c>
      <c r="H7" s="78"/>
      <c r="K7" s="79"/>
      <c r="L7" s="80"/>
      <c r="M7" s="48"/>
    </row>
    <row r="8" spans="1:13" s="47" customFormat="1" ht="32.1" customHeight="1">
      <c r="A8" s="77">
        <f t="shared" si="0"/>
        <v>3</v>
      </c>
      <c r="B8" s="177" t="str">
        <f>MRS!B8&amp;" "&amp;MRS!D8</f>
        <v>AC Gas R410A  11.6kg</v>
      </c>
      <c r="C8" s="177"/>
      <c r="D8" s="120" t="str">
        <f>MRS!G8</f>
        <v>Nos</v>
      </c>
      <c r="E8" s="121">
        <f>MRS!H8</f>
        <v>12</v>
      </c>
      <c r="F8" s="122">
        <f>+'MRS LIST'!I8</f>
        <v>620</v>
      </c>
      <c r="G8" s="123">
        <f>+'MRS LIST'!J8</f>
        <v>7440</v>
      </c>
      <c r="H8" s="78"/>
      <c r="K8" s="79"/>
      <c r="L8" s="80"/>
      <c r="M8" s="48"/>
    </row>
    <row r="9" spans="1:13" s="47" customFormat="1" ht="32.1" customHeight="1">
      <c r="A9" s="77">
        <f t="shared" si="0"/>
        <v>4</v>
      </c>
      <c r="B9" s="177" t="str">
        <f>MRS!B9&amp;" "&amp;MRS!D9</f>
        <v>Wall Exhaust Fan  220V 295x135x295mm</v>
      </c>
      <c r="C9" s="177"/>
      <c r="D9" s="120" t="str">
        <f>MRS!G9</f>
        <v>Nos</v>
      </c>
      <c r="E9" s="121">
        <f>MRS!H9</f>
        <v>5</v>
      </c>
      <c r="F9" s="122">
        <f>+'MRS LIST'!I9</f>
        <v>55</v>
      </c>
      <c r="G9" s="123">
        <f>+'MRS LIST'!J9</f>
        <v>275</v>
      </c>
      <c r="H9" s="78"/>
      <c r="K9" s="79"/>
      <c r="L9" s="80"/>
      <c r="M9" s="48"/>
    </row>
    <row r="10" spans="1:13" s="47" customFormat="1" ht="32.1" customHeight="1">
      <c r="A10" s="77">
        <f t="shared" si="0"/>
        <v>5</v>
      </c>
      <c r="B10" s="177" t="str">
        <f>MRS!B10&amp;" "&amp;MRS!D10</f>
        <v>Bacteria Test Kit Bactaslyde  BS103</v>
      </c>
      <c r="C10" s="177"/>
      <c r="D10" s="120" t="str">
        <f>MRS!G10</f>
        <v>Kit</v>
      </c>
      <c r="E10" s="121">
        <f>MRS!H10</f>
        <v>6</v>
      </c>
      <c r="F10" s="122">
        <f>+'MRS LIST'!I10</f>
        <v>190</v>
      </c>
      <c r="G10" s="123">
        <f>+'MRS LIST'!J10</f>
        <v>1140</v>
      </c>
      <c r="H10" s="78"/>
      <c r="K10" s="79"/>
      <c r="L10" s="80"/>
      <c r="M10" s="48"/>
    </row>
    <row r="11" spans="1:13" s="47" customFormat="1" ht="32.1" customHeight="1">
      <c r="A11" s="77">
        <f t="shared" si="0"/>
        <v>6</v>
      </c>
      <c r="B11" s="177" t="str">
        <f>MRS!B11&amp;" "&amp;MRS!D11</f>
        <v>Flap Wheel  S/S 25x20x6mm</v>
      </c>
      <c r="C11" s="177"/>
      <c r="D11" s="120" t="str">
        <f>MRS!G11</f>
        <v>Nos</v>
      </c>
      <c r="E11" s="121">
        <f>MRS!H11</f>
        <v>600</v>
      </c>
      <c r="F11" s="122">
        <f>+'MRS LIST'!I11</f>
        <v>4</v>
      </c>
      <c r="G11" s="123">
        <f>+'MRS LIST'!J11</f>
        <v>2400</v>
      </c>
      <c r="H11" s="78"/>
      <c r="K11" s="79"/>
      <c r="L11" s="80"/>
      <c r="M11" s="48"/>
    </row>
    <row r="12" spans="1:13" s="47" customFormat="1" ht="32.1" customHeight="1">
      <c r="A12" s="77">
        <f t="shared" si="0"/>
        <v>7</v>
      </c>
      <c r="B12" s="177" t="str">
        <f>MRS!B12&amp;" "&amp;MRS!D12</f>
        <v>Hi Stick Spray Paint Rust Resistant  Dark Blue</v>
      </c>
      <c r="C12" s="177"/>
      <c r="D12" s="120" t="str">
        <f>MRS!G12</f>
        <v>Nos</v>
      </c>
      <c r="E12" s="121">
        <f>MRS!H12</f>
        <v>36</v>
      </c>
      <c r="F12" s="122">
        <f>+'MRS LIST'!I12</f>
        <v>4.4000000000000004</v>
      </c>
      <c r="G12" s="123">
        <f>+'MRS LIST'!J12</f>
        <v>158.4</v>
      </c>
      <c r="H12" s="78"/>
      <c r="K12" s="79"/>
      <c r="L12" s="80"/>
      <c r="M12" s="48"/>
    </row>
    <row r="13" spans="1:13" s="47" customFormat="1" ht="32.1" customHeight="1">
      <c r="A13" s="77">
        <f t="shared" si="0"/>
        <v>8</v>
      </c>
      <c r="B13" s="177" t="str">
        <f>MRS!B13&amp;" "&amp;MRS!D13</f>
        <v>Hi Stick Spray Paint Rust Resistant  Yellow</v>
      </c>
      <c r="C13" s="177"/>
      <c r="D13" s="120" t="str">
        <f>MRS!G13</f>
        <v>Nos</v>
      </c>
      <c r="E13" s="121">
        <f>MRS!H13</f>
        <v>12</v>
      </c>
      <c r="F13" s="122">
        <f>+'MRS LIST'!I13</f>
        <v>4.4000000000000004</v>
      </c>
      <c r="G13" s="123">
        <f>+'MRS LIST'!J13</f>
        <v>52.800000000000004</v>
      </c>
      <c r="H13" s="78"/>
      <c r="K13" s="79"/>
      <c r="L13" s="80"/>
      <c r="M13" s="48"/>
    </row>
    <row r="14" spans="1:13" s="47" customFormat="1" ht="32.1" customHeight="1">
      <c r="A14" s="77">
        <f t="shared" si="0"/>
        <v>9</v>
      </c>
      <c r="B14" s="177" t="str">
        <f>MRS!B14&amp;" "&amp;MRS!D14</f>
        <v>Parts Handle Side  (562211-00) for DWE4002-B5 Dewalt</v>
      </c>
      <c r="C14" s="177"/>
      <c r="D14" s="120" t="str">
        <f>MRS!G14</f>
        <v>Nos</v>
      </c>
      <c r="E14" s="121">
        <f>MRS!H14</f>
        <v>30</v>
      </c>
      <c r="F14" s="122">
        <f>+'MRS LIST'!I14</f>
        <v>8</v>
      </c>
      <c r="G14" s="123">
        <f>+'MRS LIST'!J14</f>
        <v>240</v>
      </c>
      <c r="H14" s="78"/>
      <c r="K14" s="79"/>
      <c r="L14" s="80"/>
      <c r="M14" s="48"/>
    </row>
    <row r="15" spans="1:13" s="47" customFormat="1" ht="32.1" customHeight="1">
      <c r="A15" s="77">
        <f t="shared" si="0"/>
        <v>10</v>
      </c>
      <c r="B15" s="177" t="str">
        <f>MRS!B15&amp;" "&amp;MRS!D15</f>
        <v>Gun for HIT-RE 500 V4 Hilti  HDM-500</v>
      </c>
      <c r="C15" s="177"/>
      <c r="D15" s="120" t="str">
        <f>MRS!G15</f>
        <v>Nos</v>
      </c>
      <c r="E15" s="121">
        <f>MRS!H15</f>
        <v>3</v>
      </c>
      <c r="F15" s="122">
        <f>+'MRS LIST'!I15</f>
        <v>870</v>
      </c>
      <c r="G15" s="123">
        <f>+'MRS LIST'!J15</f>
        <v>2610</v>
      </c>
      <c r="H15" s="78"/>
      <c r="K15" s="79"/>
      <c r="L15" s="80"/>
      <c r="M15" s="48"/>
    </row>
    <row r="16" spans="1:13" s="47" customFormat="1" ht="32.1" customHeight="1">
      <c r="A16" s="77">
        <f t="shared" si="0"/>
        <v>11</v>
      </c>
      <c r="B16" s="177" t="str">
        <f>MRS!B16&amp;" "&amp;MRS!D16</f>
        <v xml:space="preserve">Automatic Center Punch </v>
      </c>
      <c r="C16" s="177"/>
      <c r="D16" s="120" t="str">
        <f>MRS!G16</f>
        <v>Nos</v>
      </c>
      <c r="E16" s="121">
        <f>MRS!H16</f>
        <v>6</v>
      </c>
      <c r="F16" s="122">
        <f>+'MRS LIST'!I16</f>
        <v>32</v>
      </c>
      <c r="G16" s="123">
        <f>+'MRS LIST'!J16</f>
        <v>192</v>
      </c>
      <c r="H16" s="78"/>
      <c r="K16" s="79"/>
      <c r="L16" s="80"/>
      <c r="M16" s="48"/>
    </row>
    <row r="17" spans="1:13" s="47" customFormat="1" ht="32.1" customHeight="1">
      <c r="A17" s="77">
        <f t="shared" si="0"/>
        <v>12</v>
      </c>
      <c r="B17" s="177" t="str">
        <f>MRS!B17&amp;" "&amp;MRS!D17</f>
        <v>Armature 220V (70927) for Beaver BE  50G AT Asada</v>
      </c>
      <c r="C17" s="177"/>
      <c r="D17" s="120" t="str">
        <f>MRS!G17</f>
        <v>Nos</v>
      </c>
      <c r="E17" s="121">
        <f>MRS!H17</f>
        <v>2</v>
      </c>
      <c r="F17" s="122">
        <f>+'MRS LIST'!I17</f>
        <v>1320</v>
      </c>
      <c r="G17" s="123">
        <f>+'MRS LIST'!J17</f>
        <v>2640</v>
      </c>
      <c r="H17" s="78"/>
      <c r="K17" s="79"/>
      <c r="L17" s="80"/>
      <c r="M17" s="48"/>
    </row>
    <row r="18" spans="1:13" s="47" customFormat="1" ht="32.1" customHeight="1">
      <c r="A18" s="77">
        <f t="shared" si="0"/>
        <v>13</v>
      </c>
      <c r="B18" s="177" t="str">
        <f>MRS!B18&amp;" "&amp;MRS!D18</f>
        <v>Field Coil 220V (70926) for Beaver BE  50G AT Asada</v>
      </c>
      <c r="C18" s="177"/>
      <c r="D18" s="120" t="str">
        <f>MRS!G18</f>
        <v>Nos</v>
      </c>
      <c r="E18" s="121">
        <f>MRS!H18</f>
        <v>2</v>
      </c>
      <c r="F18" s="122">
        <f>+'MRS LIST'!I18</f>
        <v>680</v>
      </c>
      <c r="G18" s="123">
        <f>+'MRS LIST'!J18</f>
        <v>1360</v>
      </c>
      <c r="H18" s="78"/>
      <c r="K18" s="79"/>
      <c r="L18" s="80"/>
      <c r="M18" s="48"/>
    </row>
    <row r="19" spans="1:13" s="47" customFormat="1" ht="32.1" customHeight="1">
      <c r="A19" s="77">
        <f t="shared" si="0"/>
        <v>14</v>
      </c>
      <c r="B19" s="177" t="str">
        <f>MRS!B19&amp;" "&amp;MRS!D19</f>
        <v>Sledge Hammer  2LB</v>
      </c>
      <c r="C19" s="177"/>
      <c r="D19" s="120" t="str">
        <f>MRS!G19</f>
        <v>Nos</v>
      </c>
      <c r="E19" s="121">
        <f>MRS!H19</f>
        <v>10</v>
      </c>
      <c r="F19" s="122">
        <f>+'MRS LIST'!I19</f>
        <v>22</v>
      </c>
      <c r="G19" s="123">
        <f>+'MRS LIST'!J19</f>
        <v>220</v>
      </c>
      <c r="H19" s="78"/>
      <c r="K19" s="79"/>
      <c r="L19" s="80"/>
      <c r="M19" s="48"/>
    </row>
    <row r="20" spans="1:13" s="47" customFormat="1" ht="32.1" customHeight="1">
      <c r="A20" s="77">
        <f t="shared" si="0"/>
        <v>15</v>
      </c>
      <c r="B20" s="177" t="str">
        <f>MRS!B20&amp;" "&amp;MRS!D20</f>
        <v>Screw Driver  Plus+ 9"</v>
      </c>
      <c r="C20" s="177"/>
      <c r="D20" s="120" t="str">
        <f>MRS!G20</f>
        <v>Nos</v>
      </c>
      <c r="E20" s="121">
        <f>MRS!H20</f>
        <v>4</v>
      </c>
      <c r="F20" s="122">
        <f>+'MRS LIST'!I20</f>
        <v>6.8</v>
      </c>
      <c r="G20" s="123">
        <f>+'MRS LIST'!J20</f>
        <v>27.2</v>
      </c>
      <c r="H20" s="78"/>
      <c r="K20" s="79"/>
      <c r="L20" s="80"/>
      <c r="M20" s="48"/>
    </row>
    <row r="21" spans="1:13" s="47" customFormat="1" ht="32.1" customHeight="1">
      <c r="A21" s="77">
        <f t="shared" si="0"/>
        <v>16</v>
      </c>
      <c r="B21" s="177" t="str">
        <f>MRS!B21&amp;" "&amp;MRS!D21</f>
        <v>Screw Driver  Flat- 9"</v>
      </c>
      <c r="C21" s="177"/>
      <c r="D21" s="120" t="str">
        <f>MRS!G21</f>
        <v>Nos</v>
      </c>
      <c r="E21" s="121">
        <f>MRS!H21</f>
        <v>4</v>
      </c>
      <c r="F21" s="122">
        <f>+'MRS LIST'!I21</f>
        <v>6.8</v>
      </c>
      <c r="G21" s="123">
        <f>+'MRS LIST'!J21</f>
        <v>27.2</v>
      </c>
      <c r="H21" s="78"/>
      <c r="K21" s="79"/>
      <c r="L21" s="80"/>
      <c r="M21" s="48"/>
    </row>
    <row r="22" spans="1:13" s="47" customFormat="1" ht="32.1" customHeight="1">
      <c r="A22" s="77">
        <f t="shared" si="0"/>
        <v>17</v>
      </c>
      <c r="B22" s="177" t="str">
        <f>MRS!B22&amp;" "&amp;MRS!D22</f>
        <v>Disposable Coverall  2XL</v>
      </c>
      <c r="C22" s="177"/>
      <c r="D22" s="120" t="str">
        <f>MRS!G22</f>
        <v>Nos</v>
      </c>
      <c r="E22" s="121">
        <f>MRS!H22</f>
        <v>300</v>
      </c>
      <c r="F22" s="122">
        <f>+'MRS LIST'!I22</f>
        <v>4</v>
      </c>
      <c r="G22" s="123">
        <f>+'MRS LIST'!J22</f>
        <v>1200</v>
      </c>
      <c r="H22" s="78"/>
      <c r="K22" s="79"/>
      <c r="L22" s="80"/>
      <c r="M22" s="48"/>
    </row>
    <row r="23" spans="1:13" s="47" customFormat="1" ht="32.1" customHeight="1">
      <c r="A23" s="77">
        <f t="shared" si="0"/>
        <v>18</v>
      </c>
      <c r="B23" s="177" t="str">
        <f>MRS!B23&amp;" "&amp;MRS!D23</f>
        <v>Spray Paint  G2100 Dark Blue (240G)</v>
      </c>
      <c r="C23" s="177"/>
      <c r="D23" s="120" t="str">
        <f>MRS!G23</f>
        <v>Nos</v>
      </c>
      <c r="E23" s="121">
        <f>MRS!H23</f>
        <v>50</v>
      </c>
      <c r="F23" s="122">
        <f>+'MRS LIST'!I23</f>
        <v>4.3</v>
      </c>
      <c r="G23" s="123">
        <f>+'MRS LIST'!J23</f>
        <v>215</v>
      </c>
      <c r="H23" s="78"/>
      <c r="K23" s="79"/>
      <c r="L23" s="80"/>
      <c r="M23" s="48"/>
    </row>
    <row r="24" spans="1:13" s="47" customFormat="1" ht="32.1" customHeight="1">
      <c r="A24" s="77">
        <f t="shared" si="0"/>
        <v>19</v>
      </c>
      <c r="B24" s="177" t="str">
        <f>MRS!B24&amp;" "&amp;MRS!D24</f>
        <v>Spray Paint  G2100 Yellow (240G)</v>
      </c>
      <c r="C24" s="177"/>
      <c r="D24" s="120" t="str">
        <f>MRS!G24</f>
        <v>Nos</v>
      </c>
      <c r="E24" s="121">
        <f>MRS!H24</f>
        <v>12</v>
      </c>
      <c r="F24" s="122">
        <f>+'MRS LIST'!I24</f>
        <v>4.3</v>
      </c>
      <c r="G24" s="123">
        <f>+'MRS LIST'!J24</f>
        <v>51.599999999999994</v>
      </c>
      <c r="H24" s="78"/>
      <c r="K24" s="79"/>
      <c r="L24" s="80"/>
      <c r="M24" s="48"/>
    </row>
    <row r="25" spans="1:13" s="47" customFormat="1" ht="32.1" customHeight="1">
      <c r="A25" s="77">
        <f t="shared" si="0"/>
        <v>20</v>
      </c>
      <c r="B25" s="177" t="str">
        <f>MRS!B25&amp;" "&amp;MRS!D25</f>
        <v xml:space="preserve">Toilet Cleaning Brush </v>
      </c>
      <c r="C25" s="177"/>
      <c r="D25" s="120" t="str">
        <f>MRS!G25</f>
        <v>Nos</v>
      </c>
      <c r="E25" s="121">
        <f>MRS!H25</f>
        <v>50</v>
      </c>
      <c r="F25" s="122">
        <f>+'MRS LIST'!I25</f>
        <v>7.2</v>
      </c>
      <c r="G25" s="123">
        <f>+'MRS LIST'!J25</f>
        <v>360</v>
      </c>
      <c r="H25" s="78"/>
      <c r="K25" s="79"/>
      <c r="L25" s="80"/>
      <c r="M25" s="48"/>
    </row>
    <row r="26" spans="1:13" s="47" customFormat="1" ht="32.1" customHeight="1">
      <c r="A26" s="77">
        <f t="shared" si="0"/>
        <v>21</v>
      </c>
      <c r="B26" s="177" t="str">
        <f>MRS!B26&amp;" "&amp;MRS!D26</f>
        <v xml:space="preserve">3M 8515 N95 Mask </v>
      </c>
      <c r="C26" s="177"/>
      <c r="D26" s="120" t="str">
        <f>MRS!G26</f>
        <v>Nos</v>
      </c>
      <c r="E26" s="121">
        <f>MRS!H26</f>
        <v>30</v>
      </c>
      <c r="F26" s="122">
        <f>+'MRS LIST'!I26</f>
        <v>9.5</v>
      </c>
      <c r="G26" s="123">
        <f>+'MRS LIST'!J26</f>
        <v>285</v>
      </c>
      <c r="H26" s="78"/>
      <c r="K26" s="79"/>
      <c r="L26" s="80"/>
      <c r="M26" s="48"/>
    </row>
    <row r="27" spans="1:13" s="47" customFormat="1" ht="32.1" customHeight="1">
      <c r="A27" s="77">
        <f t="shared" si="0"/>
        <v>22</v>
      </c>
      <c r="B27" s="177" t="str">
        <f>MRS!B27&amp;" "&amp;MRS!D27</f>
        <v>Hand Winch  5mmx10mtr</v>
      </c>
      <c r="C27" s="177"/>
      <c r="D27" s="120" t="str">
        <f>MRS!G27</f>
        <v>Nos</v>
      </c>
      <c r="E27" s="121">
        <f>MRS!H27</f>
        <v>2</v>
      </c>
      <c r="F27" s="122">
        <f>+'MRS LIST'!I27</f>
        <v>135</v>
      </c>
      <c r="G27" s="123">
        <f>+'MRS LIST'!J27</f>
        <v>270</v>
      </c>
      <c r="H27" s="78"/>
      <c r="K27" s="79"/>
      <c r="L27" s="80"/>
      <c r="M27" s="48"/>
    </row>
    <row r="28" spans="1:13" s="47" customFormat="1" ht="32.1" customHeight="1">
      <c r="A28" s="77">
        <f t="shared" si="0"/>
        <v>23</v>
      </c>
      <c r="B28" s="177" t="str">
        <f>MRS!B28&amp;" "&amp;MRS!D28</f>
        <v>Adjustable Wrench  18"</v>
      </c>
      <c r="C28" s="177"/>
      <c r="D28" s="120" t="str">
        <f>MRS!G28</f>
        <v>Nos</v>
      </c>
      <c r="E28" s="121">
        <f>MRS!H28</f>
        <v>2</v>
      </c>
      <c r="F28" s="122">
        <f>+'MRS LIST'!I28</f>
        <v>52</v>
      </c>
      <c r="G28" s="123">
        <f>+'MRS LIST'!J28</f>
        <v>104</v>
      </c>
      <c r="H28" s="78"/>
      <c r="K28" s="79"/>
      <c r="L28" s="80"/>
      <c r="M28" s="48"/>
    </row>
    <row r="29" spans="1:13" s="47" customFormat="1" ht="32.1" customHeight="1">
      <c r="A29" s="77">
        <f t="shared" si="0"/>
        <v>24</v>
      </c>
      <c r="B29" s="177" t="str">
        <f>MRS!B29&amp;" "&amp;MRS!D29</f>
        <v>Electric Insulation Tape  Yellow</v>
      </c>
      <c r="C29" s="177"/>
      <c r="D29" s="120" t="str">
        <f>MRS!G29</f>
        <v>Nos</v>
      </c>
      <c r="E29" s="121">
        <f>MRS!H29</f>
        <v>300</v>
      </c>
      <c r="F29" s="122">
        <f>+'MRS LIST'!I29</f>
        <v>1.9</v>
      </c>
      <c r="G29" s="123">
        <f>+'MRS LIST'!J29</f>
        <v>570</v>
      </c>
      <c r="H29" s="78"/>
      <c r="K29" s="79"/>
      <c r="L29" s="80"/>
      <c r="M29" s="48"/>
    </row>
    <row r="30" spans="1:13" s="47" customFormat="1" ht="32.1" customHeight="1">
      <c r="A30" s="77">
        <f t="shared" si="0"/>
        <v>25</v>
      </c>
      <c r="B30" s="177" t="str">
        <f>MRS!B30&amp;" "&amp;MRS!D30</f>
        <v>Half Round File  C/S 12"</v>
      </c>
      <c r="C30" s="177"/>
      <c r="D30" s="120" t="str">
        <f>MRS!G30</f>
        <v>Nos</v>
      </c>
      <c r="E30" s="121">
        <f>MRS!H30</f>
        <v>15</v>
      </c>
      <c r="F30" s="122">
        <f>+'MRS LIST'!I30</f>
        <v>9.5</v>
      </c>
      <c r="G30" s="123">
        <f>+'MRS LIST'!J30</f>
        <v>142.5</v>
      </c>
      <c r="H30" s="78"/>
      <c r="K30" s="79"/>
      <c r="L30" s="80"/>
      <c r="M30" s="48"/>
    </row>
    <row r="31" spans="1:13" s="47" customFormat="1" ht="32.1" customHeight="1">
      <c r="A31" s="77">
        <f t="shared" si="0"/>
        <v>26</v>
      </c>
      <c r="B31" s="177" t="str">
        <f>MRS!B31&amp;" "&amp;MRS!D31</f>
        <v>Screw Driver  Star 9"</v>
      </c>
      <c r="C31" s="177"/>
      <c r="D31" s="120" t="str">
        <f>MRS!G31</f>
        <v>Nos</v>
      </c>
      <c r="E31" s="121">
        <f>MRS!H31</f>
        <v>4</v>
      </c>
      <c r="F31" s="122">
        <f>+'MRS LIST'!I31</f>
        <v>9.6</v>
      </c>
      <c r="G31" s="123">
        <f>+'MRS LIST'!J31</f>
        <v>38.4</v>
      </c>
      <c r="H31" s="78"/>
      <c r="K31" s="79"/>
      <c r="L31" s="80"/>
      <c r="M31" s="48"/>
    </row>
    <row r="32" spans="1:13" s="47" customFormat="1" ht="32.1" customHeight="1">
      <c r="A32" s="77">
        <f t="shared" si="0"/>
        <v>27</v>
      </c>
      <c r="B32" s="177" t="str">
        <f>MRS!B32&amp;" "&amp;MRS!D32</f>
        <v>Adjustable Wrench  24"</v>
      </c>
      <c r="C32" s="177"/>
      <c r="D32" s="120" t="str">
        <f>MRS!G32</f>
        <v>Nos</v>
      </c>
      <c r="E32" s="121">
        <f>MRS!H32</f>
        <v>4</v>
      </c>
      <c r="F32" s="122">
        <f>+'MRS LIST'!I32</f>
        <v>98</v>
      </c>
      <c r="G32" s="123">
        <f>+'MRS LIST'!J32</f>
        <v>392</v>
      </c>
      <c r="H32" s="78"/>
      <c r="K32" s="79"/>
      <c r="L32" s="80"/>
      <c r="M32" s="48"/>
    </row>
    <row r="33" spans="1:13" s="47" customFormat="1" ht="32.1" customHeight="1">
      <c r="A33" s="77">
        <f t="shared" si="0"/>
        <v>28</v>
      </c>
      <c r="B33" s="177" t="str">
        <f>MRS!B33&amp;" "&amp;MRS!D33</f>
        <v>Latex Half Coated Gloves  Green Crinkled</v>
      </c>
      <c r="C33" s="177"/>
      <c r="D33" s="120" t="str">
        <f>MRS!G33</f>
        <v>Pair</v>
      </c>
      <c r="E33" s="121">
        <f>MRS!H33</f>
        <v>9050</v>
      </c>
      <c r="F33" s="122">
        <f>+'MRS LIST'!I33</f>
        <v>1.3</v>
      </c>
      <c r="G33" s="123">
        <f>+'MRS LIST'!J33</f>
        <v>11765</v>
      </c>
      <c r="H33" s="78"/>
      <c r="K33" s="79"/>
      <c r="L33" s="80"/>
      <c r="M33" s="48"/>
    </row>
    <row r="34" spans="1:13" s="47" customFormat="1" ht="32.1" customHeight="1">
      <c r="A34" s="77">
        <f t="shared" si="0"/>
        <v>29</v>
      </c>
      <c r="B34" s="177" t="str">
        <f>MRS!B34&amp;" "&amp;MRS!D34</f>
        <v>Flap Disc  S/S 4" 80 Grit</v>
      </c>
      <c r="C34" s="177"/>
      <c r="D34" s="120" t="str">
        <f>MRS!G34</f>
        <v>Nos</v>
      </c>
      <c r="E34" s="121">
        <f>MRS!H34</f>
        <v>3800</v>
      </c>
      <c r="F34" s="122">
        <f>+'MRS LIST'!I34</f>
        <v>3</v>
      </c>
      <c r="G34" s="123">
        <f>+'MRS LIST'!J34</f>
        <v>11400</v>
      </c>
      <c r="H34" s="78"/>
      <c r="K34" s="79"/>
      <c r="L34" s="80"/>
      <c r="M34" s="48"/>
    </row>
    <row r="35" spans="1:13" s="47" customFormat="1" ht="32.1" customHeight="1">
      <c r="A35" s="81">
        <f t="shared" si="0"/>
        <v>30</v>
      </c>
      <c r="B35" s="177" t="str">
        <f>MRS!B35&amp;" "&amp;MRS!D35</f>
        <v>Flap Wheel  S/S 40x20x6mm</v>
      </c>
      <c r="C35" s="177"/>
      <c r="D35" s="120" t="str">
        <f>MRS!G35</f>
        <v>Nos</v>
      </c>
      <c r="E35" s="121">
        <f>MRS!H35</f>
        <v>1250</v>
      </c>
      <c r="F35" s="122">
        <f>+'MRS LIST'!I35</f>
        <v>7.8</v>
      </c>
      <c r="G35" s="123">
        <f>+'MRS LIST'!J35</f>
        <v>9750</v>
      </c>
      <c r="H35" s="78"/>
      <c r="K35" s="79"/>
      <c r="L35" s="80"/>
      <c r="M35" s="48"/>
    </row>
    <row r="36" spans="1:13" s="47" customFormat="1" ht="32.1" customHeight="1">
      <c r="A36" s="81">
        <f t="shared" si="0"/>
        <v>31</v>
      </c>
      <c r="B36" s="177" t="str">
        <f>MRS!B36&amp;" "&amp;MRS!D36</f>
        <v>Cup Brush  S/S Crimped M10x75mm</v>
      </c>
      <c r="C36" s="177"/>
      <c r="D36" s="120" t="str">
        <f>MRS!G36</f>
        <v>Nos</v>
      </c>
      <c r="E36" s="121">
        <f>MRS!H36</f>
        <v>1550</v>
      </c>
      <c r="F36" s="122">
        <f>+'MRS LIST'!I36</f>
        <v>17.5</v>
      </c>
      <c r="G36" s="123">
        <f>+'MRS LIST'!J36</f>
        <v>27125</v>
      </c>
      <c r="H36" s="78"/>
      <c r="K36" s="79"/>
      <c r="L36" s="80"/>
      <c r="M36" s="48"/>
    </row>
    <row r="37" spans="1:13" s="47" customFormat="1" ht="32.1" customHeight="1">
      <c r="A37" s="77">
        <f t="shared" si="0"/>
        <v>32</v>
      </c>
      <c r="B37" s="177" t="str">
        <f>MRS!B37&amp;" "&amp;MRS!D37</f>
        <v>Low Chloride Paint Marker  Blue</v>
      </c>
      <c r="C37" s="177"/>
      <c r="D37" s="120" t="str">
        <f>MRS!G37</f>
        <v>Nos</v>
      </c>
      <c r="E37" s="121">
        <f>MRS!H37</f>
        <v>624</v>
      </c>
      <c r="F37" s="122">
        <f>+'MRS LIST'!I37</f>
        <v>12.8</v>
      </c>
      <c r="G37" s="123">
        <f>+'MRS LIST'!J37</f>
        <v>7987.2000000000007</v>
      </c>
      <c r="H37" s="78"/>
      <c r="K37" s="79"/>
      <c r="L37" s="80"/>
      <c r="M37" s="48"/>
    </row>
    <row r="38" spans="1:13" s="47" customFormat="1" ht="32.1" customHeight="1">
      <c r="A38" s="77">
        <f t="shared" si="0"/>
        <v>33</v>
      </c>
      <c r="B38" s="177" t="str">
        <f>MRS!B38&amp;" "&amp;MRS!D38</f>
        <v>Zinc Spray Paint  Weicon(400 ml)</v>
      </c>
      <c r="C38" s="177"/>
      <c r="D38" s="120" t="str">
        <f>MRS!G38</f>
        <v>Nos</v>
      </c>
      <c r="E38" s="121">
        <f>MRS!H38</f>
        <v>120</v>
      </c>
      <c r="F38" s="122">
        <f>+'MRS LIST'!I38</f>
        <v>32</v>
      </c>
      <c r="G38" s="123">
        <f>+'MRS LIST'!J38</f>
        <v>3840</v>
      </c>
      <c r="H38" s="78"/>
      <c r="K38" s="79"/>
      <c r="L38" s="80"/>
      <c r="M38" s="48"/>
    </row>
    <row r="39" spans="1:13" s="47" customFormat="1" ht="32.1" customHeight="1">
      <c r="A39" s="77">
        <f t="shared" si="0"/>
        <v>34</v>
      </c>
      <c r="B39" s="177" t="str">
        <f>MRS!B39&amp;" "&amp;MRS!D39</f>
        <v xml:space="preserve">Ear Plug with Corded </v>
      </c>
      <c r="C39" s="177"/>
      <c r="D39" s="120" t="str">
        <f>MRS!G39</f>
        <v>Nos</v>
      </c>
      <c r="E39" s="121">
        <f>MRS!H39</f>
        <v>3100</v>
      </c>
      <c r="F39" s="122">
        <f>+'MRS LIST'!I39</f>
        <v>0.55000000000000004</v>
      </c>
      <c r="G39" s="123">
        <f>+'MRS LIST'!J39</f>
        <v>1705.0000000000002</v>
      </c>
      <c r="H39" s="78"/>
      <c r="K39" s="79"/>
      <c r="L39" s="80"/>
      <c r="M39" s="48"/>
    </row>
    <row r="40" spans="1:13" s="47" customFormat="1" ht="32.1" customHeight="1">
      <c r="A40" s="77">
        <f t="shared" si="0"/>
        <v>35</v>
      </c>
      <c r="B40" s="177" t="str">
        <f>MRS!B40&amp;" "&amp;MRS!D40</f>
        <v>Welding Glass  Dark #11</v>
      </c>
      <c r="C40" s="177"/>
      <c r="D40" s="120" t="str">
        <f>MRS!G40</f>
        <v>Nos</v>
      </c>
      <c r="E40" s="121">
        <f>MRS!H40</f>
        <v>210</v>
      </c>
      <c r="F40" s="122">
        <f>+'MRS LIST'!I40</f>
        <v>0.85</v>
      </c>
      <c r="G40" s="123">
        <f>+'MRS LIST'!J40</f>
        <v>178.5</v>
      </c>
      <c r="H40" s="78"/>
      <c r="K40" s="79"/>
      <c r="L40" s="80"/>
      <c r="M40" s="48"/>
    </row>
    <row r="41" spans="1:13" s="47" customFormat="1" ht="32.1" customHeight="1">
      <c r="A41" s="77">
        <f t="shared" si="0"/>
        <v>36</v>
      </c>
      <c r="B41" s="177" t="str">
        <f>MRS!B41&amp;" "&amp;MRS!D41</f>
        <v>Welding Glass  Dark #12</v>
      </c>
      <c r="C41" s="177"/>
      <c r="D41" s="120" t="str">
        <f>MRS!G41</f>
        <v>Nos</v>
      </c>
      <c r="E41" s="121">
        <f>MRS!H41</f>
        <v>260</v>
      </c>
      <c r="F41" s="122">
        <f>+'MRS LIST'!I41</f>
        <v>0.85</v>
      </c>
      <c r="G41" s="123">
        <f>+'MRS LIST'!J41</f>
        <v>221</v>
      </c>
      <c r="H41" s="78"/>
      <c r="K41" s="79"/>
      <c r="L41" s="80"/>
      <c r="M41" s="48"/>
    </row>
    <row r="42" spans="1:13" s="47" customFormat="1" ht="32.1" customHeight="1">
      <c r="A42" s="77">
        <f t="shared" si="0"/>
        <v>37</v>
      </c>
      <c r="B42" s="177" t="str">
        <f>MRS!B42&amp;" "&amp;MRS!D42</f>
        <v>Welding Cable Connector  35-50mm2 Male &amp; Female</v>
      </c>
      <c r="C42" s="177"/>
      <c r="D42" s="120" t="str">
        <f>MRS!G42</f>
        <v>Nos</v>
      </c>
      <c r="E42" s="121">
        <f>MRS!H42</f>
        <v>50</v>
      </c>
      <c r="F42" s="122">
        <f>+'MRS LIST'!I42</f>
        <v>13</v>
      </c>
      <c r="G42" s="123">
        <f>+'MRS LIST'!J42</f>
        <v>650</v>
      </c>
      <c r="H42" s="78"/>
      <c r="K42" s="79"/>
      <c r="L42" s="80"/>
      <c r="M42" s="48"/>
    </row>
    <row r="43" spans="1:13" s="47" customFormat="1" ht="32.1" customHeight="1">
      <c r="A43" s="77">
        <f t="shared" si="0"/>
        <v>38</v>
      </c>
      <c r="B43" s="177" t="str">
        <f>MRS!B43&amp;" "&amp;MRS!D43</f>
        <v>Welding Cable Connector  50-70mm2 Male &amp; Female</v>
      </c>
      <c r="C43" s="177"/>
      <c r="D43" s="120" t="str">
        <f>MRS!G43</f>
        <v>Nos</v>
      </c>
      <c r="E43" s="121">
        <f>MRS!H43</f>
        <v>150</v>
      </c>
      <c r="F43" s="122">
        <f>+'MRS LIST'!I43</f>
        <v>15</v>
      </c>
      <c r="G43" s="123">
        <f>+'MRS LIST'!J43</f>
        <v>2250</v>
      </c>
      <c r="H43" s="78"/>
      <c r="K43" s="79"/>
      <c r="L43" s="80"/>
      <c r="M43" s="48"/>
    </row>
    <row r="44" spans="1:13" s="47" customFormat="1" ht="32.1" customHeight="1">
      <c r="A44" s="77">
        <f t="shared" si="0"/>
        <v>39</v>
      </c>
      <c r="B44" s="177" t="str">
        <f>MRS!B44&amp;" "&amp;MRS!D44</f>
        <v>Tig Collet Body  350A 3.2mm SS</v>
      </c>
      <c r="C44" s="177"/>
      <c r="D44" s="120" t="str">
        <f>MRS!G44</f>
        <v>Nos</v>
      </c>
      <c r="E44" s="121">
        <f>MRS!H44</f>
        <v>350</v>
      </c>
      <c r="F44" s="122">
        <f>+'MRS LIST'!I44</f>
        <v>11.8</v>
      </c>
      <c r="G44" s="123">
        <f>+'MRS LIST'!J44</f>
        <v>4130</v>
      </c>
      <c r="H44" s="78"/>
      <c r="K44" s="79"/>
      <c r="L44" s="80"/>
      <c r="M44" s="48"/>
    </row>
    <row r="45" spans="1:13" s="47" customFormat="1" ht="32.1" customHeight="1">
      <c r="A45" s="77">
        <f t="shared" si="0"/>
        <v>40</v>
      </c>
      <c r="B45" s="177" t="str">
        <f>MRS!B45&amp;" "&amp;MRS!D45</f>
        <v>Tig Collet Pin  350A 3.2mm SS</v>
      </c>
      <c r="C45" s="177"/>
      <c r="D45" s="120" t="str">
        <f>MRS!G45</f>
        <v>Nos</v>
      </c>
      <c r="E45" s="121">
        <f>MRS!H45</f>
        <v>100</v>
      </c>
      <c r="F45" s="122">
        <f>+'MRS LIST'!I45</f>
        <v>5.5</v>
      </c>
      <c r="G45" s="123">
        <f>+'MRS LIST'!J45</f>
        <v>550</v>
      </c>
      <c r="H45" s="78"/>
      <c r="K45" s="79"/>
      <c r="L45" s="80"/>
      <c r="M45" s="48"/>
    </row>
    <row r="46" spans="1:13" s="47" customFormat="1" ht="32.1" customHeight="1">
      <c r="A46" s="77">
        <f t="shared" si="0"/>
        <v>41</v>
      </c>
      <c r="B46" s="177" t="str">
        <f>MRS!B46&amp;" "&amp;MRS!D46</f>
        <v xml:space="preserve">Tig Torch Head with Handle </v>
      </c>
      <c r="C46" s="177"/>
      <c r="D46" s="120" t="str">
        <f>MRS!G46</f>
        <v>Nos</v>
      </c>
      <c r="E46" s="121">
        <f>MRS!H46</f>
        <v>50</v>
      </c>
      <c r="F46" s="122">
        <f>+'MRS LIST'!I46</f>
        <v>35</v>
      </c>
      <c r="G46" s="123">
        <f>+'MRS LIST'!J46</f>
        <v>1750</v>
      </c>
      <c r="H46" s="78"/>
      <c r="K46" s="79"/>
      <c r="L46" s="80"/>
      <c r="M46" s="48"/>
    </row>
    <row r="47" spans="1:13" s="47" customFormat="1" ht="32.1" customHeight="1">
      <c r="A47" s="77">
        <f t="shared" si="0"/>
        <v>42</v>
      </c>
      <c r="B47" s="177" t="str">
        <f>MRS!B47&amp;" "&amp;MRS!D47</f>
        <v>Tungsten Electrode  2.4mm</v>
      </c>
      <c r="C47" s="177"/>
      <c r="D47" s="120" t="str">
        <f>MRS!G47</f>
        <v>Nos</v>
      </c>
      <c r="E47" s="121">
        <f>MRS!H47</f>
        <v>1000</v>
      </c>
      <c r="F47" s="122">
        <f>+'MRS LIST'!I47</f>
        <v>21</v>
      </c>
      <c r="G47" s="123">
        <f>+'MRS LIST'!J47</f>
        <v>21000</v>
      </c>
      <c r="H47" s="78"/>
      <c r="K47" s="79"/>
      <c r="L47" s="80"/>
      <c r="M47" s="48"/>
    </row>
    <row r="48" spans="1:13" s="47" customFormat="1" ht="32.1" customHeight="1">
      <c r="A48" s="77">
        <f t="shared" si="0"/>
        <v>43</v>
      </c>
      <c r="B48" s="177" t="str">
        <f>MRS!B48&amp;" "&amp;MRS!D48</f>
        <v>Argon Hose Quick Connector  15x6mm</v>
      </c>
      <c r="C48" s="177"/>
      <c r="D48" s="120" t="str">
        <f>MRS!G48</f>
        <v>Nos</v>
      </c>
      <c r="E48" s="121">
        <f>MRS!H48</f>
        <v>250</v>
      </c>
      <c r="F48" s="122">
        <f>+'MRS LIST'!I48</f>
        <v>28</v>
      </c>
      <c r="G48" s="123">
        <f>+'MRS LIST'!J48</f>
        <v>7000</v>
      </c>
      <c r="H48" s="78"/>
      <c r="K48" s="79"/>
      <c r="L48" s="80"/>
      <c r="M48" s="48"/>
    </row>
    <row r="49" spans="1:13" s="47" customFormat="1" ht="32.1" customHeight="1">
      <c r="A49" s="77">
        <f t="shared" si="0"/>
        <v>44</v>
      </c>
      <c r="B49" s="177" t="str">
        <f>MRS!B49&amp;" "&amp;MRS!D49</f>
        <v>Tube Cutter  12-50mm Super Ego Spain</v>
      </c>
      <c r="C49" s="177"/>
      <c r="D49" s="120" t="str">
        <f>MRS!G49</f>
        <v>Nos</v>
      </c>
      <c r="E49" s="121">
        <f>MRS!H49</f>
        <v>2</v>
      </c>
      <c r="F49" s="122">
        <f>+'MRS LIST'!I49</f>
        <v>176</v>
      </c>
      <c r="G49" s="123">
        <f>+'MRS LIST'!J49</f>
        <v>352</v>
      </c>
      <c r="H49" s="78"/>
      <c r="K49" s="79"/>
      <c r="L49" s="80"/>
      <c r="M49" s="48"/>
    </row>
    <row r="50" spans="1:13" s="47" customFormat="1" ht="32.1" customHeight="1">
      <c r="A50" s="77">
        <f t="shared" si="0"/>
        <v>45</v>
      </c>
      <c r="B50" s="177" t="str">
        <f>MRS!B50&amp;" "&amp;MRS!D50</f>
        <v>Cutting Disc  C/S 7"x3mm Maks</v>
      </c>
      <c r="C50" s="177"/>
      <c r="D50" s="120" t="str">
        <f>MRS!G50</f>
        <v>Nos</v>
      </c>
      <c r="E50" s="121">
        <f>MRS!H50</f>
        <v>200</v>
      </c>
      <c r="F50" s="122">
        <f>+'MRS LIST'!I50</f>
        <v>3.3</v>
      </c>
      <c r="G50" s="123">
        <f>+'MRS LIST'!J50</f>
        <v>660</v>
      </c>
      <c r="H50" s="78"/>
      <c r="K50" s="79"/>
      <c r="L50" s="80"/>
      <c r="M50" s="48"/>
    </row>
    <row r="51" spans="1:13" s="47" customFormat="1" ht="32.1" customHeight="1">
      <c r="A51" s="77">
        <f t="shared" si="0"/>
        <v>46</v>
      </c>
      <c r="B51" s="177" t="str">
        <f>MRS!B51&amp;" "&amp;MRS!D51</f>
        <v>Permanent Marker Pen Twin Tip  Black 1.0x0.5mm</v>
      </c>
      <c r="C51" s="177"/>
      <c r="D51" s="120" t="str">
        <f>MRS!G51</f>
        <v>Nos</v>
      </c>
      <c r="E51" s="121">
        <f>MRS!H51</f>
        <v>768</v>
      </c>
      <c r="F51" s="122">
        <f>+'MRS LIST'!I51</f>
        <v>1.65</v>
      </c>
      <c r="G51" s="123">
        <f>+'MRS LIST'!J51</f>
        <v>1267.1999999999998</v>
      </c>
      <c r="H51" s="78"/>
      <c r="K51" s="79"/>
      <c r="L51" s="80"/>
      <c r="M51" s="48"/>
    </row>
    <row r="52" spans="1:13" s="47" customFormat="1" ht="32.1" customHeight="1">
      <c r="A52" s="77">
        <f t="shared" si="0"/>
        <v>47</v>
      </c>
      <c r="B52" s="177" t="str">
        <f>MRS!B52&amp;" "&amp;MRS!D52</f>
        <v>Electric Insulation Tape  Green</v>
      </c>
      <c r="C52" s="177"/>
      <c r="D52" s="120" t="str">
        <f>MRS!G52</f>
        <v>Nos</v>
      </c>
      <c r="E52" s="121">
        <f>MRS!H52</f>
        <v>500</v>
      </c>
      <c r="F52" s="122">
        <f>+'MRS LIST'!I52</f>
        <v>1.9</v>
      </c>
      <c r="G52" s="123">
        <f>+'MRS LIST'!J52</f>
        <v>950</v>
      </c>
      <c r="H52" s="78"/>
      <c r="K52" s="79"/>
      <c r="L52" s="80"/>
      <c r="M52" s="48"/>
    </row>
    <row r="53" spans="1:13" s="47" customFormat="1" ht="32.1" customHeight="1">
      <c r="A53" s="77">
        <f t="shared" si="0"/>
        <v>48</v>
      </c>
      <c r="B53" s="177" t="str">
        <f>MRS!B53&amp;" "&amp;MRS!D53</f>
        <v>Paint Brush  1"</v>
      </c>
      <c r="C53" s="177"/>
      <c r="D53" s="120" t="str">
        <f>MRS!G53</f>
        <v>Nos</v>
      </c>
      <c r="E53" s="121">
        <f>MRS!H53</f>
        <v>50</v>
      </c>
      <c r="F53" s="122">
        <f>+'MRS LIST'!I53</f>
        <v>1.25</v>
      </c>
      <c r="G53" s="123">
        <f>+'MRS LIST'!J53</f>
        <v>62.5</v>
      </c>
      <c r="H53" s="78"/>
      <c r="K53" s="79"/>
      <c r="L53" s="80"/>
      <c r="M53" s="48"/>
    </row>
    <row r="54" spans="1:13" s="47" customFormat="1" ht="32.1" customHeight="1">
      <c r="A54" s="77">
        <f t="shared" si="0"/>
        <v>49</v>
      </c>
      <c r="B54" s="177" t="str">
        <f>MRS!B54&amp;" "&amp;MRS!D54</f>
        <v>Concrete Drill Bit  10mm</v>
      </c>
      <c r="C54" s="177"/>
      <c r="D54" s="120" t="str">
        <f>MRS!G54</f>
        <v>Nos</v>
      </c>
      <c r="E54" s="121">
        <f>MRS!H54</f>
        <v>10</v>
      </c>
      <c r="F54" s="122">
        <f>+'MRS LIST'!I54</f>
        <v>3.7</v>
      </c>
      <c r="G54" s="123">
        <f>+'MRS LIST'!J54</f>
        <v>37</v>
      </c>
      <c r="H54" s="78"/>
      <c r="K54" s="79"/>
      <c r="L54" s="80"/>
      <c r="M54" s="48"/>
    </row>
    <row r="55" spans="1:13" s="47" customFormat="1" ht="32.1" customHeight="1">
      <c r="A55" s="77">
        <f t="shared" si="0"/>
        <v>50</v>
      </c>
      <c r="B55" s="177" t="str">
        <f>MRS!B55&amp;" "&amp;MRS!D55</f>
        <v>Cutting Disc  C/S 5"x3mm Maks</v>
      </c>
      <c r="C55" s="177"/>
      <c r="D55" s="120" t="str">
        <f>MRS!G55</f>
        <v>Nos</v>
      </c>
      <c r="E55" s="121">
        <f>MRS!H55</f>
        <v>50</v>
      </c>
      <c r="F55" s="122">
        <f>+'MRS LIST'!I55</f>
        <v>2.15</v>
      </c>
      <c r="G55" s="123">
        <f>+'MRS LIST'!J55</f>
        <v>107.5</v>
      </c>
      <c r="H55" s="78"/>
      <c r="K55" s="79"/>
      <c r="L55" s="80"/>
      <c r="M55" s="48"/>
    </row>
    <row r="56" spans="1:13" s="47" customFormat="1" ht="32.1" customHeight="1">
      <c r="A56" s="77">
        <f t="shared" si="0"/>
        <v>51</v>
      </c>
      <c r="B56" s="177" t="str">
        <f>MRS!B56&amp;" "&amp;MRS!D56</f>
        <v>Diamond Cutting Wheel  5"</v>
      </c>
      <c r="C56" s="177"/>
      <c r="D56" s="120" t="str">
        <f>MRS!G56</f>
        <v>Nos</v>
      </c>
      <c r="E56" s="121">
        <f>MRS!H56</f>
        <v>5</v>
      </c>
      <c r="F56" s="122">
        <f>+'MRS LIST'!I56</f>
        <v>16</v>
      </c>
      <c r="G56" s="123">
        <f>+'MRS LIST'!J56</f>
        <v>80</v>
      </c>
      <c r="H56" s="78"/>
      <c r="K56" s="79"/>
      <c r="L56" s="80"/>
      <c r="M56" s="48"/>
    </row>
    <row r="57" spans="1:13" s="47" customFormat="1" ht="32.1" customHeight="1">
      <c r="A57" s="77">
        <f t="shared" si="0"/>
        <v>52</v>
      </c>
      <c r="B57" s="177" t="str">
        <f>MRS!B57&amp;" "&amp;MRS!D57</f>
        <v>Diamond Grinding Wheel  5"</v>
      </c>
      <c r="C57" s="177"/>
      <c r="D57" s="120" t="str">
        <f>MRS!G57</f>
        <v>Nos</v>
      </c>
      <c r="E57" s="121">
        <f>MRS!H57</f>
        <v>5</v>
      </c>
      <c r="F57" s="122">
        <f>+'MRS LIST'!I57</f>
        <v>28.5</v>
      </c>
      <c r="G57" s="123">
        <f>+'MRS LIST'!J57</f>
        <v>142.5</v>
      </c>
      <c r="H57" s="78"/>
      <c r="K57" s="79"/>
      <c r="L57" s="80"/>
      <c r="M57" s="48"/>
    </row>
    <row r="58" spans="1:13" s="47" customFormat="1" ht="32.1" customHeight="1">
      <c r="A58" s="77">
        <f t="shared" si="0"/>
        <v>53</v>
      </c>
      <c r="B58" s="177" t="str">
        <f>MRS!B58&amp;" "&amp;MRS!D58</f>
        <v xml:space="preserve">Telescopic Magnet Pickup </v>
      </c>
      <c r="C58" s="177"/>
      <c r="D58" s="120" t="str">
        <f>MRS!G58</f>
        <v>Nos</v>
      </c>
      <c r="E58" s="121">
        <f>MRS!H58</f>
        <v>10</v>
      </c>
      <c r="F58" s="122">
        <f>+'MRS LIST'!I58</f>
        <v>18</v>
      </c>
      <c r="G58" s="123">
        <f>+'MRS LIST'!J58</f>
        <v>180</v>
      </c>
      <c r="H58" s="78"/>
      <c r="K58" s="79"/>
      <c r="L58" s="80"/>
      <c r="M58" s="48"/>
    </row>
    <row r="59" spans="1:13" s="47" customFormat="1" ht="32.1" customHeight="1">
      <c r="A59" s="77">
        <f t="shared" si="0"/>
        <v>54</v>
      </c>
      <c r="B59" s="177" t="str">
        <f>MRS!B59&amp;" "&amp;MRS!D59</f>
        <v>Chemical Gloves  XL Heavy Duty Red Color</v>
      </c>
      <c r="C59" s="177"/>
      <c r="D59" s="120" t="str">
        <f>MRS!G59</f>
        <v>Pair</v>
      </c>
      <c r="E59" s="121">
        <f>MRS!H59</f>
        <v>120</v>
      </c>
      <c r="F59" s="122">
        <f>+'MRS LIST'!I59</f>
        <v>4</v>
      </c>
      <c r="G59" s="123">
        <f>+'MRS LIST'!J59</f>
        <v>480</v>
      </c>
      <c r="H59" s="78"/>
      <c r="K59" s="79"/>
      <c r="L59" s="80"/>
      <c r="M59" s="48"/>
    </row>
    <row r="60" spans="1:13" s="47" customFormat="1" ht="32.1" customHeight="1">
      <c r="A60" s="77">
        <f t="shared" si="0"/>
        <v>55</v>
      </c>
      <c r="B60" s="177" t="str">
        <f>MRS!B60&amp;" "&amp;MRS!D60</f>
        <v>Nicome Carbon Battery  9V, 6F22</v>
      </c>
      <c r="C60" s="177"/>
      <c r="D60" s="120" t="str">
        <f>MRS!G60</f>
        <v>Nos</v>
      </c>
      <c r="E60" s="121">
        <f>MRS!H60</f>
        <v>24</v>
      </c>
      <c r="F60" s="122">
        <f>+'MRS LIST'!I60</f>
        <v>3.9</v>
      </c>
      <c r="G60" s="123">
        <f>+'MRS LIST'!J60</f>
        <v>93.6</v>
      </c>
      <c r="H60" s="78"/>
      <c r="K60" s="79"/>
      <c r="L60" s="80"/>
      <c r="M60" s="48"/>
    </row>
    <row r="61" spans="1:13" s="47" customFormat="1" ht="32.1" customHeight="1">
      <c r="A61" s="77">
        <f t="shared" si="0"/>
        <v>56</v>
      </c>
      <c r="B61" s="177" t="str">
        <f>MRS!B61&amp;" "&amp;MRS!D61</f>
        <v>LED Torch Light Rechargeable  GFL4658Z Geepas</v>
      </c>
      <c r="C61" s="177"/>
      <c r="D61" s="120" t="str">
        <f>MRS!G61</f>
        <v>Nos</v>
      </c>
      <c r="E61" s="121">
        <f>MRS!H61</f>
        <v>12</v>
      </c>
      <c r="F61" s="122">
        <f>+'MRS LIST'!I61</f>
        <v>46</v>
      </c>
      <c r="G61" s="123">
        <f>+'MRS LIST'!J61</f>
        <v>552</v>
      </c>
      <c r="H61" s="78"/>
      <c r="K61" s="79"/>
      <c r="L61" s="80"/>
      <c r="M61" s="48"/>
    </row>
    <row r="62" spans="1:13" s="47" customFormat="1" ht="32.1" customHeight="1">
      <c r="A62" s="77">
        <f t="shared" si="0"/>
        <v>57</v>
      </c>
      <c r="B62" s="177" t="str">
        <f>MRS!B62&amp;" "&amp;MRS!D62</f>
        <v>Grinding Disc  C/S 4"x6mm Maks</v>
      </c>
      <c r="C62" s="177"/>
      <c r="D62" s="120" t="str">
        <f>MRS!G62</f>
        <v>Nos</v>
      </c>
      <c r="E62" s="121">
        <f>MRS!H62</f>
        <v>300</v>
      </c>
      <c r="F62" s="122">
        <f>+'MRS LIST'!I62</f>
        <v>2.2999999999999998</v>
      </c>
      <c r="G62" s="123">
        <f>+'MRS LIST'!J62</f>
        <v>690</v>
      </c>
      <c r="H62" s="78"/>
      <c r="K62" s="79"/>
      <c r="L62" s="80"/>
      <c r="M62" s="48"/>
    </row>
    <row r="63" spans="1:13" s="47" customFormat="1" ht="32.1" customHeight="1">
      <c r="A63" s="77">
        <f t="shared" si="0"/>
        <v>58</v>
      </c>
      <c r="B63" s="177" t="str">
        <f>MRS!B63&amp;" "&amp;MRS!D63</f>
        <v>Electric Insulation Tape  Black</v>
      </c>
      <c r="C63" s="177"/>
      <c r="D63" s="120" t="str">
        <f>MRS!G63</f>
        <v>Nos</v>
      </c>
      <c r="E63" s="121">
        <f>MRS!H63</f>
        <v>100</v>
      </c>
      <c r="F63" s="122">
        <f>+'MRS LIST'!I63</f>
        <v>1.9</v>
      </c>
      <c r="G63" s="123">
        <f>+'MRS LIST'!J63</f>
        <v>190</v>
      </c>
      <c r="H63" s="78"/>
      <c r="K63" s="79"/>
      <c r="L63" s="80"/>
      <c r="M63" s="48"/>
    </row>
    <row r="64" spans="1:13" s="47" customFormat="1" ht="32.1" customHeight="1">
      <c r="A64" s="77">
        <f t="shared" si="0"/>
        <v>59</v>
      </c>
      <c r="B64" s="177" t="str">
        <f>MRS!B64&amp;" "&amp;MRS!D64</f>
        <v>Carbide Burr Flame Shape  12x32x6mm</v>
      </c>
      <c r="C64" s="177"/>
      <c r="D64" s="120" t="str">
        <f>MRS!G64</f>
        <v>Nos</v>
      </c>
      <c r="E64" s="121">
        <f>MRS!H64</f>
        <v>30</v>
      </c>
      <c r="F64" s="122">
        <f>+'MRS LIST'!I64</f>
        <v>45</v>
      </c>
      <c r="G64" s="123">
        <f>+'MRS LIST'!J64</f>
        <v>1350</v>
      </c>
      <c r="H64" s="78"/>
      <c r="K64" s="79"/>
      <c r="L64" s="80"/>
      <c r="M64" s="48"/>
    </row>
    <row r="65" spans="1:13" s="47" customFormat="1" ht="32.1" customHeight="1">
      <c r="A65" s="77">
        <f t="shared" si="0"/>
        <v>60</v>
      </c>
      <c r="B65" s="177" t="str">
        <f>MRS!B65&amp;" "&amp;MRS!D65</f>
        <v>Carbide Burr Taper Shape  10x20x6mm</v>
      </c>
      <c r="C65" s="177"/>
      <c r="D65" s="120" t="str">
        <f>MRS!G65</f>
        <v>Nos</v>
      </c>
      <c r="E65" s="121">
        <f>MRS!H65</f>
        <v>80</v>
      </c>
      <c r="F65" s="122">
        <f>+'MRS LIST'!I65</f>
        <v>46</v>
      </c>
      <c r="G65" s="123">
        <f>+'MRS LIST'!J65</f>
        <v>3680</v>
      </c>
      <c r="H65" s="78"/>
      <c r="K65" s="79"/>
      <c r="L65" s="80"/>
      <c r="M65" s="48"/>
    </row>
    <row r="66" spans="1:13" s="47" customFormat="1" ht="32.1" customHeight="1">
      <c r="A66" s="77">
        <f t="shared" si="0"/>
        <v>61</v>
      </c>
      <c r="B66" s="177" t="str">
        <f>MRS!B66&amp;" "&amp;MRS!D66</f>
        <v>Welding Electrode Holder  500A</v>
      </c>
      <c r="C66" s="177"/>
      <c r="D66" s="120" t="str">
        <f>MRS!G66</f>
        <v>Nos</v>
      </c>
      <c r="E66" s="121">
        <f>MRS!H66</f>
        <v>75</v>
      </c>
      <c r="F66" s="122">
        <f>+'MRS LIST'!I66</f>
        <v>26</v>
      </c>
      <c r="G66" s="123">
        <f>+'MRS LIST'!J66</f>
        <v>1950</v>
      </c>
      <c r="H66" s="78"/>
      <c r="K66" s="79"/>
      <c r="L66" s="80"/>
      <c r="M66" s="48"/>
    </row>
    <row r="67" spans="1:13" s="47" customFormat="1" ht="32.1" customHeight="1">
      <c r="A67" s="77">
        <f t="shared" si="0"/>
        <v>62</v>
      </c>
      <c r="B67" s="177" t="str">
        <f>MRS!B67&amp;" "&amp;MRS!D67</f>
        <v>Double Ear Clamp  S/S 11-13mm</v>
      </c>
      <c r="C67" s="177"/>
      <c r="D67" s="120" t="str">
        <f>MRS!G67</f>
        <v>Nos</v>
      </c>
      <c r="E67" s="121">
        <f>MRS!H67</f>
        <v>100</v>
      </c>
      <c r="F67" s="122">
        <f>+'MRS LIST'!I67</f>
        <v>4.5999999999999996</v>
      </c>
      <c r="G67" s="123">
        <f>+'MRS LIST'!J67</f>
        <v>459.99999999999994</v>
      </c>
      <c r="H67" s="78"/>
      <c r="K67" s="79"/>
      <c r="L67" s="80"/>
      <c r="M67" s="48"/>
    </row>
    <row r="68" spans="1:13" s="47" customFormat="1" ht="32.1" customHeight="1">
      <c r="A68" s="81">
        <f t="shared" si="0"/>
        <v>63</v>
      </c>
      <c r="B68" s="177" t="str">
        <f>MRS!B68&amp;" "&amp;MRS!D68</f>
        <v>Double Ear Clamp  S/S 13-15mm</v>
      </c>
      <c r="C68" s="177"/>
      <c r="D68" s="120" t="str">
        <f>MRS!G68</f>
        <v>Nos</v>
      </c>
      <c r="E68" s="121">
        <f>MRS!H68</f>
        <v>100</v>
      </c>
      <c r="F68" s="122">
        <f>+'MRS LIST'!I68</f>
        <v>4.5999999999999996</v>
      </c>
      <c r="G68" s="123">
        <f>+'MRS LIST'!J68</f>
        <v>459.99999999999994</v>
      </c>
      <c r="H68" s="78"/>
      <c r="K68" s="79"/>
      <c r="L68" s="80"/>
      <c r="M68" s="48"/>
    </row>
    <row r="69" spans="1:13" s="47" customFormat="1" ht="32.1" customHeight="1">
      <c r="A69" s="77">
        <f t="shared" si="0"/>
        <v>64</v>
      </c>
      <c r="B69" s="177" t="str">
        <f>MRS!B69&amp;" "&amp;MRS!D69</f>
        <v>Q-Shaped Reaction Bar for GSR122E/STC12TE  #11QH, TONE Japan</v>
      </c>
      <c r="C69" s="177"/>
      <c r="D69" s="120" t="str">
        <f>MRS!G69</f>
        <v>Nos</v>
      </c>
      <c r="E69" s="121">
        <f>MRS!H69</f>
        <v>20</v>
      </c>
      <c r="F69" s="122">
        <f>+'MRS LIST'!I69</f>
        <v>680</v>
      </c>
      <c r="G69" s="123">
        <f>+'MRS LIST'!J69</f>
        <v>13600</v>
      </c>
      <c r="H69" s="78"/>
      <c r="K69" s="79"/>
      <c r="L69" s="80"/>
      <c r="M69" s="48"/>
    </row>
    <row r="70" spans="1:13" s="47" customFormat="1" ht="32.1" customHeight="1">
      <c r="A70" s="77">
        <f t="shared" si="0"/>
        <v>65</v>
      </c>
      <c r="B70" s="177" t="str">
        <f>MRS!B70&amp;" "&amp;MRS!D70</f>
        <v>Carbon Brush  E995 for STC-12TE Tone Japan</v>
      </c>
      <c r="C70" s="177"/>
      <c r="D70" s="120" t="str">
        <f>MRS!G70</f>
        <v>Nos</v>
      </c>
      <c r="E70" s="121">
        <f>MRS!H70</f>
        <v>100</v>
      </c>
      <c r="F70" s="122">
        <f>+'MRS LIST'!I70</f>
        <v>45</v>
      </c>
      <c r="G70" s="123">
        <f>+'MRS LIST'!J70</f>
        <v>4500</v>
      </c>
      <c r="H70" s="78"/>
      <c r="K70" s="79"/>
      <c r="L70" s="80"/>
      <c r="M70" s="48"/>
    </row>
    <row r="71" spans="1:13" s="47" customFormat="1" ht="32.1" customHeight="1">
      <c r="A71" s="77">
        <f t="shared" si="0"/>
        <v>66</v>
      </c>
      <c r="B71" s="177" t="str">
        <f>MRS!B71&amp;" "&amp;MRS!D71</f>
        <v>Set Screw for GSR122E/STC12TE  #M6X6, TONE Japan</v>
      </c>
      <c r="C71" s="177"/>
      <c r="D71" s="120" t="str">
        <f>MRS!G71</f>
        <v>Nos</v>
      </c>
      <c r="E71" s="121">
        <f>MRS!H71</f>
        <v>100</v>
      </c>
      <c r="F71" s="122">
        <f>+'MRS LIST'!I71</f>
        <v>10</v>
      </c>
      <c r="G71" s="123">
        <f>+'MRS LIST'!J71</f>
        <v>1000</v>
      </c>
      <c r="H71" s="78"/>
      <c r="K71" s="79"/>
      <c r="L71" s="80"/>
      <c r="M71" s="48"/>
    </row>
    <row r="72" spans="1:13" s="47" customFormat="1" ht="32.1" customHeight="1">
      <c r="A72" s="77">
        <f t="shared" si="0"/>
        <v>67</v>
      </c>
      <c r="B72" s="177" t="str">
        <f>MRS!B72&amp;" "&amp;MRS!D72</f>
        <v>Two Way Radio Walkie Talkie Baofeng  BF-888S</v>
      </c>
      <c r="C72" s="177"/>
      <c r="D72" s="120" t="str">
        <f>MRS!G72</f>
        <v>Nos</v>
      </c>
      <c r="E72" s="121">
        <f>MRS!H72</f>
        <v>50</v>
      </c>
      <c r="F72" s="122">
        <f>+'MRS LIST'!I72</f>
        <v>125</v>
      </c>
      <c r="G72" s="123">
        <f>+'MRS LIST'!J72</f>
        <v>6250</v>
      </c>
      <c r="H72" s="78"/>
      <c r="K72" s="79"/>
      <c r="L72" s="80"/>
      <c r="M72" s="48"/>
    </row>
    <row r="73" spans="1:13" s="47" customFormat="1" ht="32.1" customHeight="1">
      <c r="A73" s="77">
        <f t="shared" si="0"/>
        <v>68</v>
      </c>
      <c r="B73" s="177" t="str">
        <f>MRS!B73&amp;" "&amp;MRS!D73</f>
        <v>Cutting Disc  S/S 4"x1mm Maks</v>
      </c>
      <c r="C73" s="177"/>
      <c r="D73" s="120" t="str">
        <f>MRS!G73</f>
        <v>Nos</v>
      </c>
      <c r="E73" s="121">
        <f>MRS!H73</f>
        <v>18700</v>
      </c>
      <c r="F73" s="122">
        <f>+'MRS LIST'!I73</f>
        <v>1.3</v>
      </c>
      <c r="G73" s="123">
        <f>+'MRS LIST'!J73</f>
        <v>24310</v>
      </c>
      <c r="H73" s="78"/>
      <c r="K73" s="79"/>
      <c r="L73" s="80"/>
      <c r="M73" s="48"/>
    </row>
    <row r="74" spans="1:13" s="47" customFormat="1" ht="32.1" customHeight="1">
      <c r="A74" s="77">
        <f t="shared" si="0"/>
        <v>69</v>
      </c>
      <c r="B74" s="177" t="str">
        <f>MRS!B74&amp;" "&amp;MRS!D74</f>
        <v>Cutting Disc  C/S 4"x3mm Maks</v>
      </c>
      <c r="C74" s="177"/>
      <c r="D74" s="120" t="str">
        <f>MRS!G74</f>
        <v>Nos</v>
      </c>
      <c r="E74" s="121">
        <f>MRS!H74</f>
        <v>4600</v>
      </c>
      <c r="F74" s="122">
        <f>+'MRS LIST'!I74</f>
        <v>1.6</v>
      </c>
      <c r="G74" s="123">
        <f>+'MRS LIST'!J74</f>
        <v>7360</v>
      </c>
      <c r="H74" s="78"/>
      <c r="K74" s="79"/>
      <c r="L74" s="80"/>
      <c r="M74" s="48"/>
    </row>
    <row r="75" spans="1:13" s="47" customFormat="1" ht="32.1" customHeight="1">
      <c r="A75" s="77">
        <f t="shared" si="0"/>
        <v>70</v>
      </c>
      <c r="B75" s="177" t="str">
        <f>MRS!B75&amp;" "&amp;MRS!D75</f>
        <v>Cutting Disc  S/S 4"x3mm Maks</v>
      </c>
      <c r="C75" s="177"/>
      <c r="D75" s="120" t="str">
        <f>MRS!G75</f>
        <v>Nos</v>
      </c>
      <c r="E75" s="121">
        <f>MRS!H75</f>
        <v>3300</v>
      </c>
      <c r="F75" s="122">
        <f>+'MRS LIST'!I75</f>
        <v>2</v>
      </c>
      <c r="G75" s="123">
        <f>+'MRS LIST'!J75</f>
        <v>6600</v>
      </c>
      <c r="H75" s="78"/>
      <c r="K75" s="79"/>
      <c r="L75" s="80"/>
      <c r="M75" s="48"/>
    </row>
    <row r="76" spans="1:13" s="47" customFormat="1" ht="32.1" customHeight="1">
      <c r="A76" s="77">
        <f t="shared" si="0"/>
        <v>71</v>
      </c>
      <c r="B76" s="177" t="str">
        <f>MRS!B76&amp;" "&amp;MRS!D76</f>
        <v>Grinding Disc  S/S 4"x6mm Maks</v>
      </c>
      <c r="C76" s="177"/>
      <c r="D76" s="120" t="str">
        <f>MRS!G76</f>
        <v>Nos</v>
      </c>
      <c r="E76" s="121">
        <f>MRS!H76</f>
        <v>1600</v>
      </c>
      <c r="F76" s="122">
        <f>+'MRS LIST'!I76</f>
        <v>2.4</v>
      </c>
      <c r="G76" s="123">
        <f>+'MRS LIST'!J76</f>
        <v>3840</v>
      </c>
      <c r="H76" s="78"/>
      <c r="K76" s="79"/>
      <c r="L76" s="80"/>
      <c r="M76" s="48"/>
    </row>
    <row r="77" spans="1:13" s="47" customFormat="1" ht="32.1" customHeight="1">
      <c r="A77" s="77">
        <f t="shared" si="0"/>
        <v>72</v>
      </c>
      <c r="B77" s="177" t="str">
        <f>MRS!B77&amp;" "&amp;MRS!D77</f>
        <v>Welding Electrode Holder  300A</v>
      </c>
      <c r="C77" s="177"/>
      <c r="D77" s="120" t="str">
        <f>MRS!G77</f>
        <v>Nos</v>
      </c>
      <c r="E77" s="121">
        <f>MRS!H77</f>
        <v>25</v>
      </c>
      <c r="F77" s="122">
        <f>+'MRS LIST'!I77</f>
        <v>20</v>
      </c>
      <c r="G77" s="123">
        <f>+'MRS LIST'!J77</f>
        <v>500</v>
      </c>
      <c r="H77" s="78"/>
      <c r="K77" s="79"/>
      <c r="L77" s="80"/>
      <c r="M77" s="48"/>
    </row>
    <row r="78" spans="1:13" s="47" customFormat="1" ht="32.1" customHeight="1">
      <c r="A78" s="77">
        <f t="shared" si="0"/>
        <v>73</v>
      </c>
      <c r="B78" s="177" t="str">
        <f>MRS!B78&amp;" "&amp;MRS!D78</f>
        <v>Tig Collet Body  350A 2.4mm</v>
      </c>
      <c r="C78" s="177"/>
      <c r="D78" s="120" t="str">
        <f>MRS!G78</f>
        <v>Nos</v>
      </c>
      <c r="E78" s="121">
        <f>MRS!H78</f>
        <v>150</v>
      </c>
      <c r="F78" s="122">
        <f>+'MRS LIST'!I78</f>
        <v>11.8</v>
      </c>
      <c r="G78" s="123">
        <f>+'MRS LIST'!J78</f>
        <v>1770</v>
      </c>
      <c r="H78" s="78"/>
      <c r="K78" s="79"/>
      <c r="L78" s="80"/>
      <c r="M78" s="48"/>
    </row>
    <row r="79" spans="1:13" s="47" customFormat="1" ht="32.1" customHeight="1">
      <c r="A79" s="77">
        <f t="shared" si="0"/>
        <v>74</v>
      </c>
      <c r="B79" s="177" t="str">
        <f>MRS!B79&amp;" "&amp;MRS!D79</f>
        <v>Tig Torch  Back Cap Long (57Y02)</v>
      </c>
      <c r="C79" s="177"/>
      <c r="D79" s="120" t="str">
        <f>MRS!G79</f>
        <v>Nos</v>
      </c>
      <c r="E79" s="121">
        <f>MRS!H79</f>
        <v>100</v>
      </c>
      <c r="F79" s="122">
        <f>+'MRS LIST'!I79</f>
        <v>3.6</v>
      </c>
      <c r="G79" s="123">
        <f>+'MRS LIST'!J79</f>
        <v>360</v>
      </c>
      <c r="H79" s="78"/>
      <c r="K79" s="79"/>
      <c r="L79" s="80"/>
      <c r="M79" s="48"/>
    </row>
    <row r="80" spans="1:13" s="47" customFormat="1" ht="32.1" customHeight="1">
      <c r="A80" s="77">
        <f t="shared" si="0"/>
        <v>75</v>
      </c>
      <c r="B80" s="177" t="str">
        <f>MRS!B80&amp;" "&amp;MRS!D80</f>
        <v>Tig Torch  Back Cap Short (57Y04)</v>
      </c>
      <c r="C80" s="177"/>
      <c r="D80" s="120" t="str">
        <f>MRS!G80</f>
        <v>Nos</v>
      </c>
      <c r="E80" s="121">
        <f>MRS!H80</f>
        <v>100</v>
      </c>
      <c r="F80" s="122">
        <f>+'MRS LIST'!I80</f>
        <v>3</v>
      </c>
      <c r="G80" s="123">
        <f>+'MRS LIST'!J80</f>
        <v>300</v>
      </c>
      <c r="H80" s="78"/>
      <c r="K80" s="79"/>
      <c r="L80" s="80"/>
      <c r="M80" s="48"/>
    </row>
    <row r="81" spans="1:13" s="47" customFormat="1" ht="32.1" customHeight="1">
      <c r="A81" s="77">
        <f t="shared" si="0"/>
        <v>76</v>
      </c>
      <c r="B81" s="177" t="str">
        <f>MRS!B81&amp;" "&amp;MRS!D81</f>
        <v xml:space="preserve">Tig Torch Switch </v>
      </c>
      <c r="C81" s="177"/>
      <c r="D81" s="120" t="str">
        <f>MRS!G81</f>
        <v>Nos</v>
      </c>
      <c r="E81" s="121">
        <f>MRS!H81</f>
        <v>100</v>
      </c>
      <c r="F81" s="122">
        <f>+'MRS LIST'!I81</f>
        <v>10.5</v>
      </c>
      <c r="G81" s="123">
        <f>+'MRS LIST'!J81</f>
        <v>1050</v>
      </c>
      <c r="H81" s="78"/>
      <c r="K81" s="79"/>
      <c r="L81" s="80"/>
      <c r="M81" s="48"/>
    </row>
    <row r="82" spans="1:13" s="47" customFormat="1" ht="32.1" customHeight="1">
      <c r="A82" s="77">
        <f t="shared" si="0"/>
        <v>77</v>
      </c>
      <c r="B82" s="177" t="str">
        <f>MRS!B82&amp;" "&amp;MRS!D82</f>
        <v>Tungsten Electrode  3.2mm</v>
      </c>
      <c r="C82" s="177"/>
      <c r="D82" s="120" t="str">
        <f>MRS!G82</f>
        <v>Nos</v>
      </c>
      <c r="E82" s="121">
        <f>MRS!H82</f>
        <v>200</v>
      </c>
      <c r="F82" s="122">
        <f>+'MRS LIST'!I82</f>
        <v>25</v>
      </c>
      <c r="G82" s="123">
        <f>+'MRS LIST'!J82</f>
        <v>5000</v>
      </c>
      <c r="H82" s="78"/>
      <c r="K82" s="79"/>
      <c r="L82" s="80"/>
      <c r="M82" s="48"/>
    </row>
    <row r="83" spans="1:13" s="47" customFormat="1" ht="32.1" customHeight="1">
      <c r="A83" s="77">
        <f t="shared" si="0"/>
        <v>78</v>
      </c>
      <c r="B83" s="177" t="str">
        <f>MRS!B83&amp;" "&amp;MRS!D83</f>
        <v>Ceramic Nozzle  350A #6</v>
      </c>
      <c r="C83" s="177"/>
      <c r="D83" s="120" t="str">
        <f>MRS!G83</f>
        <v>Nos</v>
      </c>
      <c r="E83" s="121">
        <f>MRS!H83</f>
        <v>200</v>
      </c>
      <c r="F83" s="122">
        <f>+'MRS LIST'!I83</f>
        <v>11.8</v>
      </c>
      <c r="G83" s="123">
        <f>+'MRS LIST'!J83</f>
        <v>2360</v>
      </c>
      <c r="H83" s="78"/>
      <c r="K83" s="79"/>
      <c r="L83" s="80"/>
      <c r="M83" s="48"/>
    </row>
    <row r="84" spans="1:13" s="47" customFormat="1" ht="32.1" customHeight="1">
      <c r="A84" s="77">
        <f t="shared" si="0"/>
        <v>79</v>
      </c>
      <c r="B84" s="177" t="str">
        <f>MRS!B84&amp;" "&amp;MRS!D84</f>
        <v>Dust Mask  N95 Venus</v>
      </c>
      <c r="C84" s="177"/>
      <c r="D84" s="120" t="str">
        <f>MRS!G84</f>
        <v>Nos</v>
      </c>
      <c r="E84" s="121">
        <f>MRS!H84</f>
        <v>3800</v>
      </c>
      <c r="F84" s="122">
        <f>+'MRS LIST'!I84</f>
        <v>1.35</v>
      </c>
      <c r="G84" s="123">
        <f>+'MRS LIST'!J84</f>
        <v>5130</v>
      </c>
      <c r="H84" s="78"/>
      <c r="K84" s="79"/>
      <c r="L84" s="80"/>
      <c r="M84" s="48"/>
    </row>
    <row r="85" spans="1:13" s="47" customFormat="1" ht="32.1" customHeight="1">
      <c r="A85" s="77">
        <f t="shared" si="0"/>
        <v>80</v>
      </c>
      <c r="B85" s="177" t="str">
        <f>MRS!B85&amp;" "&amp;MRS!D85</f>
        <v>Cotton Rags  White 10Kg</v>
      </c>
      <c r="C85" s="177"/>
      <c r="D85" s="120" t="str">
        <f>MRS!G85</f>
        <v>Nos</v>
      </c>
      <c r="E85" s="121">
        <f>MRS!H85</f>
        <v>6</v>
      </c>
      <c r="F85" s="122">
        <f>+'MRS LIST'!I85</f>
        <v>78</v>
      </c>
      <c r="G85" s="123">
        <f>+'MRS LIST'!J85</f>
        <v>468</v>
      </c>
      <c r="H85" s="78"/>
      <c r="K85" s="79"/>
      <c r="L85" s="80"/>
      <c r="M85" s="48"/>
    </row>
    <row r="86" spans="1:13" s="47" customFormat="1" ht="32.1" customHeight="1">
      <c r="A86" s="77">
        <f t="shared" si="0"/>
        <v>81</v>
      </c>
      <c r="B86" s="177" t="str">
        <f>MRS!B86&amp;" "&amp;MRS!D86</f>
        <v>Hacksaw Blade  S/S 12"</v>
      </c>
      <c r="C86" s="177"/>
      <c r="D86" s="120" t="str">
        <f>MRS!G86</f>
        <v>Nos</v>
      </c>
      <c r="E86" s="121">
        <f>MRS!H86</f>
        <v>300</v>
      </c>
      <c r="F86" s="122">
        <f>+'MRS LIST'!I86</f>
        <v>0.8</v>
      </c>
      <c r="G86" s="123">
        <f>+'MRS LIST'!J86</f>
        <v>240</v>
      </c>
      <c r="H86" s="78"/>
      <c r="K86" s="79"/>
      <c r="L86" s="80"/>
      <c r="M86" s="48"/>
    </row>
    <row r="87" spans="1:13" s="47" customFormat="1" ht="32.1" customHeight="1">
      <c r="A87" s="77">
        <f t="shared" si="0"/>
        <v>82</v>
      </c>
      <c r="B87" s="177" t="str">
        <f>MRS!B87&amp;" "&amp;MRS!D87</f>
        <v>Sponge Foam Sheet  900x1900x100mm</v>
      </c>
      <c r="C87" s="177"/>
      <c r="D87" s="120" t="str">
        <f>MRS!G87</f>
        <v>Nos</v>
      </c>
      <c r="E87" s="121">
        <f>MRS!H87</f>
        <v>25</v>
      </c>
      <c r="F87" s="122">
        <f>+'MRS LIST'!I87</f>
        <v>102</v>
      </c>
      <c r="G87" s="123">
        <f>+'MRS LIST'!J87</f>
        <v>2550</v>
      </c>
      <c r="H87" s="78"/>
      <c r="K87" s="79"/>
      <c r="L87" s="80"/>
      <c r="M87" s="48"/>
    </row>
    <row r="88" spans="1:13" s="47" customFormat="1" ht="32.1" customHeight="1">
      <c r="A88" s="77">
        <f t="shared" si="0"/>
        <v>83</v>
      </c>
      <c r="B88" s="177" t="str">
        <f>MRS!B88&amp;" "&amp;MRS!D88</f>
        <v>Ceramic Nozzle  350A #7</v>
      </c>
      <c r="C88" s="177"/>
      <c r="D88" s="120" t="str">
        <f>MRS!G88</f>
        <v>Nos</v>
      </c>
      <c r="E88" s="121">
        <f>MRS!H88</f>
        <v>300</v>
      </c>
      <c r="F88" s="122">
        <f>+'MRS LIST'!I88</f>
        <v>11.8</v>
      </c>
      <c r="G88" s="123">
        <f>+'MRS LIST'!J88</f>
        <v>3540</v>
      </c>
      <c r="H88" s="78"/>
      <c r="K88" s="79"/>
      <c r="L88" s="80"/>
      <c r="M88" s="48"/>
    </row>
    <row r="89" spans="1:13" s="47" customFormat="1" ht="32.1" customHeight="1">
      <c r="A89" s="77">
        <f t="shared" si="0"/>
        <v>84</v>
      </c>
      <c r="B89" s="177" t="str">
        <f>MRS!B89&amp;" "&amp;MRS!D89</f>
        <v>Ceramic Nozzle  350A #8</v>
      </c>
      <c r="C89" s="177"/>
      <c r="D89" s="120" t="str">
        <f>MRS!G89</f>
        <v>Nos</v>
      </c>
      <c r="E89" s="121">
        <f>MRS!H89</f>
        <v>300</v>
      </c>
      <c r="F89" s="122">
        <f>+'MRS LIST'!I89</f>
        <v>11.8</v>
      </c>
      <c r="G89" s="123">
        <f>+'MRS LIST'!J89</f>
        <v>3540</v>
      </c>
      <c r="H89" s="78"/>
      <c r="K89" s="79"/>
      <c r="L89" s="80"/>
      <c r="M89" s="48"/>
    </row>
    <row r="90" spans="1:13" s="47" customFormat="1" ht="32.1" customHeight="1">
      <c r="A90" s="77">
        <f t="shared" si="0"/>
        <v>85</v>
      </c>
      <c r="B90" s="177" t="str">
        <f>MRS!B90&amp;" "&amp;MRS!D90</f>
        <v xml:space="preserve">Argon Regulator </v>
      </c>
      <c r="C90" s="177"/>
      <c r="D90" s="120" t="str">
        <f>MRS!G90</f>
        <v>Nos</v>
      </c>
      <c r="E90" s="121">
        <f>MRS!H90</f>
        <v>50</v>
      </c>
      <c r="F90" s="122">
        <f>+'MRS LIST'!I90</f>
        <v>140</v>
      </c>
      <c r="G90" s="123">
        <f>+'MRS LIST'!J90</f>
        <v>7000</v>
      </c>
      <c r="H90" s="78"/>
      <c r="K90" s="79"/>
      <c r="L90" s="80"/>
      <c r="M90" s="48"/>
    </row>
    <row r="91" spans="1:13" s="47" customFormat="1" ht="32.1" customHeight="1">
      <c r="A91" s="77">
        <f t="shared" si="0"/>
        <v>86</v>
      </c>
      <c r="B91" s="177" t="str">
        <f>MRS!B91&amp;" "&amp;MRS!D91</f>
        <v>Hacksaw Frame  12"</v>
      </c>
      <c r="C91" s="177"/>
      <c r="D91" s="120" t="str">
        <f>MRS!G91</f>
        <v>Nos</v>
      </c>
      <c r="E91" s="121">
        <f>MRS!H91</f>
        <v>30</v>
      </c>
      <c r="F91" s="122">
        <f>+'MRS LIST'!I91</f>
        <v>11</v>
      </c>
      <c r="G91" s="123">
        <f>+'MRS LIST'!J91</f>
        <v>330</v>
      </c>
      <c r="H91" s="78"/>
      <c r="K91" s="79"/>
      <c r="L91" s="80"/>
      <c r="M91" s="48"/>
    </row>
    <row r="92" spans="1:13" s="47" customFormat="1" ht="32.1" customHeight="1">
      <c r="A92" s="77">
        <f t="shared" si="0"/>
        <v>87</v>
      </c>
      <c r="B92" s="177" t="str">
        <f>MRS!B92&amp;" "&amp;MRS!D92</f>
        <v>Cable Tie  4.8mmx300mm White (100ea/pkt)</v>
      </c>
      <c r="C92" s="177"/>
      <c r="D92" s="120" t="str">
        <f>MRS!G92</f>
        <v>Pkt</v>
      </c>
      <c r="E92" s="121">
        <f>MRS!H92</f>
        <v>110</v>
      </c>
      <c r="F92" s="122">
        <f>+'MRS LIST'!I92</f>
        <v>8</v>
      </c>
      <c r="G92" s="123">
        <f>+'MRS LIST'!J92</f>
        <v>880</v>
      </c>
      <c r="H92" s="78"/>
      <c r="K92" s="79"/>
      <c r="L92" s="80"/>
      <c r="M92" s="48"/>
    </row>
    <row r="93" spans="1:13" s="47" customFormat="1" ht="32.1" customHeight="1">
      <c r="A93" s="77">
        <f t="shared" si="0"/>
        <v>88</v>
      </c>
      <c r="B93" s="177" t="str">
        <f>MRS!B93&amp;" "&amp;MRS!D93</f>
        <v>Paint Scraper  2"</v>
      </c>
      <c r="C93" s="177"/>
      <c r="D93" s="120" t="str">
        <f>MRS!G93</f>
        <v>Nos</v>
      </c>
      <c r="E93" s="121">
        <f>MRS!H93</f>
        <v>50</v>
      </c>
      <c r="F93" s="122">
        <f>+'MRS LIST'!I93</f>
        <v>1.7</v>
      </c>
      <c r="G93" s="123">
        <f>+'MRS LIST'!J93</f>
        <v>85</v>
      </c>
      <c r="H93" s="78"/>
      <c r="K93" s="79"/>
      <c r="L93" s="80"/>
      <c r="M93" s="48"/>
    </row>
    <row r="94" spans="1:13" s="47" customFormat="1" ht="32.1" customHeight="1">
      <c r="A94" s="77">
        <f t="shared" si="0"/>
        <v>89</v>
      </c>
      <c r="B94" s="177" t="str">
        <f>MRS!B94&amp;" "&amp;MRS!D94</f>
        <v>Flap Disc  C/S 4" 80 Grit</v>
      </c>
      <c r="C94" s="177"/>
      <c r="D94" s="120" t="str">
        <f>MRS!G94</f>
        <v>Nos</v>
      </c>
      <c r="E94" s="121">
        <f>MRS!H94</f>
        <v>1200</v>
      </c>
      <c r="F94" s="122">
        <f>+'MRS LIST'!I94</f>
        <v>2.2999999999999998</v>
      </c>
      <c r="G94" s="123">
        <f>+'MRS LIST'!J94</f>
        <v>2760</v>
      </c>
      <c r="H94" s="78"/>
      <c r="K94" s="79"/>
      <c r="L94" s="80"/>
      <c r="M94" s="48"/>
    </row>
    <row r="95" spans="1:13" s="47" customFormat="1" ht="32.1" customHeight="1">
      <c r="A95" s="77">
        <f t="shared" si="0"/>
        <v>90</v>
      </c>
      <c r="B95" s="177" t="str">
        <f>MRS!B95&amp;" "&amp;MRS!D95</f>
        <v>Flap Wheel  C/S 40x20x6mm</v>
      </c>
      <c r="C95" s="177"/>
      <c r="D95" s="120" t="str">
        <f>MRS!G95</f>
        <v>Nos</v>
      </c>
      <c r="E95" s="121">
        <f>MRS!H95</f>
        <v>200</v>
      </c>
      <c r="F95" s="122">
        <f>+'MRS LIST'!I95</f>
        <v>5.5</v>
      </c>
      <c r="G95" s="123">
        <f>+'MRS LIST'!J95</f>
        <v>1100</v>
      </c>
      <c r="H95" s="78"/>
      <c r="K95" s="79"/>
      <c r="L95" s="80"/>
      <c r="M95" s="48"/>
    </row>
    <row r="96" spans="1:13" s="47" customFormat="1" ht="32.1" customHeight="1">
      <c r="A96" s="77">
        <f t="shared" si="0"/>
        <v>91</v>
      </c>
      <c r="B96" s="177" t="str">
        <f>MRS!B96&amp;" "&amp;MRS!D96</f>
        <v>Enamel Paint  Blue 3.5kg</v>
      </c>
      <c r="C96" s="177"/>
      <c r="D96" s="120" t="str">
        <f>MRS!G96</f>
        <v>Can</v>
      </c>
      <c r="E96" s="121">
        <f>MRS!H96</f>
        <v>8</v>
      </c>
      <c r="F96" s="122">
        <f>+'MRS LIST'!I96</f>
        <v>75</v>
      </c>
      <c r="G96" s="123">
        <f>+'MRS LIST'!J96</f>
        <v>600</v>
      </c>
      <c r="H96" s="78"/>
      <c r="K96" s="79"/>
      <c r="L96" s="80"/>
      <c r="M96" s="48"/>
    </row>
    <row r="97" spans="1:13" s="47" customFormat="1" ht="32.1" customHeight="1">
      <c r="A97" s="77">
        <f t="shared" si="0"/>
        <v>92</v>
      </c>
      <c r="B97" s="177" t="str">
        <f>MRS!B97&amp;" "&amp;MRS!D97</f>
        <v>PVC Coated Tie Wire  6kg</v>
      </c>
      <c r="C97" s="177"/>
      <c r="D97" s="120" t="str">
        <f>MRS!G97</f>
        <v>Nos</v>
      </c>
      <c r="E97" s="121">
        <f>MRS!H97</f>
        <v>10</v>
      </c>
      <c r="F97" s="122">
        <f>+'MRS LIST'!I97</f>
        <v>33</v>
      </c>
      <c r="G97" s="123">
        <f>+'MRS LIST'!J97</f>
        <v>330</v>
      </c>
      <c r="H97" s="78"/>
      <c r="K97" s="79"/>
      <c r="L97" s="80"/>
      <c r="M97" s="48"/>
    </row>
    <row r="98" spans="1:13" s="47" customFormat="1" ht="32.1" customHeight="1">
      <c r="A98" s="77">
        <f t="shared" si="0"/>
        <v>93</v>
      </c>
      <c r="B98" s="177" t="str">
        <f>MRS!B98&amp;" "&amp;MRS!D98</f>
        <v>Face Shield Visor  15"</v>
      </c>
      <c r="C98" s="177"/>
      <c r="D98" s="120" t="str">
        <f>MRS!G98</f>
        <v>Nos</v>
      </c>
      <c r="E98" s="121">
        <f>MRS!H98</f>
        <v>150</v>
      </c>
      <c r="F98" s="122">
        <f>+'MRS LIST'!I98</f>
        <v>4</v>
      </c>
      <c r="G98" s="123">
        <f>+'MRS LIST'!J98</f>
        <v>600</v>
      </c>
      <c r="H98" s="78"/>
      <c r="K98" s="79"/>
      <c r="L98" s="80"/>
      <c r="M98" s="48"/>
    </row>
    <row r="99" spans="1:13" s="47" customFormat="1" ht="32.1" customHeight="1">
      <c r="A99" s="77">
        <f t="shared" si="0"/>
        <v>94</v>
      </c>
      <c r="B99" s="177" t="str">
        <f>MRS!B99&amp;" "&amp;MRS!D99</f>
        <v>Welding Tig Gloves  10"</v>
      </c>
      <c r="C99" s="177"/>
      <c r="D99" s="120" t="str">
        <f>MRS!G99</f>
        <v>Pair</v>
      </c>
      <c r="E99" s="121">
        <f>MRS!H99</f>
        <v>580</v>
      </c>
      <c r="F99" s="122">
        <f>+'MRS LIST'!I99</f>
        <v>6.1</v>
      </c>
      <c r="G99" s="123">
        <f>+'MRS LIST'!J99</f>
        <v>3538</v>
      </c>
      <c r="H99" s="78"/>
      <c r="K99" s="79"/>
      <c r="L99" s="80"/>
      <c r="M99" s="48"/>
    </row>
    <row r="100" spans="1:13" s="47" customFormat="1" ht="32.1" customHeight="1">
      <c r="A100" s="77">
        <f t="shared" si="0"/>
        <v>95</v>
      </c>
      <c r="B100" s="177" t="str">
        <f>MRS!B100&amp;" "&amp;MRS!D100</f>
        <v>Welding Tig Gloves  14"</v>
      </c>
      <c r="C100" s="177"/>
      <c r="D100" s="120" t="str">
        <f>MRS!G100</f>
        <v>Pair</v>
      </c>
      <c r="E100" s="121">
        <f>MRS!H100</f>
        <v>620</v>
      </c>
      <c r="F100" s="122">
        <f>+'MRS LIST'!I100</f>
        <v>7.3</v>
      </c>
      <c r="G100" s="123">
        <f>+'MRS LIST'!J100</f>
        <v>4526</v>
      </c>
      <c r="H100" s="78"/>
      <c r="K100" s="79"/>
      <c r="L100" s="80"/>
      <c r="M100" s="48"/>
    </row>
    <row r="101" spans="1:13" s="47" customFormat="1" ht="32.1" customHeight="1">
      <c r="A101" s="81">
        <f t="shared" si="0"/>
        <v>96</v>
      </c>
      <c r="B101" s="177" t="str">
        <f>MRS!B101&amp;" "&amp;MRS!D101</f>
        <v>Welding Apron  Leather</v>
      </c>
      <c r="C101" s="177"/>
      <c r="D101" s="120" t="str">
        <f>MRS!G101</f>
        <v>Nos</v>
      </c>
      <c r="E101" s="121">
        <f>MRS!H101</f>
        <v>130</v>
      </c>
      <c r="F101" s="122">
        <f>+'MRS LIST'!I101</f>
        <v>11.8</v>
      </c>
      <c r="G101" s="123">
        <f>+'MRS LIST'!J101</f>
        <v>1534</v>
      </c>
      <c r="H101" s="78"/>
      <c r="K101" s="79"/>
      <c r="L101" s="80"/>
      <c r="M101" s="48"/>
    </row>
    <row r="102" spans="1:13" s="47" customFormat="1" ht="32.1" customHeight="1">
      <c r="A102" s="77">
        <f t="shared" si="0"/>
        <v>97</v>
      </c>
      <c r="B102" s="177" t="str">
        <f>MRS!B102&amp;" "&amp;MRS!D102</f>
        <v>Welding Glass  Dark #10</v>
      </c>
      <c r="C102" s="177"/>
      <c r="D102" s="120" t="str">
        <f>MRS!G102</f>
        <v>Nos</v>
      </c>
      <c r="E102" s="121">
        <f>MRS!H102</f>
        <v>110</v>
      </c>
      <c r="F102" s="122">
        <f>+'MRS LIST'!I102</f>
        <v>0.85</v>
      </c>
      <c r="G102" s="123">
        <f>+'MRS LIST'!J102</f>
        <v>93.5</v>
      </c>
      <c r="H102" s="78"/>
      <c r="K102" s="79"/>
      <c r="L102" s="80"/>
      <c r="M102" s="48"/>
    </row>
    <row r="103" spans="1:13" s="47" customFormat="1" ht="32.1" customHeight="1">
      <c r="A103" s="77">
        <f t="shared" si="0"/>
        <v>98</v>
      </c>
      <c r="B103" s="177" t="str">
        <f>MRS!B103&amp;" "&amp;MRS!D103</f>
        <v xml:space="preserve">Scaffolding Hand Gloves </v>
      </c>
      <c r="C103" s="177"/>
      <c r="D103" s="120" t="str">
        <f>MRS!G103</f>
        <v>Pair</v>
      </c>
      <c r="E103" s="121">
        <f>MRS!H103</f>
        <v>360</v>
      </c>
      <c r="F103" s="122">
        <f>+'MRS LIST'!I103</f>
        <v>3.8</v>
      </c>
      <c r="G103" s="123">
        <f>+'MRS LIST'!J103</f>
        <v>1368</v>
      </c>
      <c r="H103" s="78"/>
      <c r="K103" s="79"/>
      <c r="L103" s="80"/>
      <c r="M103" s="48"/>
    </row>
    <row r="104" spans="1:13" s="47" customFormat="1" ht="32.1" customHeight="1">
      <c r="A104" s="77">
        <f t="shared" si="0"/>
        <v>99</v>
      </c>
      <c r="B104" s="177" t="str">
        <f>MRS!B104&amp;" "&amp;MRS!D104</f>
        <v>Permanent Marker Pen Twin Tip  Black N75W Pentel</v>
      </c>
      <c r="C104" s="177"/>
      <c r="D104" s="120" t="str">
        <f>MRS!G104</f>
        <v>Nos</v>
      </c>
      <c r="E104" s="121">
        <f>MRS!H104</f>
        <v>24</v>
      </c>
      <c r="F104" s="122">
        <f>+'MRS LIST'!I104</f>
        <v>3.15</v>
      </c>
      <c r="G104" s="123">
        <f>+'MRS LIST'!J104</f>
        <v>75.599999999999994</v>
      </c>
      <c r="H104" s="78"/>
      <c r="K104" s="79"/>
      <c r="L104" s="80"/>
      <c r="M104" s="48"/>
    </row>
    <row r="105" spans="1:13" s="47" customFormat="1" ht="32.1" customHeight="1">
      <c r="A105" s="77">
        <f t="shared" si="0"/>
        <v>100</v>
      </c>
      <c r="B105" s="177" t="str">
        <f>MRS!B105&amp;" "&amp;MRS!D105</f>
        <v>Permanent Marker Pen Twin Tip  Blue 1.0x0.5mm</v>
      </c>
      <c r="C105" s="177"/>
      <c r="D105" s="120" t="str">
        <f>MRS!G105</f>
        <v>Nos</v>
      </c>
      <c r="E105" s="121">
        <f>MRS!H105</f>
        <v>24</v>
      </c>
      <c r="F105" s="122">
        <f>+'MRS LIST'!I105</f>
        <v>1.65</v>
      </c>
      <c r="G105" s="123">
        <f>+'MRS LIST'!J105</f>
        <v>39.599999999999994</v>
      </c>
      <c r="H105" s="78"/>
      <c r="K105" s="79"/>
      <c r="L105" s="80"/>
      <c r="M105" s="48"/>
    </row>
    <row r="106" spans="1:13" s="47" customFormat="1" ht="32.1" customHeight="1">
      <c r="A106" s="77">
        <f t="shared" si="0"/>
        <v>101</v>
      </c>
      <c r="B106" s="177" t="str">
        <f>MRS!B106&amp;" "&amp;MRS!D106</f>
        <v>Hand Wire Brush  C/S</v>
      </c>
      <c r="C106" s="177"/>
      <c r="D106" s="120" t="str">
        <f>MRS!G106</f>
        <v>Nos</v>
      </c>
      <c r="E106" s="121">
        <f>MRS!H106</f>
        <v>24</v>
      </c>
      <c r="F106" s="122">
        <f>+'MRS LIST'!I106</f>
        <v>2.5</v>
      </c>
      <c r="G106" s="123">
        <f>+'MRS LIST'!J106</f>
        <v>60</v>
      </c>
      <c r="H106" s="78"/>
      <c r="K106" s="79"/>
      <c r="L106" s="80"/>
      <c r="M106" s="48"/>
    </row>
    <row r="107" spans="1:13" s="47" customFormat="1" ht="32.1" customHeight="1">
      <c r="A107" s="77">
        <f t="shared" si="0"/>
        <v>102</v>
      </c>
      <c r="B107" s="177" t="str">
        <f>MRS!B107&amp;" "&amp;MRS!D107</f>
        <v>Hacksaw Blade  C/S 12"</v>
      </c>
      <c r="C107" s="177"/>
      <c r="D107" s="120" t="str">
        <f>MRS!G107</f>
        <v>Nos</v>
      </c>
      <c r="E107" s="121">
        <f>MRS!H107</f>
        <v>200</v>
      </c>
      <c r="F107" s="122">
        <f>+'MRS LIST'!I107</f>
        <v>0.6</v>
      </c>
      <c r="G107" s="123">
        <f>+'MRS LIST'!J107</f>
        <v>120</v>
      </c>
      <c r="H107" s="78"/>
      <c r="K107" s="79"/>
      <c r="L107" s="80"/>
      <c r="M107" s="48"/>
    </row>
    <row r="108" spans="1:13" s="47" customFormat="1" ht="32.1" customHeight="1">
      <c r="A108" s="77">
        <f t="shared" si="0"/>
        <v>103</v>
      </c>
      <c r="B108" s="177" t="str">
        <f>MRS!B108&amp;" "&amp;MRS!D108</f>
        <v>Ordinary Plywood  4'x8'x12mm</v>
      </c>
      <c r="C108" s="177"/>
      <c r="D108" s="120" t="str">
        <f>MRS!G108</f>
        <v>Sh't</v>
      </c>
      <c r="E108" s="121">
        <f>MRS!H108</f>
        <v>100</v>
      </c>
      <c r="F108" s="122">
        <f>+'MRS LIST'!I108</f>
        <v>95</v>
      </c>
      <c r="G108" s="123">
        <f>+'MRS LIST'!J108</f>
        <v>9500</v>
      </c>
      <c r="H108" s="78"/>
      <c r="K108" s="79"/>
      <c r="L108" s="80"/>
      <c r="M108" s="48"/>
    </row>
    <row r="109" spans="1:13" s="47" customFormat="1" ht="32.1" customHeight="1">
      <c r="A109" s="77">
        <f t="shared" si="0"/>
        <v>104</v>
      </c>
      <c r="B109" s="177" t="str">
        <f>MRS!B109&amp;" "&amp;MRS!D109</f>
        <v>Drill Bit  CS 4mm</v>
      </c>
      <c r="C109" s="177"/>
      <c r="D109" s="120" t="str">
        <f>MRS!G109</f>
        <v>Nos</v>
      </c>
      <c r="E109" s="121">
        <f>MRS!H109</f>
        <v>20</v>
      </c>
      <c r="F109" s="122">
        <f>+'MRS LIST'!I109</f>
        <v>0.8</v>
      </c>
      <c r="G109" s="123">
        <f>+'MRS LIST'!J109</f>
        <v>16</v>
      </c>
      <c r="H109" s="78"/>
      <c r="K109" s="79"/>
      <c r="L109" s="80"/>
      <c r="M109" s="48"/>
    </row>
    <row r="110" spans="1:13" s="47" customFormat="1" ht="32.1" customHeight="1">
      <c r="A110" s="77">
        <f t="shared" si="0"/>
        <v>105</v>
      </c>
      <c r="B110" s="177" t="str">
        <f>MRS!B110&amp;" "&amp;MRS!D110</f>
        <v>Drill Bit  CS 5mm</v>
      </c>
      <c r="C110" s="177"/>
      <c r="D110" s="120" t="str">
        <f>MRS!G110</f>
        <v>Nos</v>
      </c>
      <c r="E110" s="121">
        <f>MRS!H110</f>
        <v>20</v>
      </c>
      <c r="F110" s="122">
        <f>+'MRS LIST'!I110</f>
        <v>1.1000000000000001</v>
      </c>
      <c r="G110" s="123">
        <f>+'MRS LIST'!J110</f>
        <v>22</v>
      </c>
      <c r="H110" s="78"/>
      <c r="K110" s="79"/>
      <c r="L110" s="80"/>
      <c r="M110" s="48"/>
    </row>
    <row r="111" spans="1:13" s="47" customFormat="1" ht="32.1" customHeight="1">
      <c r="A111" s="77">
        <f t="shared" si="0"/>
        <v>106</v>
      </c>
      <c r="B111" s="177" t="str">
        <f>MRS!B111&amp;" "&amp;MRS!D111</f>
        <v>Drill Bit  CS 6mm</v>
      </c>
      <c r="C111" s="177"/>
      <c r="D111" s="120" t="str">
        <f>MRS!G111</f>
        <v>Nos</v>
      </c>
      <c r="E111" s="121">
        <f>MRS!H111</f>
        <v>20</v>
      </c>
      <c r="F111" s="122">
        <f>+'MRS LIST'!I111</f>
        <v>1.2</v>
      </c>
      <c r="G111" s="123">
        <f>+'MRS LIST'!J111</f>
        <v>24</v>
      </c>
      <c r="H111" s="78"/>
      <c r="K111" s="79"/>
      <c r="L111" s="80"/>
      <c r="M111" s="48"/>
    </row>
    <row r="112" spans="1:13" s="47" customFormat="1" ht="32.1" customHeight="1">
      <c r="A112" s="77">
        <f t="shared" si="0"/>
        <v>107</v>
      </c>
      <c r="B112" s="177" t="str">
        <f>MRS!B112&amp;" "&amp;MRS!D112</f>
        <v>Drill Bit  CS 8mm</v>
      </c>
      <c r="C112" s="177"/>
      <c r="D112" s="120" t="str">
        <f>MRS!G112</f>
        <v>Nos</v>
      </c>
      <c r="E112" s="121">
        <f>MRS!H112</f>
        <v>20</v>
      </c>
      <c r="F112" s="122">
        <f>+'MRS LIST'!I112</f>
        <v>2.8</v>
      </c>
      <c r="G112" s="123">
        <f>+'MRS LIST'!J112</f>
        <v>56</v>
      </c>
      <c r="H112" s="78"/>
      <c r="K112" s="79"/>
      <c r="L112" s="80"/>
      <c r="M112" s="48"/>
    </row>
    <row r="113" spans="1:13" s="47" customFormat="1" ht="32.1" customHeight="1">
      <c r="A113" s="77">
        <f t="shared" si="0"/>
        <v>108</v>
      </c>
      <c r="B113" s="177" t="str">
        <f>MRS!B113&amp;" "&amp;MRS!D113</f>
        <v>Drill Bit  CS 10mm</v>
      </c>
      <c r="C113" s="177"/>
      <c r="D113" s="120" t="str">
        <f>MRS!G113</f>
        <v>Nos</v>
      </c>
      <c r="E113" s="121">
        <f>MRS!H113</f>
        <v>20</v>
      </c>
      <c r="F113" s="122">
        <f>+'MRS LIST'!I113</f>
        <v>4.2</v>
      </c>
      <c r="G113" s="123">
        <f>+'MRS LIST'!J113</f>
        <v>84</v>
      </c>
      <c r="H113" s="78"/>
      <c r="K113" s="79"/>
      <c r="L113" s="80"/>
      <c r="M113" s="48"/>
    </row>
    <row r="114" spans="1:13" s="47" customFormat="1" ht="32.1" customHeight="1">
      <c r="A114" s="77">
        <f t="shared" si="0"/>
        <v>109</v>
      </c>
      <c r="B114" s="177" t="str">
        <f>MRS!B114&amp;" "&amp;MRS!D114</f>
        <v>Drill Bit  CS 12mm</v>
      </c>
      <c r="C114" s="177"/>
      <c r="D114" s="120" t="str">
        <f>MRS!G114</f>
        <v>Nos</v>
      </c>
      <c r="E114" s="121">
        <f>MRS!H114</f>
        <v>20</v>
      </c>
      <c r="F114" s="122">
        <f>+'MRS LIST'!I114</f>
        <v>5.5</v>
      </c>
      <c r="G114" s="123">
        <f>+'MRS LIST'!J114</f>
        <v>110</v>
      </c>
      <c r="H114" s="78"/>
      <c r="K114" s="79"/>
      <c r="L114" s="80"/>
      <c r="M114" s="48"/>
    </row>
    <row r="115" spans="1:13" s="47" customFormat="1" ht="32.1" customHeight="1">
      <c r="A115" s="77">
        <f t="shared" si="0"/>
        <v>110</v>
      </c>
      <c r="B115" s="177" t="str">
        <f>MRS!B115&amp;" "&amp;MRS!D115</f>
        <v>Rubber Hand Gloves  M</v>
      </c>
      <c r="C115" s="177"/>
      <c r="D115" s="120" t="str">
        <f>MRS!G115</f>
        <v>Pair</v>
      </c>
      <c r="E115" s="121">
        <f>MRS!H115</f>
        <v>100</v>
      </c>
      <c r="F115" s="122">
        <f>+'MRS LIST'!I115</f>
        <v>2</v>
      </c>
      <c r="G115" s="123">
        <f>+'MRS LIST'!J115</f>
        <v>200</v>
      </c>
      <c r="H115" s="78"/>
      <c r="K115" s="79"/>
      <c r="L115" s="80"/>
      <c r="M115" s="48"/>
    </row>
    <row r="116" spans="1:13" s="47" customFormat="1" ht="32.1" customHeight="1">
      <c r="A116" s="77">
        <f t="shared" si="0"/>
        <v>111</v>
      </c>
      <c r="B116" s="177" t="str">
        <f>MRS!B116&amp;" "&amp;MRS!D116</f>
        <v>Polythene Sheet  4x20mtr 0.5mm</v>
      </c>
      <c r="C116" s="177"/>
      <c r="D116" s="120" t="str">
        <f>MRS!G116</f>
        <v>roll</v>
      </c>
      <c r="E116" s="121">
        <f>MRS!H116</f>
        <v>5</v>
      </c>
      <c r="F116" s="122">
        <f>+'MRS LIST'!I116</f>
        <v>430</v>
      </c>
      <c r="G116" s="123">
        <f>+'MRS LIST'!J116</f>
        <v>2150</v>
      </c>
      <c r="H116" s="78"/>
      <c r="K116" s="79"/>
      <c r="L116" s="80"/>
      <c r="M116" s="48"/>
    </row>
    <row r="117" spans="1:13" s="47" customFormat="1" ht="32.1" customHeight="1">
      <c r="A117" s="77">
        <f t="shared" si="0"/>
        <v>112</v>
      </c>
      <c r="B117" s="177" t="str">
        <f>MRS!B117&amp;" "&amp;MRS!D117</f>
        <v xml:space="preserve">Megaphone Speaker </v>
      </c>
      <c r="C117" s="177"/>
      <c r="D117" s="120" t="str">
        <f>MRS!G117</f>
        <v>Nos</v>
      </c>
      <c r="E117" s="121">
        <f>MRS!H117</f>
        <v>3</v>
      </c>
      <c r="F117" s="122">
        <f>+'MRS LIST'!I117</f>
        <v>107</v>
      </c>
      <c r="G117" s="123">
        <f>+'MRS LIST'!J117</f>
        <v>321</v>
      </c>
      <c r="H117" s="78"/>
      <c r="K117" s="79"/>
      <c r="L117" s="80"/>
      <c r="M117" s="48"/>
    </row>
    <row r="118" spans="1:13" s="47" customFormat="1" ht="23.1" customHeight="1">
      <c r="A118" s="178" t="s">
        <v>75</v>
      </c>
      <c r="B118" s="179"/>
      <c r="C118" s="179"/>
      <c r="D118" s="179"/>
      <c r="E118" s="179"/>
      <c r="F118" s="179"/>
      <c r="G118" s="50">
        <f>SUM(G6:G117)</f>
        <v>281701.79999999993</v>
      </c>
      <c r="H118" s="51"/>
    </row>
    <row r="119" spans="1:13" s="47" customFormat="1" ht="23.1" customHeight="1">
      <c r="A119" s="178" t="s">
        <v>41</v>
      </c>
      <c r="B119" s="179"/>
      <c r="C119" s="179"/>
      <c r="D119" s="179"/>
      <c r="E119" s="179"/>
      <c r="F119" s="179"/>
      <c r="G119" s="50">
        <f>+G118*0.15</f>
        <v>42255.26999999999</v>
      </c>
      <c r="H119" s="51"/>
    </row>
    <row r="120" spans="1:13" s="47" customFormat="1" ht="24.95" customHeight="1" thickBot="1">
      <c r="A120" s="180" t="s">
        <v>76</v>
      </c>
      <c r="B120" s="181"/>
      <c r="C120" s="181"/>
      <c r="D120" s="181"/>
      <c r="E120" s="181"/>
      <c r="F120" s="181"/>
      <c r="G120" s="52">
        <f>G119+G118</f>
        <v>323957.06999999995</v>
      </c>
      <c r="H120" s="53"/>
    </row>
    <row r="121" spans="1:13" ht="15.75" thickTop="1">
      <c r="A121" s="54" t="str">
        <f>" 1) Above Price are as per your quotation with ref "&amp;'PO 1st page'!K14</f>
        <v xml:space="preserve"> 1) Above Price are as per your quotation with ref Q-20263261</v>
      </c>
      <c r="B121" s="55"/>
      <c r="C121" s="55"/>
      <c r="D121" s="56"/>
      <c r="E121" s="56"/>
      <c r="F121" s="56"/>
      <c r="G121" s="56"/>
      <c r="H121" s="56"/>
    </row>
    <row r="122" spans="1:13" ht="15">
      <c r="A122" s="57" t="s">
        <v>77</v>
      </c>
      <c r="B122" s="58"/>
      <c r="C122" s="58"/>
      <c r="D122" s="59"/>
      <c r="E122" s="59"/>
      <c r="F122" s="59"/>
      <c r="G122" s="59"/>
      <c r="H122" s="59"/>
      <c r="I122" s="60"/>
    </row>
    <row r="123" spans="1:13" ht="15.75">
      <c r="A123" s="61"/>
    </row>
    <row r="124" spans="1:13">
      <c r="A124" s="168" t="s">
        <v>78</v>
      </c>
      <c r="B124" s="168"/>
      <c r="C124" s="168"/>
      <c r="D124" s="168"/>
      <c r="E124" s="168"/>
      <c r="F124" s="168"/>
      <c r="G124" s="168"/>
      <c r="H124" s="168"/>
      <c r="I124" s="62"/>
      <c r="J124" s="62"/>
      <c r="K124" s="62"/>
      <c r="L124" s="62"/>
      <c r="M124" s="62"/>
    </row>
    <row r="125" spans="1:13" ht="15.75">
      <c r="A125" s="61"/>
      <c r="C125" s="63"/>
    </row>
    <row r="126" spans="1:13" ht="15.75">
      <c r="A126" s="61"/>
      <c r="C126" s="63"/>
    </row>
    <row r="128" spans="1:13" ht="12" customHeight="1"/>
  </sheetData>
  <mergeCells count="124">
    <mergeCell ref="A118:F118"/>
    <mergeCell ref="A119:F119"/>
    <mergeCell ref="A120:F120"/>
    <mergeCell ref="A124:H12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16:C1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117:C117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2026-10-25T05:55:02Z</cp:lastPrinted>
  <dcterms:created xsi:type="dcterms:W3CDTF">2024-10-20T11:50:19Z</dcterms:created>
  <dcterms:modified xsi:type="dcterms:W3CDTF">2026-10-25T05:58:09Z</dcterms:modified>
</cp:coreProperties>
</file>