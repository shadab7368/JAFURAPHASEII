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an\Boss\PO\PO_RASE\"/>
    </mc:Choice>
  </mc:AlternateContent>
  <xr:revisionPtr revIDLastSave="0" documentId="13_ncr:1_{E0617868-48B1-4967-BE03-CF560512CD21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MRS!$A$1:$L$20</definedName>
    <definedName name="_xlnm.Print_Area" localSheetId="1">'MRS LIST'!$A$1:$K$11</definedName>
    <definedName name="_xlnm.Print_Area" localSheetId="2">'PO 1st page'!$A$1:$N$71</definedName>
    <definedName name="_xlnm.Print_Area" localSheetId="3">'PO 2nd page'!$A$1:$H$18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3" l="1"/>
  <c r="E3" i="1"/>
  <c r="A15" i="4"/>
  <c r="F11" i="4"/>
  <c r="E11" i="4"/>
  <c r="D11" i="4"/>
  <c r="B11" i="4"/>
  <c r="F10" i="4"/>
  <c r="E10" i="4"/>
  <c r="D10" i="4"/>
  <c r="B10" i="4"/>
  <c r="F9" i="4"/>
  <c r="E9" i="4"/>
  <c r="D9" i="4"/>
  <c r="B9" i="4"/>
  <c r="F8" i="4"/>
  <c r="E8" i="4"/>
  <c r="D8" i="4"/>
  <c r="B8" i="4"/>
  <c r="F7" i="4"/>
  <c r="E7" i="4"/>
  <c r="D7" i="4"/>
  <c r="B7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A11" i="4"/>
  <c r="A10" i="4"/>
  <c r="A9" i="4"/>
  <c r="A8" i="4"/>
  <c r="F6" i="4"/>
  <c r="P54" i="3"/>
  <c r="B6" i="4"/>
  <c r="I7" i="2"/>
  <c r="H7" i="2"/>
  <c r="G7" i="2"/>
  <c r="H6" i="2"/>
  <c r="G6" i="2"/>
  <c r="D6" i="2"/>
  <c r="D7" i="2"/>
  <c r="B7" i="2"/>
  <c r="B6" i="2"/>
  <c r="E6" i="4"/>
  <c r="D6" i="4"/>
  <c r="A8" i="1"/>
  <c r="A8" i="2" s="1"/>
  <c r="A9" i="1"/>
  <c r="A9" i="2" s="1"/>
  <c r="A10" i="1"/>
  <c r="A10" i="2" s="1"/>
  <c r="A11" i="1"/>
  <c r="A11" i="2" s="1"/>
  <c r="J11" i="1"/>
  <c r="G11" i="4" s="1"/>
  <c r="J10" i="1"/>
  <c r="G10" i="4" s="1"/>
  <c r="J9" i="1"/>
  <c r="G9" i="4" s="1"/>
  <c r="J8" i="1"/>
  <c r="J8" i="2" s="1"/>
  <c r="J7" i="1"/>
  <c r="J6" i="1"/>
  <c r="J12" i="1" l="1"/>
  <c r="J6" i="2"/>
  <c r="J7" i="2"/>
  <c r="J10" i="2"/>
  <c r="G8" i="4"/>
  <c r="J9" i="2"/>
  <c r="J11" i="2"/>
  <c r="G7" i="4"/>
  <c r="G6" i="4"/>
  <c r="K67" i="3"/>
  <c r="G12" i="4" l="1"/>
  <c r="K10" i="3"/>
  <c r="I6" i="2" l="1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7" i="1"/>
  <c r="A7" i="2" s="1"/>
  <c r="A6" i="1"/>
  <c r="A6" i="2" s="1"/>
  <c r="F29" i="3" l="1"/>
  <c r="G13" i="4" l="1"/>
  <c r="F30" i="3" s="1"/>
  <c r="G14" i="4" l="1"/>
  <c r="F31" i="3" s="1"/>
</calcChain>
</file>

<file path=xl/sharedStrings.xml><?xml version="1.0" encoding="utf-8"?>
<sst xmlns="http://schemas.openxmlformats.org/spreadsheetml/2006/main" count="195" uniqueCount="140">
  <si>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</si>
  <si>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</si>
  <si>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</si>
  <si>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</si>
  <si>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</si>
  <si>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</si>
  <si>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</si>
  <si>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</si>
  <si>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</si>
  <si>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</si>
  <si>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</si>
  <si>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</si>
  <si>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</si>
  <si>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</si>
  <si>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</si>
  <si>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</si>
  <si>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</si>
  <si>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</si>
  <si>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</si>
  <si>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</si>
  <si>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</si>
  <si>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</si>
  <si>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</si>
  <si>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</si>
  <si>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</si>
  <si>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</si>
  <si>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</si>
  <si>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</si>
  <si>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</si>
  <si>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</si>
  <si>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</si>
  <si>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</si>
  <si>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</si>
  <si>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</si>
  <si>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</si>
  <si>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</si>
  <si>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</si>
  <si>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</si>
  <si>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</si>
  <si>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</si>
  <si>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</si>
  <si>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</si>
  <si>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</si>
  <si>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</si>
  <si>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</si>
  <si>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</si>
  <si>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</si>
  <si>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</si>
  <si>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</si>
  <si>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</si>
  <si>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</si>
  <si>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</si>
  <si>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</si>
  <si>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</si>
  <si>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</si>
  <si>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</si>
  <si>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</si>
  <si>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</si>
  <si>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</si>
  <si>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</si>
  <si>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</si>
  <si>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</si>
  <si>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</si>
  <si>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</si>
  <si>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</si>
  <si>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</si>
  <si>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</si>
  <si>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</si>
  <si>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</si>
  <si>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</si>
  <si>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</si>
  <si>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</si>
  <si>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</si>
  <si>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</si>
  <si>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</si>
  <si>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</si>
  <si>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</si>
  <si>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</si>
  <si>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</si>
  <si>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</si>
  <si>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</si>
  <si>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</si>
  <si>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</si>
  <si>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</si>
  <si>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</si>
  <si>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</si>
  <si>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</si>
  <si>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</si>
  <si>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</si>
  <si>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</si>
  <si>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</si>
  <si>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</si>
  <si>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</si>
  <si>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</si>
  <si>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</si>
  <si>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</si>
  <si>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</si>
  <si>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</si>
  <si>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</si>
  <si>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</si>
  <si>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</si>
  <si>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YATCO</t>
  </si>
  <si>
    <t>YATCO(Yaqoot Arabia Trading Company)</t>
  </si>
  <si>
    <t>2050187866</t>
  </si>
  <si>
    <t>312249720500003</t>
  </si>
  <si>
    <t>Haris</t>
  </si>
  <si>
    <t>Mobile No. +966 565731662</t>
  </si>
  <si>
    <t>Abu Bakr Al-Razi Street Near Dharhan - Jubail Highway, Dammam 34223</t>
  </si>
  <si>
    <t>Mobile: +966 565731662</t>
  </si>
  <si>
    <t>509000010006080500631</t>
  </si>
  <si>
    <t>SA11 8000 0509 6080 1050 0631</t>
  </si>
  <si>
    <t>ALRAJHI BANK</t>
  </si>
  <si>
    <t>RJHISARI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</si>
  <si>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</si>
  <si>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</si>
  <si>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</si>
  <si>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</si>
  <si>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</si>
  <si>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</si>
  <si>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</si>
  <si>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</si>
  <si>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</si>
  <si>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</si>
  <si>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</si>
  <si>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</si>
  <si>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</si>
  <si>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</si>
  <si>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YAQOT ALARBYH COMPANY</t>
  </si>
  <si>
    <t>EA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</si>
  <si>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-MRS-0501</t>
    </r>
  </si>
  <si>
    <t>QTN-YATCO-SCAF-000233</t>
  </si>
  <si>
    <t>SCAFFOLDING STEEL BOARD</t>
  </si>
  <si>
    <t xml:space="preserve"> 225mm X 38mm x  4.0 mtr </t>
  </si>
  <si>
    <t xml:space="preserve"> 225mm X 38mm x  3.0 mtr </t>
  </si>
  <si>
    <t xml:space="preserve"> 225mm X 38mm x  2.5 mtr </t>
  </si>
  <si>
    <t xml:space="preserve"> 225mm X 38mm x  2.0 mtr </t>
  </si>
  <si>
    <t xml:space="preserve"> 225mm X 38mm x  1.5 mtr</t>
  </si>
  <si>
    <t xml:space="preserve"> 225mm X 38mm x  1.0 mtr </t>
  </si>
  <si>
    <t>UNIT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</si>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</sst>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8" fillId="0" borderId="0" applyBorder="0"/>
    <xf numFmtId="0" fontId="37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</cellStyleXfs>
  <cellXfs count="194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9" xfId="1" applyFill="1" applyBorder="1" applyAlignment="1">
      <alignment vertical="center"/>
    </xf>
    <xf numFmtId="0" fontId="3" fillId="2" borderId="9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17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8" fillId="0" borderId="0" xfId="6" applyFont="1" applyAlignment="1">
      <alignment vertical="top"/>
    </xf>
    <xf numFmtId="168" fontId="8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8" fillId="4" borderId="17" xfId="6" applyFont="1" applyFill="1" applyBorder="1" applyAlignment="1">
      <alignment horizontal="center" vertical="center" wrapText="1"/>
    </xf>
    <xf numFmtId="43" fontId="13" fillId="0" borderId="17" xfId="6" quotePrefix="1" applyNumberFormat="1" applyFont="1" applyBorder="1" applyAlignment="1">
      <alignment vertical="center" wrapText="1"/>
    </xf>
    <xf numFmtId="0" fontId="8" fillId="0" borderId="31" xfId="6" applyFont="1" applyBorder="1"/>
    <xf numFmtId="170" fontId="10" fillId="0" borderId="38" xfId="6" applyNumberFormat="1" applyFont="1" applyBorder="1" applyAlignment="1">
      <alignment horizontal="center" vertical="center" wrapText="1"/>
    </xf>
    <xf numFmtId="0" fontId="8" fillId="0" borderId="39" xfId="6" applyFont="1" applyBorder="1"/>
    <xf numFmtId="0" fontId="10" fillId="0" borderId="0" xfId="6" applyFont="1" applyAlignment="1">
      <alignment vertical="center"/>
    </xf>
    <xf numFmtId="0" fontId="26" fillId="0" borderId="40" xfId="6" applyFont="1" applyBorder="1" applyAlignment="1">
      <alignment vertical="center"/>
    </xf>
    <xf numFmtId="0" fontId="26" fillId="0" borderId="40" xfId="6" applyFont="1" applyBorder="1"/>
    <xf numFmtId="0" fontId="10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3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3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8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2" xfId="6" quotePrefix="1" applyFont="1" applyBorder="1" applyAlignment="1">
      <alignment horizontal="center" vertical="center"/>
    </xf>
    <xf numFmtId="0" fontId="6" fillId="2" borderId="35" xfId="7" applyFont="1" applyFill="1" applyBorder="1" applyAlignment="1">
      <alignment horizontal="center" vertical="center" wrapText="1"/>
    </xf>
    <xf numFmtId="0" fontId="6" fillId="2" borderId="35" xfId="8" applyFont="1" applyFill="1" applyBorder="1" applyAlignment="1">
      <alignment horizontal="center" vertical="center"/>
    </xf>
    <xf numFmtId="43" fontId="6" fillId="0" borderId="35" xfId="9" quotePrefix="1" applyFont="1" applyFill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3" fillId="0" borderId="31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2" fillId="0" borderId="17" xfId="0" applyFont="1" applyBorder="1" applyAlignment="1">
      <alignment horizontal="center" vertical="center"/>
    </xf>
    <xf numFmtId="172" fontId="42" fillId="0" borderId="17" xfId="10" applyNumberFormat="1" applyFont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0" fillId="0" borderId="0" xfId="2" applyFont="1" applyAlignment="1">
      <alignment vertical="center"/>
    </xf>
    <xf numFmtId="0" fontId="43" fillId="2" borderId="0" xfId="1" applyFont="1" applyFill="1" applyAlignment="1">
      <alignment vertical="center"/>
    </xf>
    <xf numFmtId="170" fontId="18" fillId="3" borderId="0" xfId="5" applyNumberFormat="1" applyFont="1" applyFill="1"/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2" fillId="3" borderId="0" xfId="5" applyFont="1" applyFill="1"/>
    <xf numFmtId="0" fontId="18" fillId="3" borderId="0" xfId="5" quotePrefix="1" applyFont="1" applyFill="1"/>
    <xf numFmtId="0" fontId="21" fillId="3" borderId="41" xfId="5" applyFont="1" applyFill="1" applyBorder="1"/>
    <xf numFmtId="0" fontId="18" fillId="3" borderId="41" xfId="5" applyFont="1" applyFill="1" applyBorder="1"/>
    <xf numFmtId="0" fontId="6" fillId="2" borderId="16" xfId="1" applyFont="1" applyFill="1" applyBorder="1" applyAlignment="1">
      <alignment horizontal="center" vertical="center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68" fontId="57" fillId="0" borderId="7" xfId="3" applyNumberFormat="1" applyFont="1" applyBorder="1" applyAlignment="1">
      <alignment horizontal="right"/>
    </xf>
    <xf numFmtId="0" fontId="6" fillId="2" borderId="1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vertical="center"/>
    </xf>
    <xf numFmtId="0" fontId="6" fillId="2" borderId="9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2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15" fontId="26" fillId="3" borderId="0" xfId="5" applyNumberFormat="1" applyFont="1" applyFill="1"/>
    <xf numFmtId="0" fontId="8" fillId="2" borderId="44" xfId="1" quotePrefix="1" applyFont="1" applyFill="1" applyBorder="1" applyAlignment="1">
      <alignment vertical="center"/>
    </xf>
    <xf numFmtId="0" fontId="3" fillId="2" borderId="7" xfId="1" applyFill="1" applyBorder="1" applyAlignment="1">
      <alignment vertical="center"/>
    </xf>
    <xf numFmtId="0" fontId="3" fillId="2" borderId="7" xfId="1" applyFill="1" applyBorder="1" applyAlignment="1">
      <alignment vertical="center" wrapText="1"/>
    </xf>
    <xf numFmtId="0" fontId="3" fillId="2" borderId="12" xfId="1" applyFill="1" applyBorder="1" applyAlignment="1">
      <alignment horizontal="center" vertical="center"/>
    </xf>
    <xf numFmtId="167" fontId="3" fillId="0" borderId="11" xfId="0" applyNumberFormat="1" applyFont="1" applyBorder="1" applyAlignment="1">
      <alignment horizontal="right" vertical="center" wrapText="1"/>
    </xf>
    <xf numFmtId="0" fontId="3" fillId="2" borderId="12" xfId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40" fontId="14" fillId="0" borderId="8" xfId="0" applyNumberFormat="1" applyFont="1" applyBorder="1">
      <alignment vertical="center"/>
    </xf>
    <xf numFmtId="167" fontId="3" fillId="0" borderId="8" xfId="0" applyNumberFormat="1" applyFont="1" applyBorder="1" applyAlignment="1">
      <alignment horizontal="right" vertical="center" wrapText="1"/>
    </xf>
    <xf numFmtId="167" fontId="3" fillId="0" borderId="8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2" borderId="11" xfId="1" applyFill="1" applyBorder="1" applyAlignment="1">
      <alignment horizontal="center" vertical="center" wrapText="1"/>
    </xf>
    <xf numFmtId="0" fontId="3" fillId="2" borderId="43" xfId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8" fillId="2" borderId="10" xfId="1" applyFont="1" applyFill="1" applyBorder="1" applyAlignment="1">
      <alignment horizontal="center" vertical="center" wrapText="1"/>
    </xf>
    <xf numFmtId="0" fontId="8" fillId="2" borderId="16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16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15" fillId="2" borderId="17" xfId="1" applyFont="1" applyFill="1" applyBorder="1" applyAlignment="1">
      <alignment horizontal="center" vertical="center" wrapText="1"/>
    </xf>
    <xf numFmtId="0" fontId="15" fillId="2" borderId="17" xfId="1" applyFont="1" applyFill="1" applyBorder="1" applyAlignment="1">
      <alignment horizontal="center" vertical="center"/>
    </xf>
    <xf numFmtId="0" fontId="42" fillId="0" borderId="18" xfId="0" applyFont="1" applyBorder="1" applyAlignment="1">
      <alignment horizontal="left" vertical="center" wrapText="1"/>
    </xf>
    <xf numFmtId="0" fontId="42" fillId="0" borderId="19" xfId="0" applyFont="1" applyBorder="1" applyAlignment="1">
      <alignment horizontal="left" vertical="center" wrapText="1"/>
    </xf>
    <xf numFmtId="0" fontId="42" fillId="3" borderId="18" xfId="0" applyFont="1" applyFill="1" applyBorder="1" applyAlignment="1">
      <alignment horizontal="center" vertical="center" wrapText="1"/>
    </xf>
    <xf numFmtId="0" fontId="42" fillId="3" borderId="20" xfId="0" applyFont="1" applyFill="1" applyBorder="1" applyAlignment="1">
      <alignment horizontal="center" vertical="center" wrapText="1"/>
    </xf>
    <xf numFmtId="0" fontId="42" fillId="3" borderId="19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1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26" fillId="3" borderId="0" xfId="5" quotePrefix="1" applyFont="1" applyFill="1" applyAlignment="1">
      <alignment horizontal="center"/>
    </xf>
    <xf numFmtId="0" fontId="13" fillId="0" borderId="30" xfId="6" quotePrefix="1" applyFont="1" applyBorder="1" applyAlignment="1">
      <alignment horizontal="right" vertical="center"/>
    </xf>
    <xf numFmtId="0" fontId="13" fillId="0" borderId="17" xfId="6" quotePrefix="1" applyFont="1" applyBorder="1" applyAlignment="1">
      <alignment horizontal="right" vertical="center"/>
    </xf>
    <xf numFmtId="0" fontId="10" fillId="0" borderId="37" xfId="6" quotePrefix="1" applyFont="1" applyBorder="1" applyAlignment="1">
      <alignment horizontal="right" vertical="center"/>
    </xf>
    <xf numFmtId="0" fontId="10" fillId="0" borderId="38" xfId="6" quotePrefix="1" applyFont="1" applyBorder="1" applyAlignment="1">
      <alignment horizontal="right" vertical="center"/>
    </xf>
    <xf numFmtId="0" fontId="42" fillId="3" borderId="33" xfId="5" applyFont="1" applyFill="1" applyBorder="1" applyAlignment="1">
      <alignment horizontal="left" vertical="center" wrapText="1"/>
    </xf>
    <xf numFmtId="0" fontId="42" fillId="3" borderId="3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2" xfId="6" applyFont="1" applyBorder="1" applyAlignment="1">
      <alignment horizontal="right" vertical="center"/>
    </xf>
    <xf numFmtId="0" fontId="8" fillId="4" borderId="23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24" xfId="6" applyFont="1" applyFill="1" applyBorder="1" applyAlignment="1">
      <alignment horizontal="center" vertical="center" wrapText="1"/>
    </xf>
    <xf numFmtId="0" fontId="8" fillId="4" borderId="25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26" xfId="6" applyFont="1" applyFill="1" applyBorder="1" applyAlignment="1">
      <alignment horizontal="center" vertical="center" wrapText="1"/>
    </xf>
    <xf numFmtId="0" fontId="8" fillId="4" borderId="17" xfId="6" applyFont="1" applyFill="1" applyBorder="1" applyAlignment="1">
      <alignment horizontal="center" vertical="center" wrapText="1"/>
    </xf>
    <xf numFmtId="0" fontId="8" fillId="4" borderId="27" xfId="6" applyFont="1" applyFill="1" applyBorder="1" applyAlignment="1">
      <alignment horizontal="center" vertical="center" wrapText="1"/>
    </xf>
    <xf numFmtId="0" fontId="8" fillId="4" borderId="28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40607</xdr:colOff>
          <xdr:row>12</xdr:row>
          <xdr:rowOff>245143</xdr:rowOff>
        </xdr:from>
        <xdr:to>
          <xdr:col>11</xdr:col>
          <xdr:colOff>1652337</xdr:colOff>
          <xdr:row>19</xdr:row>
          <xdr:rowOff>232612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CC858A43-5394-5376-854B-8738BED6648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6:$Y$21" spid="_x0000_s13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26870" y="27937827"/>
              <a:ext cx="8459704" cy="234365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11</xdr:row>
      <xdr:rowOff>0</xdr:rowOff>
    </xdr:from>
    <xdr:to>
      <xdr:col>15</xdr:col>
      <xdr:colOff>543942</xdr:colOff>
      <xdr:row>11</xdr:row>
      <xdr:rowOff>218392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11</xdr:row>
      <xdr:rowOff>0</xdr:rowOff>
    </xdr:from>
    <xdr:to>
      <xdr:col>15</xdr:col>
      <xdr:colOff>543942</xdr:colOff>
      <xdr:row>11</xdr:row>
      <xdr:rowOff>218392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48"/>
  <sheetViews>
    <sheetView showGridLines="0" view="pageBreakPreview" zoomScale="95" zoomScaleNormal="95" zoomScaleSheetLayoutView="95" workbookViewId="0">
      <selection activeCell="L11" sqref="L11"/>
    </sheetView>
  </sheetViews>
  <sheetFormatPr defaultColWidth="9" defaultRowHeight="21" customHeight="1"/>
  <cols>
    <col min="1" max="1" width="4.7109375" style="2" customWidth="1"/>
    <col min="2" max="2" width="20.7109375" style="2" customWidth="1"/>
    <col min="3" max="3" width="10.42578125" style="2" customWidth="1"/>
    <col min="4" max="4" width="17.28515625" style="2" customWidth="1"/>
    <col min="5" max="5" width="11.28515625" style="2" customWidth="1"/>
    <col min="6" max="6" width="12.8554687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26" ht="49.9" customHeight="1">
      <c r="A1" s="103" t="s">
        <v>113</v>
      </c>
      <c r="B1" s="104"/>
      <c r="C1" s="93"/>
      <c r="D1" s="93"/>
      <c r="E1" s="93"/>
      <c r="F1" s="93"/>
      <c r="G1" s="1"/>
      <c r="J1" s="134" t="s">
        <v>79</v>
      </c>
      <c r="K1" s="135"/>
      <c r="L1" s="136"/>
    </row>
    <row r="2" spans="1:26" ht="20.100000000000001" customHeight="1">
      <c r="A2" s="3" t="s">
        <v>1</v>
      </c>
      <c r="B2" s="87"/>
      <c r="C2" s="87"/>
      <c r="D2" s="3" t="s">
        <v>114</v>
      </c>
      <c r="E2" s="87"/>
      <c r="F2" s="87"/>
      <c r="G2" s="87"/>
      <c r="H2" s="87"/>
      <c r="I2" s="4"/>
      <c r="J2" s="137" t="s">
        <v>86</v>
      </c>
      <c r="K2" s="138"/>
      <c r="L2" s="139"/>
    </row>
    <row r="3" spans="1:26" ht="20.100000000000001" customHeight="1">
      <c r="A3" s="3" t="s">
        <v>129</v>
      </c>
      <c r="B3" s="87"/>
      <c r="C3" s="87"/>
      <c r="D3" s="87"/>
      <c r="E3" s="140">
        <f>+L3+3</f>
        <v>46322</v>
      </c>
      <c r="F3" s="140"/>
      <c r="G3" s="140"/>
      <c r="H3" s="140"/>
      <c r="I3" s="140"/>
      <c r="J3" s="87"/>
      <c r="K3" s="87"/>
      <c r="L3" s="105">
        <v>46319</v>
      </c>
      <c r="M3" s="4"/>
    </row>
    <row r="4" spans="1:26" ht="15.95" customHeight="1">
      <c r="A4" s="143" t="s">
        <v>2</v>
      </c>
      <c r="B4" s="144" t="s">
        <v>3</v>
      </c>
      <c r="C4" s="144"/>
      <c r="D4" s="141" t="s">
        <v>4</v>
      </c>
      <c r="E4" s="141"/>
      <c r="F4" s="141"/>
      <c r="G4" s="145" t="s">
        <v>5</v>
      </c>
      <c r="H4" s="141" t="s">
        <v>6</v>
      </c>
      <c r="I4" s="141" t="s">
        <v>83</v>
      </c>
      <c r="J4" s="143" t="s">
        <v>84</v>
      </c>
      <c r="K4" s="141" t="s">
        <v>0</v>
      </c>
      <c r="L4" s="144" t="s">
        <v>7</v>
      </c>
    </row>
    <row r="5" spans="1:26" ht="21.75" customHeight="1">
      <c r="A5" s="141"/>
      <c r="B5" s="145"/>
      <c r="C5" s="145"/>
      <c r="D5" s="142"/>
      <c r="E5" s="142"/>
      <c r="F5" s="142"/>
      <c r="G5" s="146"/>
      <c r="H5" s="142"/>
      <c r="I5" s="142"/>
      <c r="J5" s="141"/>
      <c r="K5" s="142"/>
      <c r="L5" s="145"/>
    </row>
    <row r="6" spans="1:26" ht="24" customHeight="1">
      <c r="A6" s="5">
        <f t="shared" ref="A6:A11" si="0">ROW(A1)</f>
        <v>1</v>
      </c>
      <c r="B6" s="125" t="s">
        <v>131</v>
      </c>
      <c r="C6" s="126"/>
      <c r="D6" s="131" t="s">
        <v>132</v>
      </c>
      <c r="E6" s="131" t="s">
        <v>132</v>
      </c>
      <c r="F6" s="131" t="s">
        <v>132</v>
      </c>
      <c r="G6" s="124" t="s">
        <v>128</v>
      </c>
      <c r="H6" s="119">
        <v>200</v>
      </c>
      <c r="I6" s="120">
        <v>112</v>
      </c>
      <c r="J6" s="121">
        <f>H6*I6</f>
        <v>22400</v>
      </c>
      <c r="K6" s="122" t="s">
        <v>101</v>
      </c>
      <c r="L6" s="123" t="s">
        <v>89</v>
      </c>
      <c r="R6" s="92"/>
    </row>
    <row r="7" spans="1:26" ht="24" customHeight="1">
      <c r="A7" s="5">
        <f t="shared" si="0"/>
        <v>2</v>
      </c>
      <c r="B7" s="125" t="s">
        <v>131</v>
      </c>
      <c r="C7" s="126"/>
      <c r="D7" s="131" t="s">
        <v>133</v>
      </c>
      <c r="E7" s="131" t="s">
        <v>133</v>
      </c>
      <c r="F7" s="131" t="s">
        <v>133</v>
      </c>
      <c r="G7" s="124" t="s">
        <v>128</v>
      </c>
      <c r="H7" s="119">
        <v>300</v>
      </c>
      <c r="I7" s="120">
        <v>85</v>
      </c>
      <c r="J7" s="121">
        <f t="shared" ref="J7:J11" si="1">H7*I7</f>
        <v>25500</v>
      </c>
      <c r="K7" s="122" t="s">
        <v>56</v>
      </c>
      <c r="L7" s="123" t="s">
        <v>56</v>
      </c>
      <c r="R7" s="92"/>
    </row>
    <row r="8" spans="1:26" ht="24" customHeight="1">
      <c r="A8" s="5">
        <f t="shared" si="0"/>
        <v>3</v>
      </c>
      <c r="B8" s="125" t="s">
        <v>131</v>
      </c>
      <c r="C8" s="126"/>
      <c r="D8" s="131" t="s">
        <v>134</v>
      </c>
      <c r="E8" s="131" t="s">
        <v>134</v>
      </c>
      <c r="F8" s="131" t="s">
        <v>134</v>
      </c>
      <c r="G8" s="124" t="s">
        <v>128</v>
      </c>
      <c r="H8" s="119">
        <v>200</v>
      </c>
      <c r="I8" s="120">
        <v>73</v>
      </c>
      <c r="J8" s="121">
        <f t="shared" si="1"/>
        <v>14600</v>
      </c>
      <c r="K8" s="122" t="s">
        <v>56</v>
      </c>
      <c r="L8" s="123" t="s">
        <v>56</v>
      </c>
      <c r="R8" s="92"/>
    </row>
    <row r="9" spans="1:26" ht="24" customHeight="1">
      <c r="A9" s="5">
        <f t="shared" si="0"/>
        <v>4</v>
      </c>
      <c r="B9" s="125" t="s">
        <v>131</v>
      </c>
      <c r="C9" s="126"/>
      <c r="D9" s="131" t="s">
        <v>135</v>
      </c>
      <c r="E9" s="131" t="s">
        <v>135</v>
      </c>
      <c r="F9" s="131" t="s">
        <v>135</v>
      </c>
      <c r="G9" s="124" t="s">
        <v>128</v>
      </c>
      <c r="H9" s="119">
        <v>400</v>
      </c>
      <c r="I9" s="120">
        <v>60</v>
      </c>
      <c r="J9" s="121">
        <f t="shared" si="1"/>
        <v>24000</v>
      </c>
      <c r="K9" s="122" t="s">
        <v>56</v>
      </c>
      <c r="L9" s="123" t="s">
        <v>56</v>
      </c>
      <c r="R9" s="92"/>
    </row>
    <row r="10" spans="1:26" ht="24" customHeight="1">
      <c r="A10" s="5">
        <f t="shared" si="0"/>
        <v>5</v>
      </c>
      <c r="B10" s="125" t="s">
        <v>131</v>
      </c>
      <c r="C10" s="126"/>
      <c r="D10" s="131" t="s">
        <v>136</v>
      </c>
      <c r="E10" s="131" t="s">
        <v>136</v>
      </c>
      <c r="F10" s="131" t="s">
        <v>136</v>
      </c>
      <c r="G10" s="124" t="s">
        <v>128</v>
      </c>
      <c r="H10" s="119">
        <v>400</v>
      </c>
      <c r="I10" s="120">
        <v>46</v>
      </c>
      <c r="J10" s="121">
        <f t="shared" si="1"/>
        <v>18400</v>
      </c>
      <c r="K10" s="122" t="s">
        <v>56</v>
      </c>
      <c r="L10" s="123" t="s">
        <v>56</v>
      </c>
      <c r="R10" s="92"/>
    </row>
    <row r="11" spans="1:26" ht="24" customHeight="1">
      <c r="A11" s="5">
        <f t="shared" si="0"/>
        <v>6</v>
      </c>
      <c r="B11" s="125" t="s">
        <v>131</v>
      </c>
      <c r="C11" s="126"/>
      <c r="D11" s="131" t="s">
        <v>137</v>
      </c>
      <c r="E11" s="131" t="s">
        <v>137</v>
      </c>
      <c r="F11" s="131" t="s">
        <v>137</v>
      </c>
      <c r="G11" s="124" t="s">
        <v>128</v>
      </c>
      <c r="H11" s="119">
        <v>500</v>
      </c>
      <c r="I11" s="120">
        <v>31</v>
      </c>
      <c r="J11" s="121">
        <f t="shared" si="1"/>
        <v>15500</v>
      </c>
      <c r="K11" s="122" t="s">
        <v>56</v>
      </c>
      <c r="L11" s="123" t="s">
        <v>56</v>
      </c>
      <c r="R11" s="92"/>
    </row>
    <row r="12" spans="1:26" ht="23.25" customHeight="1">
      <c r="A12" s="127" t="s">
        <v>8</v>
      </c>
      <c r="B12" s="128"/>
      <c r="C12" s="113"/>
      <c r="D12" s="114"/>
      <c r="E12" s="114"/>
      <c r="F12" s="114"/>
      <c r="G12" s="115"/>
      <c r="H12" s="115"/>
      <c r="I12" s="116" t="s">
        <v>9</v>
      </c>
      <c r="J12" s="117">
        <f>SUM(J6:J11)</f>
        <v>120400</v>
      </c>
      <c r="K12" s="117"/>
      <c r="L12" s="118"/>
    </row>
    <row r="13" spans="1:26" ht="20.100000000000001" customHeight="1">
      <c r="A13" s="6" t="s">
        <v>10</v>
      </c>
      <c r="B13" s="7"/>
      <c r="C13" s="7"/>
      <c r="D13" s="7"/>
      <c r="E13" s="7"/>
      <c r="F13" s="7"/>
      <c r="G13" s="7"/>
      <c r="H13" s="7"/>
      <c r="I13" s="7"/>
      <c r="J13" s="7"/>
      <c r="K13" s="8"/>
      <c r="L13" s="9"/>
    </row>
    <row r="14" spans="1:26" ht="18" customHeight="1">
      <c r="A14" s="10"/>
      <c r="J14" s="1"/>
      <c r="K14" s="1"/>
      <c r="O14" s="11"/>
      <c r="P14" s="11"/>
      <c r="Q14" s="11"/>
      <c r="R14" s="11"/>
      <c r="S14" s="11"/>
      <c r="T14" s="11"/>
      <c r="U14" s="11"/>
      <c r="V14" s="11"/>
      <c r="W14" s="11"/>
      <c r="Y14" s="151"/>
      <c r="Z14" s="11"/>
    </row>
    <row r="15" spans="1:26" ht="50.1" customHeight="1">
      <c r="Y15" s="152"/>
    </row>
    <row r="16" spans="1:26" ht="15" customHeight="1">
      <c r="O16" s="147" t="s">
        <v>115</v>
      </c>
      <c r="P16" s="153"/>
      <c r="Q16" s="153"/>
      <c r="R16" s="148"/>
      <c r="S16" s="102"/>
      <c r="T16" s="147" t="s">
        <v>116</v>
      </c>
      <c r="U16" s="153"/>
      <c r="V16" s="153"/>
      <c r="W16" s="153"/>
      <c r="X16" s="153"/>
      <c r="Y16" s="148"/>
    </row>
    <row r="17" spans="15:25" ht="15" customHeight="1">
      <c r="O17" s="154" t="s">
        <v>117</v>
      </c>
      <c r="P17" s="129" t="s">
        <v>118</v>
      </c>
      <c r="Q17" s="154" t="s">
        <v>119</v>
      </c>
      <c r="R17" s="129" t="s">
        <v>120</v>
      </c>
      <c r="S17" s="102"/>
      <c r="T17" s="154" t="s">
        <v>121</v>
      </c>
      <c r="U17" s="129" t="s">
        <v>122</v>
      </c>
      <c r="V17" s="147" t="s">
        <v>123</v>
      </c>
      <c r="W17" s="153"/>
      <c r="X17" s="148"/>
      <c r="Y17" s="129" t="s">
        <v>124</v>
      </c>
    </row>
    <row r="18" spans="15:25" ht="18" customHeight="1">
      <c r="O18" s="132"/>
      <c r="P18" s="130"/>
      <c r="Q18" s="132"/>
      <c r="R18" s="130"/>
      <c r="S18" s="106"/>
      <c r="T18" s="132"/>
      <c r="U18" s="130"/>
      <c r="V18" s="13" t="s">
        <v>117</v>
      </c>
      <c r="W18" s="155" t="s">
        <v>125</v>
      </c>
      <c r="X18" s="156"/>
      <c r="Y18" s="130"/>
    </row>
    <row r="19" spans="15:25" ht="50.1" customHeight="1">
      <c r="O19" s="14"/>
      <c r="P19" s="14"/>
      <c r="Q19" s="14"/>
      <c r="R19" s="14"/>
      <c r="S19" s="102"/>
      <c r="T19" s="14"/>
      <c r="U19" s="14"/>
      <c r="V19" s="14"/>
      <c r="W19" s="147"/>
      <c r="X19" s="148"/>
      <c r="Y19" s="107"/>
    </row>
    <row r="20" spans="15:25" ht="36" customHeight="1">
      <c r="W20" s="108"/>
      <c r="X20" s="149" t="s">
        <v>126</v>
      </c>
      <c r="Y20" s="12" t="s">
        <v>124</v>
      </c>
    </row>
    <row r="21" spans="15:25" ht="50.1" customHeight="1">
      <c r="O21" s="109"/>
      <c r="P21" s="109"/>
      <c r="Q21" s="109"/>
      <c r="R21" s="109"/>
      <c r="S21" s="109"/>
      <c r="T21" s="109"/>
      <c r="U21" s="109"/>
      <c r="V21" s="109"/>
      <c r="W21" s="110"/>
      <c r="X21" s="150"/>
      <c r="Y21" s="111"/>
    </row>
    <row r="22" spans="15:25" ht="19.899999999999999" customHeight="1"/>
    <row r="23" spans="15:25" ht="17.45" customHeight="1">
      <c r="O23" s="133"/>
      <c r="P23" s="133"/>
    </row>
    <row r="24" spans="15:25" ht="19.899999999999999" customHeight="1">
      <c r="O24" s="133"/>
      <c r="P24" s="133"/>
    </row>
    <row r="25" spans="15:25" ht="14.25">
      <c r="O25" s="11"/>
      <c r="P25" s="11"/>
      <c r="Q25" s="11"/>
    </row>
    <row r="26" spans="15:25" ht="65.099999999999994" customHeight="1"/>
    <row r="27" spans="15:25" ht="14.25">
      <c r="O27" s="11"/>
      <c r="P27" s="11"/>
    </row>
    <row r="28" spans="15:25" ht="19.899999999999999" customHeight="1"/>
    <row r="29" spans="15:25" ht="14.25"/>
    <row r="30" spans="15:25" ht="19.899999999999999" customHeight="1"/>
    <row r="31" spans="15:25" ht="14.25"/>
    <row r="32" spans="15:25" ht="19.899999999999999" customHeight="1"/>
    <row r="33" spans="15:19" ht="19.899999999999999" customHeight="1"/>
    <row r="34" spans="15:19" ht="64.900000000000006" customHeight="1"/>
    <row r="36" spans="15:19" ht="19.899999999999999" customHeight="1"/>
    <row r="37" spans="15:19" ht="19.899999999999999" customHeight="1"/>
    <row r="38" spans="15:19" ht="64.900000000000006" customHeight="1"/>
    <row r="42" spans="15:19" ht="21" customHeight="1">
      <c r="O42" s="129" t="s">
        <v>12</v>
      </c>
      <c r="P42" s="129" t="s">
        <v>12</v>
      </c>
      <c r="S42" s="129" t="s">
        <v>11</v>
      </c>
    </row>
    <row r="43" spans="15:19" ht="21" customHeight="1">
      <c r="O43" s="130"/>
      <c r="P43" s="130"/>
      <c r="S43" s="132"/>
    </row>
    <row r="44" spans="15:19" ht="64.900000000000006" customHeight="1">
      <c r="O44" s="14"/>
      <c r="P44" s="14"/>
      <c r="S44" s="15"/>
    </row>
    <row r="45" spans="15:19" ht="7.15" customHeight="1"/>
    <row r="46" spans="15:19" ht="21" customHeight="1">
      <c r="O46" s="129" t="s">
        <v>12</v>
      </c>
      <c r="P46" s="129" t="s">
        <v>12</v>
      </c>
      <c r="S46" s="129" t="s">
        <v>13</v>
      </c>
    </row>
    <row r="47" spans="15:19" ht="21" customHeight="1">
      <c r="O47" s="130"/>
      <c r="P47" s="130"/>
      <c r="S47" s="132"/>
    </row>
    <row r="48" spans="15:19" ht="64.900000000000006" customHeight="1">
      <c r="O48" s="14"/>
      <c r="P48" s="14"/>
      <c r="S48" s="14"/>
    </row>
  </sheetData>
  <mergeCells count="47">
    <mergeCell ref="W19:X19"/>
    <mergeCell ref="X20:X21"/>
    <mergeCell ref="Y14:Y15"/>
    <mergeCell ref="O16:R16"/>
    <mergeCell ref="T16:Y16"/>
    <mergeCell ref="O17:O18"/>
    <mergeCell ref="Q17:Q18"/>
    <mergeCell ref="R17:R18"/>
    <mergeCell ref="T17:T18"/>
    <mergeCell ref="U17:U18"/>
    <mergeCell ref="V17:X17"/>
    <mergeCell ref="Y17:Y18"/>
    <mergeCell ref="W18:X18"/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I4:I5"/>
    <mergeCell ref="J4:J5"/>
    <mergeCell ref="K4:K5"/>
    <mergeCell ref="L4:L5"/>
    <mergeCell ref="S42:S43"/>
    <mergeCell ref="O46:O47"/>
    <mergeCell ref="P46:P47"/>
    <mergeCell ref="S46:S47"/>
    <mergeCell ref="O23:O24"/>
    <mergeCell ref="P23:P24"/>
    <mergeCell ref="O42:O43"/>
    <mergeCell ref="P42:P43"/>
    <mergeCell ref="B9:C9"/>
    <mergeCell ref="B10:C10"/>
    <mergeCell ref="B11:C11"/>
    <mergeCell ref="A12:B12"/>
    <mergeCell ref="P17:P18"/>
    <mergeCell ref="D9:F9"/>
    <mergeCell ref="D10:F10"/>
    <mergeCell ref="D11:F11"/>
  </mergeCells>
  <phoneticPr fontId="4" type="noConversion"/>
  <printOptions horizontalCentered="1"/>
  <pageMargins left="0.39370078740157499" right="0.39370078740157499" top="0.39370078740157499" bottom="0.39370078740157499" header="0" footer="0"/>
  <pageSetup paperSize="9" scale="8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1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F13" sqref="F13"/>
    </sheetView>
  </sheetViews>
  <sheetFormatPr defaultColWidth="9" defaultRowHeight="21" customHeight="1"/>
  <cols>
    <col min="1" max="1" width="6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4" t="s">
        <v>85</v>
      </c>
      <c r="B1" s="86"/>
      <c r="C1" s="86"/>
      <c r="D1" s="86"/>
      <c r="E1" s="86"/>
      <c r="F1" s="86"/>
      <c r="G1" s="1"/>
      <c r="J1" s="134" t="str">
        <f>+MRS!J1</f>
        <v>DAESHIN PLANT</v>
      </c>
      <c r="K1" s="136"/>
    </row>
    <row r="2" spans="1:18" ht="24.95" customHeight="1">
      <c r="A2" s="3" t="str">
        <f>+MRS!A2</f>
        <v xml:space="preserve">  PJT :  SACE2           </v>
      </c>
      <c r="B2" s="87"/>
      <c r="C2" s="87"/>
      <c r="D2" s="3" t="str">
        <f>+MRS!D2</f>
        <v>Division (In charge Name) : ADMIN MANAGER (Dong Chang Kim)</v>
      </c>
      <c r="E2" s="87"/>
      <c r="F2" s="87"/>
      <c r="G2" s="16"/>
      <c r="H2" s="16"/>
      <c r="I2" s="16"/>
      <c r="J2" s="137" t="str">
        <f>+MRS!J2</f>
        <v>Subcontract name (SAC2-SC-IK-SMP-01)</v>
      </c>
      <c r="K2" s="139"/>
    </row>
    <row r="3" spans="1:18" ht="24.95" customHeight="1">
      <c r="A3" s="3" t="str">
        <f>+MRS!A3</f>
        <v xml:space="preserve">  MRS No : SAC2-DS-MRS-0501</v>
      </c>
      <c r="B3" s="87"/>
      <c r="C3" s="87"/>
      <c r="D3" s="87"/>
      <c r="E3" s="87"/>
      <c r="F3" s="87"/>
      <c r="G3" s="87"/>
      <c r="H3" s="87"/>
      <c r="I3" s="87"/>
      <c r="J3" s="87"/>
      <c r="K3" s="88">
        <f>+MRS!L3</f>
        <v>46319</v>
      </c>
    </row>
    <row r="4" spans="1:18" ht="15.95" customHeight="1">
      <c r="A4" s="157" t="s">
        <v>2</v>
      </c>
      <c r="B4" s="158" t="s">
        <v>14</v>
      </c>
      <c r="C4" s="158"/>
      <c r="D4" s="157" t="s">
        <v>4</v>
      </c>
      <c r="E4" s="157"/>
      <c r="F4" s="157"/>
      <c r="G4" s="158" t="s">
        <v>5</v>
      </c>
      <c r="H4" s="157" t="s">
        <v>80</v>
      </c>
      <c r="I4" s="157" t="s">
        <v>15</v>
      </c>
      <c r="J4" s="157" t="s">
        <v>16</v>
      </c>
      <c r="K4" s="158" t="s">
        <v>7</v>
      </c>
    </row>
    <row r="5" spans="1:18" ht="15.95" customHeight="1">
      <c r="A5" s="157"/>
      <c r="B5" s="158"/>
      <c r="C5" s="158"/>
      <c r="D5" s="157"/>
      <c r="E5" s="157"/>
      <c r="F5" s="157"/>
      <c r="G5" s="158"/>
      <c r="H5" s="157"/>
      <c r="I5" s="157"/>
      <c r="J5" s="157"/>
      <c r="K5" s="158"/>
    </row>
    <row r="6" spans="1:18" ht="105" customHeight="1">
      <c r="A6" s="17">
        <f>+MRS!A6</f>
        <v>1</v>
      </c>
      <c r="B6" s="159" t="str">
        <f>MRS!B6</f>
        <v>SCAFFOLDING STEEL BOARD</v>
      </c>
      <c r="C6" s="160"/>
      <c r="D6" s="161" t="str">
        <f>MRS!D6</f>
        <v xml:space="preserve"> 225mm X 38mm x  4.0 mtr </v>
      </c>
      <c r="E6" s="162"/>
      <c r="F6" s="163"/>
      <c r="G6" s="89" t="str">
        <f>MRS!G6</f>
        <v>EA</v>
      </c>
      <c r="H6" s="89">
        <f>MRS!H6</f>
        <v>200</v>
      </c>
      <c r="I6" s="90">
        <f>MRS!I6</f>
        <v>112</v>
      </c>
      <c r="J6" s="90">
        <f>MRS!J6</f>
        <v>22400</v>
      </c>
      <c r="K6" s="91"/>
      <c r="O6" s="92"/>
      <c r="P6" s="92"/>
      <c r="R6" s="92"/>
    </row>
    <row r="7" spans="1:18" ht="105" customHeight="1">
      <c r="A7" s="17">
        <f>+MRS!A7</f>
        <v>2</v>
      </c>
      <c r="B7" s="159" t="str">
        <f>MRS!B7</f>
        <v>SCAFFOLDING STEEL BOARD</v>
      </c>
      <c r="C7" s="160"/>
      <c r="D7" s="161" t="str">
        <f>MRS!D7</f>
        <v xml:space="preserve"> 225mm X 38mm x  3.0 mtr </v>
      </c>
      <c r="E7" s="162"/>
      <c r="F7" s="163"/>
      <c r="G7" s="89" t="str">
        <f>MRS!G7</f>
        <v>EA</v>
      </c>
      <c r="H7" s="89">
        <f>MRS!H7</f>
        <v>300</v>
      </c>
      <c r="I7" s="90">
        <f>MRS!I7</f>
        <v>85</v>
      </c>
      <c r="J7" s="90">
        <f>MRS!J7</f>
        <v>25500</v>
      </c>
      <c r="K7" s="91"/>
      <c r="O7" s="92"/>
      <c r="P7" s="92"/>
      <c r="R7" s="92"/>
    </row>
    <row r="8" spans="1:18" ht="105" customHeight="1">
      <c r="A8" s="17">
        <f>+MRS!A8</f>
        <v>3</v>
      </c>
      <c r="B8" s="159" t="str">
        <f>MRS!B8</f>
        <v>SCAFFOLDING STEEL BOARD</v>
      </c>
      <c r="C8" s="160"/>
      <c r="D8" s="161" t="str">
        <f>MRS!D8</f>
        <v xml:space="preserve"> 225mm X 38mm x  2.5 mtr </v>
      </c>
      <c r="E8" s="162"/>
      <c r="F8" s="163"/>
      <c r="G8" s="89" t="str">
        <f>MRS!G8</f>
        <v>EA</v>
      </c>
      <c r="H8" s="89">
        <f>MRS!H8</f>
        <v>200</v>
      </c>
      <c r="I8" s="90">
        <f>MRS!I8</f>
        <v>73</v>
      </c>
      <c r="J8" s="90">
        <f>MRS!J8</f>
        <v>14600</v>
      </c>
      <c r="K8" s="91"/>
      <c r="O8" s="92"/>
      <c r="P8" s="92"/>
      <c r="R8" s="92"/>
    </row>
    <row r="9" spans="1:18" ht="105" customHeight="1">
      <c r="A9" s="17">
        <f>+MRS!A9</f>
        <v>4</v>
      </c>
      <c r="B9" s="159" t="str">
        <f>MRS!B9</f>
        <v>SCAFFOLDING STEEL BOARD</v>
      </c>
      <c r="C9" s="160"/>
      <c r="D9" s="161" t="str">
        <f>MRS!D9</f>
        <v xml:space="preserve"> 225mm X 38mm x  2.0 mtr </v>
      </c>
      <c r="E9" s="162"/>
      <c r="F9" s="163"/>
      <c r="G9" s="89" t="str">
        <f>MRS!G9</f>
        <v>EA</v>
      </c>
      <c r="H9" s="89">
        <f>MRS!H9</f>
        <v>400</v>
      </c>
      <c r="I9" s="90">
        <f>MRS!I9</f>
        <v>60</v>
      </c>
      <c r="J9" s="90">
        <f>MRS!J9</f>
        <v>24000</v>
      </c>
      <c r="K9" s="91"/>
      <c r="O9" s="92"/>
      <c r="P9" s="92"/>
      <c r="R9" s="92"/>
    </row>
    <row r="10" spans="1:18" ht="105" customHeight="1">
      <c r="A10" s="17">
        <f>+MRS!A10</f>
        <v>5</v>
      </c>
      <c r="B10" s="159" t="str">
        <f>MRS!B10</f>
        <v>SCAFFOLDING STEEL BOARD</v>
      </c>
      <c r="C10" s="160"/>
      <c r="D10" s="161" t="str">
        <f>MRS!D10</f>
        <v xml:space="preserve"> 225mm X 38mm x  1.5 mtr</v>
      </c>
      <c r="E10" s="162"/>
      <c r="F10" s="163"/>
      <c r="G10" s="89" t="str">
        <f>MRS!G10</f>
        <v>EA</v>
      </c>
      <c r="H10" s="89">
        <f>MRS!H10</f>
        <v>400</v>
      </c>
      <c r="I10" s="90">
        <f>MRS!I10</f>
        <v>46</v>
      </c>
      <c r="J10" s="90">
        <f>MRS!J10</f>
        <v>18400</v>
      </c>
      <c r="K10" s="91"/>
      <c r="O10" s="92"/>
      <c r="P10" s="92"/>
      <c r="R10" s="92"/>
    </row>
    <row r="11" spans="1:18" ht="105" customHeight="1">
      <c r="A11" s="17">
        <f>+MRS!A11</f>
        <v>6</v>
      </c>
      <c r="B11" s="159" t="str">
        <f>MRS!B11</f>
        <v>SCAFFOLDING STEEL BOARD</v>
      </c>
      <c r="C11" s="160"/>
      <c r="D11" s="161" t="str">
        <f>MRS!D11</f>
        <v xml:space="preserve"> 225mm X 38mm x  1.0 mtr </v>
      </c>
      <c r="E11" s="162"/>
      <c r="F11" s="163"/>
      <c r="G11" s="89" t="str">
        <f>MRS!G11</f>
        <v>EA</v>
      </c>
      <c r="H11" s="89">
        <f>MRS!H11</f>
        <v>500</v>
      </c>
      <c r="I11" s="90">
        <f>MRS!I11</f>
        <v>31</v>
      </c>
      <c r="J11" s="90">
        <f>MRS!J11</f>
        <v>15500</v>
      </c>
      <c r="K11" s="91"/>
      <c r="O11" s="92"/>
      <c r="P11" s="92"/>
      <c r="R11" s="92"/>
    </row>
  </sheetData>
  <mergeCells count="22">
    <mergeCell ref="J1:K1"/>
    <mergeCell ref="J2:K2"/>
    <mergeCell ref="B7:C7"/>
    <mergeCell ref="D7:F7"/>
    <mergeCell ref="B8:C8"/>
    <mergeCell ref="D8:F8"/>
    <mergeCell ref="G4:G5"/>
    <mergeCell ref="H4:H5"/>
    <mergeCell ref="I4:I5"/>
    <mergeCell ref="J4:J5"/>
    <mergeCell ref="K4:K5"/>
    <mergeCell ref="B6:C6"/>
    <mergeCell ref="D6:F6"/>
    <mergeCell ref="A4:A5"/>
    <mergeCell ref="B4:C5"/>
    <mergeCell ref="D4:F5"/>
    <mergeCell ref="B11:C11"/>
    <mergeCell ref="D11:F11"/>
    <mergeCell ref="B9:C9"/>
    <mergeCell ref="D9:F9"/>
    <mergeCell ref="B10:C10"/>
    <mergeCell ref="D10:F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4" zoomScale="130" zoomScaleNormal="100" zoomScaleSheetLayoutView="130" workbookViewId="0">
      <selection activeCell="C27" sqref="C27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5.42578125" style="22" customWidth="1"/>
    <col min="7" max="7" width="6.5703125" style="22" customWidth="1"/>
    <col min="8" max="10" width="9.140625" style="22"/>
    <col min="11" max="11" width="9.7109375" style="22" bestFit="1" customWidth="1"/>
    <col min="12" max="12" width="9.42578125" style="22" bestFit="1" customWidth="1"/>
    <col min="13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91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102</v>
      </c>
      <c r="D9" s="34"/>
      <c r="E9" s="34"/>
    </row>
    <row r="10" spans="2:13" s="34" customFormat="1">
      <c r="B10" s="65"/>
      <c r="C10" s="34" t="s">
        <v>23</v>
      </c>
      <c r="D10" s="69" t="s">
        <v>103</v>
      </c>
      <c r="J10" s="34" t="s">
        <v>24</v>
      </c>
      <c r="K10" s="165">
        <f>MRS!L3</f>
        <v>46319</v>
      </c>
      <c r="L10" s="166"/>
      <c r="M10" s="166"/>
    </row>
    <row r="11" spans="2:13" s="34" customFormat="1">
      <c r="B11" s="65"/>
      <c r="C11" s="68" t="s">
        <v>25</v>
      </c>
      <c r="D11" s="69" t="s">
        <v>104</v>
      </c>
      <c r="J11" s="34" t="s">
        <v>26</v>
      </c>
      <c r="K11" s="167" t="str">
        <f>SUBSTITUTE(SUBSTITUTE(+MRS!A3,"  MRS No : ",""),"-MRS","-PO")</f>
        <v>SAC2-DS-PO-0501</v>
      </c>
      <c r="L11" s="167"/>
      <c r="M11" s="167"/>
    </row>
    <row r="12" spans="2:13" s="34" customFormat="1">
      <c r="B12" s="65"/>
      <c r="C12" s="68" t="s">
        <v>27</v>
      </c>
      <c r="D12" s="34" t="s">
        <v>105</v>
      </c>
      <c r="J12" s="34" t="s">
        <v>28</v>
      </c>
    </row>
    <row r="13" spans="2:13" s="34" customFormat="1">
      <c r="B13" s="65"/>
      <c r="C13" s="70"/>
      <c r="D13" s="69" t="s">
        <v>106</v>
      </c>
      <c r="J13" s="34" t="s">
        <v>29</v>
      </c>
    </row>
    <row r="14" spans="2:13" s="34" customFormat="1">
      <c r="B14" s="65"/>
      <c r="C14" s="96" t="s">
        <v>107</v>
      </c>
      <c r="J14" s="34" t="s">
        <v>30</v>
      </c>
      <c r="K14" s="34" t="s">
        <v>130</v>
      </c>
    </row>
    <row r="15" spans="2:13" s="34" customFormat="1">
      <c r="B15" s="65"/>
      <c r="C15" s="68" t="s">
        <v>108</v>
      </c>
      <c r="J15" s="34" t="s">
        <v>31</v>
      </c>
      <c r="K15" s="71">
        <v>46293</v>
      </c>
      <c r="L15" s="112"/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68" t="s">
        <v>32</v>
      </c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</row>
    <row r="19" spans="2:13" ht="12" customHeight="1"/>
    <row r="20" spans="2:13" s="27" customFormat="1" ht="12" customHeight="1">
      <c r="B20" s="169" t="s">
        <v>33</v>
      </c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</row>
    <row r="21" spans="2:13" s="27" customFormat="1" ht="12" customHeight="1">
      <c r="B21" s="169" t="s">
        <v>34</v>
      </c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</row>
    <row r="22" spans="2:13" s="27" customFormat="1" ht="12" customHeight="1">
      <c r="B22" s="169" t="s">
        <v>35</v>
      </c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</row>
    <row r="23" spans="2:13" ht="3.75" customHeight="1"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2:13" ht="6.95" customHeight="1"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173" t="str">
        <f>MRS!B6 &amp; MRS!D6</f>
        <v xml:space="preserve">SCAFFOLDING STEEL BOARD 225mm X 38mm x  4.0 mtr </v>
      </c>
      <c r="D26" s="173"/>
      <c r="E26" s="173"/>
      <c r="F26" s="173"/>
      <c r="G26" s="173"/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97">
        <f>'PO 2nd page'!G12</f>
        <v>120400</v>
      </c>
      <c r="G29" s="95"/>
      <c r="H29" s="95"/>
      <c r="M29" s="29"/>
    </row>
    <row r="30" spans="2:13" ht="15" customHeight="1">
      <c r="B30" s="28"/>
      <c r="C30" s="22" t="s">
        <v>41</v>
      </c>
      <c r="E30" s="22" t="s">
        <v>40</v>
      </c>
      <c r="F30" s="97">
        <f>'PO 2nd page'!G13</f>
        <v>18060</v>
      </c>
      <c r="G30" s="95"/>
      <c r="H30" s="95"/>
    </row>
    <row r="31" spans="2:13" ht="15" customHeight="1">
      <c r="B31" s="28"/>
      <c r="C31" s="22" t="s">
        <v>42</v>
      </c>
      <c r="D31" s="30"/>
      <c r="E31" s="22" t="s">
        <v>40</v>
      </c>
      <c r="F31" s="97">
        <f>'PO 2nd page'!G14</f>
        <v>138460</v>
      </c>
      <c r="G31" s="95"/>
      <c r="H31" s="95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87</v>
      </c>
      <c r="P49" s="75"/>
    </row>
    <row r="50" spans="2:16" s="76" customFormat="1" ht="12" customHeight="1">
      <c r="B50" s="77" t="s">
        <v>56</v>
      </c>
      <c r="C50" s="74" t="s">
        <v>82</v>
      </c>
    </row>
    <row r="51" spans="2:16" s="76" customFormat="1" ht="12" customHeight="1">
      <c r="B51" s="77" t="s">
        <v>56</v>
      </c>
      <c r="C51" s="74" t="s">
        <v>81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92</v>
      </c>
    </row>
    <row r="54" spans="2:16" ht="12" customHeight="1">
      <c r="B54" s="77" t="s">
        <v>56</v>
      </c>
      <c r="C54" s="98" t="s">
        <v>94</v>
      </c>
      <c r="F54" s="22" t="s">
        <v>127</v>
      </c>
      <c r="P54" s="22" t="str">
        <f>UPPER(F54)</f>
        <v>YAQOT ALARBYH COMPANY</v>
      </c>
    </row>
    <row r="55" spans="2:16" ht="12" customHeight="1">
      <c r="B55" s="77" t="s">
        <v>56</v>
      </c>
      <c r="C55" s="98" t="s">
        <v>95</v>
      </c>
      <c r="F55" s="99" t="s">
        <v>109</v>
      </c>
    </row>
    <row r="56" spans="2:16" ht="12" customHeight="1">
      <c r="B56" s="77" t="s">
        <v>56</v>
      </c>
      <c r="C56" s="98" t="s">
        <v>96</v>
      </c>
      <c r="F56" s="22" t="s">
        <v>110</v>
      </c>
    </row>
    <row r="57" spans="2:16" ht="12" customHeight="1">
      <c r="B57" s="77" t="s">
        <v>56</v>
      </c>
      <c r="C57" s="98" t="s">
        <v>97</v>
      </c>
      <c r="F57" s="22" t="s">
        <v>111</v>
      </c>
    </row>
    <row r="58" spans="2:16" ht="12" customHeight="1">
      <c r="B58" s="77" t="s">
        <v>56</v>
      </c>
      <c r="C58" s="98" t="s">
        <v>98</v>
      </c>
      <c r="F58" s="22" t="s">
        <v>112</v>
      </c>
    </row>
    <row r="59" spans="2:16" ht="12" customHeight="1">
      <c r="B59" s="77" t="s">
        <v>56</v>
      </c>
      <c r="C59" s="98" t="s">
        <v>99</v>
      </c>
      <c r="F59" s="22" t="s">
        <v>93</v>
      </c>
    </row>
    <row r="60" spans="2:16" ht="12" customHeight="1">
      <c r="B60" s="77"/>
      <c r="C60" s="98" t="s">
        <v>100</v>
      </c>
    </row>
    <row r="61" spans="2:16" ht="6.75" customHeight="1">
      <c r="B61" s="77"/>
      <c r="C61" s="98"/>
    </row>
    <row r="62" spans="2:16" ht="6" customHeight="1">
      <c r="B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Haris</v>
      </c>
    </row>
    <row r="68" spans="1:13" ht="13.5" customHeight="1">
      <c r="B68" s="22" t="s">
        <v>62</v>
      </c>
      <c r="J68" s="22" t="s">
        <v>63</v>
      </c>
      <c r="K68" s="18" t="s">
        <v>88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90</v>
      </c>
      <c r="J70" s="172" t="str">
        <f>C9</f>
        <v>YATCO(Yaqoot Arabia Trading Company)</v>
      </c>
      <c r="K70" s="172"/>
      <c r="L70" s="172"/>
      <c r="M70" s="172"/>
    </row>
    <row r="71" spans="1:13" ht="27.95" customHeight="1">
      <c r="A71" s="164" t="s">
        <v>66</v>
      </c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1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  <mergeCell ref="C26:G26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2"/>
  <sheetViews>
    <sheetView showGridLines="0" tabSelected="1" view="pageBreakPreview" zoomScaleSheetLayoutView="100" zoomScalePageLayoutView="55" workbookViewId="0">
      <selection activeCell="D6" sqref="D6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7" width="19.85546875" style="38" customWidth="1"/>
    <col min="8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SAC2-DS-PO-0501</v>
      </c>
      <c r="C2" s="180" t="s">
        <v>68</v>
      </c>
      <c r="D2" s="180"/>
      <c r="E2" s="180"/>
      <c r="F2" s="180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46319</v>
      </c>
      <c r="C3" s="44"/>
      <c r="D3" s="45"/>
      <c r="E3" s="181" t="s">
        <v>70</v>
      </c>
      <c r="F3" s="181"/>
      <c r="G3" s="181"/>
      <c r="H3" s="181"/>
      <c r="I3" s="46"/>
    </row>
    <row r="4" spans="1:13" s="48" customFormat="1" ht="28.5" customHeight="1" thickTop="1">
      <c r="A4" s="182" t="s">
        <v>71</v>
      </c>
      <c r="B4" s="184" t="s">
        <v>72</v>
      </c>
      <c r="C4" s="185"/>
      <c r="D4" s="188" t="s">
        <v>138</v>
      </c>
      <c r="E4" s="188" t="s">
        <v>139</v>
      </c>
      <c r="F4" s="190" t="str">
        <f>'PO 1st page'!C9</f>
        <v>YATCO(Yaqoot Arabia Trading Company)</v>
      </c>
      <c r="G4" s="191"/>
      <c r="H4" s="192" t="s">
        <v>73</v>
      </c>
      <c r="K4" s="49"/>
      <c r="L4" s="49"/>
      <c r="M4" s="49"/>
    </row>
    <row r="5" spans="1:13" s="48" customFormat="1" ht="21.95" customHeight="1">
      <c r="A5" s="183"/>
      <c r="B5" s="186"/>
      <c r="C5" s="187"/>
      <c r="D5" s="189"/>
      <c r="E5" s="189"/>
      <c r="F5" s="50" t="s">
        <v>74</v>
      </c>
      <c r="G5" s="50" t="s">
        <v>42</v>
      </c>
      <c r="H5" s="193"/>
      <c r="K5" s="49"/>
      <c r="L5" s="49"/>
      <c r="M5" s="49"/>
    </row>
    <row r="6" spans="1:13" s="48" customFormat="1" ht="32.1" customHeight="1">
      <c r="A6" s="78">
        <f t="shared" ref="A6:A11" si="0">ROW(A1)</f>
        <v>1</v>
      </c>
      <c r="B6" s="178" t="str">
        <f>MRS!B6&amp;" "&amp;MRS!D6</f>
        <v xml:space="preserve">SCAFFOLDING STEEL BOARD  225mm X 38mm x  4.0 mtr </v>
      </c>
      <c r="C6" s="179"/>
      <c r="D6" s="79" t="str">
        <f>MRS!G6</f>
        <v>EA</v>
      </c>
      <c r="E6" s="80">
        <f>MRS!H6</f>
        <v>200</v>
      </c>
      <c r="F6" s="81">
        <f>MRS!I6</f>
        <v>112</v>
      </c>
      <c r="G6" s="81">
        <f>MRS!J6</f>
        <v>22400</v>
      </c>
      <c r="H6" s="82" t="s">
        <v>89</v>
      </c>
      <c r="K6" s="83"/>
      <c r="L6" s="84"/>
      <c r="M6" s="49"/>
    </row>
    <row r="7" spans="1:13" s="48" customFormat="1" ht="32.1" customHeight="1">
      <c r="A7" s="78">
        <f t="shared" si="0"/>
        <v>2</v>
      </c>
      <c r="B7" s="178" t="str">
        <f>MRS!B7&amp;" "&amp;MRS!D7</f>
        <v xml:space="preserve">SCAFFOLDING STEEL BOARD  225mm X 38mm x  3.0 mtr </v>
      </c>
      <c r="C7" s="179"/>
      <c r="D7" s="79" t="str">
        <f>MRS!G7</f>
        <v>EA</v>
      </c>
      <c r="E7" s="80">
        <f>MRS!H7</f>
        <v>300</v>
      </c>
      <c r="F7" s="81">
        <f>MRS!I7</f>
        <v>85</v>
      </c>
      <c r="G7" s="81">
        <f>MRS!J7</f>
        <v>25500</v>
      </c>
      <c r="H7" s="82"/>
      <c r="K7" s="83"/>
      <c r="L7" s="84"/>
      <c r="M7" s="49"/>
    </row>
    <row r="8" spans="1:13" s="48" customFormat="1" ht="32.1" customHeight="1">
      <c r="A8" s="78">
        <f t="shared" si="0"/>
        <v>3</v>
      </c>
      <c r="B8" s="178" t="str">
        <f>MRS!B8&amp;" "&amp;MRS!D8</f>
        <v xml:space="preserve">SCAFFOLDING STEEL BOARD  225mm X 38mm x  2.5 mtr </v>
      </c>
      <c r="C8" s="179"/>
      <c r="D8" s="79" t="str">
        <f>MRS!G8</f>
        <v>EA</v>
      </c>
      <c r="E8" s="80">
        <f>MRS!H8</f>
        <v>200</v>
      </c>
      <c r="F8" s="81">
        <f>MRS!I8</f>
        <v>73</v>
      </c>
      <c r="G8" s="81">
        <f>MRS!J8</f>
        <v>14600</v>
      </c>
      <c r="H8" s="82"/>
      <c r="K8" s="49"/>
      <c r="L8" s="49"/>
      <c r="M8" s="49"/>
    </row>
    <row r="9" spans="1:13" s="48" customFormat="1" ht="32.1" customHeight="1">
      <c r="A9" s="78">
        <f t="shared" si="0"/>
        <v>4</v>
      </c>
      <c r="B9" s="178" t="str">
        <f>MRS!B9&amp;" "&amp;MRS!D9</f>
        <v xml:space="preserve">SCAFFOLDING STEEL BOARD  225mm X 38mm x  2.0 mtr </v>
      </c>
      <c r="C9" s="179"/>
      <c r="D9" s="79" t="str">
        <f>MRS!G9</f>
        <v>EA</v>
      </c>
      <c r="E9" s="80">
        <f>MRS!H9</f>
        <v>400</v>
      </c>
      <c r="F9" s="81">
        <f>MRS!I9</f>
        <v>60</v>
      </c>
      <c r="G9" s="81">
        <f>MRS!J9</f>
        <v>24000</v>
      </c>
      <c r="H9" s="85"/>
    </row>
    <row r="10" spans="1:13" s="48" customFormat="1" ht="32.1" customHeight="1">
      <c r="A10" s="78">
        <f t="shared" si="0"/>
        <v>5</v>
      </c>
      <c r="B10" s="178" t="str">
        <f>MRS!B10&amp;" "&amp;MRS!D10</f>
        <v>SCAFFOLDING STEEL BOARD  225mm X 38mm x  1.5 mtr</v>
      </c>
      <c r="C10" s="179"/>
      <c r="D10" s="79" t="str">
        <f>MRS!G10</f>
        <v>EA</v>
      </c>
      <c r="E10" s="80">
        <f>MRS!H10</f>
        <v>400</v>
      </c>
      <c r="F10" s="81">
        <f>MRS!I10</f>
        <v>46</v>
      </c>
      <c r="G10" s="81">
        <f>MRS!J10</f>
        <v>18400</v>
      </c>
      <c r="H10" s="85"/>
    </row>
    <row r="11" spans="1:13" s="48" customFormat="1" ht="32.1" customHeight="1">
      <c r="A11" s="78">
        <f t="shared" si="0"/>
        <v>6</v>
      </c>
      <c r="B11" s="178" t="str">
        <f>MRS!B11&amp;" "&amp;MRS!D11</f>
        <v xml:space="preserve">SCAFFOLDING STEEL BOARD  225mm X 38mm x  1.0 mtr </v>
      </c>
      <c r="C11" s="179"/>
      <c r="D11" s="79" t="str">
        <f>MRS!G11</f>
        <v>EA</v>
      </c>
      <c r="E11" s="80">
        <f>MRS!H11</f>
        <v>500</v>
      </c>
      <c r="F11" s="81">
        <f>MRS!I11</f>
        <v>31</v>
      </c>
      <c r="G11" s="81">
        <f>MRS!J11</f>
        <v>15500</v>
      </c>
      <c r="H11" s="85"/>
    </row>
    <row r="12" spans="1:13" s="48" customFormat="1" ht="23.1" customHeight="1">
      <c r="A12" s="174" t="s">
        <v>75</v>
      </c>
      <c r="B12" s="175"/>
      <c r="C12" s="175"/>
      <c r="D12" s="175"/>
      <c r="E12" s="175"/>
      <c r="F12" s="175"/>
      <c r="G12" s="51">
        <f>SUM(G6:G11)</f>
        <v>120400</v>
      </c>
      <c r="H12" s="52"/>
    </row>
    <row r="13" spans="1:13" s="48" customFormat="1" ht="23.1" customHeight="1">
      <c r="A13" s="174" t="s">
        <v>41</v>
      </c>
      <c r="B13" s="175"/>
      <c r="C13" s="175"/>
      <c r="D13" s="175"/>
      <c r="E13" s="175"/>
      <c r="F13" s="175"/>
      <c r="G13" s="51">
        <f>+G12*0.15</f>
        <v>18060</v>
      </c>
      <c r="H13" s="52"/>
    </row>
    <row r="14" spans="1:13" s="48" customFormat="1" ht="24.95" customHeight="1" thickBot="1">
      <c r="A14" s="176" t="s">
        <v>76</v>
      </c>
      <c r="B14" s="177"/>
      <c r="C14" s="177"/>
      <c r="D14" s="177"/>
      <c r="E14" s="177"/>
      <c r="F14" s="177"/>
      <c r="G14" s="53">
        <f>G13+G12</f>
        <v>138460</v>
      </c>
      <c r="H14" s="54"/>
    </row>
    <row r="15" spans="1:13" ht="15.75" thickTop="1">
      <c r="A15" s="55" t="str">
        <f>" 1) Above Price are as per your quotation with ref "&amp;'PO 1st page'!K14</f>
        <v xml:space="preserve"> 1) Above Price are as per your quotation with ref QTN-YATCO-SCAF-000233</v>
      </c>
      <c r="B15" s="56"/>
      <c r="C15" s="56"/>
      <c r="D15" s="57"/>
      <c r="E15" s="57"/>
      <c r="F15" s="57"/>
      <c r="G15" s="57"/>
      <c r="H15" s="57"/>
    </row>
    <row r="16" spans="1:13" ht="15">
      <c r="A16" s="58" t="s">
        <v>77</v>
      </c>
      <c r="B16" s="59"/>
      <c r="C16" s="59"/>
      <c r="D16" s="60"/>
      <c r="E16" s="60"/>
      <c r="F16" s="60"/>
      <c r="G16" s="60"/>
      <c r="H16" s="60"/>
      <c r="I16" s="61"/>
    </row>
    <row r="17" spans="1:13" ht="15.75">
      <c r="A17" s="62"/>
    </row>
    <row r="18" spans="1:13">
      <c r="A18" s="164" t="s">
        <v>78</v>
      </c>
      <c r="B18" s="164"/>
      <c r="C18" s="164"/>
      <c r="D18" s="164"/>
      <c r="E18" s="164"/>
      <c r="F18" s="164"/>
      <c r="G18" s="164"/>
      <c r="H18" s="164"/>
      <c r="I18" s="63"/>
      <c r="J18" s="63"/>
      <c r="K18" s="63"/>
      <c r="L18" s="63"/>
      <c r="M18" s="63"/>
    </row>
    <row r="19" spans="1:13" ht="15.75">
      <c r="A19" s="62"/>
      <c r="C19" s="64"/>
    </row>
    <row r="20" spans="1:13" ht="15.75">
      <c r="A20" s="62"/>
      <c r="C20" s="64"/>
    </row>
    <row r="22" spans="1:13" ht="12" customHeight="1"/>
  </sheetData>
  <mergeCells count="18">
    <mergeCell ref="B6:C6"/>
    <mergeCell ref="B7:C7"/>
    <mergeCell ref="B8:C8"/>
    <mergeCell ref="B9:C9"/>
    <mergeCell ref="B10:C10"/>
    <mergeCell ref="C2:F2"/>
    <mergeCell ref="E3:H3"/>
    <mergeCell ref="A4:A5"/>
    <mergeCell ref="B4:C5"/>
    <mergeCell ref="D4:D5"/>
    <mergeCell ref="E4:E5"/>
    <mergeCell ref="F4:G4"/>
    <mergeCell ref="H4:H5"/>
    <mergeCell ref="A12:F12"/>
    <mergeCell ref="A13:F13"/>
    <mergeCell ref="A14:F14"/>
    <mergeCell ref="A18:H18"/>
    <mergeCell ref="B11:C11"/>
  </mergeCells>
  <phoneticPr fontId="7" type="noConversion"/>
  <printOptions horizontalCentered="1"/>
  <pageMargins left="0.39370078740157499" right="0.39370078740157499" top="0.39370078740157499" bottom="0.39370078740157499" header="0" footer="0"/>
  <pageSetup paperSize="9" scale="71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2026-10-24T06:00:47Z</cp:lastPrinted>
  <dcterms:created xsi:type="dcterms:W3CDTF">2024-10-20T11:50:19Z</dcterms:created>
  <dcterms:modified xsi:type="dcterms:W3CDTF">2026-10-25T04:58:00Z</dcterms:modified>
</cp:coreProperties>
</file>