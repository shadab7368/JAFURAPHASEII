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Z:\Boss\PO\ZAITHOON\ZTSC-Qtn-10438\"/>
    </mc:Choice>
  </mc:AlternateContent>
  <xr:revisionPtr revIDLastSave="0" documentId="13_ncr:1_{847BF8FB-BF3E-4C45-AA7B-C77EA2C4B987}" xr6:coauthVersionLast="47" xr6:coauthVersionMax="47" xr10:uidLastSave="{00000000-0000-0000-0000-000000000000}"/>
  <bookViews>
    <workbookView xWindow="-120" yWindow="-120" windowWidth="29040" windowHeight="15720" activeTab="2" xr2:uid="{5E6C3181-9D84-4EB9-8EAE-484E6630853D}"/>
  </bookViews>
  <sheets>
    <sheet name="Sep" sheetId="1" r:id="rId1"/>
    <sheet name="J1" sheetId="2" r:id="rId2"/>
    <sheet name="J2" sheetId="3" r:id="rId3"/>
  </sheets>
  <definedNames>
    <definedName name="_xlnm._FilterDatabase" localSheetId="1" hidden="1">'J1'!$A$3:$F$6</definedName>
    <definedName name="_xlnm._FilterDatabase" localSheetId="2" hidden="1">'J2'!$A$3:$F$24</definedName>
    <definedName name="_xlnm._FilterDatabase" localSheetId="0" hidden="1">Sep!$A$3:$F$27</definedName>
    <definedName name="_xlnm.Print_Area" localSheetId="1">'J1'!$A$3:$F$6</definedName>
    <definedName name="_xlnm.Print_Area" localSheetId="0">Sep!$A$3:$F$27</definedName>
    <definedName name="_xlnm.Print_Titles" localSheetId="1">'J1'!$3:$3</definedName>
    <definedName name="_xlnm.Print_Titles" localSheetId="0">Sep!$3:$3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4" i="3" l="1"/>
  <c r="H24" i="3"/>
  <c r="F24" i="3"/>
  <c r="J23" i="3"/>
  <c r="H23" i="3"/>
  <c r="F23" i="3"/>
  <c r="J22" i="3"/>
  <c r="H22" i="3"/>
  <c r="F22" i="3"/>
  <c r="J21" i="3"/>
  <c r="H21" i="3"/>
  <c r="F21" i="3"/>
  <c r="J20" i="3"/>
  <c r="H20" i="3"/>
  <c r="F20" i="3"/>
  <c r="J19" i="3"/>
  <c r="H19" i="3"/>
  <c r="F19" i="3"/>
  <c r="J18" i="3"/>
  <c r="H18" i="3"/>
  <c r="F18" i="3"/>
  <c r="J17" i="3"/>
  <c r="H17" i="3"/>
  <c r="F17" i="3"/>
  <c r="J16" i="3"/>
  <c r="H16" i="3"/>
  <c r="F16" i="3"/>
  <c r="J15" i="3"/>
  <c r="H15" i="3"/>
  <c r="F15" i="3"/>
  <c r="J14" i="3"/>
  <c r="H14" i="3"/>
  <c r="F14" i="3"/>
  <c r="J13" i="3"/>
  <c r="H13" i="3"/>
  <c r="F13" i="3"/>
  <c r="J12" i="3"/>
  <c r="H12" i="3"/>
  <c r="F12" i="3"/>
  <c r="J11" i="3"/>
  <c r="H11" i="3"/>
  <c r="F11" i="3"/>
  <c r="J10" i="3"/>
  <c r="H10" i="3"/>
  <c r="F10" i="3"/>
  <c r="J9" i="3"/>
  <c r="H9" i="3"/>
  <c r="F9" i="3"/>
  <c r="J8" i="3"/>
  <c r="H8" i="3"/>
  <c r="F8" i="3"/>
  <c r="J7" i="3"/>
  <c r="H7" i="3"/>
  <c r="F7" i="3"/>
  <c r="J6" i="3"/>
  <c r="H6" i="3"/>
  <c r="F6" i="3"/>
  <c r="J5" i="3"/>
  <c r="H5" i="3"/>
  <c r="F5" i="3"/>
  <c r="J4" i="3"/>
  <c r="H4" i="3"/>
  <c r="F4" i="3"/>
  <c r="F9" i="1"/>
  <c r="H9" i="1"/>
  <c r="J9" i="1"/>
  <c r="F10" i="1"/>
  <c r="H10" i="1"/>
  <c r="J10" i="1"/>
  <c r="F4" i="1"/>
  <c r="H4" i="1"/>
  <c r="J4" i="1"/>
  <c r="J6" i="2"/>
  <c r="H6" i="2"/>
  <c r="F6" i="2"/>
  <c r="J5" i="2"/>
  <c r="H5" i="2"/>
  <c r="F5" i="2"/>
  <c r="J4" i="2"/>
  <c r="J7" i="2" s="1"/>
  <c r="H4" i="2"/>
  <c r="H7" i="2" s="1"/>
  <c r="F4" i="2"/>
  <c r="F7" i="2" s="1"/>
  <c r="J5" i="1"/>
  <c r="J6" i="1"/>
  <c r="J7" i="1"/>
  <c r="J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H5" i="1"/>
  <c r="H6" i="1"/>
  <c r="H7" i="1"/>
  <c r="H8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F5" i="1"/>
  <c r="F6" i="1"/>
  <c r="F7" i="1"/>
  <c r="F8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5" i="3" l="1"/>
  <c r="H25" i="3"/>
  <c r="J25" i="3"/>
  <c r="J28" i="1"/>
  <c r="H28" i="1"/>
  <c r="F28" i="1"/>
</calcChain>
</file>

<file path=xl/sharedStrings.xml><?xml version="1.0" encoding="utf-8"?>
<sst xmlns="http://schemas.openxmlformats.org/spreadsheetml/2006/main" count="142" uniqueCount="47">
  <si>
    <t>Item &amp; Description</t>
  </si>
  <si>
    <t>Unit</t>
  </si>
  <si>
    <t>Qty</t>
  </si>
  <si>
    <t>Rate</t>
  </si>
  <si>
    <t>Amount</t>
  </si>
  <si>
    <t>PCS</t>
  </si>
  <si>
    <t>HEX WASHER SELF DRILLING SCREW M10X1" ( 1000PCS/BOX )</t>
  </si>
  <si>
    <t>BOX</t>
  </si>
  <si>
    <t>SCAFFOLDING HOLDER RED WITH ARAMCO STICKERS</t>
  </si>
  <si>
    <t xml:space="preserve">SCAFFOLDING TAG GREEN </t>
  </si>
  <si>
    <t xml:space="preserve">SCAFFOLDING TAG YELLOW </t>
  </si>
  <si>
    <t xml:space="preserve">BOTTLE </t>
  </si>
  <si>
    <t>SNOOP GUN</t>
  </si>
  <si>
    <t>WD 40 - 330ML</t>
    <phoneticPr fontId="6" type="noConversion"/>
  </si>
  <si>
    <t>EA</t>
  </si>
  <si>
    <t>TEFLON TAPE - 19MM X 40YRD</t>
  </si>
  <si>
    <t>RESPIRATOR MASK 6200 (ONLY MASK )</t>
  </si>
  <si>
    <t>PACK</t>
  </si>
  <si>
    <t>HEAVY DUTY PLASTIC SAND BAG - 50KG</t>
  </si>
  <si>
    <t>SCAFFOLDING HAND GLOVES RED</t>
  </si>
  <si>
    <t>PAIR</t>
  </si>
  <si>
    <t>PKT</t>
  </si>
  <si>
    <t>ROLL</t>
  </si>
  <si>
    <t>No</t>
    <phoneticPr fontId="2" type="noConversion"/>
  </si>
  <si>
    <t>ZTSC</t>
    <phoneticPr fontId="2" type="noConversion"/>
  </si>
  <si>
    <t>ASAS</t>
    <phoneticPr fontId="2" type="noConversion"/>
  </si>
  <si>
    <t>ASTA</t>
    <phoneticPr fontId="2" type="noConversion"/>
  </si>
  <si>
    <t>TUBE CUTTER BLADE 735000500</t>
    <phoneticPr fontId="2" type="noConversion"/>
  </si>
  <si>
    <t xml:space="preserve">HSS HACKSAW BLADE </t>
    <phoneticPr fontId="2" type="noConversion"/>
  </si>
  <si>
    <t xml:space="preserve">MEASURMENT TAPE - 5MTR </t>
    <phoneticPr fontId="2" type="noConversion"/>
  </si>
  <si>
    <t xml:space="preserve">SPANNER COMBINATION - 10MM </t>
    <phoneticPr fontId="2" type="noConversion"/>
  </si>
  <si>
    <t xml:space="preserve">STAR SCREW DRIVER - 12" </t>
    <phoneticPr fontId="2" type="noConversion"/>
  </si>
  <si>
    <t xml:space="preserve">COMBINATION ELECTRIC FLIER - 8" </t>
    <phoneticPr fontId="2" type="noConversion"/>
  </si>
  <si>
    <t xml:space="preserve">CABLE TIE - 3.0 × 480mm (100EA/PKT ) </t>
    <phoneticPr fontId="6" type="noConversion"/>
  </si>
  <si>
    <t xml:space="preserve">CS HAND WIRE BRUSHS 12PCS/BOX </t>
    <phoneticPr fontId="2" type="noConversion"/>
  </si>
  <si>
    <t xml:space="preserve">SS HAND WIRE BRUSHS 12PCS/BOX </t>
    <phoneticPr fontId="2" type="noConversion"/>
  </si>
  <si>
    <t xml:space="preserve">MEASURMENT TAPE - 7.5MTR </t>
    <phoneticPr fontId="2" type="noConversion"/>
  </si>
  <si>
    <t xml:space="preserve">CABLE TIE - 3.5 x 150mm (100EA/PKT) </t>
    <phoneticPr fontId="6" type="noConversion"/>
  </si>
  <si>
    <t xml:space="preserve">CABLE TIE - 4.8 x 300mm (100EA/PKT) </t>
    <phoneticPr fontId="6" type="noConversion"/>
  </si>
  <si>
    <t xml:space="preserve">FIRE BLANKET  ORANGE - 1 X 50M X 0.45T </t>
    <phoneticPr fontId="2" type="noConversion"/>
  </si>
  <si>
    <t xml:space="preserve">Swagelok MS-SNOOP-GAL Snoop Liquid Leak Detector (3.8LTR/BOTTLE ) - </t>
    <phoneticPr fontId="2" type="noConversion"/>
  </si>
  <si>
    <t>Delet</t>
    <phoneticPr fontId="2" type="noConversion"/>
  </si>
  <si>
    <t>Price change</t>
    <phoneticPr fontId="2" type="noConversion"/>
  </si>
  <si>
    <t>Phase-1</t>
    <phoneticPr fontId="2" type="noConversion"/>
  </si>
  <si>
    <t>Phase-2</t>
    <phoneticPr fontId="2" type="noConversion"/>
  </si>
  <si>
    <t xml:space="preserve">Compression Sheet </t>
  </si>
  <si>
    <t>ZAITHOON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</si>
</sst>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#,##0_ "/>
  </numFmts>
  <fonts count="1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바탕"/>
      <family val="1"/>
      <charset val="129"/>
    </font>
    <font>
      <sz val="11"/>
      <color rgb="FF000000"/>
      <name val="Cambria"/>
      <family val="3"/>
      <charset val="129"/>
      <scheme val="major"/>
    </font>
    <font>
      <sz val="10"/>
      <color rgb="FF000000"/>
      <name val="Cambria"/>
      <family val="3"/>
      <charset val="129"/>
      <scheme val="major"/>
    </font>
    <font>
      <sz val="10"/>
      <color theme="1"/>
      <name val="Cambria"/>
      <family val="3"/>
      <charset val="129"/>
      <scheme val="major"/>
    </font>
    <font>
      <sz val="8"/>
      <name val="돋움"/>
      <family val="3"/>
      <charset val="129"/>
    </font>
    <font>
      <sz val="12"/>
      <name val="Cambria"/>
      <family val="3"/>
      <charset val="129"/>
      <scheme val="major"/>
    </font>
    <font>
      <b/>
      <sz val="10"/>
      <color rgb="FF000000"/>
      <name val="Cambria"/>
      <family val="3"/>
      <charset val="129"/>
      <scheme val="major"/>
    </font>
    <font>
      <b/>
      <sz val="10"/>
      <color theme="1"/>
      <name val="Cambria"/>
      <family val="3"/>
      <charset val="129"/>
      <scheme val="major"/>
    </font>
    <font>
      <sz val="16"/>
      <color rgb="FF000000"/>
      <name val="Cambria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164" fontId="5" fillId="0" borderId="1" xfId="1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164" fontId="9" fillId="0" borderId="1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4" fontId="5" fillId="0" borderId="1" xfId="1" applyFont="1" applyFill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43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right" vertical="center"/>
    </xf>
    <xf numFmtId="164" fontId="5" fillId="2" borderId="1" xfId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3" fontId="9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right" vertical="center"/>
    </xf>
    <xf numFmtId="164" fontId="9" fillId="2" borderId="1" xfId="1" applyFont="1" applyFill="1" applyBorder="1" applyAlignment="1">
      <alignment horizontal="center" vertical="center"/>
    </xf>
    <xf numFmtId="164" fontId="8" fillId="2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3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3" borderId="1" xfId="1" applyFont="1" applyFill="1" applyBorder="1" applyAlignment="1">
      <alignment horizontal="center" vertical="center"/>
    </xf>
    <xf numFmtId="164" fontId="4" fillId="3" borderId="1" xfId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263156-C88E-41D6-92AB-7620CACF1C2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WRtvSJEIYMbGmTV-_4Yz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5AC8-09B0-4833-BB6F-26E840731856}">
  <dimension ref="A1:K29"/>
  <sheetViews>
    <sheetView zoomScaleNormal="100" zoomScaleSheetLayoutView="100" workbookViewId="0">
      <selection activeCell="B16" sqref="B16"/>
    </sheetView>
  </sheetViews>
  <sheetFormatPr defaultColWidth="9" defaultRowHeight="12.75"/>
  <cols>
    <col min="1" max="1" width="7.6640625" style="2" customWidth="1"/>
    <col min="2" max="2" width="57" style="2" customWidth="1"/>
    <col min="3" max="3" width="10.6640625" style="2" customWidth="1"/>
    <col min="4" max="4" width="8.83203125" style="2" customWidth="1"/>
    <col min="5" max="5" width="10.1640625" style="2" customWidth="1"/>
    <col min="6" max="6" width="14.1640625" style="2" customWidth="1"/>
    <col min="7" max="7" width="10.1640625" style="2" customWidth="1"/>
    <col min="8" max="8" width="14.1640625" style="2" customWidth="1"/>
    <col min="9" max="9" width="10.1640625" style="2" customWidth="1"/>
    <col min="10" max="10" width="14.1640625" style="2" customWidth="1"/>
    <col min="11" max="16384" width="9" style="2"/>
  </cols>
  <sheetData>
    <row r="1" spans="1:11" ht="33" customHeight="1"/>
    <row r="2" spans="1:11" ht="23.45" customHeight="1">
      <c r="E2" s="3" t="s">
        <v>24</v>
      </c>
      <c r="F2" s="3"/>
      <c r="G2" s="3" t="s">
        <v>25</v>
      </c>
      <c r="H2" s="3"/>
      <c r="I2" s="3" t="s">
        <v>26</v>
      </c>
    </row>
    <row r="3" spans="1:11" s="1" customFormat="1" ht="24.95" customHeight="1">
      <c r="A3" s="4" t="s">
        <v>23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3</v>
      </c>
      <c r="H3" s="4" t="s">
        <v>4</v>
      </c>
      <c r="I3" s="4" t="s">
        <v>3</v>
      </c>
      <c r="J3" s="4" t="s">
        <v>4</v>
      </c>
    </row>
    <row r="4" spans="1:11" ht="23.45" customHeight="1">
      <c r="A4" s="21">
        <v>1</v>
      </c>
      <c r="B4" s="22" t="s">
        <v>27</v>
      </c>
      <c r="C4" s="23" t="s">
        <v>5</v>
      </c>
      <c r="D4" s="24">
        <v>119</v>
      </c>
      <c r="E4" s="25">
        <v>20</v>
      </c>
      <c r="F4" s="26">
        <f t="shared" ref="F4:F27" si="0">E4*D4</f>
        <v>2380</v>
      </c>
      <c r="G4" s="25">
        <v>22.5</v>
      </c>
      <c r="H4" s="26">
        <f>G4*D4</f>
        <v>2677.5</v>
      </c>
      <c r="I4" s="25">
        <v>30</v>
      </c>
      <c r="J4" s="26">
        <f>I4*D4</f>
        <v>3570</v>
      </c>
      <c r="K4" s="2" t="s">
        <v>41</v>
      </c>
    </row>
    <row r="5" spans="1:11" ht="23.45" customHeight="1">
      <c r="A5" s="5">
        <v>2</v>
      </c>
      <c r="B5" s="6" t="s">
        <v>6</v>
      </c>
      <c r="C5" s="7" t="s">
        <v>7</v>
      </c>
      <c r="D5" s="8">
        <v>2</v>
      </c>
      <c r="E5" s="9">
        <v>150</v>
      </c>
      <c r="F5" s="10">
        <f t="shared" si="0"/>
        <v>300</v>
      </c>
      <c r="G5" s="9">
        <v>182</v>
      </c>
      <c r="H5" s="10">
        <f t="shared" ref="H5:H27" si="1">G5*D5</f>
        <v>364</v>
      </c>
      <c r="I5" s="9">
        <v>170</v>
      </c>
      <c r="J5" s="10">
        <f t="shared" ref="J5:J27" si="2">I5*D5</f>
        <v>340</v>
      </c>
    </row>
    <row r="6" spans="1:11" ht="23.45" customHeight="1">
      <c r="A6" s="5">
        <v>3</v>
      </c>
      <c r="B6" s="6" t="s">
        <v>8</v>
      </c>
      <c r="C6" s="7" t="s">
        <v>5</v>
      </c>
      <c r="D6" s="8">
        <v>200</v>
      </c>
      <c r="E6" s="9">
        <v>9</v>
      </c>
      <c r="F6" s="10">
        <f t="shared" si="0"/>
        <v>1800</v>
      </c>
      <c r="G6" s="9">
        <v>12</v>
      </c>
      <c r="H6" s="10">
        <f t="shared" si="1"/>
        <v>2400</v>
      </c>
      <c r="I6" s="9">
        <v>16</v>
      </c>
      <c r="J6" s="10">
        <f t="shared" si="2"/>
        <v>3200</v>
      </c>
    </row>
    <row r="7" spans="1:11" ht="23.45" customHeight="1">
      <c r="A7" s="5">
        <v>4</v>
      </c>
      <c r="B7" s="6" t="s">
        <v>9</v>
      </c>
      <c r="C7" s="7" t="s">
        <v>5</v>
      </c>
      <c r="D7" s="8">
        <v>400</v>
      </c>
      <c r="E7" s="9">
        <v>3</v>
      </c>
      <c r="F7" s="10">
        <f t="shared" si="0"/>
        <v>1200</v>
      </c>
      <c r="G7" s="9">
        <v>4</v>
      </c>
      <c r="H7" s="10">
        <f t="shared" si="1"/>
        <v>1600</v>
      </c>
      <c r="I7" s="9">
        <v>3.5</v>
      </c>
      <c r="J7" s="10">
        <f t="shared" si="2"/>
        <v>1400</v>
      </c>
    </row>
    <row r="8" spans="1:11" ht="23.45" customHeight="1">
      <c r="A8" s="5">
        <v>5</v>
      </c>
      <c r="B8" s="6" t="s">
        <v>10</v>
      </c>
      <c r="C8" s="7" t="s">
        <v>5</v>
      </c>
      <c r="D8" s="8">
        <v>400</v>
      </c>
      <c r="E8" s="9">
        <v>3</v>
      </c>
      <c r="F8" s="10">
        <f t="shared" si="0"/>
        <v>1200</v>
      </c>
      <c r="G8" s="9">
        <v>4</v>
      </c>
      <c r="H8" s="10">
        <f t="shared" si="1"/>
        <v>1600</v>
      </c>
      <c r="I8" s="9">
        <v>3.5</v>
      </c>
      <c r="J8" s="10">
        <f t="shared" si="2"/>
        <v>1400</v>
      </c>
    </row>
    <row r="9" spans="1:11" ht="32.450000000000003" customHeight="1">
      <c r="A9" s="27">
        <v>6</v>
      </c>
      <c r="B9" s="28" t="s">
        <v>40</v>
      </c>
      <c r="C9" s="29" t="s">
        <v>11</v>
      </c>
      <c r="D9" s="30">
        <v>100</v>
      </c>
      <c r="E9" s="31">
        <v>750</v>
      </c>
      <c r="F9" s="32">
        <f t="shared" si="0"/>
        <v>75000</v>
      </c>
      <c r="G9" s="31">
        <v>840</v>
      </c>
      <c r="H9" s="32">
        <f t="shared" si="1"/>
        <v>84000</v>
      </c>
      <c r="I9" s="31">
        <v>810</v>
      </c>
      <c r="J9" s="32">
        <f t="shared" si="2"/>
        <v>81000</v>
      </c>
      <c r="K9" s="2" t="s">
        <v>41</v>
      </c>
    </row>
    <row r="10" spans="1:11" ht="23.45" customHeight="1">
      <c r="A10" s="21">
        <v>7</v>
      </c>
      <c r="B10" s="22" t="s">
        <v>12</v>
      </c>
      <c r="C10" s="23" t="s">
        <v>5</v>
      </c>
      <c r="D10" s="24">
        <v>30</v>
      </c>
      <c r="E10" s="25">
        <v>8.75</v>
      </c>
      <c r="F10" s="26">
        <f t="shared" si="0"/>
        <v>262.5</v>
      </c>
      <c r="G10" s="25">
        <v>10</v>
      </c>
      <c r="H10" s="26">
        <f t="shared" si="1"/>
        <v>300</v>
      </c>
      <c r="I10" s="25">
        <v>14</v>
      </c>
      <c r="J10" s="26">
        <f t="shared" si="2"/>
        <v>420</v>
      </c>
      <c r="K10" s="2" t="s">
        <v>41</v>
      </c>
    </row>
    <row r="11" spans="1:11" ht="23.45" customHeight="1">
      <c r="A11" s="5">
        <v>8</v>
      </c>
      <c r="B11" s="6" t="s">
        <v>13</v>
      </c>
      <c r="C11" s="7" t="s">
        <v>5</v>
      </c>
      <c r="D11" s="8">
        <v>872</v>
      </c>
      <c r="E11" s="9">
        <v>19</v>
      </c>
      <c r="F11" s="10">
        <f t="shared" si="0"/>
        <v>16568</v>
      </c>
      <c r="G11" s="9">
        <v>22</v>
      </c>
      <c r="H11" s="10">
        <f t="shared" si="1"/>
        <v>19184</v>
      </c>
      <c r="I11" s="9">
        <v>30</v>
      </c>
      <c r="J11" s="10">
        <f t="shared" si="2"/>
        <v>26160</v>
      </c>
    </row>
    <row r="12" spans="1:11" ht="23.45" customHeight="1">
      <c r="A12" s="5">
        <v>9</v>
      </c>
      <c r="B12" s="6" t="s">
        <v>28</v>
      </c>
      <c r="C12" s="7" t="s">
        <v>5</v>
      </c>
      <c r="D12" s="8">
        <v>300</v>
      </c>
      <c r="E12" s="9">
        <v>1.85</v>
      </c>
      <c r="F12" s="10">
        <f t="shared" si="0"/>
        <v>555</v>
      </c>
      <c r="G12" s="9">
        <v>2</v>
      </c>
      <c r="H12" s="10">
        <f t="shared" si="1"/>
        <v>600</v>
      </c>
      <c r="I12" s="9">
        <v>4.5999999999999996</v>
      </c>
      <c r="J12" s="10">
        <f t="shared" si="2"/>
        <v>1380</v>
      </c>
    </row>
    <row r="13" spans="1:11" ht="23.45" customHeight="1">
      <c r="A13" s="5">
        <v>10</v>
      </c>
      <c r="B13" s="6" t="s">
        <v>29</v>
      </c>
      <c r="C13" s="7" t="s">
        <v>14</v>
      </c>
      <c r="D13" s="8">
        <v>75</v>
      </c>
      <c r="E13" s="9">
        <v>6.5</v>
      </c>
      <c r="F13" s="10">
        <f t="shared" si="0"/>
        <v>487.5</v>
      </c>
      <c r="G13" s="9">
        <v>7.5</v>
      </c>
      <c r="H13" s="10">
        <f t="shared" si="1"/>
        <v>562.5</v>
      </c>
      <c r="I13" s="9">
        <v>7</v>
      </c>
      <c r="J13" s="10">
        <f t="shared" si="2"/>
        <v>525</v>
      </c>
    </row>
    <row r="14" spans="1:11" ht="23.45" customHeight="1">
      <c r="A14" s="5">
        <v>11</v>
      </c>
      <c r="B14" s="6" t="s">
        <v>15</v>
      </c>
      <c r="C14" s="7" t="s">
        <v>14</v>
      </c>
      <c r="D14" s="8">
        <v>1000</v>
      </c>
      <c r="E14" s="9">
        <v>1.75</v>
      </c>
      <c r="F14" s="10">
        <f t="shared" si="0"/>
        <v>1750</v>
      </c>
      <c r="G14" s="9">
        <v>2</v>
      </c>
      <c r="H14" s="10">
        <f t="shared" si="1"/>
        <v>2000</v>
      </c>
      <c r="I14" s="9">
        <v>3.25</v>
      </c>
      <c r="J14" s="10">
        <f t="shared" si="2"/>
        <v>3250</v>
      </c>
    </row>
    <row r="15" spans="1:11" ht="23.45" customHeight="1">
      <c r="A15" s="5">
        <v>12</v>
      </c>
      <c r="B15" s="6" t="s">
        <v>16</v>
      </c>
      <c r="C15" s="7" t="s">
        <v>14</v>
      </c>
      <c r="D15" s="8">
        <v>60</v>
      </c>
      <c r="E15" s="17">
        <v>42</v>
      </c>
      <c r="F15" s="18">
        <f t="shared" si="0"/>
        <v>2520</v>
      </c>
      <c r="G15" s="17">
        <v>48</v>
      </c>
      <c r="H15" s="10">
        <f t="shared" si="1"/>
        <v>2880</v>
      </c>
      <c r="I15" s="17">
        <v>60</v>
      </c>
      <c r="J15" s="10">
        <f t="shared" si="2"/>
        <v>3600</v>
      </c>
    </row>
    <row r="16" spans="1:11" ht="23.45" customHeight="1">
      <c r="A16" s="5">
        <v>13</v>
      </c>
      <c r="B16" s="6" t="s">
        <v>30</v>
      </c>
      <c r="C16" s="7" t="s">
        <v>14</v>
      </c>
      <c r="D16" s="8">
        <v>50</v>
      </c>
      <c r="E16" s="9">
        <v>5</v>
      </c>
      <c r="F16" s="10">
        <f t="shared" si="0"/>
        <v>250</v>
      </c>
      <c r="G16" s="9">
        <v>5.75</v>
      </c>
      <c r="H16" s="10">
        <f t="shared" si="1"/>
        <v>287.5</v>
      </c>
      <c r="I16" s="9">
        <v>7</v>
      </c>
      <c r="J16" s="10">
        <f t="shared" si="2"/>
        <v>350</v>
      </c>
    </row>
    <row r="17" spans="1:11" ht="23.45" customHeight="1">
      <c r="A17" s="5">
        <v>14</v>
      </c>
      <c r="B17" s="6" t="s">
        <v>31</v>
      </c>
      <c r="C17" s="7" t="s">
        <v>14</v>
      </c>
      <c r="D17" s="8">
        <v>50</v>
      </c>
      <c r="E17" s="9">
        <v>8.5</v>
      </c>
      <c r="F17" s="10">
        <f t="shared" si="0"/>
        <v>425</v>
      </c>
      <c r="G17" s="9">
        <v>10</v>
      </c>
      <c r="H17" s="10">
        <f t="shared" si="1"/>
        <v>500</v>
      </c>
      <c r="I17" s="9">
        <v>14</v>
      </c>
      <c r="J17" s="10">
        <f t="shared" si="2"/>
        <v>700</v>
      </c>
    </row>
    <row r="18" spans="1:11" ht="23.45" customHeight="1">
      <c r="A18" s="5">
        <v>15</v>
      </c>
      <c r="B18" s="6" t="s">
        <v>32</v>
      </c>
      <c r="C18" s="7" t="s">
        <v>14</v>
      </c>
      <c r="D18" s="8">
        <v>3</v>
      </c>
      <c r="E18" s="9">
        <v>32</v>
      </c>
      <c r="F18" s="10">
        <f t="shared" si="0"/>
        <v>96</v>
      </c>
      <c r="G18" s="9">
        <v>38</v>
      </c>
      <c r="H18" s="10">
        <f t="shared" si="1"/>
        <v>114</v>
      </c>
      <c r="I18" s="9">
        <v>35</v>
      </c>
      <c r="J18" s="10">
        <f t="shared" si="2"/>
        <v>105</v>
      </c>
    </row>
    <row r="19" spans="1:11" ht="23.45" customHeight="1">
      <c r="A19" s="5">
        <v>16</v>
      </c>
      <c r="B19" s="6" t="s">
        <v>33</v>
      </c>
      <c r="C19" s="7" t="s">
        <v>17</v>
      </c>
      <c r="D19" s="8">
        <v>100</v>
      </c>
      <c r="E19" s="9">
        <v>12</v>
      </c>
      <c r="F19" s="10">
        <f t="shared" si="0"/>
        <v>1200</v>
      </c>
      <c r="G19" s="9">
        <v>14</v>
      </c>
      <c r="H19" s="10">
        <f t="shared" si="1"/>
        <v>1400</v>
      </c>
      <c r="I19" s="9">
        <v>18</v>
      </c>
      <c r="J19" s="10">
        <f t="shared" si="2"/>
        <v>1800</v>
      </c>
    </row>
    <row r="20" spans="1:11" ht="23.45" customHeight="1">
      <c r="A20" s="5">
        <v>17</v>
      </c>
      <c r="B20" s="6" t="s">
        <v>34</v>
      </c>
      <c r="C20" s="7" t="s">
        <v>7</v>
      </c>
      <c r="D20" s="8">
        <v>2</v>
      </c>
      <c r="E20" s="9">
        <v>30</v>
      </c>
      <c r="F20" s="10">
        <f t="shared" si="0"/>
        <v>60</v>
      </c>
      <c r="G20" s="9">
        <v>35</v>
      </c>
      <c r="H20" s="10">
        <f t="shared" si="1"/>
        <v>70</v>
      </c>
      <c r="I20" s="9">
        <v>41</v>
      </c>
      <c r="J20" s="10">
        <f t="shared" si="2"/>
        <v>82</v>
      </c>
    </row>
    <row r="21" spans="1:11" ht="23.45" customHeight="1">
      <c r="A21" s="5">
        <v>18</v>
      </c>
      <c r="B21" s="6" t="s">
        <v>35</v>
      </c>
      <c r="C21" s="7" t="s">
        <v>7</v>
      </c>
      <c r="D21" s="8">
        <v>2</v>
      </c>
      <c r="E21" s="9">
        <v>60</v>
      </c>
      <c r="F21" s="10">
        <f t="shared" si="0"/>
        <v>120</v>
      </c>
      <c r="G21" s="9">
        <v>68</v>
      </c>
      <c r="H21" s="10">
        <f t="shared" si="1"/>
        <v>136</v>
      </c>
      <c r="I21" s="9">
        <v>82</v>
      </c>
      <c r="J21" s="10">
        <f t="shared" si="2"/>
        <v>164</v>
      </c>
    </row>
    <row r="22" spans="1:11" ht="23.45" customHeight="1">
      <c r="A22" s="5">
        <v>19</v>
      </c>
      <c r="B22" s="6" t="s">
        <v>18</v>
      </c>
      <c r="C22" s="7" t="s">
        <v>14</v>
      </c>
      <c r="D22" s="8">
        <v>1500</v>
      </c>
      <c r="E22" s="9">
        <v>2.5</v>
      </c>
      <c r="F22" s="10">
        <f t="shared" si="0"/>
        <v>3750</v>
      </c>
      <c r="G22" s="9">
        <v>3.5</v>
      </c>
      <c r="H22" s="10">
        <f t="shared" si="1"/>
        <v>5250</v>
      </c>
      <c r="I22" s="9">
        <v>3</v>
      </c>
      <c r="J22" s="10">
        <f t="shared" si="2"/>
        <v>4500</v>
      </c>
    </row>
    <row r="23" spans="1:11" ht="23.45" customHeight="1">
      <c r="A23" s="5">
        <v>20</v>
      </c>
      <c r="B23" s="6" t="s">
        <v>19</v>
      </c>
      <c r="C23" s="7" t="s">
        <v>20</v>
      </c>
      <c r="D23" s="8">
        <v>2340</v>
      </c>
      <c r="E23" s="9">
        <v>4.3</v>
      </c>
      <c r="F23" s="10">
        <f t="shared" si="0"/>
        <v>10062</v>
      </c>
      <c r="G23" s="9">
        <v>5</v>
      </c>
      <c r="H23" s="10">
        <f t="shared" si="1"/>
        <v>11700</v>
      </c>
      <c r="I23" s="9">
        <v>6.5</v>
      </c>
      <c r="J23" s="10">
        <f t="shared" si="2"/>
        <v>15210</v>
      </c>
    </row>
    <row r="24" spans="1:11" ht="23.45" customHeight="1">
      <c r="A24" s="5">
        <v>21</v>
      </c>
      <c r="B24" s="6" t="s">
        <v>36</v>
      </c>
      <c r="C24" s="7" t="s">
        <v>14</v>
      </c>
      <c r="D24" s="8">
        <v>10</v>
      </c>
      <c r="E24" s="9">
        <v>12</v>
      </c>
      <c r="F24" s="10">
        <f t="shared" si="0"/>
        <v>120</v>
      </c>
      <c r="G24" s="9">
        <v>14</v>
      </c>
      <c r="H24" s="10">
        <f t="shared" si="1"/>
        <v>140</v>
      </c>
      <c r="I24" s="9">
        <v>16</v>
      </c>
      <c r="J24" s="10">
        <f t="shared" si="2"/>
        <v>160</v>
      </c>
    </row>
    <row r="25" spans="1:11" ht="23.45" customHeight="1">
      <c r="A25" s="5">
        <v>22</v>
      </c>
      <c r="B25" s="6" t="s">
        <v>37</v>
      </c>
      <c r="C25" s="7" t="s">
        <v>21</v>
      </c>
      <c r="D25" s="8">
        <v>60</v>
      </c>
      <c r="E25" s="9">
        <v>8</v>
      </c>
      <c r="F25" s="10">
        <f t="shared" si="0"/>
        <v>480</v>
      </c>
      <c r="G25" s="9">
        <v>10</v>
      </c>
      <c r="H25" s="10">
        <f t="shared" si="1"/>
        <v>600</v>
      </c>
      <c r="I25" s="9">
        <v>12</v>
      </c>
      <c r="J25" s="10">
        <f t="shared" si="2"/>
        <v>720</v>
      </c>
    </row>
    <row r="26" spans="1:11" ht="23.45" customHeight="1">
      <c r="A26" s="5">
        <v>23</v>
      </c>
      <c r="B26" s="6" t="s">
        <v>38</v>
      </c>
      <c r="C26" s="7" t="s">
        <v>21</v>
      </c>
      <c r="D26" s="8">
        <v>135</v>
      </c>
      <c r="E26" s="9">
        <v>12</v>
      </c>
      <c r="F26" s="10">
        <f t="shared" si="0"/>
        <v>1620</v>
      </c>
      <c r="G26" s="9">
        <v>14</v>
      </c>
      <c r="H26" s="10">
        <f t="shared" si="1"/>
        <v>1890</v>
      </c>
      <c r="I26" s="9">
        <v>18</v>
      </c>
      <c r="J26" s="10">
        <f t="shared" si="2"/>
        <v>2430</v>
      </c>
    </row>
    <row r="27" spans="1:11" ht="23.45" customHeight="1">
      <c r="A27" s="33">
        <v>24</v>
      </c>
      <c r="B27" s="34" t="s">
        <v>39</v>
      </c>
      <c r="C27" s="35" t="s">
        <v>22</v>
      </c>
      <c r="D27" s="36">
        <v>110</v>
      </c>
      <c r="E27" s="37">
        <v>480</v>
      </c>
      <c r="F27" s="38">
        <f t="shared" si="0"/>
        <v>52800</v>
      </c>
      <c r="G27" s="37">
        <v>580</v>
      </c>
      <c r="H27" s="38">
        <f t="shared" si="1"/>
        <v>63800</v>
      </c>
      <c r="I27" s="37">
        <v>560</v>
      </c>
      <c r="J27" s="38">
        <f t="shared" si="2"/>
        <v>61600</v>
      </c>
      <c r="K27" s="2" t="s">
        <v>42</v>
      </c>
    </row>
    <row r="28" spans="1:11" ht="23.45" customHeight="1">
      <c r="A28" s="19"/>
      <c r="B28" s="19"/>
      <c r="C28" s="19"/>
      <c r="D28" s="19"/>
      <c r="E28" s="19"/>
      <c r="F28" s="20">
        <f>SUM(F4:F27)</f>
        <v>175006</v>
      </c>
      <c r="G28" s="19"/>
      <c r="H28" s="20">
        <f>SUM(H4:H27)</f>
        <v>204055.5</v>
      </c>
      <c r="I28" s="19"/>
      <c r="J28" s="20">
        <f>SUM(J4:J27)</f>
        <v>214066</v>
      </c>
    </row>
    <row r="29" spans="1:11" ht="23.45" customHeight="1"/>
  </sheetData>
  <phoneticPr fontId="2" type="noConversion"/>
  <pageMargins left="0.05" right="0.05" top="0.15" bottom="0.05" header="0.05" footer="0.05"/>
  <pageSetup scale="8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7805-D7ED-4DE0-83AE-A4E5A438DB4E}">
  <sheetPr>
    <tabColor theme="3" tint="0.79998168889431442"/>
  </sheetPr>
  <dimension ref="A1:J8"/>
  <sheetViews>
    <sheetView zoomScaleNormal="100" zoomScaleSheetLayoutView="100" workbookViewId="0">
      <selection activeCell="D19" sqref="D19"/>
    </sheetView>
  </sheetViews>
  <sheetFormatPr defaultColWidth="9" defaultRowHeight="12.75"/>
  <cols>
    <col min="1" max="1" width="7.6640625" style="2" customWidth="1"/>
    <col min="2" max="2" width="49.5" style="2" customWidth="1"/>
    <col min="3" max="3" width="10.6640625" style="2" customWidth="1"/>
    <col min="4" max="4" width="8.83203125" style="2" customWidth="1"/>
    <col min="5" max="5" width="10.1640625" style="2" customWidth="1"/>
    <col min="6" max="6" width="14.1640625" style="2" customWidth="1"/>
    <col min="7" max="7" width="10.1640625" style="2" customWidth="1"/>
    <col min="8" max="8" width="14.1640625" style="2" customWidth="1"/>
    <col min="9" max="9" width="10.1640625" style="2" customWidth="1"/>
    <col min="10" max="10" width="14.1640625" style="2" customWidth="1"/>
    <col min="11" max="16384" width="9" style="2"/>
  </cols>
  <sheetData>
    <row r="1" spans="1:10" ht="33" customHeight="1">
      <c r="B1" s="2" t="s">
        <v>43</v>
      </c>
    </row>
    <row r="2" spans="1:10" ht="23.45" customHeight="1">
      <c r="E2" s="3" t="s">
        <v>24</v>
      </c>
      <c r="F2" s="3"/>
      <c r="G2" s="3" t="s">
        <v>25</v>
      </c>
      <c r="H2" s="3"/>
      <c r="I2" s="3" t="s">
        <v>26</v>
      </c>
    </row>
    <row r="3" spans="1:10" s="1" customFormat="1" ht="24.95" customHeight="1">
      <c r="A3" s="4" t="s">
        <v>23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3</v>
      </c>
      <c r="H3" s="4" t="s">
        <v>4</v>
      </c>
      <c r="I3" s="4" t="s">
        <v>3</v>
      </c>
      <c r="J3" s="4" t="s">
        <v>4</v>
      </c>
    </row>
    <row r="4" spans="1:10" ht="23.45" customHeight="1">
      <c r="A4" s="5">
        <v>1</v>
      </c>
      <c r="B4" s="6" t="s">
        <v>27</v>
      </c>
      <c r="C4" s="7" t="s">
        <v>5</v>
      </c>
      <c r="D4" s="8">
        <v>119</v>
      </c>
      <c r="E4" s="9">
        <v>20</v>
      </c>
      <c r="F4" s="10">
        <f t="shared" ref="F4:F6" si="0">E4*D4</f>
        <v>2380</v>
      </c>
      <c r="G4" s="9">
        <v>22.5</v>
      </c>
      <c r="H4" s="10">
        <f>G4*D4</f>
        <v>2677.5</v>
      </c>
      <c r="I4" s="9">
        <v>30</v>
      </c>
      <c r="J4" s="10">
        <f>I4*D4</f>
        <v>3570</v>
      </c>
    </row>
    <row r="5" spans="1:10" ht="32.450000000000003" customHeight="1">
      <c r="A5" s="11">
        <v>2</v>
      </c>
      <c r="B5" s="12" t="s">
        <v>40</v>
      </c>
      <c r="C5" s="13" t="s">
        <v>11</v>
      </c>
      <c r="D5" s="14">
        <v>100</v>
      </c>
      <c r="E5" s="15">
        <v>740</v>
      </c>
      <c r="F5" s="16">
        <f t="shared" si="0"/>
        <v>74000</v>
      </c>
      <c r="G5" s="15">
        <v>840</v>
      </c>
      <c r="H5" s="16">
        <f t="shared" ref="H5:H6" si="1">G5*D5</f>
        <v>84000</v>
      </c>
      <c r="I5" s="15">
        <v>810</v>
      </c>
      <c r="J5" s="16">
        <f t="shared" ref="J5:J6" si="2">I5*D5</f>
        <v>81000</v>
      </c>
    </row>
    <row r="6" spans="1:10" ht="23.45" customHeight="1">
      <c r="A6" s="5">
        <v>3</v>
      </c>
      <c r="B6" s="6" t="s">
        <v>12</v>
      </c>
      <c r="C6" s="7" t="s">
        <v>5</v>
      </c>
      <c r="D6" s="8">
        <v>30</v>
      </c>
      <c r="E6" s="9">
        <v>8.75</v>
      </c>
      <c r="F6" s="10">
        <f t="shared" si="0"/>
        <v>262.5</v>
      </c>
      <c r="G6" s="9">
        <v>10</v>
      </c>
      <c r="H6" s="10">
        <f t="shared" si="1"/>
        <v>300</v>
      </c>
      <c r="I6" s="9">
        <v>14</v>
      </c>
      <c r="J6" s="10">
        <f t="shared" si="2"/>
        <v>420</v>
      </c>
    </row>
    <row r="7" spans="1:10" ht="23.45" customHeight="1">
      <c r="A7" s="19"/>
      <c r="B7" s="19"/>
      <c r="C7" s="19"/>
      <c r="D7" s="19"/>
      <c r="E7" s="19"/>
      <c r="F7" s="20">
        <f>SUM(F4:F6)</f>
        <v>76642.5</v>
      </c>
      <c r="G7" s="19"/>
      <c r="H7" s="20">
        <f>SUM(H4:H6)</f>
        <v>86977.5</v>
      </c>
      <c r="I7" s="19"/>
      <c r="J7" s="20">
        <f>SUM(J4:J6)</f>
        <v>84990</v>
      </c>
    </row>
    <row r="8" spans="1:10" ht="23.45" customHeight="1"/>
  </sheetData>
  <phoneticPr fontId="2" type="noConversion"/>
  <pageMargins left="0.05" right="0.05" top="0.15" bottom="0.05" header="0.05" footer="0.05"/>
  <pageSetup scale="8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2DDE-7841-4DFB-B811-65FB543C5B1F}">
  <sheetPr>
    <tabColor rgb="FFFF0000"/>
    <pageSetUpPr fitToPage="1"/>
  </sheetPr>
  <dimension ref="A1:K26"/>
  <sheetViews>
    <sheetView tabSelected="1" zoomScaleNormal="100" zoomScaleSheetLayoutView="100" workbookViewId="0">
      <selection activeCell="E10" sqref="E10"/>
    </sheetView>
  </sheetViews>
  <sheetFormatPr defaultColWidth="9" defaultRowHeight="12.75"/>
  <cols>
    <col min="1" max="1" width="7.6640625" style="2" customWidth="1"/>
    <col min="2" max="2" width="57" style="2" customWidth="1"/>
    <col min="3" max="3" width="8.5" style="2" customWidth="1"/>
    <col min="4" max="4" width="8.83203125" style="2" customWidth="1"/>
    <col min="5" max="5" width="20.5" style="2" customWidth="1"/>
    <col min="6" max="6" width="14.1640625" style="2" customWidth="1"/>
    <col min="7" max="7" width="18.6640625" style="2" customWidth="1"/>
    <col min="8" max="8" width="14.1640625" style="2" customWidth="1"/>
    <col min="9" max="9" width="10.1640625" style="2" customWidth="1"/>
    <col min="10" max="10" width="14.1640625" style="2" customWidth="1"/>
    <col min="11" max="16384" width="9" style="2"/>
  </cols>
  <sheetData>
    <row r="1" spans="1:10" ht="33" customHeight="1">
      <c r="A1" s="40" t="s">
        <v>45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3.45" customHeight="1">
      <c r="A2" s="41" t="s">
        <v>44</v>
      </c>
      <c r="B2" s="42"/>
      <c r="C2" s="19"/>
      <c r="D2" s="19"/>
      <c r="E2" s="21" t="s">
        <v>46</v>
      </c>
      <c r="F2" s="5"/>
      <c r="G2" s="21" t="s">
        <v>25</v>
      </c>
      <c r="H2" s="5"/>
      <c r="I2" s="21" t="s">
        <v>26</v>
      </c>
      <c r="J2" s="19"/>
    </row>
    <row r="3" spans="1:10" s="1" customFormat="1" ht="24.95" customHeight="1">
      <c r="A3" s="4" t="s">
        <v>23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3</v>
      </c>
      <c r="H3" s="4" t="s">
        <v>4</v>
      </c>
      <c r="I3" s="4" t="s">
        <v>3</v>
      </c>
      <c r="J3" s="4" t="s">
        <v>4</v>
      </c>
    </row>
    <row r="4" spans="1:10" ht="23.45" customHeight="1">
      <c r="A4" s="5">
        <v>1</v>
      </c>
      <c r="B4" s="6" t="s">
        <v>6</v>
      </c>
      <c r="C4" s="7" t="s">
        <v>7</v>
      </c>
      <c r="D4" s="8">
        <v>2</v>
      </c>
      <c r="E4" s="9">
        <v>150</v>
      </c>
      <c r="F4" s="10">
        <f t="shared" ref="F4:F24" si="0">E4*D4</f>
        <v>300</v>
      </c>
      <c r="G4" s="9">
        <v>182</v>
      </c>
      <c r="H4" s="10">
        <f t="shared" ref="H4:H24" si="1">G4*D4</f>
        <v>364</v>
      </c>
      <c r="I4" s="9">
        <v>170</v>
      </c>
      <c r="J4" s="10">
        <f t="shared" ref="J4:J24" si="2">I4*D4</f>
        <v>340</v>
      </c>
    </row>
    <row r="5" spans="1:10" ht="23.45" customHeight="1">
      <c r="A5" s="5">
        <v>2</v>
      </c>
      <c r="B5" s="6" t="s">
        <v>8</v>
      </c>
      <c r="C5" s="7" t="s">
        <v>5</v>
      </c>
      <c r="D5" s="8">
        <v>200</v>
      </c>
      <c r="E5" s="9">
        <v>9</v>
      </c>
      <c r="F5" s="10">
        <f t="shared" si="0"/>
        <v>1800</v>
      </c>
      <c r="G5" s="9">
        <v>12</v>
      </c>
      <c r="H5" s="10">
        <f t="shared" si="1"/>
        <v>2400</v>
      </c>
      <c r="I5" s="9">
        <v>16</v>
      </c>
      <c r="J5" s="10">
        <f t="shared" si="2"/>
        <v>3200</v>
      </c>
    </row>
    <row r="6" spans="1:10" ht="23.45" customHeight="1">
      <c r="A6" s="5">
        <v>3</v>
      </c>
      <c r="B6" s="6" t="s">
        <v>9</v>
      </c>
      <c r="C6" s="7" t="s">
        <v>5</v>
      </c>
      <c r="D6" s="8">
        <v>400</v>
      </c>
      <c r="E6" s="9">
        <v>3</v>
      </c>
      <c r="F6" s="10">
        <f t="shared" si="0"/>
        <v>1200</v>
      </c>
      <c r="G6" s="9">
        <v>4</v>
      </c>
      <c r="H6" s="10">
        <f t="shared" si="1"/>
        <v>1600</v>
      </c>
      <c r="I6" s="9">
        <v>3.5</v>
      </c>
      <c r="J6" s="10">
        <f t="shared" si="2"/>
        <v>1400</v>
      </c>
    </row>
    <row r="7" spans="1:10" ht="23.45" customHeight="1">
      <c r="A7" s="5">
        <v>4</v>
      </c>
      <c r="B7" s="6" t="s">
        <v>10</v>
      </c>
      <c r="C7" s="7" t="s">
        <v>5</v>
      </c>
      <c r="D7" s="8">
        <v>400</v>
      </c>
      <c r="E7" s="9">
        <v>3</v>
      </c>
      <c r="F7" s="10">
        <f t="shared" si="0"/>
        <v>1200</v>
      </c>
      <c r="G7" s="9">
        <v>4</v>
      </c>
      <c r="H7" s="10">
        <f t="shared" si="1"/>
        <v>1600</v>
      </c>
      <c r="I7" s="9">
        <v>3.5</v>
      </c>
      <c r="J7" s="10">
        <f t="shared" si="2"/>
        <v>1400</v>
      </c>
    </row>
    <row r="8" spans="1:10" ht="23.45" customHeight="1">
      <c r="A8" s="5">
        <v>5</v>
      </c>
      <c r="B8" s="6" t="s">
        <v>13</v>
      </c>
      <c r="C8" s="7" t="s">
        <v>5</v>
      </c>
      <c r="D8" s="8">
        <v>872</v>
      </c>
      <c r="E8" s="9">
        <v>19</v>
      </c>
      <c r="F8" s="10">
        <f t="shared" si="0"/>
        <v>16568</v>
      </c>
      <c r="G8" s="9">
        <v>22</v>
      </c>
      <c r="H8" s="10">
        <f t="shared" si="1"/>
        <v>19184</v>
      </c>
      <c r="I8" s="9">
        <v>30</v>
      </c>
      <c r="J8" s="10">
        <f t="shared" si="2"/>
        <v>26160</v>
      </c>
    </row>
    <row r="9" spans="1:10" ht="23.45" customHeight="1">
      <c r="A9" s="5">
        <v>6</v>
      </c>
      <c r="B9" s="6" t="s">
        <v>28</v>
      </c>
      <c r="C9" s="7" t="s">
        <v>5</v>
      </c>
      <c r="D9" s="8">
        <v>300</v>
      </c>
      <c r="E9" s="9">
        <v>1.85</v>
      </c>
      <c r="F9" s="10">
        <f t="shared" si="0"/>
        <v>555</v>
      </c>
      <c r="G9" s="9">
        <v>2</v>
      </c>
      <c r="H9" s="10">
        <f t="shared" si="1"/>
        <v>600</v>
      </c>
      <c r="I9" s="9">
        <v>4.5999999999999996</v>
      </c>
      <c r="J9" s="10">
        <f t="shared" si="2"/>
        <v>1380</v>
      </c>
    </row>
    <row r="10" spans="1:10" ht="23.45" customHeight="1">
      <c r="A10" s="5">
        <v>7</v>
      </c>
      <c r="B10" s="6" t="s">
        <v>29</v>
      </c>
      <c r="C10" s="7" t="s">
        <v>14</v>
      </c>
      <c r="D10" s="8">
        <v>75</v>
      </c>
      <c r="E10" s="9">
        <v>6.5</v>
      </c>
      <c r="F10" s="10">
        <f t="shared" si="0"/>
        <v>487.5</v>
      </c>
      <c r="G10" s="9">
        <v>7.5</v>
      </c>
      <c r="H10" s="10">
        <f t="shared" si="1"/>
        <v>562.5</v>
      </c>
      <c r="I10" s="9">
        <v>7</v>
      </c>
      <c r="J10" s="10">
        <f t="shared" si="2"/>
        <v>525</v>
      </c>
    </row>
    <row r="11" spans="1:10" ht="23.45" customHeight="1">
      <c r="A11" s="5">
        <v>8</v>
      </c>
      <c r="B11" s="6" t="s">
        <v>15</v>
      </c>
      <c r="C11" s="7" t="s">
        <v>14</v>
      </c>
      <c r="D11" s="8">
        <v>1000</v>
      </c>
      <c r="E11" s="9">
        <v>1.75</v>
      </c>
      <c r="F11" s="10">
        <f t="shared" si="0"/>
        <v>1750</v>
      </c>
      <c r="G11" s="9">
        <v>2</v>
      </c>
      <c r="H11" s="10">
        <f t="shared" si="1"/>
        <v>2000</v>
      </c>
      <c r="I11" s="9">
        <v>3.25</v>
      </c>
      <c r="J11" s="10">
        <f t="shared" si="2"/>
        <v>3250</v>
      </c>
    </row>
    <row r="12" spans="1:10" ht="23.45" customHeight="1">
      <c r="A12" s="5">
        <v>9</v>
      </c>
      <c r="B12" s="6" t="s">
        <v>16</v>
      </c>
      <c r="C12" s="7" t="s">
        <v>14</v>
      </c>
      <c r="D12" s="8">
        <v>60</v>
      </c>
      <c r="E12" s="17">
        <v>42</v>
      </c>
      <c r="F12" s="18">
        <f t="shared" si="0"/>
        <v>2520</v>
      </c>
      <c r="G12" s="17">
        <v>48</v>
      </c>
      <c r="H12" s="10">
        <f t="shared" si="1"/>
        <v>2880</v>
      </c>
      <c r="I12" s="17">
        <v>60</v>
      </c>
      <c r="J12" s="10">
        <f t="shared" si="2"/>
        <v>3600</v>
      </c>
    </row>
    <row r="13" spans="1:10" ht="23.45" customHeight="1">
      <c r="A13" s="5">
        <v>10</v>
      </c>
      <c r="B13" s="6" t="s">
        <v>30</v>
      </c>
      <c r="C13" s="7" t="s">
        <v>14</v>
      </c>
      <c r="D13" s="8">
        <v>50</v>
      </c>
      <c r="E13" s="9">
        <v>5</v>
      </c>
      <c r="F13" s="10">
        <f t="shared" si="0"/>
        <v>250</v>
      </c>
      <c r="G13" s="9">
        <v>5.75</v>
      </c>
      <c r="H13" s="10">
        <f t="shared" si="1"/>
        <v>287.5</v>
      </c>
      <c r="I13" s="9">
        <v>7</v>
      </c>
      <c r="J13" s="10">
        <f t="shared" si="2"/>
        <v>350</v>
      </c>
    </row>
    <row r="14" spans="1:10" ht="23.45" customHeight="1">
      <c r="A14" s="5">
        <v>11</v>
      </c>
      <c r="B14" s="6" t="s">
        <v>31</v>
      </c>
      <c r="C14" s="7" t="s">
        <v>14</v>
      </c>
      <c r="D14" s="8">
        <v>50</v>
      </c>
      <c r="E14" s="9">
        <v>8.5</v>
      </c>
      <c r="F14" s="10">
        <f t="shared" si="0"/>
        <v>425</v>
      </c>
      <c r="G14" s="9">
        <v>10</v>
      </c>
      <c r="H14" s="10">
        <f t="shared" si="1"/>
        <v>500</v>
      </c>
      <c r="I14" s="9">
        <v>14</v>
      </c>
      <c r="J14" s="10">
        <f t="shared" si="2"/>
        <v>700</v>
      </c>
    </row>
    <row r="15" spans="1:10" ht="23.45" customHeight="1">
      <c r="A15" s="5">
        <v>12</v>
      </c>
      <c r="B15" s="6" t="s">
        <v>32</v>
      </c>
      <c r="C15" s="7" t="s">
        <v>14</v>
      </c>
      <c r="D15" s="8">
        <v>3</v>
      </c>
      <c r="E15" s="9">
        <v>32</v>
      </c>
      <c r="F15" s="10">
        <f t="shared" si="0"/>
        <v>96</v>
      </c>
      <c r="G15" s="9">
        <v>38</v>
      </c>
      <c r="H15" s="10">
        <f t="shared" si="1"/>
        <v>114</v>
      </c>
      <c r="I15" s="9">
        <v>35</v>
      </c>
      <c r="J15" s="10">
        <f t="shared" si="2"/>
        <v>105</v>
      </c>
    </row>
    <row r="16" spans="1:10" ht="23.45" customHeight="1">
      <c r="A16" s="5">
        <v>13</v>
      </c>
      <c r="B16" s="6" t="s">
        <v>33</v>
      </c>
      <c r="C16" s="7" t="s">
        <v>17</v>
      </c>
      <c r="D16" s="8">
        <v>100</v>
      </c>
      <c r="E16" s="9">
        <v>12</v>
      </c>
      <c r="F16" s="10">
        <f t="shared" si="0"/>
        <v>1200</v>
      </c>
      <c r="G16" s="9">
        <v>14</v>
      </c>
      <c r="H16" s="10">
        <f t="shared" si="1"/>
        <v>1400</v>
      </c>
      <c r="I16" s="9">
        <v>18</v>
      </c>
      <c r="J16" s="10">
        <f t="shared" si="2"/>
        <v>1800</v>
      </c>
    </row>
    <row r="17" spans="1:11" ht="23.45" customHeight="1">
      <c r="A17" s="5">
        <v>14</v>
      </c>
      <c r="B17" s="6" t="s">
        <v>34</v>
      </c>
      <c r="C17" s="7" t="s">
        <v>7</v>
      </c>
      <c r="D17" s="8">
        <v>2</v>
      </c>
      <c r="E17" s="9">
        <v>30</v>
      </c>
      <c r="F17" s="10">
        <f t="shared" si="0"/>
        <v>60</v>
      </c>
      <c r="G17" s="9">
        <v>35</v>
      </c>
      <c r="H17" s="10">
        <f t="shared" si="1"/>
        <v>70</v>
      </c>
      <c r="I17" s="9">
        <v>41</v>
      </c>
      <c r="J17" s="10">
        <f t="shared" si="2"/>
        <v>82</v>
      </c>
    </row>
    <row r="18" spans="1:11" ht="23.45" customHeight="1">
      <c r="A18" s="5">
        <v>15</v>
      </c>
      <c r="B18" s="6" t="s">
        <v>35</v>
      </c>
      <c r="C18" s="7" t="s">
        <v>7</v>
      </c>
      <c r="D18" s="8">
        <v>2</v>
      </c>
      <c r="E18" s="9">
        <v>60</v>
      </c>
      <c r="F18" s="10">
        <f t="shared" si="0"/>
        <v>120</v>
      </c>
      <c r="G18" s="9">
        <v>68</v>
      </c>
      <c r="H18" s="10">
        <f t="shared" si="1"/>
        <v>136</v>
      </c>
      <c r="I18" s="9">
        <v>82</v>
      </c>
      <c r="J18" s="10">
        <f t="shared" si="2"/>
        <v>164</v>
      </c>
    </row>
    <row r="19" spans="1:11" ht="23.45" customHeight="1">
      <c r="A19" s="5">
        <v>16</v>
      </c>
      <c r="B19" s="6" t="s">
        <v>18</v>
      </c>
      <c r="C19" s="7" t="s">
        <v>14</v>
      </c>
      <c r="D19" s="8">
        <v>1500</v>
      </c>
      <c r="E19" s="9">
        <v>2.5</v>
      </c>
      <c r="F19" s="10">
        <f t="shared" si="0"/>
        <v>3750</v>
      </c>
      <c r="G19" s="9">
        <v>3.5</v>
      </c>
      <c r="H19" s="10">
        <f t="shared" si="1"/>
        <v>5250</v>
      </c>
      <c r="I19" s="9">
        <v>3</v>
      </c>
      <c r="J19" s="10">
        <f t="shared" si="2"/>
        <v>4500</v>
      </c>
    </row>
    <row r="20" spans="1:11" ht="23.45" customHeight="1">
      <c r="A20" s="5">
        <v>17</v>
      </c>
      <c r="B20" s="6" t="s">
        <v>19</v>
      </c>
      <c r="C20" s="7" t="s">
        <v>20</v>
      </c>
      <c r="D20" s="8">
        <v>2340</v>
      </c>
      <c r="E20" s="9">
        <v>4.3</v>
      </c>
      <c r="F20" s="10">
        <f t="shared" si="0"/>
        <v>10062</v>
      </c>
      <c r="G20" s="9">
        <v>5</v>
      </c>
      <c r="H20" s="10">
        <f t="shared" si="1"/>
        <v>11700</v>
      </c>
      <c r="I20" s="9">
        <v>6.5</v>
      </c>
      <c r="J20" s="10">
        <f t="shared" si="2"/>
        <v>15210</v>
      </c>
    </row>
    <row r="21" spans="1:11" ht="23.45" customHeight="1">
      <c r="A21" s="5">
        <v>18</v>
      </c>
      <c r="B21" s="6" t="s">
        <v>36</v>
      </c>
      <c r="C21" s="7" t="s">
        <v>14</v>
      </c>
      <c r="D21" s="8">
        <v>10</v>
      </c>
      <c r="E21" s="9">
        <v>12</v>
      </c>
      <c r="F21" s="10">
        <f t="shared" si="0"/>
        <v>120</v>
      </c>
      <c r="G21" s="9">
        <v>14</v>
      </c>
      <c r="H21" s="10">
        <f t="shared" si="1"/>
        <v>140</v>
      </c>
      <c r="I21" s="9">
        <v>16</v>
      </c>
      <c r="J21" s="10">
        <f t="shared" si="2"/>
        <v>160</v>
      </c>
    </row>
    <row r="22" spans="1:11" ht="23.45" customHeight="1">
      <c r="A22" s="5">
        <v>19</v>
      </c>
      <c r="B22" s="6" t="s">
        <v>37</v>
      </c>
      <c r="C22" s="7" t="s">
        <v>21</v>
      </c>
      <c r="D22" s="8">
        <v>60</v>
      </c>
      <c r="E22" s="9">
        <v>8</v>
      </c>
      <c r="F22" s="10">
        <f t="shared" si="0"/>
        <v>480</v>
      </c>
      <c r="G22" s="9">
        <v>10</v>
      </c>
      <c r="H22" s="10">
        <f t="shared" si="1"/>
        <v>600</v>
      </c>
      <c r="I22" s="9">
        <v>12</v>
      </c>
      <c r="J22" s="10">
        <f t="shared" si="2"/>
        <v>720</v>
      </c>
    </row>
    <row r="23" spans="1:11" ht="23.45" customHeight="1">
      <c r="A23" s="5">
        <v>20</v>
      </c>
      <c r="B23" s="6" t="s">
        <v>38</v>
      </c>
      <c r="C23" s="7" t="s">
        <v>21</v>
      </c>
      <c r="D23" s="8">
        <v>135</v>
      </c>
      <c r="E23" s="9">
        <v>12</v>
      </c>
      <c r="F23" s="10">
        <f t="shared" si="0"/>
        <v>1620</v>
      </c>
      <c r="G23" s="9">
        <v>14</v>
      </c>
      <c r="H23" s="10">
        <f t="shared" si="1"/>
        <v>1890</v>
      </c>
      <c r="I23" s="9">
        <v>18</v>
      </c>
      <c r="J23" s="10">
        <f t="shared" si="2"/>
        <v>2430</v>
      </c>
    </row>
    <row r="24" spans="1:11" ht="23.45" customHeight="1">
      <c r="A24" s="5">
        <v>21</v>
      </c>
      <c r="B24" s="6" t="s">
        <v>39</v>
      </c>
      <c r="C24" s="7" t="s">
        <v>22</v>
      </c>
      <c r="D24" s="8">
        <v>110</v>
      </c>
      <c r="E24" s="17">
        <v>480</v>
      </c>
      <c r="F24" s="18">
        <f t="shared" si="0"/>
        <v>52800</v>
      </c>
      <c r="G24" s="17">
        <v>580</v>
      </c>
      <c r="H24" s="18">
        <f t="shared" si="1"/>
        <v>63800</v>
      </c>
      <c r="I24" s="17">
        <v>560</v>
      </c>
      <c r="J24" s="18">
        <f t="shared" si="2"/>
        <v>61600</v>
      </c>
      <c r="K24" s="39"/>
    </row>
    <row r="25" spans="1:11" ht="23.45" customHeight="1">
      <c r="A25" s="19"/>
      <c r="B25" s="19"/>
      <c r="C25" s="19"/>
      <c r="D25" s="19"/>
      <c r="E25" s="19"/>
      <c r="F25" s="20">
        <f>SUM(F4:F24)</f>
        <v>97363.5</v>
      </c>
      <c r="G25" s="19"/>
      <c r="H25" s="20">
        <f>SUM(H4:H24)</f>
        <v>117078</v>
      </c>
      <c r="I25" s="19"/>
      <c r="J25" s="20">
        <f>SUM(J4:J24)</f>
        <v>129076</v>
      </c>
    </row>
    <row r="26" spans="1:11" ht="23.45" customHeight="1"/>
  </sheetData>
  <mergeCells count="2">
    <mergeCell ref="A2:B2"/>
    <mergeCell ref="A1:J1"/>
  </mergeCells>
  <phoneticPr fontId="2" type="noConversion"/>
  <pageMargins left="0.05" right="0.05" top="0.15" bottom="0.05" header="0.05" footer="0.05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Sep</vt:lpstr>
      <vt:lpstr>J1</vt:lpstr>
      <vt:lpstr>J2</vt:lpstr>
      <vt:lpstr>'J1'!Print_Area</vt:lpstr>
      <vt:lpstr>Sep!Print_Area</vt:lpstr>
      <vt:lpstr>'J1'!Print_Titles</vt:lpstr>
      <vt:lpstr>Sep!Print_Titles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shadab khan</cp:lastModifiedBy>
  <cp:lastPrinted>2026-10-22T08:03:09Z</cp:lastPrinted>
  <dcterms:created xsi:type="dcterms:W3CDTF">2026-09-14T13:37:09Z</dcterms:created>
  <dcterms:modified xsi:type="dcterms:W3CDTF">2026-10-22T08:03:52Z</dcterms:modified>
</cp:coreProperties>
</file>