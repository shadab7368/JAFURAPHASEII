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can\Boss\PO\ZAITHOON\ZTSC-Qtn-10438\"/>
    </mc:Choice>
  </mc:AlternateContent>
  <xr:revisionPtr revIDLastSave="0" documentId="13_ncr:1_{9C9763F8-FDC3-4E92-8E4C-FAED87A52E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소모품_1차'!$A$1:$V$43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  <c r="K7" i="1"/>
  <c r="K8" i="1"/>
  <c r="K9" i="1"/>
  <c r="K10" i="1"/>
  <c r="U10" i="1" s="1"/>
  <c r="K11" i="1"/>
  <c r="U11" i="1" s="1"/>
  <c r="K12" i="1"/>
  <c r="U12" i="1" s="1"/>
  <c r="K13" i="1"/>
  <c r="Q13" i="1" s="1"/>
  <c r="K14" i="1"/>
  <c r="Q14" i="1" s="1"/>
  <c r="K15" i="1"/>
  <c r="Q15" i="1" s="1"/>
  <c r="K16" i="1"/>
  <c r="U16" i="1" s="1"/>
  <c r="K17" i="1"/>
  <c r="U17" i="1" s="1"/>
  <c r="K18" i="1"/>
  <c r="U18" i="1" s="1"/>
  <c r="K19" i="1"/>
  <c r="K20" i="1"/>
  <c r="K21" i="1"/>
  <c r="K22" i="1"/>
  <c r="U22" i="1" s="1"/>
  <c r="K23" i="1"/>
  <c r="U23" i="1" s="1"/>
  <c r="K24" i="1"/>
  <c r="U24" i="1" s="1"/>
  <c r="K25" i="1"/>
  <c r="Q25" i="1" s="1"/>
  <c r="K26" i="1"/>
  <c r="Q26" i="1" s="1"/>
  <c r="K6" i="1"/>
  <c r="U26" i="1"/>
  <c r="U25" i="1"/>
  <c r="U21" i="1"/>
  <c r="U20" i="1"/>
  <c r="U19" i="1"/>
  <c r="U15" i="1"/>
  <c r="U14" i="1"/>
  <c r="U13" i="1"/>
  <c r="U9" i="1"/>
  <c r="U8" i="1"/>
  <c r="U7" i="1"/>
  <c r="Q7" i="1"/>
  <c r="Q8" i="1"/>
  <c r="Q9" i="1"/>
  <c r="Q10" i="1"/>
  <c r="Q11" i="1"/>
  <c r="Q12" i="1"/>
  <c r="Q19" i="1"/>
  <c r="Q20" i="1"/>
  <c r="Q21" i="1"/>
  <c r="Q22" i="1"/>
  <c r="Q23" i="1"/>
  <c r="Q24" i="1"/>
  <c r="Q18" i="1" l="1"/>
  <c r="Q17" i="1"/>
  <c r="Q16" i="1"/>
  <c r="G27" i="1"/>
  <c r="G28" i="1" l="1"/>
  <c r="G29" i="1" s="1"/>
  <c r="G30" i="1" s="1"/>
  <c r="I6" i="1" l="1"/>
  <c r="R27" i="1" l="1"/>
  <c r="N27" i="1"/>
  <c r="J27" i="1"/>
  <c r="C34" i="1" s="1"/>
  <c r="O28" i="1" l="1"/>
  <c r="O29" i="1" s="1"/>
  <c r="C36" i="1"/>
  <c r="C35" i="1"/>
  <c r="K28" i="1" l="1"/>
  <c r="K29" i="1" s="1"/>
  <c r="Q6" i="1"/>
  <c r="U6" i="1" l="1"/>
  <c r="S28" i="1"/>
  <c r="S29" i="1" s="1"/>
  <c r="O30" i="1"/>
  <c r="J35" i="1" l="1"/>
  <c r="S30" i="1"/>
  <c r="J36" i="1" l="1"/>
  <c r="N35" i="1"/>
  <c r="R35" i="1" l="1"/>
  <c r="N36" i="1"/>
  <c r="R36" i="1"/>
  <c r="K30" i="1" l="1"/>
  <c r="I30" i="1" s="1"/>
  <c r="Q28" i="1"/>
  <c r="U28" i="1"/>
  <c r="E34" i="1" l="1"/>
  <c r="U30" i="1"/>
  <c r="Q30" i="1"/>
  <c r="J34" i="1"/>
  <c r="L35" i="1" l="1"/>
  <c r="L36" i="1"/>
  <c r="R34" i="1"/>
  <c r="N34" i="1"/>
  <c r="T35" i="1"/>
  <c r="P36" i="1"/>
  <c r="T36" i="1"/>
  <c r="P35" i="1"/>
  <c r="Q34" i="1" l="1"/>
  <c r="P34" i="1"/>
  <c r="U34" i="1"/>
  <c r="T34" i="1"/>
</calcChain>
</file>

<file path=xl/sharedStrings.xml><?xml version="1.0" encoding="utf-8"?>
<sst xmlns="http://schemas.openxmlformats.org/spreadsheetml/2006/main" count="154" uniqueCount="106">
  <si>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</si>
  <si>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</si>
  <si>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</si>
  <si>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</si>
  <si>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</si>
  <si>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</si>
  <si>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</si>
  <si>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</si>
  <si>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</si>
  <si>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</si>
  <si>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</si>
  <si>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</si>
  <si>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</si>
  <si>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</si>
  <si>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</si>
  <si>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</si>
  <si>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</si>
  <si>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</si>
  <si>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</si>
  <si>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</si>
  <si>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</si>
  <si>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</si>
  <si>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</si>
  <si>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</si>
  <si>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</si>
  <si>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</si>
  <si>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</si>
  <si>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</si>
  <si>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</si>
  <si>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</si>
  <si>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</si>
  <si>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</si>
  <si>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</si>
  <si>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</si>
  <si>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</si>
  <si>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</si>
  <si>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</si>
  <si>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</si>
  <si>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</si>
  <si>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EA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</si>
  <si>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</si>
  <si>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</si>
  <si>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</si>
  <si>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</si>
  <si>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</si>
  <si>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</si>
  <si>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</si>
  <si>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</si>
  <si>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</si>
  <si>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</si>
  <si>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</si>
  <si>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</si>
  <si>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</si>
  <si>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</si>
  <si>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</si>
  <si>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</si>
  <si>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</si>
  <si>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HEX WASHER SELF DRILLING SCREW</t>
  </si>
  <si>
    <t>SCAFFOLDING HOLDER</t>
  </si>
  <si>
    <t>SCAFFOLDING TAG</t>
  </si>
  <si>
    <t>WD 40</t>
  </si>
  <si>
    <t xml:space="preserve">HSS HACKSAW BLADE </t>
  </si>
  <si>
    <t xml:space="preserve">MEASURMENT TAPE </t>
  </si>
  <si>
    <t xml:space="preserve">TEFLON TAPE </t>
  </si>
  <si>
    <t xml:space="preserve">RESPIRATOR MASK </t>
  </si>
  <si>
    <t>SPANNER COMBINATION</t>
  </si>
  <si>
    <t>STAR SCREW DRIVER</t>
  </si>
  <si>
    <t>COMBINATON ELECTRIC FLIER</t>
  </si>
  <si>
    <t xml:space="preserve">CABLE TIE </t>
  </si>
  <si>
    <t xml:space="preserve">CS HAND WIRE BRUSHS </t>
  </si>
  <si>
    <t xml:space="preserve">SS HAND WIRE BRUSH </t>
  </si>
  <si>
    <t>HEAVY DUTY PLASTIC SAND BAG</t>
  </si>
  <si>
    <t>SCAFFOLDING HAND GLOVES</t>
  </si>
  <si>
    <t xml:space="preserve">FIRE BLANKET </t>
  </si>
  <si>
    <t>M10 X 1" (1000PCS/BOX)</t>
  </si>
  <si>
    <t>RED WITH ARAMCO STICKERS</t>
  </si>
  <si>
    <t>GREEN</t>
  </si>
  <si>
    <t>YELLOW</t>
  </si>
  <si>
    <t>330ML</t>
  </si>
  <si>
    <t>BRAND:CLARKE</t>
  </si>
  <si>
    <t>5MTR( BRAND:CLARKE)</t>
  </si>
  <si>
    <t>19MM X 40YRD</t>
  </si>
  <si>
    <t>6200 (ONLY MASK)</t>
  </si>
  <si>
    <t>10MM (BRAND:DEWESSER)</t>
  </si>
  <si>
    <t>12" (BRAND: DEWESSER)</t>
  </si>
  <si>
    <t>8" (BRAND : DEWESSER)</t>
  </si>
  <si>
    <t>3.0 x 480mm (100EA/PKT - BRAND:GIFFEX)</t>
  </si>
  <si>
    <t>12PCS/BOX (BRAND : KASWELD)</t>
  </si>
  <si>
    <t>50KG</t>
  </si>
  <si>
    <t>RED COLOR</t>
  </si>
  <si>
    <t>7.5MTR (BRAND : ROTO)</t>
  </si>
  <si>
    <t>3.5 x 150mm (100EA/PKT-BRAND:GIFFEX)</t>
  </si>
  <si>
    <t>4.8 x 300mm (100EA/PKT-BRAND:GIFFEX)</t>
  </si>
  <si>
    <t>ORANGE-1x50M x0.45T (BRAND : GATEWELD)</t>
  </si>
  <si>
    <t>BOX</t>
  </si>
  <si>
    <t>PCS</t>
  </si>
  <si>
    <t>PACK</t>
  </si>
  <si>
    <t>PAIR</t>
  </si>
  <si>
    <t>PKT</t>
  </si>
  <si>
    <t>ROLL</t>
  </si>
  <si>
    <t>ZAITHOON TECHNICAL SERVICES</t>
  </si>
  <si>
    <t>ASAS EARTH TRADING EST</t>
  </si>
  <si>
    <t>ASTA HORIZON COMPANY</t>
  </si>
  <si>
    <t>1) Selected "ZAITHOON TECHNICAL SERVICES." as the vendor offering the lowest price while meeting all required quality standards.</t>
  </si>
  <si>
    <t>■ Bid Price (Unit Price) Review &amp; Compression Sheet</t>
  </si>
  <si>
    <t>Previous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</si>
</sst>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10"/>
      <color theme="1"/>
      <name val="Calibri"/>
      <family val="2"/>
      <charset val="129"/>
      <scheme val="minor"/>
    </font>
    <font>
      <sz val="11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45" fillId="0" borderId="0">
      <alignment vertical="center"/>
    </xf>
    <xf numFmtId="0" fontId="46" fillId="0" borderId="0"/>
    <xf numFmtId="0" fontId="1" fillId="0" borderId="0"/>
    <xf numFmtId="0" fontId="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8" fillId="0" borderId="0">
      <alignment vertical="center"/>
    </xf>
    <xf numFmtId="0" fontId="46" fillId="0" borderId="0"/>
    <xf numFmtId="43" fontId="1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399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44" fillId="0" borderId="25" xfId="4" applyFont="1" applyBorder="1" applyAlignment="1">
      <alignment vertical="center" wrapText="1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6" fillId="2" borderId="24" xfId="0" quotePrefix="1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2" fontId="1" fillId="0" borderId="82" xfId="0" applyNumberFormat="1" applyFont="1" applyBorder="1" applyAlignment="1">
      <alignment horizontal="center" vertical="center" wrapText="1"/>
    </xf>
    <xf numFmtId="9" fontId="1" fillId="0" borderId="82" xfId="0" applyNumberFormat="1" applyFont="1" applyBorder="1" applyAlignment="1">
      <alignment horizontal="center" vertical="center" wrapText="1"/>
    </xf>
    <xf numFmtId="166" fontId="44" fillId="0" borderId="82" xfId="3" applyNumberFormat="1" applyFont="1" applyBorder="1" applyAlignment="1">
      <alignment vertical="center" wrapText="1"/>
    </xf>
    <xf numFmtId="9" fontId="44" fillId="0" borderId="22" xfId="2" applyFont="1" applyFill="1" applyBorder="1" applyAlignment="1">
      <alignment vertical="center" wrapText="1"/>
    </xf>
    <xf numFmtId="167" fontId="44" fillId="0" borderId="25" xfId="3" applyNumberFormat="1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 wrapText="1"/>
    </xf>
    <xf numFmtId="9" fontId="44" fillId="0" borderId="25" xfId="2" applyFont="1" applyFill="1" applyBorder="1" applyAlignment="1">
      <alignment vertical="center" wrapText="1"/>
    </xf>
    <xf numFmtId="0" fontId="1" fillId="0" borderId="25" xfId="0" applyFont="1" applyBorder="1" applyAlignment="1">
      <alignment horizontal="left" vertical="center" wrapText="1"/>
    </xf>
    <xf numFmtId="168" fontId="44" fillId="0" borderId="25" xfId="3" applyNumberFormat="1" applyFont="1" applyBorder="1" applyAlignment="1">
      <alignment vertical="center" wrapText="1"/>
    </xf>
    <xf numFmtId="40" fontId="44" fillId="0" borderId="82" xfId="3" applyNumberFormat="1" applyFont="1" applyBorder="1" applyAlignment="1">
      <alignment vertical="center" wrapText="1"/>
    </xf>
    <xf numFmtId="40" fontId="44" fillId="0" borderId="25" xfId="3" applyNumberFormat="1" applyFont="1" applyBorder="1" applyAlignment="1">
      <alignment vertical="center" wrapText="1"/>
    </xf>
    <xf numFmtId="40" fontId="44" fillId="0" borderId="22" xfId="3" applyNumberFormat="1" applyFont="1" applyBorder="1" applyAlignment="1">
      <alignment vertical="center" wrapText="1"/>
    </xf>
    <xf numFmtId="168" fontId="44" fillId="0" borderId="82" xfId="3" applyNumberFormat="1" applyFont="1" applyBorder="1" applyAlignment="1">
      <alignment vertical="center" wrapText="1"/>
    </xf>
    <xf numFmtId="9" fontId="44" fillId="0" borderId="107" xfId="2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applyNumberFormat="1" applyFont="1" applyBorder="1" applyAlignment="1">
      <alignment horizontal="center" vertical="center"/>
    </xf>
    <xf numFmtId="166" fontId="31" fillId="0" borderId="3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4" fillId="0" borderId="73" xfId="3" applyNumberFormat="1" applyFont="1" applyBorder="1" applyAlignment="1">
      <alignment horizontal="center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</cellXfs>
  <cellStyles count="31">
    <cellStyle name="Comma [0]" xfId="1" builtinId="6"/>
    <cellStyle name="Comma [0] 2" xfId="14" xr:uid="{0BEF86AE-D306-4541-947D-0A3D66775BB9}"/>
    <cellStyle name="Normal" xfId="0" builtinId="0"/>
    <cellStyle name="Normal 2" xfId="5" xr:uid="{1946BDEA-CB30-4AB4-86A9-10BA1AB7C371}"/>
    <cellStyle name="Percent" xfId="2" builtinId="5"/>
    <cellStyle name="쉼표 [0] 2 2" xfId="9" xr:uid="{2796D699-B9E5-4B51-9E0A-DDA045931318}"/>
    <cellStyle name="쉼표 [0] 2 2 2" xfId="20" xr:uid="{2DA408E7-A5D9-45D5-963D-CA60B0E282BE}"/>
    <cellStyle name="쉼표 [0] 2 2 2 2" xfId="28" xr:uid="{EDABC74A-7351-45D2-BB0C-8BDAA26C019E}"/>
    <cellStyle name="쉼표 [0] 2 2 3" xfId="24" xr:uid="{9323C721-4BDB-47A1-A5DF-FC62A2D1AAAE}"/>
    <cellStyle name="쉼표 [0] 2 2 4" xfId="16" xr:uid="{25A047AF-5C47-41E4-95FA-C1690AD61B92}"/>
    <cellStyle name="쉼표 2" xfId="13" xr:uid="{20C78E67-389B-46DC-BD85-4DC0572584C9}"/>
    <cellStyle name="쉼표 2 2" xfId="22" xr:uid="{E12FA6AF-205F-488D-B127-5DC65AF38BA8}"/>
    <cellStyle name="쉼표 2 2 2" xfId="30" xr:uid="{9057EC7A-4E49-44DF-8CE8-315001DE7029}"/>
    <cellStyle name="쉼표 2 3" xfId="26" xr:uid="{0FF69C71-2BDC-4224-91D2-7F0881A88EB9}"/>
    <cellStyle name="쉼표 2 4" xfId="18" xr:uid="{D12436C9-7BF9-4AD3-BBDE-0D671A5D988A}"/>
    <cellStyle name="표준 2 2" xfId="7" xr:uid="{AC5975DF-46DA-45F3-958D-10027B6D9317}"/>
    <cellStyle name="표준 2 2 2" xfId="19" xr:uid="{FE261B0B-83CA-47D9-8457-771962D25F6A}"/>
    <cellStyle name="표준 2 2 2 2" xfId="27" xr:uid="{8D401731-5762-4C23-AF7B-6A7E4EBB5729}"/>
    <cellStyle name="표준 2 2 3" xfId="23" xr:uid="{4646C1EA-B7C1-4C6E-9818-F520DD66A65D}"/>
    <cellStyle name="표준 2 2 4" xfId="15" xr:uid="{C617AFA8-72AD-4B4E-8CC1-6665970F0CAD}"/>
    <cellStyle name="표준 2 3 2 2" xfId="10" xr:uid="{5B14E55A-692F-4557-A12E-38EC1BA6B64A}"/>
    <cellStyle name="표준 2 3 2 2 2" xfId="21" xr:uid="{D478FED4-56C7-4738-B484-6DB39A5AB13E}"/>
    <cellStyle name="표준 2 3 2 2 2 2" xfId="29" xr:uid="{ECD50AE1-D466-490C-9603-E6FF3A7D1459}"/>
    <cellStyle name="표준 2 3 2 2 3" xfId="25" xr:uid="{DFAB893D-C449-47D9-B6B2-AC9B9A545426}"/>
    <cellStyle name="표준 2 3 2 2 4" xfId="17" xr:uid="{209639F3-62DC-4DF1-BE41-5B5D0740E489}"/>
    <cellStyle name="표준 3" xfId="3" xr:uid="{00000000-0005-0000-0000-000003000000}"/>
    <cellStyle name="표준 3 2" xfId="12" xr:uid="{AC3F0B0E-1078-47AC-95FD-70421F5CF738}"/>
    <cellStyle name="표준 3 3" xfId="6" xr:uid="{21A32761-0639-49B1-ACEC-3C64EAF07A1D}"/>
    <cellStyle name="표준 4 2" xfId="8" xr:uid="{00FAEE57-ECED-4EBA-A020-B696AC69096B}"/>
    <cellStyle name="표준_Sheet1" xfId="11" xr:uid="{FF666EFD-C6B5-4DD9-A123-4A08632D0099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305" t="s">
        <v>37</v>
      </c>
      <c r="R1" s="305"/>
      <c r="S1" s="305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54" t="s">
        <v>2</v>
      </c>
      <c r="C4" s="256" t="s">
        <v>3</v>
      </c>
      <c r="D4" s="258" t="s">
        <v>4</v>
      </c>
      <c r="E4" s="260" t="s">
        <v>5</v>
      </c>
      <c r="F4" s="262" t="s">
        <v>6</v>
      </c>
      <c r="G4" s="267" t="s">
        <v>7</v>
      </c>
      <c r="H4" s="268"/>
      <c r="I4" s="268"/>
      <c r="J4" s="269"/>
      <c r="K4" s="267" t="s">
        <v>8</v>
      </c>
      <c r="L4" s="268"/>
      <c r="M4" s="268"/>
      <c r="N4" s="269"/>
      <c r="O4" s="267" t="s">
        <v>9</v>
      </c>
      <c r="P4" s="268"/>
      <c r="Q4" s="268"/>
      <c r="R4" s="269"/>
      <c r="S4" s="270" t="s">
        <v>10</v>
      </c>
      <c r="T4" s="17"/>
    </row>
    <row r="5" spans="1:24" ht="33.75" customHeight="1" thickBot="1">
      <c r="B5" s="255"/>
      <c r="C5" s="257"/>
      <c r="D5" s="259"/>
      <c r="E5" s="261"/>
      <c r="F5" s="263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71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72"/>
      <c r="J6" s="29"/>
      <c r="K6" s="30"/>
      <c r="L6" s="28"/>
      <c r="M6" s="272"/>
      <c r="N6" s="29"/>
      <c r="O6" s="27"/>
      <c r="P6" s="28"/>
      <c r="Q6" s="272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73"/>
      <c r="J7" s="39"/>
      <c r="K7" s="40"/>
      <c r="L7" s="38"/>
      <c r="M7" s="273"/>
      <c r="N7" s="39"/>
      <c r="O7" s="37"/>
      <c r="P7" s="38"/>
      <c r="Q7" s="273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74"/>
      <c r="J8" s="48"/>
      <c r="K8" s="49"/>
      <c r="L8" s="47"/>
      <c r="M8" s="274"/>
      <c r="N8" s="48"/>
      <c r="O8" s="46"/>
      <c r="P8" s="47"/>
      <c r="Q8" s="274"/>
      <c r="R8" s="48"/>
      <c r="S8" s="50"/>
      <c r="T8" s="32"/>
    </row>
    <row r="9" spans="1:24" s="7" customFormat="1" ht="30" customHeight="1">
      <c r="A9" s="8"/>
      <c r="B9" s="51"/>
      <c r="C9" s="275" t="s">
        <v>21</v>
      </c>
      <c r="D9" s="276"/>
      <c r="E9" s="276"/>
      <c r="F9" s="276"/>
      <c r="G9" s="277"/>
      <c r="H9" s="278"/>
      <c r="I9" s="278"/>
      <c r="J9" s="279"/>
      <c r="K9" s="277"/>
      <c r="L9" s="278"/>
      <c r="M9" s="278"/>
      <c r="N9" s="279"/>
      <c r="O9" s="277"/>
      <c r="P9" s="278"/>
      <c r="Q9" s="278"/>
      <c r="R9" s="279"/>
      <c r="S9" s="52"/>
      <c r="T9" s="32"/>
    </row>
    <row r="10" spans="1:24" s="7" customFormat="1" ht="30" customHeight="1">
      <c r="A10" s="8"/>
      <c r="B10" s="53"/>
      <c r="C10" s="54"/>
      <c r="D10" s="280" t="s">
        <v>22</v>
      </c>
      <c r="E10" s="280"/>
      <c r="F10" s="281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64" t="s">
        <v>23</v>
      </c>
      <c r="D11" s="265"/>
      <c r="E11" s="265"/>
      <c r="F11" s="266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82" t="s">
        <v>24</v>
      </c>
      <c r="C12" s="283"/>
      <c r="D12" s="283"/>
      <c r="E12" s="283"/>
      <c r="F12" s="284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91" t="s">
        <v>27</v>
      </c>
      <c r="D15" s="292"/>
      <c r="E15" s="285" t="s">
        <v>28</v>
      </c>
      <c r="F15" s="286"/>
      <c r="G15" s="287" t="s">
        <v>29</v>
      </c>
      <c r="H15" s="288"/>
      <c r="I15" s="289" t="s">
        <v>30</v>
      </c>
      <c r="J15" s="290"/>
      <c r="K15" s="287" t="s">
        <v>31</v>
      </c>
      <c r="L15" s="288"/>
      <c r="M15" s="289" t="s">
        <v>32</v>
      </c>
      <c r="N15" s="290"/>
      <c r="O15" s="287" t="s">
        <v>31</v>
      </c>
      <c r="P15" s="288"/>
      <c r="Q15" s="289" t="s">
        <v>32</v>
      </c>
      <c r="R15" s="290"/>
      <c r="S15" s="89" t="s">
        <v>33</v>
      </c>
      <c r="T15" s="90"/>
    </row>
    <row r="16" spans="1:24" s="79" customFormat="1" ht="25.15" customHeight="1" thickTop="1">
      <c r="B16" s="91"/>
      <c r="C16" s="293"/>
      <c r="D16" s="294"/>
      <c r="E16" s="295"/>
      <c r="F16" s="296"/>
      <c r="G16" s="301"/>
      <c r="H16" s="302"/>
      <c r="I16" s="303"/>
      <c r="J16" s="304"/>
      <c r="K16" s="301"/>
      <c r="L16" s="302"/>
      <c r="M16" s="303"/>
      <c r="N16" s="304"/>
      <c r="O16" s="301"/>
      <c r="P16" s="302"/>
      <c r="Q16" s="303"/>
      <c r="R16" s="304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314"/>
      <c r="D17" s="315"/>
      <c r="E17" s="297"/>
      <c r="F17" s="298"/>
      <c r="G17" s="316"/>
      <c r="H17" s="317"/>
      <c r="I17" s="306"/>
      <c r="J17" s="307"/>
      <c r="K17" s="316"/>
      <c r="L17" s="317"/>
      <c r="M17" s="306"/>
      <c r="N17" s="307"/>
      <c r="O17" s="316"/>
      <c r="P17" s="317"/>
      <c r="Q17" s="306"/>
      <c r="R17" s="307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308"/>
      <c r="D18" s="309"/>
      <c r="E18" s="299"/>
      <c r="F18" s="300"/>
      <c r="G18" s="310"/>
      <c r="H18" s="311"/>
      <c r="I18" s="312"/>
      <c r="J18" s="313"/>
      <c r="K18" s="310"/>
      <c r="L18" s="311"/>
      <c r="M18" s="312"/>
      <c r="N18" s="313"/>
      <c r="O18" s="310"/>
      <c r="P18" s="311"/>
      <c r="Q18" s="312"/>
      <c r="R18" s="313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B12:F12"/>
    <mergeCell ref="E15:F15"/>
    <mergeCell ref="G15:H15"/>
    <mergeCell ref="I15:J15"/>
    <mergeCell ref="K15:L15"/>
    <mergeCell ref="C15:D1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4:B5"/>
    <mergeCell ref="C4:C5"/>
    <mergeCell ref="D4:D5"/>
    <mergeCell ref="E4:E5"/>
    <mergeCell ref="F4:F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49"/>
  <sheetViews>
    <sheetView showGridLines="0" tabSelected="1" topLeftCell="D7" zoomScale="130" zoomScaleNormal="130" zoomScaleSheetLayoutView="110" workbookViewId="0">
      <selection activeCell="K22" sqref="K22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8" style="139" customWidth="1"/>
    <col min="4" max="4" width="28.57031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6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6" customWidth="1"/>
    <col min="18" max="18" width="12.28515625" style="226" bestFit="1" customWidth="1"/>
    <col min="19" max="19" width="13.85546875" style="226" bestFit="1" customWidth="1"/>
    <col min="20" max="20" width="9.7109375" style="226" customWidth="1"/>
    <col min="21" max="21" width="8.85546875" style="226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104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7">
        <v>46316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79" t="s">
        <v>44</v>
      </c>
      <c r="B3" s="379"/>
      <c r="C3" s="379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26" t="s">
        <v>2</v>
      </c>
      <c r="C4" s="328" t="s">
        <v>3</v>
      </c>
      <c r="D4" s="330" t="s">
        <v>4</v>
      </c>
      <c r="E4" s="332" t="s">
        <v>5</v>
      </c>
      <c r="F4" s="334" t="s">
        <v>42</v>
      </c>
      <c r="G4" s="388" t="s">
        <v>105</v>
      </c>
      <c r="H4" s="389"/>
      <c r="I4" s="390"/>
      <c r="J4" s="336" t="s">
        <v>100</v>
      </c>
      <c r="K4" s="337"/>
      <c r="L4" s="337"/>
      <c r="M4" s="338"/>
      <c r="N4" s="336" t="s">
        <v>101</v>
      </c>
      <c r="O4" s="337"/>
      <c r="P4" s="337"/>
      <c r="Q4" s="338"/>
      <c r="R4" s="336" t="s">
        <v>102</v>
      </c>
      <c r="S4" s="337"/>
      <c r="T4" s="337"/>
      <c r="U4" s="338"/>
      <c r="V4" s="339" t="s">
        <v>43</v>
      </c>
      <c r="W4" s="144"/>
    </row>
    <row r="5" spans="1:23" ht="27" customHeight="1" thickBot="1">
      <c r="B5" s="327"/>
      <c r="C5" s="329"/>
      <c r="D5" s="331"/>
      <c r="E5" s="333"/>
      <c r="F5" s="335"/>
      <c r="G5" s="145" t="s">
        <v>40</v>
      </c>
      <c r="H5" s="145" t="s">
        <v>41</v>
      </c>
      <c r="I5" s="148" t="s">
        <v>14</v>
      </c>
      <c r="J5" s="145" t="s">
        <v>40</v>
      </c>
      <c r="K5" s="146" t="s">
        <v>41</v>
      </c>
      <c r="L5" s="147" t="s">
        <v>13</v>
      </c>
      <c r="M5" s="147" t="s">
        <v>14</v>
      </c>
      <c r="N5" s="145" t="s">
        <v>40</v>
      </c>
      <c r="O5" s="146" t="s">
        <v>41</v>
      </c>
      <c r="P5" s="147" t="s">
        <v>17</v>
      </c>
      <c r="Q5" s="149" t="s">
        <v>18</v>
      </c>
      <c r="R5" s="145" t="s">
        <v>40</v>
      </c>
      <c r="S5" s="146" t="s">
        <v>41</v>
      </c>
      <c r="T5" s="147" t="s">
        <v>19</v>
      </c>
      <c r="U5" s="149" t="s">
        <v>20</v>
      </c>
      <c r="V5" s="340"/>
      <c r="W5" s="144"/>
    </row>
    <row r="6" spans="1:23" s="237" customFormat="1" ht="27" customHeight="1" thickTop="1">
      <c r="B6" s="238">
        <v>1</v>
      </c>
      <c r="C6" s="228" t="s">
        <v>57</v>
      </c>
      <c r="D6" s="229" t="s">
        <v>74</v>
      </c>
      <c r="E6" s="239" t="s">
        <v>94</v>
      </c>
      <c r="F6" s="239">
        <v>2</v>
      </c>
      <c r="G6" s="240">
        <v>200</v>
      </c>
      <c r="H6" s="240">
        <f>F6*G6</f>
        <v>400</v>
      </c>
      <c r="I6" s="241">
        <f>H6/K6</f>
        <v>1.3333333333333333</v>
      </c>
      <c r="J6" s="249">
        <v>150</v>
      </c>
      <c r="K6" s="250">
        <f>F6*J6</f>
        <v>300</v>
      </c>
      <c r="L6" s="341"/>
      <c r="M6" s="246">
        <v>1</v>
      </c>
      <c r="N6" s="249">
        <v>182</v>
      </c>
      <c r="O6" s="248">
        <v>364</v>
      </c>
      <c r="P6" s="343"/>
      <c r="Q6" s="243">
        <f>O6/K6</f>
        <v>1.2133333333333334</v>
      </c>
      <c r="R6" s="249">
        <v>170</v>
      </c>
      <c r="S6" s="251">
        <v>340</v>
      </c>
      <c r="T6" s="343"/>
      <c r="U6" s="243">
        <f>S6/K6</f>
        <v>1.1333333333333333</v>
      </c>
      <c r="V6" s="150"/>
      <c r="W6" s="151"/>
    </row>
    <row r="7" spans="1:23" s="237" customFormat="1" ht="12" customHeight="1">
      <c r="B7" s="238">
        <v>2</v>
      </c>
      <c r="C7" s="228" t="s">
        <v>58</v>
      </c>
      <c r="D7" s="230" t="s">
        <v>75</v>
      </c>
      <c r="E7" s="239" t="s">
        <v>95</v>
      </c>
      <c r="F7" s="239">
        <v>200</v>
      </c>
      <c r="G7" s="245">
        <v>11</v>
      </c>
      <c r="H7" s="240">
        <f t="shared" ref="H7:H26" si="0">F7*G7</f>
        <v>2200</v>
      </c>
      <c r="I7" s="241">
        <f t="shared" ref="I7:I26" si="1">H7/K7</f>
        <v>1.2222222222222223</v>
      </c>
      <c r="J7" s="249">
        <v>9</v>
      </c>
      <c r="K7" s="250">
        <f t="shared" ref="K7:K26" si="2">F7*J7</f>
        <v>1800</v>
      </c>
      <c r="L7" s="342"/>
      <c r="M7" s="246">
        <v>1</v>
      </c>
      <c r="N7" s="242">
        <v>12</v>
      </c>
      <c r="O7" s="244">
        <v>2400</v>
      </c>
      <c r="P7" s="342"/>
      <c r="Q7" s="246">
        <f t="shared" ref="Q7:Q26" si="3">O7/K7</f>
        <v>1.3333333333333333</v>
      </c>
      <c r="R7" s="242">
        <v>16</v>
      </c>
      <c r="S7" s="244">
        <v>3200</v>
      </c>
      <c r="T7" s="344"/>
      <c r="U7" s="246">
        <f t="shared" ref="U7:U25" si="4">S7/K7</f>
        <v>1.7777777777777777</v>
      </c>
      <c r="V7" s="152"/>
      <c r="W7" s="151"/>
    </row>
    <row r="8" spans="1:23" s="237" customFormat="1" ht="12" customHeight="1">
      <c r="B8" s="238">
        <v>3</v>
      </c>
      <c r="C8" s="228" t="s">
        <v>59</v>
      </c>
      <c r="D8" s="230" t="s">
        <v>76</v>
      </c>
      <c r="E8" s="239" t="s">
        <v>95</v>
      </c>
      <c r="F8" s="239">
        <v>400</v>
      </c>
      <c r="G8" s="245">
        <v>3</v>
      </c>
      <c r="H8" s="240">
        <f t="shared" si="0"/>
        <v>1200</v>
      </c>
      <c r="I8" s="241">
        <f t="shared" si="1"/>
        <v>1</v>
      </c>
      <c r="J8" s="249">
        <v>3</v>
      </c>
      <c r="K8" s="250">
        <f t="shared" si="2"/>
        <v>1200</v>
      </c>
      <c r="L8" s="342"/>
      <c r="M8" s="246">
        <v>1</v>
      </c>
      <c r="N8" s="242">
        <v>4</v>
      </c>
      <c r="O8" s="244">
        <v>1600</v>
      </c>
      <c r="P8" s="342"/>
      <c r="Q8" s="246">
        <f t="shared" si="3"/>
        <v>1.3333333333333333</v>
      </c>
      <c r="R8" s="242">
        <v>3.5</v>
      </c>
      <c r="S8" s="244">
        <v>1400</v>
      </c>
      <c r="T8" s="344"/>
      <c r="U8" s="246">
        <f t="shared" si="4"/>
        <v>1.1666666666666667</v>
      </c>
      <c r="V8" s="152"/>
      <c r="W8" s="151"/>
    </row>
    <row r="9" spans="1:23" s="237" customFormat="1" ht="12" customHeight="1">
      <c r="B9" s="238">
        <v>4</v>
      </c>
      <c r="C9" s="228" t="s">
        <v>59</v>
      </c>
      <c r="D9" s="230" t="s">
        <v>77</v>
      </c>
      <c r="E9" s="239" t="s">
        <v>95</v>
      </c>
      <c r="F9" s="239">
        <v>400</v>
      </c>
      <c r="G9" s="245">
        <v>3</v>
      </c>
      <c r="H9" s="240">
        <f t="shared" si="0"/>
        <v>1200</v>
      </c>
      <c r="I9" s="241">
        <f t="shared" si="1"/>
        <v>1</v>
      </c>
      <c r="J9" s="249">
        <v>3</v>
      </c>
      <c r="K9" s="250">
        <f t="shared" si="2"/>
        <v>1200</v>
      </c>
      <c r="L9" s="342"/>
      <c r="M9" s="246">
        <v>1</v>
      </c>
      <c r="N9" s="242">
        <v>4</v>
      </c>
      <c r="O9" s="244">
        <v>1600</v>
      </c>
      <c r="P9" s="342"/>
      <c r="Q9" s="246">
        <f t="shared" si="3"/>
        <v>1.3333333333333333</v>
      </c>
      <c r="R9" s="242">
        <v>3.5</v>
      </c>
      <c r="S9" s="244">
        <v>1400</v>
      </c>
      <c r="T9" s="344"/>
      <c r="U9" s="246">
        <f t="shared" si="4"/>
        <v>1.1666666666666667</v>
      </c>
      <c r="V9" s="152"/>
      <c r="W9" s="151"/>
    </row>
    <row r="10" spans="1:23" s="237" customFormat="1" ht="12" customHeight="1">
      <c r="B10" s="238">
        <v>5</v>
      </c>
      <c r="C10" s="228" t="s">
        <v>60</v>
      </c>
      <c r="D10" s="230" t="s">
        <v>78</v>
      </c>
      <c r="E10" s="239" t="s">
        <v>95</v>
      </c>
      <c r="F10" s="239">
        <v>872</v>
      </c>
      <c r="G10" s="245">
        <v>19</v>
      </c>
      <c r="H10" s="240">
        <f t="shared" si="0"/>
        <v>16568</v>
      </c>
      <c r="I10" s="241">
        <f t="shared" si="1"/>
        <v>1</v>
      </c>
      <c r="J10" s="249">
        <v>19</v>
      </c>
      <c r="K10" s="250">
        <f t="shared" si="2"/>
        <v>16568</v>
      </c>
      <c r="L10" s="342"/>
      <c r="M10" s="246">
        <v>1</v>
      </c>
      <c r="N10" s="242">
        <v>22</v>
      </c>
      <c r="O10" s="244">
        <v>19184</v>
      </c>
      <c r="P10" s="342"/>
      <c r="Q10" s="246">
        <f t="shared" si="3"/>
        <v>1.1578947368421053</v>
      </c>
      <c r="R10" s="242">
        <v>30</v>
      </c>
      <c r="S10" s="244">
        <v>26160</v>
      </c>
      <c r="T10" s="344"/>
      <c r="U10" s="246">
        <f t="shared" si="4"/>
        <v>1.5789473684210527</v>
      </c>
      <c r="V10" s="152"/>
      <c r="W10" s="151"/>
    </row>
    <row r="11" spans="1:23" s="237" customFormat="1" ht="12" customHeight="1">
      <c r="B11" s="238">
        <v>6</v>
      </c>
      <c r="C11" s="228" t="s">
        <v>61</v>
      </c>
      <c r="D11" s="230" t="s">
        <v>79</v>
      </c>
      <c r="E11" s="239" t="s">
        <v>95</v>
      </c>
      <c r="F11" s="239">
        <v>300</v>
      </c>
      <c r="G11" s="245">
        <v>3</v>
      </c>
      <c r="H11" s="240">
        <f t="shared" si="0"/>
        <v>900</v>
      </c>
      <c r="I11" s="241">
        <f t="shared" si="1"/>
        <v>1.6216216216216217</v>
      </c>
      <c r="J11" s="249">
        <v>1.85</v>
      </c>
      <c r="K11" s="250">
        <f t="shared" si="2"/>
        <v>555</v>
      </c>
      <c r="L11" s="342"/>
      <c r="M11" s="246">
        <v>1</v>
      </c>
      <c r="N11" s="242">
        <v>2</v>
      </c>
      <c r="O11" s="244">
        <v>600</v>
      </c>
      <c r="P11" s="342"/>
      <c r="Q11" s="246">
        <f t="shared" si="3"/>
        <v>1.0810810810810811</v>
      </c>
      <c r="R11" s="242">
        <v>4.5999999999999996</v>
      </c>
      <c r="S11" s="244">
        <v>1380</v>
      </c>
      <c r="T11" s="344"/>
      <c r="U11" s="246">
        <f t="shared" si="4"/>
        <v>2.4864864864864864</v>
      </c>
      <c r="V11" s="152"/>
      <c r="W11" s="151"/>
    </row>
    <row r="12" spans="1:23" s="237" customFormat="1" ht="12" customHeight="1">
      <c r="B12" s="238">
        <v>7</v>
      </c>
      <c r="C12" s="228" t="s">
        <v>62</v>
      </c>
      <c r="D12" s="230" t="s">
        <v>80</v>
      </c>
      <c r="E12" s="239" t="s">
        <v>39</v>
      </c>
      <c r="F12" s="239">
        <v>75</v>
      </c>
      <c r="G12" s="245">
        <v>7</v>
      </c>
      <c r="H12" s="240">
        <f t="shared" si="0"/>
        <v>525</v>
      </c>
      <c r="I12" s="241">
        <f t="shared" si="1"/>
        <v>1.0769230769230769</v>
      </c>
      <c r="J12" s="249">
        <v>6.5</v>
      </c>
      <c r="K12" s="250">
        <f t="shared" si="2"/>
        <v>487.5</v>
      </c>
      <c r="L12" s="342"/>
      <c r="M12" s="246">
        <v>1</v>
      </c>
      <c r="N12" s="242">
        <v>7.5</v>
      </c>
      <c r="O12" s="244">
        <v>562.5</v>
      </c>
      <c r="P12" s="342"/>
      <c r="Q12" s="246">
        <f t="shared" si="3"/>
        <v>1.1538461538461537</v>
      </c>
      <c r="R12" s="242">
        <v>7</v>
      </c>
      <c r="S12" s="244">
        <v>525</v>
      </c>
      <c r="T12" s="344"/>
      <c r="U12" s="246">
        <f t="shared" si="4"/>
        <v>1.0769230769230769</v>
      </c>
      <c r="V12" s="152"/>
      <c r="W12" s="151"/>
    </row>
    <row r="13" spans="1:23" s="237" customFormat="1" ht="12" customHeight="1">
      <c r="B13" s="238">
        <v>8</v>
      </c>
      <c r="C13" s="228" t="s">
        <v>63</v>
      </c>
      <c r="D13" s="230" t="s">
        <v>81</v>
      </c>
      <c r="E13" s="239" t="s">
        <v>39</v>
      </c>
      <c r="F13" s="239">
        <v>1000</v>
      </c>
      <c r="G13" s="245">
        <v>2</v>
      </c>
      <c r="H13" s="240">
        <f t="shared" si="0"/>
        <v>2000</v>
      </c>
      <c r="I13" s="241">
        <f t="shared" si="1"/>
        <v>1.1428571428571428</v>
      </c>
      <c r="J13" s="249">
        <v>1.75</v>
      </c>
      <c r="K13" s="250">
        <f t="shared" si="2"/>
        <v>1750</v>
      </c>
      <c r="L13" s="342"/>
      <c r="M13" s="246">
        <v>1</v>
      </c>
      <c r="N13" s="242">
        <v>2</v>
      </c>
      <c r="O13" s="244">
        <v>2000</v>
      </c>
      <c r="P13" s="342"/>
      <c r="Q13" s="246">
        <f t="shared" si="3"/>
        <v>1.1428571428571428</v>
      </c>
      <c r="R13" s="242">
        <v>3.25</v>
      </c>
      <c r="S13" s="244">
        <v>3250</v>
      </c>
      <c r="T13" s="344"/>
      <c r="U13" s="246">
        <f t="shared" si="4"/>
        <v>1.8571428571428572</v>
      </c>
      <c r="V13" s="152"/>
      <c r="W13" s="151"/>
    </row>
    <row r="14" spans="1:23" s="237" customFormat="1" ht="12" customHeight="1">
      <c r="B14" s="238">
        <v>9</v>
      </c>
      <c r="C14" s="228" t="s">
        <v>64</v>
      </c>
      <c r="D14" s="230" t="s">
        <v>82</v>
      </c>
      <c r="E14" s="239" t="s">
        <v>39</v>
      </c>
      <c r="F14" s="239">
        <v>60</v>
      </c>
      <c r="G14" s="245">
        <v>48</v>
      </c>
      <c r="H14" s="240">
        <f t="shared" si="0"/>
        <v>2880</v>
      </c>
      <c r="I14" s="241">
        <f t="shared" si="1"/>
        <v>1.1428571428571428</v>
      </c>
      <c r="J14" s="249">
        <v>42</v>
      </c>
      <c r="K14" s="250">
        <f t="shared" si="2"/>
        <v>2520</v>
      </c>
      <c r="L14" s="342"/>
      <c r="M14" s="246">
        <v>1</v>
      </c>
      <c r="N14" s="242">
        <v>48</v>
      </c>
      <c r="O14" s="244">
        <v>2880</v>
      </c>
      <c r="P14" s="342"/>
      <c r="Q14" s="246">
        <f t="shared" si="3"/>
        <v>1.1428571428571428</v>
      </c>
      <c r="R14" s="242">
        <v>60</v>
      </c>
      <c r="S14" s="244">
        <v>3600</v>
      </c>
      <c r="T14" s="344"/>
      <c r="U14" s="246">
        <f t="shared" si="4"/>
        <v>1.4285714285714286</v>
      </c>
      <c r="V14" s="152"/>
      <c r="W14" s="151"/>
    </row>
    <row r="15" spans="1:23" s="237" customFormat="1" ht="12" customHeight="1">
      <c r="B15" s="238">
        <v>10</v>
      </c>
      <c r="C15" s="228" t="s">
        <v>65</v>
      </c>
      <c r="D15" s="230" t="s">
        <v>83</v>
      </c>
      <c r="E15" s="239" t="s">
        <v>39</v>
      </c>
      <c r="F15" s="239">
        <v>50</v>
      </c>
      <c r="G15" s="245">
        <v>6</v>
      </c>
      <c r="H15" s="240">
        <f t="shared" si="0"/>
        <v>300</v>
      </c>
      <c r="I15" s="241">
        <f t="shared" si="1"/>
        <v>1.2</v>
      </c>
      <c r="J15" s="249">
        <v>5</v>
      </c>
      <c r="K15" s="250">
        <f t="shared" si="2"/>
        <v>250</v>
      </c>
      <c r="L15" s="342"/>
      <c r="M15" s="246">
        <v>1</v>
      </c>
      <c r="N15" s="242">
        <v>5.75</v>
      </c>
      <c r="O15" s="244">
        <v>287.5</v>
      </c>
      <c r="P15" s="342"/>
      <c r="Q15" s="246">
        <f t="shared" si="3"/>
        <v>1.1499999999999999</v>
      </c>
      <c r="R15" s="242">
        <v>7</v>
      </c>
      <c r="S15" s="244">
        <v>350</v>
      </c>
      <c r="T15" s="344"/>
      <c r="U15" s="246">
        <f t="shared" si="4"/>
        <v>1.4</v>
      </c>
      <c r="V15" s="152"/>
      <c r="W15" s="151"/>
    </row>
    <row r="16" spans="1:23" s="237" customFormat="1" ht="12" customHeight="1">
      <c r="B16" s="238">
        <v>11</v>
      </c>
      <c r="C16" s="228" t="s">
        <v>66</v>
      </c>
      <c r="D16" s="230" t="s">
        <v>84</v>
      </c>
      <c r="E16" s="239" t="s">
        <v>39</v>
      </c>
      <c r="F16" s="239">
        <v>50</v>
      </c>
      <c r="G16" s="245">
        <v>14</v>
      </c>
      <c r="H16" s="240">
        <f t="shared" si="0"/>
        <v>700</v>
      </c>
      <c r="I16" s="241">
        <f t="shared" si="1"/>
        <v>1.6470588235294117</v>
      </c>
      <c r="J16" s="249">
        <v>8.5</v>
      </c>
      <c r="K16" s="250">
        <f t="shared" si="2"/>
        <v>425</v>
      </c>
      <c r="L16" s="342"/>
      <c r="M16" s="246">
        <v>1</v>
      </c>
      <c r="N16" s="242">
        <v>10</v>
      </c>
      <c r="O16" s="244">
        <v>500</v>
      </c>
      <c r="P16" s="342"/>
      <c r="Q16" s="246">
        <f t="shared" si="3"/>
        <v>1.1764705882352942</v>
      </c>
      <c r="R16" s="242">
        <v>14</v>
      </c>
      <c r="S16" s="244">
        <v>700</v>
      </c>
      <c r="T16" s="344"/>
      <c r="U16" s="246">
        <f t="shared" si="4"/>
        <v>1.6470588235294117</v>
      </c>
      <c r="V16" s="152"/>
      <c r="W16" s="151"/>
    </row>
    <row r="17" spans="1:27" s="237" customFormat="1" ht="12" customHeight="1">
      <c r="B17" s="238">
        <v>12</v>
      </c>
      <c r="C17" s="228" t="s">
        <v>67</v>
      </c>
      <c r="D17" s="230" t="s">
        <v>85</v>
      </c>
      <c r="E17" s="239" t="s">
        <v>39</v>
      </c>
      <c r="F17" s="239">
        <v>3</v>
      </c>
      <c r="G17" s="245">
        <v>45</v>
      </c>
      <c r="H17" s="240">
        <f t="shared" si="0"/>
        <v>135</v>
      </c>
      <c r="I17" s="241">
        <f t="shared" si="1"/>
        <v>1.40625</v>
      </c>
      <c r="J17" s="249">
        <v>32</v>
      </c>
      <c r="K17" s="250">
        <f t="shared" si="2"/>
        <v>96</v>
      </c>
      <c r="L17" s="342"/>
      <c r="M17" s="246">
        <v>1</v>
      </c>
      <c r="N17" s="242">
        <v>38</v>
      </c>
      <c r="O17" s="244">
        <v>114</v>
      </c>
      <c r="P17" s="342"/>
      <c r="Q17" s="246">
        <f t="shared" si="3"/>
        <v>1.1875</v>
      </c>
      <c r="R17" s="242">
        <v>35</v>
      </c>
      <c r="S17" s="244">
        <v>105</v>
      </c>
      <c r="T17" s="344"/>
      <c r="U17" s="246">
        <f t="shared" si="4"/>
        <v>1.09375</v>
      </c>
      <c r="V17" s="152"/>
      <c r="W17" s="151"/>
    </row>
    <row r="18" spans="1:27" s="237" customFormat="1" ht="12" customHeight="1">
      <c r="B18" s="238">
        <v>13</v>
      </c>
      <c r="C18" s="228" t="s">
        <v>68</v>
      </c>
      <c r="D18" s="230" t="s">
        <v>86</v>
      </c>
      <c r="E18" s="239" t="s">
        <v>96</v>
      </c>
      <c r="F18" s="239">
        <v>100</v>
      </c>
      <c r="G18" s="245">
        <v>13</v>
      </c>
      <c r="H18" s="240">
        <f t="shared" si="0"/>
        <v>1300</v>
      </c>
      <c r="I18" s="241">
        <f t="shared" si="1"/>
        <v>1.0833333333333333</v>
      </c>
      <c r="J18" s="249">
        <v>12</v>
      </c>
      <c r="K18" s="250">
        <f t="shared" si="2"/>
        <v>1200</v>
      </c>
      <c r="L18" s="342"/>
      <c r="M18" s="246">
        <v>1</v>
      </c>
      <c r="N18" s="242">
        <v>14</v>
      </c>
      <c r="O18" s="244">
        <v>1400</v>
      </c>
      <c r="P18" s="342"/>
      <c r="Q18" s="246">
        <f t="shared" si="3"/>
        <v>1.1666666666666667</v>
      </c>
      <c r="R18" s="242">
        <v>18</v>
      </c>
      <c r="S18" s="244">
        <v>1800</v>
      </c>
      <c r="T18" s="344"/>
      <c r="U18" s="246">
        <f t="shared" si="4"/>
        <v>1.5</v>
      </c>
      <c r="V18" s="152"/>
      <c r="W18" s="151"/>
    </row>
    <row r="19" spans="1:27" s="237" customFormat="1" ht="12" customHeight="1">
      <c r="B19" s="238">
        <v>14</v>
      </c>
      <c r="C19" s="228" t="s">
        <v>69</v>
      </c>
      <c r="D19" s="230" t="s">
        <v>87</v>
      </c>
      <c r="E19" s="239" t="s">
        <v>94</v>
      </c>
      <c r="F19" s="239">
        <v>2</v>
      </c>
      <c r="G19" s="245">
        <v>48</v>
      </c>
      <c r="H19" s="240">
        <f t="shared" si="0"/>
        <v>96</v>
      </c>
      <c r="I19" s="241">
        <f t="shared" si="1"/>
        <v>1.6</v>
      </c>
      <c r="J19" s="249">
        <v>30</v>
      </c>
      <c r="K19" s="250">
        <f t="shared" si="2"/>
        <v>60</v>
      </c>
      <c r="L19" s="342"/>
      <c r="M19" s="246">
        <v>1</v>
      </c>
      <c r="N19" s="242">
        <v>35</v>
      </c>
      <c r="O19" s="244">
        <v>70</v>
      </c>
      <c r="P19" s="342"/>
      <c r="Q19" s="246">
        <f t="shared" si="3"/>
        <v>1.1666666666666667</v>
      </c>
      <c r="R19" s="242">
        <v>41</v>
      </c>
      <c r="S19" s="244">
        <v>82</v>
      </c>
      <c r="T19" s="344"/>
      <c r="U19" s="246">
        <f t="shared" si="4"/>
        <v>1.3666666666666667</v>
      </c>
      <c r="V19" s="152"/>
      <c r="W19" s="151"/>
    </row>
    <row r="20" spans="1:27" s="237" customFormat="1" ht="12" customHeight="1">
      <c r="B20" s="238">
        <v>15</v>
      </c>
      <c r="C20" s="228" t="s">
        <v>70</v>
      </c>
      <c r="D20" s="230" t="s">
        <v>87</v>
      </c>
      <c r="E20" s="239" t="s">
        <v>94</v>
      </c>
      <c r="F20" s="239">
        <v>2</v>
      </c>
      <c r="G20" s="245">
        <v>72</v>
      </c>
      <c r="H20" s="240">
        <f t="shared" si="0"/>
        <v>144</v>
      </c>
      <c r="I20" s="241">
        <f t="shared" si="1"/>
        <v>1.2</v>
      </c>
      <c r="J20" s="249">
        <v>60</v>
      </c>
      <c r="K20" s="250">
        <f t="shared" si="2"/>
        <v>120</v>
      </c>
      <c r="L20" s="342"/>
      <c r="M20" s="246">
        <v>1</v>
      </c>
      <c r="N20" s="242">
        <v>68</v>
      </c>
      <c r="O20" s="244">
        <v>136</v>
      </c>
      <c r="P20" s="342"/>
      <c r="Q20" s="246">
        <f t="shared" si="3"/>
        <v>1.1333333333333333</v>
      </c>
      <c r="R20" s="242">
        <v>82</v>
      </c>
      <c r="S20" s="244">
        <v>164</v>
      </c>
      <c r="T20" s="344"/>
      <c r="U20" s="246">
        <f t="shared" si="4"/>
        <v>1.3666666666666667</v>
      </c>
      <c r="V20" s="152"/>
      <c r="W20" s="151"/>
    </row>
    <row r="21" spans="1:27" s="237" customFormat="1" ht="12" customHeight="1">
      <c r="B21" s="238">
        <v>16</v>
      </c>
      <c r="C21" s="228" t="s">
        <v>71</v>
      </c>
      <c r="D21" s="230" t="s">
        <v>88</v>
      </c>
      <c r="E21" s="239" t="s">
        <v>39</v>
      </c>
      <c r="F21" s="239">
        <v>1500</v>
      </c>
      <c r="G21" s="245">
        <v>3</v>
      </c>
      <c r="H21" s="240">
        <f t="shared" si="0"/>
        <v>4500</v>
      </c>
      <c r="I21" s="241">
        <f t="shared" si="1"/>
        <v>1.2</v>
      </c>
      <c r="J21" s="249">
        <v>2.5</v>
      </c>
      <c r="K21" s="250">
        <f t="shared" si="2"/>
        <v>3750</v>
      </c>
      <c r="L21" s="342"/>
      <c r="M21" s="246">
        <v>1</v>
      </c>
      <c r="N21" s="242">
        <v>3.5</v>
      </c>
      <c r="O21" s="244">
        <v>5250</v>
      </c>
      <c r="P21" s="342"/>
      <c r="Q21" s="246">
        <f t="shared" si="3"/>
        <v>1.4</v>
      </c>
      <c r="R21" s="242">
        <v>3</v>
      </c>
      <c r="S21" s="244">
        <v>4500</v>
      </c>
      <c r="T21" s="344"/>
      <c r="U21" s="246">
        <f t="shared" si="4"/>
        <v>1.2</v>
      </c>
      <c r="V21" s="152"/>
      <c r="W21" s="151"/>
    </row>
    <row r="22" spans="1:27" s="237" customFormat="1" ht="12" customHeight="1">
      <c r="B22" s="238">
        <v>17</v>
      </c>
      <c r="C22" s="228" t="s">
        <v>72</v>
      </c>
      <c r="D22" s="230" t="s">
        <v>89</v>
      </c>
      <c r="E22" s="239" t="s">
        <v>97</v>
      </c>
      <c r="F22" s="239">
        <v>2340</v>
      </c>
      <c r="G22" s="245">
        <v>5</v>
      </c>
      <c r="H22" s="240">
        <f t="shared" si="0"/>
        <v>11700</v>
      </c>
      <c r="I22" s="241">
        <f t="shared" si="1"/>
        <v>1.1627906976744187</v>
      </c>
      <c r="J22" s="249">
        <v>4.3</v>
      </c>
      <c r="K22" s="250">
        <f t="shared" si="2"/>
        <v>10062</v>
      </c>
      <c r="L22" s="342"/>
      <c r="M22" s="246">
        <v>1</v>
      </c>
      <c r="N22" s="242">
        <v>5</v>
      </c>
      <c r="O22" s="244">
        <v>11700</v>
      </c>
      <c r="P22" s="342"/>
      <c r="Q22" s="246">
        <f t="shared" si="3"/>
        <v>1.1627906976744187</v>
      </c>
      <c r="R22" s="242">
        <v>6.5</v>
      </c>
      <c r="S22" s="244">
        <v>15210</v>
      </c>
      <c r="T22" s="344"/>
      <c r="U22" s="246">
        <f t="shared" si="4"/>
        <v>1.5116279069767442</v>
      </c>
      <c r="V22" s="152"/>
      <c r="W22" s="151"/>
    </row>
    <row r="23" spans="1:27" s="237" customFormat="1" ht="12" customHeight="1">
      <c r="B23" s="238">
        <v>18</v>
      </c>
      <c r="C23" s="228" t="s">
        <v>62</v>
      </c>
      <c r="D23" s="230" t="s">
        <v>90</v>
      </c>
      <c r="E23" s="239" t="s">
        <v>39</v>
      </c>
      <c r="F23" s="239">
        <v>10</v>
      </c>
      <c r="G23" s="245">
        <v>15</v>
      </c>
      <c r="H23" s="240">
        <f t="shared" si="0"/>
        <v>150</v>
      </c>
      <c r="I23" s="241">
        <f t="shared" si="1"/>
        <v>1.25</v>
      </c>
      <c r="J23" s="249">
        <v>12</v>
      </c>
      <c r="K23" s="250">
        <f t="shared" si="2"/>
        <v>120</v>
      </c>
      <c r="L23" s="342"/>
      <c r="M23" s="246">
        <v>1</v>
      </c>
      <c r="N23" s="242">
        <v>14</v>
      </c>
      <c r="O23" s="244">
        <v>140</v>
      </c>
      <c r="P23" s="342"/>
      <c r="Q23" s="246">
        <f t="shared" si="3"/>
        <v>1.1666666666666667</v>
      </c>
      <c r="R23" s="242">
        <v>16</v>
      </c>
      <c r="S23" s="244">
        <v>160</v>
      </c>
      <c r="T23" s="344"/>
      <c r="U23" s="246">
        <f t="shared" si="4"/>
        <v>1.3333333333333333</v>
      </c>
      <c r="V23" s="152"/>
      <c r="W23" s="151"/>
    </row>
    <row r="24" spans="1:27" s="237" customFormat="1" ht="12" customHeight="1">
      <c r="B24" s="238">
        <v>19</v>
      </c>
      <c r="C24" s="228" t="s">
        <v>68</v>
      </c>
      <c r="D24" s="230" t="s">
        <v>91</v>
      </c>
      <c r="E24" s="239" t="s">
        <v>98</v>
      </c>
      <c r="F24" s="239">
        <v>60</v>
      </c>
      <c r="G24" s="245">
        <v>8</v>
      </c>
      <c r="H24" s="240">
        <f t="shared" si="0"/>
        <v>480</v>
      </c>
      <c r="I24" s="241">
        <f t="shared" si="1"/>
        <v>1</v>
      </c>
      <c r="J24" s="249">
        <v>8</v>
      </c>
      <c r="K24" s="250">
        <f t="shared" si="2"/>
        <v>480</v>
      </c>
      <c r="L24" s="342"/>
      <c r="M24" s="246">
        <v>1</v>
      </c>
      <c r="N24" s="242">
        <v>10</v>
      </c>
      <c r="O24" s="244">
        <v>600</v>
      </c>
      <c r="P24" s="342"/>
      <c r="Q24" s="246">
        <f t="shared" si="3"/>
        <v>1.25</v>
      </c>
      <c r="R24" s="242">
        <v>12</v>
      </c>
      <c r="S24" s="244">
        <v>720</v>
      </c>
      <c r="T24" s="344"/>
      <c r="U24" s="246">
        <f t="shared" si="4"/>
        <v>1.5</v>
      </c>
      <c r="V24" s="152"/>
      <c r="W24" s="151"/>
    </row>
    <row r="25" spans="1:27" s="237" customFormat="1" ht="12" customHeight="1">
      <c r="B25" s="238">
        <v>20</v>
      </c>
      <c r="C25" s="228" t="s">
        <v>68</v>
      </c>
      <c r="D25" s="230" t="s">
        <v>92</v>
      </c>
      <c r="E25" s="239" t="s">
        <v>98</v>
      </c>
      <c r="F25" s="239">
        <v>135</v>
      </c>
      <c r="G25" s="245">
        <v>13</v>
      </c>
      <c r="H25" s="240">
        <f t="shared" si="0"/>
        <v>1755</v>
      </c>
      <c r="I25" s="241">
        <f t="shared" si="1"/>
        <v>1.0833333333333333</v>
      </c>
      <c r="J25" s="249">
        <v>12</v>
      </c>
      <c r="K25" s="250">
        <f t="shared" si="2"/>
        <v>1620</v>
      </c>
      <c r="L25" s="342"/>
      <c r="M25" s="246">
        <v>1</v>
      </c>
      <c r="N25" s="242">
        <v>14</v>
      </c>
      <c r="O25" s="244">
        <v>1890</v>
      </c>
      <c r="P25" s="342"/>
      <c r="Q25" s="246">
        <f t="shared" si="3"/>
        <v>1.1666666666666667</v>
      </c>
      <c r="R25" s="242">
        <v>18</v>
      </c>
      <c r="S25" s="244">
        <v>2430</v>
      </c>
      <c r="T25" s="344"/>
      <c r="U25" s="246">
        <f t="shared" si="4"/>
        <v>1.5</v>
      </c>
      <c r="V25" s="152"/>
      <c r="W25" s="151"/>
    </row>
    <row r="26" spans="1:27" s="237" customFormat="1" ht="12.75" customHeight="1">
      <c r="B26" s="238">
        <v>21</v>
      </c>
      <c r="C26" s="228" t="s">
        <v>73</v>
      </c>
      <c r="D26" s="247" t="s">
        <v>93</v>
      </c>
      <c r="E26" s="239" t="s">
        <v>99</v>
      </c>
      <c r="F26" s="239">
        <v>110</v>
      </c>
      <c r="G26" s="245">
        <v>520</v>
      </c>
      <c r="H26" s="240">
        <f t="shared" si="0"/>
        <v>57200</v>
      </c>
      <c r="I26" s="241">
        <f t="shared" si="1"/>
        <v>1.0833333333333333</v>
      </c>
      <c r="J26" s="249">
        <v>480</v>
      </c>
      <c r="K26" s="250">
        <f t="shared" si="2"/>
        <v>52800</v>
      </c>
      <c r="L26" s="342"/>
      <c r="M26" s="253">
        <v>1</v>
      </c>
      <c r="N26" s="252">
        <v>580</v>
      </c>
      <c r="O26" s="244">
        <v>63800</v>
      </c>
      <c r="P26" s="342"/>
      <c r="Q26" s="253">
        <f t="shared" si="3"/>
        <v>1.2083333333333333</v>
      </c>
      <c r="R26" s="242">
        <v>560</v>
      </c>
      <c r="S26" s="244">
        <v>61600</v>
      </c>
      <c r="T26" s="344"/>
      <c r="U26" s="246">
        <f>S26/K26</f>
        <v>1.1666666666666667</v>
      </c>
      <c r="V26" s="153"/>
      <c r="W26" s="151"/>
    </row>
    <row r="27" spans="1:27" s="133" customFormat="1" ht="33" customHeight="1">
      <c r="A27" s="134"/>
      <c r="B27" s="236"/>
      <c r="C27" s="397" t="s">
        <v>21</v>
      </c>
      <c r="D27" s="398"/>
      <c r="E27" s="398"/>
      <c r="F27" s="398"/>
      <c r="G27" s="318" t="str">
        <f>G4</f>
        <v>Previous Price</v>
      </c>
      <c r="H27" s="386"/>
      <c r="I27" s="387"/>
      <c r="J27" s="318" t="str">
        <f>J4</f>
        <v>ZAITHOON TECHNICAL SERVICES</v>
      </c>
      <c r="K27" s="319"/>
      <c r="L27" s="319"/>
      <c r="M27" s="320"/>
      <c r="N27" s="318" t="str">
        <f>N4</f>
        <v>ASAS EARTH TRADING EST</v>
      </c>
      <c r="O27" s="319"/>
      <c r="P27" s="319"/>
      <c r="Q27" s="320"/>
      <c r="R27" s="321" t="str">
        <f>R4</f>
        <v>ASTA HORIZON COMPANY</v>
      </c>
      <c r="S27" s="322"/>
      <c r="T27" s="322"/>
      <c r="U27" s="323"/>
      <c r="V27" s="235"/>
      <c r="W27" s="154"/>
    </row>
    <row r="28" spans="1:27" s="133" customFormat="1" ht="21.75" customHeight="1">
      <c r="A28" s="134"/>
      <c r="B28" s="155"/>
      <c r="C28" s="156"/>
      <c r="D28" s="324" t="s">
        <v>22</v>
      </c>
      <c r="E28" s="324"/>
      <c r="F28" s="325"/>
      <c r="G28" s="382">
        <f>SUM(H6:H26)</f>
        <v>106333</v>
      </c>
      <c r="H28" s="383"/>
      <c r="I28" s="159"/>
      <c r="J28" s="233"/>
      <c r="K28" s="231">
        <f>SUM(K6:K26)</f>
        <v>97363.5</v>
      </c>
      <c r="L28" s="158"/>
      <c r="M28" s="159"/>
      <c r="N28" s="160"/>
      <c r="O28" s="231">
        <f>SUM(O6:O26)</f>
        <v>117078</v>
      </c>
      <c r="P28" s="157"/>
      <c r="Q28" s="161">
        <f>O28/K28</f>
        <v>1.2024834768676147</v>
      </c>
      <c r="R28" s="160"/>
      <c r="S28" s="231">
        <f>SUM(S6:S26)</f>
        <v>129076</v>
      </c>
      <c r="T28" s="157"/>
      <c r="U28" s="162">
        <f>S28/K28</f>
        <v>1.3257124076270881</v>
      </c>
      <c r="V28" s="163"/>
      <c r="W28" s="154"/>
    </row>
    <row r="29" spans="1:27" ht="21.75" customHeight="1" thickBot="1">
      <c r="B29" s="164"/>
      <c r="C29" s="394" t="s">
        <v>23</v>
      </c>
      <c r="D29" s="395"/>
      <c r="E29" s="395"/>
      <c r="F29" s="396"/>
      <c r="G29" s="384">
        <f>G28*15%</f>
        <v>15949.949999999999</v>
      </c>
      <c r="H29" s="385"/>
      <c r="I29" s="168"/>
      <c r="J29" s="165"/>
      <c r="K29" s="232">
        <f>K28*15%</f>
        <v>14604.525</v>
      </c>
      <c r="L29" s="167"/>
      <c r="M29" s="168"/>
      <c r="N29" s="169"/>
      <c r="O29" s="232">
        <f>O28*15%</f>
        <v>17561.7</v>
      </c>
      <c r="P29" s="167"/>
      <c r="Q29" s="168"/>
      <c r="R29" s="169"/>
      <c r="S29" s="232">
        <f>S28*15%</f>
        <v>19361.399999999998</v>
      </c>
      <c r="T29" s="166"/>
      <c r="U29" s="170"/>
      <c r="V29" s="171"/>
      <c r="W29" s="154"/>
    </row>
    <row r="30" spans="1:27" ht="25.15" customHeight="1" thickBot="1">
      <c r="B30" s="391" t="s">
        <v>46</v>
      </c>
      <c r="C30" s="392"/>
      <c r="D30" s="392"/>
      <c r="E30" s="392"/>
      <c r="F30" s="393"/>
      <c r="G30" s="380">
        <f>SUM(G28:H29)</f>
        <v>122282.95</v>
      </c>
      <c r="H30" s="381"/>
      <c r="I30" s="234">
        <f>G30/K30</f>
        <v>1.0921238451781212</v>
      </c>
      <c r="J30" s="234"/>
      <c r="K30" s="173">
        <f>SUM(K28:K29)</f>
        <v>111968.02499999999</v>
      </c>
      <c r="L30" s="174"/>
      <c r="M30" s="175">
        <v>1</v>
      </c>
      <c r="N30" s="176"/>
      <c r="O30" s="173">
        <f>SUM(O28:O29)</f>
        <v>134639.70000000001</v>
      </c>
      <c r="P30" s="174"/>
      <c r="Q30" s="177">
        <f>O30/K30</f>
        <v>1.2024834768676149</v>
      </c>
      <c r="R30" s="172"/>
      <c r="S30" s="173">
        <f>SUM(S28:S29)</f>
        <v>148437.4</v>
      </c>
      <c r="T30" s="174"/>
      <c r="U30" s="175">
        <f>S30/K30</f>
        <v>1.3257124076270883</v>
      </c>
      <c r="V30" s="178"/>
      <c r="W30" s="179"/>
    </row>
    <row r="31" spans="1:27" s="180" customFormat="1" ht="12" customHeight="1">
      <c r="B31" s="181"/>
      <c r="C31" s="182"/>
      <c r="D31" s="182"/>
      <c r="E31" s="183"/>
      <c r="F31" s="183"/>
      <c r="G31" s="183"/>
      <c r="H31" s="183"/>
      <c r="I31" s="183"/>
      <c r="J31" s="184"/>
      <c r="K31" s="184"/>
      <c r="L31" s="184"/>
      <c r="M31" s="185"/>
      <c r="N31" s="184"/>
      <c r="O31" s="184"/>
      <c r="P31" s="184"/>
      <c r="Q31" s="185"/>
      <c r="R31" s="185"/>
      <c r="S31" s="185"/>
      <c r="T31" s="185"/>
      <c r="U31" s="185"/>
      <c r="V31" s="186"/>
      <c r="W31" s="187"/>
      <c r="X31" s="188"/>
      <c r="Y31" s="188"/>
      <c r="Z31" s="188"/>
      <c r="AA31" s="188"/>
    </row>
    <row r="32" spans="1:27" ht="18" customHeight="1" thickBot="1">
      <c r="A32" s="135" t="s">
        <v>45</v>
      </c>
      <c r="B32" s="135"/>
      <c r="C32" s="136"/>
      <c r="D32" s="137"/>
      <c r="E32" s="135"/>
      <c r="F32" s="135"/>
      <c r="G32" s="135"/>
      <c r="H32" s="135"/>
      <c r="I32" s="135"/>
      <c r="J32" s="135"/>
      <c r="K32" s="135"/>
      <c r="L32" s="135"/>
      <c r="M32" s="138"/>
      <c r="N32" s="135"/>
      <c r="O32" s="135"/>
      <c r="P32" s="135"/>
      <c r="Q32" s="138"/>
      <c r="R32" s="138"/>
      <c r="S32" s="138"/>
      <c r="T32" s="138"/>
      <c r="U32" s="138"/>
      <c r="V32" s="142" t="s">
        <v>25</v>
      </c>
      <c r="W32" s="142"/>
    </row>
    <row r="33" spans="1:27" ht="23.25" customHeight="1" thickBot="1">
      <c r="B33" s="143" t="s">
        <v>47</v>
      </c>
      <c r="C33" s="355" t="s">
        <v>48</v>
      </c>
      <c r="D33" s="356"/>
      <c r="E33" s="355" t="s">
        <v>49</v>
      </c>
      <c r="F33" s="357"/>
      <c r="G33" s="357"/>
      <c r="H33" s="357"/>
      <c r="I33" s="356"/>
      <c r="J33" s="345" t="s">
        <v>50</v>
      </c>
      <c r="K33" s="346"/>
      <c r="L33" s="347" t="s">
        <v>51</v>
      </c>
      <c r="M33" s="348"/>
      <c r="N33" s="345" t="s">
        <v>52</v>
      </c>
      <c r="O33" s="346"/>
      <c r="P33" s="347" t="s">
        <v>51</v>
      </c>
      <c r="Q33" s="348"/>
      <c r="R33" s="345" t="s">
        <v>52</v>
      </c>
      <c r="S33" s="346"/>
      <c r="T33" s="347" t="s">
        <v>51</v>
      </c>
      <c r="U33" s="348"/>
      <c r="V33" s="189" t="s">
        <v>53</v>
      </c>
      <c r="W33" s="190"/>
    </row>
    <row r="34" spans="1:27" s="180" customFormat="1" ht="25.15" customHeight="1" thickTop="1">
      <c r="B34" s="191">
        <v>1</v>
      </c>
      <c r="C34" s="349" t="str">
        <f>+J27</f>
        <v>ZAITHOON TECHNICAL SERVICES</v>
      </c>
      <c r="D34" s="350"/>
      <c r="E34" s="370">
        <f>K30</f>
        <v>111968.02499999999</v>
      </c>
      <c r="F34" s="371"/>
      <c r="G34" s="371"/>
      <c r="H34" s="371"/>
      <c r="I34" s="372"/>
      <c r="J34" s="351">
        <f>K30</f>
        <v>111968.02499999999</v>
      </c>
      <c r="K34" s="352"/>
      <c r="L34" s="353">
        <v>1</v>
      </c>
      <c r="M34" s="354"/>
      <c r="N34" s="351">
        <f>E34</f>
        <v>111968.02499999999</v>
      </c>
      <c r="O34" s="352"/>
      <c r="P34" s="353">
        <f>N34/E34</f>
        <v>1</v>
      </c>
      <c r="Q34" s="354">
        <f>N34/E34</f>
        <v>1</v>
      </c>
      <c r="R34" s="351">
        <f>E34</f>
        <v>111968.02499999999</v>
      </c>
      <c r="S34" s="352"/>
      <c r="T34" s="353">
        <f>R34/E34</f>
        <v>1</v>
      </c>
      <c r="U34" s="354">
        <f>R34/E34</f>
        <v>1</v>
      </c>
      <c r="V34" s="192"/>
      <c r="W34" s="193"/>
      <c r="X34" s="188"/>
      <c r="Y34" s="188"/>
      <c r="Z34" s="188"/>
      <c r="AA34" s="188"/>
    </row>
    <row r="35" spans="1:27" s="180" customFormat="1" ht="25.15" customHeight="1">
      <c r="B35" s="194">
        <v>2</v>
      </c>
      <c r="C35" s="362" t="str">
        <f>+N27</f>
        <v>ASAS EARTH TRADING EST</v>
      </c>
      <c r="D35" s="363"/>
      <c r="E35" s="373"/>
      <c r="F35" s="374"/>
      <c r="G35" s="374"/>
      <c r="H35" s="374"/>
      <c r="I35" s="375"/>
      <c r="J35" s="364">
        <f>O30</f>
        <v>134639.70000000001</v>
      </c>
      <c r="K35" s="365"/>
      <c r="L35" s="366">
        <f>J35/E34</f>
        <v>1.2024834768676149</v>
      </c>
      <c r="M35" s="367"/>
      <c r="N35" s="364">
        <f>J35</f>
        <v>134639.70000000001</v>
      </c>
      <c r="O35" s="365"/>
      <c r="P35" s="366">
        <f>N35/E34</f>
        <v>1.2024834768676149</v>
      </c>
      <c r="Q35" s="367">
        <v>1</v>
      </c>
      <c r="R35" s="364">
        <f>N35</f>
        <v>134639.70000000001</v>
      </c>
      <c r="S35" s="365"/>
      <c r="T35" s="366">
        <f>R35/E34</f>
        <v>1.2024834768676149</v>
      </c>
      <c r="U35" s="367">
        <v>1</v>
      </c>
      <c r="V35" s="195"/>
      <c r="W35" s="193"/>
      <c r="X35" s="188"/>
      <c r="Y35" s="188"/>
      <c r="Z35" s="188"/>
      <c r="AA35" s="188"/>
    </row>
    <row r="36" spans="1:27" s="180" customFormat="1" ht="25.15" customHeight="1" thickBot="1">
      <c r="B36" s="196">
        <v>3</v>
      </c>
      <c r="C36" s="368" t="str">
        <f>+R27</f>
        <v>ASTA HORIZON COMPANY</v>
      </c>
      <c r="D36" s="369"/>
      <c r="E36" s="376"/>
      <c r="F36" s="377"/>
      <c r="G36" s="377"/>
      <c r="H36" s="377"/>
      <c r="I36" s="378"/>
      <c r="J36" s="360">
        <f>S30</f>
        <v>148437.4</v>
      </c>
      <c r="K36" s="361"/>
      <c r="L36" s="358">
        <f>J36/E34</f>
        <v>1.3257124076270883</v>
      </c>
      <c r="M36" s="359"/>
      <c r="N36" s="360">
        <f>J36</f>
        <v>148437.4</v>
      </c>
      <c r="O36" s="361"/>
      <c r="P36" s="358">
        <f>N36/E34</f>
        <v>1.3257124076270883</v>
      </c>
      <c r="Q36" s="359"/>
      <c r="R36" s="360">
        <f>J36</f>
        <v>148437.4</v>
      </c>
      <c r="S36" s="361"/>
      <c r="T36" s="358">
        <f>R36/E34</f>
        <v>1.3257124076270883</v>
      </c>
      <c r="U36" s="359"/>
      <c r="V36" s="197"/>
      <c r="W36" s="193"/>
      <c r="X36" s="188"/>
      <c r="Y36" s="188"/>
      <c r="Z36" s="188"/>
      <c r="AA36" s="188"/>
    </row>
    <row r="37" spans="1:27" s="180" customFormat="1" ht="12" customHeight="1">
      <c r="B37" s="181"/>
      <c r="C37" s="182"/>
      <c r="D37" s="182"/>
      <c r="E37" s="183"/>
      <c r="F37" s="183"/>
      <c r="G37" s="183"/>
      <c r="H37" s="183"/>
      <c r="I37" s="183"/>
      <c r="J37" s="184"/>
      <c r="K37" s="184"/>
      <c r="L37" s="184"/>
      <c r="M37" s="185"/>
      <c r="N37" s="184"/>
      <c r="O37" s="184"/>
      <c r="P37" s="184"/>
      <c r="Q37" s="185"/>
      <c r="R37" s="185"/>
      <c r="S37" s="185"/>
      <c r="T37" s="185"/>
      <c r="U37" s="185"/>
      <c r="V37" s="186"/>
      <c r="W37" s="187"/>
      <c r="X37" s="188"/>
      <c r="Y37" s="188"/>
      <c r="Z37" s="188"/>
      <c r="AA37" s="188"/>
    </row>
    <row r="38" spans="1:27" ht="18" customHeight="1" thickBot="1">
      <c r="A38" s="135" t="s">
        <v>54</v>
      </c>
      <c r="B38" s="135"/>
      <c r="C38" s="136"/>
      <c r="D38" s="137"/>
      <c r="E38" s="135"/>
      <c r="F38" s="135"/>
      <c r="G38" s="135"/>
      <c r="H38" s="135"/>
      <c r="I38" s="135"/>
      <c r="J38" s="135"/>
      <c r="K38" s="135"/>
      <c r="L38" s="135"/>
      <c r="M38" s="138"/>
      <c r="N38" s="135"/>
      <c r="O38" s="135"/>
      <c r="P38" s="135"/>
      <c r="Q38" s="138"/>
      <c r="R38" s="138"/>
      <c r="S38" s="138"/>
      <c r="T38" s="138"/>
      <c r="U38" s="138"/>
      <c r="V38" s="135"/>
      <c r="W38" s="135"/>
    </row>
    <row r="39" spans="1:27" ht="19.899999999999999" customHeight="1">
      <c r="A39" s="135"/>
      <c r="B39" s="198" t="s">
        <v>56</v>
      </c>
      <c r="C39" s="199"/>
      <c r="D39" s="200"/>
      <c r="E39" s="201"/>
      <c r="F39" s="202"/>
      <c r="G39" s="202"/>
      <c r="H39" s="202"/>
      <c r="I39" s="202"/>
      <c r="J39" s="202"/>
      <c r="K39" s="202"/>
      <c r="L39" s="202"/>
      <c r="M39" s="203"/>
      <c r="N39" s="202"/>
      <c r="O39" s="202"/>
      <c r="P39" s="202"/>
      <c r="Q39" s="203"/>
      <c r="R39" s="203"/>
      <c r="S39" s="203"/>
      <c r="T39" s="203"/>
      <c r="U39" s="203"/>
      <c r="V39" s="204"/>
      <c r="W39" s="135"/>
    </row>
    <row r="40" spans="1:27" ht="19.899999999999999" customHeight="1" thickBot="1">
      <c r="A40" s="135"/>
      <c r="B40" s="205"/>
      <c r="C40" s="206"/>
      <c r="D40" s="207"/>
      <c r="E40" s="208"/>
      <c r="F40" s="209"/>
      <c r="G40" s="209"/>
      <c r="H40" s="209"/>
      <c r="I40" s="209"/>
      <c r="J40" s="209"/>
      <c r="K40" s="209"/>
      <c r="L40" s="209"/>
      <c r="M40" s="210"/>
      <c r="N40" s="209"/>
      <c r="O40" s="209"/>
      <c r="P40" s="209"/>
      <c r="Q40" s="210"/>
      <c r="R40" s="210"/>
      <c r="S40" s="210"/>
      <c r="T40" s="210"/>
      <c r="U40" s="210"/>
      <c r="V40" s="211"/>
      <c r="W40" s="135"/>
    </row>
    <row r="41" spans="1:27" s="180" customFormat="1" ht="12" customHeight="1">
      <c r="B41" s="181"/>
      <c r="C41" s="182"/>
      <c r="D41" s="182"/>
      <c r="E41" s="183"/>
      <c r="F41" s="183"/>
      <c r="G41" s="183"/>
      <c r="H41" s="183"/>
      <c r="I41" s="183"/>
      <c r="J41" s="184"/>
      <c r="K41" s="184"/>
      <c r="L41" s="184"/>
      <c r="M41" s="185"/>
      <c r="N41" s="184"/>
      <c r="O41" s="184"/>
      <c r="P41" s="184"/>
      <c r="Q41" s="185"/>
      <c r="R41" s="185"/>
      <c r="S41" s="185"/>
      <c r="T41" s="185"/>
      <c r="U41" s="185"/>
      <c r="V41" s="186"/>
      <c r="W41" s="187"/>
      <c r="X41" s="188"/>
      <c r="Y41" s="188"/>
      <c r="Z41" s="188"/>
      <c r="AA41" s="188"/>
    </row>
    <row r="42" spans="1:27" ht="18" customHeight="1" thickBot="1">
      <c r="A42" s="135" t="s">
        <v>55</v>
      </c>
      <c r="B42" s="135"/>
      <c r="C42" s="136"/>
      <c r="D42" s="137"/>
      <c r="E42" s="135"/>
      <c r="F42" s="135"/>
      <c r="G42" s="135"/>
      <c r="H42" s="135"/>
      <c r="I42" s="135"/>
      <c r="J42" s="135"/>
      <c r="K42" s="135"/>
      <c r="L42" s="135"/>
      <c r="M42" s="138"/>
      <c r="N42" s="135"/>
      <c r="O42" s="135"/>
      <c r="P42" s="135"/>
      <c r="Q42" s="138"/>
      <c r="R42" s="138"/>
      <c r="S42" s="138"/>
      <c r="T42" s="138"/>
      <c r="U42" s="138"/>
      <c r="V42" s="135"/>
      <c r="W42" s="135"/>
    </row>
    <row r="43" spans="1:27" ht="24.95" customHeight="1" thickBot="1">
      <c r="A43" s="135"/>
      <c r="B43" s="212" t="s">
        <v>103</v>
      </c>
      <c r="C43" s="213"/>
      <c r="D43" s="214"/>
      <c r="E43" s="215"/>
      <c r="F43" s="216"/>
      <c r="G43" s="216"/>
      <c r="H43" s="216"/>
      <c r="I43" s="216"/>
      <c r="J43" s="216"/>
      <c r="K43" s="216"/>
      <c r="L43" s="216"/>
      <c r="M43" s="217"/>
      <c r="N43" s="216"/>
      <c r="O43" s="216"/>
      <c r="P43" s="216"/>
      <c r="Q43" s="217"/>
      <c r="R43" s="217"/>
      <c r="S43" s="217"/>
      <c r="T43" s="217"/>
      <c r="U43" s="217"/>
      <c r="V43" s="218"/>
      <c r="W43" s="135"/>
    </row>
    <row r="44" spans="1:27" ht="18" customHeight="1">
      <c r="A44" s="135"/>
      <c r="B44" s="219"/>
      <c r="C44" s="220"/>
      <c r="D44" s="221"/>
      <c r="E44" s="219"/>
      <c r="F44" s="135"/>
      <c r="G44" s="135"/>
      <c r="H44" s="135"/>
      <c r="I44" s="135"/>
      <c r="J44" s="135"/>
      <c r="K44" s="135"/>
      <c r="L44" s="135"/>
      <c r="M44" s="138"/>
      <c r="N44" s="135"/>
      <c r="O44" s="135"/>
      <c r="P44" s="135"/>
      <c r="Q44" s="138"/>
      <c r="R44" s="138"/>
      <c r="S44" s="138"/>
      <c r="T44" s="138"/>
      <c r="U44" s="138"/>
      <c r="V44" s="135"/>
      <c r="W44" s="135"/>
    </row>
    <row r="45" spans="1:27" s="225" customFormat="1" ht="15" customHeight="1">
      <c r="A45" s="134"/>
      <c r="B45" s="222"/>
      <c r="C45" s="223"/>
      <c r="D45" s="224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133"/>
      <c r="Y45" s="133"/>
      <c r="Z45" s="133"/>
      <c r="AA45" s="133"/>
    </row>
    <row r="46" spans="1:27" s="225" customFormat="1" ht="18" customHeight="1">
      <c r="A46" s="134"/>
      <c r="B46" s="134"/>
      <c r="C46" s="139"/>
      <c r="D46" s="224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134"/>
      <c r="W46" s="134"/>
      <c r="X46" s="133"/>
      <c r="Y46" s="133"/>
      <c r="Z46" s="133"/>
      <c r="AA46" s="133"/>
    </row>
    <row r="47" spans="1:27" s="225" customFormat="1" ht="18" customHeight="1">
      <c r="A47" s="134"/>
      <c r="B47" s="134"/>
      <c r="C47" s="139"/>
      <c r="D47" s="224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134"/>
      <c r="W47" s="134"/>
      <c r="X47" s="133"/>
      <c r="Y47" s="133"/>
      <c r="Z47" s="133"/>
      <c r="AA47" s="133"/>
    </row>
    <row r="48" spans="1:27" s="225" customFormat="1" ht="18" customHeight="1">
      <c r="A48" s="134"/>
      <c r="B48" s="134"/>
      <c r="C48" s="139"/>
      <c r="D48" s="224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134"/>
      <c r="W48" s="134"/>
      <c r="X48" s="133"/>
      <c r="Y48" s="133"/>
      <c r="Z48" s="133"/>
      <c r="AA48" s="133"/>
    </row>
    <row r="49" spans="1:27" s="225" customFormat="1" ht="18" customHeight="1">
      <c r="A49" s="134"/>
      <c r="B49" s="134"/>
      <c r="C49" s="139"/>
      <c r="D49" s="224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134"/>
      <c r="W49" s="134"/>
      <c r="X49" s="133"/>
      <c r="Y49" s="133"/>
      <c r="Z49" s="133"/>
      <c r="AA49" s="133"/>
    </row>
  </sheetData>
  <mergeCells count="55">
    <mergeCell ref="A3:C3"/>
    <mergeCell ref="G30:H30"/>
    <mergeCell ref="G28:H28"/>
    <mergeCell ref="G29:H29"/>
    <mergeCell ref="G27:I27"/>
    <mergeCell ref="G4:I4"/>
    <mergeCell ref="B30:F30"/>
    <mergeCell ref="C29:F29"/>
    <mergeCell ref="C27:F27"/>
    <mergeCell ref="P36:Q36"/>
    <mergeCell ref="R36:S36"/>
    <mergeCell ref="T36:U36"/>
    <mergeCell ref="C35:D35"/>
    <mergeCell ref="J35:K35"/>
    <mergeCell ref="L35:M35"/>
    <mergeCell ref="N35:O35"/>
    <mergeCell ref="P35:Q35"/>
    <mergeCell ref="R35:S35"/>
    <mergeCell ref="T35:U35"/>
    <mergeCell ref="C36:D36"/>
    <mergeCell ref="J36:K36"/>
    <mergeCell ref="L36:M36"/>
    <mergeCell ref="N36:O36"/>
    <mergeCell ref="E34:I36"/>
    <mergeCell ref="R33:S33"/>
    <mergeCell ref="T33:U33"/>
    <mergeCell ref="C34:D34"/>
    <mergeCell ref="J34:K34"/>
    <mergeCell ref="L34:M34"/>
    <mergeCell ref="N34:O34"/>
    <mergeCell ref="P34:Q34"/>
    <mergeCell ref="R34:S34"/>
    <mergeCell ref="T34:U34"/>
    <mergeCell ref="P33:Q33"/>
    <mergeCell ref="J33:K33"/>
    <mergeCell ref="L33:M33"/>
    <mergeCell ref="N33:O33"/>
    <mergeCell ref="C33:D33"/>
    <mergeCell ref="E33:I33"/>
    <mergeCell ref="V4:V5"/>
    <mergeCell ref="L6:L26"/>
    <mergeCell ref="P6:P26"/>
    <mergeCell ref="T6:T26"/>
    <mergeCell ref="J4:M4"/>
    <mergeCell ref="J27:M27"/>
    <mergeCell ref="N27:Q27"/>
    <mergeCell ref="R27:U27"/>
    <mergeCell ref="D28:F28"/>
    <mergeCell ref="B4:B5"/>
    <mergeCell ref="C4:C5"/>
    <mergeCell ref="D4:D5"/>
    <mergeCell ref="E4:E5"/>
    <mergeCell ref="F4:F5"/>
    <mergeCell ref="N4:Q4"/>
    <mergeCell ref="R4:U4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28 U28 U6 Q6" evalError="1"/>
    <ignoredError sqref="P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2026-10-22T13:59:47Z</cp:lastPrinted>
  <dcterms:created xsi:type="dcterms:W3CDTF">2023-08-14T07:13:42Z</dcterms:created>
  <dcterms:modified xsi:type="dcterms:W3CDTF">2026-10-22T14:02:47Z</dcterms:modified>
</cp:coreProperties>
</file>