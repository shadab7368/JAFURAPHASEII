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FOSAM\00185968-Rev.01\"/>
    </mc:Choice>
  </mc:AlternateContent>
  <xr:revisionPtr revIDLastSave="0" documentId="13_ncr:1_{B4C4CF7C-4A66-46EB-AEC7-17849D56BE0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D6" i="4"/>
  <c r="P54" i="3"/>
  <c r="C25" i="3" l="1"/>
  <c r="E3" i="1"/>
  <c r="B8" i="4"/>
  <c r="B7" i="4"/>
  <c r="J8" i="1"/>
  <c r="A14" i="1" l="1"/>
  <c r="A10" i="1"/>
  <c r="A12" i="1"/>
  <c r="K10" i="3" l="1"/>
  <c r="B3" i="4" s="1"/>
  <c r="J6" i="1"/>
  <c r="J6" i="2" s="1"/>
  <c r="G6" i="4" s="1"/>
  <c r="I6" i="2"/>
  <c r="F6" i="4" s="1"/>
  <c r="H6" i="2"/>
  <c r="G6" i="2"/>
  <c r="D6" i="2"/>
  <c r="B6" i="2"/>
  <c r="A22" i="4"/>
  <c r="A6" i="4"/>
  <c r="F4" i="4"/>
  <c r="J69" i="3"/>
  <c r="K66" i="3"/>
  <c r="K11" i="3"/>
  <c r="B2" i="4" s="1"/>
  <c r="K3" i="2"/>
  <c r="A3" i="2"/>
  <c r="J2" i="2"/>
  <c r="D2" i="2"/>
  <c r="A2" i="2"/>
  <c r="J1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<sst xmlns="http://schemas.openxmlformats.org/spreadsheetml/2006/main" count="168" uniqueCount="137">
  <si>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</si>
  <si>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</si>
  <si>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</si>
  <si>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</si>
  <si>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</si>
  <si>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</si>
  <si>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</si>
  <si>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</si>
  <si>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</si>
  <si>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</si>
  <si>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</si>
  <si>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</si>
  <si>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</si>
  <si>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</si>
  <si>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</si>
  <si>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</si>
  <si>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</si>
  <si>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</si>
  <si>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</si>
  <si>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</si>
  <si>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</si>
  <si>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</si>
  <si>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</si>
  <si>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</si>
  <si>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</si>
  <si>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</si>
  <si>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</si>
  <si>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</si>
  <si>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</si>
  <si>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</si>
  <si>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</si>
  <si>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</si>
  <si>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</si>
  <si>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</si>
  <si>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</si>
  <si>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</si>
  <si>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</si>
  <si>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</si>
  <si>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</si>
  <si>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</si>
  <si>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</si>
  <si>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</si>
  <si>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</si>
  <si>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</si>
  <si>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</si>
  <si>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</si>
  <si>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</si>
  <si>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</si>
  <si>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</si>
  <si>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</si>
  <si>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</si>
  <si>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</si>
  <si>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</si>
  <si>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</si>
  <si>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</si>
  <si>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</si>
  <si>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</si>
  <si>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</si>
  <si>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</si>
  <si>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</si>
  <si>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</si>
  <si>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</si>
  <si>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</si>
  <si>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</si>
  <si>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</si>
  <si>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</si>
  <si>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</si>
  <si>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</si>
  <si>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</si>
  <si>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</si>
  <si>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</si>
  <si>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</si>
  <si>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</si>
  <si>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</si>
  <si>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</si>
  <si>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</si>
  <si>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</si>
  <si>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</si>
  <si>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</si>
  <si>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</si>
  <si>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</si>
  <si>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</si>
  <si>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</si>
  <si>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</si>
  <si>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</si>
  <si>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</si>
  <si>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</si>
  <si>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</si>
  <si>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</si>
  <si>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</si>
  <si>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</si>
  <si>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</si>
  <si>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</si>
  <si>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</si>
  <si>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</si>
  <si>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</si>
  <si>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</si>
  <si>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</si>
  <si>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</si>
  <si>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</si>
  <si>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</si>
  <si>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</si>
  <si>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</si>
  <si>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</si>
  <si>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</si>
  <si>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</si>
  <si>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</si>
  <si>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</si>
  <si>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</si>
  <si>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</si>
  <si>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</si>
  <si>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</si>
  <si>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</si>
  <si>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</si>
  <si>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</si>
  <si>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</si>
  <si>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</si>
  <si>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</si>
  <si>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</si>
  <si>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</si>
  <si>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</si>
  <si>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</si>
  <si>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</si>
  <si>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</si>
  <si>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</si>
  <si>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</si>
  <si>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</si>
  <si>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</si>
  <si>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</si>
  <si>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-MRS-0498</t>
    </r>
  </si>
  <si>
    <t>THIOFLEX 600 GUN GRADE GREY (4L)/ SAJED1</t>
  </si>
  <si>
    <t>Consumption rate:Refer to product data sheet 7  days</t>
  </si>
  <si>
    <t>00185968</t>
  </si>
  <si>
    <t>15/10/2026</t>
  </si>
  <si>
    <t xml:space="preserve">ONE TIME 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</si>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</sst>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14" fontId="33" fillId="0" borderId="0" xfId="6" applyNumberFormat="1" applyFont="1" applyAlignment="1">
      <alignment vertical="top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5513</xdr:colOff>
          <xdr:row>16</xdr:row>
          <xdr:rowOff>239631</xdr:rowOff>
        </xdr:from>
        <xdr:to>
          <xdr:col>11</xdr:col>
          <xdr:colOff>1535028</xdr:colOff>
          <xdr:row>23</xdr:row>
          <xdr:rowOff>227099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81487" y="4651210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7" sqref="O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2.8554687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110</v>
      </c>
      <c r="B1" s="135"/>
      <c r="C1" s="107"/>
      <c r="D1" s="107"/>
      <c r="E1" s="107"/>
      <c r="F1" s="107"/>
      <c r="G1" s="1"/>
      <c r="J1" s="166" t="s">
        <v>78</v>
      </c>
      <c r="K1" s="167"/>
      <c r="L1" s="168"/>
    </row>
    <row r="2" spans="1:19" ht="20.100000000000001" customHeight="1">
      <c r="A2" s="3" t="s">
        <v>1</v>
      </c>
      <c r="B2" s="98"/>
      <c r="C2" s="98"/>
      <c r="D2" s="3" t="s">
        <v>111</v>
      </c>
      <c r="E2" s="98"/>
      <c r="F2" s="98"/>
      <c r="G2" s="98"/>
      <c r="H2" s="98"/>
      <c r="I2" s="4"/>
      <c r="J2" s="169" t="s">
        <v>85</v>
      </c>
      <c r="K2" s="170"/>
      <c r="L2" s="171"/>
    </row>
    <row r="3" spans="1:19" ht="20.100000000000001" customHeight="1">
      <c r="A3" s="3" t="s">
        <v>129</v>
      </c>
      <c r="B3" s="98"/>
      <c r="C3" s="98"/>
      <c r="D3" s="98"/>
      <c r="E3" s="172">
        <f>+L3+3</f>
        <v>46324</v>
      </c>
      <c r="F3" s="172"/>
      <c r="G3" s="172"/>
      <c r="H3" s="172"/>
      <c r="I3" s="172"/>
      <c r="J3" s="98"/>
      <c r="K3" s="98"/>
      <c r="L3" s="136">
        <v>46321</v>
      </c>
      <c r="M3" s="4"/>
    </row>
    <row r="4" spans="1:19" ht="15.95" customHeight="1">
      <c r="A4" s="175" t="s">
        <v>2</v>
      </c>
      <c r="B4" s="176" t="s">
        <v>3</v>
      </c>
      <c r="C4" s="176"/>
      <c r="D4" s="177" t="s">
        <v>4</v>
      </c>
      <c r="E4" s="178"/>
      <c r="F4" s="179"/>
      <c r="G4" s="183" t="s">
        <v>5</v>
      </c>
      <c r="H4" s="173" t="s">
        <v>6</v>
      </c>
      <c r="I4" s="173" t="s">
        <v>112</v>
      </c>
      <c r="J4" s="175" t="s">
        <v>113</v>
      </c>
      <c r="K4" s="173" t="s">
        <v>0</v>
      </c>
      <c r="L4" s="176" t="s">
        <v>7</v>
      </c>
    </row>
    <row r="5" spans="1:19" ht="19.5" customHeight="1">
      <c r="A5" s="175"/>
      <c r="B5" s="176"/>
      <c r="C5" s="176"/>
      <c r="D5" s="180"/>
      <c r="E5" s="181"/>
      <c r="F5" s="182"/>
      <c r="G5" s="184"/>
      <c r="H5" s="174"/>
      <c r="I5" s="174"/>
      <c r="J5" s="175"/>
      <c r="K5" s="174"/>
      <c r="L5" s="176"/>
    </row>
    <row r="6" spans="1:19" ht="56.25" customHeight="1">
      <c r="A6" s="5">
        <f t="shared" ref="A6:A14" si="0">ROW(A1)</f>
        <v>1</v>
      </c>
      <c r="B6" s="154" t="s">
        <v>130</v>
      </c>
      <c r="C6" s="155"/>
      <c r="D6" s="163" t="s">
        <v>131</v>
      </c>
      <c r="E6" s="164"/>
      <c r="F6" s="165"/>
      <c r="G6" s="108" t="s">
        <v>128</v>
      </c>
      <c r="H6" s="109">
        <v>20</v>
      </c>
      <c r="I6" s="110">
        <v>120</v>
      </c>
      <c r="J6" s="110">
        <f>H6*I6</f>
        <v>2400</v>
      </c>
      <c r="K6" s="111" t="s">
        <v>86</v>
      </c>
      <c r="L6" s="126" t="s">
        <v>91</v>
      </c>
      <c r="S6" s="103"/>
    </row>
    <row r="7" spans="1:19" ht="64.5" customHeight="1">
      <c r="A7" s="5"/>
      <c r="B7" s="154"/>
      <c r="C7" s="155"/>
      <c r="D7" s="163"/>
      <c r="E7" s="164"/>
      <c r="F7" s="165"/>
      <c r="G7" s="108"/>
      <c r="H7" s="109"/>
      <c r="I7" s="110"/>
      <c r="J7" s="110"/>
      <c r="K7" s="111"/>
      <c r="L7" s="112"/>
      <c r="S7" s="103"/>
    </row>
    <row r="8" spans="1:19" ht="56.25" customHeight="1">
      <c r="A8" s="5"/>
      <c r="B8" s="154"/>
      <c r="C8" s="155"/>
      <c r="D8" s="163"/>
      <c r="E8" s="164"/>
      <c r="F8" s="165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4"/>
      <c r="C9" s="155"/>
      <c r="D9" s="156"/>
      <c r="E9" s="157"/>
      <c r="F9" s="158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4"/>
      <c r="C10" s="155"/>
      <c r="D10" s="156"/>
      <c r="E10" s="157"/>
      <c r="F10" s="158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1"/>
      <c r="C11" s="161"/>
      <c r="D11" s="162"/>
      <c r="E11" s="162"/>
      <c r="F11" s="162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4"/>
      <c r="C12" s="155"/>
      <c r="D12" s="156"/>
      <c r="E12" s="157"/>
      <c r="F12" s="158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4"/>
      <c r="C13" s="155"/>
      <c r="D13" s="156"/>
      <c r="E13" s="157"/>
      <c r="F13" s="158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4"/>
      <c r="C15" s="155"/>
      <c r="D15" s="156"/>
      <c r="E15" s="157"/>
      <c r="F15" s="158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59" t="s">
        <v>8</v>
      </c>
      <c r="B16" s="160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2400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4"/>
      <c r="Z18" s="11"/>
    </row>
    <row r="19" spans="1:26" ht="50.1" customHeight="1">
      <c r="Y19" s="145"/>
    </row>
    <row r="20" spans="1:26" ht="15" customHeight="1">
      <c r="O20" s="140" t="s">
        <v>98</v>
      </c>
      <c r="P20" s="146"/>
      <c r="Q20" s="146"/>
      <c r="R20" s="141"/>
      <c r="S20" s="127"/>
      <c r="T20" s="140" t="s">
        <v>99</v>
      </c>
      <c r="U20" s="146"/>
      <c r="V20" s="146"/>
      <c r="W20" s="146"/>
      <c r="X20" s="146"/>
      <c r="Y20" s="141"/>
    </row>
    <row r="21" spans="1:26" ht="15" customHeight="1">
      <c r="O21" s="147" t="s">
        <v>100</v>
      </c>
      <c r="P21" s="149" t="s">
        <v>101</v>
      </c>
      <c r="Q21" s="147" t="s">
        <v>102</v>
      </c>
      <c r="R21" s="149" t="s">
        <v>103</v>
      </c>
      <c r="S21" s="127"/>
      <c r="T21" s="147" t="s">
        <v>104</v>
      </c>
      <c r="U21" s="149" t="s">
        <v>105</v>
      </c>
      <c r="V21" s="140" t="s">
        <v>106</v>
      </c>
      <c r="W21" s="146"/>
      <c r="X21" s="141"/>
      <c r="Y21" s="149" t="s">
        <v>107</v>
      </c>
    </row>
    <row r="22" spans="1:26" ht="18" customHeight="1">
      <c r="O22" s="148"/>
      <c r="P22" s="150"/>
      <c r="Q22" s="148"/>
      <c r="R22" s="150"/>
      <c r="S22" s="128"/>
      <c r="T22" s="148"/>
      <c r="U22" s="150"/>
      <c r="V22" s="13" t="s">
        <v>100</v>
      </c>
      <c r="W22" s="151" t="s">
        <v>108</v>
      </c>
      <c r="X22" s="152"/>
      <c r="Y22" s="150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40"/>
      <c r="X23" s="141"/>
      <c r="Y23" s="129"/>
    </row>
    <row r="24" spans="1:26" ht="36" customHeight="1">
      <c r="W24" s="130"/>
      <c r="X24" s="142" t="s">
        <v>109</v>
      </c>
      <c r="Y24" s="12" t="s">
        <v>107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43"/>
      <c r="Y25" s="133"/>
    </row>
    <row r="26" spans="1:26" ht="19.899999999999999" customHeight="1"/>
    <row r="27" spans="1:26" ht="17.45" customHeight="1">
      <c r="O27" s="153"/>
      <c r="P27" s="153"/>
    </row>
    <row r="28" spans="1:26" ht="19.899999999999999" customHeight="1">
      <c r="O28" s="153"/>
      <c r="P28" s="153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9" t="s">
        <v>12</v>
      </c>
    </row>
    <row r="41" spans="15:22" ht="19.899999999999999" customHeight="1">
      <c r="T41" s="150"/>
    </row>
    <row r="42" spans="15:22" ht="64.900000000000006" customHeight="1">
      <c r="T42" s="14"/>
    </row>
    <row r="46" spans="15:22" ht="21" customHeight="1">
      <c r="O46" s="149" t="s">
        <v>12</v>
      </c>
      <c r="P46" s="149" t="s">
        <v>12</v>
      </c>
      <c r="Q46" s="149" t="s">
        <v>12</v>
      </c>
      <c r="T46" s="149" t="s">
        <v>13</v>
      </c>
      <c r="U46" s="149" t="s">
        <v>11</v>
      </c>
      <c r="V46" s="149" t="s">
        <v>12</v>
      </c>
    </row>
    <row r="47" spans="15:22" ht="21" customHeight="1">
      <c r="O47" s="150"/>
      <c r="P47" s="150"/>
      <c r="Q47" s="150"/>
      <c r="T47" s="148"/>
      <c r="U47" s="148"/>
      <c r="V47" s="15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9" t="s">
        <v>12</v>
      </c>
      <c r="P50" s="149" t="s">
        <v>12</v>
      </c>
      <c r="Q50" s="149" t="s">
        <v>12</v>
      </c>
      <c r="T50" s="149" t="s">
        <v>11</v>
      </c>
      <c r="U50" s="149" t="s">
        <v>13</v>
      </c>
      <c r="V50" s="149" t="s">
        <v>12</v>
      </c>
    </row>
    <row r="51" spans="15:22" ht="21" customHeight="1">
      <c r="O51" s="150"/>
      <c r="P51" s="150"/>
      <c r="Q51" s="150"/>
      <c r="T51" s="148"/>
      <c r="U51" s="148"/>
      <c r="V51" s="15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7" sqref="D7:F7"/>
    </sheetView>
  </sheetViews>
  <sheetFormatPr defaultColWidth="9" defaultRowHeight="21" customHeight="1"/>
  <cols>
    <col min="1" max="1" width="89.28515625" style="2" bestFit="1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83</v>
      </c>
      <c r="B1" s="97"/>
      <c r="C1" s="97"/>
      <c r="D1" s="97"/>
      <c r="E1" s="97"/>
      <c r="F1" s="97"/>
      <c r="G1" s="1"/>
      <c r="J1" s="195" t="str">
        <f>+MRS!J1</f>
        <v>DAESHIN PLANT</v>
      </c>
      <c r="K1" s="196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97" t="str">
        <f>+MRS!J2</f>
        <v>Subcontract name (SAC2-SC-IK-SMP-01)</v>
      </c>
      <c r="K2" s="198"/>
    </row>
    <row r="3" spans="1:18" ht="24.95" customHeight="1">
      <c r="A3" s="3" t="str">
        <f>+MRS!A3</f>
        <v xml:space="preserve">  MRS No : SAC2-DS-MRS-0498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46321</v>
      </c>
    </row>
    <row r="4" spans="1:18" ht="15.95" customHeight="1">
      <c r="A4" s="199" t="s">
        <v>2</v>
      </c>
      <c r="B4" s="200" t="s">
        <v>14</v>
      </c>
      <c r="C4" s="200"/>
      <c r="D4" s="199" t="s">
        <v>4</v>
      </c>
      <c r="E4" s="199"/>
      <c r="F4" s="199"/>
      <c r="G4" s="200" t="s">
        <v>5</v>
      </c>
      <c r="H4" s="199" t="s">
        <v>79</v>
      </c>
      <c r="I4" s="199" t="s">
        <v>15</v>
      </c>
      <c r="J4" s="199" t="s">
        <v>16</v>
      </c>
      <c r="K4" s="200" t="s">
        <v>7</v>
      </c>
    </row>
    <row r="5" spans="1:18" ht="15.95" customHeight="1">
      <c r="A5" s="199"/>
      <c r="B5" s="200"/>
      <c r="C5" s="200"/>
      <c r="D5" s="199"/>
      <c r="E5" s="199"/>
      <c r="F5" s="199"/>
      <c r="G5" s="200"/>
      <c r="H5" s="199"/>
      <c r="I5" s="199"/>
      <c r="J5" s="199"/>
      <c r="K5" s="200"/>
    </row>
    <row r="6" spans="1:18" ht="105" customHeight="1">
      <c r="A6" s="17">
        <f>+MRS!A6</f>
        <v>1</v>
      </c>
      <c r="B6" s="190" t="str">
        <f>MRS!B6</f>
        <v>THIOFLEX 600 GUN GRADE GREY (4L)/ SAJED1</v>
      </c>
      <c r="C6" s="191"/>
      <c r="D6" s="192" t="str">
        <f>MRS!D6</f>
        <v>Consumption rate:Refer to product data sheet 7  days</v>
      </c>
      <c r="E6" s="193"/>
      <c r="F6" s="194"/>
      <c r="G6" s="100" t="str">
        <f>MRS!G6</f>
        <v>EA</v>
      </c>
      <c r="H6" s="100">
        <f>MRS!H6</f>
        <v>20</v>
      </c>
      <c r="I6" s="101">
        <f>MRS!I6</f>
        <v>120</v>
      </c>
      <c r="J6" s="101">
        <f>MRS!J6</f>
        <v>2400</v>
      </c>
      <c r="K6" s="102"/>
      <c r="O6" s="103"/>
      <c r="P6" s="103"/>
      <c r="R6" s="103"/>
    </row>
    <row r="7" spans="1:18" ht="105" customHeight="1">
      <c r="A7" s="17"/>
      <c r="B7" s="190"/>
      <c r="C7" s="191"/>
      <c r="D7" s="192"/>
      <c r="E7" s="193"/>
      <c r="F7" s="194"/>
      <c r="G7" s="100"/>
      <c r="H7" s="100"/>
      <c r="I7" s="101"/>
      <c r="J7" s="101"/>
      <c r="K7" s="102"/>
      <c r="O7" s="103"/>
      <c r="P7" s="103"/>
      <c r="R7" s="103"/>
    </row>
    <row r="8" spans="1:18" ht="105" customHeight="1">
      <c r="A8" s="17"/>
      <c r="B8" s="190"/>
      <c r="C8" s="191"/>
      <c r="D8" s="192"/>
      <c r="E8" s="193"/>
      <c r="F8" s="194"/>
      <c r="G8" s="100"/>
      <c r="H8" s="100"/>
      <c r="I8" s="101"/>
      <c r="J8" s="101"/>
      <c r="K8" s="102"/>
      <c r="O8" s="103"/>
      <c r="P8" s="103"/>
      <c r="R8" s="103"/>
    </row>
    <row r="9" spans="1:18" ht="105" customHeight="1">
      <c r="A9" s="17"/>
      <c r="B9" s="190"/>
      <c r="C9" s="191"/>
      <c r="D9" s="192"/>
      <c r="E9" s="193"/>
      <c r="F9" s="194"/>
      <c r="G9" s="100"/>
      <c r="H9" s="100"/>
      <c r="I9" s="101"/>
      <c r="J9" s="101"/>
      <c r="K9" s="102"/>
      <c r="O9" s="103"/>
      <c r="P9" s="103"/>
      <c r="R9" s="103"/>
    </row>
    <row r="10" spans="1:18" ht="105" customHeight="1">
      <c r="A10" s="17"/>
      <c r="B10" s="190"/>
      <c r="C10" s="191"/>
      <c r="D10" s="192"/>
      <c r="E10" s="193"/>
      <c r="F10" s="194"/>
      <c r="G10" s="100"/>
      <c r="H10" s="100"/>
      <c r="I10" s="101"/>
      <c r="J10" s="101"/>
      <c r="K10" s="102"/>
      <c r="O10" s="103"/>
      <c r="P10" s="103"/>
      <c r="R10" s="103"/>
    </row>
    <row r="11" spans="1:18" ht="105" customHeight="1">
      <c r="A11" s="17"/>
      <c r="B11" s="185"/>
      <c r="C11" s="186"/>
      <c r="D11" s="187"/>
      <c r="E11" s="188"/>
      <c r="F11" s="189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/>
      <c r="B12" s="185"/>
      <c r="C12" s="186"/>
      <c r="D12" s="187"/>
      <c r="E12" s="188"/>
      <c r="F12" s="189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/>
      <c r="B13" s="185"/>
      <c r="C13" s="186"/>
      <c r="D13" s="187"/>
      <c r="E13" s="188"/>
      <c r="F13" s="189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/>
      <c r="B14" s="185"/>
      <c r="C14" s="186"/>
      <c r="D14" s="187"/>
      <c r="E14" s="188"/>
      <c r="F14" s="189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/>
      <c r="B15" s="185"/>
      <c r="C15" s="186"/>
      <c r="D15" s="187"/>
      <c r="E15" s="188"/>
      <c r="F15" s="189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/>
      <c r="B16" s="185"/>
      <c r="C16" s="186"/>
      <c r="D16" s="187"/>
      <c r="E16" s="188"/>
      <c r="F16" s="189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/>
      <c r="B17" s="185"/>
      <c r="C17" s="186"/>
      <c r="D17" s="187"/>
      <c r="E17" s="188"/>
      <c r="F17" s="189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3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4" zoomScale="130" zoomScaleSheetLayoutView="130" workbookViewId="0">
      <selection activeCell="F28" sqref="F28:G2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87</v>
      </c>
      <c r="D9" s="35"/>
      <c r="E9" s="35"/>
    </row>
    <row r="10" spans="2:13" s="35" customFormat="1">
      <c r="B10" s="68"/>
      <c r="C10" s="35" t="s">
        <v>23</v>
      </c>
      <c r="D10" s="72" t="s">
        <v>97</v>
      </c>
      <c r="J10" s="35" t="s">
        <v>24</v>
      </c>
      <c r="K10" s="202">
        <f>MRS!L3</f>
        <v>46321</v>
      </c>
      <c r="L10" s="203"/>
      <c r="M10" s="203"/>
    </row>
    <row r="11" spans="2:13" s="35" customFormat="1">
      <c r="B11" s="68"/>
      <c r="C11" s="71" t="s">
        <v>25</v>
      </c>
      <c r="D11" s="72" t="s">
        <v>89</v>
      </c>
      <c r="J11" s="35" t="s">
        <v>26</v>
      </c>
      <c r="K11" s="204" t="str">
        <f>SUBSTITUTE(SUBSTITUTE(+MRS!A3,"  MRS No : ",""),"-MRS","-PO")</f>
        <v>SAC2-DS-PO-0498</v>
      </c>
      <c r="L11" s="204"/>
      <c r="M11" s="204"/>
    </row>
    <row r="12" spans="2:13" s="35" customFormat="1">
      <c r="B12" s="68"/>
      <c r="C12" s="71" t="s">
        <v>27</v>
      </c>
      <c r="D12" s="35" t="s">
        <v>94</v>
      </c>
      <c r="J12" s="35" t="s">
        <v>28</v>
      </c>
    </row>
    <row r="13" spans="2:13" s="35" customFormat="1">
      <c r="B13" s="68"/>
      <c r="C13" s="73"/>
      <c r="D13" s="72" t="s">
        <v>95</v>
      </c>
      <c r="J13" s="35" t="s">
        <v>29</v>
      </c>
    </row>
    <row r="14" spans="2:13" s="35" customFormat="1">
      <c r="B14" s="68"/>
      <c r="C14" s="73" t="s">
        <v>88</v>
      </c>
      <c r="J14" s="35" t="s">
        <v>30</v>
      </c>
      <c r="K14" s="72" t="s">
        <v>132</v>
      </c>
    </row>
    <row r="15" spans="2:13" s="35" customFormat="1">
      <c r="C15" s="73" t="s">
        <v>96</v>
      </c>
      <c r="J15" s="35" t="s">
        <v>31</v>
      </c>
      <c r="K15" s="74" t="s">
        <v>133</v>
      </c>
    </row>
    <row r="16" spans="2:13" ht="12" customHeight="1">
      <c r="C16" s="25"/>
      <c r="K16" s="26"/>
    </row>
    <row r="17" spans="2:13" ht="20.25">
      <c r="B17" s="205" t="s">
        <v>32</v>
      </c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</row>
    <row r="18" spans="2:13" ht="12" customHeight="1"/>
    <row r="19" spans="2:13" s="27" customFormat="1" ht="12" customHeight="1">
      <c r="B19" s="206" t="s">
        <v>33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</row>
    <row r="20" spans="2:13" s="27" customFormat="1" ht="12" customHeight="1">
      <c r="B20" s="206" t="s">
        <v>34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</row>
    <row r="21" spans="2:13" s="27" customFormat="1" ht="12" customHeight="1">
      <c r="B21" s="206" t="s">
        <v>35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</row>
    <row r="22" spans="2:13" ht="6.95" customHeight="1"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</row>
    <row r="23" spans="2:13" ht="6.95" customHeight="1"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THIOFLEX 600 GUN GRADE GREY (4L)/ SAJED1</v>
      </c>
      <c r="M25" s="75" t="s">
        <v>37</v>
      </c>
    </row>
    <row r="26" spans="2:13" ht="12" customHeight="1">
      <c r="B26" s="28"/>
      <c r="C26" s="72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9">
        <f>'PO 2nd page'!G18</f>
        <v>2400</v>
      </c>
      <c r="G28" s="209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9">
        <f>F28*15%</f>
        <v>360</v>
      </c>
      <c r="G29" s="209"/>
    </row>
    <row r="30" spans="2:13" ht="12" customHeight="1">
      <c r="B30" s="28"/>
      <c r="C30" s="22" t="s">
        <v>42</v>
      </c>
      <c r="D30" s="31"/>
      <c r="E30" s="22" t="s">
        <v>40</v>
      </c>
      <c r="F30" s="209">
        <f>SUM(F28:G29)</f>
        <v>2760</v>
      </c>
      <c r="G30" s="209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81</v>
      </c>
      <c r="P48" s="78"/>
    </row>
    <row r="49" spans="2:16" s="79" customFormat="1" ht="12" customHeight="1">
      <c r="B49" s="80" t="s">
        <v>56</v>
      </c>
      <c r="C49" s="77" t="s">
        <v>82</v>
      </c>
    </row>
    <row r="50" spans="2:16" s="79" customFormat="1" ht="12" customHeight="1">
      <c r="B50" s="80" t="s">
        <v>56</v>
      </c>
      <c r="C50" s="77" t="s">
        <v>80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114</v>
      </c>
    </row>
    <row r="54" spans="2:16" ht="12" customHeight="1">
      <c r="B54" s="80" t="s">
        <v>56</v>
      </c>
      <c r="C54" s="137" t="s">
        <v>115</v>
      </c>
      <c r="F54" s="22" t="s">
        <v>116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117</v>
      </c>
      <c r="F55" s="138" t="s">
        <v>118</v>
      </c>
    </row>
    <row r="56" spans="2:16" ht="12" customHeight="1">
      <c r="B56" s="80" t="s">
        <v>56</v>
      </c>
      <c r="C56" s="137" t="s">
        <v>119</v>
      </c>
      <c r="F56" s="138" t="s">
        <v>120</v>
      </c>
    </row>
    <row r="57" spans="2:16" ht="12" customHeight="1">
      <c r="B57" s="80" t="s">
        <v>56</v>
      </c>
      <c r="C57" s="137" t="s">
        <v>121</v>
      </c>
      <c r="F57" s="22" t="s">
        <v>122</v>
      </c>
    </row>
    <row r="58" spans="2:16" ht="12" customHeight="1">
      <c r="B58" s="80" t="s">
        <v>56</v>
      </c>
      <c r="C58" s="137" t="s">
        <v>123</v>
      </c>
      <c r="F58" s="22" t="s">
        <v>124</v>
      </c>
    </row>
    <row r="59" spans="2:16" ht="12" customHeight="1">
      <c r="B59" s="80" t="s">
        <v>56</v>
      </c>
      <c r="C59" s="137" t="s">
        <v>125</v>
      </c>
      <c r="F59" s="22" t="s">
        <v>126</v>
      </c>
    </row>
    <row r="60" spans="2:16" ht="12" customHeight="1">
      <c r="B60" s="80"/>
      <c r="C60" s="31" t="s">
        <v>127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90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92</v>
      </c>
      <c r="J69" s="28" t="str">
        <f>C9</f>
        <v>FCL(Fosam Company Ltd.)</v>
      </c>
    </row>
    <row r="70" spans="1:13" ht="27.95" customHeight="1">
      <c r="A70" s="201" t="s">
        <v>66</v>
      </c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G9" sqref="G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SAC2-DS-PO-0498</v>
      </c>
      <c r="C2" s="216" t="s">
        <v>68</v>
      </c>
      <c r="D2" s="216"/>
      <c r="E2" s="216"/>
      <c r="F2" s="216"/>
      <c r="G2" s="44"/>
      <c r="H2" s="44"/>
    </row>
    <row r="3" spans="1:13" s="50" customFormat="1" ht="28.5" customHeight="1" thickBot="1">
      <c r="A3" s="45" t="s">
        <v>129</v>
      </c>
      <c r="B3" s="46">
        <f>+'PO 1st page'!K10</f>
        <v>46321</v>
      </c>
      <c r="C3" s="47"/>
      <c r="D3" s="48"/>
      <c r="E3" s="217" t="s">
        <v>69</v>
      </c>
      <c r="F3" s="217"/>
      <c r="G3" s="217"/>
      <c r="H3" s="217"/>
      <c r="I3" s="49"/>
      <c r="L3" s="139">
        <v>46316</v>
      </c>
    </row>
    <row r="4" spans="1:13" s="51" customFormat="1" ht="28.5" customHeight="1" thickTop="1">
      <c r="A4" s="218" t="s">
        <v>70</v>
      </c>
      <c r="B4" s="220" t="s">
        <v>71</v>
      </c>
      <c r="C4" s="221"/>
      <c r="D4" s="224" t="s">
        <v>135</v>
      </c>
      <c r="E4" s="224" t="s">
        <v>136</v>
      </c>
      <c r="F4" s="226" t="str">
        <f>'PO 1st page'!C9</f>
        <v>FCL(Fosam Company Ltd.)</v>
      </c>
      <c r="G4" s="227"/>
      <c r="H4" s="228" t="s">
        <v>72</v>
      </c>
      <c r="K4" s="52"/>
      <c r="L4" s="52"/>
      <c r="M4" s="52"/>
    </row>
    <row r="5" spans="1:13" s="51" customFormat="1" ht="21.95" customHeight="1">
      <c r="A5" s="219"/>
      <c r="B5" s="222"/>
      <c r="C5" s="223"/>
      <c r="D5" s="225"/>
      <c r="E5" s="225"/>
      <c r="F5" s="53" t="s">
        <v>73</v>
      </c>
      <c r="G5" s="53" t="s">
        <v>42</v>
      </c>
      <c r="H5" s="229"/>
      <c r="K5" s="52"/>
      <c r="L5" s="52"/>
      <c r="M5" s="52"/>
    </row>
    <row r="6" spans="1:13" s="51" customFormat="1" ht="63" customHeight="1">
      <c r="A6" s="81">
        <f t="shared" ref="A6" si="0">ROW(A1)</f>
        <v>1</v>
      </c>
      <c r="B6" s="230" t="s">
        <v>130</v>
      </c>
      <c r="C6" s="231"/>
      <c r="D6" s="82" t="str">
        <f>+'MRS LIST'!G6</f>
        <v>EA</v>
      </c>
      <c r="E6" s="83">
        <f>+'MRS LIST'!H6</f>
        <v>20</v>
      </c>
      <c r="F6" s="84">
        <f>+'MRS LIST'!I6</f>
        <v>120</v>
      </c>
      <c r="G6" s="85">
        <f>+'MRS LIST'!J6</f>
        <v>2400</v>
      </c>
      <c r="H6" s="86" t="s">
        <v>134</v>
      </c>
      <c r="I6" s="51">
        <v>140</v>
      </c>
      <c r="K6" s="87"/>
      <c r="L6" s="88"/>
      <c r="M6" s="52"/>
    </row>
    <row r="7" spans="1:13" s="51" customFormat="1" ht="45.75" customHeight="1">
      <c r="A7" s="81"/>
      <c r="B7" s="230" t="str">
        <f>CONCATENATE(MRS!B7," ",MRS!D7)</f>
        <v xml:space="preserve"> </v>
      </c>
      <c r="C7" s="231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/>
      <c r="B8" s="230" t="str">
        <f>CONCATENATE(MRS!B8," ",MRS!D8)</f>
        <v xml:space="preserve"> </v>
      </c>
      <c r="C8" s="231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/>
      <c r="B9" s="230"/>
      <c r="C9" s="231"/>
      <c r="D9" s="82"/>
      <c r="E9" s="83"/>
      <c r="F9" s="84"/>
      <c r="G9" s="85"/>
      <c r="H9" s="86"/>
    </row>
    <row r="10" spans="1:13" s="51" customFormat="1" ht="32.1" customHeight="1">
      <c r="A10" s="89"/>
      <c r="B10" s="230"/>
      <c r="C10" s="231"/>
      <c r="D10" s="82"/>
      <c r="E10" s="83"/>
      <c r="F10" s="84"/>
      <c r="G10" s="85"/>
      <c r="H10" s="86"/>
    </row>
    <row r="11" spans="1:13" s="51" customFormat="1" ht="32.1" customHeight="1">
      <c r="A11" s="89"/>
      <c r="B11" s="214"/>
      <c r="C11" s="215"/>
      <c r="D11" s="90"/>
      <c r="E11" s="91"/>
      <c r="F11" s="92"/>
      <c r="G11" s="93"/>
      <c r="H11" s="94"/>
    </row>
    <row r="12" spans="1:13" s="51" customFormat="1" ht="32.1" customHeight="1">
      <c r="A12" s="89"/>
      <c r="B12" s="214"/>
      <c r="C12" s="215"/>
      <c r="D12" s="90"/>
      <c r="E12" s="91"/>
      <c r="F12" s="92"/>
      <c r="G12" s="93"/>
      <c r="H12" s="94"/>
    </row>
    <row r="13" spans="1:13" s="51" customFormat="1" ht="32.1" customHeight="1">
      <c r="A13" s="89"/>
      <c r="B13" s="214"/>
      <c r="C13" s="215"/>
      <c r="D13" s="90"/>
      <c r="E13" s="91"/>
      <c r="F13" s="92"/>
      <c r="G13" s="93"/>
      <c r="H13" s="94"/>
    </row>
    <row r="14" spans="1:13" s="51" customFormat="1" ht="32.1" customHeight="1">
      <c r="A14" s="89"/>
      <c r="B14" s="214"/>
      <c r="C14" s="215"/>
      <c r="D14" s="90"/>
      <c r="E14" s="91"/>
      <c r="F14" s="95"/>
      <c r="G14" s="93"/>
      <c r="H14" s="94"/>
    </row>
    <row r="15" spans="1:13" s="51" customFormat="1" ht="32.1" customHeight="1">
      <c r="A15" s="89"/>
      <c r="B15" s="214"/>
      <c r="C15" s="215"/>
      <c r="D15" s="90"/>
      <c r="E15" s="91"/>
      <c r="F15" s="95"/>
      <c r="G15" s="93"/>
      <c r="H15" s="94"/>
    </row>
    <row r="16" spans="1:13" s="51" customFormat="1" ht="32.1" customHeight="1">
      <c r="A16" s="89"/>
      <c r="B16" s="214"/>
      <c r="C16" s="215"/>
      <c r="D16" s="90"/>
      <c r="E16" s="91"/>
      <c r="F16" s="92"/>
      <c r="G16" s="93"/>
      <c r="H16" s="94"/>
    </row>
    <row r="17" spans="1:13" s="51" customFormat="1" ht="32.1" customHeight="1">
      <c r="A17" s="89"/>
      <c r="B17" s="214"/>
      <c r="C17" s="215"/>
      <c r="D17" s="90"/>
      <c r="E17" s="91"/>
      <c r="F17" s="92"/>
      <c r="G17" s="93"/>
      <c r="H17" s="94"/>
    </row>
    <row r="18" spans="1:13" s="51" customFormat="1" ht="23.1" customHeight="1">
      <c r="A18" s="210" t="s">
        <v>74</v>
      </c>
      <c r="B18" s="211"/>
      <c r="C18" s="211"/>
      <c r="D18" s="211"/>
      <c r="E18" s="211"/>
      <c r="F18" s="211"/>
      <c r="G18" s="54">
        <f>SUM(G6:G17)</f>
        <v>2400</v>
      </c>
      <c r="H18" s="55"/>
    </row>
    <row r="19" spans="1:13" s="51" customFormat="1" ht="23.1" customHeight="1">
      <c r="A19" s="210" t="s">
        <v>41</v>
      </c>
      <c r="B19" s="211"/>
      <c r="C19" s="211"/>
      <c r="D19" s="211"/>
      <c r="E19" s="211"/>
      <c r="F19" s="211"/>
      <c r="G19" s="54">
        <f>+G18*0.15</f>
        <v>360</v>
      </c>
      <c r="H19" s="55"/>
    </row>
    <row r="20" spans="1:13" s="51" customFormat="1" ht="23.1" customHeight="1">
      <c r="A20" s="210" t="s">
        <v>84</v>
      </c>
      <c r="B20" s="211"/>
      <c r="C20" s="211"/>
      <c r="D20" s="211"/>
      <c r="E20" s="211"/>
      <c r="F20" s="211"/>
      <c r="G20" s="119">
        <v>0</v>
      </c>
      <c r="H20" s="120"/>
    </row>
    <row r="21" spans="1:13" s="51" customFormat="1" ht="24.95" customHeight="1" thickBot="1">
      <c r="A21" s="212" t="s">
        <v>75</v>
      </c>
      <c r="B21" s="213"/>
      <c r="C21" s="213"/>
      <c r="D21" s="213"/>
      <c r="E21" s="213"/>
      <c r="F21" s="213"/>
      <c r="G21" s="56">
        <f>SUM(G18:G20)</f>
        <v>2760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00185968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76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1" t="s">
        <v>77</v>
      </c>
      <c r="B25" s="201"/>
      <c r="C25" s="201"/>
      <c r="D25" s="201"/>
      <c r="E25" s="201"/>
      <c r="F25" s="201"/>
      <c r="G25" s="201"/>
      <c r="H25" s="201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2026-10-26T14:05:11Z</cp:lastPrinted>
  <dcterms:created xsi:type="dcterms:W3CDTF">2024-10-20T11:50:19Z</dcterms:created>
  <dcterms:modified xsi:type="dcterms:W3CDTF">2026-10-26T14:09:09Z</dcterms:modified>
</cp:coreProperties>
</file>