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Z:\Boss\PO\OSAZ\102260\"/>
    </mc:Choice>
  </mc:AlternateContent>
  <xr:revisionPtr revIDLastSave="0" documentId="13_ncr:1_{F56BEE30-F530-4FF5-9E08-0150053562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소모품_1차'!$A$1:$V$59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9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1" i="1"/>
  <c r="H42" i="1"/>
  <c r="H6" i="1"/>
  <c r="K6" i="1"/>
  <c r="G43" i="1" l="1"/>
  <c r="G44" i="1" l="1"/>
  <c r="G45" i="1" s="1"/>
  <c r="G46" i="1" s="1"/>
  <c r="I6" i="1" l="1"/>
  <c r="R43" i="1" l="1"/>
  <c r="N43" i="1"/>
  <c r="J43" i="1"/>
  <c r="C50" i="1" s="1"/>
  <c r="O44" i="1" l="1"/>
  <c r="O45" i="1" s="1"/>
  <c r="C52" i="1"/>
  <c r="C51" i="1"/>
  <c r="K44" i="1" l="1"/>
  <c r="K45" i="1" s="1"/>
  <c r="Q6" i="1"/>
  <c r="U6" i="1" l="1"/>
  <c r="S44" i="1"/>
  <c r="S45" i="1" s="1"/>
  <c r="O46" i="1"/>
  <c r="J51" i="1" l="1"/>
  <c r="S46" i="1"/>
  <c r="J52" i="1" l="1"/>
  <c r="N51" i="1"/>
  <c r="R51" i="1" l="1"/>
  <c r="N52" i="1"/>
  <c r="R52" i="1"/>
  <c r="K46" i="1" l="1"/>
  <c r="I46" i="1" s="1"/>
  <c r="Q44" i="1"/>
  <c r="U44" i="1"/>
  <c r="E50" i="1" l="1"/>
  <c r="U46" i="1"/>
  <c r="Q46" i="1"/>
  <c r="J50" i="1"/>
  <c r="L51" i="1" l="1"/>
  <c r="L52" i="1"/>
  <c r="R50" i="1"/>
  <c r="N50" i="1"/>
  <c r="T51" i="1"/>
  <c r="P52" i="1"/>
  <c r="T52" i="1"/>
  <c r="P51" i="1"/>
  <c r="Q50" i="1" l="1"/>
  <c r="P50" i="1"/>
  <c r="U50" i="1"/>
  <c r="T50" i="1"/>
</calcChain>
</file>

<file path=xl/sharedStrings.xml><?xml version="1.0" encoding="utf-8"?>
<sst xmlns="http://schemas.openxmlformats.org/spreadsheetml/2006/main" count="164" uniqueCount="97">
  <si>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</si>
  <si>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</si>
  <si>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</si>
  <si>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</si>
  <si>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</si>
  <si>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</si>
  <si>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</si>
  <si>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</si>
  <si>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</si>
  <si>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</si>
  <si>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</si>
  <si>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</si>
  <si>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</si>
  <si>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</si>
  <si>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</si>
  <si>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</si>
  <si>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</si>
  <si>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</si>
  <si>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</si>
  <si>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</si>
  <si>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</si>
  <si>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</si>
  <si>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</si>
  <si>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</si>
  <si>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</si>
  <si>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</si>
  <si>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</si>
  <si>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</si>
  <si>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</si>
  <si>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</si>
  <si>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</si>
  <si>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</si>
  <si>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</si>
  <si>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</si>
  <si>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</si>
  <si>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</si>
  <si>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</si>
  <si>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</si>
  <si>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</si>
  <si>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</si>
  <si>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</si>
  <si>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</si>
  <si>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</si>
  <si>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</si>
  <si>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</si>
  <si>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</si>
  <si>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</si>
  <si>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</si>
  <si>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</si>
  <si>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</si>
  <si>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</si>
  <si>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</si>
  <si>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</si>
  <si>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</si>
  <si>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</si>
  <si>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</si>
  <si>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■ Bid Price (Unit Price) Review &amp; Compression Sheet</t>
  </si>
  <si>
    <t>Previous Price</t>
  </si>
  <si>
    <t>FLEXIBLE CABLE WHITE 3C X 4MM² 100YARD / ROLL</t>
  </si>
  <si>
    <t>FLEXIBLE CONDUIT PVC 3/4" X 100M HD BLACK</t>
  </si>
  <si>
    <t>32A/220V 3PIN PANEL MOUNT SOCKET IP67</t>
  </si>
  <si>
    <t>16A/220V 3PIN MOBILE PLUG IP66/67</t>
  </si>
  <si>
    <t>16A/220V 3PIN MOBILE SOCKET IP66/67</t>
  </si>
  <si>
    <t>LED FLOOD LIGHT 400W</t>
  </si>
  <si>
    <t>2 GANG 13A SWITCHED SOCKET 7 X 14</t>
  </si>
  <si>
    <t>PVC BOX 7 X 14</t>
  </si>
  <si>
    <t>GROUNDING/EARTH CABLE 10MM²</t>
  </si>
  <si>
    <t>CABLE LUG 10MM² X M10</t>
  </si>
  <si>
    <t>32A PLUG UK TYPE</t>
  </si>
  <si>
    <t>CARBON BRUSH  CUTTING MACHINE 14" DEWALT</t>
  </si>
  <si>
    <t>CARBON BRUSH ANGLE GRINDER MACHINE 4" DEWALT 4002</t>
  </si>
  <si>
    <t>CARBON BRUSH DIE GRINDER MACHINE DEWALT</t>
  </si>
  <si>
    <t>CARBON BRUSH DEWALT PART # NA 160502</t>
  </si>
  <si>
    <t>CARBON BRUSH ANGLE GRINDER DEWALT 4" 4002</t>
  </si>
  <si>
    <t>CARBON BRUSH ANGLE GRINDER MACHINE 7" DEWALT 493</t>
  </si>
  <si>
    <t>CARBON BRUSH FOR AIR BLOWER HYUNDAI MODEL HPT002</t>
  </si>
  <si>
    <t>CARBON BRUSH DIE GRINDER MACHINE MAKITA GD0600</t>
  </si>
  <si>
    <t>RCCB 25A 2P 10mA</t>
  </si>
  <si>
    <t>GROUNDING/EARTH ROD 5/8" x 0.6M</t>
  </si>
  <si>
    <t>30W/220V LED PANEL LIGHT 11"/280MM SURFACE</t>
  </si>
  <si>
    <t>CABLE LUG 25MM² X M6</t>
  </si>
  <si>
    <t>FLEXIBLE CONDUIT PVC 2" X 25M HD BLACK</t>
  </si>
  <si>
    <t>FLEXIBLE CABLE WHITE 3C X 6MM² 100YARD / ROLL</t>
  </si>
  <si>
    <t>HAND LAMP EXPLOSION PROOF 220V/110V/24V</t>
  </si>
  <si>
    <t>METAL ENCLOSURE 250 X 200 X 150 IP65</t>
  </si>
  <si>
    <t>CURRENT TRANSFORMER 50VA 1PH 230/380V~12-24V</t>
  </si>
  <si>
    <t>16A/24V 3PIN PANEL MOUNT SOCKET IP66/67</t>
  </si>
  <si>
    <t>16A/24V 3PIN MOBILE PLUG IP44/54</t>
  </si>
  <si>
    <t>16A/24V 3PIN MOBILE SOCKET IP44/54</t>
  </si>
  <si>
    <t>9W/24V LED BULB E27 DAYLIGHT</t>
  </si>
  <si>
    <t>ROLL</t>
  </si>
  <si>
    <t>EA</t>
  </si>
  <si>
    <t>MTR</t>
  </si>
  <si>
    <t>PAIR</t>
  </si>
  <si>
    <t>OSAZ(Omar Saleh Abdullah Al-Zahrani Electricals)</t>
  </si>
  <si>
    <t>MMH (Mohammed Misfer AL-Harith Trading Co.)</t>
  </si>
  <si>
    <t>FIO (Faisal Ibrahim Othman)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</si>
</sst>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3C0BB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10"/>
      <color theme="1"/>
      <name val="Calibri"/>
      <family val="2"/>
      <charset val="129"/>
      <scheme val="minor"/>
    </font>
    <font>
      <sz val="11"/>
      <color indexed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45" fillId="0" borderId="0">
      <alignment vertical="center"/>
    </xf>
    <xf numFmtId="0" fontId="46" fillId="0" borderId="0"/>
    <xf numFmtId="0" fontId="1" fillId="0" borderId="0"/>
    <xf numFmtId="0" fontId="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8" fillId="0" borderId="0">
      <alignment vertical="center"/>
    </xf>
    <xf numFmtId="0" fontId="46" fillId="0" borderId="0"/>
    <xf numFmtId="43" fontId="1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397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3" fontId="32" fillId="0" borderId="26" xfId="0" quotePrefix="1" applyNumberFormat="1" applyFont="1" applyBorder="1" applyAlignment="1">
      <alignment horizontal="center" vertical="center" wrapText="1"/>
    </xf>
    <xf numFmtId="3" fontId="36" fillId="0" borderId="0" xfId="0" applyNumberFormat="1" applyFont="1" applyAlignment="1">
      <alignment horizontal="left" vertical="center" wrapText="1"/>
    </xf>
    <xf numFmtId="0" fontId="34" fillId="0" borderId="27" xfId="0" quotePrefix="1" applyFont="1" applyBorder="1" applyAlignment="1">
      <alignment horizontal="center" vertical="center"/>
    </xf>
    <xf numFmtId="0" fontId="37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3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3" fillId="0" borderId="33" xfId="2" applyFont="1" applyFill="1" applyBorder="1" applyAlignment="1">
      <alignment horizontal="center" vertical="center"/>
    </xf>
    <xf numFmtId="9" fontId="33" fillId="0" borderId="43" xfId="2" applyFont="1" applyFill="1" applyBorder="1" applyAlignment="1">
      <alignment vertical="center"/>
    </xf>
    <xf numFmtId="3" fontId="38" fillId="0" borderId="44" xfId="0" quotePrefix="1" applyNumberFormat="1" applyFont="1" applyBorder="1" applyAlignment="1">
      <alignment vertical="center" wrapText="1"/>
    </xf>
    <xf numFmtId="0" fontId="33" fillId="0" borderId="45" xfId="0" quotePrefix="1" applyFont="1" applyBorder="1" applyAlignment="1">
      <alignment horizontal="center" vertical="center"/>
    </xf>
    <xf numFmtId="166" fontId="40" fillId="0" borderId="49" xfId="3" applyNumberFormat="1" applyFont="1" applyBorder="1">
      <alignment vertical="center"/>
    </xf>
    <xf numFmtId="167" fontId="40" fillId="0" borderId="50" xfId="3" applyNumberFormat="1" applyFont="1" applyBorder="1">
      <alignment vertical="center"/>
    </xf>
    <xf numFmtId="167" fontId="40" fillId="0" borderId="51" xfId="3" applyNumberFormat="1" applyFont="1" applyBorder="1">
      <alignment vertical="center"/>
    </xf>
    <xf numFmtId="9" fontId="40" fillId="0" borderId="52" xfId="2" applyFont="1" applyFill="1" applyBorder="1" applyAlignment="1">
      <alignment vertical="center"/>
    </xf>
    <xf numFmtId="166" fontId="40" fillId="0" borderId="53" xfId="3" applyNumberFormat="1" applyFont="1" applyBorder="1">
      <alignment vertical="center"/>
    </xf>
    <xf numFmtId="9" fontId="40" fillId="0" borderId="48" xfId="2" applyFont="1" applyFill="1" applyBorder="1" applyAlignment="1">
      <alignment vertical="center"/>
    </xf>
    <xf numFmtId="3" fontId="38" fillId="0" borderId="54" xfId="0" quotePrefix="1" applyNumberFormat="1" applyFont="1" applyBorder="1" applyAlignment="1">
      <alignment vertical="center" wrapText="1"/>
    </xf>
    <xf numFmtId="166" fontId="37" fillId="0" borderId="58" xfId="1" applyNumberFormat="1" applyFont="1" applyFill="1" applyBorder="1" applyAlignment="1">
      <alignment horizontal="right" vertical="center"/>
    </xf>
    <xf numFmtId="40" fontId="37" fillId="0" borderId="59" xfId="1" applyNumberFormat="1" applyFont="1" applyFill="1" applyBorder="1" applyAlignment="1">
      <alignment horizontal="right" vertical="center"/>
    </xf>
    <xf numFmtId="40" fontId="37" fillId="0" borderId="60" xfId="1" applyNumberFormat="1" applyFont="1" applyFill="1" applyBorder="1" applyAlignment="1">
      <alignment horizontal="right" vertical="center"/>
    </xf>
    <xf numFmtId="9" fontId="37" fillId="0" borderId="57" xfId="2" applyFont="1" applyFill="1" applyBorder="1" applyAlignment="1">
      <alignment horizontal="center" vertical="center"/>
    </xf>
    <xf numFmtId="40" fontId="37" fillId="0" borderId="58" xfId="1" applyNumberFormat="1" applyFont="1" applyFill="1" applyBorder="1" applyAlignment="1">
      <alignment horizontal="right" vertical="center"/>
    </xf>
    <xf numFmtId="9" fontId="37" fillId="0" borderId="56" xfId="2" applyFont="1" applyFill="1" applyBorder="1" applyAlignment="1">
      <alignment horizontal="center" vertical="center"/>
    </xf>
    <xf numFmtId="165" fontId="37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1" fillId="4" borderId="0" xfId="0" quotePrefix="1" applyFont="1" applyFill="1" applyAlignment="1">
      <alignment horizontal="center" vertical="center"/>
    </xf>
    <xf numFmtId="0" fontId="34" fillId="4" borderId="0" xfId="0" quotePrefix="1" applyFont="1" applyFill="1" applyAlignment="1">
      <alignment horizontal="left" vertical="center" wrapText="1"/>
    </xf>
    <xf numFmtId="40" fontId="41" fillId="0" borderId="0" xfId="1" applyNumberFormat="1" applyFont="1" applyFill="1" applyBorder="1" applyAlignment="1">
      <alignment horizontal="center" vertical="center" wrapText="1" shrinkToFit="1"/>
    </xf>
    <xf numFmtId="40" fontId="42" fillId="0" borderId="0" xfId="1" applyNumberFormat="1" applyFont="1" applyFill="1" applyBorder="1" applyAlignment="1">
      <alignment horizontal="center" vertical="center" shrinkToFit="1"/>
    </xf>
    <xf numFmtId="169" fontId="42" fillId="4" borderId="0" xfId="2" applyNumberFormat="1" applyFont="1" applyFill="1" applyBorder="1" applyAlignment="1">
      <alignment vertical="center" shrinkToFit="1"/>
    </xf>
    <xf numFmtId="164" fontId="41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3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3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3" fillId="0" borderId="91" xfId="0" applyFont="1" applyBorder="1" applyAlignment="1">
      <alignment horizontal="left" vertical="center"/>
    </xf>
    <xf numFmtId="0" fontId="44" fillId="0" borderId="92" xfId="0" applyFont="1" applyBorder="1" applyAlignment="1">
      <alignment horizontal="left" vertical="center"/>
    </xf>
    <xf numFmtId="0" fontId="44" fillId="0" borderId="92" xfId="0" applyFont="1" applyBorder="1" applyAlignment="1">
      <alignment horizontal="center" vertical="center"/>
    </xf>
    <xf numFmtId="0" fontId="44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8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44" fillId="0" borderId="25" xfId="4" applyFont="1" applyBorder="1" applyAlignment="1">
      <alignment vertical="center" wrapText="1"/>
    </xf>
    <xf numFmtId="168" fontId="31" fillId="0" borderId="39" xfId="3" applyNumberFormat="1" applyFont="1" applyBorder="1" applyAlignment="1">
      <alignment horizontal="right" vertical="center"/>
    </xf>
    <xf numFmtId="168" fontId="40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7" fillId="0" borderId="58" xfId="2" applyFont="1" applyFill="1" applyBorder="1" applyAlignment="1">
      <alignment horizontal="right" vertical="center"/>
    </xf>
    <xf numFmtId="3" fontId="35" fillId="0" borderId="105" xfId="0" quotePrefix="1" applyNumberFormat="1" applyFont="1" applyBorder="1" applyAlignment="1">
      <alignment vertical="center" wrapText="1"/>
    </xf>
    <xf numFmtId="0" fontId="34" fillId="0" borderId="106" xfId="0" quotePrefix="1" applyFont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6" fillId="2" borderId="24" xfId="0" quotePrefix="1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2" fontId="1" fillId="0" borderId="82" xfId="0" applyNumberFormat="1" applyFont="1" applyBorder="1" applyAlignment="1">
      <alignment horizontal="center" vertical="center" wrapText="1"/>
    </xf>
    <xf numFmtId="9" fontId="1" fillId="0" borderId="82" xfId="0" applyNumberFormat="1" applyFont="1" applyBorder="1" applyAlignment="1">
      <alignment horizontal="center" vertical="center" wrapText="1"/>
    </xf>
    <xf numFmtId="166" fontId="44" fillId="0" borderId="82" xfId="3" applyNumberFormat="1" applyFont="1" applyBorder="1" applyAlignment="1">
      <alignment vertical="center" wrapText="1"/>
    </xf>
    <xf numFmtId="0" fontId="1" fillId="0" borderId="82" xfId="0" applyFont="1" applyBorder="1" applyAlignment="1">
      <alignment horizontal="center" vertical="center" wrapText="1"/>
    </xf>
    <xf numFmtId="9" fontId="44" fillId="0" borderId="25" xfId="2" applyFont="1" applyFill="1" applyBorder="1" applyAlignment="1">
      <alignment vertical="center" wrapText="1"/>
    </xf>
    <xf numFmtId="0" fontId="1" fillId="0" borderId="25" xfId="0" applyFont="1" applyBorder="1" applyAlignment="1">
      <alignment horizontal="left" vertical="center" wrapText="1"/>
    </xf>
    <xf numFmtId="168" fontId="44" fillId="0" borderId="25" xfId="3" applyNumberFormat="1" applyFont="1" applyBorder="1" applyAlignment="1">
      <alignment vertical="center" wrapText="1"/>
    </xf>
    <xf numFmtId="40" fontId="44" fillId="0" borderId="82" xfId="3" applyNumberFormat="1" applyFont="1" applyBorder="1" applyAlignment="1">
      <alignment vertical="center" wrapText="1"/>
    </xf>
    <xf numFmtId="40" fontId="44" fillId="0" borderId="25" xfId="3" applyNumberFormat="1" applyFont="1" applyBorder="1" applyAlignment="1">
      <alignment vertical="center" wrapText="1"/>
    </xf>
    <xf numFmtId="168" fontId="44" fillId="0" borderId="82" xfId="3" applyNumberFormat="1" applyFont="1" applyBorder="1" applyAlignment="1">
      <alignment vertical="center" wrapText="1"/>
    </xf>
    <xf numFmtId="9" fontId="44" fillId="0" borderId="107" xfId="2" applyFont="1" applyFill="1" applyBorder="1" applyAlignment="1">
      <alignment vertical="center" wrapTex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40" fontId="37" fillId="0" borderId="95" xfId="1" applyNumberFormat="1" applyFont="1" applyFill="1" applyBorder="1" applyAlignment="1">
      <alignment horizontal="center" vertical="center"/>
    </xf>
    <xf numFmtId="40" fontId="37" fillId="0" borderId="96" xfId="1" applyNumberFormat="1" applyFont="1" applyFill="1" applyBorder="1" applyAlignment="1">
      <alignment horizontal="center" vertical="center"/>
    </xf>
    <xf numFmtId="2" fontId="34" fillId="4" borderId="79" xfId="0" applyNumberFormat="1" applyFont="1" applyFill="1" applyBorder="1" applyAlignment="1">
      <alignment horizontal="center" vertical="center" wrapText="1"/>
    </xf>
    <xf numFmtId="2" fontId="34" fillId="4" borderId="97" xfId="0" applyNumberFormat="1" applyFont="1" applyFill="1" applyBorder="1" applyAlignment="1">
      <alignment horizontal="center" vertical="center" wrapText="1"/>
    </xf>
    <xf numFmtId="2" fontId="40" fillId="0" borderId="46" xfId="3" applyNumberFormat="1" applyFont="1" applyBorder="1" applyAlignment="1">
      <alignment horizontal="center" vertical="center"/>
    </xf>
    <xf numFmtId="2" fontId="40" fillId="0" borderId="49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9" fillId="0" borderId="46" xfId="0" applyFont="1" applyBorder="1" applyAlignment="1">
      <alignment horizontal="right" vertical="center"/>
    </xf>
    <xf numFmtId="0" fontId="39" fillId="0" borderId="47" xfId="0" applyFont="1" applyBorder="1" applyAlignment="1">
      <alignment horizontal="right" vertical="center"/>
    </xf>
    <xf numFmtId="0" fontId="39" fillId="0" borderId="48" xfId="0" applyFont="1" applyBorder="1" applyAlignment="1">
      <alignment horizontal="right" vertical="center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  <xf numFmtId="169" fontId="43" fillId="0" borderId="51" xfId="1" applyNumberFormat="1" applyFont="1" applyFill="1" applyBorder="1" applyAlignment="1">
      <alignment horizontal="center" vertical="center" shrinkToFit="1"/>
    </xf>
    <xf numFmtId="169" fontId="43" fillId="0" borderId="48" xfId="1" applyNumberFormat="1" applyFont="1" applyFill="1" applyBorder="1" applyAlignment="1">
      <alignment horizontal="center" vertical="center" shrinkToFit="1"/>
    </xf>
    <xf numFmtId="40" fontId="43" fillId="0" borderId="46" xfId="1" applyNumberFormat="1" applyFont="1" applyFill="1" applyBorder="1" applyAlignment="1">
      <alignment horizontal="center" vertical="center" shrinkToFit="1"/>
    </xf>
    <xf numFmtId="40" fontId="43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3" fillId="0" borderId="79" xfId="1" applyNumberFormat="1" applyFont="1" applyFill="1" applyBorder="1" applyAlignment="1">
      <alignment horizontal="center" vertical="center" shrinkToFit="1"/>
    </xf>
    <xf numFmtId="40" fontId="43" fillId="0" borderId="83" xfId="1" applyNumberFormat="1" applyFont="1" applyFill="1" applyBorder="1" applyAlignment="1">
      <alignment horizontal="center" vertical="center" shrinkToFit="1"/>
    </xf>
    <xf numFmtId="169" fontId="43" fillId="4" borderId="84" xfId="2" applyNumberFormat="1" applyFont="1" applyFill="1" applyBorder="1" applyAlignment="1">
      <alignment horizontal="center" vertical="center" shrinkToFit="1"/>
    </xf>
    <xf numFmtId="169" fontId="43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3" fillId="0" borderId="71" xfId="1" applyNumberFormat="1" applyFont="1" applyFill="1" applyBorder="1" applyAlignment="1">
      <alignment horizontal="center" vertical="center" shrinkToFit="1"/>
    </xf>
    <xf numFmtId="40" fontId="43" fillId="0" borderId="75" xfId="1" applyNumberFormat="1" applyFont="1" applyFill="1" applyBorder="1" applyAlignment="1">
      <alignment horizontal="center" vertical="center" shrinkToFit="1"/>
    </xf>
    <xf numFmtId="169" fontId="43" fillId="4" borderId="76" xfId="2" applyNumberFormat="1" applyFont="1" applyFill="1" applyBorder="1" applyAlignment="1">
      <alignment horizontal="center" vertical="center" shrinkToFit="1"/>
    </xf>
    <xf numFmtId="169" fontId="43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4" fillId="0" borderId="73" xfId="3" applyNumberFormat="1" applyFont="1" applyBorder="1" applyAlignment="1">
      <alignment horizontal="center" vertical="center" wrapText="1"/>
    </xf>
    <xf numFmtId="167" fontId="44" fillId="0" borderId="81" xfId="3" applyNumberFormat="1" applyFont="1" applyBorder="1" applyAlignment="1">
      <alignment horizontal="center" vertical="center" wrapText="1"/>
    </xf>
    <xf numFmtId="167" fontId="44" fillId="0" borderId="22" xfId="3" applyNumberFormat="1" applyFont="1" applyBorder="1" applyAlignment="1">
      <alignment horizontal="center" vertical="center" wrapText="1"/>
    </xf>
    <xf numFmtId="167" fontId="44" fillId="0" borderId="25" xfId="3" applyNumberFormat="1" applyFont="1" applyBorder="1" applyAlignment="1">
      <alignment horizontal="center" vertical="center" wrapText="1"/>
    </xf>
    <xf numFmtId="167" fontId="44" fillId="0" borderId="107" xfId="3" applyNumberFormat="1" applyFont="1" applyBorder="1" applyAlignment="1">
      <alignment horizontal="center" vertical="center" wrapText="1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/>
    </xf>
    <xf numFmtId="166" fontId="31" fillId="0" borderId="3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</cellXfs>
  <cellStyles count="31">
    <cellStyle name="Comma [0]" xfId="1" builtinId="6"/>
    <cellStyle name="Comma [0] 2" xfId="14" xr:uid="{0BEF86AE-D306-4541-947D-0A3D66775BB9}"/>
    <cellStyle name="Normal" xfId="0" builtinId="0"/>
    <cellStyle name="Normal 2" xfId="5" xr:uid="{1946BDEA-CB30-4AB4-86A9-10BA1AB7C371}"/>
    <cellStyle name="Percent" xfId="2" builtinId="5"/>
    <cellStyle name="쉼표 [0] 2 2" xfId="9" xr:uid="{2796D699-B9E5-4B51-9E0A-DDA045931318}"/>
    <cellStyle name="쉼표 [0] 2 2 2" xfId="20" xr:uid="{2DA408E7-A5D9-45D5-963D-CA60B0E282BE}"/>
    <cellStyle name="쉼표 [0] 2 2 2 2" xfId="28" xr:uid="{EDABC74A-7351-45D2-BB0C-8BDAA26C019E}"/>
    <cellStyle name="쉼표 [0] 2 2 3" xfId="24" xr:uid="{9323C721-4BDB-47A1-A5DF-FC62A2D1AAAE}"/>
    <cellStyle name="쉼표 [0] 2 2 4" xfId="16" xr:uid="{25A047AF-5C47-41E4-95FA-C1690AD61B92}"/>
    <cellStyle name="쉼표 2" xfId="13" xr:uid="{20C78E67-389B-46DC-BD85-4DC0572584C9}"/>
    <cellStyle name="쉼표 2 2" xfId="22" xr:uid="{E12FA6AF-205F-488D-B127-5DC65AF38BA8}"/>
    <cellStyle name="쉼표 2 2 2" xfId="30" xr:uid="{9057EC7A-4E49-44DF-8CE8-315001DE7029}"/>
    <cellStyle name="쉼표 2 3" xfId="26" xr:uid="{0FF69C71-2BDC-4224-91D2-7F0881A88EB9}"/>
    <cellStyle name="쉼표 2 4" xfId="18" xr:uid="{D12436C9-7BF9-4AD3-BBDE-0D671A5D988A}"/>
    <cellStyle name="표준 2 2" xfId="7" xr:uid="{AC5975DF-46DA-45F3-958D-10027B6D9317}"/>
    <cellStyle name="표준 2 2 2" xfId="19" xr:uid="{FE261B0B-83CA-47D9-8457-771962D25F6A}"/>
    <cellStyle name="표준 2 2 2 2" xfId="27" xr:uid="{8D401731-5762-4C23-AF7B-6A7E4EBB5729}"/>
    <cellStyle name="표준 2 2 3" xfId="23" xr:uid="{4646C1EA-B7C1-4C6E-9818-F520DD66A65D}"/>
    <cellStyle name="표준 2 2 4" xfId="15" xr:uid="{C617AFA8-72AD-4B4E-8CC1-6665970F0CAD}"/>
    <cellStyle name="표준 2 3 2 2" xfId="10" xr:uid="{5B14E55A-692F-4557-A12E-38EC1BA6B64A}"/>
    <cellStyle name="표준 2 3 2 2 2" xfId="21" xr:uid="{D478FED4-56C7-4738-B484-6DB39A5AB13E}"/>
    <cellStyle name="표준 2 3 2 2 2 2" xfId="29" xr:uid="{ECD50AE1-D466-490C-9603-E6FF3A7D1459}"/>
    <cellStyle name="표준 2 3 2 2 3" xfId="25" xr:uid="{DFAB893D-C449-47D9-B6B2-AC9B9A545426}"/>
    <cellStyle name="표준 2 3 2 2 4" xfId="17" xr:uid="{209639F3-62DC-4DF1-BE41-5B5D0740E489}"/>
    <cellStyle name="표준 3" xfId="3" xr:uid="{00000000-0005-0000-0000-000003000000}"/>
    <cellStyle name="표준 3 2" xfId="12" xr:uid="{AC3F0B0E-1078-47AC-95FD-70421F5CF738}"/>
    <cellStyle name="표준 3 3" xfId="6" xr:uid="{21A32761-0639-49B1-ACEC-3C64EAF07A1D}"/>
    <cellStyle name="표준 4 2" xfId="8" xr:uid="{00FAEE57-ECED-4EBA-A020-B696AC69096B}"/>
    <cellStyle name="표준_Sheet1" xfId="11" xr:uid="{FF666EFD-C6B5-4DD9-A123-4A08632D0099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251" t="s">
        <v>37</v>
      </c>
      <c r="R1" s="251"/>
      <c r="S1" s="251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305" t="s">
        <v>2</v>
      </c>
      <c r="C4" s="307" t="s">
        <v>3</v>
      </c>
      <c r="D4" s="309" t="s">
        <v>4</v>
      </c>
      <c r="E4" s="311" t="s">
        <v>5</v>
      </c>
      <c r="F4" s="313" t="s">
        <v>6</v>
      </c>
      <c r="G4" s="290" t="s">
        <v>7</v>
      </c>
      <c r="H4" s="291"/>
      <c r="I4" s="291"/>
      <c r="J4" s="292"/>
      <c r="K4" s="290" t="s">
        <v>8</v>
      </c>
      <c r="L4" s="291"/>
      <c r="M4" s="291"/>
      <c r="N4" s="292"/>
      <c r="O4" s="290" t="s">
        <v>9</v>
      </c>
      <c r="P4" s="291"/>
      <c r="Q4" s="291"/>
      <c r="R4" s="292"/>
      <c r="S4" s="293" t="s">
        <v>10</v>
      </c>
      <c r="T4" s="17"/>
    </row>
    <row r="5" spans="1:24" ht="33.75" customHeight="1" thickBot="1">
      <c r="B5" s="306"/>
      <c r="C5" s="308"/>
      <c r="D5" s="310"/>
      <c r="E5" s="312"/>
      <c r="F5" s="314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94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95"/>
      <c r="J6" s="29"/>
      <c r="K6" s="30"/>
      <c r="L6" s="28"/>
      <c r="M6" s="295"/>
      <c r="N6" s="29"/>
      <c r="O6" s="27"/>
      <c r="P6" s="28"/>
      <c r="Q6" s="295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96"/>
      <c r="J7" s="39"/>
      <c r="K7" s="40"/>
      <c r="L7" s="38"/>
      <c r="M7" s="296"/>
      <c r="N7" s="39"/>
      <c r="O7" s="37"/>
      <c r="P7" s="38"/>
      <c r="Q7" s="296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97"/>
      <c r="J8" s="48"/>
      <c r="K8" s="49"/>
      <c r="L8" s="47"/>
      <c r="M8" s="297"/>
      <c r="N8" s="48"/>
      <c r="O8" s="46"/>
      <c r="P8" s="47"/>
      <c r="Q8" s="297"/>
      <c r="R8" s="48"/>
      <c r="S8" s="50"/>
      <c r="T8" s="32"/>
    </row>
    <row r="9" spans="1:24" s="7" customFormat="1" ht="30" customHeight="1">
      <c r="A9" s="8"/>
      <c r="B9" s="51"/>
      <c r="C9" s="298" t="s">
        <v>21</v>
      </c>
      <c r="D9" s="299"/>
      <c r="E9" s="299"/>
      <c r="F9" s="299"/>
      <c r="G9" s="300"/>
      <c r="H9" s="301"/>
      <c r="I9" s="301"/>
      <c r="J9" s="302"/>
      <c r="K9" s="300"/>
      <c r="L9" s="301"/>
      <c r="M9" s="301"/>
      <c r="N9" s="302"/>
      <c r="O9" s="300"/>
      <c r="P9" s="301"/>
      <c r="Q9" s="301"/>
      <c r="R9" s="302"/>
      <c r="S9" s="52"/>
      <c r="T9" s="32"/>
    </row>
    <row r="10" spans="1:24" s="7" customFormat="1" ht="30" customHeight="1">
      <c r="A10" s="8"/>
      <c r="B10" s="53"/>
      <c r="C10" s="54"/>
      <c r="D10" s="303" t="s">
        <v>22</v>
      </c>
      <c r="E10" s="303"/>
      <c r="F10" s="304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87" t="s">
        <v>23</v>
      </c>
      <c r="D11" s="288"/>
      <c r="E11" s="288"/>
      <c r="F11" s="289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80" t="s">
        <v>24</v>
      </c>
      <c r="C12" s="281"/>
      <c r="D12" s="281"/>
      <c r="E12" s="281"/>
      <c r="F12" s="282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85" t="s">
        <v>27</v>
      </c>
      <c r="D15" s="286"/>
      <c r="E15" s="283" t="s">
        <v>28</v>
      </c>
      <c r="F15" s="284"/>
      <c r="G15" s="264" t="s">
        <v>29</v>
      </c>
      <c r="H15" s="265"/>
      <c r="I15" s="266" t="s">
        <v>30</v>
      </c>
      <c r="J15" s="267"/>
      <c r="K15" s="264" t="s">
        <v>31</v>
      </c>
      <c r="L15" s="265"/>
      <c r="M15" s="266" t="s">
        <v>32</v>
      </c>
      <c r="N15" s="267"/>
      <c r="O15" s="264" t="s">
        <v>31</v>
      </c>
      <c r="P15" s="265"/>
      <c r="Q15" s="266" t="s">
        <v>32</v>
      </c>
      <c r="R15" s="267"/>
      <c r="S15" s="89" t="s">
        <v>33</v>
      </c>
      <c r="T15" s="90"/>
    </row>
    <row r="16" spans="1:24" s="79" customFormat="1" ht="25.15" customHeight="1" thickTop="1">
      <c r="B16" s="91"/>
      <c r="C16" s="268"/>
      <c r="D16" s="269"/>
      <c r="E16" s="270"/>
      <c r="F16" s="271"/>
      <c r="G16" s="276"/>
      <c r="H16" s="277"/>
      <c r="I16" s="278"/>
      <c r="J16" s="279"/>
      <c r="K16" s="276"/>
      <c r="L16" s="277"/>
      <c r="M16" s="278"/>
      <c r="N16" s="279"/>
      <c r="O16" s="276"/>
      <c r="P16" s="277"/>
      <c r="Q16" s="278"/>
      <c r="R16" s="279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260"/>
      <c r="D17" s="261"/>
      <c r="E17" s="272"/>
      <c r="F17" s="273"/>
      <c r="G17" s="262"/>
      <c r="H17" s="263"/>
      <c r="I17" s="252"/>
      <c r="J17" s="253"/>
      <c r="K17" s="262"/>
      <c r="L17" s="263"/>
      <c r="M17" s="252"/>
      <c r="N17" s="253"/>
      <c r="O17" s="262"/>
      <c r="P17" s="263"/>
      <c r="Q17" s="252"/>
      <c r="R17" s="253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254"/>
      <c r="D18" s="255"/>
      <c r="E18" s="274"/>
      <c r="F18" s="275"/>
      <c r="G18" s="256"/>
      <c r="H18" s="257"/>
      <c r="I18" s="258"/>
      <c r="J18" s="259"/>
      <c r="K18" s="256"/>
      <c r="L18" s="257"/>
      <c r="M18" s="258"/>
      <c r="N18" s="259"/>
      <c r="O18" s="256"/>
      <c r="P18" s="257"/>
      <c r="Q18" s="258"/>
      <c r="R18" s="259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B4:B5"/>
    <mergeCell ref="C4:C5"/>
    <mergeCell ref="D4:D5"/>
    <mergeCell ref="E4:E5"/>
    <mergeCell ref="F4:F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12:F12"/>
    <mergeCell ref="E15:F15"/>
    <mergeCell ref="G15:H15"/>
    <mergeCell ref="I15:J15"/>
    <mergeCell ref="K15:L15"/>
    <mergeCell ref="C15:D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65"/>
  <sheetViews>
    <sheetView showGridLines="0" tabSelected="1" topLeftCell="A34" zoomScale="130" zoomScaleNormal="130" zoomScaleSheetLayoutView="110" workbookViewId="0">
      <selection activeCell="D61" sqref="D61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28" style="139" customWidth="1"/>
    <col min="4" max="4" width="28.57031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6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6" customWidth="1"/>
    <col min="18" max="18" width="12.28515625" style="226" bestFit="1" customWidth="1"/>
    <col min="19" max="19" width="13.85546875" style="226" bestFit="1" customWidth="1"/>
    <col min="20" max="20" width="9.7109375" style="226" customWidth="1"/>
    <col min="21" max="21" width="8.85546875" style="226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56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27">
        <v>46316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15" t="s">
        <v>43</v>
      </c>
      <c r="B3" s="315"/>
      <c r="C3" s="315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87" t="s">
        <v>2</v>
      </c>
      <c r="C4" s="389" t="s">
        <v>3</v>
      </c>
      <c r="D4" s="391" t="s">
        <v>4</v>
      </c>
      <c r="E4" s="393" t="s">
        <v>5</v>
      </c>
      <c r="F4" s="395" t="s">
        <v>41</v>
      </c>
      <c r="G4" s="325" t="s">
        <v>57</v>
      </c>
      <c r="H4" s="326"/>
      <c r="I4" s="327"/>
      <c r="J4" s="377" t="s">
        <v>94</v>
      </c>
      <c r="K4" s="378"/>
      <c r="L4" s="378"/>
      <c r="M4" s="379"/>
      <c r="N4" s="377" t="s">
        <v>95</v>
      </c>
      <c r="O4" s="378"/>
      <c r="P4" s="378"/>
      <c r="Q4" s="379"/>
      <c r="R4" s="377" t="s">
        <v>96</v>
      </c>
      <c r="S4" s="378"/>
      <c r="T4" s="378"/>
      <c r="U4" s="379"/>
      <c r="V4" s="370" t="s">
        <v>42</v>
      </c>
      <c r="W4" s="144"/>
    </row>
    <row r="5" spans="1:23" ht="27" customHeight="1" thickBot="1">
      <c r="B5" s="388"/>
      <c r="C5" s="390"/>
      <c r="D5" s="392"/>
      <c r="E5" s="394"/>
      <c r="F5" s="396"/>
      <c r="G5" s="145" t="s">
        <v>39</v>
      </c>
      <c r="H5" s="145" t="s">
        <v>40</v>
      </c>
      <c r="I5" s="148" t="s">
        <v>14</v>
      </c>
      <c r="J5" s="145" t="s">
        <v>39</v>
      </c>
      <c r="K5" s="146" t="s">
        <v>40</v>
      </c>
      <c r="L5" s="147" t="s">
        <v>13</v>
      </c>
      <c r="M5" s="147" t="s">
        <v>14</v>
      </c>
      <c r="N5" s="145" t="s">
        <v>39</v>
      </c>
      <c r="O5" s="146" t="s">
        <v>40</v>
      </c>
      <c r="P5" s="147" t="s">
        <v>17</v>
      </c>
      <c r="Q5" s="149" t="s">
        <v>18</v>
      </c>
      <c r="R5" s="145" t="s">
        <v>39</v>
      </c>
      <c r="S5" s="146" t="s">
        <v>40</v>
      </c>
      <c r="T5" s="147" t="s">
        <v>19</v>
      </c>
      <c r="U5" s="149" t="s">
        <v>20</v>
      </c>
      <c r="V5" s="371"/>
      <c r="W5" s="144"/>
    </row>
    <row r="6" spans="1:23" s="237" customFormat="1" ht="27" customHeight="1" thickTop="1">
      <c r="B6" s="238">
        <v>1</v>
      </c>
      <c r="C6" s="228"/>
      <c r="D6" s="229" t="s">
        <v>58</v>
      </c>
      <c r="E6" s="239" t="s">
        <v>90</v>
      </c>
      <c r="F6" s="239">
        <v>20</v>
      </c>
      <c r="G6" s="240"/>
      <c r="H6" s="240">
        <f>F6*G6</f>
        <v>0</v>
      </c>
      <c r="I6" s="241">
        <f>H6/K6</f>
        <v>0</v>
      </c>
      <c r="J6" s="247">
        <v>440</v>
      </c>
      <c r="K6" s="248">
        <f>F6*J6</f>
        <v>8800</v>
      </c>
      <c r="L6" s="372"/>
      <c r="M6" s="244">
        <v>1</v>
      </c>
      <c r="N6" s="247">
        <v>475</v>
      </c>
      <c r="O6" s="246">
        <f>N6*F6</f>
        <v>9500</v>
      </c>
      <c r="P6" s="374"/>
      <c r="Q6" s="244">
        <f>O6/K6</f>
        <v>1.0795454545454546</v>
      </c>
      <c r="R6" s="247">
        <v>485</v>
      </c>
      <c r="S6" s="246">
        <f>R6*F6</f>
        <v>9700</v>
      </c>
      <c r="T6" s="374"/>
      <c r="U6" s="244">
        <f>S6/K6</f>
        <v>1.1022727272727273</v>
      </c>
      <c r="V6" s="150"/>
      <c r="W6" s="151"/>
    </row>
    <row r="7" spans="1:23" s="237" customFormat="1" ht="12" customHeight="1">
      <c r="B7" s="238">
        <v>2</v>
      </c>
      <c r="C7" s="228"/>
      <c r="D7" s="230" t="s">
        <v>59</v>
      </c>
      <c r="E7" s="239" t="s">
        <v>90</v>
      </c>
      <c r="F7" s="239">
        <v>10</v>
      </c>
      <c r="G7" s="243"/>
      <c r="H7" s="240">
        <f t="shared" ref="H7:H42" si="0">F7*G7</f>
        <v>0</v>
      </c>
      <c r="I7" s="241">
        <f t="shared" ref="I7:I42" si="1">H7/K7</f>
        <v>0</v>
      </c>
      <c r="J7" s="247">
        <v>160</v>
      </c>
      <c r="K7" s="248">
        <f t="shared" ref="K7:K42" si="2">F7*J7</f>
        <v>1600</v>
      </c>
      <c r="L7" s="373"/>
      <c r="M7" s="244">
        <v>1</v>
      </c>
      <c r="N7" s="242">
        <v>170</v>
      </c>
      <c r="O7" s="246">
        <f t="shared" ref="O7:O42" si="3">N7*F7</f>
        <v>1700</v>
      </c>
      <c r="P7" s="373"/>
      <c r="Q7" s="244">
        <f t="shared" ref="Q7:Q42" si="4">O7/K7</f>
        <v>1.0625</v>
      </c>
      <c r="R7" s="242">
        <v>176</v>
      </c>
      <c r="S7" s="246">
        <f t="shared" ref="S7:S42" si="5">R7*F7</f>
        <v>1760</v>
      </c>
      <c r="T7" s="375"/>
      <c r="U7" s="244">
        <f t="shared" ref="U7:U42" si="6">S7/K7</f>
        <v>1.1000000000000001</v>
      </c>
      <c r="V7" s="152"/>
      <c r="W7" s="151"/>
    </row>
    <row r="8" spans="1:23" s="237" customFormat="1" ht="12" customHeight="1">
      <c r="B8" s="238">
        <v>3</v>
      </c>
      <c r="C8" s="228"/>
      <c r="D8" s="230" t="s">
        <v>60</v>
      </c>
      <c r="E8" s="239" t="s">
        <v>91</v>
      </c>
      <c r="F8" s="239">
        <v>20</v>
      </c>
      <c r="G8" s="243"/>
      <c r="H8" s="240">
        <f t="shared" si="0"/>
        <v>0</v>
      </c>
      <c r="I8" s="241">
        <f t="shared" si="1"/>
        <v>0</v>
      </c>
      <c r="J8" s="247">
        <v>34.5</v>
      </c>
      <c r="K8" s="248">
        <f t="shared" si="2"/>
        <v>690</v>
      </c>
      <c r="L8" s="373"/>
      <c r="M8" s="244">
        <v>1</v>
      </c>
      <c r="N8" s="242">
        <v>36</v>
      </c>
      <c r="O8" s="246">
        <f t="shared" si="3"/>
        <v>720</v>
      </c>
      <c r="P8" s="373"/>
      <c r="Q8" s="244">
        <f t="shared" si="4"/>
        <v>1.0434782608695652</v>
      </c>
      <c r="R8" s="242">
        <v>38</v>
      </c>
      <c r="S8" s="246">
        <f t="shared" si="5"/>
        <v>760</v>
      </c>
      <c r="T8" s="375"/>
      <c r="U8" s="244">
        <f t="shared" si="6"/>
        <v>1.1014492753623188</v>
      </c>
      <c r="V8" s="152"/>
      <c r="W8" s="151"/>
    </row>
    <row r="9" spans="1:23" s="237" customFormat="1" ht="12" customHeight="1">
      <c r="B9" s="238">
        <v>4</v>
      </c>
      <c r="C9" s="228"/>
      <c r="D9" s="230" t="s">
        <v>61</v>
      </c>
      <c r="E9" s="239" t="s">
        <v>91</v>
      </c>
      <c r="F9" s="239">
        <v>200</v>
      </c>
      <c r="G9" s="243"/>
      <c r="H9" s="240">
        <f t="shared" si="0"/>
        <v>0</v>
      </c>
      <c r="I9" s="241">
        <f t="shared" si="1"/>
        <v>0</v>
      </c>
      <c r="J9" s="247">
        <v>20</v>
      </c>
      <c r="K9" s="248">
        <f t="shared" si="2"/>
        <v>4000</v>
      </c>
      <c r="L9" s="373"/>
      <c r="M9" s="244">
        <v>1</v>
      </c>
      <c r="N9" s="242">
        <v>23</v>
      </c>
      <c r="O9" s="246">
        <f t="shared" si="3"/>
        <v>4600</v>
      </c>
      <c r="P9" s="373"/>
      <c r="Q9" s="244">
        <f t="shared" si="4"/>
        <v>1.1499999999999999</v>
      </c>
      <c r="R9" s="242">
        <v>24</v>
      </c>
      <c r="S9" s="246">
        <f t="shared" si="5"/>
        <v>4800</v>
      </c>
      <c r="T9" s="375"/>
      <c r="U9" s="244">
        <f t="shared" si="6"/>
        <v>1.2</v>
      </c>
      <c r="V9" s="152"/>
      <c r="W9" s="151"/>
    </row>
    <row r="10" spans="1:23" s="237" customFormat="1" ht="12" customHeight="1">
      <c r="B10" s="238">
        <v>5</v>
      </c>
      <c r="C10" s="228"/>
      <c r="D10" s="230" t="s">
        <v>62</v>
      </c>
      <c r="E10" s="239" t="s">
        <v>91</v>
      </c>
      <c r="F10" s="239">
        <v>200</v>
      </c>
      <c r="G10" s="243"/>
      <c r="H10" s="240">
        <f t="shared" si="0"/>
        <v>0</v>
      </c>
      <c r="I10" s="241">
        <f t="shared" si="1"/>
        <v>0</v>
      </c>
      <c r="J10" s="247">
        <v>32</v>
      </c>
      <c r="K10" s="248">
        <f t="shared" si="2"/>
        <v>6400</v>
      </c>
      <c r="L10" s="373"/>
      <c r="M10" s="244">
        <v>1</v>
      </c>
      <c r="N10" s="242">
        <v>35</v>
      </c>
      <c r="O10" s="246">
        <f t="shared" si="3"/>
        <v>7000</v>
      </c>
      <c r="P10" s="373"/>
      <c r="Q10" s="244">
        <f t="shared" si="4"/>
        <v>1.09375</v>
      </c>
      <c r="R10" s="242">
        <v>36</v>
      </c>
      <c r="S10" s="246">
        <f t="shared" si="5"/>
        <v>7200</v>
      </c>
      <c r="T10" s="375"/>
      <c r="U10" s="244">
        <f t="shared" si="6"/>
        <v>1.125</v>
      </c>
      <c r="V10" s="152"/>
      <c r="W10" s="151"/>
    </row>
    <row r="11" spans="1:23" s="237" customFormat="1" ht="12" customHeight="1">
      <c r="B11" s="238">
        <v>6</v>
      </c>
      <c r="C11" s="228"/>
      <c r="D11" s="230" t="s">
        <v>63</v>
      </c>
      <c r="E11" s="239" t="s">
        <v>91</v>
      </c>
      <c r="F11" s="239">
        <v>100</v>
      </c>
      <c r="G11" s="243"/>
      <c r="H11" s="240">
        <f t="shared" si="0"/>
        <v>0</v>
      </c>
      <c r="I11" s="241">
        <f t="shared" si="1"/>
        <v>0</v>
      </c>
      <c r="J11" s="247">
        <v>80</v>
      </c>
      <c r="K11" s="248">
        <f t="shared" si="2"/>
        <v>8000</v>
      </c>
      <c r="L11" s="373"/>
      <c r="M11" s="244">
        <v>1</v>
      </c>
      <c r="N11" s="242">
        <v>86</v>
      </c>
      <c r="O11" s="246">
        <f t="shared" si="3"/>
        <v>8600</v>
      </c>
      <c r="P11" s="373"/>
      <c r="Q11" s="244">
        <f t="shared" si="4"/>
        <v>1.075</v>
      </c>
      <c r="R11" s="242">
        <v>88</v>
      </c>
      <c r="S11" s="246">
        <f t="shared" si="5"/>
        <v>8800</v>
      </c>
      <c r="T11" s="375"/>
      <c r="U11" s="244">
        <f t="shared" si="6"/>
        <v>1.1000000000000001</v>
      </c>
      <c r="V11" s="152"/>
      <c r="W11" s="151"/>
    </row>
    <row r="12" spans="1:23" s="237" customFormat="1" ht="12" customHeight="1">
      <c r="B12" s="238">
        <v>7</v>
      </c>
      <c r="C12" s="228"/>
      <c r="D12" s="230" t="s">
        <v>64</v>
      </c>
      <c r="E12" s="239" t="s">
        <v>91</v>
      </c>
      <c r="F12" s="239">
        <v>20</v>
      </c>
      <c r="G12" s="243"/>
      <c r="H12" s="240">
        <f t="shared" si="0"/>
        <v>0</v>
      </c>
      <c r="I12" s="241">
        <f t="shared" si="1"/>
        <v>0</v>
      </c>
      <c r="J12" s="247">
        <v>16.5</v>
      </c>
      <c r="K12" s="248">
        <f t="shared" si="2"/>
        <v>330</v>
      </c>
      <c r="L12" s="373"/>
      <c r="M12" s="244">
        <v>1</v>
      </c>
      <c r="N12" s="242">
        <v>18</v>
      </c>
      <c r="O12" s="246">
        <f t="shared" si="3"/>
        <v>360</v>
      </c>
      <c r="P12" s="373"/>
      <c r="Q12" s="244">
        <f t="shared" si="4"/>
        <v>1.0909090909090908</v>
      </c>
      <c r="R12" s="242">
        <v>18.5</v>
      </c>
      <c r="S12" s="246">
        <f t="shared" si="5"/>
        <v>370</v>
      </c>
      <c r="T12" s="375"/>
      <c r="U12" s="244">
        <f t="shared" si="6"/>
        <v>1.1212121212121211</v>
      </c>
      <c r="V12" s="152"/>
      <c r="W12" s="151"/>
    </row>
    <row r="13" spans="1:23" s="237" customFormat="1" ht="12" customHeight="1">
      <c r="B13" s="238">
        <v>8</v>
      </c>
      <c r="C13" s="228"/>
      <c r="D13" s="230" t="s">
        <v>65</v>
      </c>
      <c r="E13" s="239" t="s">
        <v>91</v>
      </c>
      <c r="F13" s="239">
        <v>20</v>
      </c>
      <c r="G13" s="243"/>
      <c r="H13" s="240">
        <f t="shared" si="0"/>
        <v>0</v>
      </c>
      <c r="I13" s="241">
        <f t="shared" si="1"/>
        <v>0</v>
      </c>
      <c r="J13" s="247">
        <v>1.75</v>
      </c>
      <c r="K13" s="248">
        <f t="shared" si="2"/>
        <v>35</v>
      </c>
      <c r="L13" s="373"/>
      <c r="M13" s="244">
        <v>1</v>
      </c>
      <c r="N13" s="242">
        <v>2</v>
      </c>
      <c r="O13" s="246">
        <f t="shared" si="3"/>
        <v>40</v>
      </c>
      <c r="P13" s="373"/>
      <c r="Q13" s="244">
        <f t="shared" si="4"/>
        <v>1.1428571428571428</v>
      </c>
      <c r="R13" s="242">
        <v>2</v>
      </c>
      <c r="S13" s="246">
        <f t="shared" si="5"/>
        <v>40</v>
      </c>
      <c r="T13" s="375"/>
      <c r="U13" s="244">
        <f t="shared" si="6"/>
        <v>1.1428571428571428</v>
      </c>
      <c r="V13" s="152"/>
      <c r="W13" s="151"/>
    </row>
    <row r="14" spans="1:23" s="237" customFormat="1" ht="12" customHeight="1">
      <c r="B14" s="238">
        <v>9</v>
      </c>
      <c r="C14" s="228"/>
      <c r="D14" s="230" t="s">
        <v>66</v>
      </c>
      <c r="E14" s="239" t="s">
        <v>92</v>
      </c>
      <c r="F14" s="239">
        <v>100</v>
      </c>
      <c r="G14" s="243"/>
      <c r="H14" s="240">
        <f t="shared" si="0"/>
        <v>0</v>
      </c>
      <c r="I14" s="241">
        <f t="shared" si="1"/>
        <v>0</v>
      </c>
      <c r="J14" s="247">
        <v>8.4499999999999993</v>
      </c>
      <c r="K14" s="248">
        <f t="shared" si="2"/>
        <v>844.99999999999989</v>
      </c>
      <c r="L14" s="373"/>
      <c r="M14" s="244">
        <v>1</v>
      </c>
      <c r="N14" s="242">
        <v>9.5</v>
      </c>
      <c r="O14" s="246">
        <f t="shared" si="3"/>
        <v>950</v>
      </c>
      <c r="P14" s="373"/>
      <c r="Q14" s="244">
        <f t="shared" si="4"/>
        <v>1.124260355029586</v>
      </c>
      <c r="R14" s="242">
        <v>9.3000000000000007</v>
      </c>
      <c r="S14" s="246">
        <f t="shared" si="5"/>
        <v>930.00000000000011</v>
      </c>
      <c r="T14" s="375"/>
      <c r="U14" s="244">
        <f t="shared" si="6"/>
        <v>1.1005917159763317</v>
      </c>
      <c r="V14" s="152"/>
      <c r="W14" s="151"/>
    </row>
    <row r="15" spans="1:23" s="237" customFormat="1" ht="12" customHeight="1">
      <c r="B15" s="238">
        <v>10</v>
      </c>
      <c r="C15" s="228"/>
      <c r="D15" s="230" t="s">
        <v>67</v>
      </c>
      <c r="E15" s="239" t="s">
        <v>91</v>
      </c>
      <c r="F15" s="239">
        <v>50</v>
      </c>
      <c r="G15" s="243"/>
      <c r="H15" s="240">
        <f t="shared" si="0"/>
        <v>0</v>
      </c>
      <c r="I15" s="241">
        <f t="shared" si="1"/>
        <v>0</v>
      </c>
      <c r="J15" s="247">
        <v>0.65</v>
      </c>
      <c r="K15" s="248">
        <f t="shared" si="2"/>
        <v>32.5</v>
      </c>
      <c r="L15" s="373"/>
      <c r="M15" s="244">
        <v>1</v>
      </c>
      <c r="N15" s="242">
        <v>0.7</v>
      </c>
      <c r="O15" s="246">
        <f t="shared" si="3"/>
        <v>35</v>
      </c>
      <c r="P15" s="373"/>
      <c r="Q15" s="244">
        <f t="shared" si="4"/>
        <v>1.0769230769230769</v>
      </c>
      <c r="R15" s="242">
        <v>0.75</v>
      </c>
      <c r="S15" s="246">
        <f t="shared" si="5"/>
        <v>37.5</v>
      </c>
      <c r="T15" s="375"/>
      <c r="U15" s="244">
        <f t="shared" si="6"/>
        <v>1.1538461538461537</v>
      </c>
      <c r="V15" s="152"/>
      <c r="W15" s="151"/>
    </row>
    <row r="16" spans="1:23" s="237" customFormat="1" ht="12" customHeight="1">
      <c r="B16" s="238">
        <v>11</v>
      </c>
      <c r="C16" s="228"/>
      <c r="D16" s="230" t="s">
        <v>68</v>
      </c>
      <c r="E16" s="239" t="s">
        <v>91</v>
      </c>
      <c r="F16" s="239">
        <v>10</v>
      </c>
      <c r="G16" s="243"/>
      <c r="H16" s="240">
        <f t="shared" si="0"/>
        <v>0</v>
      </c>
      <c r="I16" s="241">
        <f t="shared" si="1"/>
        <v>0</v>
      </c>
      <c r="J16" s="247">
        <v>6</v>
      </c>
      <c r="K16" s="248">
        <f t="shared" si="2"/>
        <v>60</v>
      </c>
      <c r="L16" s="373"/>
      <c r="M16" s="244">
        <v>1</v>
      </c>
      <c r="N16" s="242">
        <v>7.5</v>
      </c>
      <c r="O16" s="246">
        <f t="shared" si="3"/>
        <v>75</v>
      </c>
      <c r="P16" s="373"/>
      <c r="Q16" s="244">
        <f t="shared" si="4"/>
        <v>1.25</v>
      </c>
      <c r="R16" s="242">
        <v>7</v>
      </c>
      <c r="S16" s="246">
        <f t="shared" si="5"/>
        <v>70</v>
      </c>
      <c r="T16" s="375"/>
      <c r="U16" s="244">
        <f t="shared" si="6"/>
        <v>1.1666666666666667</v>
      </c>
      <c r="V16" s="152"/>
      <c r="W16" s="151"/>
    </row>
    <row r="17" spans="2:23" s="237" customFormat="1" ht="12" customHeight="1">
      <c r="B17" s="238">
        <v>12</v>
      </c>
      <c r="C17" s="228"/>
      <c r="D17" s="230" t="s">
        <v>69</v>
      </c>
      <c r="E17" s="239" t="s">
        <v>93</v>
      </c>
      <c r="F17" s="239">
        <v>50</v>
      </c>
      <c r="G17" s="243"/>
      <c r="H17" s="240">
        <f t="shared" si="0"/>
        <v>0</v>
      </c>
      <c r="I17" s="241">
        <f t="shared" si="1"/>
        <v>0</v>
      </c>
      <c r="J17" s="247">
        <v>10</v>
      </c>
      <c r="K17" s="248">
        <f t="shared" si="2"/>
        <v>500</v>
      </c>
      <c r="L17" s="373"/>
      <c r="M17" s="244">
        <v>1</v>
      </c>
      <c r="N17" s="242">
        <v>11.5</v>
      </c>
      <c r="O17" s="246">
        <f t="shared" si="3"/>
        <v>575</v>
      </c>
      <c r="P17" s="373"/>
      <c r="Q17" s="244">
        <f t="shared" si="4"/>
        <v>1.1499999999999999</v>
      </c>
      <c r="R17" s="242">
        <v>12</v>
      </c>
      <c r="S17" s="246">
        <f t="shared" si="5"/>
        <v>600</v>
      </c>
      <c r="T17" s="375"/>
      <c r="U17" s="244">
        <f t="shared" si="6"/>
        <v>1.2</v>
      </c>
      <c r="V17" s="152"/>
      <c r="W17" s="151"/>
    </row>
    <row r="18" spans="2:23" s="237" customFormat="1" ht="12" customHeight="1">
      <c r="B18" s="238">
        <v>13</v>
      </c>
      <c r="C18" s="228"/>
      <c r="D18" s="230" t="s">
        <v>70</v>
      </c>
      <c r="E18" s="239" t="s">
        <v>93</v>
      </c>
      <c r="F18" s="239">
        <v>50</v>
      </c>
      <c r="G18" s="243"/>
      <c r="H18" s="240">
        <f t="shared" si="0"/>
        <v>0</v>
      </c>
      <c r="I18" s="241">
        <f t="shared" si="1"/>
        <v>0</v>
      </c>
      <c r="J18" s="247">
        <v>10</v>
      </c>
      <c r="K18" s="248">
        <f t="shared" si="2"/>
        <v>500</v>
      </c>
      <c r="L18" s="373"/>
      <c r="M18" s="244">
        <v>1</v>
      </c>
      <c r="N18" s="242">
        <v>11.5</v>
      </c>
      <c r="O18" s="246">
        <f t="shared" si="3"/>
        <v>575</v>
      </c>
      <c r="P18" s="373"/>
      <c r="Q18" s="244">
        <f t="shared" si="4"/>
        <v>1.1499999999999999</v>
      </c>
      <c r="R18" s="242">
        <v>12</v>
      </c>
      <c r="S18" s="246">
        <f t="shared" si="5"/>
        <v>600</v>
      </c>
      <c r="T18" s="375"/>
      <c r="U18" s="244">
        <f t="shared" si="6"/>
        <v>1.2</v>
      </c>
      <c r="V18" s="152"/>
      <c r="W18" s="151"/>
    </row>
    <row r="19" spans="2:23" s="237" customFormat="1" ht="12" customHeight="1">
      <c r="B19" s="238">
        <v>14</v>
      </c>
      <c r="C19" s="228"/>
      <c r="D19" s="230" t="s">
        <v>71</v>
      </c>
      <c r="E19" s="239" t="s">
        <v>93</v>
      </c>
      <c r="F19" s="239">
        <v>50</v>
      </c>
      <c r="G19" s="243"/>
      <c r="H19" s="240">
        <f t="shared" si="0"/>
        <v>0</v>
      </c>
      <c r="I19" s="241">
        <f t="shared" si="1"/>
        <v>0</v>
      </c>
      <c r="J19" s="247">
        <v>10</v>
      </c>
      <c r="K19" s="248">
        <f t="shared" si="2"/>
        <v>500</v>
      </c>
      <c r="L19" s="373"/>
      <c r="M19" s="244">
        <v>1</v>
      </c>
      <c r="N19" s="242">
        <v>12</v>
      </c>
      <c r="O19" s="246">
        <f t="shared" si="3"/>
        <v>600</v>
      </c>
      <c r="P19" s="373"/>
      <c r="Q19" s="244">
        <f t="shared" si="4"/>
        <v>1.2</v>
      </c>
      <c r="R19" s="242">
        <v>12</v>
      </c>
      <c r="S19" s="246">
        <f t="shared" si="5"/>
        <v>600</v>
      </c>
      <c r="T19" s="375"/>
      <c r="U19" s="244">
        <f t="shared" si="6"/>
        <v>1.2</v>
      </c>
      <c r="V19" s="152"/>
      <c r="W19" s="151"/>
    </row>
    <row r="20" spans="2:23" s="237" customFormat="1" ht="12" customHeight="1">
      <c r="B20" s="238">
        <v>15</v>
      </c>
      <c r="C20" s="228"/>
      <c r="D20" s="230" t="s">
        <v>72</v>
      </c>
      <c r="E20" s="239" t="s">
        <v>93</v>
      </c>
      <c r="F20" s="239">
        <v>100</v>
      </c>
      <c r="G20" s="243"/>
      <c r="H20" s="240">
        <f t="shared" si="0"/>
        <v>0</v>
      </c>
      <c r="I20" s="241">
        <f t="shared" si="1"/>
        <v>0</v>
      </c>
      <c r="J20" s="247">
        <v>10</v>
      </c>
      <c r="K20" s="248">
        <f t="shared" si="2"/>
        <v>1000</v>
      </c>
      <c r="L20" s="373"/>
      <c r="M20" s="244">
        <v>1</v>
      </c>
      <c r="N20" s="242">
        <v>12</v>
      </c>
      <c r="O20" s="246">
        <f t="shared" si="3"/>
        <v>1200</v>
      </c>
      <c r="P20" s="373"/>
      <c r="Q20" s="244">
        <f t="shared" si="4"/>
        <v>1.2</v>
      </c>
      <c r="R20" s="242">
        <v>12</v>
      </c>
      <c r="S20" s="246">
        <f t="shared" si="5"/>
        <v>1200</v>
      </c>
      <c r="T20" s="375"/>
      <c r="U20" s="244">
        <f t="shared" si="6"/>
        <v>1.2</v>
      </c>
      <c r="V20" s="152"/>
      <c r="W20" s="151"/>
    </row>
    <row r="21" spans="2:23" s="237" customFormat="1" ht="12" customHeight="1">
      <c r="B21" s="238">
        <v>16</v>
      </c>
      <c r="C21" s="228"/>
      <c r="D21" s="230" t="s">
        <v>73</v>
      </c>
      <c r="E21" s="239" t="s">
        <v>93</v>
      </c>
      <c r="F21" s="239">
        <v>50</v>
      </c>
      <c r="G21" s="243"/>
      <c r="H21" s="240">
        <f t="shared" si="0"/>
        <v>0</v>
      </c>
      <c r="I21" s="241">
        <f t="shared" si="1"/>
        <v>0</v>
      </c>
      <c r="J21" s="247">
        <v>10</v>
      </c>
      <c r="K21" s="248">
        <f t="shared" si="2"/>
        <v>500</v>
      </c>
      <c r="L21" s="373"/>
      <c r="M21" s="244">
        <v>1</v>
      </c>
      <c r="N21" s="242">
        <v>12.5</v>
      </c>
      <c r="O21" s="246">
        <f t="shared" si="3"/>
        <v>625</v>
      </c>
      <c r="P21" s="373"/>
      <c r="Q21" s="244">
        <f t="shared" si="4"/>
        <v>1.25</v>
      </c>
      <c r="R21" s="242">
        <v>12</v>
      </c>
      <c r="S21" s="246">
        <f t="shared" si="5"/>
        <v>600</v>
      </c>
      <c r="T21" s="375"/>
      <c r="U21" s="244">
        <f t="shared" si="6"/>
        <v>1.2</v>
      </c>
      <c r="V21" s="152"/>
      <c r="W21" s="151"/>
    </row>
    <row r="22" spans="2:23" s="237" customFormat="1" ht="12" customHeight="1">
      <c r="B22" s="238">
        <v>17</v>
      </c>
      <c r="C22" s="228"/>
      <c r="D22" s="230" t="s">
        <v>74</v>
      </c>
      <c r="E22" s="239" t="s">
        <v>93</v>
      </c>
      <c r="F22" s="239">
        <v>50</v>
      </c>
      <c r="G22" s="243"/>
      <c r="H22" s="240">
        <f t="shared" si="0"/>
        <v>0</v>
      </c>
      <c r="I22" s="241">
        <f t="shared" si="1"/>
        <v>0</v>
      </c>
      <c r="J22" s="247">
        <v>10</v>
      </c>
      <c r="K22" s="248">
        <f t="shared" si="2"/>
        <v>500</v>
      </c>
      <c r="L22" s="373"/>
      <c r="M22" s="244">
        <v>1</v>
      </c>
      <c r="N22" s="242">
        <v>11.5</v>
      </c>
      <c r="O22" s="246">
        <f t="shared" si="3"/>
        <v>575</v>
      </c>
      <c r="P22" s="373"/>
      <c r="Q22" s="244">
        <f t="shared" si="4"/>
        <v>1.1499999999999999</v>
      </c>
      <c r="R22" s="242">
        <v>12</v>
      </c>
      <c r="S22" s="246">
        <f t="shared" si="5"/>
        <v>600</v>
      </c>
      <c r="T22" s="375"/>
      <c r="U22" s="244">
        <f t="shared" si="6"/>
        <v>1.2</v>
      </c>
      <c r="V22" s="152"/>
      <c r="W22" s="151"/>
    </row>
    <row r="23" spans="2:23" s="237" customFormat="1" ht="12" customHeight="1">
      <c r="B23" s="238">
        <v>18</v>
      </c>
      <c r="C23" s="228"/>
      <c r="D23" s="230" t="s">
        <v>75</v>
      </c>
      <c r="E23" s="239" t="s">
        <v>93</v>
      </c>
      <c r="F23" s="239">
        <v>50</v>
      </c>
      <c r="G23" s="243"/>
      <c r="H23" s="240">
        <f t="shared" si="0"/>
        <v>0</v>
      </c>
      <c r="I23" s="241">
        <f t="shared" si="1"/>
        <v>0</v>
      </c>
      <c r="J23" s="247">
        <v>10</v>
      </c>
      <c r="K23" s="248">
        <f t="shared" si="2"/>
        <v>500</v>
      </c>
      <c r="L23" s="373"/>
      <c r="M23" s="244">
        <v>1</v>
      </c>
      <c r="N23" s="242">
        <v>12.5</v>
      </c>
      <c r="O23" s="246">
        <f t="shared" si="3"/>
        <v>625</v>
      </c>
      <c r="P23" s="373"/>
      <c r="Q23" s="244">
        <f t="shared" si="4"/>
        <v>1.25</v>
      </c>
      <c r="R23" s="242">
        <v>12</v>
      </c>
      <c r="S23" s="246">
        <f t="shared" si="5"/>
        <v>600</v>
      </c>
      <c r="T23" s="375"/>
      <c r="U23" s="244">
        <f t="shared" si="6"/>
        <v>1.2</v>
      </c>
      <c r="V23" s="152"/>
      <c r="W23" s="151"/>
    </row>
    <row r="24" spans="2:23" s="237" customFormat="1" ht="12" customHeight="1">
      <c r="B24" s="238">
        <v>19</v>
      </c>
      <c r="C24" s="228"/>
      <c r="D24" s="230" t="s">
        <v>76</v>
      </c>
      <c r="E24" s="239" t="s">
        <v>93</v>
      </c>
      <c r="F24" s="239">
        <v>50</v>
      </c>
      <c r="G24" s="243"/>
      <c r="H24" s="240">
        <f t="shared" si="0"/>
        <v>0</v>
      </c>
      <c r="I24" s="241">
        <f t="shared" si="1"/>
        <v>0</v>
      </c>
      <c r="J24" s="247">
        <v>10</v>
      </c>
      <c r="K24" s="248">
        <f t="shared" si="2"/>
        <v>500</v>
      </c>
      <c r="L24" s="373"/>
      <c r="M24" s="244">
        <v>1</v>
      </c>
      <c r="N24" s="242">
        <v>11.5</v>
      </c>
      <c r="O24" s="246">
        <f t="shared" si="3"/>
        <v>575</v>
      </c>
      <c r="P24" s="373"/>
      <c r="Q24" s="244">
        <f t="shared" si="4"/>
        <v>1.1499999999999999</v>
      </c>
      <c r="R24" s="242">
        <v>12</v>
      </c>
      <c r="S24" s="246">
        <f t="shared" si="5"/>
        <v>600</v>
      </c>
      <c r="T24" s="375"/>
      <c r="U24" s="244">
        <f t="shared" si="6"/>
        <v>1.2</v>
      </c>
      <c r="V24" s="152"/>
      <c r="W24" s="151"/>
    </row>
    <row r="25" spans="2:23" s="237" customFormat="1" ht="12" customHeight="1">
      <c r="B25" s="238">
        <v>20</v>
      </c>
      <c r="C25" s="228"/>
      <c r="D25" s="230" t="s">
        <v>77</v>
      </c>
      <c r="E25" s="239" t="s">
        <v>91</v>
      </c>
      <c r="F25" s="239">
        <v>30</v>
      </c>
      <c r="G25" s="243"/>
      <c r="H25" s="240">
        <f t="shared" si="0"/>
        <v>0</v>
      </c>
      <c r="I25" s="241">
        <f t="shared" si="1"/>
        <v>0</v>
      </c>
      <c r="J25" s="247">
        <v>110</v>
      </c>
      <c r="K25" s="248">
        <f t="shared" si="2"/>
        <v>3300</v>
      </c>
      <c r="L25" s="373"/>
      <c r="M25" s="244">
        <v>1</v>
      </c>
      <c r="N25" s="242">
        <v>120</v>
      </c>
      <c r="O25" s="246">
        <f t="shared" si="3"/>
        <v>3600</v>
      </c>
      <c r="P25" s="373"/>
      <c r="Q25" s="244">
        <f t="shared" si="4"/>
        <v>1.0909090909090908</v>
      </c>
      <c r="R25" s="242">
        <v>125</v>
      </c>
      <c r="S25" s="246">
        <f t="shared" si="5"/>
        <v>3750</v>
      </c>
      <c r="T25" s="375"/>
      <c r="U25" s="244">
        <f t="shared" si="6"/>
        <v>1.1363636363636365</v>
      </c>
      <c r="V25" s="152"/>
      <c r="W25" s="151"/>
    </row>
    <row r="26" spans="2:23" s="237" customFormat="1" ht="12" customHeight="1">
      <c r="B26" s="238">
        <v>21</v>
      </c>
      <c r="C26" s="228"/>
      <c r="D26" s="230" t="s">
        <v>78</v>
      </c>
      <c r="E26" s="239" t="s">
        <v>91</v>
      </c>
      <c r="F26" s="239">
        <v>10</v>
      </c>
      <c r="G26" s="243"/>
      <c r="H26" s="240">
        <f t="shared" si="0"/>
        <v>0</v>
      </c>
      <c r="I26" s="241">
        <f t="shared" si="1"/>
        <v>0</v>
      </c>
      <c r="J26" s="247">
        <v>14</v>
      </c>
      <c r="K26" s="248">
        <f t="shared" si="2"/>
        <v>140</v>
      </c>
      <c r="L26" s="373"/>
      <c r="M26" s="244">
        <v>1</v>
      </c>
      <c r="N26" s="242">
        <v>15</v>
      </c>
      <c r="O26" s="246">
        <f t="shared" si="3"/>
        <v>150</v>
      </c>
      <c r="P26" s="373"/>
      <c r="Q26" s="244">
        <f t="shared" si="4"/>
        <v>1.0714285714285714</v>
      </c>
      <c r="R26" s="242">
        <v>16</v>
      </c>
      <c r="S26" s="246">
        <f t="shared" si="5"/>
        <v>160</v>
      </c>
      <c r="T26" s="375"/>
      <c r="U26" s="244">
        <f t="shared" si="6"/>
        <v>1.1428571428571428</v>
      </c>
      <c r="V26" s="152"/>
      <c r="W26" s="151"/>
    </row>
    <row r="27" spans="2:23" s="237" customFormat="1" ht="12" customHeight="1">
      <c r="B27" s="238">
        <v>22</v>
      </c>
      <c r="C27" s="228"/>
      <c r="D27" s="230" t="s">
        <v>63</v>
      </c>
      <c r="E27" s="239" t="s">
        <v>91</v>
      </c>
      <c r="F27" s="239">
        <v>10</v>
      </c>
      <c r="G27" s="243"/>
      <c r="H27" s="240">
        <f t="shared" si="0"/>
        <v>0</v>
      </c>
      <c r="I27" s="241">
        <f t="shared" si="1"/>
        <v>0</v>
      </c>
      <c r="J27" s="247">
        <v>80</v>
      </c>
      <c r="K27" s="248">
        <f t="shared" si="2"/>
        <v>800</v>
      </c>
      <c r="L27" s="373"/>
      <c r="M27" s="244">
        <v>1</v>
      </c>
      <c r="N27" s="242">
        <v>86</v>
      </c>
      <c r="O27" s="246">
        <f t="shared" si="3"/>
        <v>860</v>
      </c>
      <c r="P27" s="373"/>
      <c r="Q27" s="244">
        <f t="shared" si="4"/>
        <v>1.075</v>
      </c>
      <c r="R27" s="242">
        <v>88</v>
      </c>
      <c r="S27" s="246">
        <f t="shared" si="5"/>
        <v>880</v>
      </c>
      <c r="T27" s="375"/>
      <c r="U27" s="244">
        <f t="shared" si="6"/>
        <v>1.1000000000000001</v>
      </c>
      <c r="V27" s="152"/>
      <c r="W27" s="151"/>
    </row>
    <row r="28" spans="2:23" s="237" customFormat="1" ht="12" customHeight="1">
      <c r="B28" s="238">
        <v>23</v>
      </c>
      <c r="C28" s="228"/>
      <c r="D28" s="230" t="s">
        <v>79</v>
      </c>
      <c r="E28" s="239" t="s">
        <v>91</v>
      </c>
      <c r="F28" s="239">
        <v>5</v>
      </c>
      <c r="G28" s="243"/>
      <c r="H28" s="240">
        <f t="shared" si="0"/>
        <v>0</v>
      </c>
      <c r="I28" s="241">
        <f t="shared" si="1"/>
        <v>0</v>
      </c>
      <c r="J28" s="247">
        <v>14</v>
      </c>
      <c r="K28" s="248">
        <f t="shared" si="2"/>
        <v>70</v>
      </c>
      <c r="L28" s="373"/>
      <c r="M28" s="244">
        <v>1</v>
      </c>
      <c r="N28" s="242">
        <v>17</v>
      </c>
      <c r="O28" s="246">
        <f t="shared" si="3"/>
        <v>85</v>
      </c>
      <c r="P28" s="373"/>
      <c r="Q28" s="244">
        <f t="shared" si="4"/>
        <v>1.2142857142857142</v>
      </c>
      <c r="R28" s="242">
        <v>16</v>
      </c>
      <c r="S28" s="246">
        <f t="shared" si="5"/>
        <v>80</v>
      </c>
      <c r="T28" s="375"/>
      <c r="U28" s="244">
        <f t="shared" si="6"/>
        <v>1.1428571428571428</v>
      </c>
      <c r="V28" s="152"/>
      <c r="W28" s="151"/>
    </row>
    <row r="29" spans="2:23" s="237" customFormat="1" ht="12" customHeight="1">
      <c r="B29" s="238">
        <v>24</v>
      </c>
      <c r="C29" s="228"/>
      <c r="D29" s="230" t="s">
        <v>80</v>
      </c>
      <c r="E29" s="239" t="s">
        <v>91</v>
      </c>
      <c r="F29" s="239">
        <v>200</v>
      </c>
      <c r="G29" s="243"/>
      <c r="H29" s="240">
        <f t="shared" si="0"/>
        <v>0</v>
      </c>
      <c r="I29" s="241">
        <f t="shared" si="1"/>
        <v>0</v>
      </c>
      <c r="J29" s="247">
        <v>0.95</v>
      </c>
      <c r="K29" s="248">
        <f t="shared" si="2"/>
        <v>190</v>
      </c>
      <c r="L29" s="373"/>
      <c r="M29" s="244">
        <v>1</v>
      </c>
      <c r="N29" s="242">
        <v>1.2</v>
      </c>
      <c r="O29" s="246">
        <f t="shared" si="3"/>
        <v>240</v>
      </c>
      <c r="P29" s="373"/>
      <c r="Q29" s="244">
        <f t="shared" si="4"/>
        <v>1.263157894736842</v>
      </c>
      <c r="R29" s="242">
        <v>1.1499999999999999</v>
      </c>
      <c r="S29" s="246">
        <f t="shared" si="5"/>
        <v>229.99999999999997</v>
      </c>
      <c r="T29" s="375"/>
      <c r="U29" s="244">
        <f t="shared" si="6"/>
        <v>1.2105263157894735</v>
      </c>
      <c r="V29" s="152"/>
      <c r="W29" s="151"/>
    </row>
    <row r="30" spans="2:23" s="237" customFormat="1" ht="12" customHeight="1">
      <c r="B30" s="238">
        <v>25</v>
      </c>
      <c r="C30" s="228"/>
      <c r="D30" s="230" t="s">
        <v>81</v>
      </c>
      <c r="E30" s="239" t="s">
        <v>90</v>
      </c>
      <c r="F30" s="239">
        <v>10</v>
      </c>
      <c r="G30" s="243"/>
      <c r="H30" s="240">
        <f t="shared" si="0"/>
        <v>0</v>
      </c>
      <c r="I30" s="241">
        <f t="shared" si="1"/>
        <v>0</v>
      </c>
      <c r="J30" s="247">
        <v>160</v>
      </c>
      <c r="K30" s="248">
        <f t="shared" si="2"/>
        <v>1600</v>
      </c>
      <c r="L30" s="373"/>
      <c r="M30" s="244">
        <v>1</v>
      </c>
      <c r="N30" s="242">
        <v>170</v>
      </c>
      <c r="O30" s="246">
        <f t="shared" si="3"/>
        <v>1700</v>
      </c>
      <c r="P30" s="373"/>
      <c r="Q30" s="244">
        <f t="shared" si="4"/>
        <v>1.0625</v>
      </c>
      <c r="R30" s="242">
        <v>176</v>
      </c>
      <c r="S30" s="246">
        <f t="shared" si="5"/>
        <v>1760</v>
      </c>
      <c r="T30" s="375"/>
      <c r="U30" s="244">
        <f t="shared" si="6"/>
        <v>1.1000000000000001</v>
      </c>
      <c r="V30" s="152"/>
      <c r="W30" s="151"/>
    </row>
    <row r="31" spans="2:23" s="237" customFormat="1" ht="12" customHeight="1">
      <c r="B31" s="238">
        <v>26</v>
      </c>
      <c r="C31" s="228"/>
      <c r="D31" s="230" t="s">
        <v>61</v>
      </c>
      <c r="E31" s="239" t="s">
        <v>91</v>
      </c>
      <c r="F31" s="239">
        <v>200</v>
      </c>
      <c r="G31" s="243"/>
      <c r="H31" s="240">
        <f t="shared" si="0"/>
        <v>0</v>
      </c>
      <c r="I31" s="241">
        <f t="shared" si="1"/>
        <v>0</v>
      </c>
      <c r="J31" s="247">
        <v>20</v>
      </c>
      <c r="K31" s="248">
        <f t="shared" si="2"/>
        <v>4000</v>
      </c>
      <c r="L31" s="373"/>
      <c r="M31" s="244">
        <v>1</v>
      </c>
      <c r="N31" s="242">
        <v>23</v>
      </c>
      <c r="O31" s="246">
        <f t="shared" si="3"/>
        <v>4600</v>
      </c>
      <c r="P31" s="373"/>
      <c r="Q31" s="244">
        <f t="shared" si="4"/>
        <v>1.1499999999999999</v>
      </c>
      <c r="R31" s="242">
        <v>24</v>
      </c>
      <c r="S31" s="246">
        <f t="shared" si="5"/>
        <v>4800</v>
      </c>
      <c r="T31" s="375"/>
      <c r="U31" s="244">
        <f t="shared" si="6"/>
        <v>1.2</v>
      </c>
      <c r="V31" s="152"/>
      <c r="W31" s="151"/>
    </row>
    <row r="32" spans="2:23" s="237" customFormat="1" ht="12" customHeight="1">
      <c r="B32" s="238">
        <v>27</v>
      </c>
      <c r="C32" s="228"/>
      <c r="D32" s="230" t="s">
        <v>62</v>
      </c>
      <c r="E32" s="239" t="s">
        <v>91</v>
      </c>
      <c r="F32" s="239">
        <v>200</v>
      </c>
      <c r="G32" s="243"/>
      <c r="H32" s="240">
        <f t="shared" si="0"/>
        <v>0</v>
      </c>
      <c r="I32" s="241">
        <f t="shared" si="1"/>
        <v>0</v>
      </c>
      <c r="J32" s="247">
        <v>32</v>
      </c>
      <c r="K32" s="248">
        <f t="shared" si="2"/>
        <v>6400</v>
      </c>
      <c r="L32" s="373"/>
      <c r="M32" s="244">
        <v>1</v>
      </c>
      <c r="N32" s="242">
        <v>35</v>
      </c>
      <c r="O32" s="246">
        <f t="shared" si="3"/>
        <v>7000</v>
      </c>
      <c r="P32" s="373"/>
      <c r="Q32" s="244">
        <f t="shared" si="4"/>
        <v>1.09375</v>
      </c>
      <c r="R32" s="242">
        <v>36</v>
      </c>
      <c r="S32" s="246">
        <f t="shared" si="5"/>
        <v>7200</v>
      </c>
      <c r="T32" s="375"/>
      <c r="U32" s="244">
        <f t="shared" si="6"/>
        <v>1.125</v>
      </c>
      <c r="V32" s="152"/>
      <c r="W32" s="151"/>
    </row>
    <row r="33" spans="1:27" s="237" customFormat="1" ht="12" customHeight="1">
      <c r="B33" s="238">
        <v>28</v>
      </c>
      <c r="C33" s="228"/>
      <c r="D33" s="230" t="s">
        <v>82</v>
      </c>
      <c r="E33" s="239" t="s">
        <v>90</v>
      </c>
      <c r="F33" s="239">
        <v>30</v>
      </c>
      <c r="G33" s="243"/>
      <c r="H33" s="240">
        <f t="shared" si="0"/>
        <v>0</v>
      </c>
      <c r="I33" s="241">
        <f t="shared" si="1"/>
        <v>0</v>
      </c>
      <c r="J33" s="247">
        <v>595</v>
      </c>
      <c r="K33" s="248">
        <f t="shared" si="2"/>
        <v>17850</v>
      </c>
      <c r="L33" s="373"/>
      <c r="M33" s="244">
        <v>1</v>
      </c>
      <c r="N33" s="242">
        <v>650</v>
      </c>
      <c r="O33" s="246">
        <f t="shared" si="3"/>
        <v>19500</v>
      </c>
      <c r="P33" s="373"/>
      <c r="Q33" s="244">
        <f t="shared" si="4"/>
        <v>1.0924369747899159</v>
      </c>
      <c r="R33" s="242">
        <v>655</v>
      </c>
      <c r="S33" s="246">
        <f t="shared" si="5"/>
        <v>19650</v>
      </c>
      <c r="T33" s="375"/>
      <c r="U33" s="244">
        <f t="shared" si="6"/>
        <v>1.1008403361344539</v>
      </c>
      <c r="V33" s="152"/>
      <c r="W33" s="151"/>
    </row>
    <row r="34" spans="1:27" s="237" customFormat="1" ht="12" customHeight="1">
      <c r="B34" s="238">
        <v>29</v>
      </c>
      <c r="C34" s="228"/>
      <c r="D34" s="230" t="s">
        <v>83</v>
      </c>
      <c r="E34" s="239" t="s">
        <v>91</v>
      </c>
      <c r="F34" s="239">
        <v>2</v>
      </c>
      <c r="G34" s="243"/>
      <c r="H34" s="240">
        <f t="shared" si="0"/>
        <v>0</v>
      </c>
      <c r="I34" s="241">
        <f t="shared" si="1"/>
        <v>0</v>
      </c>
      <c r="J34" s="247">
        <v>414</v>
      </c>
      <c r="K34" s="248">
        <f t="shared" si="2"/>
        <v>828</v>
      </c>
      <c r="L34" s="373"/>
      <c r="M34" s="244">
        <v>1</v>
      </c>
      <c r="N34" s="242">
        <v>450</v>
      </c>
      <c r="O34" s="246">
        <f t="shared" si="3"/>
        <v>900</v>
      </c>
      <c r="P34" s="373"/>
      <c r="Q34" s="244">
        <f t="shared" si="4"/>
        <v>1.0869565217391304</v>
      </c>
      <c r="R34" s="242">
        <v>455</v>
      </c>
      <c r="S34" s="246">
        <f t="shared" si="5"/>
        <v>910</v>
      </c>
      <c r="T34" s="375"/>
      <c r="U34" s="244">
        <f t="shared" si="6"/>
        <v>1.0990338164251208</v>
      </c>
      <c r="V34" s="152"/>
      <c r="W34" s="151"/>
    </row>
    <row r="35" spans="1:27" s="237" customFormat="1" ht="12" customHeight="1">
      <c r="B35" s="238">
        <v>30</v>
      </c>
      <c r="C35" s="228"/>
      <c r="D35" s="230" t="s">
        <v>84</v>
      </c>
      <c r="E35" s="239" t="s">
        <v>91</v>
      </c>
      <c r="F35" s="239">
        <v>2</v>
      </c>
      <c r="G35" s="243"/>
      <c r="H35" s="240">
        <f t="shared" si="0"/>
        <v>0</v>
      </c>
      <c r="I35" s="241">
        <f t="shared" si="1"/>
        <v>0</v>
      </c>
      <c r="J35" s="247">
        <v>62</v>
      </c>
      <c r="K35" s="248">
        <f t="shared" si="2"/>
        <v>124</v>
      </c>
      <c r="L35" s="373"/>
      <c r="M35" s="244">
        <v>1</v>
      </c>
      <c r="N35" s="242">
        <v>68</v>
      </c>
      <c r="O35" s="246">
        <f t="shared" si="3"/>
        <v>136</v>
      </c>
      <c r="P35" s="373"/>
      <c r="Q35" s="244">
        <f t="shared" si="4"/>
        <v>1.096774193548387</v>
      </c>
      <c r="R35" s="242">
        <v>69</v>
      </c>
      <c r="S35" s="246">
        <f t="shared" si="5"/>
        <v>138</v>
      </c>
      <c r="T35" s="375"/>
      <c r="U35" s="244">
        <f t="shared" si="6"/>
        <v>1.1129032258064515</v>
      </c>
      <c r="V35" s="152"/>
      <c r="W35" s="151"/>
    </row>
    <row r="36" spans="1:27" s="237" customFormat="1" ht="12" customHeight="1">
      <c r="B36" s="238">
        <v>31</v>
      </c>
      <c r="C36" s="228"/>
      <c r="D36" s="230" t="s">
        <v>85</v>
      </c>
      <c r="E36" s="239" t="s">
        <v>91</v>
      </c>
      <c r="F36" s="239">
        <v>1</v>
      </c>
      <c r="G36" s="243"/>
      <c r="H36" s="240">
        <f t="shared" si="0"/>
        <v>0</v>
      </c>
      <c r="I36" s="241">
        <f t="shared" si="1"/>
        <v>0</v>
      </c>
      <c r="J36" s="247">
        <v>94</v>
      </c>
      <c r="K36" s="248">
        <f t="shared" si="2"/>
        <v>94</v>
      </c>
      <c r="L36" s="373"/>
      <c r="M36" s="244">
        <v>1</v>
      </c>
      <c r="N36" s="242">
        <v>103</v>
      </c>
      <c r="O36" s="246">
        <f t="shared" si="3"/>
        <v>103</v>
      </c>
      <c r="P36" s="373"/>
      <c r="Q36" s="244">
        <f t="shared" si="4"/>
        <v>1.0957446808510638</v>
      </c>
      <c r="R36" s="242">
        <v>105</v>
      </c>
      <c r="S36" s="246">
        <f t="shared" si="5"/>
        <v>105</v>
      </c>
      <c r="T36" s="375"/>
      <c r="U36" s="244">
        <f t="shared" si="6"/>
        <v>1.1170212765957446</v>
      </c>
      <c r="V36" s="152"/>
      <c r="W36" s="151"/>
    </row>
    <row r="37" spans="1:27" s="237" customFormat="1" ht="12" customHeight="1">
      <c r="B37" s="238">
        <v>32</v>
      </c>
      <c r="C37" s="228"/>
      <c r="D37" s="230" t="s">
        <v>86</v>
      </c>
      <c r="E37" s="239" t="s">
        <v>91</v>
      </c>
      <c r="F37" s="239">
        <v>2</v>
      </c>
      <c r="G37" s="243"/>
      <c r="H37" s="240">
        <f t="shared" si="0"/>
        <v>0</v>
      </c>
      <c r="I37" s="241">
        <f t="shared" si="1"/>
        <v>0</v>
      </c>
      <c r="J37" s="247">
        <v>96.5</v>
      </c>
      <c r="K37" s="248">
        <f t="shared" si="2"/>
        <v>193</v>
      </c>
      <c r="L37" s="373"/>
      <c r="M37" s="244">
        <v>1</v>
      </c>
      <c r="N37" s="242">
        <v>105</v>
      </c>
      <c r="O37" s="246">
        <f t="shared" si="3"/>
        <v>210</v>
      </c>
      <c r="P37" s="373"/>
      <c r="Q37" s="244">
        <f t="shared" si="4"/>
        <v>1.0880829015544042</v>
      </c>
      <c r="R37" s="242">
        <v>106</v>
      </c>
      <c r="S37" s="246">
        <f t="shared" si="5"/>
        <v>212</v>
      </c>
      <c r="T37" s="375"/>
      <c r="U37" s="244">
        <f t="shared" si="6"/>
        <v>1.0984455958549222</v>
      </c>
      <c r="V37" s="152"/>
      <c r="W37" s="151"/>
    </row>
    <row r="38" spans="1:27" s="237" customFormat="1" ht="12" customHeight="1">
      <c r="B38" s="238">
        <v>33</v>
      </c>
      <c r="C38" s="228"/>
      <c r="D38" s="230" t="s">
        <v>68</v>
      </c>
      <c r="E38" s="239" t="s">
        <v>91</v>
      </c>
      <c r="F38" s="239">
        <v>12</v>
      </c>
      <c r="G38" s="243"/>
      <c r="H38" s="240">
        <f t="shared" si="0"/>
        <v>0</v>
      </c>
      <c r="I38" s="241">
        <f t="shared" si="1"/>
        <v>0</v>
      </c>
      <c r="J38" s="247">
        <v>6</v>
      </c>
      <c r="K38" s="248">
        <f t="shared" si="2"/>
        <v>72</v>
      </c>
      <c r="L38" s="373"/>
      <c r="M38" s="244">
        <v>1</v>
      </c>
      <c r="N38" s="242">
        <v>7.5</v>
      </c>
      <c r="O38" s="246">
        <f t="shared" si="3"/>
        <v>90</v>
      </c>
      <c r="P38" s="373"/>
      <c r="Q38" s="244">
        <f t="shared" si="4"/>
        <v>1.25</v>
      </c>
      <c r="R38" s="242">
        <v>7</v>
      </c>
      <c r="S38" s="246">
        <f t="shared" si="5"/>
        <v>84</v>
      </c>
      <c r="T38" s="375"/>
      <c r="U38" s="244">
        <f t="shared" si="6"/>
        <v>1.1666666666666667</v>
      </c>
      <c r="V38" s="152"/>
      <c r="W38" s="151"/>
    </row>
    <row r="39" spans="1:27" s="237" customFormat="1" ht="12" customHeight="1">
      <c r="B39" s="238">
        <v>34</v>
      </c>
      <c r="C39" s="228"/>
      <c r="D39" s="230" t="s">
        <v>87</v>
      </c>
      <c r="E39" s="239" t="s">
        <v>91</v>
      </c>
      <c r="F39" s="239">
        <v>4</v>
      </c>
      <c r="G39" s="243"/>
      <c r="H39" s="240">
        <f t="shared" si="0"/>
        <v>0</v>
      </c>
      <c r="I39" s="241">
        <f t="shared" si="1"/>
        <v>0</v>
      </c>
      <c r="J39" s="247">
        <v>28</v>
      </c>
      <c r="K39" s="248">
        <f t="shared" si="2"/>
        <v>112</v>
      </c>
      <c r="L39" s="373"/>
      <c r="M39" s="244">
        <v>1</v>
      </c>
      <c r="N39" s="242">
        <v>30</v>
      </c>
      <c r="O39" s="246">
        <f t="shared" si="3"/>
        <v>120</v>
      </c>
      <c r="P39" s="373"/>
      <c r="Q39" s="244">
        <f t="shared" si="4"/>
        <v>1.0714285714285714</v>
      </c>
      <c r="R39" s="242">
        <v>31</v>
      </c>
      <c r="S39" s="246">
        <f t="shared" si="5"/>
        <v>124</v>
      </c>
      <c r="T39" s="375"/>
      <c r="U39" s="244">
        <f t="shared" si="6"/>
        <v>1.1071428571428572</v>
      </c>
      <c r="V39" s="152"/>
      <c r="W39" s="151"/>
    </row>
    <row r="40" spans="1:27" s="237" customFormat="1" ht="12" customHeight="1">
      <c r="B40" s="238">
        <v>35</v>
      </c>
      <c r="C40" s="228"/>
      <c r="D40" s="230" t="s">
        <v>88</v>
      </c>
      <c r="E40" s="239" t="s">
        <v>91</v>
      </c>
      <c r="F40" s="239">
        <v>4</v>
      </c>
      <c r="G40" s="243"/>
      <c r="H40" s="240">
        <f t="shared" si="0"/>
        <v>0</v>
      </c>
      <c r="I40" s="241">
        <f t="shared" si="1"/>
        <v>0</v>
      </c>
      <c r="J40" s="247">
        <v>40</v>
      </c>
      <c r="K40" s="248">
        <f t="shared" si="2"/>
        <v>160</v>
      </c>
      <c r="L40" s="373"/>
      <c r="M40" s="244">
        <v>1</v>
      </c>
      <c r="N40" s="242">
        <v>43</v>
      </c>
      <c r="O40" s="246">
        <f t="shared" si="3"/>
        <v>172</v>
      </c>
      <c r="P40" s="373"/>
      <c r="Q40" s="244">
        <f t="shared" si="4"/>
        <v>1.075</v>
      </c>
      <c r="R40" s="242">
        <v>45</v>
      </c>
      <c r="S40" s="246">
        <f t="shared" si="5"/>
        <v>180</v>
      </c>
      <c r="T40" s="375"/>
      <c r="U40" s="244">
        <f t="shared" si="6"/>
        <v>1.125</v>
      </c>
      <c r="V40" s="152"/>
      <c r="W40" s="151"/>
    </row>
    <row r="41" spans="1:27" s="237" customFormat="1" ht="12" customHeight="1">
      <c r="B41" s="238">
        <v>36</v>
      </c>
      <c r="C41" s="228"/>
      <c r="D41" s="230" t="s">
        <v>89</v>
      </c>
      <c r="E41" s="239" t="s">
        <v>91</v>
      </c>
      <c r="F41" s="239">
        <v>2</v>
      </c>
      <c r="G41" s="243"/>
      <c r="H41" s="240">
        <f t="shared" si="0"/>
        <v>0</v>
      </c>
      <c r="I41" s="241">
        <f t="shared" si="1"/>
        <v>0</v>
      </c>
      <c r="J41" s="247">
        <v>18</v>
      </c>
      <c r="K41" s="248">
        <f t="shared" si="2"/>
        <v>36</v>
      </c>
      <c r="L41" s="373"/>
      <c r="M41" s="244">
        <v>1</v>
      </c>
      <c r="N41" s="242">
        <v>21</v>
      </c>
      <c r="O41" s="246">
        <f t="shared" si="3"/>
        <v>42</v>
      </c>
      <c r="P41" s="373"/>
      <c r="Q41" s="244">
        <f t="shared" si="4"/>
        <v>1.1666666666666667</v>
      </c>
      <c r="R41" s="242">
        <v>20</v>
      </c>
      <c r="S41" s="246">
        <f t="shared" si="5"/>
        <v>40</v>
      </c>
      <c r="T41" s="375"/>
      <c r="U41" s="244">
        <f t="shared" si="6"/>
        <v>1.1111111111111112</v>
      </c>
      <c r="V41" s="152"/>
      <c r="W41" s="151"/>
    </row>
    <row r="42" spans="1:27" s="237" customFormat="1" ht="12.75" customHeight="1">
      <c r="B42" s="238">
        <v>37</v>
      </c>
      <c r="C42" s="228"/>
      <c r="D42" s="245" t="s">
        <v>89</v>
      </c>
      <c r="E42" s="239" t="s">
        <v>91</v>
      </c>
      <c r="F42" s="239">
        <v>2</v>
      </c>
      <c r="G42" s="243"/>
      <c r="H42" s="240">
        <f t="shared" si="0"/>
        <v>0</v>
      </c>
      <c r="I42" s="241">
        <f t="shared" si="1"/>
        <v>0</v>
      </c>
      <c r="J42" s="247">
        <v>18</v>
      </c>
      <c r="K42" s="248">
        <f t="shared" si="2"/>
        <v>36</v>
      </c>
      <c r="L42" s="373"/>
      <c r="M42" s="250">
        <v>1</v>
      </c>
      <c r="N42" s="249">
        <v>21</v>
      </c>
      <c r="O42" s="246">
        <f t="shared" si="3"/>
        <v>42</v>
      </c>
      <c r="P42" s="373"/>
      <c r="Q42" s="250">
        <f t="shared" si="4"/>
        <v>1.1666666666666667</v>
      </c>
      <c r="R42" s="242">
        <v>20</v>
      </c>
      <c r="S42" s="246">
        <f t="shared" si="5"/>
        <v>40</v>
      </c>
      <c r="T42" s="376"/>
      <c r="U42" s="250">
        <f t="shared" si="6"/>
        <v>1.1111111111111112</v>
      </c>
      <c r="V42" s="153"/>
      <c r="W42" s="151"/>
    </row>
    <row r="43" spans="1:27" s="133" customFormat="1" ht="33" customHeight="1">
      <c r="A43" s="134"/>
      <c r="B43" s="236"/>
      <c r="C43" s="334" t="s">
        <v>21</v>
      </c>
      <c r="D43" s="335"/>
      <c r="E43" s="335"/>
      <c r="F43" s="335"/>
      <c r="G43" s="322" t="str">
        <f>G4</f>
        <v>Previous Price</v>
      </c>
      <c r="H43" s="323"/>
      <c r="I43" s="324"/>
      <c r="J43" s="322" t="str">
        <f>J4</f>
        <v>OSAZ(Omar Saleh Abdullah Al-Zahrani Electricals)</v>
      </c>
      <c r="K43" s="380"/>
      <c r="L43" s="380"/>
      <c r="M43" s="381"/>
      <c r="N43" s="322" t="str">
        <f>N4</f>
        <v>MMH (Mohammed Misfer AL-Harith Trading Co.)</v>
      </c>
      <c r="O43" s="380"/>
      <c r="P43" s="380"/>
      <c r="Q43" s="381"/>
      <c r="R43" s="382" t="str">
        <f>R4</f>
        <v>FIO (Faisal Ibrahim Othman)</v>
      </c>
      <c r="S43" s="383"/>
      <c r="T43" s="383"/>
      <c r="U43" s="384"/>
      <c r="V43" s="235"/>
      <c r="W43" s="154"/>
    </row>
    <row r="44" spans="1:27" s="133" customFormat="1" ht="21.75" customHeight="1">
      <c r="A44" s="134"/>
      <c r="B44" s="155"/>
      <c r="C44" s="156"/>
      <c r="D44" s="385" t="s">
        <v>22</v>
      </c>
      <c r="E44" s="385"/>
      <c r="F44" s="386"/>
      <c r="G44" s="318">
        <f>SUM(H6:H42)</f>
        <v>0</v>
      </c>
      <c r="H44" s="319"/>
      <c r="I44" s="159"/>
      <c r="J44" s="233"/>
      <c r="K44" s="231">
        <f>SUM(K6:K42)</f>
        <v>71297.5</v>
      </c>
      <c r="L44" s="158"/>
      <c r="M44" s="159">
        <v>1</v>
      </c>
      <c r="N44" s="160"/>
      <c r="O44" s="231">
        <f>SUM(O6:O42)</f>
        <v>78480</v>
      </c>
      <c r="P44" s="157"/>
      <c r="Q44" s="161">
        <f>O44/K44</f>
        <v>1.100739857638767</v>
      </c>
      <c r="R44" s="160"/>
      <c r="S44" s="231">
        <f>SUM(S6:S42)</f>
        <v>80210.5</v>
      </c>
      <c r="T44" s="157"/>
      <c r="U44" s="162">
        <f>S44/K44</f>
        <v>1.1250113959114976</v>
      </c>
      <c r="V44" s="163"/>
      <c r="W44" s="154"/>
    </row>
    <row r="45" spans="1:27" ht="21.75" customHeight="1" thickBot="1">
      <c r="B45" s="164"/>
      <c r="C45" s="331" t="s">
        <v>23</v>
      </c>
      <c r="D45" s="332"/>
      <c r="E45" s="332"/>
      <c r="F45" s="333"/>
      <c r="G45" s="320">
        <f>G44*15%</f>
        <v>0</v>
      </c>
      <c r="H45" s="321"/>
      <c r="I45" s="168"/>
      <c r="J45" s="165"/>
      <c r="K45" s="232">
        <f>K44*15%</f>
        <v>10694.625</v>
      </c>
      <c r="L45" s="167"/>
      <c r="M45" s="168"/>
      <c r="N45" s="169"/>
      <c r="O45" s="232">
        <f>O44*15%</f>
        <v>11772</v>
      </c>
      <c r="P45" s="167"/>
      <c r="Q45" s="168"/>
      <c r="R45" s="169"/>
      <c r="S45" s="232">
        <f>S44*15%</f>
        <v>12031.574999999999</v>
      </c>
      <c r="T45" s="166"/>
      <c r="U45" s="170"/>
      <c r="V45" s="171"/>
      <c r="W45" s="154"/>
    </row>
    <row r="46" spans="1:27" ht="25.15" customHeight="1" thickBot="1">
      <c r="B46" s="328" t="s">
        <v>45</v>
      </c>
      <c r="C46" s="329"/>
      <c r="D46" s="329"/>
      <c r="E46" s="329"/>
      <c r="F46" s="330"/>
      <c r="G46" s="316">
        <f>SUM(G44:H45)</f>
        <v>0</v>
      </c>
      <c r="H46" s="317"/>
      <c r="I46" s="234">
        <f>G46/K46</f>
        <v>0</v>
      </c>
      <c r="J46" s="234"/>
      <c r="K46" s="173">
        <f>SUM(K44:K45)</f>
        <v>81992.125</v>
      </c>
      <c r="L46" s="174"/>
      <c r="M46" s="175">
        <v>1</v>
      </c>
      <c r="N46" s="176"/>
      <c r="O46" s="173">
        <f>SUM(O44:O45)</f>
        <v>90252</v>
      </c>
      <c r="P46" s="174"/>
      <c r="Q46" s="177">
        <f>O46/K46</f>
        <v>1.100739857638767</v>
      </c>
      <c r="R46" s="172"/>
      <c r="S46" s="173">
        <f>SUM(S44:S45)</f>
        <v>92242.074999999997</v>
      </c>
      <c r="T46" s="174"/>
      <c r="U46" s="175">
        <f>S46/K46</f>
        <v>1.1250113959114976</v>
      </c>
      <c r="V46" s="178"/>
      <c r="W46" s="179"/>
    </row>
    <row r="47" spans="1:27" s="180" customFormat="1" ht="12" customHeight="1">
      <c r="B47" s="181"/>
      <c r="C47" s="182"/>
      <c r="D47" s="182"/>
      <c r="E47" s="183"/>
      <c r="F47" s="183"/>
      <c r="G47" s="183"/>
      <c r="H47" s="183"/>
      <c r="I47" s="183"/>
      <c r="J47" s="184"/>
      <c r="K47" s="184"/>
      <c r="L47" s="184"/>
      <c r="M47" s="185"/>
      <c r="N47" s="184"/>
      <c r="O47" s="184"/>
      <c r="P47" s="184"/>
      <c r="Q47" s="185"/>
      <c r="R47" s="185"/>
      <c r="S47" s="185"/>
      <c r="T47" s="185"/>
      <c r="U47" s="185"/>
      <c r="V47" s="186"/>
      <c r="W47" s="187"/>
      <c r="X47" s="188"/>
      <c r="Y47" s="188"/>
      <c r="Z47" s="188"/>
      <c r="AA47" s="188"/>
    </row>
    <row r="48" spans="1:27" ht="18" customHeight="1" thickBot="1">
      <c r="A48" s="135" t="s">
        <v>44</v>
      </c>
      <c r="B48" s="135"/>
      <c r="C48" s="136"/>
      <c r="D48" s="137"/>
      <c r="E48" s="135"/>
      <c r="F48" s="135"/>
      <c r="G48" s="135"/>
      <c r="H48" s="135"/>
      <c r="I48" s="135"/>
      <c r="J48" s="135"/>
      <c r="K48" s="135"/>
      <c r="L48" s="135"/>
      <c r="M48" s="138"/>
      <c r="N48" s="135"/>
      <c r="O48" s="135"/>
      <c r="P48" s="135"/>
      <c r="Q48" s="138"/>
      <c r="R48" s="138"/>
      <c r="S48" s="138"/>
      <c r="T48" s="138"/>
      <c r="U48" s="138"/>
      <c r="V48" s="142" t="s">
        <v>25</v>
      </c>
      <c r="W48" s="142"/>
    </row>
    <row r="49" spans="1:27" ht="23.25" customHeight="1" thickBot="1">
      <c r="B49" s="143" t="s">
        <v>46</v>
      </c>
      <c r="C49" s="367" t="s">
        <v>47</v>
      </c>
      <c r="D49" s="368"/>
      <c r="E49" s="367" t="s">
        <v>48</v>
      </c>
      <c r="F49" s="369"/>
      <c r="G49" s="369"/>
      <c r="H49" s="369"/>
      <c r="I49" s="368"/>
      <c r="J49" s="357" t="s">
        <v>49</v>
      </c>
      <c r="K49" s="358"/>
      <c r="L49" s="359" t="s">
        <v>50</v>
      </c>
      <c r="M49" s="360"/>
      <c r="N49" s="357" t="s">
        <v>51</v>
      </c>
      <c r="O49" s="358"/>
      <c r="P49" s="359" t="s">
        <v>50</v>
      </c>
      <c r="Q49" s="360"/>
      <c r="R49" s="357" t="s">
        <v>51</v>
      </c>
      <c r="S49" s="358"/>
      <c r="T49" s="359" t="s">
        <v>50</v>
      </c>
      <c r="U49" s="360"/>
      <c r="V49" s="189" t="s">
        <v>52</v>
      </c>
      <c r="W49" s="190"/>
    </row>
    <row r="50" spans="1:27" s="180" customFormat="1" ht="25.15" customHeight="1" thickTop="1">
      <c r="B50" s="191">
        <v>1</v>
      </c>
      <c r="C50" s="361" t="str">
        <f>+J43</f>
        <v>OSAZ(Omar Saleh Abdullah Al-Zahrani Electricals)</v>
      </c>
      <c r="D50" s="362"/>
      <c r="E50" s="348">
        <f>K46</f>
        <v>81992.125</v>
      </c>
      <c r="F50" s="349"/>
      <c r="G50" s="349"/>
      <c r="H50" s="349"/>
      <c r="I50" s="350"/>
      <c r="J50" s="363">
        <f>K46</f>
        <v>81992.125</v>
      </c>
      <c r="K50" s="364"/>
      <c r="L50" s="365">
        <v>1</v>
      </c>
      <c r="M50" s="366"/>
      <c r="N50" s="363">
        <f>E50</f>
        <v>81992.125</v>
      </c>
      <c r="O50" s="364"/>
      <c r="P50" s="365">
        <f>N50/E50</f>
        <v>1</v>
      </c>
      <c r="Q50" s="366">
        <f>N50/E50</f>
        <v>1</v>
      </c>
      <c r="R50" s="363">
        <f>E50</f>
        <v>81992.125</v>
      </c>
      <c r="S50" s="364"/>
      <c r="T50" s="365">
        <f>R50/E50</f>
        <v>1</v>
      </c>
      <c r="U50" s="366">
        <f>R50/E50</f>
        <v>1</v>
      </c>
      <c r="V50" s="192"/>
      <c r="W50" s="193"/>
      <c r="X50" s="188"/>
      <c r="Y50" s="188"/>
      <c r="Z50" s="188"/>
      <c r="AA50" s="188"/>
    </row>
    <row r="51" spans="1:27" s="180" customFormat="1" ht="25.15" customHeight="1">
      <c r="B51" s="194">
        <v>2</v>
      </c>
      <c r="C51" s="340" t="str">
        <f>+N43</f>
        <v>MMH (Mohammed Misfer AL-Harith Trading Co.)</v>
      </c>
      <c r="D51" s="341"/>
      <c r="E51" s="351"/>
      <c r="F51" s="352"/>
      <c r="G51" s="352"/>
      <c r="H51" s="352"/>
      <c r="I51" s="353"/>
      <c r="J51" s="342">
        <f>O46</f>
        <v>90252</v>
      </c>
      <c r="K51" s="343"/>
      <c r="L51" s="344">
        <f>J51/E50</f>
        <v>1.100739857638767</v>
      </c>
      <c r="M51" s="345"/>
      <c r="N51" s="342">
        <f>J51</f>
        <v>90252</v>
      </c>
      <c r="O51" s="343"/>
      <c r="P51" s="344">
        <f>N51/E50</f>
        <v>1.100739857638767</v>
      </c>
      <c r="Q51" s="345">
        <v>1</v>
      </c>
      <c r="R51" s="342">
        <f>N51</f>
        <v>90252</v>
      </c>
      <c r="S51" s="343"/>
      <c r="T51" s="344">
        <f>R51/E50</f>
        <v>1.100739857638767</v>
      </c>
      <c r="U51" s="345">
        <v>1</v>
      </c>
      <c r="V51" s="195"/>
      <c r="W51" s="193"/>
      <c r="X51" s="188"/>
      <c r="Y51" s="188"/>
      <c r="Z51" s="188"/>
      <c r="AA51" s="188"/>
    </row>
    <row r="52" spans="1:27" s="180" customFormat="1" ht="25.15" customHeight="1" thickBot="1">
      <c r="B52" s="196">
        <v>3</v>
      </c>
      <c r="C52" s="346" t="str">
        <f>+R43</f>
        <v>FIO (Faisal Ibrahim Othman)</v>
      </c>
      <c r="D52" s="347"/>
      <c r="E52" s="354"/>
      <c r="F52" s="355"/>
      <c r="G52" s="355"/>
      <c r="H52" s="355"/>
      <c r="I52" s="356"/>
      <c r="J52" s="338">
        <f>S46</f>
        <v>92242.074999999997</v>
      </c>
      <c r="K52" s="339"/>
      <c r="L52" s="336">
        <f>J52/E50</f>
        <v>1.1250113959114976</v>
      </c>
      <c r="M52" s="337"/>
      <c r="N52" s="338">
        <f>J52</f>
        <v>92242.074999999997</v>
      </c>
      <c r="O52" s="339"/>
      <c r="P52" s="336">
        <f>N52/E50</f>
        <v>1.1250113959114976</v>
      </c>
      <c r="Q52" s="337"/>
      <c r="R52" s="338">
        <f>J52</f>
        <v>92242.074999999997</v>
      </c>
      <c r="S52" s="339"/>
      <c r="T52" s="336">
        <f>R52/E50</f>
        <v>1.1250113959114976</v>
      </c>
      <c r="U52" s="337"/>
      <c r="V52" s="197"/>
      <c r="W52" s="193"/>
      <c r="X52" s="188"/>
      <c r="Y52" s="188"/>
      <c r="Z52" s="188"/>
      <c r="AA52" s="188"/>
    </row>
    <row r="53" spans="1:27" s="180" customFormat="1" ht="12" customHeight="1">
      <c r="B53" s="181"/>
      <c r="C53" s="182"/>
      <c r="D53" s="182"/>
      <c r="E53" s="183"/>
      <c r="F53" s="183"/>
      <c r="G53" s="183"/>
      <c r="H53" s="183"/>
      <c r="I53" s="183"/>
      <c r="J53" s="184"/>
      <c r="K53" s="184"/>
      <c r="L53" s="184"/>
      <c r="M53" s="185"/>
      <c r="N53" s="184"/>
      <c r="O53" s="184"/>
      <c r="P53" s="184"/>
      <c r="Q53" s="185"/>
      <c r="R53" s="185"/>
      <c r="S53" s="185"/>
      <c r="T53" s="185"/>
      <c r="U53" s="185"/>
      <c r="V53" s="186"/>
      <c r="W53" s="187"/>
      <c r="X53" s="188"/>
      <c r="Y53" s="188"/>
      <c r="Z53" s="188"/>
      <c r="AA53" s="188"/>
    </row>
    <row r="54" spans="1:27" ht="18" customHeight="1" thickBot="1">
      <c r="A54" s="135" t="s">
        <v>53</v>
      </c>
      <c r="B54" s="135"/>
      <c r="C54" s="136"/>
      <c r="D54" s="137"/>
      <c r="E54" s="135"/>
      <c r="F54" s="135"/>
      <c r="G54" s="135"/>
      <c r="H54" s="135"/>
      <c r="I54" s="135"/>
      <c r="J54" s="135"/>
      <c r="K54" s="135"/>
      <c r="L54" s="135"/>
      <c r="M54" s="138"/>
      <c r="N54" s="135"/>
      <c r="O54" s="135"/>
      <c r="P54" s="135"/>
      <c r="Q54" s="138"/>
      <c r="R54" s="138"/>
      <c r="S54" s="138"/>
      <c r="T54" s="138"/>
      <c r="U54" s="138"/>
      <c r="V54" s="135"/>
      <c r="W54" s="135"/>
    </row>
    <row r="55" spans="1:27" ht="19.899999999999999" customHeight="1">
      <c r="A55" s="135"/>
      <c r="B55" s="198" t="s">
        <v>55</v>
      </c>
      <c r="C55" s="199"/>
      <c r="D55" s="200"/>
      <c r="E55" s="201"/>
      <c r="F55" s="202"/>
      <c r="G55" s="202"/>
      <c r="H55" s="202"/>
      <c r="I55" s="202"/>
      <c r="J55" s="202"/>
      <c r="K55" s="202"/>
      <c r="L55" s="202"/>
      <c r="M55" s="203"/>
      <c r="N55" s="202"/>
      <c r="O55" s="202"/>
      <c r="P55" s="202"/>
      <c r="Q55" s="203"/>
      <c r="R55" s="203"/>
      <c r="S55" s="203"/>
      <c r="T55" s="203"/>
      <c r="U55" s="203"/>
      <c r="V55" s="204"/>
      <c r="W55" s="135"/>
    </row>
    <row r="56" spans="1:27" ht="19.899999999999999" customHeight="1" thickBot="1">
      <c r="A56" s="135"/>
      <c r="B56" s="205"/>
      <c r="C56" s="206"/>
      <c r="D56" s="207"/>
      <c r="E56" s="208"/>
      <c r="F56" s="209"/>
      <c r="G56" s="209"/>
      <c r="H56" s="209"/>
      <c r="I56" s="209"/>
      <c r="J56" s="209"/>
      <c r="K56" s="209"/>
      <c r="L56" s="209"/>
      <c r="M56" s="210"/>
      <c r="N56" s="209"/>
      <c r="O56" s="209"/>
      <c r="P56" s="209"/>
      <c r="Q56" s="210"/>
      <c r="R56" s="210"/>
      <c r="S56" s="210"/>
      <c r="T56" s="210"/>
      <c r="U56" s="210"/>
      <c r="V56" s="211"/>
      <c r="W56" s="135"/>
    </row>
    <row r="57" spans="1:27" s="180" customFormat="1" ht="12" customHeight="1">
      <c r="B57" s="181"/>
      <c r="C57" s="182"/>
      <c r="D57" s="182"/>
      <c r="E57" s="183"/>
      <c r="F57" s="183"/>
      <c r="G57" s="183"/>
      <c r="H57" s="183"/>
      <c r="I57" s="183"/>
      <c r="J57" s="184"/>
      <c r="K57" s="184"/>
      <c r="L57" s="184"/>
      <c r="M57" s="185"/>
      <c r="N57" s="184"/>
      <c r="O57" s="184"/>
      <c r="P57" s="184"/>
      <c r="Q57" s="185"/>
      <c r="R57" s="185"/>
      <c r="S57" s="185"/>
      <c r="T57" s="185"/>
      <c r="U57" s="185"/>
      <c r="V57" s="186"/>
      <c r="W57" s="187"/>
      <c r="X57" s="188"/>
      <c r="Y57" s="188"/>
      <c r="Z57" s="188"/>
      <c r="AA57" s="188"/>
    </row>
    <row r="58" spans="1:27" ht="18" customHeight="1" thickBot="1">
      <c r="A58" s="135" t="s">
        <v>54</v>
      </c>
      <c r="B58" s="135"/>
      <c r="C58" s="136"/>
      <c r="D58" s="137"/>
      <c r="E58" s="135"/>
      <c r="F58" s="135"/>
      <c r="G58" s="135"/>
      <c r="H58" s="135"/>
      <c r="I58" s="135"/>
      <c r="J58" s="135"/>
      <c r="K58" s="135"/>
      <c r="L58" s="135"/>
      <c r="M58" s="138"/>
      <c r="N58" s="135"/>
      <c r="O58" s="135"/>
      <c r="P58" s="135"/>
      <c r="Q58" s="138"/>
      <c r="R58" s="138"/>
      <c r="S58" s="138"/>
      <c r="T58" s="138"/>
      <c r="U58" s="138"/>
      <c r="V58" s="135"/>
      <c r="W58" s="135"/>
    </row>
    <row r="59" spans="1:27" ht="24.95" customHeight="1" thickBot="1">
      <c r="A59" s="135"/>
      <c r="B59" s="212" t="str">
        <f>CONCATENATE("1) Selected '",J4,"' as the vendor offering the lowest price while meeting all required quality standards.")</f>
        <v>1) Selected 'OSAZ(Omar Saleh Abdullah Al-Zahrani Electricals)' as the vendor offering the lowest price while meeting all required quality standards.</v>
      </c>
      <c r="C59" s="213"/>
      <c r="D59" s="214"/>
      <c r="E59" s="215"/>
      <c r="F59" s="216"/>
      <c r="G59" s="216"/>
      <c r="H59" s="216"/>
      <c r="I59" s="216"/>
      <c r="J59" s="216"/>
      <c r="K59" s="216"/>
      <c r="L59" s="216"/>
      <c r="M59" s="217"/>
      <c r="N59" s="216"/>
      <c r="O59" s="216"/>
      <c r="P59" s="216"/>
      <c r="Q59" s="217"/>
      <c r="R59" s="217"/>
      <c r="S59" s="217"/>
      <c r="T59" s="217"/>
      <c r="U59" s="217"/>
      <c r="V59" s="218"/>
      <c r="W59" s="135"/>
    </row>
    <row r="60" spans="1:27" ht="18" customHeight="1">
      <c r="A60" s="135"/>
      <c r="B60" s="219"/>
      <c r="C60" s="220"/>
      <c r="D60" s="221"/>
      <c r="E60" s="219"/>
      <c r="F60" s="135"/>
      <c r="G60" s="135"/>
      <c r="H60" s="135"/>
      <c r="I60" s="135"/>
      <c r="J60" s="135"/>
      <c r="K60" s="135"/>
      <c r="L60" s="135"/>
      <c r="M60" s="138"/>
      <c r="N60" s="135"/>
      <c r="O60" s="135"/>
      <c r="P60" s="135"/>
      <c r="Q60" s="138"/>
      <c r="R60" s="138"/>
      <c r="S60" s="138"/>
      <c r="T60" s="138"/>
      <c r="U60" s="138"/>
      <c r="V60" s="135"/>
      <c r="W60" s="135"/>
    </row>
    <row r="61" spans="1:27" s="225" customFormat="1" ht="15" customHeight="1">
      <c r="A61" s="134"/>
      <c r="B61" s="222"/>
      <c r="C61" s="223"/>
      <c r="D61" s="224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133"/>
      <c r="Y61" s="133"/>
      <c r="Z61" s="133"/>
      <c r="AA61" s="133"/>
    </row>
    <row r="62" spans="1:27" s="225" customFormat="1" ht="18" customHeight="1">
      <c r="A62" s="134"/>
      <c r="B62" s="134"/>
      <c r="C62" s="139"/>
      <c r="D62" s="224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134"/>
      <c r="W62" s="134"/>
      <c r="X62" s="133"/>
      <c r="Y62" s="133"/>
      <c r="Z62" s="133"/>
      <c r="AA62" s="133"/>
    </row>
    <row r="63" spans="1:27" s="225" customFormat="1" ht="18" customHeight="1">
      <c r="A63" s="134"/>
      <c r="B63" s="134"/>
      <c r="C63" s="139"/>
      <c r="D63" s="224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134"/>
      <c r="W63" s="134"/>
      <c r="X63" s="133"/>
      <c r="Y63" s="133"/>
      <c r="Z63" s="133"/>
      <c r="AA63" s="133"/>
    </row>
    <row r="64" spans="1:27" s="225" customFormat="1" ht="18" customHeight="1">
      <c r="A64" s="134"/>
      <c r="B64" s="134"/>
      <c r="C64" s="139"/>
      <c r="D64" s="224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134"/>
      <c r="W64" s="134"/>
      <c r="X64" s="133"/>
      <c r="Y64" s="133"/>
      <c r="Z64" s="133"/>
      <c r="AA64" s="133"/>
    </row>
    <row r="65" spans="1:27" s="225" customFormat="1" ht="18" customHeight="1">
      <c r="A65" s="134"/>
      <c r="B65" s="134"/>
      <c r="C65" s="139"/>
      <c r="D65" s="224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134"/>
      <c r="W65" s="134"/>
      <c r="X65" s="133"/>
      <c r="Y65" s="133"/>
      <c r="Z65" s="133"/>
      <c r="AA65" s="133"/>
    </row>
  </sheetData>
  <mergeCells count="55">
    <mergeCell ref="J43:M43"/>
    <mergeCell ref="N43:Q43"/>
    <mergeCell ref="R43:U43"/>
    <mergeCell ref="D44:F44"/>
    <mergeCell ref="B4:B5"/>
    <mergeCell ref="C4:C5"/>
    <mergeCell ref="D4:D5"/>
    <mergeCell ref="E4:E5"/>
    <mergeCell ref="F4:F5"/>
    <mergeCell ref="N4:Q4"/>
    <mergeCell ref="R4:U4"/>
    <mergeCell ref="V4:V5"/>
    <mergeCell ref="L6:L42"/>
    <mergeCell ref="P6:P42"/>
    <mergeCell ref="T6:T42"/>
    <mergeCell ref="J4:M4"/>
    <mergeCell ref="R49:S49"/>
    <mergeCell ref="T49:U49"/>
    <mergeCell ref="C50:D50"/>
    <mergeCell ref="J50:K50"/>
    <mergeCell ref="L50:M50"/>
    <mergeCell ref="N50:O50"/>
    <mergeCell ref="P50:Q50"/>
    <mergeCell ref="R50:S50"/>
    <mergeCell ref="T50:U50"/>
    <mergeCell ref="P49:Q49"/>
    <mergeCell ref="J49:K49"/>
    <mergeCell ref="L49:M49"/>
    <mergeCell ref="N49:O49"/>
    <mergeCell ref="C49:D49"/>
    <mergeCell ref="E49:I49"/>
    <mergeCell ref="P52:Q52"/>
    <mergeCell ref="R52:S52"/>
    <mergeCell ref="T52:U52"/>
    <mergeCell ref="C51:D51"/>
    <mergeCell ref="J51:K51"/>
    <mergeCell ref="L51:M51"/>
    <mergeCell ref="N51:O51"/>
    <mergeCell ref="P51:Q51"/>
    <mergeCell ref="R51:S51"/>
    <mergeCell ref="T51:U51"/>
    <mergeCell ref="C52:D52"/>
    <mergeCell ref="J52:K52"/>
    <mergeCell ref="L52:M52"/>
    <mergeCell ref="N52:O52"/>
    <mergeCell ref="E50:I52"/>
    <mergeCell ref="A3:C3"/>
    <mergeCell ref="G46:H46"/>
    <mergeCell ref="G44:H44"/>
    <mergeCell ref="G45:H45"/>
    <mergeCell ref="G43:I43"/>
    <mergeCell ref="G4:I4"/>
    <mergeCell ref="B46:F46"/>
    <mergeCell ref="C45:F45"/>
    <mergeCell ref="C43:F43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Q44 U44 U6 Q6" evalError="1"/>
    <ignoredError sqref="P5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2026-10-22T12:19:19Z</cp:lastPrinted>
  <dcterms:created xsi:type="dcterms:W3CDTF">2023-08-14T07:13:42Z</dcterms:created>
  <dcterms:modified xsi:type="dcterms:W3CDTF">2026-10-24T05:34:01Z</dcterms:modified>
</cp:coreProperties>
</file>