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n\Boss\PO\OSAZ\102260\"/>
    </mc:Choice>
  </mc:AlternateContent>
  <xr:revisionPtr revIDLastSave="0" documentId="13_ncr:1_{F5F53C44-CC1A-46B8-B355-A24BD1D94111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MRS!$A$1:$L$52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page'!$A$1:$H$49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4" l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6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6" i="4"/>
  <c r="D6" i="4"/>
  <c r="J43" i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7" i="2"/>
  <c r="J6" i="2"/>
  <c r="I6" i="2"/>
  <c r="H6" i="2"/>
  <c r="G6" i="2"/>
  <c r="D6" i="2"/>
  <c r="B6" i="2"/>
  <c r="A41" i="4"/>
  <c r="A42" i="4"/>
  <c r="A39" i="4"/>
  <c r="A40" i="4"/>
  <c r="A31" i="4"/>
  <c r="A32" i="4"/>
  <c r="A33" i="4"/>
  <c r="A34" i="4"/>
  <c r="A35" i="4"/>
  <c r="A36" i="4"/>
  <c r="A37" i="4"/>
  <c r="A38" i="4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E3" i="1"/>
  <c r="J41" i="1" l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P54" i="3"/>
  <c r="J42" i="1"/>
  <c r="J26" i="1"/>
  <c r="J25" i="1"/>
  <c r="J24" i="1"/>
  <c r="J23" i="1"/>
  <c r="J22" i="1"/>
  <c r="J21" i="1"/>
  <c r="J20" i="1"/>
  <c r="J19" i="1"/>
  <c r="K67" i="3" l="1"/>
  <c r="K10" i="3" l="1"/>
  <c r="A46" i="4" l="1"/>
  <c r="F6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G6" i="4" l="1"/>
  <c r="G43" i="4" l="1"/>
  <c r="F29" i="3" s="1"/>
  <c r="G44" i="4" l="1"/>
  <c r="F30" i="3" s="1"/>
  <c r="G45" i="4" l="1"/>
  <c r="F31" i="3" s="1"/>
</calcChain>
</file>

<file path=xl/sharedStrings.xml><?xml version="1.0" encoding="utf-8"?>
<sst xmlns="http://schemas.openxmlformats.org/spreadsheetml/2006/main" count="338" uniqueCount="169">
  <si>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</si>
  <si>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</si>
  <si>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</si>
  <si>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</si>
  <si>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</si>
  <si>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</si>
  <si>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</si>
  <si>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</si>
  <si>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</si>
  <si>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</si>
  <si>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</si>
  <si>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</si>
  <si>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</si>
  <si>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</si>
  <si>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</si>
  <si>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</si>
  <si>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</si>
  <si>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</si>
  <si>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</si>
  <si>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</si>
  <si>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</si>
  <si>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</si>
  <si>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</si>
  <si>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</si>
  <si>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</si>
  <si>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</si>
  <si>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</si>
  <si>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</si>
  <si>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</si>
  <si>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</si>
  <si>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</si>
  <si>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</si>
  <si>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</si>
  <si>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</si>
  <si>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</si>
  <si>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</si>
  <si>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</si>
  <si>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</si>
  <si>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</si>
  <si>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</si>
  <si>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</si>
  <si>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</si>
  <si>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</si>
  <si>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</si>
  <si>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</si>
  <si>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</si>
  <si>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</si>
  <si>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</si>
  <si>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</si>
  <si>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</si>
  <si>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</si>
  <si>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</si>
  <si>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</si>
  <si>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</si>
  <si>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</si>
  <si>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</si>
  <si>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</si>
  <si>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</si>
  <si>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</si>
  <si>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</si>
  <si>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</si>
  <si>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</si>
  <si>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</si>
  <si>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</si>
  <si>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</si>
  <si>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</si>
  <si>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</si>
  <si>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</si>
  <si>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</si>
  <si>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</si>
  <si>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</si>
  <si>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</si>
  <si>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</si>
  <si>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</si>
  <si>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</si>
  <si>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</si>
  <si>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</si>
  <si>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</si>
  <si>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</si>
  <si>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</si>
  <si>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</si>
  <si>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</si>
  <si>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</si>
  <si>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</si>
  <si>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</si>
  <si>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</si>
  <si>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</si>
  <si>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</si>
  <si>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</si>
  <si>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</si>
  <si>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</si>
  <si>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</si>
  <si>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</si>
  <si>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</si>
  <si>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</si>
  <si>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</si>
  <si>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</si>
  <si>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</si>
  <si>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</si>
  <si>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</si>
  <si>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</si>
  <si>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</si>
  <si>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OSAZ</t>
  </si>
  <si>
    <t>EA</t>
  </si>
  <si>
    <t>2055009599</t>
  </si>
  <si>
    <t>300512826400003</t>
  </si>
  <si>
    <t>OSAZ(Omar Saleh Abdullah Al-Zahrani Electricals)</t>
  </si>
  <si>
    <t>Akhil</t>
  </si>
  <si>
    <t>Email; akhil@osazelectricals.sa</t>
  </si>
  <si>
    <t>Building No. 3350,King Fahad Street-8603,Al Dana Dist. Al Jubail 35514, KSA</t>
  </si>
  <si>
    <t xml:space="preserve">Mobile: </t>
  </si>
  <si>
    <t>95900001286307</t>
  </si>
  <si>
    <t>SA4510000095900001286307</t>
  </si>
  <si>
    <t>ROLL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</si>
  <si>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</si>
  <si>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</si>
  <si>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</si>
  <si>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</si>
  <si>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</si>
  <si>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</si>
  <si>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</si>
  <si>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</si>
  <si>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</si>
  <si>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</si>
  <si>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</si>
  <si>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</si>
  <si>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</si>
  <si>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</si>
  <si>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OSAZ ELECTRICALS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</si>
  <si>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-MRS-0508</t>
    </r>
  </si>
  <si>
    <t>FLEXIBLE CABLE WHITE 3C X 4MM² 100YARD / ROLL</t>
  </si>
  <si>
    <t>FLEXIBLE CONDUIT PVC 3/4" X 100M HD BLACK</t>
  </si>
  <si>
    <t>32A/220V 3PIN PANEL MOUNT SOCKET IP67</t>
  </si>
  <si>
    <t>16A/220V 3PIN MOBILE PLUG IP66/67</t>
  </si>
  <si>
    <t>16A/220V 3PIN MOBILE SOCKET IP66/67</t>
  </si>
  <si>
    <t>LED FLOOD LIGHT 400W</t>
  </si>
  <si>
    <t>2 GANG 13A SWITCHED SOCKET 7 X 14</t>
  </si>
  <si>
    <t>PVC BOX 7 X 14</t>
  </si>
  <si>
    <t>GROUNDING/EARTH CABLE 10MM²</t>
  </si>
  <si>
    <t>CABLE LUG 10MM² X M10</t>
  </si>
  <si>
    <t>32A PLUG UK TYPE</t>
  </si>
  <si>
    <t>CARBON BRUSH  CUTTING MACHINE 14" DEWALT</t>
  </si>
  <si>
    <t>CARBON BRUSH ANGLE GRINDER MACHINE 4" DEWALT 4002</t>
  </si>
  <si>
    <t>CARBON BRUSH DIE GRINDER MACHINE DEWALT</t>
  </si>
  <si>
    <t>CARBON BRUSH DEWALT PART # NA 160502</t>
  </si>
  <si>
    <t>CARBON BRUSH ANGLE GRINDER DEWALT 4" 4002</t>
  </si>
  <si>
    <t>CARBON BRUSH ANGLE GRINDER MACHINE 7" DEWALT 493</t>
  </si>
  <si>
    <t>CARBON BRUSH FOR AIR BLOWER HYUNDAI MODEL HPT002</t>
  </si>
  <si>
    <t>CARBON BRUSH DIE GRINDER MACHINE MAKITA GD0600</t>
  </si>
  <si>
    <t>RCCB 25A 2P 10mA</t>
  </si>
  <si>
    <t>GROUNDING/EARTH ROD 5/8" x 0.6M</t>
  </si>
  <si>
    <t>30W/220V LED PANEL LIGHT 11"/280MM SURFACE</t>
  </si>
  <si>
    <t>CABLE LUG 25MM² X M6</t>
  </si>
  <si>
    <t>FLEXIBLE CONDUIT PVC 2" X 25M HD BLACK</t>
  </si>
  <si>
    <t>FLEXIBLE CABLE WHITE 3C X 6MM² 100YARD / ROLL</t>
  </si>
  <si>
    <t>HAND LAMP EXPLOSION PROOF 220V/110V/24V</t>
  </si>
  <si>
    <t>METAL ENCLOSURE 250 X 200 X 150 IP65</t>
  </si>
  <si>
    <t>CURRENT TRANSFORMER 50VA 1PH 230/380V~12-24V</t>
  </si>
  <si>
    <t>16A/24V 3PIN PANEL MOUNT SOCKET IP66/67</t>
  </si>
  <si>
    <t>16A/24V 3PIN MOBILE PLUG IP44/54</t>
  </si>
  <si>
    <t>16A/24V 3PIN MOBILE SOCKET IP44/54</t>
  </si>
  <si>
    <t>9W/24V LED BULB E27 DAYLIGHT</t>
  </si>
  <si>
    <t>MTR</t>
  </si>
  <si>
    <t>PAIR</t>
  </si>
  <si>
    <t>Sum</t>
  </si>
  <si>
    <t>ONE TIME</t>
  </si>
  <si>
    <t>Electrical Item</t>
  </si>
  <si>
    <t>UNIT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</si>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</sst>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9" xfId="1" applyFill="1" applyBorder="1" applyAlignment="1">
      <alignment vertical="center"/>
    </xf>
    <xf numFmtId="0" fontId="2" fillId="2" borderId="9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6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6" xfId="6" applyFont="1" applyFill="1" applyBorder="1" applyAlignment="1">
      <alignment horizontal="center" vertical="center" wrapText="1"/>
    </xf>
    <xf numFmtId="43" fontId="12" fillId="0" borderId="16" xfId="6" quotePrefix="1" applyNumberFormat="1" applyFont="1" applyBorder="1" applyAlignment="1">
      <alignment vertical="center" wrapText="1"/>
    </xf>
    <xf numFmtId="0" fontId="7" fillId="0" borderId="30" xfId="6" applyFont="1" applyBorder="1"/>
    <xf numFmtId="170" fontId="9" fillId="0" borderId="37" xfId="6" applyNumberFormat="1" applyFont="1" applyBorder="1" applyAlignment="1">
      <alignment horizontal="center" vertical="center" wrapText="1"/>
    </xf>
    <xf numFmtId="0" fontId="7" fillId="0" borderId="38" xfId="6" applyFont="1" applyBorder="1"/>
    <xf numFmtId="0" fontId="9" fillId="0" borderId="0" xfId="6" applyFont="1" applyAlignment="1">
      <alignment vertical="center"/>
    </xf>
    <xf numFmtId="0" fontId="25" fillId="0" borderId="39" xfId="6" applyFont="1" applyBorder="1" applyAlignment="1">
      <alignment vertical="center"/>
    </xf>
    <xf numFmtId="0" fontId="25" fillId="0" borderId="39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1" xfId="6" quotePrefix="1" applyFont="1" applyBorder="1" applyAlignment="1">
      <alignment horizontal="center" vertical="center"/>
    </xf>
    <xf numFmtId="0" fontId="5" fillId="2" borderId="34" xfId="7" applyFont="1" applyFill="1" applyBorder="1" applyAlignment="1">
      <alignment horizontal="center" vertical="center" wrapText="1"/>
    </xf>
    <xf numFmtId="0" fontId="5" fillId="2" borderId="34" xfId="8" applyFont="1" applyFill="1" applyBorder="1" applyAlignment="1">
      <alignment horizontal="center" vertical="center"/>
    </xf>
    <xf numFmtId="43" fontId="5" fillId="0" borderId="34" xfId="9" quotePrefix="1" applyFont="1" applyFill="1" applyBorder="1" applyAlignment="1">
      <alignment vertical="center"/>
    </xf>
    <xf numFmtId="43" fontId="5" fillId="0" borderId="34" xfId="6" applyNumberFormat="1" applyFont="1" applyBorder="1" applyAlignment="1">
      <alignment vertical="center"/>
    </xf>
    <xf numFmtId="0" fontId="2" fillId="0" borderId="35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6" xfId="0" applyFont="1" applyBorder="1" applyAlignment="1">
      <alignment horizontal="center" vertical="center"/>
    </xf>
    <xf numFmtId="172" fontId="41" fillId="0" borderId="16" xfId="10" applyNumberFormat="1" applyFont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0" xfId="5" applyFont="1" applyFill="1" applyBorder="1"/>
    <xf numFmtId="0" fontId="17" fillId="3" borderId="40" xfId="5" applyFont="1" applyFill="1" applyBorder="1"/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vertical="center"/>
    </xf>
    <xf numFmtId="0" fontId="5" fillId="2" borderId="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1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5" fillId="2" borderId="0" xfId="1" applyFont="1" applyFill="1" applyAlignment="1">
      <alignment vertical="center" wrapText="1"/>
    </xf>
    <xf numFmtId="0" fontId="5" fillId="2" borderId="8" xfId="1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7" fillId="2" borderId="8" xfId="1" quotePrefix="1" applyFont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8" xfId="1" applyFill="1" applyBorder="1" applyAlignment="1">
      <alignment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2" fillId="2" borderId="8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vertical="center"/>
    </xf>
    <xf numFmtId="0" fontId="5" fillId="2" borderId="11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41" fillId="0" borderId="17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0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41" fillId="3" borderId="32" xfId="5" applyFont="1" applyFill="1" applyBorder="1" applyAlignment="1">
      <alignment horizontal="left" vertical="center" wrapText="1"/>
    </xf>
    <xf numFmtId="0" fontId="41" fillId="3" borderId="33" xfId="5" applyFont="1" applyFill="1" applyBorder="1" applyAlignment="1">
      <alignment horizontal="left" vertical="center" wrapText="1"/>
    </xf>
    <xf numFmtId="0" fontId="12" fillId="0" borderId="29" xfId="6" quotePrefix="1" applyFont="1" applyBorder="1" applyAlignment="1">
      <alignment horizontal="right" vertical="center"/>
    </xf>
    <xf numFmtId="0" fontId="12" fillId="0" borderId="16" xfId="6" quotePrefix="1" applyFont="1" applyBorder="1" applyAlignment="1">
      <alignment horizontal="right" vertical="center"/>
    </xf>
    <xf numFmtId="0" fontId="9" fillId="0" borderId="36" xfId="6" quotePrefix="1" applyFont="1" applyBorder="1" applyAlignment="1">
      <alignment horizontal="right" vertical="center"/>
    </xf>
    <xf numFmtId="0" fontId="9" fillId="0" borderId="37" xfId="6" quotePrefix="1" applyFont="1" applyBorder="1" applyAlignment="1">
      <alignment horizontal="right" vertical="center"/>
    </xf>
    <xf numFmtId="0" fontId="29" fillId="0" borderId="0" xfId="6" applyFont="1" applyAlignment="1">
      <alignment horizontal="center" vertical="center"/>
    </xf>
    <xf numFmtId="0" fontId="32" fillId="0" borderId="21" xfId="6" applyFont="1" applyBorder="1" applyAlignment="1">
      <alignment horizontal="right" vertical="center"/>
    </xf>
    <xf numFmtId="0" fontId="7" fillId="4" borderId="22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6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715879</xdr:colOff>
          <xdr:row>44</xdr:row>
          <xdr:rowOff>117308</xdr:rowOff>
        </xdr:from>
        <xdr:to>
          <xdr:col>11</xdr:col>
          <xdr:colOff>1121488</xdr:colOff>
          <xdr:row>51</xdr:row>
          <xdr:rowOff>145883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DF08D5D-C2E4-7040-2857-CBAC4EFCC4C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47:$Y$53" spid="_x0000_s131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07958" y="9642308"/>
              <a:ext cx="8457197" cy="259531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1BB32867-E5B2-4F42-9423-1DDA5F62513D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21</xdr:row>
      <xdr:rowOff>822627</xdr:rowOff>
    </xdr:from>
    <xdr:ext cx="217370" cy="218392"/>
    <xdr:sp macro="" textlink="">
      <xdr:nvSpPr>
        <xdr:cNvPr id="14" name="AutoShape 4">
          <a:extLst>
            <a:ext uri="{FF2B5EF4-FFF2-40B4-BE49-F238E27FC236}">
              <a16:creationId xmlns:a16="http://schemas.microsoft.com/office/drawing/2014/main" id="{34709591-7D5E-4424-89B2-90E7838EE109}"/>
            </a:ext>
          </a:extLst>
        </xdr:cNvPr>
        <xdr:cNvSpPr>
          <a:spLocks noChangeAspect="1" noChangeArrowheads="1"/>
        </xdr:cNvSpPr>
      </xdr:nvSpPr>
      <xdr:spPr bwMode="auto">
        <a:xfrm>
          <a:off x="12999835" y="22479469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79"/>
  <sheetViews>
    <sheetView showGridLines="0" view="pageBreakPreview" zoomScale="110" zoomScaleNormal="95" zoomScaleSheetLayoutView="110" workbookViewId="0">
      <selection activeCell="K8" sqref="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35.7109375" style="2" customWidth="1"/>
    <col min="4" max="4" width="12.7109375" style="2" customWidth="1"/>
    <col min="5" max="5" width="6" style="2" customWidth="1"/>
    <col min="6" max="6" width="5.140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5" width="13.5703125" style="1" customWidth="1"/>
    <col min="16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1" t="s">
        <v>126</v>
      </c>
      <c r="B1" s="112"/>
      <c r="C1" s="93"/>
      <c r="D1" s="93"/>
      <c r="E1" s="93"/>
      <c r="F1" s="93"/>
      <c r="G1" s="1"/>
      <c r="J1" s="135" t="s">
        <v>78</v>
      </c>
      <c r="K1" s="136"/>
      <c r="L1" s="137"/>
    </row>
    <row r="2" spans="1:18" ht="20.100000000000001" customHeight="1">
      <c r="A2" s="3" t="s">
        <v>1</v>
      </c>
      <c r="B2" s="87"/>
      <c r="C2" s="87"/>
      <c r="D2" s="3" t="s">
        <v>127</v>
      </c>
      <c r="E2" s="87"/>
      <c r="F2" s="87"/>
      <c r="G2" s="87"/>
      <c r="H2" s="87"/>
      <c r="I2" s="4"/>
      <c r="J2" s="138" t="s">
        <v>85</v>
      </c>
      <c r="K2" s="139"/>
      <c r="L2" s="140"/>
    </row>
    <row r="3" spans="1:18" ht="20.100000000000001" customHeight="1">
      <c r="A3" s="3" t="s">
        <v>129</v>
      </c>
      <c r="B3" s="87"/>
      <c r="C3" s="87"/>
      <c r="D3" s="87"/>
      <c r="E3" s="141">
        <f>+L3+3</f>
        <v>46320</v>
      </c>
      <c r="F3" s="141"/>
      <c r="G3" s="141"/>
      <c r="H3" s="141"/>
      <c r="I3" s="141"/>
      <c r="J3" s="87"/>
      <c r="K3" s="87"/>
      <c r="L3" s="113">
        <v>46317</v>
      </c>
      <c r="M3" s="4"/>
    </row>
    <row r="4" spans="1:18" ht="15.95" customHeight="1">
      <c r="A4" s="133" t="s">
        <v>2</v>
      </c>
      <c r="B4" s="134" t="s">
        <v>3</v>
      </c>
      <c r="C4" s="134"/>
      <c r="D4" s="133" t="s">
        <v>4</v>
      </c>
      <c r="E4" s="133"/>
      <c r="F4" s="133"/>
      <c r="G4" s="134" t="s">
        <v>5</v>
      </c>
      <c r="H4" s="133" t="s">
        <v>6</v>
      </c>
      <c r="I4" s="133" t="s">
        <v>82</v>
      </c>
      <c r="J4" s="133" t="s">
        <v>83</v>
      </c>
      <c r="K4" s="133" t="s">
        <v>0</v>
      </c>
      <c r="L4" s="134" t="s">
        <v>7</v>
      </c>
    </row>
    <row r="5" spans="1:18" ht="22.5" customHeight="1">
      <c r="A5" s="133"/>
      <c r="B5" s="134"/>
      <c r="C5" s="134"/>
      <c r="D5" s="133"/>
      <c r="E5" s="133"/>
      <c r="F5" s="133"/>
      <c r="G5" s="134"/>
      <c r="H5" s="133"/>
      <c r="I5" s="133"/>
      <c r="J5" s="133"/>
      <c r="K5" s="133"/>
      <c r="L5" s="134"/>
    </row>
    <row r="6" spans="1:18" ht="32.1" customHeight="1">
      <c r="A6" s="5">
        <v>1</v>
      </c>
      <c r="B6" s="124" t="s">
        <v>130</v>
      </c>
      <c r="C6" s="124" t="s">
        <v>130</v>
      </c>
      <c r="D6" s="125"/>
      <c r="E6" s="125"/>
      <c r="F6" s="125"/>
      <c r="G6" s="116" t="s">
        <v>113</v>
      </c>
      <c r="H6" s="116">
        <v>20</v>
      </c>
      <c r="I6" s="117">
        <v>440</v>
      </c>
      <c r="J6" s="118">
        <f>H6*I6</f>
        <v>8800</v>
      </c>
      <c r="K6" s="119" t="s">
        <v>102</v>
      </c>
      <c r="L6" s="123" t="s">
        <v>165</v>
      </c>
      <c r="R6" s="92"/>
    </row>
    <row r="7" spans="1:18" ht="32.1" customHeight="1">
      <c r="A7" s="5">
        <v>2</v>
      </c>
      <c r="B7" s="124" t="s">
        <v>131</v>
      </c>
      <c r="C7" s="124" t="s">
        <v>131</v>
      </c>
      <c r="D7" s="125"/>
      <c r="E7" s="125"/>
      <c r="F7" s="125"/>
      <c r="G7" s="116" t="s">
        <v>113</v>
      </c>
      <c r="H7" s="116">
        <v>10</v>
      </c>
      <c r="I7" s="117">
        <v>160</v>
      </c>
      <c r="J7" s="118">
        <f t="shared" ref="J7:J18" si="0">H7*I7</f>
        <v>1600</v>
      </c>
      <c r="K7" s="119" t="s">
        <v>55</v>
      </c>
      <c r="L7" s="123" t="s">
        <v>55</v>
      </c>
      <c r="R7" s="92"/>
    </row>
    <row r="8" spans="1:18" ht="32.1" customHeight="1">
      <c r="A8" s="5">
        <v>3</v>
      </c>
      <c r="B8" s="124" t="s">
        <v>132</v>
      </c>
      <c r="C8" s="124" t="s">
        <v>132</v>
      </c>
      <c r="D8" s="125"/>
      <c r="E8" s="125"/>
      <c r="F8" s="125"/>
      <c r="G8" s="116" t="s">
        <v>103</v>
      </c>
      <c r="H8" s="116">
        <v>20</v>
      </c>
      <c r="I8" s="117">
        <v>34.5</v>
      </c>
      <c r="J8" s="118">
        <f t="shared" si="0"/>
        <v>690</v>
      </c>
      <c r="K8" s="119" t="s">
        <v>55</v>
      </c>
      <c r="L8" s="123" t="s">
        <v>55</v>
      </c>
      <c r="R8" s="92"/>
    </row>
    <row r="9" spans="1:18" ht="32.1" customHeight="1">
      <c r="A9" s="5">
        <v>4</v>
      </c>
      <c r="B9" s="124" t="s">
        <v>133</v>
      </c>
      <c r="C9" s="124" t="s">
        <v>133</v>
      </c>
      <c r="D9" s="125"/>
      <c r="E9" s="125"/>
      <c r="F9" s="125"/>
      <c r="G9" s="116" t="s">
        <v>103</v>
      </c>
      <c r="H9" s="116">
        <v>200</v>
      </c>
      <c r="I9" s="117">
        <v>20</v>
      </c>
      <c r="J9" s="118">
        <f t="shared" si="0"/>
        <v>4000</v>
      </c>
      <c r="K9" s="119" t="s">
        <v>55</v>
      </c>
      <c r="L9" s="123" t="s">
        <v>55</v>
      </c>
      <c r="R9" s="92"/>
    </row>
    <row r="10" spans="1:18" ht="32.1" customHeight="1">
      <c r="A10" s="5">
        <v>5</v>
      </c>
      <c r="B10" s="124" t="s">
        <v>134</v>
      </c>
      <c r="C10" s="124" t="s">
        <v>134</v>
      </c>
      <c r="D10" s="125"/>
      <c r="E10" s="125"/>
      <c r="F10" s="125"/>
      <c r="G10" s="116" t="s">
        <v>103</v>
      </c>
      <c r="H10" s="116">
        <v>200</v>
      </c>
      <c r="I10" s="117">
        <v>32</v>
      </c>
      <c r="J10" s="118">
        <f t="shared" si="0"/>
        <v>6400</v>
      </c>
      <c r="K10" s="119" t="s">
        <v>55</v>
      </c>
      <c r="L10" s="123" t="s">
        <v>55</v>
      </c>
      <c r="R10" s="92"/>
    </row>
    <row r="11" spans="1:18" ht="32.1" customHeight="1">
      <c r="A11" s="5">
        <v>6</v>
      </c>
      <c r="B11" s="124" t="s">
        <v>135</v>
      </c>
      <c r="C11" s="124" t="s">
        <v>135</v>
      </c>
      <c r="D11" s="125"/>
      <c r="E11" s="125"/>
      <c r="F11" s="125"/>
      <c r="G11" s="116" t="s">
        <v>103</v>
      </c>
      <c r="H11" s="116">
        <v>100</v>
      </c>
      <c r="I11" s="117">
        <v>80</v>
      </c>
      <c r="J11" s="118">
        <f t="shared" si="0"/>
        <v>8000</v>
      </c>
      <c r="K11" s="119" t="s">
        <v>55</v>
      </c>
      <c r="L11" s="123" t="s">
        <v>55</v>
      </c>
      <c r="R11" s="92"/>
    </row>
    <row r="12" spans="1:18" ht="32.1" customHeight="1">
      <c r="A12" s="5">
        <v>7</v>
      </c>
      <c r="B12" s="124" t="s">
        <v>136</v>
      </c>
      <c r="C12" s="124" t="s">
        <v>136</v>
      </c>
      <c r="D12" s="125"/>
      <c r="E12" s="125"/>
      <c r="F12" s="125"/>
      <c r="G12" s="116" t="s">
        <v>103</v>
      </c>
      <c r="H12" s="116">
        <v>20</v>
      </c>
      <c r="I12" s="117">
        <v>16.5</v>
      </c>
      <c r="J12" s="118">
        <f t="shared" si="0"/>
        <v>330</v>
      </c>
      <c r="K12" s="119" t="s">
        <v>55</v>
      </c>
      <c r="L12" s="123" t="s">
        <v>55</v>
      </c>
      <c r="R12" s="92"/>
    </row>
    <row r="13" spans="1:18" ht="32.1" customHeight="1">
      <c r="A13" s="5">
        <v>8</v>
      </c>
      <c r="B13" s="124" t="s">
        <v>137</v>
      </c>
      <c r="C13" s="124" t="s">
        <v>137</v>
      </c>
      <c r="D13" s="125"/>
      <c r="E13" s="125"/>
      <c r="F13" s="125"/>
      <c r="G13" s="116" t="s">
        <v>103</v>
      </c>
      <c r="H13" s="116">
        <v>20</v>
      </c>
      <c r="I13" s="117">
        <v>1.75</v>
      </c>
      <c r="J13" s="118">
        <f t="shared" si="0"/>
        <v>35</v>
      </c>
      <c r="K13" s="119" t="s">
        <v>55</v>
      </c>
      <c r="L13" s="123" t="s">
        <v>55</v>
      </c>
      <c r="R13" s="92"/>
    </row>
    <row r="14" spans="1:18" ht="32.1" customHeight="1">
      <c r="A14" s="5">
        <v>9</v>
      </c>
      <c r="B14" s="124" t="s">
        <v>138</v>
      </c>
      <c r="C14" s="124" t="s">
        <v>138</v>
      </c>
      <c r="D14" s="125"/>
      <c r="E14" s="125"/>
      <c r="F14" s="125"/>
      <c r="G14" s="116" t="s">
        <v>162</v>
      </c>
      <c r="H14" s="116">
        <v>100</v>
      </c>
      <c r="I14" s="117">
        <v>8.4499999999999993</v>
      </c>
      <c r="J14" s="118">
        <f t="shared" si="0"/>
        <v>844.99999999999989</v>
      </c>
      <c r="K14" s="119" t="s">
        <v>55</v>
      </c>
      <c r="L14" s="123" t="s">
        <v>55</v>
      </c>
      <c r="R14" s="92"/>
    </row>
    <row r="15" spans="1:18" ht="32.1" customHeight="1">
      <c r="A15" s="5">
        <v>10</v>
      </c>
      <c r="B15" s="124" t="s">
        <v>139</v>
      </c>
      <c r="C15" s="124" t="s">
        <v>139</v>
      </c>
      <c r="D15" s="125"/>
      <c r="E15" s="125"/>
      <c r="F15" s="125"/>
      <c r="G15" s="116" t="s">
        <v>103</v>
      </c>
      <c r="H15" s="116">
        <v>50</v>
      </c>
      <c r="I15" s="117">
        <v>0.65</v>
      </c>
      <c r="J15" s="118">
        <f t="shared" si="0"/>
        <v>32.5</v>
      </c>
      <c r="K15" s="119" t="s">
        <v>55</v>
      </c>
      <c r="L15" s="123" t="s">
        <v>55</v>
      </c>
      <c r="R15" s="92"/>
    </row>
    <row r="16" spans="1:18" ht="32.1" customHeight="1">
      <c r="A16" s="5">
        <v>11</v>
      </c>
      <c r="B16" s="124" t="s">
        <v>140</v>
      </c>
      <c r="C16" s="124" t="s">
        <v>140</v>
      </c>
      <c r="D16" s="125"/>
      <c r="E16" s="125"/>
      <c r="F16" s="125"/>
      <c r="G16" s="116" t="s">
        <v>103</v>
      </c>
      <c r="H16" s="116">
        <v>10</v>
      </c>
      <c r="I16" s="117">
        <v>6</v>
      </c>
      <c r="J16" s="118">
        <f t="shared" si="0"/>
        <v>60</v>
      </c>
      <c r="K16" s="119" t="s">
        <v>55</v>
      </c>
      <c r="L16" s="123" t="s">
        <v>55</v>
      </c>
      <c r="R16" s="92"/>
    </row>
    <row r="17" spans="1:18" ht="32.1" customHeight="1">
      <c r="A17" s="5">
        <v>12</v>
      </c>
      <c r="B17" s="124" t="s">
        <v>141</v>
      </c>
      <c r="C17" s="124" t="s">
        <v>141</v>
      </c>
      <c r="D17" s="125"/>
      <c r="E17" s="125"/>
      <c r="F17" s="125"/>
      <c r="G17" s="116" t="s">
        <v>163</v>
      </c>
      <c r="H17" s="116">
        <v>50</v>
      </c>
      <c r="I17" s="117">
        <v>10</v>
      </c>
      <c r="J17" s="118">
        <f t="shared" si="0"/>
        <v>500</v>
      </c>
      <c r="K17" s="119" t="s">
        <v>55</v>
      </c>
      <c r="L17" s="123" t="s">
        <v>55</v>
      </c>
      <c r="R17" s="92"/>
    </row>
    <row r="18" spans="1:18" ht="32.1" customHeight="1">
      <c r="A18" s="5">
        <v>13</v>
      </c>
      <c r="B18" s="124" t="s">
        <v>142</v>
      </c>
      <c r="C18" s="124" t="s">
        <v>142</v>
      </c>
      <c r="D18" s="125"/>
      <c r="E18" s="125"/>
      <c r="F18" s="125"/>
      <c r="G18" s="116" t="s">
        <v>163</v>
      </c>
      <c r="H18" s="116">
        <v>50</v>
      </c>
      <c r="I18" s="117">
        <v>10</v>
      </c>
      <c r="J18" s="118">
        <f t="shared" si="0"/>
        <v>500</v>
      </c>
      <c r="K18" s="119" t="s">
        <v>55</v>
      </c>
      <c r="L18" s="123" t="s">
        <v>55</v>
      </c>
      <c r="O18" s="1" t="str">
        <f>PROPER(B18)</f>
        <v>Carbon Brush Angle Grinder Machine 4" Dewalt 4002</v>
      </c>
      <c r="R18" s="92"/>
    </row>
    <row r="19" spans="1:18" ht="32.1" customHeight="1">
      <c r="A19" s="5">
        <v>14</v>
      </c>
      <c r="B19" s="124" t="s">
        <v>143</v>
      </c>
      <c r="C19" s="124" t="s">
        <v>143</v>
      </c>
      <c r="D19" s="125"/>
      <c r="E19" s="125"/>
      <c r="F19" s="125"/>
      <c r="G19" s="116" t="s">
        <v>163</v>
      </c>
      <c r="H19" s="116">
        <v>50</v>
      </c>
      <c r="I19" s="117">
        <v>10</v>
      </c>
      <c r="J19" s="118">
        <f t="shared" ref="J19:J42" si="1">H19*I19</f>
        <v>500</v>
      </c>
      <c r="K19" s="119" t="s">
        <v>55</v>
      </c>
      <c r="L19" s="123" t="s">
        <v>55</v>
      </c>
      <c r="O19" s="1" t="str">
        <f t="shared" ref="O19:O41" si="2">PROPER(B19)</f>
        <v>Carbon Brush Die Grinder Machine Dewalt</v>
      </c>
      <c r="R19" s="92"/>
    </row>
    <row r="20" spans="1:18" ht="32.1" customHeight="1">
      <c r="A20" s="5">
        <v>15</v>
      </c>
      <c r="B20" s="124" t="s">
        <v>144</v>
      </c>
      <c r="C20" s="124" t="s">
        <v>144</v>
      </c>
      <c r="D20" s="125"/>
      <c r="E20" s="125"/>
      <c r="F20" s="125"/>
      <c r="G20" s="116" t="s">
        <v>163</v>
      </c>
      <c r="H20" s="116">
        <v>100</v>
      </c>
      <c r="I20" s="117">
        <v>10</v>
      </c>
      <c r="J20" s="118">
        <f t="shared" si="1"/>
        <v>1000</v>
      </c>
      <c r="K20" s="119" t="s">
        <v>55</v>
      </c>
      <c r="L20" s="123" t="s">
        <v>55</v>
      </c>
      <c r="O20" s="1" t="str">
        <f t="shared" si="2"/>
        <v>Carbon Brush Dewalt Part # Na 160502</v>
      </c>
      <c r="R20" s="92"/>
    </row>
    <row r="21" spans="1:18" ht="32.1" customHeight="1">
      <c r="A21" s="5">
        <v>16</v>
      </c>
      <c r="B21" s="124" t="s">
        <v>145</v>
      </c>
      <c r="C21" s="124" t="s">
        <v>145</v>
      </c>
      <c r="D21" s="125"/>
      <c r="E21" s="125"/>
      <c r="F21" s="125"/>
      <c r="G21" s="116" t="s">
        <v>163</v>
      </c>
      <c r="H21" s="116">
        <v>50</v>
      </c>
      <c r="I21" s="117">
        <v>10</v>
      </c>
      <c r="J21" s="118">
        <f t="shared" si="1"/>
        <v>500</v>
      </c>
      <c r="K21" s="119" t="s">
        <v>55</v>
      </c>
      <c r="L21" s="123" t="s">
        <v>55</v>
      </c>
      <c r="O21" s="1" t="str">
        <f t="shared" si="2"/>
        <v>Carbon Brush Angle Grinder Dewalt 4" 4002</v>
      </c>
      <c r="R21" s="92"/>
    </row>
    <row r="22" spans="1:18" ht="32.1" customHeight="1">
      <c r="A22" s="5">
        <v>17</v>
      </c>
      <c r="B22" s="124" t="s">
        <v>146</v>
      </c>
      <c r="C22" s="124" t="s">
        <v>146</v>
      </c>
      <c r="D22" s="125"/>
      <c r="E22" s="125"/>
      <c r="F22" s="125"/>
      <c r="G22" s="116" t="s">
        <v>163</v>
      </c>
      <c r="H22" s="116">
        <v>50</v>
      </c>
      <c r="I22" s="117">
        <v>10</v>
      </c>
      <c r="J22" s="118">
        <f t="shared" si="1"/>
        <v>500</v>
      </c>
      <c r="K22" s="119" t="s">
        <v>55</v>
      </c>
      <c r="L22" s="123" t="s">
        <v>55</v>
      </c>
      <c r="O22" s="1" t="str">
        <f t="shared" si="2"/>
        <v>Carbon Brush Angle Grinder Machine 7" Dewalt 493</v>
      </c>
      <c r="R22" s="92"/>
    </row>
    <row r="23" spans="1:18" ht="32.1" customHeight="1">
      <c r="A23" s="5">
        <v>18</v>
      </c>
      <c r="B23" s="124" t="s">
        <v>147</v>
      </c>
      <c r="C23" s="124" t="s">
        <v>147</v>
      </c>
      <c r="D23" s="125"/>
      <c r="E23" s="125"/>
      <c r="F23" s="125"/>
      <c r="G23" s="116" t="s">
        <v>163</v>
      </c>
      <c r="H23" s="116">
        <v>50</v>
      </c>
      <c r="I23" s="117">
        <v>10</v>
      </c>
      <c r="J23" s="118">
        <f t="shared" si="1"/>
        <v>500</v>
      </c>
      <c r="K23" s="119" t="s">
        <v>55</v>
      </c>
      <c r="L23" s="123" t="s">
        <v>55</v>
      </c>
      <c r="O23" s="1" t="str">
        <f t="shared" si="2"/>
        <v>Carbon Brush For Air Blower Hyundai Model Hpt002</v>
      </c>
      <c r="R23" s="92"/>
    </row>
    <row r="24" spans="1:18" ht="32.1" customHeight="1">
      <c r="A24" s="5">
        <v>19</v>
      </c>
      <c r="B24" s="124" t="s">
        <v>148</v>
      </c>
      <c r="C24" s="124" t="s">
        <v>148</v>
      </c>
      <c r="D24" s="125"/>
      <c r="E24" s="125"/>
      <c r="F24" s="125"/>
      <c r="G24" s="116" t="s">
        <v>163</v>
      </c>
      <c r="H24" s="116">
        <v>50</v>
      </c>
      <c r="I24" s="117">
        <v>10</v>
      </c>
      <c r="J24" s="118">
        <f t="shared" si="1"/>
        <v>500</v>
      </c>
      <c r="K24" s="119" t="s">
        <v>55</v>
      </c>
      <c r="L24" s="123" t="s">
        <v>55</v>
      </c>
      <c r="O24" s="1" t="str">
        <f t="shared" si="2"/>
        <v>Carbon Brush Die Grinder Machine Makita Gd0600</v>
      </c>
      <c r="R24" s="92"/>
    </row>
    <row r="25" spans="1:18" ht="32.1" customHeight="1">
      <c r="A25" s="5">
        <v>20</v>
      </c>
      <c r="B25" s="124" t="s">
        <v>149</v>
      </c>
      <c r="C25" s="124" t="s">
        <v>149</v>
      </c>
      <c r="D25" s="125"/>
      <c r="E25" s="125"/>
      <c r="F25" s="125"/>
      <c r="G25" s="116" t="s">
        <v>103</v>
      </c>
      <c r="H25" s="116">
        <v>30</v>
      </c>
      <c r="I25" s="117">
        <v>110</v>
      </c>
      <c r="J25" s="118">
        <f t="shared" si="1"/>
        <v>3300</v>
      </c>
      <c r="K25" s="119" t="s">
        <v>55</v>
      </c>
      <c r="L25" s="123" t="s">
        <v>55</v>
      </c>
      <c r="O25" s="1" t="str">
        <f t="shared" si="2"/>
        <v>Rccb 25A 2P 10Ma</v>
      </c>
      <c r="R25" s="92"/>
    </row>
    <row r="26" spans="1:18" ht="32.1" customHeight="1">
      <c r="A26" s="5">
        <v>21</v>
      </c>
      <c r="B26" s="124" t="s">
        <v>150</v>
      </c>
      <c r="C26" s="124" t="s">
        <v>150</v>
      </c>
      <c r="D26" s="125"/>
      <c r="E26" s="125"/>
      <c r="F26" s="125"/>
      <c r="G26" s="116" t="s">
        <v>103</v>
      </c>
      <c r="H26" s="116">
        <v>10</v>
      </c>
      <c r="I26" s="117">
        <v>14</v>
      </c>
      <c r="J26" s="118">
        <f t="shared" si="1"/>
        <v>140</v>
      </c>
      <c r="K26" s="119" t="s">
        <v>55</v>
      </c>
      <c r="L26" s="123" t="s">
        <v>55</v>
      </c>
      <c r="O26" s="1" t="str">
        <f t="shared" si="2"/>
        <v>Grounding/Earth Rod 5/8" X 0.6M</v>
      </c>
      <c r="R26" s="92"/>
    </row>
    <row r="27" spans="1:18" ht="32.1" customHeight="1">
      <c r="A27" s="5">
        <v>22</v>
      </c>
      <c r="B27" s="124" t="s">
        <v>135</v>
      </c>
      <c r="C27" s="124" t="s">
        <v>135</v>
      </c>
      <c r="D27" s="125"/>
      <c r="E27" s="125"/>
      <c r="F27" s="125"/>
      <c r="G27" s="116" t="s">
        <v>103</v>
      </c>
      <c r="H27" s="116">
        <v>10</v>
      </c>
      <c r="I27" s="117">
        <v>80</v>
      </c>
      <c r="J27" s="118">
        <f t="shared" ref="J27:J41" si="3">H27*I27</f>
        <v>800</v>
      </c>
      <c r="K27" s="119" t="s">
        <v>55</v>
      </c>
      <c r="L27" s="123" t="s">
        <v>55</v>
      </c>
      <c r="O27" s="1" t="str">
        <f t="shared" si="2"/>
        <v>Led Flood Light 400W</v>
      </c>
      <c r="R27" s="92"/>
    </row>
    <row r="28" spans="1:18" ht="32.1" customHeight="1">
      <c r="A28" s="5">
        <v>23</v>
      </c>
      <c r="B28" s="124" t="s">
        <v>151</v>
      </c>
      <c r="C28" s="124" t="s">
        <v>151</v>
      </c>
      <c r="D28" s="125"/>
      <c r="E28" s="125"/>
      <c r="F28" s="125"/>
      <c r="G28" s="116" t="s">
        <v>103</v>
      </c>
      <c r="H28" s="116">
        <v>5</v>
      </c>
      <c r="I28" s="117">
        <v>14</v>
      </c>
      <c r="J28" s="118">
        <f t="shared" si="3"/>
        <v>70</v>
      </c>
      <c r="K28" s="119" t="s">
        <v>55</v>
      </c>
      <c r="L28" s="123" t="s">
        <v>55</v>
      </c>
      <c r="O28" s="1" t="str">
        <f t="shared" si="2"/>
        <v>30W/220V Led Panel Light 11"/280Mm Surface</v>
      </c>
      <c r="R28" s="92"/>
    </row>
    <row r="29" spans="1:18" ht="32.1" customHeight="1">
      <c r="A29" s="5">
        <v>24</v>
      </c>
      <c r="B29" s="124" t="s">
        <v>152</v>
      </c>
      <c r="C29" s="124" t="s">
        <v>152</v>
      </c>
      <c r="D29" s="125"/>
      <c r="E29" s="125"/>
      <c r="F29" s="125"/>
      <c r="G29" s="116" t="s">
        <v>103</v>
      </c>
      <c r="H29" s="116">
        <v>200</v>
      </c>
      <c r="I29" s="117">
        <v>0.95</v>
      </c>
      <c r="J29" s="118">
        <f t="shared" si="3"/>
        <v>190</v>
      </c>
      <c r="K29" s="119" t="s">
        <v>55</v>
      </c>
      <c r="L29" s="123" t="s">
        <v>55</v>
      </c>
      <c r="O29" s="1" t="str">
        <f t="shared" si="2"/>
        <v>Cable Lug 25Mm² X M6</v>
      </c>
      <c r="R29" s="92"/>
    </row>
    <row r="30" spans="1:18" ht="32.1" customHeight="1">
      <c r="A30" s="5">
        <v>25</v>
      </c>
      <c r="B30" s="124" t="s">
        <v>153</v>
      </c>
      <c r="C30" s="124" t="s">
        <v>153</v>
      </c>
      <c r="D30" s="125"/>
      <c r="E30" s="125"/>
      <c r="F30" s="125"/>
      <c r="G30" s="116" t="s">
        <v>113</v>
      </c>
      <c r="H30" s="116">
        <v>10</v>
      </c>
      <c r="I30" s="117">
        <v>160</v>
      </c>
      <c r="J30" s="118">
        <f t="shared" si="3"/>
        <v>1600</v>
      </c>
      <c r="K30" s="119" t="s">
        <v>55</v>
      </c>
      <c r="L30" s="123" t="s">
        <v>55</v>
      </c>
      <c r="O30" s="1" t="str">
        <f t="shared" si="2"/>
        <v>Flexible Conduit Pvc 2" X 25M Hd Black</v>
      </c>
      <c r="R30" s="92"/>
    </row>
    <row r="31" spans="1:18" ht="32.1" customHeight="1">
      <c r="A31" s="5">
        <v>26</v>
      </c>
      <c r="B31" s="124" t="s">
        <v>133</v>
      </c>
      <c r="C31" s="124" t="s">
        <v>133</v>
      </c>
      <c r="D31" s="125"/>
      <c r="E31" s="125"/>
      <c r="F31" s="125"/>
      <c r="G31" s="116" t="s">
        <v>103</v>
      </c>
      <c r="H31" s="116">
        <v>200</v>
      </c>
      <c r="I31" s="117">
        <v>20</v>
      </c>
      <c r="J31" s="118">
        <f t="shared" si="3"/>
        <v>4000</v>
      </c>
      <c r="K31" s="119" t="s">
        <v>55</v>
      </c>
      <c r="L31" s="123" t="s">
        <v>55</v>
      </c>
      <c r="O31" s="1" t="str">
        <f t="shared" si="2"/>
        <v>16A/220V 3Pin Mobile Plug Ip66/67</v>
      </c>
      <c r="R31" s="92"/>
    </row>
    <row r="32" spans="1:18" ht="32.1" customHeight="1">
      <c r="A32" s="5">
        <v>27</v>
      </c>
      <c r="B32" s="124" t="s">
        <v>134</v>
      </c>
      <c r="C32" s="124" t="s">
        <v>134</v>
      </c>
      <c r="D32" s="125"/>
      <c r="E32" s="125"/>
      <c r="F32" s="125"/>
      <c r="G32" s="116" t="s">
        <v>103</v>
      </c>
      <c r="H32" s="116">
        <v>200</v>
      </c>
      <c r="I32" s="117">
        <v>32</v>
      </c>
      <c r="J32" s="118">
        <f t="shared" si="3"/>
        <v>6400</v>
      </c>
      <c r="K32" s="119" t="s">
        <v>55</v>
      </c>
      <c r="L32" s="123" t="s">
        <v>55</v>
      </c>
      <c r="O32" s="1" t="str">
        <f t="shared" si="2"/>
        <v>16A/220V 3Pin Mobile Socket Ip66/67</v>
      </c>
      <c r="R32" s="92"/>
    </row>
    <row r="33" spans="1:26" ht="32.1" customHeight="1">
      <c r="A33" s="5">
        <v>28</v>
      </c>
      <c r="B33" s="124" t="s">
        <v>154</v>
      </c>
      <c r="C33" s="124" t="s">
        <v>154</v>
      </c>
      <c r="D33" s="125"/>
      <c r="E33" s="125"/>
      <c r="F33" s="125"/>
      <c r="G33" s="116" t="s">
        <v>113</v>
      </c>
      <c r="H33" s="116">
        <v>30</v>
      </c>
      <c r="I33" s="117">
        <v>595</v>
      </c>
      <c r="J33" s="118">
        <f t="shared" si="3"/>
        <v>17850</v>
      </c>
      <c r="K33" s="119" t="s">
        <v>55</v>
      </c>
      <c r="L33" s="123" t="s">
        <v>55</v>
      </c>
      <c r="O33" s="1" t="str">
        <f t="shared" si="2"/>
        <v>Flexible Cable White 3C X 6Mm² 100Yard / Roll</v>
      </c>
      <c r="R33" s="92"/>
    </row>
    <row r="34" spans="1:26" ht="32.1" customHeight="1">
      <c r="A34" s="5">
        <v>29</v>
      </c>
      <c r="B34" s="124" t="s">
        <v>155</v>
      </c>
      <c r="C34" s="124" t="s">
        <v>155</v>
      </c>
      <c r="D34" s="125"/>
      <c r="E34" s="125"/>
      <c r="F34" s="125"/>
      <c r="G34" s="116" t="s">
        <v>103</v>
      </c>
      <c r="H34" s="116">
        <v>2</v>
      </c>
      <c r="I34" s="117">
        <v>414</v>
      </c>
      <c r="J34" s="118">
        <f t="shared" si="3"/>
        <v>828</v>
      </c>
      <c r="K34" s="119" t="s">
        <v>55</v>
      </c>
      <c r="L34" s="123" t="s">
        <v>55</v>
      </c>
      <c r="O34" s="1" t="str">
        <f t="shared" si="2"/>
        <v>Hand Lamp Explosion Proof 220V/110V/24V</v>
      </c>
      <c r="R34" s="92"/>
    </row>
    <row r="35" spans="1:26" ht="32.1" customHeight="1">
      <c r="A35" s="5">
        <v>30</v>
      </c>
      <c r="B35" s="124" t="s">
        <v>156</v>
      </c>
      <c r="C35" s="124" t="s">
        <v>156</v>
      </c>
      <c r="D35" s="125"/>
      <c r="E35" s="125"/>
      <c r="F35" s="125"/>
      <c r="G35" s="116" t="s">
        <v>103</v>
      </c>
      <c r="H35" s="116">
        <v>2</v>
      </c>
      <c r="I35" s="117">
        <v>62</v>
      </c>
      <c r="J35" s="118">
        <f t="shared" si="3"/>
        <v>124</v>
      </c>
      <c r="K35" s="119" t="s">
        <v>55</v>
      </c>
      <c r="L35" s="123" t="s">
        <v>55</v>
      </c>
      <c r="O35" s="1" t="str">
        <f t="shared" si="2"/>
        <v>Metal Enclosure 250 X 200 X 150 Ip65</v>
      </c>
      <c r="R35" s="92"/>
    </row>
    <row r="36" spans="1:26" ht="32.1" customHeight="1">
      <c r="A36" s="5">
        <v>31</v>
      </c>
      <c r="B36" s="124" t="s">
        <v>157</v>
      </c>
      <c r="C36" s="124" t="s">
        <v>157</v>
      </c>
      <c r="D36" s="125"/>
      <c r="E36" s="125"/>
      <c r="F36" s="125"/>
      <c r="G36" s="116" t="s">
        <v>103</v>
      </c>
      <c r="H36" s="116">
        <v>1</v>
      </c>
      <c r="I36" s="117">
        <v>94</v>
      </c>
      <c r="J36" s="118">
        <f t="shared" si="3"/>
        <v>94</v>
      </c>
      <c r="K36" s="119" t="s">
        <v>55</v>
      </c>
      <c r="L36" s="123" t="s">
        <v>55</v>
      </c>
      <c r="O36" s="1" t="str">
        <f t="shared" si="2"/>
        <v>Current Transformer 50Va 1Ph 230/380V~12-24V</v>
      </c>
      <c r="R36" s="92"/>
    </row>
    <row r="37" spans="1:26" ht="32.1" customHeight="1">
      <c r="A37" s="5">
        <v>32</v>
      </c>
      <c r="B37" s="124" t="s">
        <v>158</v>
      </c>
      <c r="C37" s="124" t="s">
        <v>158</v>
      </c>
      <c r="D37" s="125"/>
      <c r="E37" s="125"/>
      <c r="F37" s="125"/>
      <c r="G37" s="116" t="s">
        <v>103</v>
      </c>
      <c r="H37" s="116">
        <v>2</v>
      </c>
      <c r="I37" s="117">
        <v>96.5</v>
      </c>
      <c r="J37" s="118">
        <f t="shared" si="3"/>
        <v>193</v>
      </c>
      <c r="K37" s="119" t="s">
        <v>55</v>
      </c>
      <c r="L37" s="123" t="s">
        <v>55</v>
      </c>
      <c r="O37" s="1" t="str">
        <f t="shared" si="2"/>
        <v>16A/24V 3Pin Panel Mount Socket Ip66/67</v>
      </c>
      <c r="R37" s="92"/>
    </row>
    <row r="38" spans="1:26" ht="32.1" customHeight="1">
      <c r="A38" s="5">
        <v>33</v>
      </c>
      <c r="B38" s="124" t="s">
        <v>140</v>
      </c>
      <c r="C38" s="124" t="s">
        <v>140</v>
      </c>
      <c r="D38" s="125"/>
      <c r="E38" s="125"/>
      <c r="F38" s="125"/>
      <c r="G38" s="116" t="s">
        <v>103</v>
      </c>
      <c r="H38" s="116">
        <v>12</v>
      </c>
      <c r="I38" s="117">
        <v>6</v>
      </c>
      <c r="J38" s="118">
        <f t="shared" si="3"/>
        <v>72</v>
      </c>
      <c r="K38" s="119" t="s">
        <v>55</v>
      </c>
      <c r="L38" s="123" t="s">
        <v>55</v>
      </c>
      <c r="O38" s="1" t="str">
        <f t="shared" si="2"/>
        <v>32A Plug Uk Type</v>
      </c>
      <c r="R38" s="92"/>
    </row>
    <row r="39" spans="1:26" ht="32.1" customHeight="1">
      <c r="A39" s="5">
        <v>34</v>
      </c>
      <c r="B39" s="124" t="s">
        <v>159</v>
      </c>
      <c r="C39" s="124" t="s">
        <v>159</v>
      </c>
      <c r="D39" s="125"/>
      <c r="E39" s="125"/>
      <c r="F39" s="125"/>
      <c r="G39" s="116" t="s">
        <v>103</v>
      </c>
      <c r="H39" s="116">
        <v>4</v>
      </c>
      <c r="I39" s="117">
        <v>28</v>
      </c>
      <c r="J39" s="118">
        <f t="shared" si="3"/>
        <v>112</v>
      </c>
      <c r="K39" s="119" t="s">
        <v>55</v>
      </c>
      <c r="L39" s="123" t="s">
        <v>55</v>
      </c>
      <c r="O39" s="1" t="str">
        <f t="shared" si="2"/>
        <v>16A/24V 3Pin Mobile Plug Ip44/54</v>
      </c>
      <c r="R39" s="92"/>
    </row>
    <row r="40" spans="1:26" ht="32.1" customHeight="1">
      <c r="A40" s="5">
        <v>35</v>
      </c>
      <c r="B40" s="124" t="s">
        <v>160</v>
      </c>
      <c r="C40" s="124" t="s">
        <v>160</v>
      </c>
      <c r="D40" s="125"/>
      <c r="E40" s="125"/>
      <c r="F40" s="125"/>
      <c r="G40" s="116" t="s">
        <v>103</v>
      </c>
      <c r="H40" s="116">
        <v>4</v>
      </c>
      <c r="I40" s="117">
        <v>40</v>
      </c>
      <c r="J40" s="118">
        <f t="shared" si="3"/>
        <v>160</v>
      </c>
      <c r="K40" s="119" t="s">
        <v>55</v>
      </c>
      <c r="L40" s="123" t="s">
        <v>55</v>
      </c>
      <c r="O40" s="1" t="str">
        <f t="shared" si="2"/>
        <v>16A/24V 3Pin Mobile Socket Ip44/54</v>
      </c>
      <c r="R40" s="92"/>
    </row>
    <row r="41" spans="1:26" ht="32.1" customHeight="1">
      <c r="A41" s="5">
        <v>36</v>
      </c>
      <c r="B41" s="124" t="s">
        <v>161</v>
      </c>
      <c r="C41" s="124" t="s">
        <v>161</v>
      </c>
      <c r="D41" s="125"/>
      <c r="E41" s="125"/>
      <c r="F41" s="125"/>
      <c r="G41" s="116" t="s">
        <v>103</v>
      </c>
      <c r="H41" s="116">
        <v>2</v>
      </c>
      <c r="I41" s="117">
        <v>18</v>
      </c>
      <c r="J41" s="118">
        <f t="shared" si="3"/>
        <v>36</v>
      </c>
      <c r="K41" s="119" t="s">
        <v>55</v>
      </c>
      <c r="L41" s="123" t="s">
        <v>55</v>
      </c>
      <c r="O41" s="1" t="str">
        <f t="shared" si="2"/>
        <v>9W/24V Led Bulb E27 Daylight</v>
      </c>
      <c r="R41" s="92"/>
    </row>
    <row r="42" spans="1:26" ht="32.1" customHeight="1">
      <c r="A42" s="5">
        <v>37</v>
      </c>
      <c r="B42" s="124" t="s">
        <v>161</v>
      </c>
      <c r="C42" s="124" t="s">
        <v>161</v>
      </c>
      <c r="D42" s="125"/>
      <c r="E42" s="125"/>
      <c r="F42" s="125"/>
      <c r="G42" s="116" t="s">
        <v>103</v>
      </c>
      <c r="H42" s="116">
        <v>2</v>
      </c>
      <c r="I42" s="117">
        <v>18</v>
      </c>
      <c r="J42" s="118">
        <f t="shared" si="1"/>
        <v>36</v>
      </c>
      <c r="K42" s="119" t="s">
        <v>55</v>
      </c>
      <c r="L42" s="123" t="s">
        <v>55</v>
      </c>
      <c r="R42" s="92"/>
    </row>
    <row r="43" spans="1:26" ht="23.25" customHeight="1">
      <c r="A43" s="146" t="s">
        <v>8</v>
      </c>
      <c r="B43" s="146"/>
      <c r="C43" s="120"/>
      <c r="D43" s="121"/>
      <c r="E43" s="121"/>
      <c r="F43" s="121"/>
      <c r="G43" s="122"/>
      <c r="H43" s="122"/>
      <c r="I43" s="97" t="s">
        <v>164</v>
      </c>
      <c r="J43" s="118">
        <f>SUM(J6:J42)</f>
        <v>71297.5</v>
      </c>
      <c r="K43" s="118"/>
      <c r="L43" s="94"/>
    </row>
    <row r="44" spans="1:26" ht="20.100000000000001" customHeight="1">
      <c r="A44" s="6" t="s">
        <v>9</v>
      </c>
      <c r="B44" s="7"/>
      <c r="C44" s="7"/>
      <c r="D44" s="7"/>
      <c r="E44" s="7"/>
      <c r="F44" s="7"/>
      <c r="G44" s="7"/>
      <c r="H44" s="7"/>
      <c r="I44" s="7"/>
      <c r="J44" s="7"/>
      <c r="K44" s="8"/>
      <c r="L44" s="9"/>
    </row>
    <row r="45" spans="1:26" ht="18" customHeight="1">
      <c r="A45" s="10"/>
      <c r="J45" s="1"/>
      <c r="K45" s="1"/>
      <c r="O45" s="114"/>
      <c r="P45" s="11"/>
      <c r="Q45" s="11"/>
      <c r="R45" s="11"/>
      <c r="S45" s="11"/>
      <c r="T45" s="11"/>
      <c r="U45" s="11"/>
      <c r="V45" s="11"/>
      <c r="W45" s="11"/>
      <c r="Y45" s="147"/>
      <c r="Z45" s="11"/>
    </row>
    <row r="46" spans="1:26" ht="50.1" customHeight="1">
      <c r="Y46" s="148"/>
    </row>
    <row r="47" spans="1:26" ht="15" customHeight="1">
      <c r="O47" s="142" t="s">
        <v>114</v>
      </c>
      <c r="P47" s="149"/>
      <c r="Q47" s="149"/>
      <c r="R47" s="143"/>
      <c r="S47" s="104"/>
      <c r="T47" s="142" t="s">
        <v>115</v>
      </c>
      <c r="U47" s="149"/>
      <c r="V47" s="149"/>
      <c r="W47" s="149"/>
      <c r="X47" s="149"/>
      <c r="Y47" s="143"/>
    </row>
    <row r="48" spans="1:26" ht="15" customHeight="1">
      <c r="O48" s="150" t="s">
        <v>116</v>
      </c>
      <c r="P48" s="126" t="s">
        <v>117</v>
      </c>
      <c r="Q48" s="152" t="s">
        <v>118</v>
      </c>
      <c r="R48" s="126" t="s">
        <v>119</v>
      </c>
      <c r="S48" s="104"/>
      <c r="T48" s="152" t="s">
        <v>120</v>
      </c>
      <c r="U48" s="126" t="s">
        <v>121</v>
      </c>
      <c r="V48" s="142" t="s">
        <v>122</v>
      </c>
      <c r="W48" s="149"/>
      <c r="X48" s="143"/>
      <c r="Y48" s="126" t="s">
        <v>123</v>
      </c>
    </row>
    <row r="49" spans="15:25" ht="18" customHeight="1">
      <c r="O49" s="151"/>
      <c r="P49" s="130"/>
      <c r="Q49" s="127"/>
      <c r="R49" s="130"/>
      <c r="S49" s="105"/>
      <c r="T49" s="127"/>
      <c r="U49" s="130"/>
      <c r="V49" s="13" t="s">
        <v>116</v>
      </c>
      <c r="W49" s="153" t="s">
        <v>124</v>
      </c>
      <c r="X49" s="154"/>
      <c r="Y49" s="130"/>
    </row>
    <row r="50" spans="15:25" ht="50.1" customHeight="1">
      <c r="O50" s="115"/>
      <c r="P50" s="14"/>
      <c r="Q50" s="14"/>
      <c r="R50" s="14"/>
      <c r="S50" s="104"/>
      <c r="T50" s="14"/>
      <c r="U50" s="14"/>
      <c r="V50" s="14"/>
      <c r="W50" s="142"/>
      <c r="X50" s="143"/>
      <c r="Y50" s="106"/>
    </row>
    <row r="51" spans="15:25" ht="36" customHeight="1">
      <c r="W51" s="107"/>
      <c r="X51" s="144" t="s">
        <v>125</v>
      </c>
      <c r="Y51" s="12" t="s">
        <v>123</v>
      </c>
    </row>
    <row r="52" spans="15:25" ht="50.1" customHeight="1">
      <c r="O52" s="108"/>
      <c r="P52" s="108"/>
      <c r="Q52" s="108"/>
      <c r="R52" s="108"/>
      <c r="S52" s="108"/>
      <c r="T52" s="108"/>
      <c r="U52" s="108"/>
      <c r="V52" s="108"/>
      <c r="W52" s="109"/>
      <c r="X52" s="145"/>
      <c r="Y52" s="110"/>
    </row>
    <row r="53" spans="15:25" ht="19.899999999999999" customHeight="1"/>
    <row r="54" spans="15:25" ht="17.45" customHeight="1">
      <c r="O54" s="131"/>
      <c r="P54" s="132"/>
    </row>
    <row r="55" spans="15:25" ht="19.899999999999999" customHeight="1">
      <c r="O55" s="131"/>
      <c r="P55" s="132"/>
    </row>
    <row r="56" spans="15:25" ht="14.25">
      <c r="O56" s="114"/>
      <c r="P56" s="11"/>
      <c r="Q56" s="11"/>
    </row>
    <row r="57" spans="15:25" ht="65.099999999999994" customHeight="1"/>
    <row r="58" spans="15:25" ht="14.25">
      <c r="O58" s="114"/>
      <c r="P58" s="11"/>
    </row>
    <row r="59" spans="15:25" ht="19.899999999999999" customHeight="1"/>
    <row r="60" spans="15:25" ht="14.25"/>
    <row r="61" spans="15:25" ht="19.899999999999999" customHeight="1"/>
    <row r="62" spans="15:25" ht="14.25"/>
    <row r="63" spans="15:25" ht="19.899999999999999" customHeight="1"/>
    <row r="64" spans="15:25" ht="19.899999999999999" customHeight="1"/>
    <row r="65" spans="15:19" ht="64.900000000000006" customHeight="1"/>
    <row r="67" spans="15:19" ht="19.899999999999999" customHeight="1"/>
    <row r="68" spans="15:19" ht="19.899999999999999" customHeight="1"/>
    <row r="69" spans="15:19" ht="64.900000000000006" customHeight="1"/>
    <row r="73" spans="15:19" ht="21" customHeight="1">
      <c r="O73" s="128" t="s">
        <v>11</v>
      </c>
      <c r="P73" s="126" t="s">
        <v>11</v>
      </c>
      <c r="S73" s="126" t="s">
        <v>10</v>
      </c>
    </row>
    <row r="74" spans="15:19" ht="21" customHeight="1">
      <c r="O74" s="129"/>
      <c r="P74" s="130"/>
      <c r="S74" s="127"/>
    </row>
    <row r="75" spans="15:19" ht="64.900000000000006" customHeight="1">
      <c r="O75" s="115"/>
      <c r="P75" s="14"/>
      <c r="S75" s="15"/>
    </row>
    <row r="76" spans="15:19" ht="7.15" customHeight="1"/>
    <row r="77" spans="15:19" ht="21" customHeight="1">
      <c r="O77" s="128" t="s">
        <v>11</v>
      </c>
      <c r="P77" s="126" t="s">
        <v>11</v>
      </c>
      <c r="S77" s="126" t="s">
        <v>12</v>
      </c>
    </row>
    <row r="78" spans="15:19" ht="21" customHeight="1">
      <c r="O78" s="129"/>
      <c r="P78" s="130"/>
      <c r="S78" s="127"/>
    </row>
    <row r="79" spans="15:19" ht="64.900000000000006" customHeight="1">
      <c r="O79" s="115"/>
      <c r="P79" s="14"/>
      <c r="S79" s="14"/>
    </row>
  </sheetData>
  <mergeCells count="109">
    <mergeCell ref="Y45:Y46"/>
    <mergeCell ref="O47:R47"/>
    <mergeCell ref="T47:Y47"/>
    <mergeCell ref="O48:O49"/>
    <mergeCell ref="Q48:Q49"/>
    <mergeCell ref="R48:R49"/>
    <mergeCell ref="T48:T49"/>
    <mergeCell ref="U48:U49"/>
    <mergeCell ref="V48:X48"/>
    <mergeCell ref="Y48:Y49"/>
    <mergeCell ref="W49:X49"/>
    <mergeCell ref="B37:C37"/>
    <mergeCell ref="D37:F37"/>
    <mergeCell ref="B38:C38"/>
    <mergeCell ref="D38:F38"/>
    <mergeCell ref="W50:X50"/>
    <mergeCell ref="X51:X52"/>
    <mergeCell ref="B39:C39"/>
    <mergeCell ref="D39:F39"/>
    <mergeCell ref="B40:C40"/>
    <mergeCell ref="D40:F40"/>
    <mergeCell ref="B41:C41"/>
    <mergeCell ref="D41:F41"/>
    <mergeCell ref="A43:B43"/>
    <mergeCell ref="P48:P49"/>
    <mergeCell ref="B42:C42"/>
    <mergeCell ref="D42:F42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21:C21"/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18:C18"/>
    <mergeCell ref="D18:F18"/>
    <mergeCell ref="B19:C19"/>
    <mergeCell ref="D19:F19"/>
    <mergeCell ref="B20:C20"/>
    <mergeCell ref="D20:F20"/>
    <mergeCell ref="B9:C9"/>
    <mergeCell ref="D9:F9"/>
    <mergeCell ref="B10:C10"/>
    <mergeCell ref="D10:F10"/>
    <mergeCell ref="B11:C11"/>
    <mergeCell ref="B25:C25"/>
    <mergeCell ref="D25:F25"/>
    <mergeCell ref="B26:C26"/>
    <mergeCell ref="D26:F26"/>
    <mergeCell ref="B22:C22"/>
    <mergeCell ref="D22:F22"/>
    <mergeCell ref="B23:C23"/>
    <mergeCell ref="D23:F23"/>
    <mergeCell ref="B24:C24"/>
    <mergeCell ref="D24:F24"/>
    <mergeCell ref="S73:S74"/>
    <mergeCell ref="O77:O78"/>
    <mergeCell ref="P77:P78"/>
    <mergeCell ref="S77:S78"/>
    <mergeCell ref="O54:O55"/>
    <mergeCell ref="P54:P55"/>
    <mergeCell ref="O73:O74"/>
    <mergeCell ref="P73:P74"/>
    <mergeCell ref="D21:F21"/>
    <mergeCell ref="D11:F11"/>
    <mergeCell ref="B6:C6"/>
    <mergeCell ref="D6:F6"/>
    <mergeCell ref="B7:C7"/>
    <mergeCell ref="D7:F7"/>
    <mergeCell ref="B8:C8"/>
    <mergeCell ref="D8:F8"/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7"/>
  <sheetViews>
    <sheetView showGridLines="0" zoomScale="85" zoomScaleNormal="85" zoomScaleSheetLayoutView="70" workbookViewId="0">
      <pane ySplit="5" topLeftCell="A27" activePane="bottomLeft" state="frozen"/>
      <selection activeCell="D30" sqref="D30"/>
      <selection pane="bottomLeft" activeCell="D36" sqref="D36:F36"/>
    </sheetView>
  </sheetViews>
  <sheetFormatPr defaultColWidth="9" defaultRowHeight="21" customHeight="1"/>
  <cols>
    <col min="1" max="1" width="9.2851562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9" width="12.5703125" style="2" customWidth="1"/>
    <col min="10" max="10" width="17.1406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84</v>
      </c>
      <c r="B1" s="86"/>
      <c r="C1" s="86"/>
      <c r="D1" s="86"/>
      <c r="E1" s="86"/>
      <c r="F1" s="86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87"/>
      <c r="C2" s="87"/>
      <c r="D2" s="3" t="str">
        <f>+MRS!D2</f>
        <v>Division (In charge Name) : ADMIN MANAGER (Dong Chang Kim)</v>
      </c>
      <c r="E2" s="87"/>
      <c r="F2" s="87"/>
      <c r="G2" s="16"/>
      <c r="H2" s="16"/>
      <c r="I2" s="16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SAC2-DS-MRS-0508</v>
      </c>
      <c r="B3" s="87"/>
      <c r="C3" s="87"/>
      <c r="D3" s="87"/>
      <c r="E3" s="87"/>
      <c r="F3" s="87"/>
      <c r="G3" s="87"/>
      <c r="H3" s="87"/>
      <c r="I3" s="87"/>
      <c r="J3" s="87"/>
      <c r="K3" s="88">
        <f>+MRS!L3</f>
        <v>46317</v>
      </c>
    </row>
    <row r="4" spans="1:18" ht="15.95" customHeight="1">
      <c r="A4" s="160" t="s">
        <v>2</v>
      </c>
      <c r="B4" s="161" t="s">
        <v>13</v>
      </c>
      <c r="C4" s="161"/>
      <c r="D4" s="160" t="s">
        <v>4</v>
      </c>
      <c r="E4" s="160"/>
      <c r="F4" s="160"/>
      <c r="G4" s="161" t="s">
        <v>5</v>
      </c>
      <c r="H4" s="160" t="s">
        <v>79</v>
      </c>
      <c r="I4" s="160" t="s">
        <v>14</v>
      </c>
      <c r="J4" s="160" t="s">
        <v>15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17">
        <v>1</v>
      </c>
      <c r="B6" s="155" t="str">
        <f>MRS!B6</f>
        <v>FLEXIBLE CABLE WHITE 3C X 4MM² 100YARD / ROLL</v>
      </c>
      <c r="C6" s="156"/>
      <c r="D6" s="157">
        <f>MRS!D6</f>
        <v>0</v>
      </c>
      <c r="E6" s="158"/>
      <c r="F6" s="159"/>
      <c r="G6" s="89" t="str">
        <f>MRS!G6</f>
        <v>ROLL</v>
      </c>
      <c r="H6" s="89">
        <f>MRS!H6</f>
        <v>20</v>
      </c>
      <c r="I6" s="90">
        <f>MRS!I6</f>
        <v>440</v>
      </c>
      <c r="J6" s="90">
        <f>MRS!J6</f>
        <v>8800</v>
      </c>
      <c r="K6" s="91"/>
      <c r="O6" s="92"/>
      <c r="P6" s="92"/>
      <c r="R6" s="92"/>
    </row>
    <row r="7" spans="1:18" ht="105" customHeight="1">
      <c r="A7" s="17">
        <v>2</v>
      </c>
      <c r="B7" s="155" t="str">
        <f>MRS!B7</f>
        <v>FLEXIBLE CONDUIT PVC 3/4" X 100M HD BLACK</v>
      </c>
      <c r="C7" s="156"/>
      <c r="D7" s="157">
        <f>MRS!D7</f>
        <v>0</v>
      </c>
      <c r="E7" s="158"/>
      <c r="F7" s="159"/>
      <c r="G7" s="89" t="str">
        <f>MRS!G7</f>
        <v>ROLL</v>
      </c>
      <c r="H7" s="89">
        <f>MRS!H7</f>
        <v>10</v>
      </c>
      <c r="I7" s="90">
        <f>MRS!I7</f>
        <v>160</v>
      </c>
      <c r="J7" s="90">
        <f>MRS!J7</f>
        <v>1600</v>
      </c>
      <c r="K7" s="91"/>
      <c r="O7" s="92"/>
      <c r="P7" s="92"/>
      <c r="R7" s="92"/>
    </row>
    <row r="8" spans="1:18" ht="105" customHeight="1">
      <c r="A8" s="17">
        <v>3</v>
      </c>
      <c r="B8" s="155" t="str">
        <f>MRS!B8</f>
        <v>32A/220V 3PIN PANEL MOUNT SOCKET IP67</v>
      </c>
      <c r="C8" s="156"/>
      <c r="D8" s="157">
        <f>MRS!D8</f>
        <v>0</v>
      </c>
      <c r="E8" s="158"/>
      <c r="F8" s="159"/>
      <c r="G8" s="89" t="str">
        <f>MRS!G8</f>
        <v>EA</v>
      </c>
      <c r="H8" s="89">
        <f>MRS!H8</f>
        <v>20</v>
      </c>
      <c r="I8" s="90">
        <f>MRS!I8</f>
        <v>34.5</v>
      </c>
      <c r="J8" s="90">
        <f>MRS!J8</f>
        <v>690</v>
      </c>
      <c r="K8" s="91"/>
      <c r="O8" s="92"/>
      <c r="P8" s="92"/>
      <c r="R8" s="92"/>
    </row>
    <row r="9" spans="1:18" ht="105" customHeight="1">
      <c r="A9" s="17">
        <v>4</v>
      </c>
      <c r="B9" s="155" t="str">
        <f>MRS!B9</f>
        <v>16A/220V 3PIN MOBILE PLUG IP66/67</v>
      </c>
      <c r="C9" s="156"/>
      <c r="D9" s="157">
        <f>MRS!D9</f>
        <v>0</v>
      </c>
      <c r="E9" s="158"/>
      <c r="F9" s="159"/>
      <c r="G9" s="89" t="str">
        <f>MRS!G9</f>
        <v>EA</v>
      </c>
      <c r="H9" s="89">
        <f>MRS!H9</f>
        <v>200</v>
      </c>
      <c r="I9" s="90">
        <f>MRS!I9</f>
        <v>20</v>
      </c>
      <c r="J9" s="90">
        <f>MRS!J9</f>
        <v>4000</v>
      </c>
      <c r="K9" s="91"/>
      <c r="O9" s="92"/>
      <c r="P9" s="92"/>
      <c r="R9" s="92"/>
    </row>
    <row r="10" spans="1:18" ht="105" customHeight="1">
      <c r="A10" s="17">
        <v>5</v>
      </c>
      <c r="B10" s="155" t="str">
        <f>MRS!B10</f>
        <v>16A/220V 3PIN MOBILE SOCKET IP66/67</v>
      </c>
      <c r="C10" s="156"/>
      <c r="D10" s="157">
        <f>MRS!D10</f>
        <v>0</v>
      </c>
      <c r="E10" s="158"/>
      <c r="F10" s="159"/>
      <c r="G10" s="89" t="str">
        <f>MRS!G10</f>
        <v>EA</v>
      </c>
      <c r="H10" s="89">
        <f>MRS!H10</f>
        <v>200</v>
      </c>
      <c r="I10" s="90">
        <f>MRS!I10</f>
        <v>32</v>
      </c>
      <c r="J10" s="90">
        <f>MRS!J10</f>
        <v>6400</v>
      </c>
      <c r="K10" s="91"/>
      <c r="O10" s="92"/>
      <c r="P10" s="92"/>
      <c r="R10" s="92"/>
    </row>
    <row r="11" spans="1:18" ht="105" customHeight="1">
      <c r="A11" s="17">
        <v>6</v>
      </c>
      <c r="B11" s="155" t="str">
        <f>MRS!B11</f>
        <v>LED FLOOD LIGHT 400W</v>
      </c>
      <c r="C11" s="156"/>
      <c r="D11" s="157">
        <f>MRS!D11</f>
        <v>0</v>
      </c>
      <c r="E11" s="158"/>
      <c r="F11" s="159"/>
      <c r="G11" s="89" t="str">
        <f>MRS!G11</f>
        <v>EA</v>
      </c>
      <c r="H11" s="89">
        <f>MRS!H11</f>
        <v>100</v>
      </c>
      <c r="I11" s="90">
        <f>MRS!I11</f>
        <v>80</v>
      </c>
      <c r="J11" s="90">
        <f>MRS!J11</f>
        <v>8000</v>
      </c>
      <c r="K11" s="91"/>
      <c r="O11" s="92"/>
      <c r="P11" s="92"/>
      <c r="R11" s="92"/>
    </row>
    <row r="12" spans="1:18" ht="105" customHeight="1">
      <c r="A12" s="17">
        <v>7</v>
      </c>
      <c r="B12" s="155" t="str">
        <f>MRS!B12</f>
        <v>2 GANG 13A SWITCHED SOCKET 7 X 14</v>
      </c>
      <c r="C12" s="156"/>
      <c r="D12" s="157">
        <f>MRS!D12</f>
        <v>0</v>
      </c>
      <c r="E12" s="158"/>
      <c r="F12" s="159"/>
      <c r="G12" s="89" t="str">
        <f>MRS!G12</f>
        <v>EA</v>
      </c>
      <c r="H12" s="89">
        <f>MRS!H12</f>
        <v>20</v>
      </c>
      <c r="I12" s="90">
        <f>MRS!I12</f>
        <v>16.5</v>
      </c>
      <c r="J12" s="90">
        <f>MRS!J12</f>
        <v>330</v>
      </c>
      <c r="K12" s="91"/>
      <c r="O12" s="92"/>
      <c r="P12" s="92"/>
      <c r="R12" s="92"/>
    </row>
    <row r="13" spans="1:18" ht="105" customHeight="1">
      <c r="A13" s="17">
        <v>8</v>
      </c>
      <c r="B13" s="155" t="str">
        <f>MRS!B13</f>
        <v>PVC BOX 7 X 14</v>
      </c>
      <c r="C13" s="156"/>
      <c r="D13" s="157">
        <f>MRS!D13</f>
        <v>0</v>
      </c>
      <c r="E13" s="158"/>
      <c r="F13" s="159"/>
      <c r="G13" s="89" t="str">
        <f>MRS!G13</f>
        <v>EA</v>
      </c>
      <c r="H13" s="89">
        <f>MRS!H13</f>
        <v>20</v>
      </c>
      <c r="I13" s="90">
        <f>MRS!I13</f>
        <v>1.75</v>
      </c>
      <c r="J13" s="90">
        <f>MRS!J13</f>
        <v>35</v>
      </c>
      <c r="K13" s="91"/>
      <c r="O13" s="92"/>
      <c r="P13" s="92"/>
      <c r="R13" s="92"/>
    </row>
    <row r="14" spans="1:18" ht="105" customHeight="1">
      <c r="A14" s="17">
        <v>9</v>
      </c>
      <c r="B14" s="155" t="str">
        <f>MRS!B14</f>
        <v>GROUNDING/EARTH CABLE 10MM²</v>
      </c>
      <c r="C14" s="156"/>
      <c r="D14" s="157">
        <f>MRS!D14</f>
        <v>0</v>
      </c>
      <c r="E14" s="158"/>
      <c r="F14" s="159"/>
      <c r="G14" s="89" t="str">
        <f>MRS!G14</f>
        <v>MTR</v>
      </c>
      <c r="H14" s="89">
        <f>MRS!H14</f>
        <v>100</v>
      </c>
      <c r="I14" s="90">
        <f>MRS!I14</f>
        <v>8.4499999999999993</v>
      </c>
      <c r="J14" s="90">
        <f>MRS!J14</f>
        <v>844.99999999999989</v>
      </c>
      <c r="K14" s="91"/>
      <c r="O14" s="92"/>
      <c r="P14" s="92"/>
      <c r="R14" s="92"/>
    </row>
    <row r="15" spans="1:18" ht="105" customHeight="1">
      <c r="A15" s="17">
        <v>10</v>
      </c>
      <c r="B15" s="155" t="str">
        <f>MRS!B15</f>
        <v>CABLE LUG 10MM² X M10</v>
      </c>
      <c r="C15" s="156"/>
      <c r="D15" s="157">
        <f>MRS!D15</f>
        <v>0</v>
      </c>
      <c r="E15" s="158"/>
      <c r="F15" s="159"/>
      <c r="G15" s="89" t="str">
        <f>MRS!G15</f>
        <v>EA</v>
      </c>
      <c r="H15" s="89">
        <f>MRS!H15</f>
        <v>50</v>
      </c>
      <c r="I15" s="90">
        <f>MRS!I15</f>
        <v>0.65</v>
      </c>
      <c r="J15" s="90">
        <f>MRS!J15</f>
        <v>32.5</v>
      </c>
      <c r="K15" s="91"/>
      <c r="O15" s="92"/>
      <c r="P15" s="92"/>
      <c r="R15" s="92"/>
    </row>
    <row r="16" spans="1:18" ht="105" customHeight="1">
      <c r="A16" s="17">
        <v>11</v>
      </c>
      <c r="B16" s="155" t="str">
        <f>MRS!B16</f>
        <v>32A PLUG UK TYPE</v>
      </c>
      <c r="C16" s="156"/>
      <c r="D16" s="157">
        <f>MRS!D16</f>
        <v>0</v>
      </c>
      <c r="E16" s="158"/>
      <c r="F16" s="159"/>
      <c r="G16" s="89" t="str">
        <f>MRS!G16</f>
        <v>EA</v>
      </c>
      <c r="H16" s="89">
        <f>MRS!H16</f>
        <v>10</v>
      </c>
      <c r="I16" s="90">
        <f>MRS!I16</f>
        <v>6</v>
      </c>
      <c r="J16" s="90">
        <f>MRS!J16</f>
        <v>60</v>
      </c>
      <c r="K16" s="91"/>
      <c r="O16" s="92"/>
      <c r="P16" s="92"/>
      <c r="R16" s="92"/>
    </row>
    <row r="17" spans="1:18" ht="105" customHeight="1">
      <c r="A17" s="17">
        <v>12</v>
      </c>
      <c r="B17" s="155" t="str">
        <f>MRS!B17</f>
        <v>CARBON BRUSH  CUTTING MACHINE 14" DEWALT</v>
      </c>
      <c r="C17" s="156"/>
      <c r="D17" s="157">
        <f>MRS!D17</f>
        <v>0</v>
      </c>
      <c r="E17" s="158"/>
      <c r="F17" s="159"/>
      <c r="G17" s="89" t="str">
        <f>MRS!G17</f>
        <v>PAIR</v>
      </c>
      <c r="H17" s="89">
        <f>MRS!H17</f>
        <v>50</v>
      </c>
      <c r="I17" s="90">
        <f>MRS!I17</f>
        <v>10</v>
      </c>
      <c r="J17" s="90">
        <f>MRS!J17</f>
        <v>500</v>
      </c>
      <c r="K17" s="91"/>
      <c r="O17" s="92"/>
      <c r="P17" s="92"/>
      <c r="R17" s="92"/>
    </row>
    <row r="18" spans="1:18" ht="105" customHeight="1">
      <c r="A18" s="17">
        <v>13</v>
      </c>
      <c r="B18" s="155" t="str">
        <f>MRS!B18</f>
        <v>CARBON BRUSH ANGLE GRINDER MACHINE 4" DEWALT 4002</v>
      </c>
      <c r="C18" s="156"/>
      <c r="D18" s="157">
        <f>MRS!D18</f>
        <v>0</v>
      </c>
      <c r="E18" s="158"/>
      <c r="F18" s="159"/>
      <c r="G18" s="89" t="str">
        <f>MRS!G18</f>
        <v>PAIR</v>
      </c>
      <c r="H18" s="89">
        <f>MRS!H18</f>
        <v>50</v>
      </c>
      <c r="I18" s="90">
        <f>MRS!I18</f>
        <v>10</v>
      </c>
      <c r="J18" s="90">
        <f>MRS!J18</f>
        <v>500</v>
      </c>
      <c r="K18" s="91"/>
      <c r="O18" s="92"/>
      <c r="P18" s="92"/>
      <c r="R18" s="92"/>
    </row>
    <row r="19" spans="1:18" ht="105" customHeight="1">
      <c r="A19" s="17">
        <v>14</v>
      </c>
      <c r="B19" s="155" t="str">
        <f>MRS!B19</f>
        <v>CARBON BRUSH DIE GRINDER MACHINE DEWALT</v>
      </c>
      <c r="C19" s="156"/>
      <c r="D19" s="157">
        <f>MRS!D19</f>
        <v>0</v>
      </c>
      <c r="E19" s="158"/>
      <c r="F19" s="159"/>
      <c r="G19" s="89" t="str">
        <f>MRS!G19</f>
        <v>PAIR</v>
      </c>
      <c r="H19" s="89">
        <f>MRS!H19</f>
        <v>50</v>
      </c>
      <c r="I19" s="90">
        <f>MRS!I19</f>
        <v>10</v>
      </c>
      <c r="J19" s="90">
        <f>MRS!J19</f>
        <v>500</v>
      </c>
      <c r="K19" s="91"/>
      <c r="O19" s="92"/>
      <c r="P19" s="92"/>
      <c r="R19" s="92"/>
    </row>
    <row r="20" spans="1:18" ht="105" customHeight="1">
      <c r="A20" s="17">
        <v>15</v>
      </c>
      <c r="B20" s="155" t="str">
        <f>MRS!B20</f>
        <v>CARBON BRUSH DEWALT PART # NA 160502</v>
      </c>
      <c r="C20" s="156"/>
      <c r="D20" s="157">
        <f>MRS!D20</f>
        <v>0</v>
      </c>
      <c r="E20" s="158"/>
      <c r="F20" s="159"/>
      <c r="G20" s="89" t="str">
        <f>MRS!G20</f>
        <v>PAIR</v>
      </c>
      <c r="H20" s="89">
        <f>MRS!H20</f>
        <v>100</v>
      </c>
      <c r="I20" s="90">
        <f>MRS!I20</f>
        <v>10</v>
      </c>
      <c r="J20" s="90">
        <f>MRS!J20</f>
        <v>1000</v>
      </c>
      <c r="K20" s="91"/>
      <c r="O20" s="92"/>
      <c r="P20" s="92"/>
      <c r="R20" s="92"/>
    </row>
    <row r="21" spans="1:18" ht="105" customHeight="1">
      <c r="A21" s="17">
        <v>16</v>
      </c>
      <c r="B21" s="155" t="str">
        <f>MRS!B21</f>
        <v>CARBON BRUSH ANGLE GRINDER DEWALT 4" 4002</v>
      </c>
      <c r="C21" s="156"/>
      <c r="D21" s="157">
        <f>MRS!D21</f>
        <v>0</v>
      </c>
      <c r="E21" s="158"/>
      <c r="F21" s="159"/>
      <c r="G21" s="89" t="str">
        <f>MRS!G21</f>
        <v>PAIR</v>
      </c>
      <c r="H21" s="89">
        <f>MRS!H21</f>
        <v>50</v>
      </c>
      <c r="I21" s="90">
        <f>MRS!I21</f>
        <v>10</v>
      </c>
      <c r="J21" s="90">
        <f>MRS!J21</f>
        <v>500</v>
      </c>
      <c r="K21" s="91"/>
      <c r="O21" s="92"/>
      <c r="P21" s="92"/>
      <c r="R21" s="92"/>
    </row>
    <row r="22" spans="1:18" ht="105" customHeight="1">
      <c r="A22" s="17">
        <v>17</v>
      </c>
      <c r="B22" s="155" t="str">
        <f>MRS!B22</f>
        <v>CARBON BRUSH ANGLE GRINDER MACHINE 7" DEWALT 493</v>
      </c>
      <c r="C22" s="156"/>
      <c r="D22" s="157">
        <f>MRS!D22</f>
        <v>0</v>
      </c>
      <c r="E22" s="158"/>
      <c r="F22" s="159"/>
      <c r="G22" s="89" t="str">
        <f>MRS!G22</f>
        <v>PAIR</v>
      </c>
      <c r="H22" s="89">
        <f>MRS!H22</f>
        <v>50</v>
      </c>
      <c r="I22" s="90">
        <f>MRS!I22</f>
        <v>10</v>
      </c>
      <c r="J22" s="90">
        <f>MRS!J22</f>
        <v>500</v>
      </c>
      <c r="K22" s="91"/>
      <c r="O22" s="92"/>
      <c r="P22" s="92"/>
      <c r="R22" s="92"/>
    </row>
    <row r="23" spans="1:18" ht="105" customHeight="1">
      <c r="A23" s="17">
        <v>18</v>
      </c>
      <c r="B23" s="155" t="str">
        <f>MRS!B23</f>
        <v>CARBON BRUSH FOR AIR BLOWER HYUNDAI MODEL HPT002</v>
      </c>
      <c r="C23" s="156"/>
      <c r="D23" s="157">
        <f>MRS!D23</f>
        <v>0</v>
      </c>
      <c r="E23" s="158"/>
      <c r="F23" s="159"/>
      <c r="G23" s="89" t="str">
        <f>MRS!G23</f>
        <v>PAIR</v>
      </c>
      <c r="H23" s="89">
        <f>MRS!H23</f>
        <v>50</v>
      </c>
      <c r="I23" s="90">
        <f>MRS!I23</f>
        <v>10</v>
      </c>
      <c r="J23" s="90">
        <f>MRS!J23</f>
        <v>500</v>
      </c>
      <c r="K23" s="91"/>
      <c r="O23" s="92"/>
      <c r="P23" s="92"/>
      <c r="R23" s="92"/>
    </row>
    <row r="24" spans="1:18" ht="105" customHeight="1">
      <c r="A24" s="17">
        <v>19</v>
      </c>
      <c r="B24" s="155" t="str">
        <f>MRS!B24</f>
        <v>CARBON BRUSH DIE GRINDER MACHINE MAKITA GD0600</v>
      </c>
      <c r="C24" s="156"/>
      <c r="D24" s="157">
        <f>MRS!D24</f>
        <v>0</v>
      </c>
      <c r="E24" s="158"/>
      <c r="F24" s="159"/>
      <c r="G24" s="89" t="str">
        <f>MRS!G24</f>
        <v>PAIR</v>
      </c>
      <c r="H24" s="89">
        <f>MRS!H24</f>
        <v>50</v>
      </c>
      <c r="I24" s="90">
        <f>MRS!I24</f>
        <v>10</v>
      </c>
      <c r="J24" s="90">
        <f>MRS!J24</f>
        <v>500</v>
      </c>
      <c r="K24" s="91"/>
      <c r="O24" s="92"/>
      <c r="P24" s="92"/>
      <c r="R24" s="92"/>
    </row>
    <row r="25" spans="1:18" ht="105" customHeight="1">
      <c r="A25" s="17">
        <v>20</v>
      </c>
      <c r="B25" s="155" t="str">
        <f>MRS!B25</f>
        <v>RCCB 25A 2P 10mA</v>
      </c>
      <c r="C25" s="156"/>
      <c r="D25" s="157">
        <f>MRS!D25</f>
        <v>0</v>
      </c>
      <c r="E25" s="158"/>
      <c r="F25" s="159"/>
      <c r="G25" s="89" t="str">
        <f>MRS!G25</f>
        <v>EA</v>
      </c>
      <c r="H25" s="89">
        <f>MRS!H25</f>
        <v>30</v>
      </c>
      <c r="I25" s="90">
        <f>MRS!I25</f>
        <v>110</v>
      </c>
      <c r="J25" s="90">
        <f>MRS!J25</f>
        <v>3300</v>
      </c>
      <c r="K25" s="91"/>
      <c r="O25" s="92"/>
      <c r="P25" s="92"/>
      <c r="R25" s="92"/>
    </row>
    <row r="26" spans="1:18" ht="105" customHeight="1">
      <c r="A26" s="17">
        <v>21</v>
      </c>
      <c r="B26" s="155" t="str">
        <f>MRS!B26</f>
        <v>GROUNDING/EARTH ROD 5/8" x 0.6M</v>
      </c>
      <c r="C26" s="156"/>
      <c r="D26" s="157">
        <f>MRS!D26</f>
        <v>0</v>
      </c>
      <c r="E26" s="158"/>
      <c r="F26" s="159"/>
      <c r="G26" s="89" t="str">
        <f>MRS!G26</f>
        <v>EA</v>
      </c>
      <c r="H26" s="89">
        <f>MRS!H26</f>
        <v>10</v>
      </c>
      <c r="I26" s="90">
        <f>MRS!I26</f>
        <v>14</v>
      </c>
      <c r="J26" s="90">
        <f>MRS!J26</f>
        <v>140</v>
      </c>
      <c r="K26" s="91"/>
      <c r="O26" s="92"/>
      <c r="P26" s="92"/>
      <c r="R26" s="92"/>
    </row>
    <row r="27" spans="1:18" ht="105" customHeight="1">
      <c r="A27" s="17">
        <v>22</v>
      </c>
      <c r="B27" s="155" t="str">
        <f>MRS!B27</f>
        <v>LED FLOOD LIGHT 400W</v>
      </c>
      <c r="C27" s="156"/>
      <c r="D27" s="157">
        <f>MRS!D27</f>
        <v>0</v>
      </c>
      <c r="E27" s="158"/>
      <c r="F27" s="159"/>
      <c r="G27" s="89" t="str">
        <f>MRS!G27</f>
        <v>EA</v>
      </c>
      <c r="H27" s="89">
        <f>MRS!H27</f>
        <v>10</v>
      </c>
      <c r="I27" s="90">
        <f>MRS!I27</f>
        <v>80</v>
      </c>
      <c r="J27" s="90">
        <f>MRS!J27</f>
        <v>800</v>
      </c>
      <c r="K27" s="91"/>
      <c r="O27" s="92"/>
      <c r="P27" s="92"/>
      <c r="R27" s="92"/>
    </row>
    <row r="28" spans="1:18" ht="105" customHeight="1">
      <c r="A28" s="17">
        <v>23</v>
      </c>
      <c r="B28" s="155" t="str">
        <f>MRS!B28</f>
        <v>30W/220V LED PANEL LIGHT 11"/280MM SURFACE</v>
      </c>
      <c r="C28" s="156"/>
      <c r="D28" s="157">
        <f>MRS!D28</f>
        <v>0</v>
      </c>
      <c r="E28" s="158"/>
      <c r="F28" s="159"/>
      <c r="G28" s="89" t="str">
        <f>MRS!G28</f>
        <v>EA</v>
      </c>
      <c r="H28" s="89">
        <f>MRS!H28</f>
        <v>5</v>
      </c>
      <c r="I28" s="90">
        <f>MRS!I28</f>
        <v>14</v>
      </c>
      <c r="J28" s="90">
        <f>MRS!J28</f>
        <v>70</v>
      </c>
      <c r="K28" s="91"/>
      <c r="O28" s="92"/>
      <c r="P28" s="92"/>
      <c r="R28" s="92"/>
    </row>
    <row r="29" spans="1:18" ht="105" customHeight="1">
      <c r="A29" s="17">
        <v>24</v>
      </c>
      <c r="B29" s="155" t="str">
        <f>MRS!B29</f>
        <v>CABLE LUG 25MM² X M6</v>
      </c>
      <c r="C29" s="156"/>
      <c r="D29" s="157">
        <f>MRS!D29</f>
        <v>0</v>
      </c>
      <c r="E29" s="158"/>
      <c r="F29" s="159"/>
      <c r="G29" s="89" t="str">
        <f>MRS!G29</f>
        <v>EA</v>
      </c>
      <c r="H29" s="89">
        <f>MRS!H29</f>
        <v>200</v>
      </c>
      <c r="I29" s="90">
        <f>MRS!I29</f>
        <v>0.95</v>
      </c>
      <c r="J29" s="90">
        <f>MRS!J29</f>
        <v>190</v>
      </c>
      <c r="K29" s="91"/>
      <c r="O29" s="92"/>
      <c r="P29" s="92"/>
      <c r="R29" s="92"/>
    </row>
    <row r="30" spans="1:18" ht="105" customHeight="1">
      <c r="A30" s="17">
        <v>25</v>
      </c>
      <c r="B30" s="155" t="str">
        <f>MRS!B30</f>
        <v>FLEXIBLE CONDUIT PVC 2" X 25M HD BLACK</v>
      </c>
      <c r="C30" s="156"/>
      <c r="D30" s="157">
        <f>MRS!D30</f>
        <v>0</v>
      </c>
      <c r="E30" s="158"/>
      <c r="F30" s="159"/>
      <c r="G30" s="89" t="str">
        <f>MRS!G30</f>
        <v>ROLL</v>
      </c>
      <c r="H30" s="89">
        <f>MRS!H30</f>
        <v>10</v>
      </c>
      <c r="I30" s="90">
        <f>MRS!I30</f>
        <v>160</v>
      </c>
      <c r="J30" s="90">
        <f>MRS!J30</f>
        <v>1600</v>
      </c>
      <c r="K30" s="91"/>
      <c r="O30" s="92"/>
      <c r="P30" s="92"/>
      <c r="R30" s="92"/>
    </row>
    <row r="31" spans="1:18" ht="105" customHeight="1">
      <c r="A31" s="17">
        <v>26</v>
      </c>
      <c r="B31" s="155" t="str">
        <f>MRS!B31</f>
        <v>16A/220V 3PIN MOBILE PLUG IP66/67</v>
      </c>
      <c r="C31" s="156"/>
      <c r="D31" s="157">
        <f>MRS!D31</f>
        <v>0</v>
      </c>
      <c r="E31" s="158"/>
      <c r="F31" s="159"/>
      <c r="G31" s="89" t="str">
        <f>MRS!G31</f>
        <v>EA</v>
      </c>
      <c r="H31" s="89">
        <f>MRS!H31</f>
        <v>200</v>
      </c>
      <c r="I31" s="90">
        <f>MRS!I31</f>
        <v>20</v>
      </c>
      <c r="J31" s="90">
        <f>MRS!J31</f>
        <v>4000</v>
      </c>
      <c r="K31" s="91"/>
      <c r="O31" s="92"/>
      <c r="P31" s="92"/>
      <c r="R31" s="92"/>
    </row>
    <row r="32" spans="1:18" ht="105" customHeight="1">
      <c r="A32" s="17">
        <v>27</v>
      </c>
      <c r="B32" s="155" t="str">
        <f>MRS!B32</f>
        <v>16A/220V 3PIN MOBILE SOCKET IP66/67</v>
      </c>
      <c r="C32" s="156"/>
      <c r="D32" s="157">
        <f>MRS!D32</f>
        <v>0</v>
      </c>
      <c r="E32" s="158"/>
      <c r="F32" s="159"/>
      <c r="G32" s="89" t="str">
        <f>MRS!G32</f>
        <v>EA</v>
      </c>
      <c r="H32" s="89">
        <f>MRS!H32</f>
        <v>200</v>
      </c>
      <c r="I32" s="90">
        <f>MRS!I32</f>
        <v>32</v>
      </c>
      <c r="J32" s="90">
        <f>MRS!J32</f>
        <v>6400</v>
      </c>
      <c r="K32" s="91"/>
      <c r="O32" s="92"/>
      <c r="P32" s="92"/>
      <c r="R32" s="92"/>
    </row>
    <row r="33" spans="1:18" ht="105" customHeight="1">
      <c r="A33" s="17">
        <v>28</v>
      </c>
      <c r="B33" s="155" t="str">
        <f>MRS!B33</f>
        <v>FLEXIBLE CABLE WHITE 3C X 6MM² 100YARD / ROLL</v>
      </c>
      <c r="C33" s="156"/>
      <c r="D33" s="157">
        <f>MRS!D33</f>
        <v>0</v>
      </c>
      <c r="E33" s="158"/>
      <c r="F33" s="159"/>
      <c r="G33" s="89" t="str">
        <f>MRS!G33</f>
        <v>ROLL</v>
      </c>
      <c r="H33" s="89">
        <f>MRS!H33</f>
        <v>30</v>
      </c>
      <c r="I33" s="90">
        <f>MRS!I33</f>
        <v>595</v>
      </c>
      <c r="J33" s="90">
        <f>MRS!J33</f>
        <v>17850</v>
      </c>
      <c r="K33" s="91"/>
      <c r="O33" s="92"/>
      <c r="P33" s="92"/>
      <c r="R33" s="92"/>
    </row>
    <row r="34" spans="1:18" ht="105" customHeight="1">
      <c r="A34" s="17">
        <v>29</v>
      </c>
      <c r="B34" s="155" t="str">
        <f>MRS!B34</f>
        <v>HAND LAMP EXPLOSION PROOF 220V/110V/24V</v>
      </c>
      <c r="C34" s="156"/>
      <c r="D34" s="157">
        <f>MRS!D34</f>
        <v>0</v>
      </c>
      <c r="E34" s="158"/>
      <c r="F34" s="159"/>
      <c r="G34" s="89" t="str">
        <f>MRS!G34</f>
        <v>EA</v>
      </c>
      <c r="H34" s="89">
        <f>MRS!H34</f>
        <v>2</v>
      </c>
      <c r="I34" s="90">
        <f>MRS!I34</f>
        <v>414</v>
      </c>
      <c r="J34" s="90">
        <f>MRS!J34</f>
        <v>828</v>
      </c>
      <c r="K34" s="91"/>
      <c r="O34" s="92"/>
      <c r="P34" s="92"/>
      <c r="R34" s="92"/>
    </row>
    <row r="35" spans="1:18" ht="105" customHeight="1">
      <c r="A35" s="17">
        <v>30</v>
      </c>
      <c r="B35" s="155" t="str">
        <f>MRS!B35</f>
        <v>METAL ENCLOSURE 250 X 200 X 150 IP65</v>
      </c>
      <c r="C35" s="156"/>
      <c r="D35" s="157">
        <f>MRS!D35</f>
        <v>0</v>
      </c>
      <c r="E35" s="158"/>
      <c r="F35" s="159"/>
      <c r="G35" s="89" t="str">
        <f>MRS!G35</f>
        <v>EA</v>
      </c>
      <c r="H35" s="89">
        <f>MRS!H35</f>
        <v>2</v>
      </c>
      <c r="I35" s="90">
        <f>MRS!I35</f>
        <v>62</v>
      </c>
      <c r="J35" s="90">
        <f>MRS!J35</f>
        <v>124</v>
      </c>
      <c r="K35" s="91"/>
      <c r="O35" s="92"/>
      <c r="P35" s="92"/>
      <c r="R35" s="92"/>
    </row>
    <row r="36" spans="1:18" ht="105" customHeight="1">
      <c r="A36" s="17">
        <v>31</v>
      </c>
      <c r="B36" s="155" t="str">
        <f>MRS!B36</f>
        <v>CURRENT TRANSFORMER 50VA 1PH 230/380V~12-24V</v>
      </c>
      <c r="C36" s="156"/>
      <c r="D36" s="157">
        <f>MRS!D36</f>
        <v>0</v>
      </c>
      <c r="E36" s="158"/>
      <c r="F36" s="159"/>
      <c r="G36" s="89" t="str">
        <f>MRS!G36</f>
        <v>EA</v>
      </c>
      <c r="H36" s="89">
        <f>MRS!H36</f>
        <v>1</v>
      </c>
      <c r="I36" s="90">
        <f>MRS!I36</f>
        <v>94</v>
      </c>
      <c r="J36" s="90">
        <f>MRS!J36</f>
        <v>94</v>
      </c>
      <c r="K36" s="91"/>
      <c r="O36" s="92"/>
      <c r="P36" s="92"/>
      <c r="R36" s="92"/>
    </row>
    <row r="37" spans="1:18" ht="105" customHeight="1">
      <c r="A37" s="17">
        <v>32</v>
      </c>
      <c r="B37" s="155" t="str">
        <f>MRS!B37</f>
        <v>16A/24V 3PIN PANEL MOUNT SOCKET IP66/67</v>
      </c>
      <c r="C37" s="156"/>
      <c r="D37" s="157">
        <f>MRS!D37</f>
        <v>0</v>
      </c>
      <c r="E37" s="158"/>
      <c r="F37" s="159"/>
      <c r="G37" s="89" t="str">
        <f>MRS!G37</f>
        <v>EA</v>
      </c>
      <c r="H37" s="89">
        <f>MRS!H37</f>
        <v>2</v>
      </c>
      <c r="I37" s="90">
        <f>MRS!I37</f>
        <v>96.5</v>
      </c>
      <c r="J37" s="90">
        <f>MRS!J37</f>
        <v>193</v>
      </c>
      <c r="K37" s="91"/>
      <c r="O37" s="92"/>
      <c r="P37" s="92"/>
      <c r="R37" s="92"/>
    </row>
    <row r="38" spans="1:18" ht="105" customHeight="1">
      <c r="A38" s="17">
        <v>33</v>
      </c>
      <c r="B38" s="155" t="str">
        <f>MRS!B38</f>
        <v>32A PLUG UK TYPE</v>
      </c>
      <c r="C38" s="156"/>
      <c r="D38" s="157">
        <f>MRS!D38</f>
        <v>0</v>
      </c>
      <c r="E38" s="158"/>
      <c r="F38" s="159"/>
      <c r="G38" s="89" t="str">
        <f>MRS!G38</f>
        <v>EA</v>
      </c>
      <c r="H38" s="89">
        <f>MRS!H38</f>
        <v>12</v>
      </c>
      <c r="I38" s="90">
        <f>MRS!I38</f>
        <v>6</v>
      </c>
      <c r="J38" s="90">
        <f>MRS!J38</f>
        <v>72</v>
      </c>
      <c r="K38" s="91"/>
      <c r="O38" s="92"/>
      <c r="P38" s="92"/>
      <c r="R38" s="92"/>
    </row>
    <row r="39" spans="1:18" ht="105" customHeight="1">
      <c r="A39" s="17">
        <v>34</v>
      </c>
      <c r="B39" s="155" t="str">
        <f>MRS!B39</f>
        <v>16A/24V 3PIN MOBILE PLUG IP44/54</v>
      </c>
      <c r="C39" s="156"/>
      <c r="D39" s="157">
        <f>MRS!D39</f>
        <v>0</v>
      </c>
      <c r="E39" s="158"/>
      <c r="F39" s="159"/>
      <c r="G39" s="89" t="str">
        <f>MRS!G39</f>
        <v>EA</v>
      </c>
      <c r="H39" s="89">
        <f>MRS!H39</f>
        <v>4</v>
      </c>
      <c r="I39" s="90">
        <f>MRS!I39</f>
        <v>28</v>
      </c>
      <c r="J39" s="90">
        <f>MRS!J39</f>
        <v>112</v>
      </c>
      <c r="K39" s="91"/>
      <c r="O39" s="92"/>
      <c r="P39" s="92"/>
      <c r="R39" s="92"/>
    </row>
    <row r="40" spans="1:18" ht="105" customHeight="1">
      <c r="A40" s="17">
        <v>35</v>
      </c>
      <c r="B40" s="155" t="str">
        <f>MRS!B40</f>
        <v>16A/24V 3PIN MOBILE SOCKET IP44/54</v>
      </c>
      <c r="C40" s="156"/>
      <c r="D40" s="157">
        <f>MRS!D40</f>
        <v>0</v>
      </c>
      <c r="E40" s="158"/>
      <c r="F40" s="159"/>
      <c r="G40" s="89" t="str">
        <f>MRS!G40</f>
        <v>EA</v>
      </c>
      <c r="H40" s="89">
        <f>MRS!H40</f>
        <v>4</v>
      </c>
      <c r="I40" s="90">
        <f>MRS!I40</f>
        <v>40</v>
      </c>
      <c r="J40" s="90">
        <f>MRS!J40</f>
        <v>160</v>
      </c>
      <c r="K40" s="91"/>
      <c r="O40" s="92"/>
      <c r="P40" s="92"/>
      <c r="R40" s="92"/>
    </row>
    <row r="41" spans="1:18" ht="105" customHeight="1">
      <c r="A41" s="17">
        <v>36</v>
      </c>
      <c r="B41" s="155" t="str">
        <f>MRS!B41</f>
        <v>9W/24V LED BULB E27 DAYLIGHT</v>
      </c>
      <c r="C41" s="156"/>
      <c r="D41" s="157">
        <f>MRS!D41</f>
        <v>0</v>
      </c>
      <c r="E41" s="158"/>
      <c r="F41" s="159"/>
      <c r="G41" s="89" t="str">
        <f>MRS!G41</f>
        <v>EA</v>
      </c>
      <c r="H41" s="89">
        <f>MRS!H41</f>
        <v>2</v>
      </c>
      <c r="I41" s="90">
        <f>MRS!I41</f>
        <v>18</v>
      </c>
      <c r="J41" s="90">
        <f>MRS!J41</f>
        <v>36</v>
      </c>
      <c r="K41" s="91"/>
      <c r="O41" s="92"/>
      <c r="P41" s="92"/>
      <c r="R41" s="92"/>
    </row>
    <row r="42" spans="1:18" ht="105" customHeight="1">
      <c r="A42" s="17">
        <v>37</v>
      </c>
      <c r="B42" s="155" t="str">
        <f>MRS!B42</f>
        <v>9W/24V LED BULB E27 DAYLIGHT</v>
      </c>
      <c r="C42" s="156"/>
      <c r="D42" s="157">
        <f>MRS!D42</f>
        <v>0</v>
      </c>
      <c r="E42" s="158"/>
      <c r="F42" s="159"/>
      <c r="G42" s="89" t="str">
        <f>MRS!G42</f>
        <v>EA</v>
      </c>
      <c r="H42" s="89">
        <f>MRS!H42</f>
        <v>2</v>
      </c>
      <c r="I42" s="90">
        <f>MRS!I42</f>
        <v>18</v>
      </c>
      <c r="J42" s="90">
        <f>MRS!J42</f>
        <v>36</v>
      </c>
      <c r="K42" s="91"/>
      <c r="O42" s="92"/>
      <c r="P42" s="92"/>
      <c r="R42" s="92"/>
    </row>
    <row r="43" spans="1:18" ht="21" customHeight="1">
      <c r="A43" s="17"/>
    </row>
    <row r="44" spans="1:18" ht="21" customHeight="1">
      <c r="A44" s="17"/>
    </row>
    <row r="45" spans="1:18" ht="21" customHeight="1">
      <c r="A45" s="17"/>
    </row>
    <row r="46" spans="1:18" ht="21" customHeight="1">
      <c r="A46" s="17"/>
    </row>
    <row r="47" spans="1:18" ht="21" customHeight="1">
      <c r="A47" s="17"/>
    </row>
    <row r="48" spans="1:18" ht="21" customHeight="1">
      <c r="A48" s="17"/>
    </row>
    <row r="49" spans="1:1" ht="21" customHeight="1">
      <c r="A49" s="17"/>
    </row>
    <row r="50" spans="1:1" ht="21" customHeight="1">
      <c r="A50" s="17"/>
    </row>
    <row r="51" spans="1:1" ht="21" customHeight="1">
      <c r="A51" s="17"/>
    </row>
    <row r="52" spans="1:1" ht="21" customHeight="1">
      <c r="A52" s="17"/>
    </row>
    <row r="53" spans="1:1" ht="21" customHeight="1">
      <c r="A53" s="17"/>
    </row>
    <row r="54" spans="1:1" ht="21" customHeight="1">
      <c r="A54" s="17"/>
    </row>
    <row r="55" spans="1:1" ht="21" customHeight="1">
      <c r="A55" s="17"/>
    </row>
    <row r="56" spans="1:1" ht="21" customHeight="1">
      <c r="A56" s="17"/>
    </row>
    <row r="57" spans="1:1" ht="21" customHeight="1">
      <c r="A57" s="17"/>
    </row>
  </sheetData>
  <mergeCells count="84">
    <mergeCell ref="B31:C31"/>
    <mergeCell ref="D31:F31"/>
    <mergeCell ref="B32:C32"/>
    <mergeCell ref="D32:F32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B23:C23"/>
    <mergeCell ref="D22:F22"/>
    <mergeCell ref="D23:F23"/>
    <mergeCell ref="B24:C24"/>
    <mergeCell ref="D24:F24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33:C33"/>
    <mergeCell ref="D33:F33"/>
    <mergeCell ref="B34:C34"/>
    <mergeCell ref="D34:F34"/>
    <mergeCell ref="B35:C35"/>
    <mergeCell ref="D35:F35"/>
    <mergeCell ref="B36:C36"/>
    <mergeCell ref="D36:F36"/>
    <mergeCell ref="B37:C37"/>
    <mergeCell ref="D37:F37"/>
    <mergeCell ref="B38:C38"/>
    <mergeCell ref="D38:F38"/>
    <mergeCell ref="B42:C42"/>
    <mergeCell ref="D42:F42"/>
    <mergeCell ref="B39:C39"/>
    <mergeCell ref="D39:F39"/>
    <mergeCell ref="B40:C40"/>
    <mergeCell ref="D40:F40"/>
    <mergeCell ref="B41:C41"/>
    <mergeCell ref="D41:F4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7" zoomScale="130" zoomScaleNormal="100" zoomScaleSheetLayoutView="130" workbookViewId="0">
      <selection activeCell="F26" sqref="F2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90</v>
      </c>
    </row>
    <row r="3" spans="2:13" s="18" customFormat="1">
      <c r="M3" s="20" t="s">
        <v>16</v>
      </c>
    </row>
    <row r="4" spans="2:13" s="18" customFormat="1">
      <c r="M4" s="20" t="s">
        <v>17</v>
      </c>
    </row>
    <row r="5" spans="2:13" s="18" customFormat="1">
      <c r="B5" s="21" t="s">
        <v>18</v>
      </c>
      <c r="M5" s="20" t="s">
        <v>19</v>
      </c>
    </row>
    <row r="6" spans="2:13" s="18" customFormat="1">
      <c r="M6" s="20" t="s">
        <v>20</v>
      </c>
    </row>
    <row r="7" spans="2:13">
      <c r="M7" s="23"/>
    </row>
    <row r="8" spans="2:13">
      <c r="M8" s="23"/>
    </row>
    <row r="9" spans="2:13" s="67" customFormat="1" ht="13.5">
      <c r="B9" s="65" t="s">
        <v>21</v>
      </c>
      <c r="C9" s="66" t="s">
        <v>106</v>
      </c>
      <c r="D9" s="34"/>
      <c r="E9" s="34"/>
    </row>
    <row r="10" spans="2:13" s="34" customFormat="1">
      <c r="B10" s="65"/>
      <c r="C10" s="34" t="s">
        <v>22</v>
      </c>
      <c r="D10" s="69" t="s">
        <v>104</v>
      </c>
      <c r="J10" s="34" t="s">
        <v>23</v>
      </c>
      <c r="K10" s="163">
        <f>MRS!L3</f>
        <v>46317</v>
      </c>
      <c r="L10" s="164"/>
      <c r="M10" s="164"/>
    </row>
    <row r="11" spans="2:13" s="34" customFormat="1">
      <c r="B11" s="65"/>
      <c r="C11" s="68" t="s">
        <v>24</v>
      </c>
      <c r="D11" s="69" t="s">
        <v>105</v>
      </c>
      <c r="J11" s="34" t="s">
        <v>25</v>
      </c>
      <c r="K11" s="165" t="str">
        <f>SUBSTITUTE(SUBSTITUTE(+MRS!A3,"  MRS No : ",""),"-MRS","-PO")</f>
        <v>SAC2-DS-PO-0508</v>
      </c>
      <c r="L11" s="165"/>
      <c r="M11" s="165"/>
    </row>
    <row r="12" spans="2:13" s="34" customFormat="1">
      <c r="B12" s="65"/>
      <c r="C12" s="68" t="s">
        <v>26</v>
      </c>
      <c r="D12" s="34" t="s">
        <v>107</v>
      </c>
      <c r="J12" s="34" t="s">
        <v>27</v>
      </c>
    </row>
    <row r="13" spans="2:13" s="34" customFormat="1">
      <c r="B13" s="65"/>
      <c r="C13" s="70"/>
      <c r="D13" s="69" t="s">
        <v>108</v>
      </c>
      <c r="J13" s="34" t="s">
        <v>28</v>
      </c>
    </row>
    <row r="14" spans="2:13" s="34" customFormat="1">
      <c r="B14" s="65"/>
      <c r="C14" s="98" t="s">
        <v>109</v>
      </c>
      <c r="J14" s="34" t="s">
        <v>29</v>
      </c>
      <c r="K14" s="34">
        <v>102260</v>
      </c>
    </row>
    <row r="15" spans="2:13" s="34" customFormat="1">
      <c r="B15" s="65"/>
      <c r="C15" s="68" t="s">
        <v>110</v>
      </c>
      <c r="J15" s="34" t="s">
        <v>30</v>
      </c>
      <c r="K15" s="71">
        <v>46287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66" t="s">
        <v>31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27" customFormat="1" ht="12" customHeight="1">
      <c r="B20" s="167" t="s">
        <v>32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</row>
    <row r="21" spans="2:13" s="27" customFormat="1" ht="12" customHeight="1">
      <c r="B21" s="167" t="s">
        <v>33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2:13" s="27" customFormat="1" ht="12" customHeight="1">
      <c r="B22" s="167" t="s">
        <v>34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</row>
    <row r="23" spans="2:13" ht="3.75" customHeight="1"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2:13" ht="6.95" customHeight="1"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</row>
    <row r="25" spans="2:13" s="28" customFormat="1" ht="15" customHeight="1">
      <c r="B25" s="28">
        <v>1</v>
      </c>
      <c r="C25" s="28" t="s">
        <v>35</v>
      </c>
    </row>
    <row r="26" spans="2:13" s="34" customFormat="1" ht="15" customHeight="1">
      <c r="B26" s="66"/>
      <c r="C26" s="69" t="s">
        <v>166</v>
      </c>
      <c r="M26" s="72" t="s">
        <v>36</v>
      </c>
    </row>
    <row r="27" spans="2:13" ht="11.1" customHeight="1">
      <c r="B27" s="28"/>
    </row>
    <row r="28" spans="2:13" ht="15" customHeight="1">
      <c r="B28" s="28">
        <v>2</v>
      </c>
      <c r="C28" s="28" t="s">
        <v>37</v>
      </c>
    </row>
    <row r="29" spans="2:13" ht="15" customHeight="1">
      <c r="B29" s="28"/>
      <c r="C29" s="22" t="s">
        <v>38</v>
      </c>
      <c r="E29" s="22" t="s">
        <v>39</v>
      </c>
      <c r="F29" s="99">
        <f>'PO 2nd page'!G43</f>
        <v>71297.5</v>
      </c>
      <c r="G29" s="96"/>
      <c r="H29" s="96"/>
      <c r="M29" s="29"/>
    </row>
    <row r="30" spans="2:13" ht="15" customHeight="1">
      <c r="B30" s="28"/>
      <c r="C30" s="22" t="s">
        <v>40</v>
      </c>
      <c r="E30" s="22" t="s">
        <v>39</v>
      </c>
      <c r="F30" s="99">
        <f>'PO 2nd page'!G44</f>
        <v>10694.625</v>
      </c>
      <c r="G30" s="96"/>
      <c r="H30" s="96"/>
    </row>
    <row r="31" spans="2:13" ht="15" customHeight="1">
      <c r="B31" s="28"/>
      <c r="C31" s="22" t="s">
        <v>41</v>
      </c>
      <c r="D31" s="30"/>
      <c r="E31" s="22" t="s">
        <v>39</v>
      </c>
      <c r="F31" s="99">
        <f>'PO 2nd page'!G45</f>
        <v>81992.125</v>
      </c>
      <c r="G31" s="96"/>
      <c r="H31" s="96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1" t="s">
        <v>49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50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51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52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53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4" customFormat="1" ht="12" customHeight="1">
      <c r="B49" s="73" t="s">
        <v>55</v>
      </c>
      <c r="C49" s="74" t="s">
        <v>86</v>
      </c>
      <c r="P49" s="75"/>
    </row>
    <row r="50" spans="2:16" s="76" customFormat="1" ht="12" customHeight="1">
      <c r="B50" s="77" t="s">
        <v>55</v>
      </c>
      <c r="C50" s="74" t="s">
        <v>81</v>
      </c>
    </row>
    <row r="51" spans="2:16" s="76" customFormat="1" ht="12" customHeight="1">
      <c r="B51" s="77" t="s">
        <v>55</v>
      </c>
      <c r="C51" s="74" t="s">
        <v>80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91</v>
      </c>
    </row>
    <row r="54" spans="2:16" ht="12" customHeight="1">
      <c r="B54" s="77" t="s">
        <v>55</v>
      </c>
      <c r="C54" s="100" t="s">
        <v>95</v>
      </c>
      <c r="F54" s="22" t="s">
        <v>128</v>
      </c>
      <c r="P54" s="22" t="str">
        <f>UPPER(F54)</f>
        <v>OSAZ ELECTRICALS</v>
      </c>
    </row>
    <row r="55" spans="2:16" ht="12" customHeight="1">
      <c r="B55" s="77" t="s">
        <v>55</v>
      </c>
      <c r="C55" s="100" t="s">
        <v>96</v>
      </c>
      <c r="F55" s="101" t="s">
        <v>111</v>
      </c>
    </row>
    <row r="56" spans="2:16" ht="12" customHeight="1">
      <c r="B56" s="77" t="s">
        <v>55</v>
      </c>
      <c r="C56" s="100" t="s">
        <v>97</v>
      </c>
      <c r="F56" s="22" t="s">
        <v>112</v>
      </c>
    </row>
    <row r="57" spans="2:16" ht="12" customHeight="1">
      <c r="B57" s="77" t="s">
        <v>55</v>
      </c>
      <c r="C57" s="100" t="s">
        <v>98</v>
      </c>
      <c r="F57" s="22" t="s">
        <v>92</v>
      </c>
    </row>
    <row r="58" spans="2:16" ht="12" customHeight="1">
      <c r="B58" s="77" t="s">
        <v>55</v>
      </c>
      <c r="C58" s="100" t="s">
        <v>99</v>
      </c>
      <c r="F58" s="22" t="s">
        <v>93</v>
      </c>
    </row>
    <row r="59" spans="2:16" ht="12" customHeight="1">
      <c r="B59" s="77" t="s">
        <v>55</v>
      </c>
      <c r="C59" s="100" t="s">
        <v>100</v>
      </c>
      <c r="F59" s="22" t="s">
        <v>94</v>
      </c>
    </row>
    <row r="60" spans="2:16" ht="12" customHeight="1">
      <c r="B60" s="77"/>
      <c r="C60" s="100" t="s">
        <v>101</v>
      </c>
    </row>
    <row r="61" spans="2:16" ht="6.75" customHeight="1">
      <c r="B61" s="77"/>
      <c r="C61" s="100"/>
    </row>
    <row r="62" spans="2:16" ht="6" customHeight="1"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2:16" ht="11.1" customHeight="1">
      <c r="B63" s="37"/>
    </row>
    <row r="64" spans="2:16">
      <c r="B64" s="28" t="s">
        <v>56</v>
      </c>
      <c r="J64" s="28" t="s">
        <v>57</v>
      </c>
    </row>
    <row r="65" spans="1:13" ht="41.25" customHeight="1"/>
    <row r="66" spans="1:13" ht="13.5" customHeight="1">
      <c r="B66" s="22" t="s">
        <v>58</v>
      </c>
      <c r="J66" s="22" t="s">
        <v>58</v>
      </c>
    </row>
    <row r="67" spans="1:13" ht="13.5" customHeight="1">
      <c r="B67" s="22" t="s">
        <v>59</v>
      </c>
      <c r="J67" s="22" t="s">
        <v>60</v>
      </c>
      <c r="K67" s="18" t="str">
        <f>D12</f>
        <v>Akhil</v>
      </c>
    </row>
    <row r="68" spans="1:13" ht="13.5" customHeight="1">
      <c r="B68" s="22" t="s">
        <v>61</v>
      </c>
      <c r="J68" s="22" t="s">
        <v>62</v>
      </c>
      <c r="K68" s="18" t="s">
        <v>87</v>
      </c>
    </row>
    <row r="69" spans="1:13" ht="13.5" customHeight="1">
      <c r="B69" s="22" t="s">
        <v>63</v>
      </c>
      <c r="J69" s="22" t="s">
        <v>64</v>
      </c>
    </row>
    <row r="70" spans="1:13" s="24" customFormat="1" ht="24.75" customHeight="1">
      <c r="B70" s="21" t="s">
        <v>89</v>
      </c>
      <c r="J70" s="170" t="str">
        <f>C9</f>
        <v>OSAZ(Omar Saleh Abdullah Al-Zahrani Electricals)</v>
      </c>
      <c r="K70" s="170"/>
      <c r="L70" s="170"/>
      <c r="M70" s="170"/>
    </row>
    <row r="71" spans="1:13" ht="27.95" customHeight="1">
      <c r="A71" s="162" t="s">
        <v>65</v>
      </c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53"/>
  <sheetViews>
    <sheetView showGridLines="0" tabSelected="1" view="pageBreakPreview" zoomScaleSheetLayoutView="100" zoomScalePageLayoutView="55" workbookViewId="0">
      <selection activeCell="E4" sqref="E4:E5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66</v>
      </c>
      <c r="B2" s="40" t="str">
        <f>+'PO 1st page'!K11</f>
        <v>SAC2-DS-PO-0508</v>
      </c>
      <c r="C2" s="177" t="s">
        <v>67</v>
      </c>
      <c r="D2" s="177"/>
      <c r="E2" s="177"/>
      <c r="F2" s="177"/>
      <c r="G2" s="41"/>
      <c r="H2" s="41"/>
    </row>
    <row r="3" spans="1:13" s="47" customFormat="1" ht="28.5" customHeight="1" thickBot="1">
      <c r="A3" s="42" t="s">
        <v>68</v>
      </c>
      <c r="B3" s="43">
        <f>+'PO 1st page'!K10</f>
        <v>46317</v>
      </c>
      <c r="C3" s="44"/>
      <c r="D3" s="45"/>
      <c r="E3" s="178" t="s">
        <v>69</v>
      </c>
      <c r="F3" s="178"/>
      <c r="G3" s="178"/>
      <c r="H3" s="178"/>
      <c r="I3" s="46"/>
    </row>
    <row r="4" spans="1:13" s="48" customFormat="1" ht="28.5" customHeight="1" thickTop="1">
      <c r="A4" s="179" t="s">
        <v>70</v>
      </c>
      <c r="B4" s="181" t="s">
        <v>71</v>
      </c>
      <c r="C4" s="182"/>
      <c r="D4" s="185" t="s">
        <v>167</v>
      </c>
      <c r="E4" s="185" t="s">
        <v>168</v>
      </c>
      <c r="F4" s="187" t="str">
        <f>'PO 1st page'!C9</f>
        <v>OSAZ(Omar Saleh Abdullah Al-Zahrani Electricals)</v>
      </c>
      <c r="G4" s="188"/>
      <c r="H4" s="189" t="s">
        <v>72</v>
      </c>
      <c r="K4" s="49"/>
      <c r="L4" s="49"/>
      <c r="M4" s="49"/>
    </row>
    <row r="5" spans="1:13" s="48" customFormat="1" ht="21.95" customHeight="1">
      <c r="A5" s="180"/>
      <c r="B5" s="183"/>
      <c r="C5" s="184"/>
      <c r="D5" s="186"/>
      <c r="E5" s="186"/>
      <c r="F5" s="50" t="s">
        <v>73</v>
      </c>
      <c r="G5" s="50" t="s">
        <v>41</v>
      </c>
      <c r="H5" s="190"/>
      <c r="K5" s="49"/>
      <c r="L5" s="49"/>
      <c r="M5" s="49"/>
    </row>
    <row r="6" spans="1:13" s="48" customFormat="1" ht="32.1" customHeight="1">
      <c r="A6" s="78">
        <f t="shared" ref="A6:A42" si="0">ROW(A1)</f>
        <v>1</v>
      </c>
      <c r="B6" s="171" t="str">
        <f>MRS!B6&amp;" "&amp;MRS!D6</f>
        <v xml:space="preserve">FLEXIBLE CABLE WHITE 3C X 4MM² 100YARD / ROLL </v>
      </c>
      <c r="C6" s="172"/>
      <c r="D6" s="79" t="str">
        <f>MRS!G6</f>
        <v>ROLL</v>
      </c>
      <c r="E6" s="80">
        <f>MRS!H6</f>
        <v>20</v>
      </c>
      <c r="F6" s="81">
        <f>+'MRS LIST'!I6</f>
        <v>440</v>
      </c>
      <c r="G6" s="82">
        <f>+'MRS LIST'!J6</f>
        <v>8800</v>
      </c>
      <c r="H6" s="83" t="s">
        <v>88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71" t="str">
        <f>MRS!B7&amp;" "&amp;MRS!D7</f>
        <v xml:space="preserve">FLEXIBLE CONDUIT PVC 3/4" X 100M HD BLACK </v>
      </c>
      <c r="C7" s="172"/>
      <c r="D7" s="79" t="str">
        <f>MRS!G7</f>
        <v>ROLL</v>
      </c>
      <c r="E7" s="80">
        <f>MRS!H7</f>
        <v>10</v>
      </c>
      <c r="F7" s="81">
        <f>+'MRS LIST'!I7</f>
        <v>160</v>
      </c>
      <c r="G7" s="82">
        <f>+'MRS LIST'!J7</f>
        <v>1600</v>
      </c>
      <c r="H7" s="83"/>
      <c r="K7" s="84"/>
      <c r="L7" s="85"/>
      <c r="M7" s="49"/>
    </row>
    <row r="8" spans="1:13" s="48" customFormat="1" ht="32.1" customHeight="1">
      <c r="A8" s="78">
        <f t="shared" si="0"/>
        <v>3</v>
      </c>
      <c r="B8" s="171" t="str">
        <f>MRS!B8&amp;" "&amp;MRS!D8</f>
        <v xml:space="preserve">32A/220V 3PIN PANEL MOUNT SOCKET IP67 </v>
      </c>
      <c r="C8" s="172"/>
      <c r="D8" s="79" t="str">
        <f>MRS!G8</f>
        <v>EA</v>
      </c>
      <c r="E8" s="80">
        <f>MRS!H8</f>
        <v>20</v>
      </c>
      <c r="F8" s="81">
        <f>+'MRS LIST'!I8</f>
        <v>34.5</v>
      </c>
      <c r="G8" s="82">
        <f>+'MRS LIST'!J8</f>
        <v>690</v>
      </c>
      <c r="H8" s="83"/>
      <c r="K8" s="84"/>
      <c r="L8" s="85"/>
      <c r="M8" s="49"/>
    </row>
    <row r="9" spans="1:13" s="48" customFormat="1" ht="32.1" customHeight="1">
      <c r="A9" s="78">
        <f t="shared" si="0"/>
        <v>4</v>
      </c>
      <c r="B9" s="171" t="str">
        <f>MRS!B9&amp;" "&amp;MRS!D9</f>
        <v xml:space="preserve">16A/220V 3PIN MOBILE PLUG IP66/67 </v>
      </c>
      <c r="C9" s="172"/>
      <c r="D9" s="79" t="str">
        <f>MRS!G9</f>
        <v>EA</v>
      </c>
      <c r="E9" s="80">
        <f>MRS!H9</f>
        <v>200</v>
      </c>
      <c r="F9" s="81">
        <f>+'MRS LIST'!I9</f>
        <v>20</v>
      </c>
      <c r="G9" s="82">
        <f>+'MRS LIST'!J9</f>
        <v>4000</v>
      </c>
      <c r="H9" s="83"/>
      <c r="K9" s="84"/>
      <c r="L9" s="85"/>
      <c r="M9" s="49"/>
    </row>
    <row r="10" spans="1:13" s="48" customFormat="1" ht="32.1" customHeight="1">
      <c r="A10" s="78">
        <f t="shared" si="0"/>
        <v>5</v>
      </c>
      <c r="B10" s="171" t="str">
        <f>MRS!B10&amp;" "&amp;MRS!D10</f>
        <v xml:space="preserve">16A/220V 3PIN MOBILE SOCKET IP66/67 </v>
      </c>
      <c r="C10" s="172"/>
      <c r="D10" s="79" t="str">
        <f>MRS!G10</f>
        <v>EA</v>
      </c>
      <c r="E10" s="80">
        <f>MRS!H10</f>
        <v>200</v>
      </c>
      <c r="F10" s="81">
        <f>+'MRS LIST'!I10</f>
        <v>32</v>
      </c>
      <c r="G10" s="82">
        <f>+'MRS LIST'!J10</f>
        <v>6400</v>
      </c>
      <c r="H10" s="83"/>
      <c r="K10" s="84"/>
      <c r="L10" s="85"/>
      <c r="M10" s="49"/>
    </row>
    <row r="11" spans="1:13" s="48" customFormat="1" ht="32.1" customHeight="1">
      <c r="A11" s="78">
        <f t="shared" si="0"/>
        <v>6</v>
      </c>
      <c r="B11" s="171" t="str">
        <f>MRS!B11&amp;" "&amp;MRS!D11</f>
        <v xml:space="preserve">LED FLOOD LIGHT 400W </v>
      </c>
      <c r="C11" s="172"/>
      <c r="D11" s="79" t="str">
        <f>MRS!G11</f>
        <v>EA</v>
      </c>
      <c r="E11" s="80">
        <f>MRS!H11</f>
        <v>100</v>
      </c>
      <c r="F11" s="81">
        <f>+'MRS LIST'!I11</f>
        <v>80</v>
      </c>
      <c r="G11" s="82">
        <f>+'MRS LIST'!J11</f>
        <v>8000</v>
      </c>
      <c r="H11" s="83"/>
      <c r="K11" s="84"/>
      <c r="L11" s="85"/>
      <c r="M11" s="49"/>
    </row>
    <row r="12" spans="1:13" s="48" customFormat="1" ht="32.1" customHeight="1">
      <c r="A12" s="78">
        <f t="shared" si="0"/>
        <v>7</v>
      </c>
      <c r="B12" s="171" t="str">
        <f>MRS!B12&amp;" "&amp;MRS!D12</f>
        <v xml:space="preserve">2 GANG 13A SWITCHED SOCKET 7 X 14 </v>
      </c>
      <c r="C12" s="172"/>
      <c r="D12" s="79" t="str">
        <f>MRS!G12</f>
        <v>EA</v>
      </c>
      <c r="E12" s="80">
        <f>MRS!H12</f>
        <v>20</v>
      </c>
      <c r="F12" s="81">
        <f>+'MRS LIST'!I12</f>
        <v>16.5</v>
      </c>
      <c r="G12" s="82">
        <f>+'MRS LIST'!J12</f>
        <v>330</v>
      </c>
      <c r="H12" s="83"/>
      <c r="K12" s="84"/>
      <c r="L12" s="85"/>
      <c r="M12" s="49"/>
    </row>
    <row r="13" spans="1:13" s="48" customFormat="1" ht="32.1" customHeight="1">
      <c r="A13" s="78">
        <f t="shared" si="0"/>
        <v>8</v>
      </c>
      <c r="B13" s="171" t="str">
        <f>MRS!B13&amp;" "&amp;MRS!D13</f>
        <v xml:space="preserve">PVC BOX 7 X 14 </v>
      </c>
      <c r="C13" s="172"/>
      <c r="D13" s="79" t="str">
        <f>MRS!G13</f>
        <v>EA</v>
      </c>
      <c r="E13" s="80">
        <f>MRS!H13</f>
        <v>20</v>
      </c>
      <c r="F13" s="81">
        <f>+'MRS LIST'!I13</f>
        <v>1.75</v>
      </c>
      <c r="G13" s="82">
        <f>+'MRS LIST'!J13</f>
        <v>35</v>
      </c>
      <c r="H13" s="83"/>
      <c r="K13" s="84"/>
      <c r="L13" s="85"/>
      <c r="M13" s="49"/>
    </row>
    <row r="14" spans="1:13" s="48" customFormat="1" ht="32.1" customHeight="1">
      <c r="A14" s="78">
        <f t="shared" si="0"/>
        <v>9</v>
      </c>
      <c r="B14" s="171" t="str">
        <f>MRS!B14&amp;" "&amp;MRS!D14</f>
        <v xml:space="preserve">GROUNDING/EARTH CABLE 10MM² </v>
      </c>
      <c r="C14" s="172"/>
      <c r="D14" s="79" t="str">
        <f>MRS!G14</f>
        <v>MTR</v>
      </c>
      <c r="E14" s="80">
        <f>MRS!H14</f>
        <v>100</v>
      </c>
      <c r="F14" s="81">
        <f>+'MRS LIST'!I14</f>
        <v>8.4499999999999993</v>
      </c>
      <c r="G14" s="82">
        <f>+'MRS LIST'!J14</f>
        <v>844.99999999999989</v>
      </c>
      <c r="H14" s="83"/>
      <c r="K14" s="84"/>
      <c r="L14" s="85"/>
      <c r="M14" s="49"/>
    </row>
    <row r="15" spans="1:13" s="48" customFormat="1" ht="32.1" customHeight="1">
      <c r="A15" s="78">
        <f t="shared" si="0"/>
        <v>10</v>
      </c>
      <c r="B15" s="171" t="str">
        <f>MRS!B15&amp;" "&amp;MRS!D15</f>
        <v xml:space="preserve">CABLE LUG 10MM² X M10 </v>
      </c>
      <c r="C15" s="172"/>
      <c r="D15" s="79" t="str">
        <f>MRS!G15</f>
        <v>EA</v>
      </c>
      <c r="E15" s="80">
        <f>MRS!H15</f>
        <v>50</v>
      </c>
      <c r="F15" s="81">
        <f>+'MRS LIST'!I15</f>
        <v>0.65</v>
      </c>
      <c r="G15" s="82">
        <f>+'MRS LIST'!J15</f>
        <v>32.5</v>
      </c>
      <c r="H15" s="83"/>
      <c r="K15" s="84"/>
      <c r="L15" s="85"/>
      <c r="M15" s="49"/>
    </row>
    <row r="16" spans="1:13" s="48" customFormat="1" ht="32.1" customHeight="1">
      <c r="A16" s="78">
        <f t="shared" si="0"/>
        <v>11</v>
      </c>
      <c r="B16" s="171" t="str">
        <f>MRS!B16&amp;" "&amp;MRS!D16</f>
        <v xml:space="preserve">32A PLUG UK TYPE </v>
      </c>
      <c r="C16" s="172"/>
      <c r="D16" s="79" t="str">
        <f>MRS!G16</f>
        <v>EA</v>
      </c>
      <c r="E16" s="80">
        <f>MRS!H16</f>
        <v>10</v>
      </c>
      <c r="F16" s="81">
        <f>+'MRS LIST'!I16</f>
        <v>6</v>
      </c>
      <c r="G16" s="82">
        <f>+'MRS LIST'!J16</f>
        <v>60</v>
      </c>
      <c r="H16" s="83"/>
      <c r="K16" s="84"/>
      <c r="L16" s="85"/>
      <c r="M16" s="49"/>
    </row>
    <row r="17" spans="1:13" s="48" customFormat="1" ht="32.1" customHeight="1">
      <c r="A17" s="78">
        <f t="shared" si="0"/>
        <v>12</v>
      </c>
      <c r="B17" s="171" t="str">
        <f>MRS!B17&amp;" "&amp;MRS!D17</f>
        <v xml:space="preserve">CARBON BRUSH  CUTTING MACHINE 14" DEWALT </v>
      </c>
      <c r="C17" s="172"/>
      <c r="D17" s="79" t="str">
        <f>MRS!G17</f>
        <v>PAIR</v>
      </c>
      <c r="E17" s="80">
        <f>MRS!H17</f>
        <v>50</v>
      </c>
      <c r="F17" s="81">
        <f>+'MRS LIST'!I17</f>
        <v>10</v>
      </c>
      <c r="G17" s="82">
        <f>+'MRS LIST'!J17</f>
        <v>500</v>
      </c>
      <c r="H17" s="83"/>
      <c r="K17" s="84"/>
      <c r="L17" s="85"/>
      <c r="M17" s="49"/>
    </row>
    <row r="18" spans="1:13" s="48" customFormat="1" ht="32.1" customHeight="1">
      <c r="A18" s="78">
        <f t="shared" si="0"/>
        <v>13</v>
      </c>
      <c r="B18" s="171" t="str">
        <f>MRS!B18&amp;" "&amp;MRS!D18</f>
        <v xml:space="preserve">CARBON BRUSH ANGLE GRINDER MACHINE 4" DEWALT 4002 </v>
      </c>
      <c r="C18" s="172"/>
      <c r="D18" s="79" t="str">
        <f>MRS!G18</f>
        <v>PAIR</v>
      </c>
      <c r="E18" s="80">
        <f>MRS!H18</f>
        <v>50</v>
      </c>
      <c r="F18" s="81">
        <f>+'MRS LIST'!I18</f>
        <v>10</v>
      </c>
      <c r="G18" s="82">
        <f>+'MRS LIST'!J18</f>
        <v>500</v>
      </c>
      <c r="H18" s="83"/>
      <c r="K18" s="84"/>
      <c r="L18" s="85"/>
      <c r="M18" s="49"/>
    </row>
    <row r="19" spans="1:13" s="48" customFormat="1" ht="32.1" customHeight="1">
      <c r="A19" s="78">
        <f t="shared" si="0"/>
        <v>14</v>
      </c>
      <c r="B19" s="171" t="str">
        <f>MRS!B19&amp;" "&amp;MRS!D19</f>
        <v xml:space="preserve">CARBON BRUSH DIE GRINDER MACHINE DEWALT </v>
      </c>
      <c r="C19" s="172"/>
      <c r="D19" s="79" t="str">
        <f>MRS!G19</f>
        <v>PAIR</v>
      </c>
      <c r="E19" s="80">
        <f>MRS!H19</f>
        <v>50</v>
      </c>
      <c r="F19" s="81">
        <f>+'MRS LIST'!I19</f>
        <v>10</v>
      </c>
      <c r="G19" s="82">
        <f>+'MRS LIST'!J19</f>
        <v>500</v>
      </c>
      <c r="H19" s="83"/>
      <c r="K19" s="84"/>
      <c r="L19" s="85"/>
      <c r="M19" s="49"/>
    </row>
    <row r="20" spans="1:13" s="48" customFormat="1" ht="32.1" customHeight="1">
      <c r="A20" s="78">
        <f t="shared" si="0"/>
        <v>15</v>
      </c>
      <c r="B20" s="171" t="str">
        <f>MRS!B20&amp;" "&amp;MRS!D20</f>
        <v xml:space="preserve">CARBON BRUSH DEWALT PART # NA 160502 </v>
      </c>
      <c r="C20" s="172"/>
      <c r="D20" s="79" t="str">
        <f>MRS!G20</f>
        <v>PAIR</v>
      </c>
      <c r="E20" s="80">
        <f>MRS!H20</f>
        <v>100</v>
      </c>
      <c r="F20" s="81">
        <f>+'MRS LIST'!I20</f>
        <v>10</v>
      </c>
      <c r="G20" s="82">
        <f>+'MRS LIST'!J20</f>
        <v>1000</v>
      </c>
      <c r="H20" s="83"/>
      <c r="K20" s="84"/>
      <c r="L20" s="85"/>
      <c r="M20" s="49"/>
    </row>
    <row r="21" spans="1:13" s="48" customFormat="1" ht="32.1" customHeight="1">
      <c r="A21" s="78">
        <f t="shared" si="0"/>
        <v>16</v>
      </c>
      <c r="B21" s="171" t="str">
        <f>MRS!B21&amp;" "&amp;MRS!D21</f>
        <v xml:space="preserve">CARBON BRUSH ANGLE GRINDER DEWALT 4" 4002 </v>
      </c>
      <c r="C21" s="172"/>
      <c r="D21" s="79" t="str">
        <f>MRS!G21</f>
        <v>PAIR</v>
      </c>
      <c r="E21" s="80">
        <f>MRS!H21</f>
        <v>50</v>
      </c>
      <c r="F21" s="81">
        <f>+'MRS LIST'!I21</f>
        <v>10</v>
      </c>
      <c r="G21" s="82">
        <f>+'MRS LIST'!J21</f>
        <v>500</v>
      </c>
      <c r="H21" s="83"/>
      <c r="K21" s="84"/>
      <c r="L21" s="85"/>
      <c r="M21" s="49"/>
    </row>
    <row r="22" spans="1:13" s="48" customFormat="1" ht="32.1" customHeight="1">
      <c r="A22" s="78">
        <f t="shared" si="0"/>
        <v>17</v>
      </c>
      <c r="B22" s="171" t="str">
        <f>MRS!B22&amp;" "&amp;MRS!D22</f>
        <v xml:space="preserve">CARBON BRUSH ANGLE GRINDER MACHINE 7" DEWALT 493 </v>
      </c>
      <c r="C22" s="172"/>
      <c r="D22" s="79" t="str">
        <f>MRS!G22</f>
        <v>PAIR</v>
      </c>
      <c r="E22" s="80">
        <f>MRS!H22</f>
        <v>50</v>
      </c>
      <c r="F22" s="81">
        <f>+'MRS LIST'!I22</f>
        <v>10</v>
      </c>
      <c r="G22" s="82">
        <f>+'MRS LIST'!J22</f>
        <v>500</v>
      </c>
      <c r="H22" s="83"/>
      <c r="K22" s="84"/>
      <c r="L22" s="85"/>
      <c r="M22" s="49"/>
    </row>
    <row r="23" spans="1:13" s="48" customFormat="1" ht="32.1" customHeight="1">
      <c r="A23" s="78">
        <f t="shared" si="0"/>
        <v>18</v>
      </c>
      <c r="B23" s="171" t="str">
        <f>MRS!B23&amp;" "&amp;MRS!D23</f>
        <v xml:space="preserve">CARBON BRUSH FOR AIR BLOWER HYUNDAI MODEL HPT002 </v>
      </c>
      <c r="C23" s="172"/>
      <c r="D23" s="79" t="str">
        <f>MRS!G23</f>
        <v>PAIR</v>
      </c>
      <c r="E23" s="80">
        <f>MRS!H23</f>
        <v>50</v>
      </c>
      <c r="F23" s="81">
        <f>+'MRS LIST'!I23</f>
        <v>10</v>
      </c>
      <c r="G23" s="82">
        <f>+'MRS LIST'!J23</f>
        <v>500</v>
      </c>
      <c r="H23" s="83"/>
      <c r="K23" s="84"/>
      <c r="L23" s="85"/>
      <c r="M23" s="49"/>
    </row>
    <row r="24" spans="1:13" s="48" customFormat="1" ht="32.1" customHeight="1">
      <c r="A24" s="78">
        <f t="shared" si="0"/>
        <v>19</v>
      </c>
      <c r="B24" s="171" t="str">
        <f>MRS!B24&amp;" "&amp;MRS!D24</f>
        <v xml:space="preserve">CARBON BRUSH DIE GRINDER MACHINE MAKITA GD0600 </v>
      </c>
      <c r="C24" s="172"/>
      <c r="D24" s="79" t="str">
        <f>MRS!G24</f>
        <v>PAIR</v>
      </c>
      <c r="E24" s="80">
        <f>MRS!H24</f>
        <v>50</v>
      </c>
      <c r="F24" s="81">
        <f>+'MRS LIST'!I24</f>
        <v>10</v>
      </c>
      <c r="G24" s="82">
        <f>+'MRS LIST'!J24</f>
        <v>500</v>
      </c>
      <c r="H24" s="83"/>
      <c r="K24" s="84"/>
      <c r="L24" s="85"/>
      <c r="M24" s="49"/>
    </row>
    <row r="25" spans="1:13" s="48" customFormat="1" ht="32.1" customHeight="1">
      <c r="A25" s="78">
        <f t="shared" si="0"/>
        <v>20</v>
      </c>
      <c r="B25" s="171" t="str">
        <f>MRS!B25&amp;" "&amp;MRS!D25</f>
        <v xml:space="preserve">RCCB 25A 2P 10mA </v>
      </c>
      <c r="C25" s="172"/>
      <c r="D25" s="79" t="str">
        <f>MRS!G25</f>
        <v>EA</v>
      </c>
      <c r="E25" s="80">
        <f>MRS!H25</f>
        <v>30</v>
      </c>
      <c r="F25" s="81">
        <f>+'MRS LIST'!I25</f>
        <v>110</v>
      </c>
      <c r="G25" s="82">
        <f>+'MRS LIST'!J25</f>
        <v>3300</v>
      </c>
      <c r="H25" s="83"/>
      <c r="K25" s="84"/>
      <c r="L25" s="85"/>
      <c r="M25" s="49"/>
    </row>
    <row r="26" spans="1:13" s="48" customFormat="1" ht="32.1" customHeight="1">
      <c r="A26" s="78">
        <f t="shared" si="0"/>
        <v>21</v>
      </c>
      <c r="B26" s="171" t="str">
        <f>MRS!B26&amp;" "&amp;MRS!D26</f>
        <v xml:space="preserve">GROUNDING/EARTH ROD 5/8" x 0.6M </v>
      </c>
      <c r="C26" s="172"/>
      <c r="D26" s="79" t="str">
        <f>MRS!G26</f>
        <v>EA</v>
      </c>
      <c r="E26" s="80">
        <f>MRS!H26</f>
        <v>10</v>
      </c>
      <c r="F26" s="81">
        <f>+'MRS LIST'!I26</f>
        <v>14</v>
      </c>
      <c r="G26" s="82">
        <f>+'MRS LIST'!J26</f>
        <v>140</v>
      </c>
      <c r="H26" s="83"/>
      <c r="K26" s="84"/>
      <c r="L26" s="85"/>
      <c r="M26" s="49"/>
    </row>
    <row r="27" spans="1:13" s="48" customFormat="1" ht="32.1" customHeight="1">
      <c r="A27" s="78">
        <f t="shared" si="0"/>
        <v>22</v>
      </c>
      <c r="B27" s="171" t="str">
        <f>MRS!B27&amp;" "&amp;MRS!D27</f>
        <v xml:space="preserve">LED FLOOD LIGHT 400W </v>
      </c>
      <c r="C27" s="172"/>
      <c r="D27" s="79" t="str">
        <f>MRS!G27</f>
        <v>EA</v>
      </c>
      <c r="E27" s="80">
        <f>MRS!H27</f>
        <v>10</v>
      </c>
      <c r="F27" s="81">
        <f>+'MRS LIST'!I27</f>
        <v>80</v>
      </c>
      <c r="G27" s="82">
        <f>+'MRS LIST'!J27</f>
        <v>800</v>
      </c>
      <c r="H27" s="83"/>
      <c r="K27" s="84"/>
      <c r="L27" s="85"/>
      <c r="M27" s="49"/>
    </row>
    <row r="28" spans="1:13" s="48" customFormat="1" ht="32.1" customHeight="1">
      <c r="A28" s="78">
        <f t="shared" si="0"/>
        <v>23</v>
      </c>
      <c r="B28" s="171" t="str">
        <f>MRS!B28&amp;" "&amp;MRS!D28</f>
        <v xml:space="preserve">30W/220V LED PANEL LIGHT 11"/280MM SURFACE </v>
      </c>
      <c r="C28" s="172"/>
      <c r="D28" s="79" t="str">
        <f>MRS!G28</f>
        <v>EA</v>
      </c>
      <c r="E28" s="80">
        <f>MRS!H28</f>
        <v>5</v>
      </c>
      <c r="F28" s="81">
        <f>+'MRS LIST'!I28</f>
        <v>14</v>
      </c>
      <c r="G28" s="82">
        <f>+'MRS LIST'!J28</f>
        <v>70</v>
      </c>
      <c r="H28" s="83"/>
      <c r="K28" s="84"/>
      <c r="L28" s="85"/>
      <c r="M28" s="49"/>
    </row>
    <row r="29" spans="1:13" s="48" customFormat="1" ht="32.1" customHeight="1">
      <c r="A29" s="78">
        <f t="shared" si="0"/>
        <v>24</v>
      </c>
      <c r="B29" s="171" t="str">
        <f>MRS!B29&amp;" "&amp;MRS!D29</f>
        <v xml:space="preserve">CABLE LUG 25MM² X M6 </v>
      </c>
      <c r="C29" s="172"/>
      <c r="D29" s="79" t="str">
        <f>MRS!G29</f>
        <v>EA</v>
      </c>
      <c r="E29" s="80">
        <f>MRS!H29</f>
        <v>200</v>
      </c>
      <c r="F29" s="81">
        <f>+'MRS LIST'!I29</f>
        <v>0.95</v>
      </c>
      <c r="G29" s="82">
        <f>+'MRS LIST'!J29</f>
        <v>190</v>
      </c>
      <c r="H29" s="83"/>
      <c r="K29" s="84"/>
      <c r="L29" s="85"/>
      <c r="M29" s="49"/>
    </row>
    <row r="30" spans="1:13" s="48" customFormat="1" ht="32.1" customHeight="1">
      <c r="A30" s="78">
        <f t="shared" si="0"/>
        <v>25</v>
      </c>
      <c r="B30" s="171" t="str">
        <f>MRS!B30&amp;" "&amp;MRS!D30</f>
        <v xml:space="preserve">FLEXIBLE CONDUIT PVC 2" X 25M HD BLACK </v>
      </c>
      <c r="C30" s="172"/>
      <c r="D30" s="79" t="str">
        <f>MRS!G30</f>
        <v>ROLL</v>
      </c>
      <c r="E30" s="80">
        <f>MRS!H30</f>
        <v>10</v>
      </c>
      <c r="F30" s="81">
        <f>+'MRS LIST'!I30</f>
        <v>160</v>
      </c>
      <c r="G30" s="82">
        <f>+'MRS LIST'!J30</f>
        <v>1600</v>
      </c>
      <c r="H30" s="83"/>
      <c r="K30" s="84"/>
      <c r="L30" s="85"/>
      <c r="M30" s="49"/>
    </row>
    <row r="31" spans="1:13" s="48" customFormat="1" ht="32.1" customHeight="1">
      <c r="A31" s="78">
        <f t="shared" si="0"/>
        <v>26</v>
      </c>
      <c r="B31" s="171" t="str">
        <f>MRS!B31&amp;" "&amp;MRS!D31</f>
        <v xml:space="preserve">16A/220V 3PIN MOBILE PLUG IP66/67 </v>
      </c>
      <c r="C31" s="172"/>
      <c r="D31" s="79" t="str">
        <f>MRS!G31</f>
        <v>EA</v>
      </c>
      <c r="E31" s="80">
        <f>MRS!H31</f>
        <v>200</v>
      </c>
      <c r="F31" s="81">
        <f>+'MRS LIST'!I31</f>
        <v>20</v>
      </c>
      <c r="G31" s="82">
        <f>+'MRS LIST'!J31</f>
        <v>4000</v>
      </c>
      <c r="H31" s="83"/>
      <c r="K31" s="84"/>
      <c r="L31" s="85"/>
      <c r="M31" s="49"/>
    </row>
    <row r="32" spans="1:13" s="48" customFormat="1" ht="32.1" customHeight="1">
      <c r="A32" s="78">
        <f t="shared" si="0"/>
        <v>27</v>
      </c>
      <c r="B32" s="171" t="str">
        <f>MRS!B32&amp;" "&amp;MRS!D32</f>
        <v xml:space="preserve">16A/220V 3PIN MOBILE SOCKET IP66/67 </v>
      </c>
      <c r="C32" s="172"/>
      <c r="D32" s="79" t="str">
        <f>MRS!G32</f>
        <v>EA</v>
      </c>
      <c r="E32" s="80">
        <f>MRS!H32</f>
        <v>200</v>
      </c>
      <c r="F32" s="81">
        <f>+'MRS LIST'!I32</f>
        <v>32</v>
      </c>
      <c r="G32" s="82">
        <f>+'MRS LIST'!J32</f>
        <v>6400</v>
      </c>
      <c r="H32" s="83"/>
      <c r="K32" s="84"/>
      <c r="L32" s="85"/>
      <c r="M32" s="49"/>
    </row>
    <row r="33" spans="1:13" s="48" customFormat="1" ht="32.1" customHeight="1">
      <c r="A33" s="78">
        <f t="shared" si="0"/>
        <v>28</v>
      </c>
      <c r="B33" s="171" t="str">
        <f>MRS!B33&amp;" "&amp;MRS!D33</f>
        <v xml:space="preserve">FLEXIBLE CABLE WHITE 3C X 6MM² 100YARD / ROLL </v>
      </c>
      <c r="C33" s="172"/>
      <c r="D33" s="79" t="str">
        <f>MRS!G33</f>
        <v>ROLL</v>
      </c>
      <c r="E33" s="80">
        <f>MRS!H33</f>
        <v>30</v>
      </c>
      <c r="F33" s="81">
        <f>+'MRS LIST'!I33</f>
        <v>595</v>
      </c>
      <c r="G33" s="82">
        <f>+'MRS LIST'!J33</f>
        <v>17850</v>
      </c>
      <c r="H33" s="83"/>
      <c r="K33" s="84"/>
      <c r="L33" s="85"/>
      <c r="M33" s="49"/>
    </row>
    <row r="34" spans="1:13" s="48" customFormat="1" ht="32.1" customHeight="1">
      <c r="A34" s="78">
        <f t="shared" si="0"/>
        <v>29</v>
      </c>
      <c r="B34" s="171" t="str">
        <f>MRS!B34&amp;" "&amp;MRS!D34</f>
        <v xml:space="preserve">HAND LAMP EXPLOSION PROOF 220V/110V/24V </v>
      </c>
      <c r="C34" s="172"/>
      <c r="D34" s="79" t="str">
        <f>MRS!G34</f>
        <v>EA</v>
      </c>
      <c r="E34" s="80">
        <f>MRS!H34</f>
        <v>2</v>
      </c>
      <c r="F34" s="81">
        <f>+'MRS LIST'!I34</f>
        <v>414</v>
      </c>
      <c r="G34" s="82">
        <f>+'MRS LIST'!J34</f>
        <v>828</v>
      </c>
      <c r="H34" s="83"/>
      <c r="K34" s="84"/>
      <c r="L34" s="85"/>
      <c r="M34" s="49"/>
    </row>
    <row r="35" spans="1:13" s="48" customFormat="1" ht="32.1" customHeight="1">
      <c r="A35" s="78">
        <f t="shared" si="0"/>
        <v>30</v>
      </c>
      <c r="B35" s="171" t="str">
        <f>MRS!B35&amp;" "&amp;MRS!D35</f>
        <v xml:space="preserve">METAL ENCLOSURE 250 X 200 X 150 IP65 </v>
      </c>
      <c r="C35" s="172"/>
      <c r="D35" s="79" t="str">
        <f>MRS!G35</f>
        <v>EA</v>
      </c>
      <c r="E35" s="80">
        <f>MRS!H35</f>
        <v>2</v>
      </c>
      <c r="F35" s="81">
        <f>+'MRS LIST'!I35</f>
        <v>62</v>
      </c>
      <c r="G35" s="82">
        <f>+'MRS LIST'!J35</f>
        <v>124</v>
      </c>
      <c r="H35" s="83"/>
      <c r="K35" s="84"/>
      <c r="L35" s="85"/>
      <c r="M35" s="49"/>
    </row>
    <row r="36" spans="1:13" s="48" customFormat="1" ht="32.1" customHeight="1">
      <c r="A36" s="78">
        <f t="shared" si="0"/>
        <v>31</v>
      </c>
      <c r="B36" s="171" t="str">
        <f>MRS!B36&amp;" "&amp;MRS!D36</f>
        <v xml:space="preserve">CURRENT TRANSFORMER 50VA 1PH 230/380V~12-24V </v>
      </c>
      <c r="C36" s="172"/>
      <c r="D36" s="79" t="str">
        <f>MRS!G36</f>
        <v>EA</v>
      </c>
      <c r="E36" s="80">
        <f>MRS!H36</f>
        <v>1</v>
      </c>
      <c r="F36" s="81">
        <f>+'MRS LIST'!I36</f>
        <v>94</v>
      </c>
      <c r="G36" s="82">
        <f>+'MRS LIST'!J36</f>
        <v>94</v>
      </c>
      <c r="H36" s="83"/>
      <c r="K36" s="84"/>
      <c r="L36" s="85"/>
      <c r="M36" s="49"/>
    </row>
    <row r="37" spans="1:13" s="48" customFormat="1" ht="32.1" customHeight="1">
      <c r="A37" s="78">
        <f t="shared" si="0"/>
        <v>32</v>
      </c>
      <c r="B37" s="171" t="str">
        <f>MRS!B37&amp;" "&amp;MRS!D37</f>
        <v xml:space="preserve">16A/24V 3PIN PANEL MOUNT SOCKET IP66/67 </v>
      </c>
      <c r="C37" s="172"/>
      <c r="D37" s="79" t="str">
        <f>MRS!G37</f>
        <v>EA</v>
      </c>
      <c r="E37" s="80">
        <f>MRS!H37</f>
        <v>2</v>
      </c>
      <c r="F37" s="81">
        <f>+'MRS LIST'!I37</f>
        <v>96.5</v>
      </c>
      <c r="G37" s="82">
        <f>+'MRS LIST'!J37</f>
        <v>193</v>
      </c>
      <c r="H37" s="83"/>
      <c r="K37" s="84"/>
      <c r="L37" s="85"/>
      <c r="M37" s="49"/>
    </row>
    <row r="38" spans="1:13" s="48" customFormat="1" ht="32.1" customHeight="1">
      <c r="A38" s="78">
        <f t="shared" si="0"/>
        <v>33</v>
      </c>
      <c r="B38" s="171" t="str">
        <f>MRS!B38&amp;" "&amp;MRS!D38</f>
        <v xml:space="preserve">32A PLUG UK TYPE </v>
      </c>
      <c r="C38" s="172"/>
      <c r="D38" s="79" t="str">
        <f>MRS!G38</f>
        <v>EA</v>
      </c>
      <c r="E38" s="80">
        <f>MRS!H38</f>
        <v>12</v>
      </c>
      <c r="F38" s="81">
        <f>+'MRS LIST'!I38</f>
        <v>6</v>
      </c>
      <c r="G38" s="82">
        <f>+'MRS LIST'!J38</f>
        <v>72</v>
      </c>
      <c r="H38" s="83"/>
      <c r="K38" s="84"/>
      <c r="L38" s="85"/>
      <c r="M38" s="49"/>
    </row>
    <row r="39" spans="1:13" s="48" customFormat="1" ht="32.1" customHeight="1">
      <c r="A39" s="78">
        <f t="shared" si="0"/>
        <v>34</v>
      </c>
      <c r="B39" s="171" t="str">
        <f>MRS!B39&amp;" "&amp;MRS!D39</f>
        <v xml:space="preserve">16A/24V 3PIN MOBILE PLUG IP44/54 </v>
      </c>
      <c r="C39" s="172"/>
      <c r="D39" s="79" t="str">
        <f>MRS!G39</f>
        <v>EA</v>
      </c>
      <c r="E39" s="80">
        <f>MRS!H39</f>
        <v>4</v>
      </c>
      <c r="F39" s="81">
        <f>+'MRS LIST'!I39</f>
        <v>28</v>
      </c>
      <c r="G39" s="82">
        <f>+'MRS LIST'!J39</f>
        <v>112</v>
      </c>
      <c r="H39" s="83"/>
      <c r="K39" s="84"/>
      <c r="L39" s="85"/>
      <c r="M39" s="49"/>
    </row>
    <row r="40" spans="1:13" s="48" customFormat="1" ht="32.1" customHeight="1">
      <c r="A40" s="78">
        <f t="shared" si="0"/>
        <v>35</v>
      </c>
      <c r="B40" s="171" t="str">
        <f>MRS!B40&amp;" "&amp;MRS!D40</f>
        <v xml:space="preserve">16A/24V 3PIN MOBILE SOCKET IP44/54 </v>
      </c>
      <c r="C40" s="172"/>
      <c r="D40" s="79" t="str">
        <f>MRS!G40</f>
        <v>EA</v>
      </c>
      <c r="E40" s="80">
        <f>MRS!H40</f>
        <v>4</v>
      </c>
      <c r="F40" s="81">
        <f>+'MRS LIST'!I40</f>
        <v>40</v>
      </c>
      <c r="G40" s="82">
        <f>+'MRS LIST'!J40</f>
        <v>160</v>
      </c>
      <c r="H40" s="83"/>
      <c r="K40" s="84"/>
      <c r="L40" s="85"/>
      <c r="M40" s="49"/>
    </row>
    <row r="41" spans="1:13" s="48" customFormat="1" ht="32.1" customHeight="1">
      <c r="A41" s="78">
        <f t="shared" si="0"/>
        <v>36</v>
      </c>
      <c r="B41" s="171" t="str">
        <f>MRS!B41&amp;" "&amp;MRS!D41</f>
        <v xml:space="preserve">9W/24V LED BULB E27 DAYLIGHT </v>
      </c>
      <c r="C41" s="172"/>
      <c r="D41" s="79" t="str">
        <f>MRS!G41</f>
        <v>EA</v>
      </c>
      <c r="E41" s="80">
        <f>MRS!H41</f>
        <v>2</v>
      </c>
      <c r="F41" s="81">
        <f>+'MRS LIST'!I41</f>
        <v>18</v>
      </c>
      <c r="G41" s="82">
        <f>+'MRS LIST'!J41</f>
        <v>36</v>
      </c>
      <c r="H41" s="83"/>
      <c r="K41" s="84"/>
      <c r="L41" s="85"/>
      <c r="M41" s="49"/>
    </row>
    <row r="42" spans="1:13" s="48" customFormat="1" ht="32.1" customHeight="1">
      <c r="A42" s="78">
        <f t="shared" si="0"/>
        <v>37</v>
      </c>
      <c r="B42" s="171" t="str">
        <f>MRS!B42&amp;" "&amp;MRS!D42</f>
        <v xml:space="preserve">9W/24V LED BULB E27 DAYLIGHT </v>
      </c>
      <c r="C42" s="172"/>
      <c r="D42" s="79" t="str">
        <f>MRS!G42</f>
        <v>EA</v>
      </c>
      <c r="E42" s="80">
        <f>MRS!H42</f>
        <v>2</v>
      </c>
      <c r="F42" s="81">
        <f>+'MRS LIST'!I42</f>
        <v>18</v>
      </c>
      <c r="G42" s="82">
        <f>+'MRS LIST'!J42</f>
        <v>36</v>
      </c>
      <c r="H42" s="83"/>
      <c r="K42" s="84"/>
      <c r="L42" s="85"/>
      <c r="M42" s="49"/>
    </row>
    <row r="43" spans="1:13" s="48" customFormat="1" ht="23.1" customHeight="1">
      <c r="A43" s="173" t="s">
        <v>74</v>
      </c>
      <c r="B43" s="174"/>
      <c r="C43" s="174"/>
      <c r="D43" s="174"/>
      <c r="E43" s="174"/>
      <c r="F43" s="174"/>
      <c r="G43" s="51">
        <f>SUM(G6:G42)</f>
        <v>71297.5</v>
      </c>
      <c r="H43" s="52"/>
    </row>
    <row r="44" spans="1:13" s="48" customFormat="1" ht="23.1" customHeight="1">
      <c r="A44" s="173" t="s">
        <v>40</v>
      </c>
      <c r="B44" s="174"/>
      <c r="C44" s="174"/>
      <c r="D44" s="174"/>
      <c r="E44" s="174"/>
      <c r="F44" s="174"/>
      <c r="G44" s="51">
        <f>+G43*0.15</f>
        <v>10694.625</v>
      </c>
      <c r="H44" s="52"/>
    </row>
    <row r="45" spans="1:13" s="48" customFormat="1" ht="24.95" customHeight="1" thickBot="1">
      <c r="A45" s="175" t="s">
        <v>75</v>
      </c>
      <c r="B45" s="176"/>
      <c r="C45" s="176"/>
      <c r="D45" s="176"/>
      <c r="E45" s="176"/>
      <c r="F45" s="176"/>
      <c r="G45" s="53">
        <f>G44+G43</f>
        <v>81992.125</v>
      </c>
      <c r="H45" s="54"/>
    </row>
    <row r="46" spans="1:13" ht="15.75" thickTop="1">
      <c r="A46" s="55" t="str">
        <f>" 1) Above Price are as per your quotation with ref "&amp;'PO 1st page'!K14</f>
        <v xml:space="preserve"> 1) Above Price are as per your quotation with ref 102260</v>
      </c>
      <c r="B46" s="56"/>
      <c r="C46" s="56"/>
      <c r="D46" s="57"/>
      <c r="E46" s="57"/>
      <c r="F46" s="57"/>
      <c r="G46" s="57"/>
      <c r="H46" s="57"/>
    </row>
    <row r="47" spans="1:13" ht="15">
      <c r="A47" s="58" t="s">
        <v>76</v>
      </c>
      <c r="B47" s="59"/>
      <c r="C47" s="59"/>
      <c r="D47" s="60"/>
      <c r="E47" s="60"/>
      <c r="F47" s="60"/>
      <c r="G47" s="60"/>
      <c r="H47" s="60"/>
      <c r="I47" s="61"/>
    </row>
    <row r="48" spans="1:13" ht="15.75">
      <c r="A48" s="62"/>
    </row>
    <row r="49" spans="1:13">
      <c r="A49" s="162" t="s">
        <v>77</v>
      </c>
      <c r="B49" s="162"/>
      <c r="C49" s="162"/>
      <c r="D49" s="162"/>
      <c r="E49" s="162"/>
      <c r="F49" s="162"/>
      <c r="G49" s="162"/>
      <c r="H49" s="162"/>
      <c r="I49" s="63"/>
      <c r="J49" s="63"/>
      <c r="K49" s="63"/>
      <c r="L49" s="63"/>
      <c r="M49" s="63"/>
    </row>
    <row r="50" spans="1:13" ht="15.75">
      <c r="A50" s="62"/>
      <c r="C50" s="64"/>
    </row>
    <row r="51" spans="1:13" ht="15.75">
      <c r="A51" s="62"/>
      <c r="C51" s="64"/>
    </row>
    <row r="53" spans="1:13" ht="12" customHeight="1"/>
  </sheetData>
  <mergeCells count="49">
    <mergeCell ref="B34:C34"/>
    <mergeCell ref="B24:C24"/>
    <mergeCell ref="B25:C25"/>
    <mergeCell ref="B26:C26"/>
    <mergeCell ref="B27:C27"/>
    <mergeCell ref="B28:C28"/>
    <mergeCell ref="B33:C33"/>
    <mergeCell ref="B29:C29"/>
    <mergeCell ref="B30:C30"/>
    <mergeCell ref="B31:C31"/>
    <mergeCell ref="B32:C3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43:F43"/>
    <mergeCell ref="A44:F44"/>
    <mergeCell ref="A45:F45"/>
    <mergeCell ref="A49:H49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22:C22"/>
    <mergeCell ref="B23:C23"/>
    <mergeCell ref="B40:C40"/>
    <mergeCell ref="B41:C41"/>
    <mergeCell ref="B42:C42"/>
    <mergeCell ref="B35:C35"/>
    <mergeCell ref="B36:C36"/>
    <mergeCell ref="B37:C37"/>
    <mergeCell ref="B38:C38"/>
    <mergeCell ref="B39:C3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2026-10-24T06:47:53Z</cp:lastPrinted>
  <dcterms:created xsi:type="dcterms:W3CDTF">2024-10-20T11:50:19Z</dcterms:created>
  <dcterms:modified xsi:type="dcterms:W3CDTF">2026-10-25T05:01:57Z</dcterms:modified>
</cp:coreProperties>
</file>