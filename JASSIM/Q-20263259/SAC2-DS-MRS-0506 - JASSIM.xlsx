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JASSIM\Q-20263259\"/>
    </mc:Choice>
  </mc:AlternateContent>
  <xr:revisionPtr revIDLastSave="0" documentId="13_ncr:1_{D364E015-1D9D-4224-9775-DC79003D6831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MRS!$A$1:$M$24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F7" i="4"/>
  <c r="F8" i="4"/>
  <c r="F9" i="4"/>
  <c r="F10" i="4"/>
  <c r="F11" i="4"/>
  <c r="F12" i="4"/>
  <c r="F13" i="4"/>
  <c r="F14" i="4"/>
  <c r="F15" i="4"/>
  <c r="E7" i="4"/>
  <c r="E8" i="4"/>
  <c r="E9" i="4"/>
  <c r="E10" i="4"/>
  <c r="E11" i="4"/>
  <c r="E12" i="4"/>
  <c r="E13" i="4"/>
  <c r="E14" i="4"/>
  <c r="E15" i="4"/>
  <c r="D7" i="4"/>
  <c r="D8" i="4"/>
  <c r="D9" i="4"/>
  <c r="D10" i="4"/>
  <c r="D11" i="4"/>
  <c r="D12" i="4"/>
  <c r="D13" i="4"/>
  <c r="D14" i="4"/>
  <c r="D15" i="4"/>
  <c r="B7" i="4"/>
  <c r="B8" i="4"/>
  <c r="B9" i="4"/>
  <c r="B10" i="4"/>
  <c r="B11" i="4"/>
  <c r="B12" i="4"/>
  <c r="B13" i="4"/>
  <c r="B14" i="4"/>
  <c r="B15" i="4"/>
  <c r="A7" i="4"/>
  <c r="A8" i="4"/>
  <c r="A9" i="4"/>
  <c r="A10" i="4"/>
  <c r="A11" i="4"/>
  <c r="A12" i="4"/>
  <c r="A13" i="4"/>
  <c r="A14" i="4"/>
  <c r="A15" i="4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J10" i="2"/>
  <c r="G11" i="2"/>
  <c r="H11" i="2"/>
  <c r="I11" i="2"/>
  <c r="J11" i="2"/>
  <c r="G12" i="2"/>
  <c r="H12" i="2"/>
  <c r="I12" i="2"/>
  <c r="J12" i="2"/>
  <c r="G13" i="2"/>
  <c r="H13" i="2"/>
  <c r="I13" i="2"/>
  <c r="J13" i="2"/>
  <c r="G14" i="2"/>
  <c r="H14" i="2"/>
  <c r="I14" i="2"/>
  <c r="J14" i="2"/>
  <c r="G15" i="2"/>
  <c r="H15" i="2"/>
  <c r="I15" i="2"/>
  <c r="J15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15" i="2"/>
  <c r="A13" i="2"/>
  <c r="A14" i="2"/>
  <c r="A12" i="2"/>
  <c r="A9" i="2"/>
  <c r="A10" i="2"/>
  <c r="A11" i="2"/>
  <c r="A8" i="2"/>
  <c r="A7" i="2"/>
  <c r="J7" i="1"/>
  <c r="J8" i="1"/>
  <c r="J9" i="1"/>
  <c r="J10" i="1"/>
  <c r="J11" i="1"/>
  <c r="J12" i="1"/>
  <c r="J13" i="1"/>
  <c r="J14" i="1"/>
  <c r="J15" i="1"/>
  <c r="A8" i="1"/>
  <c r="A9" i="1"/>
  <c r="A10" i="1"/>
  <c r="A11" i="1"/>
  <c r="A12" i="1"/>
  <c r="A13" i="1"/>
  <c r="A14" i="1"/>
  <c r="A15" i="1"/>
  <c r="A7" i="1"/>
  <c r="C26" i="3"/>
  <c r="B6" i="4" l="1"/>
  <c r="B58" i="2" l="1"/>
  <c r="B57" i="2"/>
  <c r="B56" i="2"/>
  <c r="B55" i="2"/>
  <c r="B54" i="2"/>
  <c r="E3" i="1"/>
  <c r="H6" i="2" l="1"/>
  <c r="G6" i="2"/>
  <c r="D6" i="2"/>
  <c r="B6" i="2"/>
  <c r="E6" i="4"/>
  <c r="D6" i="4"/>
  <c r="J6" i="1"/>
  <c r="J6" i="2" s="1"/>
  <c r="J16" i="1" l="1"/>
  <c r="K67" i="3"/>
  <c r="K10" i="3" l="1"/>
  <c r="A19" i="4" l="1"/>
  <c r="I6" i="2"/>
  <c r="F6" i="4" s="1"/>
  <c r="A6" i="4"/>
  <c r="F4" i="4"/>
  <c r="B3" i="4"/>
  <c r="J70" i="3"/>
  <c r="K11" i="3"/>
  <c r="B2" i="4" s="1"/>
  <c r="K3" i="2"/>
  <c r="A3" i="2"/>
  <c r="J2" i="2"/>
  <c r="D2" i="2"/>
  <c r="A2" i="2"/>
  <c r="J1" i="2"/>
  <c r="A6" i="1"/>
  <c r="A6" i="2" s="1"/>
  <c r="G6" i="4" l="1"/>
  <c r="G16" i="4" s="1"/>
  <c r="F29" i="3" s="1"/>
  <c r="G17" i="4" l="1"/>
  <c r="F30" i="3" s="1"/>
  <c r="G18" i="4" l="1"/>
  <c r="F31" i="3" s="1"/>
</calcChain>
</file>

<file path=xl/sharedStrings.xml><?xml version="1.0" encoding="utf-8"?>
<sst xmlns="http://schemas.openxmlformats.org/spreadsheetml/2006/main" count="234" uniqueCount="149">
  <si>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</si>
  <si>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</si>
  <si>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</si>
  <si>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</si>
  <si>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</si>
  <si>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</si>
  <si>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</si>
  <si>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</si>
  <si>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</si>
  <si>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</si>
  <si>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</si>
  <si>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</si>
  <si>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</si>
  <si>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</si>
  <si>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</si>
  <si>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</si>
  <si>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</si>
  <si>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</si>
  <si>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</si>
  <si>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</si>
  <si>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</si>
  <si>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</si>
  <si>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</si>
  <si>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</si>
  <si>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</si>
  <si>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</si>
  <si>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</si>
  <si>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</si>
  <si>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</si>
  <si>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</si>
  <si>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</si>
  <si>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</si>
  <si>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</si>
  <si>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</si>
  <si>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</si>
  <si>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</si>
  <si>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</si>
  <si>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</si>
  <si>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</si>
  <si>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</si>
  <si>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</si>
  <si>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</si>
  <si>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</si>
  <si>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</si>
  <si>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</si>
  <si>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</si>
  <si>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</si>
  <si>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</si>
  <si>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</si>
  <si>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</si>
  <si>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</si>
  <si>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</si>
  <si>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</si>
  <si>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</si>
  <si>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</si>
  <si>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</si>
  <si>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</si>
  <si>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</si>
  <si>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</si>
  <si>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</si>
  <si>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</si>
  <si>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</si>
  <si>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</si>
  <si>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</si>
  <si>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</si>
  <si>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</si>
  <si>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</si>
  <si>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</si>
  <si>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</si>
  <si>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</si>
  <si>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</si>
  <si>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</si>
  <si>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</si>
  <si>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</si>
  <si>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</si>
  <si>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</si>
  <si>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</si>
  <si>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</si>
  <si>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</si>
  <si>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</si>
  <si>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</si>
  <si>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</si>
  <si>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</si>
  <si>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</si>
  <si>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</si>
  <si>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</si>
  <si>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</si>
  <si>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</si>
  <si>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</si>
  <si>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</si>
  <si>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</si>
  <si>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</si>
  <si>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</si>
  <si>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</si>
  <si>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</si>
  <si>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</si>
  <si>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</si>
  <si>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</si>
  <si>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</si>
  <si>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</si>
  <si>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</si>
  <si>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</si>
  <si>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</si>
  <si>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</si>
  <si>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</si>
  <si>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</si>
  <si>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</si>
  <si>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</si>
  <si>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</si>
  <si>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</si>
  <si>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</si>
  <si>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</si>
  <si>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</si>
  <si>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</si>
  <si>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</si>
  <si>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</si>
  <si>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</si>
  <si>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</si>
  <si>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</si>
  <si>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</si>
  <si>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</si>
  <si>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</si>
  <si>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</si>
  <si>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</si>
  <si>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</si>
  <si>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</si>
  <si>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</si>
  <si>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</si>
  <si>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-MRS-0506</t>
    </r>
  </si>
  <si>
    <t>Q-20263259</t>
  </si>
  <si>
    <t xml:space="preserve">Steel Plate </t>
  </si>
  <si>
    <t>SUS Plate</t>
  </si>
  <si>
    <t>Pipe</t>
  </si>
  <si>
    <t>WQT Coupon</t>
  </si>
  <si>
    <t>Sh't</t>
  </si>
  <si>
    <t>Pcs</t>
  </si>
  <si>
    <t>A36 (HDG) 3mm x 4' x 8'</t>
  </si>
  <si>
    <t>A36 (HDG) 6mm x 4' x 8'</t>
  </si>
  <si>
    <t>A36 (HDG) 9mm x 4' x 8'</t>
  </si>
  <si>
    <t>SUS304 3mm x 4' x 8'</t>
  </si>
  <si>
    <t>2" S160 6m A106B</t>
  </si>
  <si>
    <t>6" S160 6m A106B</t>
  </si>
  <si>
    <t>2" S160 200mm one side bevel</t>
  </si>
  <si>
    <t>6" S160 200mm one side bevel</t>
  </si>
  <si>
    <t>2" S160 150mm one side bevel</t>
  </si>
  <si>
    <t>6" S160 150mm one side bevel</t>
  </si>
  <si>
    <t>A36 (HDG) 9.8mm x 4' x 8'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</si>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</sst>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9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0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20" xfId="6" applyFont="1" applyFill="1" applyBorder="1" applyAlignment="1">
      <alignment horizontal="center" vertical="center" wrapText="1"/>
    </xf>
    <xf numFmtId="43" fontId="13" fillId="0" borderId="20" xfId="6" quotePrefix="1" applyNumberFormat="1" applyFont="1" applyBorder="1" applyAlignment="1">
      <alignment vertical="center" wrapText="1"/>
    </xf>
    <xf numFmtId="0" fontId="8" fillId="0" borderId="34" xfId="6" applyFont="1" applyBorder="1"/>
    <xf numFmtId="170" fontId="10" fillId="0" borderId="39" xfId="6" applyNumberFormat="1" applyFont="1" applyBorder="1" applyAlignment="1">
      <alignment horizontal="center" vertical="center" wrapText="1"/>
    </xf>
    <xf numFmtId="0" fontId="8" fillId="0" borderId="40" xfId="6" applyFont="1" applyBorder="1"/>
    <xf numFmtId="0" fontId="10" fillId="0" borderId="0" xfId="6" applyFont="1" applyAlignment="1">
      <alignment vertical="center"/>
    </xf>
    <xf numFmtId="0" fontId="26" fillId="0" borderId="41" xfId="6" applyFont="1" applyBorder="1" applyAlignment="1">
      <alignment vertical="center"/>
    </xf>
    <xf numFmtId="0" fontId="26" fillId="0" borderId="41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5" xfId="6" quotePrefix="1" applyFont="1" applyBorder="1" applyAlignment="1">
      <alignment horizontal="center" vertical="center"/>
    </xf>
    <xf numFmtId="0" fontId="6" fillId="2" borderId="36" xfId="7" applyFont="1" applyFill="1" applyBorder="1" applyAlignment="1">
      <alignment horizontal="center" vertical="center" wrapText="1"/>
    </xf>
    <xf numFmtId="0" fontId="6" fillId="2" borderId="36" xfId="8" applyFont="1" applyFill="1" applyBorder="1" applyAlignment="1">
      <alignment horizontal="center" vertical="center"/>
    </xf>
    <xf numFmtId="43" fontId="6" fillId="0" borderId="36" xfId="9" quotePrefix="1" applyFont="1" applyFill="1" applyBorder="1" applyAlignment="1">
      <alignment vertical="center"/>
    </xf>
    <xf numFmtId="43" fontId="6" fillId="0" borderId="36" xfId="6" applyNumberFormat="1" applyFont="1" applyBorder="1" applyAlignment="1">
      <alignment vertical="center"/>
    </xf>
    <xf numFmtId="0" fontId="3" fillId="0" borderId="37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20" xfId="0" applyFont="1" applyBorder="1" applyAlignment="1">
      <alignment horizontal="center" vertical="center"/>
    </xf>
    <xf numFmtId="172" fontId="42" fillId="0" borderId="20" xfId="10" applyNumberFormat="1" applyFont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167" fontId="3" fillId="0" borderId="14" xfId="0" applyNumberFormat="1" applyFont="1" applyBorder="1" applyAlignment="1">
      <alignment horizontal="right" vertical="center" wrapText="1"/>
    </xf>
    <xf numFmtId="0" fontId="8" fillId="2" borderId="18" xfId="1" quotePrefix="1" applyFont="1" applyFill="1" applyBorder="1" applyAlignment="1">
      <alignment vertical="center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3" fillId="2" borderId="16" xfId="1" applyFill="1" applyBorder="1" applyAlignment="1">
      <alignment vertical="center"/>
    </xf>
    <xf numFmtId="0" fontId="3" fillId="2" borderId="16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2" xfId="5" applyFont="1" applyFill="1" applyBorder="1"/>
    <xf numFmtId="0" fontId="18" fillId="3" borderId="42" xfId="5" applyFont="1" applyFill="1" applyBorder="1"/>
    <xf numFmtId="0" fontId="6" fillId="2" borderId="19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3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2" borderId="14" xfId="1" applyFill="1" applyBorder="1" applyAlignment="1">
      <alignment horizontal="center" vertical="center" wrapText="1"/>
    </xf>
    <xf numFmtId="0" fontId="3" fillId="2" borderId="17" xfId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44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43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2" xfId="0" applyFont="1" applyFill="1" applyBorder="1" applyAlignment="1">
      <alignment horizontal="center" vertical="center" wrapText="1"/>
    </xf>
    <xf numFmtId="0" fontId="42" fillId="0" borderId="21" xfId="0" applyFont="1" applyBorder="1" applyAlignment="1">
      <alignment horizontal="left" vertical="center" wrapText="1"/>
    </xf>
    <xf numFmtId="0" fontId="42" fillId="0" borderId="22" xfId="0" applyFont="1" applyBorder="1" applyAlignment="1">
      <alignment horizontal="left" vertical="center" wrapText="1"/>
    </xf>
    <xf numFmtId="0" fontId="15" fillId="2" borderId="20" xfId="1" applyFont="1" applyFill="1" applyBorder="1" applyAlignment="1">
      <alignment horizontal="center" vertical="center"/>
    </xf>
    <xf numFmtId="0" fontId="15" fillId="2" borderId="20" xfId="1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4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2" fillId="3" borderId="21" xfId="5" applyFont="1" applyFill="1" applyBorder="1" applyAlignment="1">
      <alignment horizontal="left" vertical="center" wrapText="1"/>
    </xf>
    <xf numFmtId="0" fontId="42" fillId="3" borderId="22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5" xfId="6" applyFont="1" applyBorder="1" applyAlignment="1">
      <alignment horizontal="right" vertical="center"/>
    </xf>
    <xf numFmtId="0" fontId="8" fillId="4" borderId="26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20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13" fillId="0" borderId="33" xfId="6" quotePrefix="1" applyFont="1" applyBorder="1" applyAlignment="1">
      <alignment horizontal="right" vertical="center"/>
    </xf>
    <xf numFmtId="0" fontId="13" fillId="0" borderId="20" xfId="6" quotePrefix="1" applyFont="1" applyBorder="1" applyAlignment="1">
      <alignment horizontal="right" vertical="center"/>
    </xf>
    <xf numFmtId="0" fontId="10" fillId="0" borderId="38" xfId="6" quotePrefix="1" applyFont="1" applyBorder="1" applyAlignment="1">
      <alignment horizontal="right" vertical="center"/>
    </xf>
    <xf numFmtId="0" fontId="10" fillId="0" borderId="39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191502</xdr:colOff>
          <xdr:row>16</xdr:row>
          <xdr:rowOff>246146</xdr:rowOff>
        </xdr:from>
        <xdr:to>
          <xdr:col>11</xdr:col>
          <xdr:colOff>1480385</xdr:colOff>
          <xdr:row>23</xdr:row>
          <xdr:rowOff>233612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4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07318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T3" sqref="T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1.28515625" style="2" customWidth="1"/>
    <col min="4" max="4" width="17.28515625" style="2" customWidth="1"/>
    <col min="5" max="5" width="14.5703125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4" t="s">
        <v>126</v>
      </c>
      <c r="B1" s="115"/>
      <c r="C1" s="93"/>
      <c r="D1" s="93"/>
      <c r="E1" s="93"/>
      <c r="F1" s="93"/>
      <c r="G1" s="1"/>
      <c r="J1" s="143" t="s">
        <v>79</v>
      </c>
      <c r="K1" s="144"/>
      <c r="L1" s="145"/>
    </row>
    <row r="2" spans="1:18" ht="20.100000000000001" customHeight="1">
      <c r="A2" s="3" t="s">
        <v>1</v>
      </c>
      <c r="B2" s="87"/>
      <c r="C2" s="87"/>
      <c r="D2" s="3" t="s">
        <v>127</v>
      </c>
      <c r="E2" s="87"/>
      <c r="F2" s="87"/>
      <c r="G2" s="87"/>
      <c r="H2" s="87"/>
      <c r="I2" s="4"/>
      <c r="J2" s="146" t="s">
        <v>86</v>
      </c>
      <c r="K2" s="147"/>
      <c r="L2" s="148"/>
    </row>
    <row r="3" spans="1:18" ht="20.100000000000001" customHeight="1">
      <c r="A3" s="3" t="s">
        <v>128</v>
      </c>
      <c r="B3" s="87"/>
      <c r="C3" s="87"/>
      <c r="D3" s="87"/>
      <c r="E3" s="149">
        <f>+L3+3</f>
        <v>46322</v>
      </c>
      <c r="F3" s="149"/>
      <c r="G3" s="149"/>
      <c r="H3" s="149"/>
      <c r="I3" s="149"/>
      <c r="J3" s="87"/>
      <c r="K3" s="87"/>
      <c r="L3" s="116">
        <v>46319</v>
      </c>
      <c r="M3" s="4"/>
    </row>
    <row r="4" spans="1:18" ht="15.95" customHeight="1">
      <c r="A4" s="152" t="s">
        <v>2</v>
      </c>
      <c r="B4" s="153" t="s">
        <v>3</v>
      </c>
      <c r="C4" s="153"/>
      <c r="D4" s="155" t="s">
        <v>4</v>
      </c>
      <c r="E4" s="156"/>
      <c r="F4" s="157"/>
      <c r="G4" s="154" t="s">
        <v>5</v>
      </c>
      <c r="H4" s="150" t="s">
        <v>6</v>
      </c>
      <c r="I4" s="150" t="s">
        <v>83</v>
      </c>
      <c r="J4" s="152" t="s">
        <v>84</v>
      </c>
      <c r="K4" s="150" t="s">
        <v>0</v>
      </c>
      <c r="L4" s="153" t="s">
        <v>7</v>
      </c>
    </row>
    <row r="5" spans="1:18" ht="24.75" customHeight="1">
      <c r="A5" s="150"/>
      <c r="B5" s="154"/>
      <c r="C5" s="154"/>
      <c r="D5" s="158"/>
      <c r="E5" s="159"/>
      <c r="F5" s="160"/>
      <c r="G5" s="161"/>
      <c r="H5" s="151"/>
      <c r="I5" s="151"/>
      <c r="J5" s="150"/>
      <c r="K5" s="151"/>
      <c r="L5" s="154"/>
    </row>
    <row r="6" spans="1:18" ht="28.5" customHeight="1">
      <c r="A6" s="5">
        <f t="shared" ref="A6:A15" si="0">ROW(A1)</f>
        <v>1</v>
      </c>
      <c r="B6" s="136" t="s">
        <v>130</v>
      </c>
      <c r="C6" s="137"/>
      <c r="D6" s="138" t="s">
        <v>136</v>
      </c>
      <c r="E6" s="139" t="s">
        <v>136</v>
      </c>
      <c r="F6" s="140" t="s">
        <v>136</v>
      </c>
      <c r="G6" s="121" t="s">
        <v>134</v>
      </c>
      <c r="H6" s="117">
        <v>30</v>
      </c>
      <c r="I6" s="118">
        <v>626</v>
      </c>
      <c r="J6" s="119">
        <f>H6*I6</f>
        <v>18780</v>
      </c>
      <c r="K6" s="120" t="s">
        <v>88</v>
      </c>
      <c r="L6" s="122" t="s">
        <v>96</v>
      </c>
      <c r="R6" s="92"/>
    </row>
    <row r="7" spans="1:18" ht="28.5" customHeight="1">
      <c r="A7" s="5">
        <f t="shared" si="0"/>
        <v>2</v>
      </c>
      <c r="B7" s="136" t="s">
        <v>130</v>
      </c>
      <c r="C7" s="137"/>
      <c r="D7" s="138" t="s">
        <v>137</v>
      </c>
      <c r="E7" s="139" t="s">
        <v>137</v>
      </c>
      <c r="F7" s="140" t="s">
        <v>137</v>
      </c>
      <c r="G7" s="117" t="s">
        <v>134</v>
      </c>
      <c r="H7" s="117">
        <v>12</v>
      </c>
      <c r="I7" s="118">
        <v>1244</v>
      </c>
      <c r="J7" s="119">
        <f t="shared" ref="J7:J15" si="1">H7*I7</f>
        <v>14928</v>
      </c>
      <c r="K7" s="120" t="s">
        <v>56</v>
      </c>
      <c r="L7" s="122" t="s">
        <v>56</v>
      </c>
      <c r="R7" s="92"/>
    </row>
    <row r="8" spans="1:18" ht="28.5" customHeight="1">
      <c r="A8" s="5">
        <f t="shared" si="0"/>
        <v>3</v>
      </c>
      <c r="B8" s="136" t="s">
        <v>130</v>
      </c>
      <c r="C8" s="137"/>
      <c r="D8" s="138" t="s">
        <v>146</v>
      </c>
      <c r="E8" s="139" t="s">
        <v>138</v>
      </c>
      <c r="F8" s="140" t="s">
        <v>138</v>
      </c>
      <c r="G8" s="117" t="s">
        <v>134</v>
      </c>
      <c r="H8" s="117">
        <v>8</v>
      </c>
      <c r="I8" s="118">
        <v>2070</v>
      </c>
      <c r="J8" s="119">
        <f t="shared" si="1"/>
        <v>16560</v>
      </c>
      <c r="K8" s="120" t="s">
        <v>56</v>
      </c>
      <c r="L8" s="122" t="s">
        <v>56</v>
      </c>
      <c r="R8" s="92"/>
    </row>
    <row r="9" spans="1:18" ht="28.5" customHeight="1">
      <c r="A9" s="5">
        <f t="shared" si="0"/>
        <v>4</v>
      </c>
      <c r="B9" s="136" t="s">
        <v>131</v>
      </c>
      <c r="C9" s="137"/>
      <c r="D9" s="138" t="s">
        <v>139</v>
      </c>
      <c r="E9" s="139" t="s">
        <v>139</v>
      </c>
      <c r="F9" s="140" t="s">
        <v>139</v>
      </c>
      <c r="G9" s="117" t="s">
        <v>134</v>
      </c>
      <c r="H9" s="117">
        <v>4</v>
      </c>
      <c r="I9" s="118">
        <v>1212</v>
      </c>
      <c r="J9" s="119">
        <f t="shared" si="1"/>
        <v>4848</v>
      </c>
      <c r="K9" s="120" t="s">
        <v>56</v>
      </c>
      <c r="L9" s="122" t="s">
        <v>56</v>
      </c>
      <c r="R9" s="92"/>
    </row>
    <row r="10" spans="1:18" ht="28.5" customHeight="1">
      <c r="A10" s="5">
        <f t="shared" si="0"/>
        <v>5</v>
      </c>
      <c r="B10" s="136" t="s">
        <v>132</v>
      </c>
      <c r="C10" s="137"/>
      <c r="D10" s="138" t="s">
        <v>140</v>
      </c>
      <c r="E10" s="139" t="s">
        <v>140</v>
      </c>
      <c r="F10" s="140" t="s">
        <v>140</v>
      </c>
      <c r="G10" s="117" t="s">
        <v>135</v>
      </c>
      <c r="H10" s="117">
        <v>4</v>
      </c>
      <c r="I10" s="118">
        <v>768</v>
      </c>
      <c r="J10" s="119">
        <f t="shared" si="1"/>
        <v>3072</v>
      </c>
      <c r="K10" s="120" t="s">
        <v>56</v>
      </c>
      <c r="L10" s="122" t="s">
        <v>56</v>
      </c>
      <c r="R10" s="92"/>
    </row>
    <row r="11" spans="1:18" ht="28.5" customHeight="1">
      <c r="A11" s="5">
        <f t="shared" si="0"/>
        <v>6</v>
      </c>
      <c r="B11" s="136" t="s">
        <v>132</v>
      </c>
      <c r="C11" s="137"/>
      <c r="D11" s="138" t="s">
        <v>141</v>
      </c>
      <c r="E11" s="139" t="s">
        <v>141</v>
      </c>
      <c r="F11" s="140" t="s">
        <v>141</v>
      </c>
      <c r="G11" s="117" t="s">
        <v>135</v>
      </c>
      <c r="H11" s="117">
        <v>2</v>
      </c>
      <c r="I11" s="118">
        <v>3730</v>
      </c>
      <c r="J11" s="119">
        <f t="shared" si="1"/>
        <v>7460</v>
      </c>
      <c r="K11" s="120" t="s">
        <v>56</v>
      </c>
      <c r="L11" s="122" t="s">
        <v>56</v>
      </c>
      <c r="R11" s="92"/>
    </row>
    <row r="12" spans="1:18" ht="28.5" customHeight="1">
      <c r="A12" s="5">
        <f t="shared" si="0"/>
        <v>7</v>
      </c>
      <c r="B12" s="136" t="s">
        <v>133</v>
      </c>
      <c r="C12" s="137"/>
      <c r="D12" s="138" t="s">
        <v>142</v>
      </c>
      <c r="E12" s="139" t="s">
        <v>142</v>
      </c>
      <c r="F12" s="140" t="s">
        <v>142</v>
      </c>
      <c r="G12" s="117" t="s">
        <v>135</v>
      </c>
      <c r="H12" s="117">
        <v>120</v>
      </c>
      <c r="I12" s="118">
        <v>40</v>
      </c>
      <c r="J12" s="119">
        <f t="shared" si="1"/>
        <v>4800</v>
      </c>
      <c r="K12" s="120" t="s">
        <v>56</v>
      </c>
      <c r="L12" s="122" t="s">
        <v>56</v>
      </c>
      <c r="R12" s="92"/>
    </row>
    <row r="13" spans="1:18" ht="28.5" customHeight="1">
      <c r="A13" s="5">
        <f t="shared" si="0"/>
        <v>8</v>
      </c>
      <c r="B13" s="136" t="s">
        <v>133</v>
      </c>
      <c r="C13" s="137"/>
      <c r="D13" s="138" t="s">
        <v>143</v>
      </c>
      <c r="E13" s="139" t="s">
        <v>143</v>
      </c>
      <c r="F13" s="140" t="s">
        <v>143</v>
      </c>
      <c r="G13" s="117" t="s">
        <v>135</v>
      </c>
      <c r="H13" s="117">
        <v>60</v>
      </c>
      <c r="I13" s="118">
        <v>60</v>
      </c>
      <c r="J13" s="119">
        <f t="shared" si="1"/>
        <v>3600</v>
      </c>
      <c r="K13" s="120" t="s">
        <v>56</v>
      </c>
      <c r="L13" s="122" t="s">
        <v>56</v>
      </c>
      <c r="R13" s="92"/>
    </row>
    <row r="14" spans="1:18" ht="28.5" customHeight="1">
      <c r="A14" s="5">
        <f t="shared" si="0"/>
        <v>9</v>
      </c>
      <c r="B14" s="136" t="s">
        <v>133</v>
      </c>
      <c r="C14" s="137"/>
      <c r="D14" s="138" t="s">
        <v>144</v>
      </c>
      <c r="E14" s="139" t="s">
        <v>144</v>
      </c>
      <c r="F14" s="140" t="s">
        <v>144</v>
      </c>
      <c r="G14" s="117" t="s">
        <v>135</v>
      </c>
      <c r="H14" s="117">
        <v>50</v>
      </c>
      <c r="I14" s="118">
        <v>40</v>
      </c>
      <c r="J14" s="119">
        <f t="shared" si="1"/>
        <v>2000</v>
      </c>
      <c r="K14" s="120" t="s">
        <v>56</v>
      </c>
      <c r="L14" s="122" t="s">
        <v>56</v>
      </c>
      <c r="R14" s="92"/>
    </row>
    <row r="15" spans="1:18" ht="28.5" customHeight="1">
      <c r="A15" s="5">
        <f t="shared" si="0"/>
        <v>10</v>
      </c>
      <c r="B15" s="136" t="s">
        <v>133</v>
      </c>
      <c r="C15" s="137"/>
      <c r="D15" s="138" t="s">
        <v>145</v>
      </c>
      <c r="E15" s="139" t="s">
        <v>145</v>
      </c>
      <c r="F15" s="140" t="s">
        <v>145</v>
      </c>
      <c r="G15" s="117" t="s">
        <v>135</v>
      </c>
      <c r="H15" s="117">
        <v>80</v>
      </c>
      <c r="I15" s="118">
        <v>60</v>
      </c>
      <c r="J15" s="119">
        <f t="shared" si="1"/>
        <v>4800</v>
      </c>
      <c r="K15" s="120" t="s">
        <v>56</v>
      </c>
      <c r="L15" s="122" t="s">
        <v>56</v>
      </c>
      <c r="R15" s="92"/>
    </row>
    <row r="16" spans="1:18" ht="30" customHeight="1">
      <c r="A16" s="141" t="s">
        <v>8</v>
      </c>
      <c r="B16" s="142"/>
      <c r="C16" s="95"/>
      <c r="D16" s="98"/>
      <c r="E16" s="98"/>
      <c r="F16" s="98"/>
      <c r="G16" s="99"/>
      <c r="H16" s="99"/>
      <c r="I16" s="100" t="s">
        <v>9</v>
      </c>
      <c r="J16" s="94">
        <f>SUM(J6:J15)</f>
        <v>80848</v>
      </c>
      <c r="K16" s="120" t="s">
        <v>56</v>
      </c>
      <c r="L16" s="122" t="s">
        <v>56</v>
      </c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25"/>
      <c r="Z18" s="11"/>
    </row>
    <row r="19" spans="1:26" ht="50.1" customHeight="1">
      <c r="Y19" s="126"/>
    </row>
    <row r="20" spans="1:26" ht="15" customHeight="1">
      <c r="O20" s="127" t="s">
        <v>114</v>
      </c>
      <c r="P20" s="128"/>
      <c r="Q20" s="128"/>
      <c r="R20" s="129"/>
      <c r="S20" s="107"/>
      <c r="T20" s="127" t="s">
        <v>115</v>
      </c>
      <c r="U20" s="128"/>
      <c r="V20" s="128"/>
      <c r="W20" s="128"/>
      <c r="X20" s="128"/>
      <c r="Y20" s="129"/>
    </row>
    <row r="21" spans="1:26" ht="15" customHeight="1">
      <c r="O21" s="130" t="s">
        <v>116</v>
      </c>
      <c r="P21" s="132" t="s">
        <v>117</v>
      </c>
      <c r="Q21" s="130" t="s">
        <v>118</v>
      </c>
      <c r="R21" s="132" t="s">
        <v>119</v>
      </c>
      <c r="S21" s="107"/>
      <c r="T21" s="130" t="s">
        <v>120</v>
      </c>
      <c r="U21" s="132" t="s">
        <v>121</v>
      </c>
      <c r="V21" s="127" t="s">
        <v>122</v>
      </c>
      <c r="W21" s="128"/>
      <c r="X21" s="129"/>
      <c r="Y21" s="132" t="s">
        <v>123</v>
      </c>
    </row>
    <row r="22" spans="1:26" ht="18" customHeight="1">
      <c r="O22" s="131"/>
      <c r="P22" s="133"/>
      <c r="Q22" s="131"/>
      <c r="R22" s="133"/>
      <c r="S22" s="108"/>
      <c r="T22" s="131"/>
      <c r="U22" s="133"/>
      <c r="V22" s="13" t="s">
        <v>116</v>
      </c>
      <c r="W22" s="134" t="s">
        <v>124</v>
      </c>
      <c r="X22" s="135"/>
      <c r="Y22" s="133"/>
    </row>
    <row r="23" spans="1:26" ht="50.1" customHeight="1">
      <c r="O23" s="14"/>
      <c r="P23" s="14"/>
      <c r="Q23" s="14"/>
      <c r="R23" s="14"/>
      <c r="S23" s="107"/>
      <c r="T23" s="14"/>
      <c r="U23" s="14"/>
      <c r="V23" s="14"/>
      <c r="W23" s="127"/>
      <c r="X23" s="129"/>
      <c r="Y23" s="109"/>
    </row>
    <row r="24" spans="1:26" ht="36" customHeight="1">
      <c r="W24" s="110"/>
      <c r="X24" s="123" t="s">
        <v>125</v>
      </c>
      <c r="Y24" s="12" t="s">
        <v>123</v>
      </c>
    </row>
    <row r="25" spans="1:26" ht="50.1" customHeight="1">
      <c r="O25" s="111"/>
      <c r="P25" s="111"/>
      <c r="Q25" s="111"/>
      <c r="R25" s="111"/>
      <c r="S25" s="111"/>
      <c r="T25" s="111"/>
      <c r="U25" s="111"/>
      <c r="V25" s="111"/>
      <c r="W25" s="112"/>
      <c r="X25" s="124"/>
      <c r="Y25" s="113"/>
    </row>
    <row r="26" spans="1:26" ht="19.899999999999999" customHeight="1"/>
    <row r="27" spans="1:26" ht="17.45" customHeight="1">
      <c r="O27" s="162"/>
      <c r="P27" s="162"/>
    </row>
    <row r="28" spans="1:26" ht="19.899999999999999" customHeight="1">
      <c r="O28" s="162"/>
      <c r="P28" s="162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2" t="s">
        <v>12</v>
      </c>
      <c r="P46" s="132" t="s">
        <v>12</v>
      </c>
      <c r="S46" s="132" t="s">
        <v>11</v>
      </c>
    </row>
    <row r="47" spans="15:19" ht="21" customHeight="1">
      <c r="O47" s="133"/>
      <c r="P47" s="133"/>
      <c r="S47" s="13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2" t="s">
        <v>12</v>
      </c>
      <c r="P50" s="132" t="s">
        <v>12</v>
      </c>
      <c r="S50" s="132" t="s">
        <v>13</v>
      </c>
    </row>
    <row r="51" spans="15:19" ht="21" customHeight="1">
      <c r="O51" s="133"/>
      <c r="P51" s="133"/>
      <c r="S51" s="131"/>
    </row>
    <row r="52" spans="15:19" ht="64.900000000000006" customHeight="1">
      <c r="O52" s="14"/>
      <c r="P52" s="14"/>
      <c r="S52" s="14"/>
    </row>
  </sheetData>
  <mergeCells count="55">
    <mergeCell ref="S46:S47"/>
    <mergeCell ref="O50:O51"/>
    <mergeCell ref="P50:P51"/>
    <mergeCell ref="S50:S51"/>
    <mergeCell ref="O27:O28"/>
    <mergeCell ref="P27:P28"/>
    <mergeCell ref="O46:O47"/>
    <mergeCell ref="P46:P47"/>
    <mergeCell ref="B10:C10"/>
    <mergeCell ref="B11:C11"/>
    <mergeCell ref="A4:A5"/>
    <mergeCell ref="B4:C5"/>
    <mergeCell ref="D4:F5"/>
    <mergeCell ref="B7:C7"/>
    <mergeCell ref="D7:F7"/>
    <mergeCell ref="B8:C8"/>
    <mergeCell ref="D8:F8"/>
    <mergeCell ref="B9:C9"/>
    <mergeCell ref="J1:L1"/>
    <mergeCell ref="J2:L2"/>
    <mergeCell ref="E3:I3"/>
    <mergeCell ref="I4:I5"/>
    <mergeCell ref="J4:J5"/>
    <mergeCell ref="K4:K5"/>
    <mergeCell ref="L4:L5"/>
    <mergeCell ref="G4:G5"/>
    <mergeCell ref="H4:H5"/>
    <mergeCell ref="B12:C12"/>
    <mergeCell ref="B6:C6"/>
    <mergeCell ref="W23:X23"/>
    <mergeCell ref="D9:F9"/>
    <mergeCell ref="D10:F10"/>
    <mergeCell ref="D11:F11"/>
    <mergeCell ref="D12:F12"/>
    <mergeCell ref="D15:F15"/>
    <mergeCell ref="B14:C14"/>
    <mergeCell ref="B15:C15"/>
    <mergeCell ref="D13:F13"/>
    <mergeCell ref="D14:F14"/>
    <mergeCell ref="A16:B16"/>
    <mergeCell ref="P21:P22"/>
    <mergeCell ref="B13:C13"/>
    <mergeCell ref="D6:F6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12" activePane="bottomLeft" state="frozen"/>
      <selection activeCell="D30" sqref="D30"/>
      <selection pane="bottomLeft" activeCell="D15" sqref="D15:F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85</v>
      </c>
      <c r="B1" s="86"/>
      <c r="C1" s="86"/>
      <c r="D1" s="86"/>
      <c r="E1" s="86"/>
      <c r="F1" s="86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SAC2-DS-MRS-0506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46319</v>
      </c>
    </row>
    <row r="4" spans="1:18" ht="15.95" customHeight="1">
      <c r="A4" s="169" t="s">
        <v>2</v>
      </c>
      <c r="B4" s="168" t="s">
        <v>14</v>
      </c>
      <c r="C4" s="168"/>
      <c r="D4" s="169" t="s">
        <v>4</v>
      </c>
      <c r="E4" s="169"/>
      <c r="F4" s="169"/>
      <c r="G4" s="168" t="s">
        <v>5</v>
      </c>
      <c r="H4" s="169" t="s">
        <v>80</v>
      </c>
      <c r="I4" s="169" t="s">
        <v>15</v>
      </c>
      <c r="J4" s="169" t="s">
        <v>16</v>
      </c>
      <c r="K4" s="168" t="s">
        <v>7</v>
      </c>
    </row>
    <row r="5" spans="1:18" ht="15.95" customHeight="1">
      <c r="A5" s="169"/>
      <c r="B5" s="168"/>
      <c r="C5" s="168"/>
      <c r="D5" s="169"/>
      <c r="E5" s="169"/>
      <c r="F5" s="169"/>
      <c r="G5" s="168"/>
      <c r="H5" s="169"/>
      <c r="I5" s="169"/>
      <c r="J5" s="169"/>
      <c r="K5" s="168"/>
    </row>
    <row r="6" spans="1:18" ht="105" customHeight="1">
      <c r="A6" s="17">
        <f>+MRS!A6</f>
        <v>1</v>
      </c>
      <c r="B6" s="166" t="str">
        <f>MRS!B6</f>
        <v xml:space="preserve">Steel Plate </v>
      </c>
      <c r="C6" s="167"/>
      <c r="D6" s="163" t="str">
        <f>MRS!D6</f>
        <v>A36 (HDG) 3mm x 4' x 8'</v>
      </c>
      <c r="E6" s="164"/>
      <c r="F6" s="165"/>
      <c r="G6" s="89" t="str">
        <f>MRS!G6</f>
        <v>Sh't</v>
      </c>
      <c r="H6" s="89">
        <f>MRS!H6</f>
        <v>30</v>
      </c>
      <c r="I6" s="90">
        <f>MRS!I6</f>
        <v>626</v>
      </c>
      <c r="J6" s="90">
        <f>MRS!J6</f>
        <v>18780</v>
      </c>
      <c r="K6" s="91"/>
      <c r="O6" s="92"/>
      <c r="P6" s="92"/>
      <c r="R6" s="92"/>
    </row>
    <row r="7" spans="1:18" ht="105" customHeight="1">
      <c r="A7" s="17">
        <f>+MRS!A7</f>
        <v>2</v>
      </c>
      <c r="B7" s="166" t="str">
        <f>MRS!B7</f>
        <v xml:space="preserve">Steel Plate </v>
      </c>
      <c r="C7" s="167"/>
      <c r="D7" s="163" t="str">
        <f>MRS!D7</f>
        <v>A36 (HDG) 6mm x 4' x 8'</v>
      </c>
      <c r="E7" s="164"/>
      <c r="F7" s="165"/>
      <c r="G7" s="89" t="str">
        <f>MRS!G7</f>
        <v>Sh't</v>
      </c>
      <c r="H7" s="89">
        <f>MRS!H7</f>
        <v>12</v>
      </c>
      <c r="I7" s="90">
        <f>MRS!I7</f>
        <v>1244</v>
      </c>
      <c r="J7" s="90">
        <f>MRS!J7</f>
        <v>14928</v>
      </c>
      <c r="K7" s="91"/>
      <c r="O7" s="92"/>
      <c r="P7" s="92"/>
      <c r="R7" s="92"/>
    </row>
    <row r="8" spans="1:18" ht="105" customHeight="1">
      <c r="A8" s="17">
        <f>+MRS!A8</f>
        <v>3</v>
      </c>
      <c r="B8" s="166" t="str">
        <f>MRS!B8</f>
        <v xml:space="preserve">Steel Plate </v>
      </c>
      <c r="C8" s="167"/>
      <c r="D8" s="163" t="str">
        <f>MRS!D8</f>
        <v>A36 (HDG) 9.8mm x 4' x 8'</v>
      </c>
      <c r="E8" s="164"/>
      <c r="F8" s="165"/>
      <c r="G8" s="89" t="str">
        <f>MRS!G8</f>
        <v>Sh't</v>
      </c>
      <c r="H8" s="89">
        <f>MRS!H8</f>
        <v>8</v>
      </c>
      <c r="I8" s="90">
        <f>MRS!I8</f>
        <v>2070</v>
      </c>
      <c r="J8" s="90">
        <f>MRS!J8</f>
        <v>16560</v>
      </c>
      <c r="K8" s="91"/>
      <c r="O8" s="92"/>
      <c r="P8" s="92"/>
      <c r="R8" s="92"/>
    </row>
    <row r="9" spans="1:18" ht="105" customHeight="1">
      <c r="A9" s="17">
        <f>+MRS!A9</f>
        <v>4</v>
      </c>
      <c r="B9" s="166" t="str">
        <f>MRS!B9</f>
        <v>SUS Plate</v>
      </c>
      <c r="C9" s="167"/>
      <c r="D9" s="163" t="str">
        <f>MRS!D9</f>
        <v>SUS304 3mm x 4' x 8'</v>
      </c>
      <c r="E9" s="164"/>
      <c r="F9" s="165"/>
      <c r="G9" s="89" t="str">
        <f>MRS!G9</f>
        <v>Sh't</v>
      </c>
      <c r="H9" s="89">
        <f>MRS!H9</f>
        <v>4</v>
      </c>
      <c r="I9" s="90">
        <f>MRS!I9</f>
        <v>1212</v>
      </c>
      <c r="J9" s="90">
        <f>MRS!J9</f>
        <v>4848</v>
      </c>
      <c r="K9" s="91"/>
      <c r="O9" s="92"/>
      <c r="P9" s="92"/>
      <c r="R9" s="92"/>
    </row>
    <row r="10" spans="1:18" ht="105" customHeight="1">
      <c r="A10" s="17">
        <f>+MRS!A10</f>
        <v>5</v>
      </c>
      <c r="B10" s="166" t="str">
        <f>MRS!B10</f>
        <v>Pipe</v>
      </c>
      <c r="C10" s="167"/>
      <c r="D10" s="163" t="str">
        <f>MRS!D10</f>
        <v>2" S160 6m A106B</v>
      </c>
      <c r="E10" s="164"/>
      <c r="F10" s="165"/>
      <c r="G10" s="89" t="str">
        <f>MRS!G10</f>
        <v>Pcs</v>
      </c>
      <c r="H10" s="89">
        <f>MRS!H10</f>
        <v>4</v>
      </c>
      <c r="I10" s="90">
        <f>MRS!I10</f>
        <v>768</v>
      </c>
      <c r="J10" s="90">
        <f>MRS!J10</f>
        <v>3072</v>
      </c>
      <c r="K10" s="91"/>
      <c r="O10" s="92"/>
      <c r="P10" s="92"/>
      <c r="R10" s="92"/>
    </row>
    <row r="11" spans="1:18" ht="105" customHeight="1">
      <c r="A11" s="17">
        <f>+MRS!A11</f>
        <v>6</v>
      </c>
      <c r="B11" s="166" t="str">
        <f>MRS!B11</f>
        <v>Pipe</v>
      </c>
      <c r="C11" s="167"/>
      <c r="D11" s="163" t="str">
        <f>MRS!D11</f>
        <v>6" S160 6m A106B</v>
      </c>
      <c r="E11" s="164"/>
      <c r="F11" s="165"/>
      <c r="G11" s="89" t="str">
        <f>MRS!G11</f>
        <v>Pcs</v>
      </c>
      <c r="H11" s="89">
        <f>MRS!H11</f>
        <v>2</v>
      </c>
      <c r="I11" s="90">
        <f>MRS!I11</f>
        <v>3730</v>
      </c>
      <c r="J11" s="90">
        <f>MRS!J11</f>
        <v>7460</v>
      </c>
      <c r="K11" s="91"/>
      <c r="O11" s="92"/>
      <c r="P11" s="92"/>
      <c r="R11" s="92"/>
    </row>
    <row r="12" spans="1:18" ht="105" customHeight="1">
      <c r="A12" s="17">
        <f>+MRS!A12</f>
        <v>7</v>
      </c>
      <c r="B12" s="166" t="str">
        <f>MRS!B12</f>
        <v>WQT Coupon</v>
      </c>
      <c r="C12" s="167"/>
      <c r="D12" s="163" t="str">
        <f>MRS!D12</f>
        <v>2" S160 200mm one side bevel</v>
      </c>
      <c r="E12" s="164"/>
      <c r="F12" s="165"/>
      <c r="G12" s="89" t="str">
        <f>MRS!G12</f>
        <v>Pcs</v>
      </c>
      <c r="H12" s="89">
        <f>MRS!H12</f>
        <v>120</v>
      </c>
      <c r="I12" s="90">
        <f>MRS!I12</f>
        <v>40</v>
      </c>
      <c r="J12" s="90">
        <f>MRS!J12</f>
        <v>4800</v>
      </c>
      <c r="K12" s="91"/>
      <c r="O12" s="92"/>
      <c r="P12" s="92"/>
      <c r="R12" s="92"/>
    </row>
    <row r="13" spans="1:18" ht="105" customHeight="1">
      <c r="A13" s="17">
        <f>+MRS!A13</f>
        <v>8</v>
      </c>
      <c r="B13" s="166" t="str">
        <f>MRS!B13</f>
        <v>WQT Coupon</v>
      </c>
      <c r="C13" s="167"/>
      <c r="D13" s="163" t="str">
        <f>MRS!D13</f>
        <v>6" S160 200mm one side bevel</v>
      </c>
      <c r="E13" s="164"/>
      <c r="F13" s="165"/>
      <c r="G13" s="89" t="str">
        <f>MRS!G13</f>
        <v>Pcs</v>
      </c>
      <c r="H13" s="89">
        <f>MRS!H13</f>
        <v>60</v>
      </c>
      <c r="I13" s="90">
        <f>MRS!I13</f>
        <v>60</v>
      </c>
      <c r="J13" s="90">
        <f>MRS!J13</f>
        <v>3600</v>
      </c>
      <c r="K13" s="91"/>
      <c r="O13" s="92"/>
      <c r="P13" s="92"/>
      <c r="R13" s="92"/>
    </row>
    <row r="14" spans="1:18" ht="105" customHeight="1">
      <c r="A14" s="17">
        <f>+MRS!A14</f>
        <v>9</v>
      </c>
      <c r="B14" s="166" t="str">
        <f>MRS!B14</f>
        <v>WQT Coupon</v>
      </c>
      <c r="C14" s="167"/>
      <c r="D14" s="163" t="str">
        <f>MRS!D14</f>
        <v>2" S160 150mm one side bevel</v>
      </c>
      <c r="E14" s="164"/>
      <c r="F14" s="165"/>
      <c r="G14" s="89" t="str">
        <f>MRS!G14</f>
        <v>Pcs</v>
      </c>
      <c r="H14" s="89">
        <f>MRS!H14</f>
        <v>50</v>
      </c>
      <c r="I14" s="90">
        <f>MRS!I14</f>
        <v>40</v>
      </c>
      <c r="J14" s="90">
        <f>MRS!J14</f>
        <v>2000</v>
      </c>
      <c r="K14" s="91"/>
      <c r="O14" s="92"/>
      <c r="P14" s="92"/>
      <c r="R14" s="92"/>
    </row>
    <row r="15" spans="1:18" ht="105" customHeight="1">
      <c r="A15" s="17">
        <f>+MRS!A15</f>
        <v>10</v>
      </c>
      <c r="B15" s="166" t="str">
        <f>MRS!B15</f>
        <v>WQT Coupon</v>
      </c>
      <c r="C15" s="167"/>
      <c r="D15" s="163" t="str">
        <f>MRS!D15</f>
        <v>6" S160 150mm one side bevel</v>
      </c>
      <c r="E15" s="164"/>
      <c r="F15" s="165"/>
      <c r="G15" s="89" t="str">
        <f>MRS!G15</f>
        <v>Pcs</v>
      </c>
      <c r="H15" s="89">
        <f>MRS!H15</f>
        <v>80</v>
      </c>
      <c r="I15" s="90">
        <f>MRS!I15</f>
        <v>60</v>
      </c>
      <c r="J15" s="90">
        <f>MRS!J15</f>
        <v>4800</v>
      </c>
      <c r="K15" s="91"/>
      <c r="O15" s="92"/>
      <c r="P15" s="92"/>
      <c r="R15" s="92"/>
    </row>
    <row r="16" spans="1:18" ht="105" customHeight="1">
      <c r="A16" s="17"/>
      <c r="B16" s="166"/>
      <c r="C16" s="167"/>
      <c r="D16" s="163"/>
      <c r="E16" s="164"/>
      <c r="F16" s="165"/>
      <c r="G16" s="89"/>
      <c r="H16" s="89"/>
      <c r="I16" s="90"/>
      <c r="J16" s="90"/>
      <c r="K16" s="91"/>
      <c r="O16" s="92"/>
      <c r="P16" s="92"/>
      <c r="R16" s="92"/>
    </row>
    <row r="17" spans="1:18" ht="105" customHeight="1">
      <c r="A17" s="17"/>
      <c r="B17" s="166"/>
      <c r="C17" s="167"/>
      <c r="D17" s="163"/>
      <c r="E17" s="164"/>
      <c r="F17" s="165"/>
      <c r="G17" s="89"/>
      <c r="H17" s="89"/>
      <c r="I17" s="90"/>
      <c r="J17" s="90"/>
      <c r="K17" s="91"/>
      <c r="O17" s="92"/>
      <c r="P17" s="92"/>
      <c r="R17" s="92"/>
    </row>
    <row r="18" spans="1:18" ht="105" customHeight="1">
      <c r="A18" s="17"/>
      <c r="B18" s="166"/>
      <c r="C18" s="167"/>
      <c r="D18" s="163"/>
      <c r="E18" s="164"/>
      <c r="F18" s="165"/>
      <c r="G18" s="89"/>
      <c r="H18" s="89"/>
      <c r="I18" s="90"/>
      <c r="J18" s="90"/>
      <c r="K18" s="91"/>
      <c r="O18" s="92"/>
      <c r="P18" s="92"/>
      <c r="R18" s="92"/>
    </row>
    <row r="19" spans="1:18" ht="105" customHeight="1">
      <c r="A19" s="17"/>
      <c r="B19" s="166"/>
      <c r="C19" s="167"/>
      <c r="D19" s="163"/>
      <c r="E19" s="164"/>
      <c r="F19" s="165"/>
      <c r="G19" s="89"/>
      <c r="H19" s="89"/>
      <c r="I19" s="90"/>
      <c r="J19" s="90"/>
      <c r="K19" s="91"/>
      <c r="O19" s="92"/>
      <c r="P19" s="92"/>
      <c r="R19" s="92"/>
    </row>
    <row r="20" spans="1:18" ht="105" customHeight="1">
      <c r="A20" s="17"/>
      <c r="B20" s="166"/>
      <c r="C20" s="167"/>
      <c r="D20" s="163"/>
      <c r="E20" s="164"/>
      <c r="F20" s="165"/>
      <c r="G20" s="89"/>
      <c r="H20" s="89"/>
      <c r="I20" s="90"/>
      <c r="J20" s="90"/>
      <c r="K20" s="91"/>
      <c r="O20" s="92"/>
      <c r="P20" s="92"/>
      <c r="R20" s="92"/>
    </row>
    <row r="21" spans="1:18" ht="105" customHeight="1">
      <c r="A21" s="17"/>
      <c r="B21" s="166"/>
      <c r="C21" s="167"/>
      <c r="D21" s="163"/>
      <c r="E21" s="164"/>
      <c r="F21" s="165"/>
      <c r="G21" s="89"/>
      <c r="H21" s="89"/>
      <c r="I21" s="90"/>
      <c r="J21" s="90"/>
      <c r="K21" s="91"/>
      <c r="O21" s="92"/>
      <c r="P21" s="92"/>
      <c r="R21" s="92"/>
    </row>
    <row r="22" spans="1:18" ht="21" customHeight="1">
      <c r="B22" s="166"/>
      <c r="C22" s="167"/>
      <c r="D22" s="163"/>
      <c r="E22" s="164"/>
      <c r="F22" s="165"/>
      <c r="G22" s="89"/>
      <c r="H22" s="89"/>
      <c r="I22" s="90"/>
      <c r="J22" s="90"/>
    </row>
    <row r="23" spans="1:18" ht="21" customHeight="1">
      <c r="B23" s="166"/>
      <c r="C23" s="167"/>
      <c r="D23" s="163"/>
      <c r="E23" s="164"/>
      <c r="F23" s="165"/>
      <c r="G23" s="89"/>
      <c r="H23" s="89"/>
      <c r="I23" s="90"/>
      <c r="J23" s="90"/>
    </row>
    <row r="24" spans="1:18" ht="21" customHeight="1">
      <c r="B24" s="166"/>
      <c r="C24" s="167"/>
      <c r="D24" s="163"/>
      <c r="E24" s="164"/>
      <c r="F24" s="165"/>
      <c r="G24" s="89"/>
      <c r="H24" s="89"/>
      <c r="I24" s="90"/>
      <c r="J24" s="90"/>
    </row>
    <row r="25" spans="1:18" ht="21" customHeight="1">
      <c r="B25" s="166"/>
      <c r="C25" s="167"/>
      <c r="D25" s="163"/>
      <c r="E25" s="164"/>
      <c r="F25" s="165"/>
      <c r="G25" s="89"/>
      <c r="H25" s="89"/>
      <c r="I25" s="90"/>
      <c r="J25" s="90"/>
    </row>
    <row r="26" spans="1:18" ht="21" customHeight="1">
      <c r="B26" s="166"/>
      <c r="C26" s="167"/>
      <c r="D26" s="163"/>
      <c r="E26" s="164"/>
      <c r="F26" s="165"/>
      <c r="G26" s="89"/>
      <c r="H26" s="89"/>
      <c r="I26" s="90"/>
      <c r="J26" s="90"/>
    </row>
    <row r="27" spans="1:18" ht="21" customHeight="1">
      <c r="B27" s="166"/>
      <c r="C27" s="167"/>
      <c r="D27" s="163"/>
      <c r="E27" s="164"/>
      <c r="F27" s="165"/>
      <c r="G27" s="89"/>
      <c r="H27" s="89"/>
      <c r="I27" s="90"/>
      <c r="J27" s="90"/>
    </row>
    <row r="28" spans="1:18" ht="21" customHeight="1">
      <c r="B28" s="166"/>
      <c r="C28" s="167"/>
      <c r="D28" s="163"/>
      <c r="E28" s="164"/>
      <c r="F28" s="165"/>
      <c r="G28" s="89"/>
      <c r="H28" s="89"/>
      <c r="I28" s="90"/>
      <c r="J28" s="90"/>
    </row>
    <row r="29" spans="1:18" ht="21" customHeight="1">
      <c r="B29" s="166"/>
      <c r="C29" s="167"/>
      <c r="D29" s="163"/>
      <c r="E29" s="164"/>
      <c r="F29" s="165"/>
      <c r="G29" s="89"/>
      <c r="H29" s="89"/>
      <c r="I29" s="90"/>
      <c r="J29" s="90"/>
    </row>
    <row r="30" spans="1:18" ht="21" customHeight="1">
      <c r="B30" s="166"/>
      <c r="C30" s="167"/>
      <c r="D30" s="163"/>
      <c r="E30" s="164"/>
      <c r="F30" s="165"/>
      <c r="G30" s="89"/>
      <c r="H30" s="89"/>
      <c r="I30" s="90"/>
      <c r="J30" s="90"/>
    </row>
    <row r="31" spans="1:18" ht="21" customHeight="1">
      <c r="B31" s="166"/>
      <c r="C31" s="167"/>
      <c r="D31" s="163"/>
      <c r="E31" s="164"/>
      <c r="F31" s="165"/>
      <c r="G31" s="89"/>
      <c r="H31" s="89"/>
      <c r="I31" s="90"/>
      <c r="J31" s="90"/>
    </row>
    <row r="32" spans="1:18" ht="21" customHeight="1">
      <c r="B32" s="166"/>
      <c r="C32" s="167"/>
      <c r="D32" s="163"/>
      <c r="E32" s="164"/>
      <c r="F32" s="165"/>
      <c r="G32" s="89"/>
      <c r="H32" s="89"/>
      <c r="I32" s="90"/>
      <c r="J32" s="90"/>
    </row>
    <row r="33" spans="2:10" ht="21" customHeight="1">
      <c r="B33" s="166"/>
      <c r="C33" s="167"/>
      <c r="D33" s="163"/>
      <c r="E33" s="164"/>
      <c r="F33" s="165"/>
      <c r="G33" s="89"/>
      <c r="H33" s="89"/>
      <c r="I33" s="90"/>
      <c r="J33" s="90"/>
    </row>
    <row r="34" spans="2:10" ht="21" customHeight="1">
      <c r="B34" s="166"/>
      <c r="C34" s="167"/>
      <c r="D34" s="163"/>
      <c r="E34" s="164"/>
      <c r="F34" s="165"/>
      <c r="G34" s="89"/>
      <c r="H34" s="89"/>
      <c r="I34" s="90"/>
      <c r="J34" s="90"/>
    </row>
    <row r="35" spans="2:10" ht="21" customHeight="1">
      <c r="B35" s="166"/>
      <c r="C35" s="167"/>
      <c r="D35" s="163"/>
      <c r="E35" s="164"/>
      <c r="F35" s="165"/>
      <c r="G35" s="89"/>
      <c r="H35" s="89"/>
      <c r="I35" s="90"/>
      <c r="J35" s="90"/>
    </row>
    <row r="36" spans="2:10" ht="21" customHeight="1">
      <c r="B36" s="166"/>
      <c r="C36" s="167"/>
      <c r="D36" s="163"/>
      <c r="E36" s="164"/>
      <c r="F36" s="165"/>
      <c r="G36" s="89"/>
      <c r="H36" s="89"/>
      <c r="I36" s="90"/>
      <c r="J36" s="90"/>
    </row>
    <row r="37" spans="2:10" ht="21" customHeight="1">
      <c r="B37" s="166"/>
      <c r="C37" s="167"/>
      <c r="D37" s="163"/>
      <c r="E37" s="164"/>
      <c r="F37" s="165"/>
      <c r="G37" s="89"/>
      <c r="H37" s="89"/>
      <c r="I37" s="90"/>
      <c r="J37" s="90"/>
    </row>
    <row r="38" spans="2:10" ht="21" customHeight="1">
      <c r="B38" s="166"/>
      <c r="C38" s="167"/>
      <c r="D38" s="163"/>
      <c r="E38" s="164"/>
      <c r="F38" s="165"/>
      <c r="G38" s="89"/>
      <c r="H38" s="89"/>
      <c r="I38" s="90"/>
      <c r="J38" s="90"/>
    </row>
    <row r="39" spans="2:10" ht="21" customHeight="1">
      <c r="B39" s="166"/>
      <c r="C39" s="167"/>
      <c r="D39" s="163"/>
      <c r="E39" s="164"/>
      <c r="F39" s="165"/>
      <c r="G39" s="89"/>
      <c r="H39" s="89"/>
      <c r="I39" s="90"/>
      <c r="J39" s="90"/>
    </row>
    <row r="40" spans="2:10" ht="21" customHeight="1">
      <c r="B40" s="166"/>
      <c r="C40" s="167"/>
      <c r="D40" s="163"/>
      <c r="E40" s="164"/>
      <c r="F40" s="165"/>
      <c r="G40" s="89"/>
      <c r="H40" s="89"/>
      <c r="I40" s="90"/>
      <c r="J40" s="90"/>
    </row>
    <row r="41" spans="2:10" ht="21" customHeight="1">
      <c r="B41" s="166"/>
      <c r="C41" s="167"/>
      <c r="D41" s="163"/>
      <c r="E41" s="164"/>
      <c r="F41" s="165"/>
      <c r="G41" s="89"/>
      <c r="H41" s="89"/>
      <c r="I41" s="90"/>
      <c r="J41" s="90"/>
    </row>
    <row r="42" spans="2:10" ht="21" customHeight="1">
      <c r="B42" s="166"/>
      <c r="C42" s="167"/>
      <c r="D42" s="163"/>
      <c r="E42" s="164"/>
      <c r="F42" s="165"/>
      <c r="G42" s="89"/>
      <c r="H42" s="89"/>
      <c r="I42" s="90"/>
      <c r="J42" s="90"/>
    </row>
    <row r="43" spans="2:10" ht="21" customHeight="1">
      <c r="B43" s="166"/>
      <c r="C43" s="167"/>
      <c r="D43" s="163"/>
      <c r="E43" s="164"/>
      <c r="F43" s="165"/>
      <c r="G43" s="89"/>
      <c r="H43" s="89"/>
      <c r="I43" s="90"/>
      <c r="J43" s="90"/>
    </row>
    <row r="44" spans="2:10" ht="21" customHeight="1">
      <c r="B44" s="166"/>
      <c r="C44" s="167"/>
      <c r="D44" s="163"/>
      <c r="E44" s="164"/>
      <c r="F44" s="165"/>
      <c r="G44" s="89"/>
      <c r="H44" s="89"/>
      <c r="I44" s="90"/>
      <c r="J44" s="90"/>
    </row>
    <row r="45" spans="2:10" ht="21" customHeight="1">
      <c r="B45" s="166"/>
      <c r="C45" s="167"/>
      <c r="D45" s="163"/>
      <c r="E45" s="164"/>
      <c r="F45" s="165"/>
      <c r="G45" s="89"/>
      <c r="H45" s="89"/>
      <c r="I45" s="90"/>
      <c r="J45" s="90"/>
    </row>
    <row r="46" spans="2:10" ht="21" customHeight="1">
      <c r="B46" s="166"/>
      <c r="C46" s="167"/>
      <c r="D46" s="163"/>
      <c r="E46" s="164"/>
      <c r="F46" s="165"/>
      <c r="G46" s="89"/>
      <c r="H46" s="89"/>
      <c r="I46" s="90"/>
      <c r="J46" s="90"/>
    </row>
    <row r="47" spans="2:10" ht="21" customHeight="1">
      <c r="B47" s="166"/>
      <c r="C47" s="167"/>
      <c r="D47" s="163"/>
      <c r="E47" s="164"/>
      <c r="F47" s="165"/>
      <c r="G47" s="89"/>
      <c r="H47" s="89"/>
      <c r="I47" s="90"/>
      <c r="J47" s="90"/>
    </row>
    <row r="48" spans="2:10" ht="21" customHeight="1">
      <c r="B48" s="166"/>
      <c r="C48" s="167"/>
      <c r="D48" s="163"/>
      <c r="E48" s="164"/>
      <c r="F48" s="165"/>
      <c r="G48" s="89"/>
      <c r="H48" s="89"/>
      <c r="I48" s="90"/>
      <c r="J48" s="90"/>
    </row>
    <row r="49" spans="2:10" ht="21" customHeight="1">
      <c r="B49" s="166"/>
      <c r="C49" s="167"/>
      <c r="D49" s="163"/>
      <c r="E49" s="164"/>
      <c r="F49" s="165"/>
      <c r="G49" s="89"/>
      <c r="H49" s="89"/>
      <c r="I49" s="90"/>
      <c r="J49" s="90"/>
    </row>
    <row r="50" spans="2:10" ht="21" customHeight="1">
      <c r="B50" s="166"/>
      <c r="C50" s="167"/>
      <c r="D50" s="163"/>
      <c r="E50" s="164"/>
      <c r="F50" s="165"/>
      <c r="G50" s="89"/>
      <c r="H50" s="89"/>
      <c r="I50" s="90"/>
      <c r="J50" s="90"/>
    </row>
    <row r="51" spans="2:10" ht="21" customHeight="1">
      <c r="B51" s="166"/>
      <c r="C51" s="167"/>
      <c r="D51" s="163"/>
      <c r="E51" s="164"/>
      <c r="F51" s="165"/>
      <c r="G51" s="89"/>
      <c r="H51" s="89"/>
      <c r="I51" s="90"/>
      <c r="J51" s="90"/>
    </row>
    <row r="52" spans="2:10" ht="21" customHeight="1">
      <c r="B52" s="166"/>
      <c r="C52" s="167"/>
      <c r="D52" s="163"/>
      <c r="E52" s="164"/>
      <c r="F52" s="165"/>
      <c r="G52" s="89"/>
      <c r="H52" s="89"/>
      <c r="I52" s="90"/>
      <c r="J52" s="90"/>
    </row>
    <row r="53" spans="2:10" ht="21" customHeight="1">
      <c r="B53" s="166"/>
      <c r="C53" s="167"/>
      <c r="D53" s="163"/>
      <c r="E53" s="164"/>
      <c r="F53" s="165"/>
      <c r="G53" s="89"/>
      <c r="H53" s="89"/>
      <c r="I53" s="90"/>
      <c r="J53" s="90"/>
    </row>
    <row r="54" spans="2:10" ht="21" customHeight="1">
      <c r="B54" s="166" t="e">
        <f>MRS!#REF!</f>
        <v>#REF!</v>
      </c>
      <c r="C54" s="167"/>
    </row>
    <row r="55" spans="2:10" ht="21" customHeight="1">
      <c r="B55" s="166" t="e">
        <f>MRS!#REF!</f>
        <v>#REF!</v>
      </c>
      <c r="C55" s="167"/>
    </row>
    <row r="56" spans="2:10" ht="21" customHeight="1">
      <c r="B56" s="166" t="e">
        <f>MRS!#REF!</f>
        <v>#REF!</v>
      </c>
      <c r="C56" s="167"/>
    </row>
    <row r="57" spans="2:10" ht="21" customHeight="1">
      <c r="B57" s="166" t="e">
        <f>MRS!#REF!</f>
        <v>#REF!</v>
      </c>
      <c r="C57" s="167"/>
    </row>
    <row r="58" spans="2:10" ht="21" customHeight="1">
      <c r="B58" s="166">
        <f>MRS!B16</f>
        <v>0</v>
      </c>
      <c r="C58" s="167"/>
    </row>
  </sheetData>
  <mergeCells count="111"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89</v>
      </c>
      <c r="D9" s="34"/>
      <c r="E9" s="34"/>
    </row>
    <row r="10" spans="2:13" s="34" customFormat="1">
      <c r="B10" s="65"/>
      <c r="C10" s="34" t="s">
        <v>23</v>
      </c>
      <c r="D10" s="69" t="s">
        <v>90</v>
      </c>
      <c r="J10" s="34" t="s">
        <v>24</v>
      </c>
      <c r="K10" s="171">
        <f>MRS!L3</f>
        <v>46319</v>
      </c>
      <c r="L10" s="172"/>
      <c r="M10" s="172"/>
    </row>
    <row r="11" spans="2:13" s="34" customFormat="1">
      <c r="B11" s="65"/>
      <c r="C11" s="68" t="s">
        <v>25</v>
      </c>
      <c r="D11" s="69" t="s">
        <v>91</v>
      </c>
      <c r="J11" s="34" t="s">
        <v>26</v>
      </c>
      <c r="K11" s="173" t="str">
        <f>SUBSTITUTE(SUBSTITUTE(+MRS!A3,"  MRS No : ",""),"-MRS","-PO")</f>
        <v>SAC2-DS-PO-0506</v>
      </c>
      <c r="L11" s="173"/>
      <c r="M11" s="173"/>
    </row>
    <row r="12" spans="2:13" s="34" customFormat="1">
      <c r="B12" s="65"/>
      <c r="C12" s="68" t="s">
        <v>27</v>
      </c>
      <c r="D12" s="34" t="s">
        <v>92</v>
      </c>
      <c r="J12" s="34" t="s">
        <v>28</v>
      </c>
    </row>
    <row r="13" spans="2:13" s="34" customFormat="1">
      <c r="B13" s="65"/>
      <c r="C13" s="70"/>
      <c r="D13" s="69" t="s">
        <v>93</v>
      </c>
      <c r="J13" s="34" t="s">
        <v>29</v>
      </c>
    </row>
    <row r="14" spans="2:13" s="34" customFormat="1">
      <c r="B14" s="65"/>
      <c r="C14" s="101" t="s">
        <v>98</v>
      </c>
      <c r="J14" s="34" t="s">
        <v>30</v>
      </c>
      <c r="K14" s="34" t="s">
        <v>129</v>
      </c>
    </row>
    <row r="15" spans="2:13" s="34" customFormat="1">
      <c r="B15" s="65"/>
      <c r="C15" s="68" t="s">
        <v>94</v>
      </c>
      <c r="J15" s="34" t="s">
        <v>31</v>
      </c>
      <c r="K15" s="71">
        <v>46295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4" t="s">
        <v>32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</row>
    <row r="19" spans="2:13" ht="12" customHeight="1"/>
    <row r="20" spans="2:13" s="27" customFormat="1" ht="12" customHeight="1">
      <c r="B20" s="175" t="s">
        <v>33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</row>
    <row r="21" spans="2:13" s="27" customFormat="1" ht="12" customHeight="1">
      <c r="B21" s="175" t="s">
        <v>34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</row>
    <row r="22" spans="2:13" s="27" customFormat="1" ht="12" customHeight="1">
      <c r="B22" s="175" t="s">
        <v>35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</row>
    <row r="23" spans="2:13" ht="3.75" customHeight="1"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2:13" ht="6.95" customHeight="1"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tr">
        <f>MRS!$B$6</f>
        <v xml:space="preserve">Steel Plate 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2">
        <f>'PO 2nd page'!G16</f>
        <v>80848</v>
      </c>
      <c r="G29" s="97"/>
      <c r="H29" s="97"/>
      <c r="M29" s="29"/>
    </row>
    <row r="30" spans="2:13" ht="15" customHeight="1">
      <c r="B30" s="28"/>
      <c r="C30" s="22" t="s">
        <v>41</v>
      </c>
      <c r="E30" s="22" t="s">
        <v>40</v>
      </c>
      <c r="F30" s="102">
        <f>'PO 2nd page'!G17</f>
        <v>12127.199999999999</v>
      </c>
      <c r="G30" s="97"/>
      <c r="H30" s="97"/>
    </row>
    <row r="31" spans="2:13" ht="15" customHeight="1">
      <c r="B31" s="28"/>
      <c r="C31" s="22" t="s">
        <v>42</v>
      </c>
      <c r="D31" s="30"/>
      <c r="E31" s="22" t="s">
        <v>40</v>
      </c>
      <c r="F31" s="102">
        <f>'PO 2nd page'!G18</f>
        <v>92975.2</v>
      </c>
      <c r="G31" s="97"/>
      <c r="H31" s="97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82</v>
      </c>
    </row>
    <row r="51" spans="2:16" s="76" customFormat="1" ht="12" customHeight="1">
      <c r="B51" s="77" t="s">
        <v>56</v>
      </c>
      <c r="C51" s="74" t="s">
        <v>81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100</v>
      </c>
    </row>
    <row r="54" spans="2:16" ht="12" customHeight="1">
      <c r="B54" s="77" t="s">
        <v>56</v>
      </c>
      <c r="C54" s="103" t="s">
        <v>106</v>
      </c>
      <c r="F54" s="22" t="s">
        <v>101</v>
      </c>
    </row>
    <row r="55" spans="2:16" ht="12" customHeight="1">
      <c r="B55" s="77" t="s">
        <v>56</v>
      </c>
      <c r="C55" s="103" t="s">
        <v>107</v>
      </c>
      <c r="F55" s="104" t="s">
        <v>102</v>
      </c>
    </row>
    <row r="56" spans="2:16" ht="12" customHeight="1">
      <c r="B56" s="77" t="s">
        <v>56</v>
      </c>
      <c r="C56" s="103" t="s">
        <v>108</v>
      </c>
      <c r="F56" s="22" t="s">
        <v>113</v>
      </c>
    </row>
    <row r="57" spans="2:16" ht="12" customHeight="1">
      <c r="B57" s="77" t="s">
        <v>56</v>
      </c>
      <c r="C57" s="103" t="s">
        <v>109</v>
      </c>
      <c r="F57" s="22" t="s">
        <v>103</v>
      </c>
    </row>
    <row r="58" spans="2:16" ht="12" customHeight="1">
      <c r="B58" s="77" t="s">
        <v>56</v>
      </c>
      <c r="C58" s="103" t="s">
        <v>110</v>
      </c>
      <c r="F58" s="22" t="s">
        <v>104</v>
      </c>
    </row>
    <row r="59" spans="2:16" ht="12" customHeight="1">
      <c r="B59" s="77" t="s">
        <v>56</v>
      </c>
      <c r="C59" s="103" t="s">
        <v>111</v>
      </c>
      <c r="F59" s="22" t="s">
        <v>105</v>
      </c>
    </row>
    <row r="60" spans="2:16" ht="12" customHeight="1">
      <c r="B60" s="77"/>
      <c r="C60" s="103" t="s">
        <v>112</v>
      </c>
    </row>
    <row r="61" spans="2:16" ht="6.75" customHeight="1">
      <c r="B61" s="77"/>
      <c r="C61" s="103"/>
    </row>
    <row r="62" spans="2:16" ht="6" customHeight="1">
      <c r="B62" s="105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95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97</v>
      </c>
      <c r="J70" s="178" t="str">
        <f>C9</f>
        <v>JSAJ(Jassim Saif Amer Aljaberi Trading Est.)</v>
      </c>
      <c r="K70" s="178"/>
      <c r="L70" s="178"/>
      <c r="M70" s="178"/>
    </row>
    <row r="71" spans="1:13" ht="27.95" customHeight="1">
      <c r="A71" s="170" t="s">
        <v>66</v>
      </c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tabSelected="1" view="pageBreakPreview" zoomScaleSheetLayoutView="100" zoomScalePageLayoutView="55" workbookViewId="0">
      <selection activeCell="E4" sqref="E4:E5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SAC2-DS-PO-0506</v>
      </c>
      <c r="C2" s="181" t="s">
        <v>68</v>
      </c>
      <c r="D2" s="181"/>
      <c r="E2" s="181"/>
      <c r="F2" s="181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46319</v>
      </c>
      <c r="C3" s="44"/>
      <c r="D3" s="45"/>
      <c r="E3" s="182" t="s">
        <v>70</v>
      </c>
      <c r="F3" s="182"/>
      <c r="G3" s="182"/>
      <c r="H3" s="182"/>
      <c r="I3" s="46"/>
    </row>
    <row r="4" spans="1:13" s="48" customFormat="1" ht="28.5" customHeight="1" thickTop="1">
      <c r="A4" s="183" t="s">
        <v>71</v>
      </c>
      <c r="B4" s="185" t="s">
        <v>72</v>
      </c>
      <c r="C4" s="186"/>
      <c r="D4" s="189" t="s">
        <v>147</v>
      </c>
      <c r="E4" s="189" t="s">
        <v>148</v>
      </c>
      <c r="F4" s="191" t="str">
        <f>'PO 1st page'!C9</f>
        <v>JSAJ(Jassim Saif Amer Aljaberi Trading Est.)</v>
      </c>
      <c r="G4" s="192"/>
      <c r="H4" s="193" t="s">
        <v>73</v>
      </c>
      <c r="K4" s="49"/>
      <c r="L4" s="49"/>
      <c r="M4" s="49"/>
    </row>
    <row r="5" spans="1:13" s="48" customFormat="1" ht="21.95" customHeight="1">
      <c r="A5" s="184"/>
      <c r="B5" s="187"/>
      <c r="C5" s="188"/>
      <c r="D5" s="190"/>
      <c r="E5" s="190"/>
      <c r="F5" s="50" t="s">
        <v>74</v>
      </c>
      <c r="G5" s="50" t="s">
        <v>42</v>
      </c>
      <c r="H5" s="194"/>
      <c r="K5" s="49"/>
      <c r="L5" s="49"/>
      <c r="M5" s="49"/>
    </row>
    <row r="6" spans="1:13" s="48" customFormat="1" ht="32.1" customHeight="1">
      <c r="A6" s="78">
        <f t="shared" ref="A6:A15" si="0">ROW(A1)</f>
        <v>1</v>
      </c>
      <c r="B6" s="179" t="str">
        <f>MRS!B6&amp;" "&amp;MRS!D6</f>
        <v>Steel Plate  A36 (HDG) 3mm x 4' x 8'</v>
      </c>
      <c r="C6" s="180"/>
      <c r="D6" s="79" t="str">
        <f>MRS!G6</f>
        <v>Sh't</v>
      </c>
      <c r="E6" s="80">
        <f>MRS!H6</f>
        <v>30</v>
      </c>
      <c r="F6" s="81">
        <f>+'MRS LIST'!I6</f>
        <v>626</v>
      </c>
      <c r="G6" s="82">
        <f>+'MRS LIST'!J6</f>
        <v>18780</v>
      </c>
      <c r="H6" s="83" t="s">
        <v>96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79" t="str">
        <f>MRS!B7&amp;" "&amp;MRS!D7</f>
        <v>Steel Plate  A36 (HDG) 6mm x 4' x 8'</v>
      </c>
      <c r="C7" s="180"/>
      <c r="D7" s="79" t="str">
        <f>MRS!G7</f>
        <v>Sh't</v>
      </c>
      <c r="E7" s="80">
        <f>MRS!H7</f>
        <v>12</v>
      </c>
      <c r="F7" s="81">
        <f>+'MRS LIST'!I7</f>
        <v>1244</v>
      </c>
      <c r="G7" s="82">
        <f>+'MRS LIST'!J7</f>
        <v>14928</v>
      </c>
      <c r="H7" s="83" t="s">
        <v>56</v>
      </c>
      <c r="K7" s="84"/>
      <c r="L7" s="85"/>
      <c r="M7" s="49"/>
    </row>
    <row r="8" spans="1:13" s="48" customFormat="1" ht="32.1" customHeight="1">
      <c r="A8" s="78">
        <f t="shared" si="0"/>
        <v>3</v>
      </c>
      <c r="B8" s="179" t="str">
        <f>MRS!B8&amp;" "&amp;MRS!D8</f>
        <v>Steel Plate  A36 (HDG) 9.8mm x 4' x 8'</v>
      </c>
      <c r="C8" s="180"/>
      <c r="D8" s="79" t="str">
        <f>MRS!G8</f>
        <v>Sh't</v>
      </c>
      <c r="E8" s="80">
        <f>MRS!H8</f>
        <v>8</v>
      </c>
      <c r="F8" s="81">
        <f>+'MRS LIST'!I8</f>
        <v>2070</v>
      </c>
      <c r="G8" s="82">
        <f>+'MRS LIST'!J8</f>
        <v>16560</v>
      </c>
      <c r="H8" s="83" t="s">
        <v>56</v>
      </c>
      <c r="K8" s="49"/>
      <c r="L8" s="49"/>
      <c r="M8" s="49"/>
    </row>
    <row r="9" spans="1:13" s="48" customFormat="1" ht="32.1" customHeight="1">
      <c r="A9" s="78">
        <f t="shared" si="0"/>
        <v>4</v>
      </c>
      <c r="B9" s="179" t="str">
        <f>MRS!B9&amp;" "&amp;MRS!D9</f>
        <v>SUS Plate SUS304 3mm x 4' x 8'</v>
      </c>
      <c r="C9" s="180"/>
      <c r="D9" s="79" t="str">
        <f>MRS!G9</f>
        <v>Sh't</v>
      </c>
      <c r="E9" s="80">
        <f>MRS!H9</f>
        <v>4</v>
      </c>
      <c r="F9" s="81">
        <f>+'MRS LIST'!I9</f>
        <v>1212</v>
      </c>
      <c r="G9" s="82">
        <f>+'MRS LIST'!J9</f>
        <v>4848</v>
      </c>
      <c r="H9" s="83" t="s">
        <v>56</v>
      </c>
    </row>
    <row r="10" spans="1:13" s="48" customFormat="1" ht="32.1" customHeight="1">
      <c r="A10" s="78">
        <f t="shared" si="0"/>
        <v>5</v>
      </c>
      <c r="B10" s="179" t="str">
        <f>MRS!B10&amp;" "&amp;MRS!D10</f>
        <v>Pipe 2" S160 6m A106B</v>
      </c>
      <c r="C10" s="180"/>
      <c r="D10" s="79" t="str">
        <f>MRS!G10</f>
        <v>Pcs</v>
      </c>
      <c r="E10" s="80">
        <f>MRS!H10</f>
        <v>4</v>
      </c>
      <c r="F10" s="81">
        <f>+'MRS LIST'!I10</f>
        <v>768</v>
      </c>
      <c r="G10" s="82">
        <f>+'MRS LIST'!J10</f>
        <v>3072</v>
      </c>
      <c r="H10" s="83" t="s">
        <v>56</v>
      </c>
    </row>
    <row r="11" spans="1:13" s="48" customFormat="1" ht="32.1" customHeight="1">
      <c r="A11" s="78">
        <f t="shared" si="0"/>
        <v>6</v>
      </c>
      <c r="B11" s="179" t="str">
        <f>MRS!B11&amp;" "&amp;MRS!D11</f>
        <v>Pipe 6" S160 6m A106B</v>
      </c>
      <c r="C11" s="180"/>
      <c r="D11" s="79" t="str">
        <f>MRS!G11</f>
        <v>Pcs</v>
      </c>
      <c r="E11" s="80">
        <f>MRS!H11</f>
        <v>2</v>
      </c>
      <c r="F11" s="81">
        <f>+'MRS LIST'!I11</f>
        <v>3730</v>
      </c>
      <c r="G11" s="82">
        <f>+'MRS LIST'!J11</f>
        <v>7460</v>
      </c>
      <c r="H11" s="83" t="s">
        <v>56</v>
      </c>
    </row>
    <row r="12" spans="1:13" s="48" customFormat="1" ht="32.1" customHeight="1">
      <c r="A12" s="78">
        <f t="shared" si="0"/>
        <v>7</v>
      </c>
      <c r="B12" s="179" t="str">
        <f>MRS!B12&amp;" "&amp;MRS!D12</f>
        <v>WQT Coupon 2" S160 200mm one side bevel</v>
      </c>
      <c r="C12" s="180"/>
      <c r="D12" s="79" t="str">
        <f>MRS!G12</f>
        <v>Pcs</v>
      </c>
      <c r="E12" s="80">
        <f>MRS!H12</f>
        <v>120</v>
      </c>
      <c r="F12" s="81">
        <f>+'MRS LIST'!I12</f>
        <v>40</v>
      </c>
      <c r="G12" s="82">
        <f>+'MRS LIST'!J12</f>
        <v>4800</v>
      </c>
      <c r="H12" s="83" t="s">
        <v>56</v>
      </c>
    </row>
    <row r="13" spans="1:13" s="48" customFormat="1" ht="32.1" customHeight="1">
      <c r="A13" s="78">
        <f t="shared" si="0"/>
        <v>8</v>
      </c>
      <c r="B13" s="179" t="str">
        <f>MRS!B13&amp;" "&amp;MRS!D13</f>
        <v>WQT Coupon 6" S160 200mm one side bevel</v>
      </c>
      <c r="C13" s="180"/>
      <c r="D13" s="79" t="str">
        <f>MRS!G13</f>
        <v>Pcs</v>
      </c>
      <c r="E13" s="80">
        <f>MRS!H13</f>
        <v>60</v>
      </c>
      <c r="F13" s="81">
        <f>+'MRS LIST'!I13</f>
        <v>60</v>
      </c>
      <c r="G13" s="82">
        <f>+'MRS LIST'!J13</f>
        <v>3600</v>
      </c>
      <c r="H13" s="83" t="s">
        <v>56</v>
      </c>
    </row>
    <row r="14" spans="1:13" s="48" customFormat="1" ht="32.1" customHeight="1">
      <c r="A14" s="78">
        <f t="shared" si="0"/>
        <v>9</v>
      </c>
      <c r="B14" s="179" t="str">
        <f>MRS!B14&amp;" "&amp;MRS!D14</f>
        <v>WQT Coupon 2" S160 150mm one side bevel</v>
      </c>
      <c r="C14" s="180"/>
      <c r="D14" s="79" t="str">
        <f>MRS!G14</f>
        <v>Pcs</v>
      </c>
      <c r="E14" s="80">
        <f>MRS!H14</f>
        <v>50</v>
      </c>
      <c r="F14" s="81">
        <f>+'MRS LIST'!I14</f>
        <v>40</v>
      </c>
      <c r="G14" s="82">
        <f>+'MRS LIST'!J14</f>
        <v>2000</v>
      </c>
      <c r="H14" s="83" t="s">
        <v>56</v>
      </c>
    </row>
    <row r="15" spans="1:13" s="48" customFormat="1" ht="32.1" customHeight="1">
      <c r="A15" s="78">
        <f t="shared" si="0"/>
        <v>10</v>
      </c>
      <c r="B15" s="179" t="str">
        <f>MRS!B15&amp;" "&amp;MRS!D15</f>
        <v>WQT Coupon 6" S160 150mm one side bevel</v>
      </c>
      <c r="C15" s="180"/>
      <c r="D15" s="79" t="str">
        <f>MRS!G15</f>
        <v>Pcs</v>
      </c>
      <c r="E15" s="80">
        <f>MRS!H15</f>
        <v>80</v>
      </c>
      <c r="F15" s="81">
        <f>+'MRS LIST'!I15</f>
        <v>60</v>
      </c>
      <c r="G15" s="82">
        <f>+'MRS LIST'!J15</f>
        <v>4800</v>
      </c>
      <c r="H15" s="83" t="s">
        <v>56</v>
      </c>
    </row>
    <row r="16" spans="1:13" s="48" customFormat="1" ht="23.1" customHeight="1">
      <c r="A16" s="195" t="s">
        <v>75</v>
      </c>
      <c r="B16" s="196"/>
      <c r="C16" s="196"/>
      <c r="D16" s="196"/>
      <c r="E16" s="196"/>
      <c r="F16" s="196"/>
      <c r="G16" s="51">
        <f>SUM(G6:G15)</f>
        <v>80848</v>
      </c>
      <c r="H16" s="52"/>
    </row>
    <row r="17" spans="1:13" s="48" customFormat="1" ht="23.1" customHeight="1">
      <c r="A17" s="195" t="s">
        <v>41</v>
      </c>
      <c r="B17" s="196"/>
      <c r="C17" s="196"/>
      <c r="D17" s="196"/>
      <c r="E17" s="196"/>
      <c r="F17" s="196"/>
      <c r="G17" s="51">
        <f>+G16*0.15</f>
        <v>12127.199999999999</v>
      </c>
      <c r="H17" s="52"/>
    </row>
    <row r="18" spans="1:13" s="48" customFormat="1" ht="24.95" customHeight="1" thickBot="1">
      <c r="A18" s="197" t="s">
        <v>76</v>
      </c>
      <c r="B18" s="198"/>
      <c r="C18" s="198"/>
      <c r="D18" s="198"/>
      <c r="E18" s="198"/>
      <c r="F18" s="198"/>
      <c r="G18" s="53">
        <f>G17+G16</f>
        <v>92975.2</v>
      </c>
      <c r="H18" s="54"/>
    </row>
    <row r="19" spans="1:13" ht="15.75" thickTop="1">
      <c r="A19" s="55" t="str">
        <f>" 1) Above Price are as per your quotation with ref "&amp;'PO 1st page'!K14</f>
        <v xml:space="preserve"> 1) Above Price are as per your quotation with ref Q-20263259</v>
      </c>
      <c r="B19" s="56"/>
      <c r="C19" s="56"/>
      <c r="D19" s="57"/>
      <c r="E19" s="57"/>
      <c r="F19" s="57"/>
      <c r="G19" s="57"/>
      <c r="H19" s="57"/>
    </row>
    <row r="20" spans="1:13" ht="15">
      <c r="A20" s="58" t="s">
        <v>77</v>
      </c>
      <c r="B20" s="59"/>
      <c r="C20" s="59"/>
      <c r="D20" s="60"/>
      <c r="E20" s="60"/>
      <c r="F20" s="60"/>
      <c r="G20" s="60"/>
      <c r="H20" s="60"/>
      <c r="I20" s="61"/>
    </row>
    <row r="21" spans="1:13" ht="15.75">
      <c r="A21" s="62"/>
    </row>
    <row r="22" spans="1:13">
      <c r="A22" s="170" t="s">
        <v>78</v>
      </c>
      <c r="B22" s="170"/>
      <c r="C22" s="170"/>
      <c r="D22" s="170"/>
      <c r="E22" s="170"/>
      <c r="F22" s="170"/>
      <c r="G22" s="170"/>
      <c r="H22" s="170"/>
      <c r="I22" s="63"/>
      <c r="J22" s="63"/>
      <c r="K22" s="63"/>
      <c r="L22" s="63"/>
      <c r="M22" s="63"/>
    </row>
    <row r="23" spans="1:13" ht="15.75">
      <c r="A23" s="62"/>
      <c r="C23" s="64"/>
    </row>
    <row r="24" spans="1:13" ht="15.75">
      <c r="A24" s="62"/>
      <c r="C24" s="64"/>
    </row>
    <row r="26" spans="1:13" ht="12" customHeight="1"/>
  </sheetData>
  <mergeCells count="22">
    <mergeCell ref="A16:F16"/>
    <mergeCell ref="A17:F17"/>
    <mergeCell ref="A18:F18"/>
    <mergeCell ref="A22:H22"/>
    <mergeCell ref="B11:C11"/>
    <mergeCell ref="B12:C12"/>
    <mergeCell ref="B13:C13"/>
    <mergeCell ref="B15:C15"/>
    <mergeCell ref="B14:C14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2026-10-24T06:13:47Z</cp:lastPrinted>
  <dcterms:created xsi:type="dcterms:W3CDTF">2024-10-20T11:50:19Z</dcterms:created>
  <dcterms:modified xsi:type="dcterms:W3CDTF">2026-10-25T05:01:18Z</dcterms:modified>
</cp:coreProperties>
</file>