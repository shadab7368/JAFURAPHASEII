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Boss\PO\JASSIM\Q-20263259\"/>
    </mc:Choice>
  </mc:AlternateContent>
  <xr:revisionPtr revIDLastSave="0" documentId="13_ncr:1_{05B48825-AFD5-4F81-8FF1-482FBCF3FC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소모품_1차'!$A$1:$V$43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U7" i="1"/>
  <c r="U8" i="1"/>
  <c r="U9" i="1"/>
  <c r="U10" i="1"/>
  <c r="U11" i="1"/>
  <c r="U12" i="1"/>
  <c r="U13" i="1"/>
  <c r="U14" i="1"/>
  <c r="U15" i="1"/>
  <c r="S7" i="1"/>
  <c r="S8" i="1"/>
  <c r="S9" i="1"/>
  <c r="S10" i="1"/>
  <c r="S11" i="1"/>
  <c r="S12" i="1"/>
  <c r="S13" i="1"/>
  <c r="S14" i="1"/>
  <c r="S15" i="1"/>
  <c r="Q7" i="1"/>
  <c r="Q8" i="1"/>
  <c r="Q9" i="1"/>
  <c r="Q10" i="1"/>
  <c r="Q11" i="1"/>
  <c r="Q12" i="1"/>
  <c r="Q13" i="1"/>
  <c r="Q14" i="1"/>
  <c r="Q15" i="1"/>
  <c r="O7" i="1"/>
  <c r="O8" i="1"/>
  <c r="O9" i="1"/>
  <c r="O10" i="1"/>
  <c r="O11" i="1"/>
  <c r="O12" i="1"/>
  <c r="O13" i="1"/>
  <c r="O14" i="1"/>
  <c r="O15" i="1"/>
  <c r="K7" i="1"/>
  <c r="K8" i="1"/>
  <c r="K9" i="1"/>
  <c r="K10" i="1"/>
  <c r="K11" i="1"/>
  <c r="K12" i="1"/>
  <c r="K13" i="1"/>
  <c r="K14" i="1"/>
  <c r="K15" i="1"/>
  <c r="G27" i="1"/>
  <c r="S6" i="1" l="1"/>
  <c r="G28" i="1" l="1"/>
  <c r="G29" i="1" s="1"/>
  <c r="G30" i="1" s="1"/>
  <c r="O6" i="1"/>
  <c r="K6" i="1" l="1"/>
  <c r="R27" i="1" l="1"/>
  <c r="N27" i="1"/>
  <c r="J27" i="1"/>
  <c r="C34" i="1" s="1"/>
  <c r="O28" i="1" l="1"/>
  <c r="O29" i="1" s="1"/>
  <c r="C36" i="1"/>
  <c r="C35" i="1"/>
  <c r="K28" i="1" l="1"/>
  <c r="K29" i="1" s="1"/>
  <c r="Q6" i="1"/>
  <c r="U6" i="1" l="1"/>
  <c r="S28" i="1"/>
  <c r="S29" i="1" s="1"/>
  <c r="O30" i="1"/>
  <c r="J35" i="1" l="1"/>
  <c r="S30" i="1"/>
  <c r="J36" i="1" l="1"/>
  <c r="N35" i="1"/>
  <c r="R35" i="1" l="1"/>
  <c r="N36" i="1"/>
  <c r="R36" i="1"/>
  <c r="K30" i="1" l="1"/>
  <c r="I30" i="1" s="1"/>
  <c r="Q28" i="1"/>
  <c r="U28" i="1"/>
  <c r="E34" i="1" l="1"/>
  <c r="U30" i="1"/>
  <c r="Q30" i="1"/>
  <c r="J34" i="1"/>
  <c r="L35" i="1" l="1"/>
  <c r="L36" i="1"/>
  <c r="R34" i="1"/>
  <c r="N34" i="1"/>
  <c r="T35" i="1"/>
  <c r="P36" i="1"/>
  <c r="T36" i="1"/>
  <c r="P35" i="1"/>
  <c r="Q34" i="1" l="1"/>
  <c r="P34" i="1"/>
  <c r="U34" i="1"/>
  <c r="T34" i="1"/>
</calcChain>
</file>

<file path=xl/sharedStrings.xml><?xml version="1.0" encoding="utf-8"?>
<sst xmlns="http://schemas.openxmlformats.org/spreadsheetml/2006/main" count="150" uniqueCount="78">
  <si>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</si>
  <si>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</si>
  <si>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</si>
  <si>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</si>
  <si>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</si>
  <si>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</si>
  <si>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</si>
  <si>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</si>
  <si>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</si>
  <si>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</si>
  <si>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</si>
  <si>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</si>
  <si>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</si>
  <si>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</si>
  <si>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</si>
  <si>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</si>
  <si>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</si>
  <si>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</si>
  <si>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</si>
  <si>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</si>
  <si>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</si>
  <si>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</si>
  <si>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</si>
  <si>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</si>
  <si>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</si>
  <si>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</si>
  <si>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</si>
  <si>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</si>
  <si>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</si>
  <si>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</si>
  <si>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</si>
  <si>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</si>
  <si>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</si>
  <si>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</si>
  <si>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</si>
  <si>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</si>
  <si>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</si>
  <si>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</si>
  <si>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</si>
  <si>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</si>
  <si>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</si>
  <si>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</si>
  <si>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</si>
  <si>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</si>
  <si>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</si>
  <si>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</si>
  <si>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</si>
  <si>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</si>
  <si>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</si>
  <si>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</si>
  <si>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</si>
  <si>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</si>
  <si>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</si>
  <si>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</si>
  <si>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</si>
  <si>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JASSIM SAIF AMER ALIABERI TRADING EST</t>
  </si>
  <si>
    <t>SITE CONSUMABLES</t>
  </si>
  <si>
    <t>■ Bid Price (Unit Price) Review &amp; Compression Sheet</t>
  </si>
  <si>
    <t xml:space="preserve">Steel Plate </t>
  </si>
  <si>
    <t>SUS Plate</t>
  </si>
  <si>
    <t>Pipe</t>
  </si>
  <si>
    <t>WQT Coupon</t>
  </si>
  <si>
    <t>A36 (HDG) 3mm x 4' x 8'</t>
  </si>
  <si>
    <t>A36 (HDG) 6mm x 4' x 8'</t>
  </si>
  <si>
    <t>A36 (HDG) 9mm x 4' x 8'</t>
  </si>
  <si>
    <t>SUS304 3mm x 4' x 8'</t>
  </si>
  <si>
    <t>2" S160 6m A106B</t>
  </si>
  <si>
    <t>6" S160 6m A106B</t>
  </si>
  <si>
    <t>2" S160 200mm one side bevel</t>
  </si>
  <si>
    <t>6" S160 200mm one side bevel</t>
  </si>
  <si>
    <t>2" S160 150mm one side bevel</t>
  </si>
  <si>
    <t>6" S160 150mm one side bevel</t>
  </si>
  <si>
    <t>Sh't</t>
  </si>
  <si>
    <t>Pcs</t>
  </si>
  <si>
    <t>Previous Price</t>
  </si>
  <si>
    <t>ALI MANEA ALYAMI TRADING EST</t>
  </si>
  <si>
    <t>SADA AL ARAB TRADING CO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</si>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</sst>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0" fontId="28" fillId="2" borderId="24" xfId="0" quotePrefix="1" applyFont="1" applyFill="1" applyBorder="1" applyAlignment="1">
      <alignment horizontal="center" vertical="center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0" fontId="44" fillId="0" borderId="25" xfId="4" applyFont="1" applyBorder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6" t="s">
        <v>37</v>
      </c>
      <c r="R1" s="306"/>
      <c r="S1" s="306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5" t="s">
        <v>2</v>
      </c>
      <c r="C4" s="257" t="s">
        <v>3</v>
      </c>
      <c r="D4" s="259" t="s">
        <v>4</v>
      </c>
      <c r="E4" s="261" t="s">
        <v>5</v>
      </c>
      <c r="F4" s="263" t="s">
        <v>6</v>
      </c>
      <c r="G4" s="268" t="s">
        <v>7</v>
      </c>
      <c r="H4" s="269"/>
      <c r="I4" s="269"/>
      <c r="J4" s="270"/>
      <c r="K4" s="268" t="s">
        <v>8</v>
      </c>
      <c r="L4" s="269"/>
      <c r="M4" s="269"/>
      <c r="N4" s="270"/>
      <c r="O4" s="268" t="s">
        <v>9</v>
      </c>
      <c r="P4" s="269"/>
      <c r="Q4" s="269"/>
      <c r="R4" s="270"/>
      <c r="S4" s="271" t="s">
        <v>10</v>
      </c>
      <c r="T4" s="17"/>
    </row>
    <row r="5" spans="1:24" ht="33.75" customHeight="1" thickBot="1">
      <c r="B5" s="256"/>
      <c r="C5" s="258"/>
      <c r="D5" s="260"/>
      <c r="E5" s="262"/>
      <c r="F5" s="264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2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3"/>
      <c r="J6" s="29"/>
      <c r="K6" s="30"/>
      <c r="L6" s="28"/>
      <c r="M6" s="273"/>
      <c r="N6" s="29"/>
      <c r="O6" s="27"/>
      <c r="P6" s="28"/>
      <c r="Q6" s="273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4"/>
      <c r="J7" s="39"/>
      <c r="K7" s="40"/>
      <c r="L7" s="38"/>
      <c r="M7" s="274"/>
      <c r="N7" s="39"/>
      <c r="O7" s="37"/>
      <c r="P7" s="38"/>
      <c r="Q7" s="274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5"/>
      <c r="J8" s="48"/>
      <c r="K8" s="49"/>
      <c r="L8" s="47"/>
      <c r="M8" s="275"/>
      <c r="N8" s="48"/>
      <c r="O8" s="46"/>
      <c r="P8" s="47"/>
      <c r="Q8" s="275"/>
      <c r="R8" s="48"/>
      <c r="S8" s="50"/>
      <c r="T8" s="32"/>
    </row>
    <row r="9" spans="1:24" s="7" customFormat="1" ht="30" customHeight="1">
      <c r="A9" s="8"/>
      <c r="B9" s="51"/>
      <c r="C9" s="276" t="s">
        <v>21</v>
      </c>
      <c r="D9" s="277"/>
      <c r="E9" s="277"/>
      <c r="F9" s="277"/>
      <c r="G9" s="278"/>
      <c r="H9" s="279"/>
      <c r="I9" s="279"/>
      <c r="J9" s="280"/>
      <c r="K9" s="278"/>
      <c r="L9" s="279"/>
      <c r="M9" s="279"/>
      <c r="N9" s="280"/>
      <c r="O9" s="278"/>
      <c r="P9" s="279"/>
      <c r="Q9" s="279"/>
      <c r="R9" s="280"/>
      <c r="S9" s="52"/>
      <c r="T9" s="32"/>
    </row>
    <row r="10" spans="1:24" s="7" customFormat="1" ht="30" customHeight="1">
      <c r="A10" s="8"/>
      <c r="B10" s="53"/>
      <c r="C10" s="54"/>
      <c r="D10" s="281" t="s">
        <v>22</v>
      </c>
      <c r="E10" s="281"/>
      <c r="F10" s="282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5" t="s">
        <v>23</v>
      </c>
      <c r="D11" s="266"/>
      <c r="E11" s="266"/>
      <c r="F11" s="267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3" t="s">
        <v>24</v>
      </c>
      <c r="C12" s="284"/>
      <c r="D12" s="284"/>
      <c r="E12" s="284"/>
      <c r="F12" s="285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2" t="s">
        <v>27</v>
      </c>
      <c r="D15" s="293"/>
      <c r="E15" s="286" t="s">
        <v>28</v>
      </c>
      <c r="F15" s="287"/>
      <c r="G15" s="288" t="s">
        <v>29</v>
      </c>
      <c r="H15" s="289"/>
      <c r="I15" s="290" t="s">
        <v>30</v>
      </c>
      <c r="J15" s="291"/>
      <c r="K15" s="288" t="s">
        <v>31</v>
      </c>
      <c r="L15" s="289"/>
      <c r="M15" s="290" t="s">
        <v>32</v>
      </c>
      <c r="N15" s="291"/>
      <c r="O15" s="288" t="s">
        <v>31</v>
      </c>
      <c r="P15" s="289"/>
      <c r="Q15" s="290" t="s">
        <v>32</v>
      </c>
      <c r="R15" s="291"/>
      <c r="S15" s="89" t="s">
        <v>33</v>
      </c>
      <c r="T15" s="90"/>
    </row>
    <row r="16" spans="1:24" s="79" customFormat="1" ht="25.15" customHeight="1" thickTop="1">
      <c r="B16" s="91"/>
      <c r="C16" s="294"/>
      <c r="D16" s="295"/>
      <c r="E16" s="296"/>
      <c r="F16" s="297"/>
      <c r="G16" s="302"/>
      <c r="H16" s="303"/>
      <c r="I16" s="304"/>
      <c r="J16" s="305"/>
      <c r="K16" s="302"/>
      <c r="L16" s="303"/>
      <c r="M16" s="304"/>
      <c r="N16" s="305"/>
      <c r="O16" s="302"/>
      <c r="P16" s="303"/>
      <c r="Q16" s="304"/>
      <c r="R16" s="305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5"/>
      <c r="D17" s="316"/>
      <c r="E17" s="298"/>
      <c r="F17" s="299"/>
      <c r="G17" s="317"/>
      <c r="H17" s="318"/>
      <c r="I17" s="307"/>
      <c r="J17" s="308"/>
      <c r="K17" s="317"/>
      <c r="L17" s="318"/>
      <c r="M17" s="307"/>
      <c r="N17" s="308"/>
      <c r="O17" s="317"/>
      <c r="P17" s="318"/>
      <c r="Q17" s="307"/>
      <c r="R17" s="308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9"/>
      <c r="D18" s="310"/>
      <c r="E18" s="300"/>
      <c r="F18" s="301"/>
      <c r="G18" s="311"/>
      <c r="H18" s="312"/>
      <c r="I18" s="313"/>
      <c r="J18" s="314"/>
      <c r="K18" s="311"/>
      <c r="L18" s="312"/>
      <c r="M18" s="313"/>
      <c r="N18" s="314"/>
      <c r="O18" s="311"/>
      <c r="P18" s="312"/>
      <c r="Q18" s="313"/>
      <c r="R18" s="314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9"/>
  <sheetViews>
    <sheetView showGridLines="0" tabSelected="1" zoomScale="130" zoomScaleNormal="130" zoomScaleSheetLayoutView="110" workbookViewId="0">
      <selection activeCell="K15" sqref="K15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9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9" customWidth="1"/>
    <col min="18" max="18" width="12.28515625" style="229" bestFit="1" customWidth="1"/>
    <col min="19" max="19" width="13.85546875" style="229" bestFit="1" customWidth="1"/>
    <col min="20" max="20" width="9.7109375" style="229" customWidth="1"/>
    <col min="21" max="21" width="8.85546875" style="229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57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30">
        <v>46319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9" t="s">
        <v>43</v>
      </c>
      <c r="B3" s="379"/>
      <c r="C3" s="379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7" t="s">
        <v>2</v>
      </c>
      <c r="C4" s="329" t="s">
        <v>3</v>
      </c>
      <c r="D4" s="331" t="s">
        <v>4</v>
      </c>
      <c r="E4" s="333" t="s">
        <v>5</v>
      </c>
      <c r="F4" s="335" t="s">
        <v>41</v>
      </c>
      <c r="G4" s="388" t="s">
        <v>74</v>
      </c>
      <c r="H4" s="389"/>
      <c r="I4" s="390"/>
      <c r="J4" s="337" t="s">
        <v>55</v>
      </c>
      <c r="K4" s="338"/>
      <c r="L4" s="338"/>
      <c r="M4" s="339"/>
      <c r="N4" s="337" t="s">
        <v>75</v>
      </c>
      <c r="O4" s="338"/>
      <c r="P4" s="338"/>
      <c r="Q4" s="339"/>
      <c r="R4" s="337" t="s">
        <v>76</v>
      </c>
      <c r="S4" s="338"/>
      <c r="T4" s="338"/>
      <c r="U4" s="339"/>
      <c r="V4" s="340" t="s">
        <v>42</v>
      </c>
      <c r="W4" s="144"/>
    </row>
    <row r="5" spans="1:23" ht="27" customHeight="1" thickBot="1">
      <c r="B5" s="328"/>
      <c r="C5" s="330"/>
      <c r="D5" s="332"/>
      <c r="E5" s="334"/>
      <c r="F5" s="33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41"/>
      <c r="W5" s="144"/>
    </row>
    <row r="6" spans="1:23" s="150" customFormat="1" ht="27" customHeight="1" thickTop="1">
      <c r="B6" s="151">
        <v>1</v>
      </c>
      <c r="C6" s="231" t="s">
        <v>58</v>
      </c>
      <c r="D6" s="232" t="s">
        <v>62</v>
      </c>
      <c r="E6" s="233" t="s">
        <v>72</v>
      </c>
      <c r="F6" s="233">
        <v>30</v>
      </c>
      <c r="G6" s="234" t="s">
        <v>77</v>
      </c>
      <c r="H6" s="234" t="s">
        <v>77</v>
      </c>
      <c r="I6" s="250" t="s">
        <v>77</v>
      </c>
      <c r="J6" s="235">
        <v>626</v>
      </c>
      <c r="K6" s="236">
        <f>J6*F6</f>
        <v>18780</v>
      </c>
      <c r="L6" s="342"/>
      <c r="M6" s="237">
        <v>1</v>
      </c>
      <c r="N6" s="235">
        <v>637</v>
      </c>
      <c r="O6" s="238">
        <f>N6*F6</f>
        <v>19110</v>
      </c>
      <c r="P6" s="342"/>
      <c r="Q6" s="237">
        <f>O6/K6</f>
        <v>1.0175718849840256</v>
      </c>
      <c r="R6" s="235">
        <v>645</v>
      </c>
      <c r="S6" s="239">
        <f>R6*F6</f>
        <v>19350</v>
      </c>
      <c r="T6" s="342"/>
      <c r="U6" s="237">
        <f>S6/K6</f>
        <v>1.0303514376996805</v>
      </c>
      <c r="V6" s="152"/>
      <c r="W6" s="153"/>
    </row>
    <row r="7" spans="1:23" s="150" customFormat="1" ht="12" customHeight="1">
      <c r="B7" s="151">
        <v>2</v>
      </c>
      <c r="C7" s="240" t="s">
        <v>58</v>
      </c>
      <c r="D7" s="241" t="s">
        <v>63</v>
      </c>
      <c r="E7" s="233" t="s">
        <v>72</v>
      </c>
      <c r="F7" s="233">
        <v>12</v>
      </c>
      <c r="G7" s="234" t="s">
        <v>77</v>
      </c>
      <c r="H7" s="234" t="s">
        <v>77</v>
      </c>
      <c r="I7" s="250" t="s">
        <v>77</v>
      </c>
      <c r="J7" s="235">
        <v>1244</v>
      </c>
      <c r="K7" s="236">
        <f t="shared" ref="K7:K15" si="0">J7*F7</f>
        <v>14928</v>
      </c>
      <c r="L7" s="343"/>
      <c r="M7" s="243">
        <v>1</v>
      </c>
      <c r="N7" s="235">
        <v>1265</v>
      </c>
      <c r="O7" s="238">
        <f t="shared" ref="O7:O15" si="1">N7*F7</f>
        <v>15180</v>
      </c>
      <c r="P7" s="344"/>
      <c r="Q7" s="243">
        <f t="shared" ref="Q7:Q15" si="2">O7/K7</f>
        <v>1.0168810289389068</v>
      </c>
      <c r="R7" s="235">
        <v>1260</v>
      </c>
      <c r="S7" s="238">
        <f t="shared" ref="S7:S15" si="3">R7*F7</f>
        <v>15120</v>
      </c>
      <c r="T7" s="344"/>
      <c r="U7" s="243">
        <f t="shared" ref="U7:U15" si="4">S7/K7</f>
        <v>1.0128617363344052</v>
      </c>
      <c r="V7" s="154"/>
      <c r="W7" s="153"/>
    </row>
    <row r="8" spans="1:23" s="150" customFormat="1" ht="12" customHeight="1">
      <c r="B8" s="151">
        <v>3</v>
      </c>
      <c r="C8" s="240" t="s">
        <v>58</v>
      </c>
      <c r="D8" s="244" t="s">
        <v>64</v>
      </c>
      <c r="E8" s="233" t="s">
        <v>72</v>
      </c>
      <c r="F8" s="233">
        <v>8</v>
      </c>
      <c r="G8" s="234" t="s">
        <v>77</v>
      </c>
      <c r="H8" s="234" t="s">
        <v>77</v>
      </c>
      <c r="I8" s="250" t="s">
        <v>77</v>
      </c>
      <c r="J8" s="235">
        <v>2070</v>
      </c>
      <c r="K8" s="236">
        <f t="shared" si="0"/>
        <v>16560</v>
      </c>
      <c r="L8" s="343"/>
      <c r="M8" s="243">
        <v>1</v>
      </c>
      <c r="N8" s="235">
        <v>2105</v>
      </c>
      <c r="O8" s="238">
        <f t="shared" si="1"/>
        <v>16840</v>
      </c>
      <c r="P8" s="344"/>
      <c r="Q8" s="243">
        <f t="shared" si="2"/>
        <v>1.0169082125603865</v>
      </c>
      <c r="R8" s="235">
        <v>2100</v>
      </c>
      <c r="S8" s="238">
        <f t="shared" si="3"/>
        <v>16800</v>
      </c>
      <c r="T8" s="343"/>
      <c r="U8" s="243">
        <f t="shared" si="4"/>
        <v>1.0144927536231885</v>
      </c>
      <c r="V8" s="254"/>
      <c r="W8" s="153"/>
    </row>
    <row r="9" spans="1:23" s="150" customFormat="1" ht="12" customHeight="1">
      <c r="B9" s="151">
        <v>4</v>
      </c>
      <c r="C9" s="240" t="s">
        <v>59</v>
      </c>
      <c r="D9" s="244" t="s">
        <v>65</v>
      </c>
      <c r="E9" s="233" t="s">
        <v>72</v>
      </c>
      <c r="F9" s="233">
        <v>4</v>
      </c>
      <c r="G9" s="234" t="s">
        <v>77</v>
      </c>
      <c r="H9" s="234" t="s">
        <v>77</v>
      </c>
      <c r="I9" s="250" t="s">
        <v>77</v>
      </c>
      <c r="J9" s="235">
        <v>1212</v>
      </c>
      <c r="K9" s="236">
        <f t="shared" si="0"/>
        <v>4848</v>
      </c>
      <c r="L9" s="343"/>
      <c r="M9" s="243">
        <v>1</v>
      </c>
      <c r="N9" s="235">
        <v>1220</v>
      </c>
      <c r="O9" s="238">
        <f t="shared" si="1"/>
        <v>4880</v>
      </c>
      <c r="P9" s="344"/>
      <c r="Q9" s="243">
        <f t="shared" si="2"/>
        <v>1.0066006600660067</v>
      </c>
      <c r="R9" s="235">
        <v>1300</v>
      </c>
      <c r="S9" s="238">
        <f t="shared" si="3"/>
        <v>5200</v>
      </c>
      <c r="T9" s="343"/>
      <c r="U9" s="243">
        <f t="shared" si="4"/>
        <v>1.0726072607260726</v>
      </c>
      <c r="V9" s="254"/>
      <c r="W9" s="153"/>
    </row>
    <row r="10" spans="1:23" s="150" customFormat="1" ht="12" customHeight="1">
      <c r="B10" s="151">
        <v>5</v>
      </c>
      <c r="C10" s="240" t="s">
        <v>60</v>
      </c>
      <c r="D10" s="244" t="s">
        <v>66</v>
      </c>
      <c r="E10" s="233" t="s">
        <v>73</v>
      </c>
      <c r="F10" s="233">
        <v>4</v>
      </c>
      <c r="G10" s="234" t="s">
        <v>77</v>
      </c>
      <c r="H10" s="234" t="s">
        <v>77</v>
      </c>
      <c r="I10" s="250" t="s">
        <v>77</v>
      </c>
      <c r="J10" s="235">
        <v>768</v>
      </c>
      <c r="K10" s="236">
        <f t="shared" si="0"/>
        <v>3072</v>
      </c>
      <c r="L10" s="343"/>
      <c r="M10" s="243">
        <v>1</v>
      </c>
      <c r="N10" s="235">
        <v>790</v>
      </c>
      <c r="O10" s="238">
        <f t="shared" si="1"/>
        <v>3160</v>
      </c>
      <c r="P10" s="344"/>
      <c r="Q10" s="243">
        <f t="shared" si="2"/>
        <v>1.0286458333333333</v>
      </c>
      <c r="R10" s="235">
        <v>770</v>
      </c>
      <c r="S10" s="238">
        <f t="shared" si="3"/>
        <v>3080</v>
      </c>
      <c r="T10" s="343"/>
      <c r="U10" s="243">
        <f t="shared" si="4"/>
        <v>1.0026041666666667</v>
      </c>
      <c r="V10" s="254"/>
      <c r="W10" s="153"/>
    </row>
    <row r="11" spans="1:23" s="150" customFormat="1" ht="12" customHeight="1">
      <c r="B11" s="151">
        <v>6</v>
      </c>
      <c r="C11" s="240" t="s">
        <v>60</v>
      </c>
      <c r="D11" s="244" t="s">
        <v>67</v>
      </c>
      <c r="E11" s="233" t="s">
        <v>73</v>
      </c>
      <c r="F11" s="233">
        <v>2</v>
      </c>
      <c r="G11" s="234" t="s">
        <v>77</v>
      </c>
      <c r="H11" s="234" t="s">
        <v>77</v>
      </c>
      <c r="I11" s="250" t="s">
        <v>77</v>
      </c>
      <c r="J11" s="235">
        <v>3730</v>
      </c>
      <c r="K11" s="236">
        <f t="shared" si="0"/>
        <v>7460</v>
      </c>
      <c r="L11" s="343"/>
      <c r="M11" s="243">
        <v>1</v>
      </c>
      <c r="N11" s="235">
        <v>3800</v>
      </c>
      <c r="O11" s="238">
        <f t="shared" si="1"/>
        <v>7600</v>
      </c>
      <c r="P11" s="344"/>
      <c r="Q11" s="243">
        <f t="shared" si="2"/>
        <v>1.0187667560321716</v>
      </c>
      <c r="R11" s="235">
        <v>3780</v>
      </c>
      <c r="S11" s="238">
        <f t="shared" si="3"/>
        <v>7560</v>
      </c>
      <c r="T11" s="343"/>
      <c r="U11" s="243">
        <f t="shared" si="4"/>
        <v>1.0134048257372654</v>
      </c>
      <c r="V11" s="254"/>
      <c r="W11" s="153"/>
    </row>
    <row r="12" spans="1:23" s="150" customFormat="1" ht="12" customHeight="1">
      <c r="B12" s="151">
        <v>7</v>
      </c>
      <c r="C12" s="240" t="s">
        <v>61</v>
      </c>
      <c r="D12" s="244" t="s">
        <v>68</v>
      </c>
      <c r="E12" s="233" t="s">
        <v>73</v>
      </c>
      <c r="F12" s="233">
        <v>120</v>
      </c>
      <c r="G12" s="234" t="s">
        <v>77</v>
      </c>
      <c r="H12" s="234" t="s">
        <v>77</v>
      </c>
      <c r="I12" s="250" t="s">
        <v>77</v>
      </c>
      <c r="J12" s="235">
        <v>40</v>
      </c>
      <c r="K12" s="236">
        <f t="shared" si="0"/>
        <v>4800</v>
      </c>
      <c r="L12" s="343"/>
      <c r="M12" s="243">
        <v>1</v>
      </c>
      <c r="N12" s="235">
        <v>42</v>
      </c>
      <c r="O12" s="238">
        <f t="shared" si="1"/>
        <v>5040</v>
      </c>
      <c r="P12" s="344"/>
      <c r="Q12" s="243">
        <f t="shared" si="2"/>
        <v>1.05</v>
      </c>
      <c r="R12" s="235">
        <v>50</v>
      </c>
      <c r="S12" s="238">
        <f t="shared" si="3"/>
        <v>6000</v>
      </c>
      <c r="T12" s="343"/>
      <c r="U12" s="243">
        <f t="shared" si="4"/>
        <v>1.25</v>
      </c>
      <c r="V12" s="254"/>
      <c r="W12" s="153"/>
    </row>
    <row r="13" spans="1:23" s="150" customFormat="1" ht="12" customHeight="1">
      <c r="B13" s="151">
        <v>8</v>
      </c>
      <c r="C13" s="240" t="s">
        <v>61</v>
      </c>
      <c r="D13" s="244" t="s">
        <v>69</v>
      </c>
      <c r="E13" s="233" t="s">
        <v>73</v>
      </c>
      <c r="F13" s="233">
        <v>60</v>
      </c>
      <c r="G13" s="234" t="s">
        <v>77</v>
      </c>
      <c r="H13" s="234" t="s">
        <v>77</v>
      </c>
      <c r="I13" s="250" t="s">
        <v>77</v>
      </c>
      <c r="J13" s="235">
        <v>60</v>
      </c>
      <c r="K13" s="236">
        <f t="shared" si="0"/>
        <v>3600</v>
      </c>
      <c r="L13" s="343"/>
      <c r="M13" s="243">
        <v>1</v>
      </c>
      <c r="N13" s="235">
        <v>65</v>
      </c>
      <c r="O13" s="238">
        <f t="shared" si="1"/>
        <v>3900</v>
      </c>
      <c r="P13" s="344"/>
      <c r="Q13" s="243">
        <f t="shared" si="2"/>
        <v>1.0833333333333333</v>
      </c>
      <c r="R13" s="235">
        <v>70</v>
      </c>
      <c r="S13" s="238">
        <f t="shared" si="3"/>
        <v>4200</v>
      </c>
      <c r="T13" s="343"/>
      <c r="U13" s="243">
        <f t="shared" si="4"/>
        <v>1.1666666666666667</v>
      </c>
      <c r="V13" s="254"/>
      <c r="W13" s="153"/>
    </row>
    <row r="14" spans="1:23" s="150" customFormat="1" ht="12" customHeight="1">
      <c r="B14" s="151">
        <v>9</v>
      </c>
      <c r="C14" s="240" t="s">
        <v>61</v>
      </c>
      <c r="D14" s="244" t="s">
        <v>70</v>
      </c>
      <c r="E14" s="233" t="s">
        <v>73</v>
      </c>
      <c r="F14" s="233">
        <v>50</v>
      </c>
      <c r="G14" s="234" t="s">
        <v>77</v>
      </c>
      <c r="H14" s="234" t="s">
        <v>77</v>
      </c>
      <c r="I14" s="250" t="s">
        <v>77</v>
      </c>
      <c r="J14" s="235">
        <v>40</v>
      </c>
      <c r="K14" s="236">
        <f t="shared" si="0"/>
        <v>2000</v>
      </c>
      <c r="L14" s="343"/>
      <c r="M14" s="243">
        <v>1</v>
      </c>
      <c r="N14" s="235">
        <v>42</v>
      </c>
      <c r="O14" s="238">
        <f t="shared" si="1"/>
        <v>2100</v>
      </c>
      <c r="P14" s="344"/>
      <c r="Q14" s="243">
        <f t="shared" si="2"/>
        <v>1.05</v>
      </c>
      <c r="R14" s="235">
        <v>45</v>
      </c>
      <c r="S14" s="238">
        <f t="shared" si="3"/>
        <v>2250</v>
      </c>
      <c r="T14" s="343"/>
      <c r="U14" s="243">
        <f t="shared" si="4"/>
        <v>1.125</v>
      </c>
      <c r="V14" s="254"/>
      <c r="W14" s="153"/>
    </row>
    <row r="15" spans="1:23" s="150" customFormat="1" ht="12" customHeight="1">
      <c r="B15" s="151">
        <v>10</v>
      </c>
      <c r="C15" s="240" t="s">
        <v>61</v>
      </c>
      <c r="D15" s="244" t="s">
        <v>71</v>
      </c>
      <c r="E15" s="233" t="s">
        <v>73</v>
      </c>
      <c r="F15" s="233">
        <v>80</v>
      </c>
      <c r="G15" s="234" t="s">
        <v>77</v>
      </c>
      <c r="H15" s="234" t="s">
        <v>77</v>
      </c>
      <c r="I15" s="250" t="s">
        <v>77</v>
      </c>
      <c r="J15" s="235">
        <v>60</v>
      </c>
      <c r="K15" s="236">
        <f t="shared" si="0"/>
        <v>4800</v>
      </c>
      <c r="L15" s="344"/>
      <c r="M15" s="243">
        <v>1</v>
      </c>
      <c r="N15" s="235">
        <v>65</v>
      </c>
      <c r="O15" s="238">
        <f t="shared" si="1"/>
        <v>5200</v>
      </c>
      <c r="P15" s="344"/>
      <c r="Q15" s="243">
        <f t="shared" si="2"/>
        <v>1.0833333333333333</v>
      </c>
      <c r="R15" s="235">
        <v>65</v>
      </c>
      <c r="S15" s="238">
        <f t="shared" si="3"/>
        <v>5200</v>
      </c>
      <c r="T15" s="344"/>
      <c r="U15" s="243">
        <f t="shared" si="4"/>
        <v>1.0833333333333333</v>
      </c>
      <c r="V15" s="154"/>
      <c r="W15" s="153"/>
    </row>
    <row r="16" spans="1:23" s="150" customFormat="1" ht="12" customHeight="1">
      <c r="B16" s="151"/>
      <c r="C16" s="240"/>
      <c r="D16" s="244"/>
      <c r="E16" s="233"/>
      <c r="F16" s="233"/>
      <c r="G16" s="242"/>
      <c r="H16" s="242"/>
      <c r="I16" s="242"/>
      <c r="J16" s="235"/>
      <c r="K16" s="236"/>
      <c r="L16" s="344"/>
      <c r="M16" s="243"/>
      <c r="N16" s="235"/>
      <c r="O16" s="238"/>
      <c r="P16" s="344"/>
      <c r="Q16" s="243"/>
      <c r="R16" s="235"/>
      <c r="S16" s="238"/>
      <c r="T16" s="344"/>
      <c r="U16" s="243"/>
      <c r="V16" s="154"/>
      <c r="W16" s="153"/>
    </row>
    <row r="17" spans="1:27" s="150" customFormat="1" ht="12" customHeight="1">
      <c r="B17" s="151"/>
      <c r="C17" s="240"/>
      <c r="D17" s="244"/>
      <c r="E17" s="233"/>
      <c r="F17" s="233"/>
      <c r="G17" s="242"/>
      <c r="H17" s="242"/>
      <c r="I17" s="242"/>
      <c r="J17" s="235"/>
      <c r="K17" s="236"/>
      <c r="L17" s="344"/>
      <c r="M17" s="243"/>
      <c r="N17" s="235"/>
      <c r="O17" s="238"/>
      <c r="P17" s="344"/>
      <c r="Q17" s="243"/>
      <c r="R17" s="235"/>
      <c r="S17" s="238"/>
      <c r="T17" s="344"/>
      <c r="U17" s="243"/>
      <c r="V17" s="154"/>
      <c r="W17" s="153"/>
    </row>
    <row r="18" spans="1:27" s="150" customFormat="1" ht="12" customHeight="1">
      <c r="B18" s="151"/>
      <c r="C18" s="240"/>
      <c r="D18" s="244"/>
      <c r="E18" s="233"/>
      <c r="F18" s="233"/>
      <c r="G18" s="242"/>
      <c r="H18" s="242"/>
      <c r="I18" s="242"/>
      <c r="J18" s="235"/>
      <c r="K18" s="236"/>
      <c r="L18" s="344"/>
      <c r="M18" s="243"/>
      <c r="N18" s="235"/>
      <c r="O18" s="238"/>
      <c r="P18" s="344"/>
      <c r="Q18" s="243"/>
      <c r="R18" s="235"/>
      <c r="S18" s="238"/>
      <c r="T18" s="344"/>
      <c r="U18" s="243"/>
      <c r="V18" s="154"/>
      <c r="W18" s="153"/>
    </row>
    <row r="19" spans="1:27" s="150" customFormat="1" ht="12" customHeight="1">
      <c r="B19" s="151"/>
      <c r="C19" s="240"/>
      <c r="D19" s="244"/>
      <c r="E19" s="233"/>
      <c r="F19" s="233"/>
      <c r="G19" s="242"/>
      <c r="H19" s="242"/>
      <c r="I19" s="242"/>
      <c r="J19" s="235"/>
      <c r="K19" s="236"/>
      <c r="L19" s="344"/>
      <c r="M19" s="243"/>
      <c r="N19" s="235"/>
      <c r="O19" s="238"/>
      <c r="P19" s="344"/>
      <c r="Q19" s="243"/>
      <c r="R19" s="235"/>
      <c r="S19" s="238"/>
      <c r="T19" s="344"/>
      <c r="U19" s="243"/>
      <c r="V19" s="154"/>
      <c r="W19" s="153"/>
    </row>
    <row r="20" spans="1:27" s="150" customFormat="1" ht="12" customHeight="1">
      <c r="B20" s="151"/>
      <c r="C20" s="240"/>
      <c r="D20" s="244"/>
      <c r="E20" s="233"/>
      <c r="F20" s="233"/>
      <c r="G20" s="242"/>
      <c r="H20" s="242"/>
      <c r="I20" s="242"/>
      <c r="J20" s="235"/>
      <c r="K20" s="236"/>
      <c r="L20" s="344"/>
      <c r="M20" s="243"/>
      <c r="N20" s="235"/>
      <c r="O20" s="238"/>
      <c r="P20" s="344"/>
      <c r="Q20" s="243"/>
      <c r="R20" s="235"/>
      <c r="S20" s="238"/>
      <c r="T20" s="344"/>
      <c r="U20" s="243"/>
      <c r="V20" s="154"/>
      <c r="W20" s="153"/>
    </row>
    <row r="21" spans="1:27" s="150" customFormat="1" ht="12" customHeight="1">
      <c r="B21" s="151"/>
      <c r="C21" s="240"/>
      <c r="D21" s="244"/>
      <c r="E21" s="233"/>
      <c r="F21" s="233"/>
      <c r="G21" s="242"/>
      <c r="H21" s="242"/>
      <c r="I21" s="242"/>
      <c r="J21" s="235"/>
      <c r="K21" s="236"/>
      <c r="L21" s="344"/>
      <c r="M21" s="243"/>
      <c r="N21" s="235"/>
      <c r="O21" s="238"/>
      <c r="P21" s="344"/>
      <c r="Q21" s="243"/>
      <c r="R21" s="235"/>
      <c r="S21" s="238"/>
      <c r="T21" s="344"/>
      <c r="U21" s="243"/>
      <c r="V21" s="154"/>
      <c r="W21" s="153"/>
    </row>
    <row r="22" spans="1:27" s="150" customFormat="1" ht="12" customHeight="1">
      <c r="B22" s="151"/>
      <c r="C22" s="240"/>
      <c r="D22" s="244"/>
      <c r="E22" s="233"/>
      <c r="F22" s="233"/>
      <c r="G22" s="242"/>
      <c r="H22" s="242"/>
      <c r="I22" s="242"/>
      <c r="J22" s="235"/>
      <c r="K22" s="236"/>
      <c r="L22" s="344"/>
      <c r="M22" s="243"/>
      <c r="N22" s="235"/>
      <c r="O22" s="238"/>
      <c r="P22" s="344"/>
      <c r="Q22" s="243"/>
      <c r="R22" s="235"/>
      <c r="S22" s="238"/>
      <c r="T22" s="344"/>
      <c r="U22" s="243"/>
      <c r="V22" s="154"/>
      <c r="W22" s="153"/>
    </row>
    <row r="23" spans="1:27" s="150" customFormat="1" ht="12" customHeight="1">
      <c r="B23" s="151"/>
      <c r="C23" s="240"/>
      <c r="D23" s="244"/>
      <c r="E23" s="233"/>
      <c r="F23" s="233"/>
      <c r="G23" s="242"/>
      <c r="H23" s="242"/>
      <c r="I23" s="242"/>
      <c r="J23" s="235"/>
      <c r="K23" s="236"/>
      <c r="L23" s="344"/>
      <c r="M23" s="243"/>
      <c r="N23" s="235"/>
      <c r="O23" s="238"/>
      <c r="P23" s="344"/>
      <c r="Q23" s="243"/>
      <c r="R23" s="235"/>
      <c r="S23" s="238"/>
      <c r="T23" s="344"/>
      <c r="U23" s="243"/>
      <c r="V23" s="154"/>
      <c r="W23" s="153"/>
    </row>
    <row r="24" spans="1:27" s="150" customFormat="1" ht="12" customHeight="1">
      <c r="B24" s="151"/>
      <c r="C24" s="240"/>
      <c r="D24" s="244"/>
      <c r="E24" s="233"/>
      <c r="F24" s="233"/>
      <c r="G24" s="242"/>
      <c r="H24" s="242"/>
      <c r="I24" s="242"/>
      <c r="J24" s="235"/>
      <c r="K24" s="236"/>
      <c r="L24" s="344"/>
      <c r="M24" s="243"/>
      <c r="N24" s="235"/>
      <c r="O24" s="238"/>
      <c r="P24" s="344"/>
      <c r="Q24" s="243"/>
      <c r="R24" s="235"/>
      <c r="S24" s="238"/>
      <c r="T24" s="344"/>
      <c r="U24" s="243"/>
      <c r="V24" s="154"/>
      <c r="W24" s="153"/>
    </row>
    <row r="25" spans="1:27" s="150" customFormat="1" ht="12" customHeight="1">
      <c r="B25" s="151"/>
      <c r="C25" s="240"/>
      <c r="D25" s="244"/>
      <c r="E25" s="233"/>
      <c r="F25" s="233"/>
      <c r="G25" s="242"/>
      <c r="H25" s="242"/>
      <c r="I25" s="242"/>
      <c r="J25" s="235"/>
      <c r="K25" s="236"/>
      <c r="L25" s="344"/>
      <c r="M25" s="243"/>
      <c r="N25" s="235"/>
      <c r="O25" s="238"/>
      <c r="P25" s="344"/>
      <c r="Q25" s="243"/>
      <c r="R25" s="235"/>
      <c r="S25" s="238"/>
      <c r="T25" s="344"/>
      <c r="U25" s="243"/>
      <c r="V25" s="154"/>
      <c r="W25" s="153"/>
    </row>
    <row r="26" spans="1:27" s="150" customFormat="1" ht="12.75" customHeight="1">
      <c r="B26" s="155"/>
      <c r="C26" s="231"/>
      <c r="D26" s="251"/>
      <c r="E26" s="233"/>
      <c r="F26" s="233"/>
      <c r="G26" s="242"/>
      <c r="H26" s="242"/>
      <c r="I26" s="242"/>
      <c r="J26" s="235"/>
      <c r="K26" s="238"/>
      <c r="L26" s="344"/>
      <c r="M26" s="243"/>
      <c r="N26" s="245"/>
      <c r="O26" s="238"/>
      <c r="P26" s="344"/>
      <c r="Q26" s="243"/>
      <c r="R26" s="236"/>
      <c r="S26" s="238"/>
      <c r="T26" s="344"/>
      <c r="U26" s="243"/>
      <c r="V26" s="156"/>
      <c r="W26" s="153"/>
    </row>
    <row r="27" spans="1:27" s="133" customFormat="1" ht="33" customHeight="1">
      <c r="A27" s="134"/>
      <c r="B27" s="253"/>
      <c r="C27" s="397" t="s">
        <v>21</v>
      </c>
      <c r="D27" s="398"/>
      <c r="E27" s="398"/>
      <c r="F27" s="398"/>
      <c r="G27" s="319" t="str">
        <f>G4</f>
        <v>Previous Price</v>
      </c>
      <c r="H27" s="386"/>
      <c r="I27" s="387"/>
      <c r="J27" s="319" t="str">
        <f>J4</f>
        <v>JASSIM SAIF AMER ALIABERI TRADING EST</v>
      </c>
      <c r="K27" s="320"/>
      <c r="L27" s="320"/>
      <c r="M27" s="321"/>
      <c r="N27" s="319" t="str">
        <f>N4</f>
        <v>ALI MANEA ALYAMI TRADING EST</v>
      </c>
      <c r="O27" s="320"/>
      <c r="P27" s="320"/>
      <c r="Q27" s="321"/>
      <c r="R27" s="322" t="str">
        <f>R4</f>
        <v>SADA AL ARAB TRADING CO</v>
      </c>
      <c r="S27" s="323"/>
      <c r="T27" s="323"/>
      <c r="U27" s="324"/>
      <c r="V27" s="252"/>
      <c r="W27" s="157"/>
    </row>
    <row r="28" spans="1:27" s="133" customFormat="1" ht="21.75" customHeight="1">
      <c r="A28" s="134"/>
      <c r="B28" s="158"/>
      <c r="C28" s="159"/>
      <c r="D28" s="325" t="s">
        <v>22</v>
      </c>
      <c r="E28" s="325"/>
      <c r="F28" s="326"/>
      <c r="G28" s="382">
        <f>SUM(H6:H26)</f>
        <v>0</v>
      </c>
      <c r="H28" s="383"/>
      <c r="I28" s="162"/>
      <c r="J28" s="248"/>
      <c r="K28" s="246">
        <f>SUM(K6:K26)</f>
        <v>80848</v>
      </c>
      <c r="L28" s="161"/>
      <c r="M28" s="162"/>
      <c r="N28" s="163"/>
      <c r="O28" s="246">
        <f>SUM(O6:O26)</f>
        <v>83010</v>
      </c>
      <c r="P28" s="160"/>
      <c r="Q28" s="164">
        <f>O28/K28</f>
        <v>1.0267415396793984</v>
      </c>
      <c r="R28" s="163"/>
      <c r="S28" s="246">
        <f>SUM(S6:S26)</f>
        <v>84760</v>
      </c>
      <c r="T28" s="160"/>
      <c r="U28" s="165">
        <f>S28/K28</f>
        <v>1.0483870967741935</v>
      </c>
      <c r="V28" s="166"/>
      <c r="W28" s="157"/>
    </row>
    <row r="29" spans="1:27" ht="21.75" customHeight="1" thickBot="1">
      <c r="B29" s="167"/>
      <c r="C29" s="394" t="s">
        <v>23</v>
      </c>
      <c r="D29" s="395"/>
      <c r="E29" s="395"/>
      <c r="F29" s="396"/>
      <c r="G29" s="384">
        <f>G28*15%</f>
        <v>0</v>
      </c>
      <c r="H29" s="385"/>
      <c r="I29" s="171"/>
      <c r="J29" s="168"/>
      <c r="K29" s="247">
        <f>K28*15%</f>
        <v>12127.199999999999</v>
      </c>
      <c r="L29" s="170"/>
      <c r="M29" s="171"/>
      <c r="N29" s="172"/>
      <c r="O29" s="247">
        <f>O28*15%</f>
        <v>12451.5</v>
      </c>
      <c r="P29" s="170"/>
      <c r="Q29" s="171"/>
      <c r="R29" s="172"/>
      <c r="S29" s="247">
        <f>S28*15%</f>
        <v>12714</v>
      </c>
      <c r="T29" s="169"/>
      <c r="U29" s="173"/>
      <c r="V29" s="174"/>
      <c r="W29" s="157"/>
    </row>
    <row r="30" spans="1:27" ht="25.15" customHeight="1" thickBot="1">
      <c r="B30" s="391" t="s">
        <v>45</v>
      </c>
      <c r="C30" s="392"/>
      <c r="D30" s="392"/>
      <c r="E30" s="392"/>
      <c r="F30" s="393"/>
      <c r="G30" s="380">
        <f>SUM(G28:H29)</f>
        <v>0</v>
      </c>
      <c r="H30" s="381"/>
      <c r="I30" s="249">
        <f>G30/K30</f>
        <v>0</v>
      </c>
      <c r="J30" s="249"/>
      <c r="K30" s="176">
        <f>SUM(K28:K29)</f>
        <v>92975.2</v>
      </c>
      <c r="L30" s="177"/>
      <c r="M30" s="178">
        <v>1</v>
      </c>
      <c r="N30" s="179"/>
      <c r="O30" s="176">
        <f>SUM(O28:O29)</f>
        <v>95461.5</v>
      </c>
      <c r="P30" s="177"/>
      <c r="Q30" s="180">
        <f>O30/K30</f>
        <v>1.0267415396793984</v>
      </c>
      <c r="R30" s="175"/>
      <c r="S30" s="176">
        <f>SUM(S28:S29)</f>
        <v>97474</v>
      </c>
      <c r="T30" s="177"/>
      <c r="U30" s="178">
        <f>S30/K30</f>
        <v>1.0483870967741935</v>
      </c>
      <c r="V30" s="181"/>
      <c r="W30" s="182"/>
    </row>
    <row r="31" spans="1:27" s="183" customFormat="1" ht="12" customHeight="1">
      <c r="B31" s="184"/>
      <c r="C31" s="185"/>
      <c r="D31" s="185"/>
      <c r="E31" s="186"/>
      <c r="F31" s="186"/>
      <c r="G31" s="186"/>
      <c r="H31" s="186"/>
      <c r="I31" s="186"/>
      <c r="J31" s="187"/>
      <c r="K31" s="187"/>
      <c r="L31" s="187"/>
      <c r="M31" s="188"/>
      <c r="N31" s="187"/>
      <c r="O31" s="187"/>
      <c r="P31" s="187"/>
      <c r="Q31" s="188"/>
      <c r="R31" s="188"/>
      <c r="S31" s="188"/>
      <c r="T31" s="188"/>
      <c r="U31" s="188"/>
      <c r="V31" s="189"/>
      <c r="W31" s="190"/>
      <c r="X31" s="191"/>
      <c r="Y31" s="191"/>
      <c r="Z31" s="191"/>
      <c r="AA31" s="191"/>
    </row>
    <row r="32" spans="1:27" ht="18" customHeight="1" thickBot="1">
      <c r="A32" s="135" t="s">
        <v>44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42" t="s">
        <v>25</v>
      </c>
      <c r="W32" s="142"/>
    </row>
    <row r="33" spans="1:27" ht="23.25" customHeight="1" thickBot="1">
      <c r="B33" s="143" t="s">
        <v>46</v>
      </c>
      <c r="C33" s="355" t="s">
        <v>47</v>
      </c>
      <c r="D33" s="356"/>
      <c r="E33" s="355" t="s">
        <v>48</v>
      </c>
      <c r="F33" s="357"/>
      <c r="G33" s="357"/>
      <c r="H33" s="357"/>
      <c r="I33" s="356"/>
      <c r="J33" s="345" t="s">
        <v>49</v>
      </c>
      <c r="K33" s="346"/>
      <c r="L33" s="347" t="s">
        <v>50</v>
      </c>
      <c r="M33" s="348"/>
      <c r="N33" s="345" t="s">
        <v>51</v>
      </c>
      <c r="O33" s="346"/>
      <c r="P33" s="347" t="s">
        <v>50</v>
      </c>
      <c r="Q33" s="348"/>
      <c r="R33" s="345" t="s">
        <v>51</v>
      </c>
      <c r="S33" s="346"/>
      <c r="T33" s="347" t="s">
        <v>50</v>
      </c>
      <c r="U33" s="348"/>
      <c r="V33" s="192" t="s">
        <v>52</v>
      </c>
      <c r="W33" s="193"/>
    </row>
    <row r="34" spans="1:27" s="183" customFormat="1" ht="25.15" customHeight="1" thickTop="1">
      <c r="B34" s="194">
        <v>1</v>
      </c>
      <c r="C34" s="349" t="str">
        <f>+J27</f>
        <v>JASSIM SAIF AMER ALIABERI TRADING EST</v>
      </c>
      <c r="D34" s="350"/>
      <c r="E34" s="370">
        <f>K30</f>
        <v>92975.2</v>
      </c>
      <c r="F34" s="371"/>
      <c r="G34" s="371"/>
      <c r="H34" s="371"/>
      <c r="I34" s="372"/>
      <c r="J34" s="351">
        <f>K30</f>
        <v>92975.2</v>
      </c>
      <c r="K34" s="352"/>
      <c r="L34" s="353">
        <v>1</v>
      </c>
      <c r="M34" s="354"/>
      <c r="N34" s="351">
        <f>E34</f>
        <v>92975.2</v>
      </c>
      <c r="O34" s="352"/>
      <c r="P34" s="353">
        <f>N34/E34</f>
        <v>1</v>
      </c>
      <c r="Q34" s="354">
        <f>N34/E34</f>
        <v>1</v>
      </c>
      <c r="R34" s="351">
        <f>E34</f>
        <v>92975.2</v>
      </c>
      <c r="S34" s="352"/>
      <c r="T34" s="353">
        <f>R34/E34</f>
        <v>1</v>
      </c>
      <c r="U34" s="354">
        <f>R34/E34</f>
        <v>1</v>
      </c>
      <c r="V34" s="195"/>
      <c r="W34" s="196"/>
      <c r="X34" s="191"/>
      <c r="Y34" s="191"/>
      <c r="Z34" s="191"/>
      <c r="AA34" s="191"/>
    </row>
    <row r="35" spans="1:27" s="183" customFormat="1" ht="25.15" customHeight="1">
      <c r="B35" s="197">
        <v>2</v>
      </c>
      <c r="C35" s="362" t="str">
        <f>+N27</f>
        <v>ALI MANEA ALYAMI TRADING EST</v>
      </c>
      <c r="D35" s="363"/>
      <c r="E35" s="373"/>
      <c r="F35" s="374"/>
      <c r="G35" s="374"/>
      <c r="H35" s="374"/>
      <c r="I35" s="375"/>
      <c r="J35" s="364">
        <f>O30</f>
        <v>95461.5</v>
      </c>
      <c r="K35" s="365"/>
      <c r="L35" s="366">
        <f>J35/E34</f>
        <v>1.0267415396793984</v>
      </c>
      <c r="M35" s="367"/>
      <c r="N35" s="364">
        <f>J35</f>
        <v>95461.5</v>
      </c>
      <c r="O35" s="365"/>
      <c r="P35" s="366">
        <f>N35/E34</f>
        <v>1.0267415396793984</v>
      </c>
      <c r="Q35" s="367">
        <v>1</v>
      </c>
      <c r="R35" s="364">
        <f>N35</f>
        <v>95461.5</v>
      </c>
      <c r="S35" s="365"/>
      <c r="T35" s="366">
        <f>R35/E34</f>
        <v>1.0267415396793984</v>
      </c>
      <c r="U35" s="367">
        <v>1</v>
      </c>
      <c r="V35" s="198"/>
      <c r="W35" s="196"/>
      <c r="X35" s="191"/>
      <c r="Y35" s="191"/>
      <c r="Z35" s="191"/>
      <c r="AA35" s="191"/>
    </row>
    <row r="36" spans="1:27" s="183" customFormat="1" ht="25.15" customHeight="1" thickBot="1">
      <c r="B36" s="199">
        <v>3</v>
      </c>
      <c r="C36" s="368" t="str">
        <f>+R27</f>
        <v>SADA AL ARAB TRADING CO</v>
      </c>
      <c r="D36" s="369"/>
      <c r="E36" s="376"/>
      <c r="F36" s="377"/>
      <c r="G36" s="377"/>
      <c r="H36" s="377"/>
      <c r="I36" s="378"/>
      <c r="J36" s="360">
        <f>S30</f>
        <v>97474</v>
      </c>
      <c r="K36" s="361"/>
      <c r="L36" s="358">
        <f>J36/E34</f>
        <v>1.0483870967741935</v>
      </c>
      <c r="M36" s="359"/>
      <c r="N36" s="360">
        <f>J36</f>
        <v>97474</v>
      </c>
      <c r="O36" s="361"/>
      <c r="P36" s="358">
        <f>N36/E34</f>
        <v>1.0483870967741935</v>
      </c>
      <c r="Q36" s="359"/>
      <c r="R36" s="360">
        <f>J36</f>
        <v>97474</v>
      </c>
      <c r="S36" s="361"/>
      <c r="T36" s="358">
        <f>R36/E34</f>
        <v>1.0483870967741935</v>
      </c>
      <c r="U36" s="359"/>
      <c r="V36" s="200"/>
      <c r="W36" s="196"/>
      <c r="X36" s="191"/>
      <c r="Y36" s="191"/>
      <c r="Z36" s="191"/>
      <c r="AA36" s="191"/>
    </row>
    <row r="37" spans="1:27" s="183" customFormat="1" ht="12" customHeight="1">
      <c r="B37" s="184"/>
      <c r="C37" s="185"/>
      <c r="D37" s="185"/>
      <c r="E37" s="186"/>
      <c r="F37" s="186"/>
      <c r="G37" s="186"/>
      <c r="H37" s="186"/>
      <c r="I37" s="186"/>
      <c r="J37" s="187"/>
      <c r="K37" s="187"/>
      <c r="L37" s="187"/>
      <c r="M37" s="188"/>
      <c r="N37" s="187"/>
      <c r="O37" s="187"/>
      <c r="P37" s="187"/>
      <c r="Q37" s="188"/>
      <c r="R37" s="188"/>
      <c r="S37" s="188"/>
      <c r="T37" s="188"/>
      <c r="U37" s="188"/>
      <c r="V37" s="189"/>
      <c r="W37" s="190"/>
      <c r="X37" s="191"/>
      <c r="Y37" s="191"/>
      <c r="Z37" s="191"/>
      <c r="AA37" s="191"/>
    </row>
    <row r="38" spans="1:27" ht="18" customHeight="1" thickBot="1">
      <c r="A38" s="135" t="s">
        <v>53</v>
      </c>
      <c r="B38" s="135"/>
      <c r="C38" s="136"/>
      <c r="D38" s="137"/>
      <c r="E38" s="135"/>
      <c r="F38" s="135"/>
      <c r="G38" s="135"/>
      <c r="H38" s="135"/>
      <c r="I38" s="135"/>
      <c r="J38" s="135"/>
      <c r="K38" s="135"/>
      <c r="L38" s="135"/>
      <c r="M38" s="138"/>
      <c r="N38" s="135"/>
      <c r="O38" s="135"/>
      <c r="P38" s="135"/>
      <c r="Q38" s="138"/>
      <c r="R38" s="138"/>
      <c r="S38" s="138"/>
      <c r="T38" s="138"/>
      <c r="U38" s="138"/>
      <c r="V38" s="135"/>
      <c r="W38" s="135"/>
    </row>
    <row r="39" spans="1:27" ht="19.899999999999999" customHeight="1">
      <c r="A39" s="135"/>
      <c r="B39" s="201" t="s">
        <v>56</v>
      </c>
      <c r="C39" s="202"/>
      <c r="D39" s="203"/>
      <c r="E39" s="204"/>
      <c r="F39" s="205"/>
      <c r="G39" s="205"/>
      <c r="H39" s="205"/>
      <c r="I39" s="205"/>
      <c r="J39" s="205"/>
      <c r="K39" s="205"/>
      <c r="L39" s="205"/>
      <c r="M39" s="206"/>
      <c r="N39" s="205"/>
      <c r="O39" s="205"/>
      <c r="P39" s="205"/>
      <c r="Q39" s="206"/>
      <c r="R39" s="206"/>
      <c r="S39" s="206"/>
      <c r="T39" s="206"/>
      <c r="U39" s="206"/>
      <c r="V39" s="207"/>
      <c r="W39" s="135"/>
    </row>
    <row r="40" spans="1:27" ht="19.899999999999999" customHeight="1" thickBot="1">
      <c r="A40" s="135"/>
      <c r="B40" s="208"/>
      <c r="C40" s="209"/>
      <c r="D40" s="210"/>
      <c r="E40" s="211"/>
      <c r="F40" s="212"/>
      <c r="G40" s="212"/>
      <c r="H40" s="212"/>
      <c r="I40" s="212"/>
      <c r="J40" s="212"/>
      <c r="K40" s="212"/>
      <c r="L40" s="212"/>
      <c r="M40" s="213"/>
      <c r="N40" s="212"/>
      <c r="O40" s="212"/>
      <c r="P40" s="212"/>
      <c r="Q40" s="213"/>
      <c r="R40" s="213"/>
      <c r="S40" s="213"/>
      <c r="T40" s="213"/>
      <c r="U40" s="213"/>
      <c r="V40" s="214"/>
      <c r="W40" s="135"/>
    </row>
    <row r="41" spans="1:27" s="183" customFormat="1" ht="12" customHeight="1">
      <c r="B41" s="184"/>
      <c r="C41" s="185"/>
      <c r="D41" s="185"/>
      <c r="E41" s="186"/>
      <c r="F41" s="186"/>
      <c r="G41" s="186"/>
      <c r="H41" s="186"/>
      <c r="I41" s="186"/>
      <c r="J41" s="187"/>
      <c r="K41" s="187"/>
      <c r="L41" s="187"/>
      <c r="M41" s="188"/>
      <c r="N41" s="187"/>
      <c r="O41" s="187"/>
      <c r="P41" s="187"/>
      <c r="Q41" s="188"/>
      <c r="R41" s="188"/>
      <c r="S41" s="188"/>
      <c r="T41" s="188"/>
      <c r="U41" s="188"/>
      <c r="V41" s="189"/>
      <c r="W41" s="190"/>
      <c r="X41" s="191"/>
      <c r="Y41" s="191"/>
      <c r="Z41" s="191"/>
      <c r="AA41" s="191"/>
    </row>
    <row r="42" spans="1:27" ht="18" customHeight="1" thickBot="1">
      <c r="A42" s="135" t="s">
        <v>54</v>
      </c>
      <c r="B42" s="135"/>
      <c r="C42" s="136"/>
      <c r="D42" s="137"/>
      <c r="E42" s="135"/>
      <c r="F42" s="135"/>
      <c r="G42" s="135"/>
      <c r="H42" s="135"/>
      <c r="I42" s="135"/>
      <c r="J42" s="135"/>
      <c r="K42" s="135"/>
      <c r="L42" s="135"/>
      <c r="M42" s="138"/>
      <c r="N42" s="135"/>
      <c r="O42" s="135"/>
      <c r="P42" s="135"/>
      <c r="Q42" s="138"/>
      <c r="R42" s="138"/>
      <c r="S42" s="138"/>
      <c r="T42" s="138"/>
      <c r="U42" s="138"/>
      <c r="V42" s="135"/>
      <c r="W42" s="135"/>
    </row>
    <row r="43" spans="1:27" ht="24.95" customHeight="1" thickBot="1">
      <c r="A43" s="135"/>
      <c r="B43" s="215" t="str">
        <f>CONCATENATE("1) Selected '",J4,"' as the vendor offering the lowest price while meeting all required quality standards.")</f>
        <v>1) Selected 'JASSIM SAIF AMER ALIABERI TRADING EST' as the vendor offering the lowest price while meeting all required quality standards.</v>
      </c>
      <c r="C43" s="216"/>
      <c r="D43" s="217"/>
      <c r="E43" s="218"/>
      <c r="F43" s="219"/>
      <c r="G43" s="219"/>
      <c r="H43" s="219"/>
      <c r="I43" s="219"/>
      <c r="J43" s="219"/>
      <c r="K43" s="219"/>
      <c r="L43" s="219"/>
      <c r="M43" s="220"/>
      <c r="N43" s="219"/>
      <c r="O43" s="219"/>
      <c r="P43" s="219"/>
      <c r="Q43" s="220"/>
      <c r="R43" s="220"/>
      <c r="S43" s="220"/>
      <c r="T43" s="220"/>
      <c r="U43" s="220"/>
      <c r="V43" s="221"/>
      <c r="W43" s="135"/>
    </row>
    <row r="44" spans="1:27" ht="18" customHeight="1">
      <c r="A44" s="135"/>
      <c r="B44" s="222"/>
      <c r="C44" s="223"/>
      <c r="D44" s="224"/>
      <c r="E44" s="222"/>
      <c r="F44" s="135"/>
      <c r="G44" s="135"/>
      <c r="H44" s="135"/>
      <c r="I44" s="135"/>
      <c r="J44" s="135"/>
      <c r="K44" s="135"/>
      <c r="L44" s="135"/>
      <c r="M44" s="138"/>
      <c r="N44" s="135"/>
      <c r="O44" s="135"/>
      <c r="P44" s="135"/>
      <c r="Q44" s="138"/>
      <c r="R44" s="138"/>
      <c r="S44" s="138"/>
      <c r="T44" s="138"/>
      <c r="U44" s="138"/>
      <c r="V44" s="135"/>
      <c r="W44" s="135"/>
    </row>
    <row r="45" spans="1:27" s="228" customFormat="1" ht="15" customHeight="1">
      <c r="A45" s="134"/>
      <c r="B45" s="225"/>
      <c r="C45" s="226"/>
      <c r="D45" s="227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133"/>
      <c r="Y45" s="133"/>
      <c r="Z45" s="133"/>
      <c r="AA45" s="133"/>
    </row>
    <row r="46" spans="1:27" s="228" customFormat="1" ht="18" customHeight="1">
      <c r="A46" s="134"/>
      <c r="B46" s="134"/>
      <c r="C46" s="139"/>
      <c r="D46" s="227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134"/>
      <c r="W46" s="134"/>
      <c r="X46" s="133"/>
      <c r="Y46" s="133"/>
      <c r="Z46" s="133"/>
      <c r="AA46" s="133"/>
    </row>
    <row r="47" spans="1:27" s="228" customFormat="1" ht="18" customHeight="1">
      <c r="A47" s="134"/>
      <c r="B47" s="134"/>
      <c r="C47" s="139"/>
      <c r="D47" s="227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134"/>
      <c r="W47" s="134"/>
      <c r="X47" s="133"/>
      <c r="Y47" s="133"/>
      <c r="Z47" s="133"/>
      <c r="AA47" s="133"/>
    </row>
    <row r="48" spans="1:27" s="228" customFormat="1" ht="18" customHeight="1">
      <c r="A48" s="134"/>
      <c r="B48" s="134"/>
      <c r="C48" s="139"/>
      <c r="D48" s="227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134"/>
      <c r="W48" s="134"/>
      <c r="X48" s="133"/>
      <c r="Y48" s="133"/>
      <c r="Z48" s="133"/>
      <c r="AA48" s="133"/>
    </row>
    <row r="49" spans="1:27" s="228" customFormat="1" ht="18" customHeight="1">
      <c r="A49" s="134"/>
      <c r="B49" s="134"/>
      <c r="C49" s="139"/>
      <c r="D49" s="227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134"/>
      <c r="W49" s="134"/>
      <c r="X49" s="133"/>
      <c r="Y49" s="133"/>
      <c r="Z49" s="133"/>
      <c r="AA49" s="133"/>
    </row>
  </sheetData>
  <mergeCells count="55">
    <mergeCell ref="A3:C3"/>
    <mergeCell ref="G30:H30"/>
    <mergeCell ref="G28:H28"/>
    <mergeCell ref="G29:H29"/>
    <mergeCell ref="G27:I27"/>
    <mergeCell ref="G4:I4"/>
    <mergeCell ref="B30:F30"/>
    <mergeCell ref="C29:F29"/>
    <mergeCell ref="C27:F27"/>
    <mergeCell ref="P36:Q36"/>
    <mergeCell ref="R36:S36"/>
    <mergeCell ref="T36:U36"/>
    <mergeCell ref="C35:D35"/>
    <mergeCell ref="J35:K35"/>
    <mergeCell ref="L35:M35"/>
    <mergeCell ref="N35:O35"/>
    <mergeCell ref="P35:Q35"/>
    <mergeCell ref="R35:S35"/>
    <mergeCell ref="T35:U35"/>
    <mergeCell ref="C36:D36"/>
    <mergeCell ref="J36:K36"/>
    <mergeCell ref="L36:M36"/>
    <mergeCell ref="N36:O36"/>
    <mergeCell ref="E34:I36"/>
    <mergeCell ref="R33:S33"/>
    <mergeCell ref="T33:U33"/>
    <mergeCell ref="C34:D34"/>
    <mergeCell ref="J34:K34"/>
    <mergeCell ref="L34:M34"/>
    <mergeCell ref="N34:O34"/>
    <mergeCell ref="P34:Q34"/>
    <mergeCell ref="R34:S34"/>
    <mergeCell ref="T34:U34"/>
    <mergeCell ref="P33:Q33"/>
    <mergeCell ref="J33:K33"/>
    <mergeCell ref="L33:M33"/>
    <mergeCell ref="N33:O33"/>
    <mergeCell ref="C33:D33"/>
    <mergeCell ref="E33:I33"/>
    <mergeCell ref="V4:V5"/>
    <mergeCell ref="L6:L26"/>
    <mergeCell ref="P6:P26"/>
    <mergeCell ref="T6:T26"/>
    <mergeCell ref="J4:M4"/>
    <mergeCell ref="J27:M27"/>
    <mergeCell ref="N27:Q27"/>
    <mergeCell ref="R27:U27"/>
    <mergeCell ref="D28:F2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28 U28 U6 Q6" evalError="1"/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2026-10-24T13:22:45Z</cp:lastPrinted>
  <dcterms:created xsi:type="dcterms:W3CDTF">2023-08-14T07:13:42Z</dcterms:created>
  <dcterms:modified xsi:type="dcterms:W3CDTF">2026-10-24T13:23:38Z</dcterms:modified>
</cp:coreProperties>
</file>