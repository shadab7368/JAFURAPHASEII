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JASSIM\Q-20263245\"/>
    </mc:Choice>
  </mc:AlternateContent>
  <xr:revisionPtr revIDLastSave="0" documentId="13_ncr:1_{61A62F87-272C-4CB5-B03C-A92E21FA64AA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B6" i="4" l="1"/>
  <c r="B58" i="2" l="1"/>
  <c r="B57" i="2"/>
  <c r="B56" i="2"/>
  <c r="B55" i="2"/>
  <c r="B54" i="2"/>
  <c r="E3" i="1"/>
  <c r="J9" i="1" l="1"/>
  <c r="J8" i="1"/>
  <c r="J7" i="1"/>
  <c r="H6" i="2" l="1"/>
  <c r="G6" i="2"/>
  <c r="D6" i="2"/>
  <c r="B6" i="2"/>
  <c r="E6" i="4"/>
  <c r="D6" i="4"/>
  <c r="J6" i="1"/>
  <c r="J6" i="2" s="1"/>
  <c r="J14" i="1" l="1"/>
  <c r="K67" i="3"/>
  <c r="K10" i="3" l="1"/>
  <c r="A19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<sst xmlns="http://schemas.openxmlformats.org/spreadsheetml/2006/main" count="158" uniqueCount="135">
  <si>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</si>
  <si>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</si>
  <si>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</si>
  <si>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</si>
  <si>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</si>
  <si>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</si>
  <si>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</si>
  <si>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</si>
  <si>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</si>
  <si>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</si>
  <si>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</si>
  <si>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</si>
  <si>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</si>
  <si>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</si>
  <si>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</si>
  <si>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</si>
  <si>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</si>
  <si>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</si>
  <si>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</si>
  <si>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</si>
  <si>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</si>
  <si>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</si>
  <si>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</si>
  <si>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</si>
  <si>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</si>
  <si>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</si>
  <si>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</si>
  <si>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</si>
  <si>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</si>
  <si>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</si>
  <si>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</si>
  <si>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</si>
  <si>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</si>
  <si>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</si>
  <si>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</si>
  <si>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</si>
  <si>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</si>
  <si>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</si>
  <si>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</si>
  <si>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</si>
  <si>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</si>
  <si>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</si>
  <si>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</si>
  <si>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</si>
  <si>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</si>
  <si>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</si>
  <si>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</si>
  <si>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</si>
  <si>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</si>
  <si>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</si>
  <si>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</si>
  <si>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</si>
  <si>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</si>
  <si>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</si>
  <si>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</si>
  <si>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</si>
  <si>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</si>
  <si>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</si>
  <si>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</si>
  <si>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</si>
  <si>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</si>
  <si>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</si>
  <si>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</si>
  <si>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</si>
  <si>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</si>
  <si>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</si>
  <si>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</si>
  <si>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</si>
  <si>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</si>
  <si>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</si>
  <si>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</si>
  <si>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</si>
  <si>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</si>
  <si>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</si>
  <si>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</si>
  <si>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</si>
  <si>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</si>
  <si>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</si>
  <si>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</si>
  <si>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</si>
  <si>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</si>
  <si>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</si>
  <si>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</si>
  <si>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</si>
  <si>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</si>
  <si>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</si>
  <si>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</si>
  <si>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</si>
  <si>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</si>
  <si>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</si>
  <si>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</si>
  <si>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</si>
  <si>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</si>
  <si>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</si>
  <si>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</si>
  <si>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</si>
  <si>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</si>
  <si>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</si>
  <si>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</si>
  <si>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</si>
  <si>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</si>
  <si>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</si>
  <si>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</si>
  <si>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</si>
  <si>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</si>
  <si>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</si>
  <si>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</si>
  <si>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</si>
  <si>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</si>
  <si>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</si>
  <si>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</si>
  <si>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</si>
  <si>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</si>
  <si>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</si>
  <si>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</si>
  <si>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</si>
  <si>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</si>
  <si>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</si>
  <si>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</si>
  <si>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</si>
  <si>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</si>
  <si>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</si>
  <si>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</si>
  <si>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</si>
  <si>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</si>
  <si>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</si>
  <si>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</si>
  <si>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</si>
  <si>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-MRS-0505</t>
    </r>
  </si>
  <si>
    <t>Single gas detector</t>
  </si>
  <si>
    <t xml:space="preserve"> H2S 500ppm T40 ii rattle ISC with calibration certificateS</t>
  </si>
  <si>
    <t>Nos</t>
  </si>
  <si>
    <t>Q-20263245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</si>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</sst>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0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20" xfId="6" applyFont="1" applyFill="1" applyBorder="1" applyAlignment="1">
      <alignment horizontal="center" vertical="center" wrapText="1"/>
    </xf>
    <xf numFmtId="43" fontId="13" fillId="0" borderId="20" xfId="6" quotePrefix="1" applyNumberFormat="1" applyFont="1" applyBorder="1" applyAlignment="1">
      <alignment vertical="center" wrapText="1"/>
    </xf>
    <xf numFmtId="0" fontId="8" fillId="0" borderId="34" xfId="6" applyFont="1" applyBorder="1"/>
    <xf numFmtId="170" fontId="10" fillId="0" borderId="39" xfId="6" applyNumberFormat="1" applyFont="1" applyBorder="1" applyAlignment="1">
      <alignment horizontal="center" vertical="center" wrapText="1"/>
    </xf>
    <xf numFmtId="0" fontId="8" fillId="0" borderId="40" xfId="6" applyFont="1" applyBorder="1"/>
    <xf numFmtId="0" fontId="10" fillId="0" borderId="0" xfId="6" applyFont="1" applyAlignment="1">
      <alignment vertical="center"/>
    </xf>
    <xf numFmtId="0" fontId="26" fillId="0" borderId="41" xfId="6" applyFont="1" applyBorder="1" applyAlignment="1">
      <alignment vertical="center"/>
    </xf>
    <xf numFmtId="0" fontId="26" fillId="0" borderId="41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5" xfId="6" quotePrefix="1" applyFont="1" applyBorder="1" applyAlignment="1">
      <alignment horizontal="center" vertical="center"/>
    </xf>
    <xf numFmtId="0" fontId="6" fillId="2" borderId="36" xfId="7" applyFont="1" applyFill="1" applyBorder="1" applyAlignment="1">
      <alignment horizontal="center" vertical="center" wrapText="1"/>
    </xf>
    <xf numFmtId="0" fontId="6" fillId="2" borderId="36" xfId="8" applyFont="1" applyFill="1" applyBorder="1" applyAlignment="1">
      <alignment horizontal="center" vertical="center"/>
    </xf>
    <xf numFmtId="43" fontId="6" fillId="0" borderId="36" xfId="9" quotePrefix="1" applyFont="1" applyFill="1" applyBorder="1" applyAlignment="1">
      <alignment vertical="center"/>
    </xf>
    <xf numFmtId="43" fontId="6" fillId="0" borderId="36" xfId="6" applyNumberFormat="1" applyFont="1" applyBorder="1" applyAlignment="1">
      <alignment vertical="center"/>
    </xf>
    <xf numFmtId="0" fontId="3" fillId="0" borderId="37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6" fillId="0" borderId="33" xfId="6" quotePrefix="1" applyFont="1" applyBorder="1" applyAlignment="1">
      <alignment horizontal="center" vertical="center"/>
    </xf>
    <xf numFmtId="0" fontId="3" fillId="0" borderId="34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20" xfId="0" applyFont="1" applyBorder="1" applyAlignment="1">
      <alignment horizontal="center" vertical="center"/>
    </xf>
    <xf numFmtId="172" fontId="42" fillId="0" borderId="20" xfId="10" applyNumberFormat="1" applyFont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8" fillId="2" borderId="18" xfId="1" quotePrefix="1" applyFont="1" applyFill="1" applyBorder="1" applyAlignment="1">
      <alignment vertical="center"/>
    </xf>
    <xf numFmtId="0" fontId="3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2" xfId="5" applyFont="1" applyFill="1" applyBorder="1"/>
    <xf numFmtId="0" fontId="18" fillId="3" borderId="42" xfId="5" applyFont="1" applyFill="1" applyBorder="1"/>
    <xf numFmtId="0" fontId="6" fillId="2" borderId="19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3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44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 wrapText="1"/>
    </xf>
    <xf numFmtId="0" fontId="3" fillId="2" borderId="14" xfId="1" applyFill="1" applyBorder="1" applyAlignment="1">
      <alignment horizontal="center" vertical="center" wrapText="1"/>
    </xf>
    <xf numFmtId="0" fontId="3" fillId="2" borderId="17" xfId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5" fillId="2" borderId="20" xfId="1" applyFont="1" applyFill="1" applyBorder="1" applyAlignment="1">
      <alignment horizontal="center" vertical="center" wrapText="1"/>
    </xf>
    <xf numFmtId="0" fontId="15" fillId="2" borderId="20" xfId="1" applyFont="1" applyFill="1" applyBorder="1" applyAlignment="1">
      <alignment horizontal="center" vertical="center"/>
    </xf>
    <xf numFmtId="0" fontId="42" fillId="0" borderId="21" xfId="0" applyFont="1" applyBorder="1" applyAlignment="1">
      <alignment horizontal="left" vertical="center" wrapText="1"/>
    </xf>
    <xf numFmtId="0" fontId="42" fillId="0" borderId="22" xfId="0" applyFont="1" applyBorder="1" applyAlignment="1">
      <alignment horizontal="left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2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4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3" fillId="0" borderId="33" xfId="6" quotePrefix="1" applyFont="1" applyBorder="1" applyAlignment="1">
      <alignment horizontal="right" vertical="center"/>
    </xf>
    <xf numFmtId="0" fontId="13" fillId="0" borderId="20" xfId="6" quotePrefix="1" applyFont="1" applyBorder="1" applyAlignment="1">
      <alignment horizontal="right" vertical="center"/>
    </xf>
    <xf numFmtId="0" fontId="10" fillId="0" borderId="38" xfId="6" quotePrefix="1" applyFont="1" applyBorder="1" applyAlignment="1">
      <alignment horizontal="right" vertical="center"/>
    </xf>
    <xf numFmtId="0" fontId="10" fillId="0" borderId="39" xfId="6" quotePrefix="1" applyFont="1" applyBorder="1" applyAlignment="1">
      <alignment horizontal="right" vertical="center"/>
    </xf>
    <xf numFmtId="0" fontId="42" fillId="3" borderId="21" xfId="5" applyFont="1" applyFill="1" applyBorder="1" applyAlignment="1">
      <alignment horizontal="left" vertical="center" wrapText="1"/>
    </xf>
    <xf numFmtId="0" fontId="42" fillId="3" borderId="22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5" xfId="6" applyFont="1" applyBorder="1" applyAlignment="1">
      <alignment horizontal="right" vertical="center"/>
    </xf>
    <xf numFmtId="0" fontId="8" fillId="4" borderId="26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20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14</xdr:row>
          <xdr:rowOff>246146</xdr:rowOff>
        </xdr:from>
        <xdr:to>
          <xdr:col>11</xdr:col>
          <xdr:colOff>1480385</xdr:colOff>
          <xdr:row>21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Y$23" spid="_x0000_s14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0"/>
  <sheetViews>
    <sheetView showGridLines="0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2851562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18" t="s">
        <v>126</v>
      </c>
      <c r="B1" s="119"/>
      <c r="C1" s="95"/>
      <c r="D1" s="95"/>
      <c r="E1" s="95"/>
      <c r="F1" s="95"/>
      <c r="G1" s="1"/>
      <c r="J1" s="146" t="s">
        <v>79</v>
      </c>
      <c r="K1" s="147"/>
      <c r="L1" s="148"/>
    </row>
    <row r="2" spans="1:26" ht="20.100000000000001" customHeight="1">
      <c r="A2" s="3" t="s">
        <v>1</v>
      </c>
      <c r="B2" s="89"/>
      <c r="C2" s="89"/>
      <c r="D2" s="3" t="s">
        <v>127</v>
      </c>
      <c r="E2" s="89"/>
      <c r="F2" s="89"/>
      <c r="G2" s="89"/>
      <c r="H2" s="89"/>
      <c r="I2" s="4"/>
      <c r="J2" s="149" t="s">
        <v>86</v>
      </c>
      <c r="K2" s="150"/>
      <c r="L2" s="151"/>
    </row>
    <row r="3" spans="1:26" ht="20.100000000000001" customHeight="1">
      <c r="A3" s="3" t="s">
        <v>128</v>
      </c>
      <c r="B3" s="89"/>
      <c r="C3" s="89"/>
      <c r="D3" s="89"/>
      <c r="E3" s="152">
        <f>+L3+3</f>
        <v>46320</v>
      </c>
      <c r="F3" s="152"/>
      <c r="G3" s="152"/>
      <c r="H3" s="152"/>
      <c r="I3" s="152"/>
      <c r="J3" s="89"/>
      <c r="K3" s="89"/>
      <c r="L3" s="120">
        <v>46317</v>
      </c>
      <c r="M3" s="4"/>
    </row>
    <row r="4" spans="1:26" ht="15.95" customHeight="1">
      <c r="A4" s="130" t="s">
        <v>2</v>
      </c>
      <c r="B4" s="132" t="s">
        <v>3</v>
      </c>
      <c r="C4" s="132"/>
      <c r="D4" s="134" t="s">
        <v>4</v>
      </c>
      <c r="E4" s="135"/>
      <c r="F4" s="136"/>
      <c r="G4" s="133" t="s">
        <v>5</v>
      </c>
      <c r="H4" s="131" t="s">
        <v>6</v>
      </c>
      <c r="I4" s="131" t="s">
        <v>83</v>
      </c>
      <c r="J4" s="130" t="s">
        <v>84</v>
      </c>
      <c r="K4" s="131" t="s">
        <v>0</v>
      </c>
      <c r="L4" s="132" t="s">
        <v>7</v>
      </c>
    </row>
    <row r="5" spans="1:26" ht="24.75" customHeight="1">
      <c r="A5" s="131"/>
      <c r="B5" s="133"/>
      <c r="C5" s="133"/>
      <c r="D5" s="137"/>
      <c r="E5" s="138"/>
      <c r="F5" s="139"/>
      <c r="G5" s="140"/>
      <c r="H5" s="141"/>
      <c r="I5" s="141"/>
      <c r="J5" s="131"/>
      <c r="K5" s="141"/>
      <c r="L5" s="133"/>
    </row>
    <row r="6" spans="1:26" ht="30" customHeight="1">
      <c r="A6" s="5">
        <f t="shared" ref="A6" si="0">ROW(A1)</f>
        <v>1</v>
      </c>
      <c r="B6" s="144" t="s">
        <v>129</v>
      </c>
      <c r="C6" s="145"/>
      <c r="D6" s="153" t="s">
        <v>130</v>
      </c>
      <c r="E6" s="154"/>
      <c r="F6" s="155"/>
      <c r="G6" s="125" t="s">
        <v>131</v>
      </c>
      <c r="H6" s="121">
        <v>125</v>
      </c>
      <c r="I6" s="122">
        <v>310</v>
      </c>
      <c r="J6" s="123">
        <f>H6*I6</f>
        <v>38750</v>
      </c>
      <c r="K6" s="124" t="s">
        <v>88</v>
      </c>
      <c r="L6" s="97" t="s">
        <v>96</v>
      </c>
      <c r="R6" s="94"/>
    </row>
    <row r="7" spans="1:26" ht="30" customHeight="1">
      <c r="A7" s="5"/>
      <c r="B7" s="144"/>
      <c r="C7" s="145"/>
      <c r="D7" s="153"/>
      <c r="E7" s="154"/>
      <c r="F7" s="155"/>
      <c r="G7" s="121"/>
      <c r="H7" s="121"/>
      <c r="I7" s="122"/>
      <c r="J7" s="123">
        <f t="shared" ref="J7:J9" si="1">H7*I7</f>
        <v>0</v>
      </c>
      <c r="K7" s="124"/>
      <c r="L7" s="97"/>
      <c r="R7" s="94"/>
    </row>
    <row r="8" spans="1:26" ht="30" customHeight="1">
      <c r="A8" s="5"/>
      <c r="B8" s="144"/>
      <c r="C8" s="145"/>
      <c r="D8" s="153"/>
      <c r="E8" s="154"/>
      <c r="F8" s="155"/>
      <c r="G8" s="121"/>
      <c r="H8" s="121"/>
      <c r="I8" s="122"/>
      <c r="J8" s="123">
        <f t="shared" si="1"/>
        <v>0</v>
      </c>
      <c r="K8" s="124"/>
      <c r="L8" s="97"/>
      <c r="R8" s="94"/>
    </row>
    <row r="9" spans="1:26" ht="30" customHeight="1">
      <c r="A9" s="5"/>
      <c r="B9" s="144"/>
      <c r="C9" s="145"/>
      <c r="D9" s="153"/>
      <c r="E9" s="154"/>
      <c r="F9" s="155"/>
      <c r="G9" s="121"/>
      <c r="H9" s="121"/>
      <c r="I9" s="122"/>
      <c r="J9" s="123">
        <f t="shared" si="1"/>
        <v>0</v>
      </c>
      <c r="K9" s="124"/>
      <c r="L9" s="97"/>
      <c r="R9" s="94"/>
    </row>
    <row r="10" spans="1:26" ht="30" customHeight="1">
      <c r="A10" s="5"/>
      <c r="B10" s="144"/>
      <c r="C10" s="145"/>
      <c r="D10" s="153"/>
      <c r="E10" s="154"/>
      <c r="F10" s="155"/>
      <c r="G10" s="121"/>
      <c r="H10" s="121"/>
      <c r="I10" s="122"/>
      <c r="J10" s="123"/>
      <c r="K10" s="124"/>
      <c r="L10" s="97"/>
      <c r="R10" s="94"/>
    </row>
    <row r="11" spans="1:26" ht="30" customHeight="1">
      <c r="A11" s="5"/>
      <c r="B11" s="144"/>
      <c r="C11" s="145"/>
      <c r="D11" s="153"/>
      <c r="E11" s="154"/>
      <c r="F11" s="155"/>
      <c r="G11" s="121"/>
      <c r="H11" s="121"/>
      <c r="I11" s="122"/>
      <c r="J11" s="123"/>
      <c r="K11" s="124"/>
      <c r="L11" s="97"/>
      <c r="R11" s="94"/>
    </row>
    <row r="12" spans="1:26" ht="30" customHeight="1">
      <c r="A12" s="5"/>
      <c r="B12" s="144"/>
      <c r="C12" s="145"/>
      <c r="D12" s="153"/>
      <c r="E12" s="154"/>
      <c r="F12" s="155"/>
      <c r="G12" s="121"/>
      <c r="H12" s="121"/>
      <c r="I12" s="122"/>
      <c r="J12" s="123"/>
      <c r="K12" s="124"/>
      <c r="L12" s="97"/>
      <c r="R12" s="94"/>
    </row>
    <row r="13" spans="1:26" ht="30" customHeight="1">
      <c r="A13" s="5"/>
      <c r="B13" s="144"/>
      <c r="C13" s="145"/>
      <c r="D13" s="153"/>
      <c r="E13" s="154"/>
      <c r="F13" s="155"/>
      <c r="G13" s="121"/>
      <c r="H13" s="121"/>
      <c r="I13" s="122"/>
      <c r="J13" s="123"/>
      <c r="K13" s="124"/>
      <c r="L13" s="97"/>
      <c r="R13" s="94"/>
    </row>
    <row r="14" spans="1:26" ht="30" customHeight="1">
      <c r="A14" s="142" t="s">
        <v>8</v>
      </c>
      <c r="B14" s="143"/>
      <c r="C14" s="98"/>
      <c r="D14" s="102"/>
      <c r="E14" s="102"/>
      <c r="F14" s="102"/>
      <c r="G14" s="103"/>
      <c r="H14" s="103"/>
      <c r="I14" s="104" t="s">
        <v>9</v>
      </c>
      <c r="J14" s="96">
        <f>SUM(J6:J13)</f>
        <v>38750</v>
      </c>
      <c r="K14" s="96"/>
      <c r="L14" s="99"/>
    </row>
    <row r="15" spans="1:26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6" ht="18" customHeight="1">
      <c r="A16" s="10"/>
      <c r="J16" s="1"/>
      <c r="K16" s="1"/>
      <c r="O16" s="11"/>
      <c r="P16" s="11"/>
      <c r="Q16" s="11"/>
      <c r="R16" s="11"/>
      <c r="S16" s="11"/>
      <c r="T16" s="11"/>
      <c r="U16" s="11"/>
      <c r="V16" s="11"/>
      <c r="W16" s="11"/>
      <c r="Y16" s="160"/>
      <c r="Z16" s="11"/>
    </row>
    <row r="17" spans="15:25" ht="50.1" customHeight="1">
      <c r="Y17" s="161"/>
    </row>
    <row r="18" spans="15:25" ht="15" customHeight="1">
      <c r="O18" s="156" t="s">
        <v>114</v>
      </c>
      <c r="P18" s="162"/>
      <c r="Q18" s="162"/>
      <c r="R18" s="157"/>
      <c r="S18" s="111"/>
      <c r="T18" s="156" t="s">
        <v>115</v>
      </c>
      <c r="U18" s="162"/>
      <c r="V18" s="162"/>
      <c r="W18" s="162"/>
      <c r="X18" s="162"/>
      <c r="Y18" s="157"/>
    </row>
    <row r="19" spans="15:25" ht="15" customHeight="1">
      <c r="O19" s="163" t="s">
        <v>116</v>
      </c>
      <c r="P19" s="126" t="s">
        <v>117</v>
      </c>
      <c r="Q19" s="163" t="s">
        <v>118</v>
      </c>
      <c r="R19" s="126" t="s">
        <v>119</v>
      </c>
      <c r="S19" s="111"/>
      <c r="T19" s="163" t="s">
        <v>120</v>
      </c>
      <c r="U19" s="126" t="s">
        <v>121</v>
      </c>
      <c r="V19" s="156" t="s">
        <v>122</v>
      </c>
      <c r="W19" s="162"/>
      <c r="X19" s="157"/>
      <c r="Y19" s="126" t="s">
        <v>123</v>
      </c>
    </row>
    <row r="20" spans="15:25" ht="18" customHeight="1">
      <c r="O20" s="127"/>
      <c r="P20" s="128"/>
      <c r="Q20" s="127"/>
      <c r="R20" s="128"/>
      <c r="S20" s="112"/>
      <c r="T20" s="127"/>
      <c r="U20" s="128"/>
      <c r="V20" s="13" t="s">
        <v>116</v>
      </c>
      <c r="W20" s="164" t="s">
        <v>124</v>
      </c>
      <c r="X20" s="165"/>
      <c r="Y20" s="128"/>
    </row>
    <row r="21" spans="15:25" ht="50.1" customHeight="1">
      <c r="O21" s="14"/>
      <c r="P21" s="14"/>
      <c r="Q21" s="14"/>
      <c r="R21" s="14"/>
      <c r="S21" s="111"/>
      <c r="T21" s="14"/>
      <c r="U21" s="14"/>
      <c r="V21" s="14"/>
      <c r="W21" s="156"/>
      <c r="X21" s="157"/>
      <c r="Y21" s="113"/>
    </row>
    <row r="22" spans="15:25" ht="36" customHeight="1">
      <c r="W22" s="114"/>
      <c r="X22" s="158" t="s">
        <v>125</v>
      </c>
      <c r="Y22" s="12" t="s">
        <v>123</v>
      </c>
    </row>
    <row r="23" spans="15:25" ht="50.1" customHeight="1">
      <c r="O23" s="115"/>
      <c r="P23" s="115"/>
      <c r="Q23" s="115"/>
      <c r="R23" s="115"/>
      <c r="S23" s="115"/>
      <c r="T23" s="115"/>
      <c r="U23" s="115"/>
      <c r="V23" s="115"/>
      <c r="W23" s="116"/>
      <c r="X23" s="159"/>
      <c r="Y23" s="117"/>
    </row>
    <row r="24" spans="15:25" ht="19.899999999999999" customHeight="1"/>
    <row r="25" spans="15:25" ht="17.45" customHeight="1">
      <c r="O25" s="129"/>
      <c r="P25" s="129"/>
    </row>
    <row r="26" spans="15:25" ht="19.899999999999999" customHeight="1">
      <c r="O26" s="129"/>
      <c r="P26" s="129"/>
    </row>
    <row r="27" spans="15:25" ht="14.25">
      <c r="O27" s="11"/>
      <c r="P27" s="11"/>
    </row>
    <row r="28" spans="15:25" ht="65.099999999999994" customHeight="1"/>
    <row r="29" spans="15:25" ht="14.25">
      <c r="O29" s="11"/>
      <c r="P29" s="11"/>
    </row>
    <row r="30" spans="15:25" ht="19.899999999999999" customHeight="1"/>
    <row r="31" spans="15:25" ht="14.25"/>
    <row r="32" spans="15:25" ht="19.899999999999999" customHeight="1"/>
    <row r="33" spans="15:19" ht="14.25"/>
    <row r="34" spans="15:19" ht="19.899999999999999" customHeight="1"/>
    <row r="35" spans="15:19" ht="19.899999999999999" customHeight="1"/>
    <row r="36" spans="15:19" ht="64.900000000000006" customHeight="1"/>
    <row r="38" spans="15:19" ht="19.899999999999999" customHeight="1"/>
    <row r="39" spans="15:19" ht="19.899999999999999" customHeight="1"/>
    <row r="40" spans="15:19" ht="64.900000000000006" customHeight="1"/>
    <row r="44" spans="15:19" ht="21" customHeight="1">
      <c r="O44" s="126" t="s">
        <v>12</v>
      </c>
      <c r="P44" s="126" t="s">
        <v>12</v>
      </c>
      <c r="S44" s="126" t="s">
        <v>11</v>
      </c>
    </row>
    <row r="45" spans="15:19" ht="21" customHeight="1">
      <c r="O45" s="128"/>
      <c r="P45" s="128"/>
      <c r="S45" s="127"/>
    </row>
    <row r="46" spans="15:19" ht="64.900000000000006" customHeight="1">
      <c r="O46" s="14"/>
      <c r="P46" s="14"/>
      <c r="S46" s="15"/>
    </row>
    <row r="47" spans="15:19" ht="7.15" customHeight="1"/>
    <row r="48" spans="15:19" ht="21" customHeight="1">
      <c r="O48" s="126" t="s">
        <v>12</v>
      </c>
      <c r="P48" s="126" t="s">
        <v>12</v>
      </c>
      <c r="S48" s="126" t="s">
        <v>13</v>
      </c>
    </row>
    <row r="49" spans="15:19" ht="21" customHeight="1">
      <c r="O49" s="128"/>
      <c r="P49" s="128"/>
      <c r="S49" s="127"/>
    </row>
    <row r="50" spans="15:19" ht="64.900000000000006" customHeight="1">
      <c r="O50" s="14"/>
      <c r="P50" s="14"/>
      <c r="S50" s="14"/>
    </row>
  </sheetData>
  <mergeCells count="51">
    <mergeCell ref="X22:X23"/>
    <mergeCell ref="Y16:Y17"/>
    <mergeCell ref="O18:R18"/>
    <mergeCell ref="T18:Y18"/>
    <mergeCell ref="O19:O20"/>
    <mergeCell ref="Q19:Q20"/>
    <mergeCell ref="R19:R20"/>
    <mergeCell ref="T19:T20"/>
    <mergeCell ref="U19:U20"/>
    <mergeCell ref="V19:X19"/>
    <mergeCell ref="Y19:Y20"/>
    <mergeCell ref="W20:X20"/>
    <mergeCell ref="B10:C10"/>
    <mergeCell ref="B11:C11"/>
    <mergeCell ref="B12:C12"/>
    <mergeCell ref="B6:C6"/>
    <mergeCell ref="W21:X21"/>
    <mergeCell ref="D9:F9"/>
    <mergeCell ref="D10:F10"/>
    <mergeCell ref="D11:F11"/>
    <mergeCell ref="D12:F12"/>
    <mergeCell ref="D13:F13"/>
    <mergeCell ref="A14:B14"/>
    <mergeCell ref="P19:P20"/>
    <mergeCell ref="B13:C13"/>
    <mergeCell ref="J1:L1"/>
    <mergeCell ref="J2:L2"/>
    <mergeCell ref="E3:I3"/>
    <mergeCell ref="I4:I5"/>
    <mergeCell ref="J4:J5"/>
    <mergeCell ref="K4:K5"/>
    <mergeCell ref="L4:L5"/>
    <mergeCell ref="D6:F6"/>
    <mergeCell ref="B7:C7"/>
    <mergeCell ref="D7:F7"/>
    <mergeCell ref="B8:C8"/>
    <mergeCell ref="D8:F8"/>
    <mergeCell ref="B9:C9"/>
    <mergeCell ref="A4:A5"/>
    <mergeCell ref="B4:C5"/>
    <mergeCell ref="D4:F5"/>
    <mergeCell ref="G4:G5"/>
    <mergeCell ref="H4:H5"/>
    <mergeCell ref="S44:S45"/>
    <mergeCell ref="O48:O49"/>
    <mergeCell ref="P48:P49"/>
    <mergeCell ref="S48:S49"/>
    <mergeCell ref="O25:O26"/>
    <mergeCell ref="P25:P26"/>
    <mergeCell ref="O44:O45"/>
    <mergeCell ref="P44:P45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85</v>
      </c>
      <c r="B1" s="88"/>
      <c r="C1" s="88"/>
      <c r="D1" s="88"/>
      <c r="E1" s="88"/>
      <c r="F1" s="88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SAC2-DS-MRS-0505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46317</v>
      </c>
    </row>
    <row r="4" spans="1:18" ht="15.95" customHeight="1">
      <c r="A4" s="166" t="s">
        <v>2</v>
      </c>
      <c r="B4" s="167" t="s">
        <v>14</v>
      </c>
      <c r="C4" s="167"/>
      <c r="D4" s="166" t="s">
        <v>4</v>
      </c>
      <c r="E4" s="166"/>
      <c r="F4" s="166"/>
      <c r="G4" s="167" t="s">
        <v>5</v>
      </c>
      <c r="H4" s="166" t="s">
        <v>80</v>
      </c>
      <c r="I4" s="166" t="s">
        <v>15</v>
      </c>
      <c r="J4" s="166" t="s">
        <v>16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17">
        <f>+MRS!A6</f>
        <v>1</v>
      </c>
      <c r="B6" s="168" t="str">
        <f>MRS!B6</f>
        <v>Single gas detector</v>
      </c>
      <c r="C6" s="169"/>
      <c r="D6" s="170" t="str">
        <f>MRS!D6</f>
        <v xml:space="preserve"> H2S 500ppm T40 ii rattle ISC with calibration certificateS</v>
      </c>
      <c r="E6" s="171"/>
      <c r="F6" s="172"/>
      <c r="G6" s="91" t="str">
        <f>MRS!G6</f>
        <v>Nos</v>
      </c>
      <c r="H6" s="91">
        <f>MRS!H6</f>
        <v>125</v>
      </c>
      <c r="I6" s="92">
        <f>MRS!I6</f>
        <v>310</v>
      </c>
      <c r="J6" s="92">
        <f>MRS!J6</f>
        <v>38750</v>
      </c>
      <c r="K6" s="93"/>
      <c r="O6" s="94"/>
      <c r="P6" s="94"/>
      <c r="R6" s="94"/>
    </row>
    <row r="7" spans="1:18" ht="105" customHeight="1">
      <c r="A7" s="17"/>
      <c r="B7" s="168"/>
      <c r="C7" s="169"/>
      <c r="D7" s="170"/>
      <c r="E7" s="171"/>
      <c r="F7" s="172"/>
      <c r="G7" s="91"/>
      <c r="H7" s="91"/>
      <c r="I7" s="92"/>
      <c r="J7" s="92"/>
      <c r="K7" s="93"/>
      <c r="O7" s="94"/>
      <c r="P7" s="94"/>
      <c r="R7" s="94"/>
    </row>
    <row r="8" spans="1:18" ht="105" customHeight="1">
      <c r="A8" s="17"/>
      <c r="B8" s="168"/>
      <c r="C8" s="169"/>
      <c r="D8" s="170"/>
      <c r="E8" s="171"/>
      <c r="F8" s="172"/>
      <c r="G8" s="91"/>
      <c r="H8" s="91"/>
      <c r="I8" s="92"/>
      <c r="J8" s="92"/>
      <c r="K8" s="93"/>
      <c r="O8" s="94"/>
      <c r="P8" s="94"/>
      <c r="R8" s="94"/>
    </row>
    <row r="9" spans="1:18" ht="105" customHeight="1">
      <c r="A9" s="17"/>
      <c r="B9" s="168"/>
      <c r="C9" s="169"/>
      <c r="D9" s="170"/>
      <c r="E9" s="171"/>
      <c r="F9" s="172"/>
      <c r="G9" s="91"/>
      <c r="H9" s="91"/>
      <c r="I9" s="92"/>
      <c r="J9" s="92"/>
      <c r="K9" s="93"/>
      <c r="O9" s="94"/>
      <c r="P9" s="94"/>
      <c r="R9" s="94"/>
    </row>
    <row r="10" spans="1:18" ht="105" customHeight="1">
      <c r="A10" s="17"/>
      <c r="B10" s="168"/>
      <c r="C10" s="169"/>
      <c r="D10" s="170"/>
      <c r="E10" s="171"/>
      <c r="F10" s="172"/>
      <c r="G10" s="91"/>
      <c r="H10" s="91"/>
      <c r="I10" s="92"/>
      <c r="J10" s="92"/>
      <c r="K10" s="93"/>
      <c r="O10" s="94"/>
      <c r="P10" s="94"/>
      <c r="R10" s="94"/>
    </row>
    <row r="11" spans="1:18" ht="105" customHeight="1">
      <c r="A11" s="17"/>
      <c r="B11" s="168"/>
      <c r="C11" s="169"/>
      <c r="D11" s="170"/>
      <c r="E11" s="171"/>
      <c r="F11" s="172"/>
      <c r="G11" s="91"/>
      <c r="H11" s="91"/>
      <c r="I11" s="92"/>
      <c r="J11" s="92"/>
      <c r="K11" s="93"/>
      <c r="O11" s="94"/>
      <c r="P11" s="94"/>
      <c r="R11" s="94"/>
    </row>
    <row r="12" spans="1:18" ht="105" customHeight="1">
      <c r="A12" s="17"/>
      <c r="B12" s="168"/>
      <c r="C12" s="169"/>
      <c r="D12" s="170"/>
      <c r="E12" s="171"/>
      <c r="F12" s="172"/>
      <c r="G12" s="91"/>
      <c r="H12" s="91"/>
      <c r="I12" s="92"/>
      <c r="J12" s="92"/>
      <c r="K12" s="93"/>
      <c r="O12" s="94"/>
      <c r="P12" s="94"/>
      <c r="R12" s="94"/>
    </row>
    <row r="13" spans="1:18" ht="105" customHeight="1">
      <c r="A13" s="17"/>
      <c r="B13" s="168"/>
      <c r="C13" s="169"/>
      <c r="D13" s="170"/>
      <c r="E13" s="171"/>
      <c r="F13" s="172"/>
      <c r="G13" s="91"/>
      <c r="H13" s="91"/>
      <c r="I13" s="92"/>
      <c r="J13" s="92"/>
      <c r="K13" s="93"/>
      <c r="O13" s="94"/>
      <c r="P13" s="94"/>
      <c r="R13" s="94"/>
    </row>
    <row r="14" spans="1:18" ht="105" customHeight="1">
      <c r="A14" s="17"/>
      <c r="B14" s="168"/>
      <c r="C14" s="169"/>
      <c r="D14" s="170"/>
      <c r="E14" s="171"/>
      <c r="F14" s="172"/>
      <c r="G14" s="91"/>
      <c r="H14" s="91"/>
      <c r="I14" s="92"/>
      <c r="J14" s="92"/>
      <c r="K14" s="93"/>
      <c r="O14" s="94"/>
      <c r="P14" s="94"/>
      <c r="R14" s="94"/>
    </row>
    <row r="15" spans="1:18" ht="105" customHeight="1">
      <c r="A15" s="17"/>
      <c r="B15" s="168"/>
      <c r="C15" s="169"/>
      <c r="D15" s="170"/>
      <c r="E15" s="171"/>
      <c r="F15" s="172"/>
      <c r="G15" s="91"/>
      <c r="H15" s="91"/>
      <c r="I15" s="92"/>
      <c r="J15" s="92"/>
      <c r="K15" s="93"/>
      <c r="O15" s="94"/>
      <c r="P15" s="94"/>
      <c r="R15" s="94"/>
    </row>
    <row r="16" spans="1:18" ht="105" customHeight="1">
      <c r="A16" s="17"/>
      <c r="B16" s="168"/>
      <c r="C16" s="169"/>
      <c r="D16" s="170"/>
      <c r="E16" s="171"/>
      <c r="F16" s="172"/>
      <c r="G16" s="91"/>
      <c r="H16" s="91"/>
      <c r="I16" s="92"/>
      <c r="J16" s="92"/>
      <c r="K16" s="93"/>
      <c r="O16" s="94"/>
      <c r="P16" s="94"/>
      <c r="R16" s="94"/>
    </row>
    <row r="17" spans="1:18" ht="105" customHeight="1">
      <c r="A17" s="17"/>
      <c r="B17" s="168"/>
      <c r="C17" s="169"/>
      <c r="D17" s="170"/>
      <c r="E17" s="171"/>
      <c r="F17" s="172"/>
      <c r="G17" s="91"/>
      <c r="H17" s="91"/>
      <c r="I17" s="92"/>
      <c r="J17" s="92"/>
      <c r="K17" s="93"/>
      <c r="O17" s="94"/>
      <c r="P17" s="94"/>
      <c r="R17" s="94"/>
    </row>
    <row r="18" spans="1:18" ht="105" customHeight="1">
      <c r="A18" s="17"/>
      <c r="B18" s="168"/>
      <c r="C18" s="169"/>
      <c r="D18" s="170"/>
      <c r="E18" s="171"/>
      <c r="F18" s="172"/>
      <c r="G18" s="91"/>
      <c r="H18" s="91"/>
      <c r="I18" s="92"/>
      <c r="J18" s="92"/>
      <c r="K18" s="93"/>
      <c r="O18" s="94"/>
      <c r="P18" s="94"/>
      <c r="R18" s="94"/>
    </row>
    <row r="19" spans="1:18" ht="105" customHeight="1">
      <c r="A19" s="17"/>
      <c r="B19" s="168"/>
      <c r="C19" s="169"/>
      <c r="D19" s="170"/>
      <c r="E19" s="171"/>
      <c r="F19" s="172"/>
      <c r="G19" s="91"/>
      <c r="H19" s="91"/>
      <c r="I19" s="92"/>
      <c r="J19" s="92"/>
      <c r="K19" s="93"/>
      <c r="O19" s="94"/>
      <c r="P19" s="94"/>
      <c r="R19" s="94"/>
    </row>
    <row r="20" spans="1:18" ht="105" customHeight="1">
      <c r="A20" s="17"/>
      <c r="B20" s="168"/>
      <c r="C20" s="169"/>
      <c r="D20" s="170"/>
      <c r="E20" s="171"/>
      <c r="F20" s="172"/>
      <c r="G20" s="91"/>
      <c r="H20" s="91"/>
      <c r="I20" s="92"/>
      <c r="J20" s="92"/>
      <c r="K20" s="93"/>
      <c r="O20" s="94"/>
      <c r="P20" s="94"/>
      <c r="R20" s="94"/>
    </row>
    <row r="21" spans="1:18" ht="105" customHeight="1">
      <c r="A21" s="17"/>
      <c r="B21" s="168"/>
      <c r="C21" s="169"/>
      <c r="D21" s="170"/>
      <c r="E21" s="171"/>
      <c r="F21" s="172"/>
      <c r="G21" s="91"/>
      <c r="H21" s="91"/>
      <c r="I21" s="92"/>
      <c r="J21" s="92"/>
      <c r="K21" s="93"/>
      <c r="O21" s="94"/>
      <c r="P21" s="94"/>
      <c r="R21" s="94"/>
    </row>
    <row r="22" spans="1:18" ht="21" customHeight="1">
      <c r="B22" s="168"/>
      <c r="C22" s="169"/>
      <c r="D22" s="170"/>
      <c r="E22" s="171"/>
      <c r="F22" s="172"/>
      <c r="G22" s="91"/>
      <c r="H22" s="91"/>
      <c r="I22" s="92"/>
      <c r="J22" s="92"/>
    </row>
    <row r="23" spans="1:18" ht="21" customHeight="1">
      <c r="B23" s="168"/>
      <c r="C23" s="169"/>
      <c r="D23" s="170"/>
      <c r="E23" s="171"/>
      <c r="F23" s="172"/>
      <c r="G23" s="91"/>
      <c r="H23" s="91"/>
      <c r="I23" s="92"/>
      <c r="J23" s="92"/>
    </row>
    <row r="24" spans="1:18" ht="21" customHeight="1">
      <c r="B24" s="168"/>
      <c r="C24" s="169"/>
      <c r="D24" s="170"/>
      <c r="E24" s="171"/>
      <c r="F24" s="172"/>
      <c r="G24" s="91"/>
      <c r="H24" s="91"/>
      <c r="I24" s="92"/>
      <c r="J24" s="92"/>
    </row>
    <row r="25" spans="1:18" ht="21" customHeight="1">
      <c r="B25" s="168"/>
      <c r="C25" s="169"/>
      <c r="D25" s="170"/>
      <c r="E25" s="171"/>
      <c r="F25" s="172"/>
      <c r="G25" s="91"/>
      <c r="H25" s="91"/>
      <c r="I25" s="92"/>
      <c r="J25" s="92"/>
    </row>
    <row r="26" spans="1:18" ht="21" customHeight="1">
      <c r="B26" s="168"/>
      <c r="C26" s="169"/>
      <c r="D26" s="170"/>
      <c r="E26" s="171"/>
      <c r="F26" s="172"/>
      <c r="G26" s="91"/>
      <c r="H26" s="91"/>
      <c r="I26" s="92"/>
      <c r="J26" s="92"/>
    </row>
    <row r="27" spans="1:18" ht="21" customHeight="1">
      <c r="B27" s="168"/>
      <c r="C27" s="169"/>
      <c r="D27" s="170"/>
      <c r="E27" s="171"/>
      <c r="F27" s="172"/>
      <c r="G27" s="91"/>
      <c r="H27" s="91"/>
      <c r="I27" s="92"/>
      <c r="J27" s="92"/>
    </row>
    <row r="28" spans="1:18" ht="21" customHeight="1">
      <c r="B28" s="168"/>
      <c r="C28" s="169"/>
      <c r="D28" s="170"/>
      <c r="E28" s="171"/>
      <c r="F28" s="172"/>
      <c r="G28" s="91"/>
      <c r="H28" s="91"/>
      <c r="I28" s="92"/>
      <c r="J28" s="92"/>
    </row>
    <row r="29" spans="1:18" ht="21" customHeight="1">
      <c r="B29" s="168"/>
      <c r="C29" s="169"/>
      <c r="D29" s="170"/>
      <c r="E29" s="171"/>
      <c r="F29" s="172"/>
      <c r="G29" s="91"/>
      <c r="H29" s="91"/>
      <c r="I29" s="92"/>
      <c r="J29" s="92"/>
    </row>
    <row r="30" spans="1:18" ht="21" customHeight="1">
      <c r="B30" s="168"/>
      <c r="C30" s="169"/>
      <c r="D30" s="170"/>
      <c r="E30" s="171"/>
      <c r="F30" s="172"/>
      <c r="G30" s="91"/>
      <c r="H30" s="91"/>
      <c r="I30" s="92"/>
      <c r="J30" s="92"/>
    </row>
    <row r="31" spans="1:18" ht="21" customHeight="1">
      <c r="B31" s="168"/>
      <c r="C31" s="169"/>
      <c r="D31" s="170"/>
      <c r="E31" s="171"/>
      <c r="F31" s="172"/>
      <c r="G31" s="91"/>
      <c r="H31" s="91"/>
      <c r="I31" s="92"/>
      <c r="J31" s="92"/>
    </row>
    <row r="32" spans="1:18" ht="21" customHeight="1">
      <c r="B32" s="168"/>
      <c r="C32" s="169"/>
      <c r="D32" s="170"/>
      <c r="E32" s="171"/>
      <c r="F32" s="172"/>
      <c r="G32" s="91"/>
      <c r="H32" s="91"/>
      <c r="I32" s="92"/>
      <c r="J32" s="92"/>
    </row>
    <row r="33" spans="2:10" ht="21" customHeight="1">
      <c r="B33" s="168"/>
      <c r="C33" s="169"/>
      <c r="D33" s="170"/>
      <c r="E33" s="171"/>
      <c r="F33" s="172"/>
      <c r="G33" s="91"/>
      <c r="H33" s="91"/>
      <c r="I33" s="92"/>
      <c r="J33" s="92"/>
    </row>
    <row r="34" spans="2:10" ht="21" customHeight="1">
      <c r="B34" s="168"/>
      <c r="C34" s="169"/>
      <c r="D34" s="170"/>
      <c r="E34" s="171"/>
      <c r="F34" s="172"/>
      <c r="G34" s="91"/>
      <c r="H34" s="91"/>
      <c r="I34" s="92"/>
      <c r="J34" s="92"/>
    </row>
    <row r="35" spans="2:10" ht="21" customHeight="1">
      <c r="B35" s="168"/>
      <c r="C35" s="169"/>
      <c r="D35" s="170"/>
      <c r="E35" s="171"/>
      <c r="F35" s="172"/>
      <c r="G35" s="91"/>
      <c r="H35" s="91"/>
      <c r="I35" s="92"/>
      <c r="J35" s="92"/>
    </row>
    <row r="36" spans="2:10" ht="21" customHeight="1">
      <c r="B36" s="168"/>
      <c r="C36" s="169"/>
      <c r="D36" s="170"/>
      <c r="E36" s="171"/>
      <c r="F36" s="172"/>
      <c r="G36" s="91"/>
      <c r="H36" s="91"/>
      <c r="I36" s="92"/>
      <c r="J36" s="92"/>
    </row>
    <row r="37" spans="2:10" ht="21" customHeight="1">
      <c r="B37" s="168"/>
      <c r="C37" s="169"/>
      <c r="D37" s="170"/>
      <c r="E37" s="171"/>
      <c r="F37" s="172"/>
      <c r="G37" s="91"/>
      <c r="H37" s="91"/>
      <c r="I37" s="92"/>
      <c r="J37" s="92"/>
    </row>
    <row r="38" spans="2:10" ht="21" customHeight="1">
      <c r="B38" s="168"/>
      <c r="C38" s="169"/>
      <c r="D38" s="170"/>
      <c r="E38" s="171"/>
      <c r="F38" s="172"/>
      <c r="G38" s="91"/>
      <c r="H38" s="91"/>
      <c r="I38" s="92"/>
      <c r="J38" s="92"/>
    </row>
    <row r="39" spans="2:10" ht="21" customHeight="1">
      <c r="B39" s="168"/>
      <c r="C39" s="169"/>
      <c r="D39" s="170"/>
      <c r="E39" s="171"/>
      <c r="F39" s="172"/>
      <c r="G39" s="91"/>
      <c r="H39" s="91"/>
      <c r="I39" s="92"/>
      <c r="J39" s="92"/>
    </row>
    <row r="40" spans="2:10" ht="21" customHeight="1">
      <c r="B40" s="168"/>
      <c r="C40" s="169"/>
      <c r="D40" s="170"/>
      <c r="E40" s="171"/>
      <c r="F40" s="172"/>
      <c r="G40" s="91"/>
      <c r="H40" s="91"/>
      <c r="I40" s="92"/>
      <c r="J40" s="92"/>
    </row>
    <row r="41" spans="2:10" ht="21" customHeight="1">
      <c r="B41" s="168"/>
      <c r="C41" s="169"/>
      <c r="D41" s="170"/>
      <c r="E41" s="171"/>
      <c r="F41" s="172"/>
      <c r="G41" s="91"/>
      <c r="H41" s="91"/>
      <c r="I41" s="92"/>
      <c r="J41" s="92"/>
    </row>
    <row r="42" spans="2:10" ht="21" customHeight="1">
      <c r="B42" s="168"/>
      <c r="C42" s="169"/>
      <c r="D42" s="170"/>
      <c r="E42" s="171"/>
      <c r="F42" s="172"/>
      <c r="G42" s="91"/>
      <c r="H42" s="91"/>
      <c r="I42" s="92"/>
      <c r="J42" s="92"/>
    </row>
    <row r="43" spans="2:10" ht="21" customHeight="1">
      <c r="B43" s="168"/>
      <c r="C43" s="169"/>
      <c r="D43" s="170"/>
      <c r="E43" s="171"/>
      <c r="F43" s="172"/>
      <c r="G43" s="91"/>
      <c r="H43" s="91"/>
      <c r="I43" s="92"/>
      <c r="J43" s="92"/>
    </row>
    <row r="44" spans="2:10" ht="21" customHeight="1">
      <c r="B44" s="168"/>
      <c r="C44" s="169"/>
      <c r="D44" s="170"/>
      <c r="E44" s="171"/>
      <c r="F44" s="172"/>
      <c r="G44" s="91"/>
      <c r="H44" s="91"/>
      <c r="I44" s="92"/>
      <c r="J44" s="92"/>
    </row>
    <row r="45" spans="2:10" ht="21" customHeight="1">
      <c r="B45" s="168"/>
      <c r="C45" s="169"/>
      <c r="D45" s="170"/>
      <c r="E45" s="171"/>
      <c r="F45" s="172"/>
      <c r="G45" s="91"/>
      <c r="H45" s="91"/>
      <c r="I45" s="92"/>
      <c r="J45" s="92"/>
    </row>
    <row r="46" spans="2:10" ht="21" customHeight="1">
      <c r="B46" s="168"/>
      <c r="C46" s="169"/>
      <c r="D46" s="170"/>
      <c r="E46" s="171"/>
      <c r="F46" s="172"/>
      <c r="G46" s="91"/>
      <c r="H46" s="91"/>
      <c r="I46" s="92"/>
      <c r="J46" s="92"/>
    </row>
    <row r="47" spans="2:10" ht="21" customHeight="1">
      <c r="B47" s="168"/>
      <c r="C47" s="169"/>
      <c r="D47" s="170"/>
      <c r="E47" s="171"/>
      <c r="F47" s="172"/>
      <c r="G47" s="91"/>
      <c r="H47" s="91"/>
      <c r="I47" s="92"/>
      <c r="J47" s="92"/>
    </row>
    <row r="48" spans="2:10" ht="21" customHeight="1">
      <c r="B48" s="168"/>
      <c r="C48" s="169"/>
      <c r="D48" s="170"/>
      <c r="E48" s="171"/>
      <c r="F48" s="172"/>
      <c r="G48" s="91"/>
      <c r="H48" s="91"/>
      <c r="I48" s="92"/>
      <c r="J48" s="92"/>
    </row>
    <row r="49" spans="2:10" ht="21" customHeight="1">
      <c r="B49" s="168"/>
      <c r="C49" s="169"/>
      <c r="D49" s="170"/>
      <c r="E49" s="171"/>
      <c r="F49" s="172"/>
      <c r="G49" s="91"/>
      <c r="H49" s="91"/>
      <c r="I49" s="92"/>
      <c r="J49" s="92"/>
    </row>
    <row r="50" spans="2:10" ht="21" customHeight="1">
      <c r="B50" s="168"/>
      <c r="C50" s="169"/>
      <c r="D50" s="170"/>
      <c r="E50" s="171"/>
      <c r="F50" s="172"/>
      <c r="G50" s="91"/>
      <c r="H50" s="91"/>
      <c r="I50" s="92"/>
      <c r="J50" s="92"/>
    </row>
    <row r="51" spans="2:10" ht="21" customHeight="1">
      <c r="B51" s="168"/>
      <c r="C51" s="169"/>
      <c r="D51" s="170"/>
      <c r="E51" s="171"/>
      <c r="F51" s="172"/>
      <c r="G51" s="91"/>
      <c r="H51" s="91"/>
      <c r="I51" s="92"/>
      <c r="J51" s="92"/>
    </row>
    <row r="52" spans="2:10" ht="21" customHeight="1">
      <c r="B52" s="168"/>
      <c r="C52" s="169"/>
      <c r="D52" s="170"/>
      <c r="E52" s="171"/>
      <c r="F52" s="172"/>
      <c r="G52" s="91"/>
      <c r="H52" s="91"/>
      <c r="I52" s="92"/>
      <c r="J52" s="92"/>
    </row>
    <row r="53" spans="2:10" ht="21" customHeight="1">
      <c r="B53" s="168"/>
      <c r="C53" s="169"/>
      <c r="D53" s="170"/>
      <c r="E53" s="171"/>
      <c r="F53" s="172"/>
      <c r="G53" s="91"/>
      <c r="H53" s="91"/>
      <c r="I53" s="92"/>
      <c r="J53" s="92"/>
    </row>
    <row r="54" spans="2:10" ht="21" customHeight="1">
      <c r="B54" s="168" t="e">
        <f>MRS!#REF!</f>
        <v>#REF!</v>
      </c>
      <c r="C54" s="169"/>
    </row>
    <row r="55" spans="2:10" ht="21" customHeight="1">
      <c r="B55" s="168" t="e">
        <f>MRS!#REF!</f>
        <v>#REF!</v>
      </c>
      <c r="C55" s="169"/>
    </row>
    <row r="56" spans="2:10" ht="21" customHeight="1">
      <c r="B56" s="168" t="e">
        <f>MRS!#REF!</f>
        <v>#REF!</v>
      </c>
      <c r="C56" s="169"/>
    </row>
    <row r="57" spans="2:10" ht="21" customHeight="1">
      <c r="B57" s="168" t="e">
        <f>MRS!#REF!</f>
        <v>#REF!</v>
      </c>
      <c r="C57" s="169"/>
    </row>
    <row r="58" spans="2:10" ht="21" customHeight="1">
      <c r="B58" s="168">
        <f>MRS!B14</f>
        <v>0</v>
      </c>
      <c r="C58" s="169"/>
    </row>
  </sheetData>
  <mergeCells count="111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9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89</v>
      </c>
      <c r="D9" s="34"/>
      <c r="E9" s="34"/>
    </row>
    <row r="10" spans="2:13" s="34" customFormat="1">
      <c r="B10" s="65"/>
      <c r="C10" s="34" t="s">
        <v>23</v>
      </c>
      <c r="D10" s="69" t="s">
        <v>90</v>
      </c>
      <c r="J10" s="34" t="s">
        <v>24</v>
      </c>
      <c r="K10" s="174">
        <f>MRS!L3</f>
        <v>46317</v>
      </c>
      <c r="L10" s="175"/>
      <c r="M10" s="175"/>
    </row>
    <row r="11" spans="2:13" s="34" customFormat="1">
      <c r="B11" s="65"/>
      <c r="C11" s="68" t="s">
        <v>25</v>
      </c>
      <c r="D11" s="69" t="s">
        <v>91</v>
      </c>
      <c r="J11" s="34" t="s">
        <v>26</v>
      </c>
      <c r="K11" s="176" t="str">
        <f>SUBSTITUTE(SUBSTITUTE(+MRS!A3,"  MRS No : ",""),"-MRS","-PO")</f>
        <v>SAC2-DS-PO-0505</v>
      </c>
      <c r="L11" s="176"/>
      <c r="M11" s="176"/>
    </row>
    <row r="12" spans="2:13" s="34" customFormat="1">
      <c r="B12" s="65"/>
      <c r="C12" s="68" t="s">
        <v>27</v>
      </c>
      <c r="D12" s="34" t="s">
        <v>92</v>
      </c>
      <c r="J12" s="34" t="s">
        <v>28</v>
      </c>
    </row>
    <row r="13" spans="2:13" s="34" customFormat="1">
      <c r="B13" s="65"/>
      <c r="C13" s="70"/>
      <c r="D13" s="69" t="s">
        <v>93</v>
      </c>
      <c r="J13" s="34" t="s">
        <v>29</v>
      </c>
    </row>
    <row r="14" spans="2:13" s="34" customFormat="1">
      <c r="B14" s="65"/>
      <c r="C14" s="105" t="s">
        <v>98</v>
      </c>
      <c r="J14" s="34" t="s">
        <v>30</v>
      </c>
      <c r="K14" s="34" t="s">
        <v>132</v>
      </c>
    </row>
    <row r="15" spans="2:13" s="34" customFormat="1">
      <c r="B15" s="65"/>
      <c r="C15" s="68" t="s">
        <v>94</v>
      </c>
      <c r="J15" s="34" t="s">
        <v>31</v>
      </c>
      <c r="K15" s="71">
        <v>46287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7" t="s">
        <v>32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27" customFormat="1" ht="12" customHeight="1">
      <c r="B20" s="178" t="s">
        <v>33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27" customFormat="1" ht="12" customHeight="1">
      <c r="B21" s="178" t="s">
        <v>34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27" customFormat="1" ht="12" customHeight="1">
      <c r="B22" s="178" t="s">
        <v>35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3.7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MRS!$B$6</f>
        <v>Single gas detector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page'!G16</f>
        <v>38750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page'!G17</f>
        <v>5812.5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page'!G18</f>
        <v>44562.5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82</v>
      </c>
    </row>
    <row r="51" spans="2:16" s="76" customFormat="1" ht="12" customHeight="1">
      <c r="B51" s="77" t="s">
        <v>56</v>
      </c>
      <c r="C51" s="74" t="s">
        <v>81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100</v>
      </c>
    </row>
    <row r="54" spans="2:16" ht="12" customHeight="1">
      <c r="B54" s="77" t="s">
        <v>56</v>
      </c>
      <c r="C54" s="107" t="s">
        <v>106</v>
      </c>
      <c r="F54" s="22" t="s">
        <v>101</v>
      </c>
    </row>
    <row r="55" spans="2:16" ht="12" customHeight="1">
      <c r="B55" s="77" t="s">
        <v>56</v>
      </c>
      <c r="C55" s="107" t="s">
        <v>107</v>
      </c>
      <c r="F55" s="108" t="s">
        <v>102</v>
      </c>
    </row>
    <row r="56" spans="2:16" ht="12" customHeight="1">
      <c r="B56" s="77" t="s">
        <v>56</v>
      </c>
      <c r="C56" s="107" t="s">
        <v>108</v>
      </c>
      <c r="F56" s="22" t="s">
        <v>113</v>
      </c>
    </row>
    <row r="57" spans="2:16" ht="12" customHeight="1">
      <c r="B57" s="77" t="s">
        <v>56</v>
      </c>
      <c r="C57" s="107" t="s">
        <v>109</v>
      </c>
      <c r="F57" s="22" t="s">
        <v>103</v>
      </c>
    </row>
    <row r="58" spans="2:16" ht="12" customHeight="1">
      <c r="B58" s="77" t="s">
        <v>56</v>
      </c>
      <c r="C58" s="107" t="s">
        <v>110</v>
      </c>
      <c r="F58" s="22" t="s">
        <v>104</v>
      </c>
    </row>
    <row r="59" spans="2:16" ht="12" customHeight="1">
      <c r="B59" s="77" t="s">
        <v>56</v>
      </c>
      <c r="C59" s="107" t="s">
        <v>111</v>
      </c>
      <c r="F59" s="22" t="s">
        <v>105</v>
      </c>
    </row>
    <row r="60" spans="2:16" ht="12" customHeight="1">
      <c r="B60" s="77"/>
      <c r="C60" s="107" t="s">
        <v>112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95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97</v>
      </c>
      <c r="J70" s="181" t="str">
        <f>C9</f>
        <v>JSAJ(Jassim Saif Amer Aljaberi Trading Est.)</v>
      </c>
      <c r="K70" s="181"/>
      <c r="L70" s="181"/>
      <c r="M70" s="181"/>
    </row>
    <row r="71" spans="1:13" ht="27.95" customHeight="1">
      <c r="A71" s="173" t="s">
        <v>66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tabSelected="1" view="pageBreakPreview" zoomScaleSheetLayoutView="100" zoomScalePageLayoutView="55" workbookViewId="0">
      <selection activeCell="D6" sqref="D6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SAC2-DS-PO-0505</v>
      </c>
      <c r="C2" s="188" t="s">
        <v>68</v>
      </c>
      <c r="D2" s="188"/>
      <c r="E2" s="188"/>
      <c r="F2" s="188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46317</v>
      </c>
      <c r="C3" s="44"/>
      <c r="D3" s="45"/>
      <c r="E3" s="189" t="s">
        <v>70</v>
      </c>
      <c r="F3" s="189"/>
      <c r="G3" s="189"/>
      <c r="H3" s="189"/>
      <c r="I3" s="46"/>
    </row>
    <row r="4" spans="1:13" s="48" customFormat="1" ht="28.5" customHeight="1" thickTop="1">
      <c r="A4" s="190" t="s">
        <v>71</v>
      </c>
      <c r="B4" s="192" t="s">
        <v>72</v>
      </c>
      <c r="C4" s="193"/>
      <c r="D4" s="196" t="s">
        <v>133</v>
      </c>
      <c r="E4" s="196" t="s">
        <v>134</v>
      </c>
      <c r="F4" s="198" t="str">
        <f>'PO 1st page'!C9</f>
        <v>JSAJ(Jassim Saif Amer Aljaberi Trading Est.)</v>
      </c>
      <c r="G4" s="199"/>
      <c r="H4" s="200" t="s">
        <v>73</v>
      </c>
      <c r="K4" s="49"/>
      <c r="L4" s="49"/>
      <c r="M4" s="49"/>
    </row>
    <row r="5" spans="1:13" s="48" customFormat="1" ht="21.95" customHeight="1">
      <c r="A5" s="191"/>
      <c r="B5" s="194"/>
      <c r="C5" s="195"/>
      <c r="D5" s="197"/>
      <c r="E5" s="197"/>
      <c r="F5" s="50" t="s">
        <v>74</v>
      </c>
      <c r="G5" s="50" t="s">
        <v>42</v>
      </c>
      <c r="H5" s="201"/>
      <c r="K5" s="49"/>
      <c r="L5" s="49"/>
      <c r="M5" s="49"/>
    </row>
    <row r="6" spans="1:13" s="48" customFormat="1" ht="32.1" customHeight="1">
      <c r="A6" s="78">
        <f t="shared" ref="A6" si="0">ROW(A1)</f>
        <v>1</v>
      </c>
      <c r="B6" s="186" t="str">
        <f>MRS!B6&amp;" "&amp;MRS!D6</f>
        <v>Single gas detector  H2S 500ppm T40 ii rattle ISC with calibration certificateS</v>
      </c>
      <c r="C6" s="187"/>
      <c r="D6" s="79" t="str">
        <f>MRS!G6</f>
        <v>Nos</v>
      </c>
      <c r="E6" s="80">
        <f>MRS!H6</f>
        <v>125</v>
      </c>
      <c r="F6" s="81">
        <f>+'MRS LIST'!I6</f>
        <v>310</v>
      </c>
      <c r="G6" s="82">
        <f>+'MRS LIST'!J6</f>
        <v>38750</v>
      </c>
      <c r="H6" s="83" t="s">
        <v>96</v>
      </c>
      <c r="K6" s="84"/>
      <c r="L6" s="85"/>
      <c r="M6" s="49"/>
    </row>
    <row r="7" spans="1:13" s="48" customFormat="1" ht="32.1" customHeight="1">
      <c r="A7" s="78"/>
      <c r="B7" s="186"/>
      <c r="C7" s="187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86"/>
      <c r="B8" s="186"/>
      <c r="C8" s="187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86"/>
      <c r="B9" s="186"/>
      <c r="C9" s="187"/>
      <c r="D9" s="79"/>
      <c r="E9" s="80"/>
      <c r="F9" s="81"/>
      <c r="G9" s="82"/>
      <c r="H9" s="87"/>
    </row>
    <row r="10" spans="1:13" s="48" customFormat="1" ht="32.1" customHeight="1">
      <c r="A10" s="86"/>
      <c r="B10" s="186"/>
      <c r="C10" s="187"/>
      <c r="D10" s="79"/>
      <c r="E10" s="80"/>
      <c r="F10" s="81"/>
      <c r="G10" s="82"/>
      <c r="H10" s="87"/>
    </row>
    <row r="11" spans="1:13" s="48" customFormat="1" ht="32.1" customHeight="1">
      <c r="A11" s="86"/>
      <c r="B11" s="186"/>
      <c r="C11" s="187"/>
      <c r="D11" s="79"/>
      <c r="E11" s="80"/>
      <c r="F11" s="81"/>
      <c r="G11" s="82"/>
      <c r="H11" s="87"/>
    </row>
    <row r="12" spans="1:13" s="48" customFormat="1" ht="32.1" customHeight="1">
      <c r="A12" s="86"/>
      <c r="B12" s="186"/>
      <c r="C12" s="187"/>
      <c r="D12" s="79"/>
      <c r="E12" s="80"/>
      <c r="F12" s="81"/>
      <c r="G12" s="82"/>
      <c r="H12" s="87"/>
    </row>
    <row r="13" spans="1:13" s="48" customFormat="1" ht="32.1" customHeight="1">
      <c r="A13" s="86"/>
      <c r="B13" s="186"/>
      <c r="C13" s="187"/>
      <c r="D13" s="79"/>
      <c r="E13" s="80"/>
      <c r="F13" s="81"/>
      <c r="G13" s="82"/>
      <c r="H13" s="87"/>
    </row>
    <row r="14" spans="1:13" s="48" customFormat="1" ht="32.1" customHeight="1">
      <c r="A14" s="86"/>
      <c r="B14" s="186"/>
      <c r="C14" s="187"/>
      <c r="D14" s="79"/>
      <c r="E14" s="80"/>
      <c r="F14" s="81"/>
      <c r="G14" s="82"/>
      <c r="H14" s="87"/>
    </row>
    <row r="15" spans="1:13" s="48" customFormat="1" ht="32.1" customHeight="1">
      <c r="A15" s="86"/>
      <c r="B15" s="186"/>
      <c r="C15" s="187"/>
      <c r="D15" s="79"/>
      <c r="E15" s="80"/>
      <c r="F15" s="81"/>
      <c r="G15" s="82"/>
      <c r="H15" s="87"/>
    </row>
    <row r="16" spans="1:13" s="48" customFormat="1" ht="23.1" customHeight="1">
      <c r="A16" s="182" t="s">
        <v>75</v>
      </c>
      <c r="B16" s="183"/>
      <c r="C16" s="183"/>
      <c r="D16" s="183"/>
      <c r="E16" s="183"/>
      <c r="F16" s="183"/>
      <c r="G16" s="51">
        <f>SUM(G6:G15)</f>
        <v>38750</v>
      </c>
      <c r="H16" s="52"/>
    </row>
    <row r="17" spans="1:13" s="48" customFormat="1" ht="23.1" customHeight="1">
      <c r="A17" s="182" t="s">
        <v>41</v>
      </c>
      <c r="B17" s="183"/>
      <c r="C17" s="183"/>
      <c r="D17" s="183"/>
      <c r="E17" s="183"/>
      <c r="F17" s="183"/>
      <c r="G17" s="51">
        <f>+G16*0.15</f>
        <v>5812.5</v>
      </c>
      <c r="H17" s="52"/>
    </row>
    <row r="18" spans="1:13" s="48" customFormat="1" ht="24.95" customHeight="1" thickBot="1">
      <c r="A18" s="184" t="s">
        <v>76</v>
      </c>
      <c r="B18" s="185"/>
      <c r="C18" s="185"/>
      <c r="D18" s="185"/>
      <c r="E18" s="185"/>
      <c r="F18" s="185"/>
      <c r="G18" s="53">
        <f>G17+G16</f>
        <v>44562.5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Q-20263245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77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3" t="s">
        <v>78</v>
      </c>
      <c r="B22" s="173"/>
      <c r="C22" s="173"/>
      <c r="D22" s="173"/>
      <c r="E22" s="173"/>
      <c r="F22" s="173"/>
      <c r="G22" s="173"/>
      <c r="H22" s="173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2026-10-22T03:49:00Z</cp:lastPrinted>
  <dcterms:created xsi:type="dcterms:W3CDTF">2024-10-20T11:50:19Z</dcterms:created>
  <dcterms:modified xsi:type="dcterms:W3CDTF">2026-10-25T05:01:04Z</dcterms:modified>
</cp:coreProperties>
</file>