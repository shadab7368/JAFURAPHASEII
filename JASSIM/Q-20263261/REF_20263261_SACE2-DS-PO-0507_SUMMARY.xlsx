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shadab\po\JASSIM\Q-20263261\"/>
    </mc:Choice>
  </mc:AlternateContent>
  <xr:revisionPtr revIDLastSave="0" documentId="13_ncr:1_{E1A14D79-6BB6-4514-B3B6-1774C0A529A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양식" sheetId="2" r:id="rId1"/>
    <sheet name="샘플_AGTC  소모품_1차" sheetId="1" r:id="rId2"/>
  </sheets>
  <externalReferences>
    <externalReference r:id="rId3"/>
  </externalReferences>
  <definedNames>
    <definedName name="__2_0__123Grap" localSheetId="1" hidden="1">#REF!</definedName>
    <definedName name="__2_0__123Grap" localSheetId="0" hidden="1">#REF!</definedName>
    <definedName name="__2_0__123Grap" hidden="1">#REF!</definedName>
    <definedName name="__4_0_Dist_" localSheetId="1" hidden="1">#REF!</definedName>
    <definedName name="__4_0_Dist_" localSheetId="0" hidden="1">#REF!</definedName>
    <definedName name="__4_0_Dist_" hidden="1">#REF!</definedName>
    <definedName name="_1_0__123Grap" localSheetId="1" hidden="1">#REF!</definedName>
    <definedName name="_1_0__123Grap" localSheetId="0" hidden="1">#REF!</definedName>
    <definedName name="_1_0__123Grap" hidden="1">#REF!</definedName>
    <definedName name="_1_123Grap" localSheetId="1" hidden="1">#REF!</definedName>
    <definedName name="_1_123Grap" localSheetId="0" hidden="1">#REF!</definedName>
    <definedName name="_1_123Grap" hidden="1">#REF!</definedName>
    <definedName name="_15_0_0_F" localSheetId="1" hidden="1">#REF!</definedName>
    <definedName name="_15_0_0_F" localSheetId="0" hidden="1">#REF!</definedName>
    <definedName name="_15_0_0_F" hidden="1">#REF!</definedName>
    <definedName name="_2_0__123Grap" localSheetId="1" hidden="1">#REF!</definedName>
    <definedName name="_2_0__123Grap" localSheetId="0" hidden="1">#REF!</definedName>
    <definedName name="_2_0__123Grap" hidden="1">#REF!</definedName>
    <definedName name="_2_0_Dist_" localSheetId="1" hidden="1">#REF!</definedName>
    <definedName name="_2_0_Dist_" localSheetId="0" hidden="1">#REF!</definedName>
    <definedName name="_2_0_Dist_" hidden="1">#REF!</definedName>
    <definedName name="_2Dist_" localSheetId="1" hidden="1">#REF!</definedName>
    <definedName name="_2Dist_" localSheetId="0" hidden="1">#REF!</definedName>
    <definedName name="_2Dist_" hidden="1">#REF!</definedName>
    <definedName name="_3F" localSheetId="1" hidden="1">#REF!</definedName>
    <definedName name="_3F" localSheetId="0" hidden="1">#REF!</definedName>
    <definedName name="_3F" hidden="1">#REF!</definedName>
    <definedName name="_4_0_0_F" localSheetId="1" hidden="1">#REF!</definedName>
    <definedName name="_4_0_0_F" localSheetId="0" hidden="1">#REF!</definedName>
    <definedName name="_4_0_0_F" hidden="1">#REF!</definedName>
    <definedName name="_4_0_Dist_" localSheetId="1" hidden="1">#REF!</definedName>
    <definedName name="_4_0_Dist_" localSheetId="0" hidden="1">#REF!</definedName>
    <definedName name="_4_0_Dist_" hidden="1">#REF!</definedName>
    <definedName name="_6_0__123Grap" localSheetId="1" hidden="1">#REF!</definedName>
    <definedName name="_6_0__123Grap" localSheetId="0" hidden="1">#REF!</definedName>
    <definedName name="_6_0__123Grap" hidden="1">#REF!</definedName>
    <definedName name="_7_0_0_F" localSheetId="1" hidden="1">#REF!</definedName>
    <definedName name="_7_0_0_F" localSheetId="0" hidden="1">#REF!</definedName>
    <definedName name="_7_0_0_F" hidden="1">#REF!</definedName>
    <definedName name="_8_0_0_F" localSheetId="1" hidden="1">#REF!</definedName>
    <definedName name="_8_0_0_F" localSheetId="0" hidden="1">#REF!</definedName>
    <definedName name="_8_0_0_F" hidden="1">#REF!</definedName>
    <definedName name="_9_0_Dist_" localSheetId="1" hidden="1">#REF!</definedName>
    <definedName name="_9_0_Dist_" localSheetId="0" hidden="1">#REF!</definedName>
    <definedName name="_9_0_Dist_" hidden="1">#REF!</definedName>
    <definedName name="_Dist_Bin" localSheetId="1" hidden="1">#REF!</definedName>
    <definedName name="_Dist_Bin" localSheetId="0" hidden="1">#REF!</definedName>
    <definedName name="_Dist_Bin" hidden="1">#REF!</definedName>
    <definedName name="_Fill" localSheetId="1" hidden="1">#REF!</definedName>
    <definedName name="_Fill" localSheetId="0" hidden="1">#REF!</definedName>
    <definedName name="_Fill" hidden="1">#REF!</definedName>
    <definedName name="_xlnm._FilterDatabase" localSheetId="1" hidden="1">#REF!</definedName>
    <definedName name="_xlnm._FilterDatabase" localSheetId="0" hidden="1">#REF!</definedName>
    <definedName name="_xlnm._FilterDatabase" hidden="1">#REF!</definedName>
    <definedName name="_Key1" localSheetId="1" hidden="1">#REF!</definedName>
    <definedName name="_Key1" localSheetId="0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hidden="1">#REF!</definedName>
    <definedName name="_Order1" hidden="1">255</definedName>
    <definedName name="_Order2" hidden="1">0</definedName>
    <definedName name="_Sort" hidden="1">[1]업무분장!$A$1:$IV$4072</definedName>
    <definedName name="´cAE°eE¹" localSheetId="1" hidden="1">#REF!</definedName>
    <definedName name="´cAE°eE¹" localSheetId="0" hidden="1">#REF!</definedName>
    <definedName name="´cAE°eE¹" hidden="1">#REF!</definedName>
    <definedName name="￠￥cAE¡ÆeEⓒo" localSheetId="1" hidden="1">#REF!</definedName>
    <definedName name="￠￥cAE¡ÆeEⓒo" localSheetId="0" hidden="1">#REF!</definedName>
    <definedName name="￠￥cAE¡ÆeEⓒo" hidden="1">#REF!</definedName>
    <definedName name="AccessDatabase" hidden="1">"C:\My Documents\EXCEL\Insitu\내역서-금차분.mdb"</definedName>
    <definedName name="adklfj" localSheetId="1" hidden="1">#REF!</definedName>
    <definedName name="adklfj" localSheetId="0" hidden="1">#REF!</definedName>
    <definedName name="adklfj" hidden="1">#REF!</definedName>
    <definedName name="anscount" hidden="1">1</definedName>
    <definedName name="AZ" localSheetId="1" hidden="1">#REF!</definedName>
    <definedName name="AZ" localSheetId="0" hidden="1">#REF!</definedName>
    <definedName name="AZ" hidden="1">#REF!</definedName>
    <definedName name="BV" localSheetId="1" hidden="1">#REF!</definedName>
    <definedName name="BV" localSheetId="0" hidden="1">#REF!</definedName>
    <definedName name="BV" hidden="1">#REF!</definedName>
    <definedName name="dfsf" localSheetId="1" hidden="1">#REF!</definedName>
    <definedName name="dfsf" localSheetId="0" hidden="1">#REF!</definedName>
    <definedName name="dfsf" hidden="1">#REF!</definedName>
    <definedName name="djflkdslfj" localSheetId="1" hidden="1">#REF!</definedName>
    <definedName name="djflkdslfj" localSheetId="0" hidden="1">#REF!</definedName>
    <definedName name="djflkdslfj" hidden="1">#REF!</definedName>
    <definedName name="dljf" localSheetId="1" hidden="1">#REF!</definedName>
    <definedName name="dljf" localSheetId="0" hidden="1">#REF!</definedName>
    <definedName name="dljf" hidden="1">#REF!</definedName>
    <definedName name="dsf" localSheetId="1" hidden="1">#REF!</definedName>
    <definedName name="dsf" localSheetId="0" hidden="1">#REF!</definedName>
    <definedName name="dsf" hidden="1">#REF!</definedName>
    <definedName name="gdsg" localSheetId="1" hidden="1">#REF!</definedName>
    <definedName name="gdsg" localSheetId="0" hidden="1">#REF!</definedName>
    <definedName name="gdsg" hidden="1">#REF!</definedName>
    <definedName name="HTML_CodePage" hidden="1">949</definedName>
    <definedName name="HTML_Control" localSheetId="1" hidden="1">{"'별표'!$N$220"}</definedName>
    <definedName name="HTML_Control" localSheetId="0" hidden="1">{"'별표'!$N$220"}</definedName>
    <definedName name="HTML_Control" hidden="1">{"'별표'!$N$220"}</definedName>
    <definedName name="HTML_Description" hidden="1">""</definedName>
    <definedName name="HTML_Email" hidden="1">""</definedName>
    <definedName name="HTML_Header" hidden="1">"별표"</definedName>
    <definedName name="HTML_LastUpdate" hidden="1">"98-03-12"</definedName>
    <definedName name="HTML_LineAfter" hidden="1">FALSE</definedName>
    <definedName name="HTML_LineBefore" hidden="1">FALSE</definedName>
    <definedName name="HTML_Name" hidden="1">"나승온"</definedName>
    <definedName name="HTML_OBDlg2" hidden="1">TRUE</definedName>
    <definedName name="HTML_OBDlg4" hidden="1">TRUE</definedName>
    <definedName name="HTML_OS" hidden="1">0</definedName>
    <definedName name="HTML_PathFile" hidden="1">"C:\WINDOWS\Favorites\MyHTML.htm"</definedName>
    <definedName name="HTML_Title" hidden="1">"한전감포"</definedName>
    <definedName name="JY" localSheetId="1" hidden="1">#REF!</definedName>
    <definedName name="JY" localSheetId="0" hidden="1">#REF!</definedName>
    <definedName name="JY" hidden="1">#REF!</definedName>
    <definedName name="_xlnm.Print_Area" localSheetId="1">'샘플_AGTC  소모품_1차'!$A$1:$V$134</definedName>
    <definedName name="_xlnm.Print_Area" localSheetId="0">양식!$A$1:$S$25</definedName>
    <definedName name="_xlnm.Print_Titles" localSheetId="1">'샘플_AGTC  소모품_1차'!$4:$5</definedName>
    <definedName name="SC" localSheetId="1" hidden="1">#REF!</definedName>
    <definedName name="SC" localSheetId="0" hidden="1">#REF!</definedName>
    <definedName name="SC" hidden="1">#REF!</definedName>
    <definedName name="sdfag" localSheetId="1" hidden="1">#REF!</definedName>
    <definedName name="sdfag" localSheetId="0" hidden="1">#REF!</definedName>
    <definedName name="sdfag" hidden="1">#REF!</definedName>
    <definedName name="VC" localSheetId="1" hidden="1">#REF!</definedName>
    <definedName name="VC" localSheetId="0" hidden="1">#REF!</definedName>
    <definedName name="VC" hidden="1">#REF!</definedName>
    <definedName name="VX" localSheetId="1" hidden="1">#REF!</definedName>
    <definedName name="VX" localSheetId="0" hidden="1">#REF!</definedName>
    <definedName name="VX" hidden="1">#REF!</definedName>
    <definedName name="xx" localSheetId="1" hidden="1">#REF!</definedName>
    <definedName name="xx" localSheetId="0" hidden="1">#REF!</definedName>
    <definedName name="xx" hidden="1">#REF!</definedName>
    <definedName name="가" localSheetId="1" hidden="1">#REF!</definedName>
    <definedName name="가" localSheetId="0" hidden="1">#REF!</definedName>
    <definedName name="가" hidden="1">#REF!</definedName>
    <definedName name="강릉교동" localSheetId="1" hidden="1">#REF!</definedName>
    <definedName name="강릉교동" localSheetId="0" hidden="1">#REF!</definedName>
    <definedName name="강릉교동" hidden="1">#REF!</definedName>
    <definedName name="강릉교동터파기" localSheetId="1" hidden="1">#REF!</definedName>
    <definedName name="강릉교동터파기" localSheetId="0" hidden="1">#REF!</definedName>
    <definedName name="강릉교동터파기" hidden="1">#REF!</definedName>
    <definedName name="강릉교동토목" localSheetId="1" hidden="1">#REF!</definedName>
    <definedName name="강릉교동토목" localSheetId="0" hidden="1">#REF!</definedName>
    <definedName name="강릉교동토목" hidden="1">#REF!</definedName>
    <definedName name="강릉교동흙막이" localSheetId="1" hidden="1">#REF!</definedName>
    <definedName name="강릉교동흙막이" localSheetId="0" hidden="1">#REF!</definedName>
    <definedName name="강릉교동흙막이" hidden="1">#REF!</definedName>
    <definedName name="강릉토공사" localSheetId="1" hidden="1">#REF!</definedName>
    <definedName name="강릉토공사" localSheetId="0" hidden="1">#REF!</definedName>
    <definedName name="강릉토공사" hidden="1">#REF!</definedName>
    <definedName name="강릉토목공사" localSheetId="1" hidden="1">#REF!</definedName>
    <definedName name="강릉토목공사" localSheetId="0" hidden="1">#REF!</definedName>
    <definedName name="강릉토목공사" hidden="1">#REF!</definedName>
    <definedName name="강릉토목임" localSheetId="1" hidden="1">#REF!</definedName>
    <definedName name="강릉토목임" localSheetId="0" hidden="1">#REF!</definedName>
    <definedName name="강릉토목임" hidden="1">#REF!</definedName>
    <definedName name="경비1" localSheetId="1" hidden="1">#REF!</definedName>
    <definedName name="경비1" localSheetId="0" hidden="1">#REF!</definedName>
    <definedName name="경비1" hidden="1">#REF!</definedName>
    <definedName name="고가" hidden="1">#N/A</definedName>
    <definedName name="교동토" localSheetId="1" hidden="1">#REF!</definedName>
    <definedName name="교동토" localSheetId="0" hidden="1">#REF!</definedName>
    <definedName name="교동토" hidden="1">#REF!</definedName>
    <definedName name="당초계획" localSheetId="1" hidden="1">#REF!</definedName>
    <definedName name="당초계획" localSheetId="0" hidden="1">#REF!</definedName>
    <definedName name="당초계획" hidden="1">#REF!</definedName>
    <definedName name="대구신당동" localSheetId="1" hidden="1">{"'별표'!$N$220"}</definedName>
    <definedName name="대구신당동" localSheetId="0" hidden="1">{"'별표'!$N$220"}</definedName>
    <definedName name="대구신당동" hidden="1">{"'별표'!$N$220"}</definedName>
    <definedName name="ㅀ" localSheetId="1" hidden="1">#REF!</definedName>
    <definedName name="ㅀ" localSheetId="0" hidden="1">#REF!</definedName>
    <definedName name="ㅀ" hidden="1">#REF!</definedName>
    <definedName name="ㅁㅇㅇㅁㅇ" localSheetId="1" hidden="1">#REF!</definedName>
    <definedName name="ㅁㅇㅇㅁㅇ" localSheetId="0" hidden="1">#REF!</definedName>
    <definedName name="ㅁㅇㅇㅁㅇ" hidden="1">#REF!</definedName>
    <definedName name="미동의이주" hidden="1">#N/A</definedName>
    <definedName name="부대건축2" localSheetId="1" hidden="1">#REF!</definedName>
    <definedName name="부대건축2" localSheetId="0" hidden="1">#REF!</definedName>
    <definedName name="부대건축2" hidden="1">#REF!</definedName>
    <definedName name="설계내역서" localSheetId="1" hidden="1">{"'별표'!$N$220"}</definedName>
    <definedName name="설계내역서" localSheetId="0" hidden="1">{"'별표'!$N$220"}</definedName>
    <definedName name="설계내역서" hidden="1">{"'별표'!$N$220"}</definedName>
    <definedName name="설서" localSheetId="1" hidden="1">{"'별표'!$N$220"}</definedName>
    <definedName name="설서" localSheetId="0" hidden="1">{"'별표'!$N$220"}</definedName>
    <definedName name="설서" hidden="1">{"'별표'!$N$220"}</definedName>
    <definedName name="손익계산서" localSheetId="1" hidden="1">#REF!</definedName>
    <definedName name="손익계산서" localSheetId="0" hidden="1">#REF!</definedName>
    <definedName name="손익계산서" hidden="1">#REF!</definedName>
    <definedName name="ㅇㄹ" localSheetId="1" hidden="1">#REF!</definedName>
    <definedName name="ㅇㄹ" localSheetId="0" hidden="1">#REF!</definedName>
    <definedName name="ㅇㄹ" hidden="1">#REF!</definedName>
    <definedName name="아안녕" localSheetId="1" hidden="1">{"'별표'!$N$220"}</definedName>
    <definedName name="아안녕" localSheetId="0" hidden="1">{"'별표'!$N$220"}</definedName>
    <definedName name="아안녕" hidden="1">{"'별표'!$N$220"}</definedName>
    <definedName name="안녕" localSheetId="1" hidden="1">{"'별표'!$N$220"}</definedName>
    <definedName name="안녕" localSheetId="0" hidden="1">{"'별표'!$N$220"}</definedName>
    <definedName name="안녕" hidden="1">{"'별표'!$N$220"}</definedName>
    <definedName name="이름모름" localSheetId="1" hidden="1">{"'별표'!$N$220"}</definedName>
    <definedName name="이름모름" localSheetId="0" hidden="1">{"'별표'!$N$220"}</definedName>
    <definedName name="이름모름" hidden="1">{"'별표'!$N$220"}</definedName>
    <definedName name="자금운영7차" hidden="1">#N/A</definedName>
    <definedName name="타사공사비1" localSheetId="1" hidden="1">#REF!</definedName>
    <definedName name="타사공사비1" localSheetId="0" hidden="1">#REF!</definedName>
    <definedName name="타사공사비1" hidden="1">#REF!</definedName>
    <definedName name="토목공사강릉" localSheetId="1" hidden="1">#REF!</definedName>
    <definedName name="토목공사강릉" localSheetId="0" hidden="1">#REF!</definedName>
    <definedName name="토목공사강릉" hidden="1">#REF!</definedName>
    <definedName name="ㅎㅎ" localSheetId="1" hidden="1">{"'별표'!$N$220"}</definedName>
    <definedName name="ㅎㅎ" localSheetId="0" hidden="1">{"'별표'!$N$220"}</definedName>
    <definedName name="ㅎㅎ" hidden="1">{"'별표'!$N$220"}</definedName>
    <definedName name="현대코아공통비" localSheetId="1" hidden="1">#REF!</definedName>
    <definedName name="현대코아공통비" localSheetId="0" hidden="1">#REF!</definedName>
    <definedName name="현대코아공통비" hidden="1">#REF!</definedName>
    <definedName name="협조전" localSheetId="1" hidden="1">#REF!</definedName>
    <definedName name="협조전" localSheetId="0" hidden="1">#REF!</definedName>
    <definedName name="협조전" hidden="1">#REF!</definedName>
    <definedName name="호ㅓ" localSheetId="1" hidden="1">#REF!</definedName>
    <definedName name="호ㅓ" localSheetId="0" hidden="1">#REF!</definedName>
    <definedName name="호ㅓ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8" i="1" l="1"/>
  <c r="H58" i="1"/>
  <c r="H22" i="1" l="1"/>
  <c r="H23" i="1"/>
  <c r="H24" i="1"/>
  <c r="H27" i="1"/>
  <c r="I27" i="1" s="1"/>
  <c r="H28" i="1"/>
  <c r="I28" i="1" s="1"/>
  <c r="H30" i="1"/>
  <c r="I30" i="1" s="1"/>
  <c r="H33" i="1"/>
  <c r="H34" i="1"/>
  <c r="I34" i="1" s="1"/>
  <c r="H35" i="1"/>
  <c r="I35" i="1" s="1"/>
  <c r="H36" i="1"/>
  <c r="I36" i="1" s="1"/>
  <c r="H37" i="1"/>
  <c r="I37" i="1" s="1"/>
  <c r="H38" i="1"/>
  <c r="I38" i="1" s="1"/>
  <c r="H39" i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50" i="1"/>
  <c r="I50" i="1" s="1"/>
  <c r="H51" i="1"/>
  <c r="H52" i="1"/>
  <c r="H54" i="1"/>
  <c r="I54" i="1" s="1"/>
  <c r="H55" i="1"/>
  <c r="I55" i="1" s="1"/>
  <c r="H57" i="1"/>
  <c r="I57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72" i="1"/>
  <c r="H73" i="1"/>
  <c r="H74" i="1"/>
  <c r="H75" i="1"/>
  <c r="H77" i="1"/>
  <c r="I77" i="1" s="1"/>
  <c r="H78" i="1"/>
  <c r="I78" i="1" s="1"/>
  <c r="H79" i="1"/>
  <c r="I79" i="1" s="1"/>
  <c r="H80" i="1"/>
  <c r="I80" i="1" s="1"/>
  <c r="H81" i="1"/>
  <c r="I81" i="1" s="1"/>
  <c r="H82" i="1"/>
  <c r="H83" i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H99" i="1"/>
  <c r="H101" i="1"/>
  <c r="I101" i="1" s="1"/>
  <c r="H102" i="1"/>
  <c r="I102" i="1" s="1"/>
  <c r="H103" i="1"/>
  <c r="I103" i="1" s="1"/>
  <c r="H106" i="1"/>
  <c r="H107" i="1"/>
  <c r="H108" i="1"/>
  <c r="H115" i="1"/>
  <c r="I115" i="1" s="1"/>
  <c r="H117" i="1"/>
  <c r="I117" i="1" s="1"/>
  <c r="H19" i="1"/>
  <c r="I19" i="1" s="1"/>
  <c r="I22" i="1"/>
  <c r="I23" i="1"/>
  <c r="I24" i="1"/>
  <c r="I33" i="1"/>
  <c r="I39" i="1"/>
  <c r="I51" i="1"/>
  <c r="I52" i="1"/>
  <c r="I72" i="1"/>
  <c r="I73" i="1"/>
  <c r="I74" i="1"/>
  <c r="I75" i="1"/>
  <c r="I82" i="1"/>
  <c r="I83" i="1"/>
  <c r="I94" i="1"/>
  <c r="I99" i="1"/>
  <c r="I106" i="1"/>
  <c r="I107" i="1"/>
  <c r="I108" i="1"/>
  <c r="I11" i="1"/>
  <c r="I12" i="1"/>
  <c r="I13" i="1"/>
  <c r="H14" i="1"/>
  <c r="I14" i="1" s="1"/>
  <c r="H13" i="1"/>
  <c r="H12" i="1"/>
  <c r="H11" i="1"/>
  <c r="I9" i="1"/>
  <c r="H9" i="1"/>
  <c r="I8" i="1"/>
  <c r="H8" i="1"/>
  <c r="I7" i="1"/>
  <c r="H7" i="1"/>
  <c r="I6" i="1"/>
  <c r="H6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7" i="1"/>
  <c r="Q7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Q116" i="1" s="1"/>
  <c r="O117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U116" i="1" l="1"/>
  <c r="I121" i="1"/>
  <c r="B134" i="1"/>
  <c r="U13" i="1"/>
  <c r="K7" i="1"/>
  <c r="K8" i="1"/>
  <c r="K9" i="1"/>
  <c r="K10" i="1"/>
  <c r="K11" i="1"/>
  <c r="K12" i="1"/>
  <c r="K13" i="1"/>
  <c r="K14" i="1"/>
  <c r="K15" i="1"/>
  <c r="G118" i="1"/>
  <c r="U10" i="1" l="1"/>
  <c r="U15" i="1"/>
  <c r="U14" i="1"/>
  <c r="U12" i="1"/>
  <c r="U9" i="1"/>
  <c r="U11" i="1"/>
  <c r="U8" i="1"/>
  <c r="U7" i="1"/>
  <c r="S6" i="1"/>
  <c r="G119" i="1" l="1"/>
  <c r="G120" i="1" s="1"/>
  <c r="G121" i="1" s="1"/>
  <c r="O6" i="1"/>
  <c r="K6" i="1" l="1"/>
  <c r="R118" i="1" l="1"/>
  <c r="N118" i="1"/>
  <c r="J118" i="1"/>
  <c r="C125" i="1" s="1"/>
  <c r="O119" i="1" l="1"/>
  <c r="O120" i="1" s="1"/>
  <c r="C127" i="1"/>
  <c r="C126" i="1"/>
  <c r="K119" i="1" l="1"/>
  <c r="K120" i="1" s="1"/>
  <c r="Q6" i="1"/>
  <c r="U6" i="1" l="1"/>
  <c r="S119" i="1"/>
  <c r="S120" i="1" s="1"/>
  <c r="O121" i="1"/>
  <c r="J126" i="1" l="1"/>
  <c r="S121" i="1"/>
  <c r="J127" i="1" l="1"/>
  <c r="N126" i="1"/>
  <c r="R126" i="1" l="1"/>
  <c r="N127" i="1"/>
  <c r="R127" i="1"/>
  <c r="K121" i="1" l="1"/>
  <c r="Q119" i="1"/>
  <c r="U119" i="1"/>
  <c r="E125" i="1" l="1"/>
  <c r="U121" i="1"/>
  <c r="Q121" i="1"/>
  <c r="J125" i="1"/>
  <c r="L126" i="1" l="1"/>
  <c r="L127" i="1"/>
  <c r="R125" i="1"/>
  <c r="N125" i="1"/>
  <c r="T126" i="1"/>
  <c r="P127" i="1"/>
  <c r="T127" i="1"/>
  <c r="P126" i="1"/>
  <c r="Q125" i="1" l="1"/>
  <c r="P125" i="1"/>
  <c r="U125" i="1"/>
  <c r="T125" i="1"/>
</calcChain>
</file>

<file path=xl/sharedStrings.xml><?xml version="1.0" encoding="utf-8"?>
<sst xmlns="http://schemas.openxmlformats.org/spreadsheetml/2006/main" count="482" uniqueCount="260">
  <si>
    <t>1. 가격 검토표</t>
    <phoneticPr fontId="4" type="noConversion"/>
  </si>
  <si>
    <t>[Currency : SAR]</t>
    <phoneticPr fontId="4" type="noConversion"/>
  </si>
  <si>
    <t>No.</t>
    <phoneticPr fontId="4" type="noConversion"/>
  </si>
  <si>
    <t>Item Name</t>
    <phoneticPr fontId="4" type="noConversion"/>
  </si>
  <si>
    <t>Specification</t>
    <phoneticPr fontId="4" type="noConversion"/>
  </si>
  <si>
    <t>Unit measure</t>
    <phoneticPr fontId="4" type="noConversion"/>
  </si>
  <si>
    <t>수량</t>
    <phoneticPr fontId="4" type="noConversion"/>
  </si>
  <si>
    <t>입찰(견적) 금액 ①</t>
    <phoneticPr fontId="4" type="noConversion"/>
  </si>
  <si>
    <t>검토 금액 ②</t>
    <phoneticPr fontId="4" type="noConversion"/>
  </si>
  <si>
    <t>검토 금액 ③</t>
    <phoneticPr fontId="4" type="noConversion"/>
  </si>
  <si>
    <t>비 고</t>
    <phoneticPr fontId="4" type="noConversion"/>
  </si>
  <si>
    <t>단가</t>
    <phoneticPr fontId="4" type="noConversion"/>
  </si>
  <si>
    <t>총액</t>
    <phoneticPr fontId="4" type="noConversion"/>
  </si>
  <si>
    <t>Spec. or Brand</t>
    <phoneticPr fontId="4" type="noConversion"/>
  </si>
  <si>
    <t>%</t>
    <phoneticPr fontId="4" type="noConversion"/>
  </si>
  <si>
    <t>단가</t>
    <phoneticPr fontId="4" type="noConversion"/>
  </si>
  <si>
    <t>총액</t>
    <phoneticPr fontId="4" type="noConversion"/>
  </si>
  <si>
    <t>Spec. or Brand</t>
    <phoneticPr fontId="4" type="noConversion"/>
  </si>
  <si>
    <t>% (②/①)</t>
    <phoneticPr fontId="4" type="noConversion"/>
  </si>
  <si>
    <t>Spec. or Brand</t>
    <phoneticPr fontId="4" type="noConversion"/>
  </si>
  <si>
    <t>% (③/①)</t>
    <phoneticPr fontId="4" type="noConversion"/>
  </si>
  <si>
    <t>Supplier Company</t>
    <phoneticPr fontId="4" type="noConversion"/>
  </si>
  <si>
    <t>Total Taxable Amount</t>
    <phoneticPr fontId="4" type="noConversion"/>
  </si>
  <si>
    <t>15 % VAT for Total Taxable amount</t>
    <phoneticPr fontId="4" type="noConversion"/>
  </si>
  <si>
    <t xml:space="preserve"> 합계  ④</t>
    <phoneticPr fontId="4" type="noConversion"/>
  </si>
  <si>
    <t>[Currency : SAR]</t>
    <phoneticPr fontId="4" type="noConversion"/>
  </si>
  <si>
    <t>순</t>
    <phoneticPr fontId="4" type="noConversion"/>
  </si>
  <si>
    <t>업체명</t>
    <phoneticPr fontId="4" type="noConversion"/>
  </si>
  <si>
    <t>예산 ④</t>
    <phoneticPr fontId="4" type="noConversion"/>
  </si>
  <si>
    <t>입찰(견적) 금액</t>
    <phoneticPr fontId="4" type="noConversion"/>
  </si>
  <si>
    <t>예산 (%)</t>
    <phoneticPr fontId="4" type="noConversion"/>
  </si>
  <si>
    <t>검토 금액</t>
    <phoneticPr fontId="4" type="noConversion"/>
  </si>
  <si>
    <t>예산 (%)</t>
    <phoneticPr fontId="4" type="noConversion"/>
  </si>
  <si>
    <t>비고</t>
  </si>
  <si>
    <t>3. 입찰 (견적) 현황 &amp; 특기사항</t>
    <phoneticPr fontId="4" type="noConversion"/>
  </si>
  <si>
    <t>4. 결과</t>
    <phoneticPr fontId="4" type="noConversion"/>
  </si>
  <si>
    <t xml:space="preserve">■ 입찰가 (단가) 검토서 / </t>
    <phoneticPr fontId="4" type="noConversion"/>
  </si>
  <si>
    <t xml:space="preserve">Date : </t>
    <phoneticPr fontId="4" type="noConversion"/>
  </si>
  <si>
    <t>2.                              검토 금액 (VAT inclusive)</t>
  </si>
  <si>
    <t>Unit Price</t>
  </si>
  <si>
    <t>Total Amount</t>
  </si>
  <si>
    <t>Qty</t>
  </si>
  <si>
    <t>Remark</t>
  </si>
  <si>
    <t>1. Price Review Sheet</t>
  </si>
  <si>
    <t>2. Amount under review (VAT inclusive)</t>
  </si>
  <si>
    <t>Total ④</t>
  </si>
  <si>
    <t>No</t>
  </si>
  <si>
    <t>Company Name</t>
  </si>
  <si>
    <t>Budget ④</t>
  </si>
  <si>
    <t>Bid (Quotation) Amount</t>
  </si>
  <si>
    <t>Budget (%)</t>
  </si>
  <si>
    <t>Amount under review</t>
  </si>
  <si>
    <t>Remarks</t>
  </si>
  <si>
    <t>3. Bidding (Quotation) Status &amp; Special Notes</t>
  </si>
  <si>
    <t>4. Results</t>
  </si>
  <si>
    <t>JASSIM SAIF AMER ALIABERI TRADING EST</t>
  </si>
  <si>
    <t>SITE CONSUMABLES</t>
  </si>
  <si>
    <t>■ Bid Price (Unit Price) Review &amp; Compression Sheet</t>
  </si>
  <si>
    <t>Sh't</t>
  </si>
  <si>
    <t>Previous Price</t>
  </si>
  <si>
    <t>SANFORD INNOVATION COMPANY</t>
  </si>
  <si>
    <t>EXCEL ENGINEERING EST</t>
  </si>
  <si>
    <t xml:space="preserve">Teflon Tape </t>
  </si>
  <si>
    <t>Insulation Tape</t>
  </si>
  <si>
    <t xml:space="preserve">AC Gas R410A </t>
  </si>
  <si>
    <t xml:space="preserve">Wall Exhaust Fan </t>
  </si>
  <si>
    <t>Bacteria Test Kit Bactaslyde</t>
  </si>
  <si>
    <t xml:space="preserve">Flap Wheel </t>
  </si>
  <si>
    <t>Hi Stick Spray Paint Rust Resistant</t>
  </si>
  <si>
    <t>Parts Handle Side</t>
  </si>
  <si>
    <t>Gun for HIT-RE 500 V4 Hilti</t>
  </si>
  <si>
    <t>Automatic Center Punch</t>
  </si>
  <si>
    <t xml:space="preserve">Armature 220V (70927) for Beaver BE </t>
  </si>
  <si>
    <t xml:space="preserve">Field Coil 220V (70926) for Beaver BE </t>
  </si>
  <si>
    <t>Sledge Hammer</t>
  </si>
  <si>
    <t>Screw Driver</t>
  </si>
  <si>
    <t xml:space="preserve">Screw Driver </t>
  </si>
  <si>
    <t>Disposable Coverall</t>
  </si>
  <si>
    <t xml:space="preserve">Spray Paint </t>
  </si>
  <si>
    <t>Spray Paint</t>
  </si>
  <si>
    <t>Toilet Cleaning Brush</t>
  </si>
  <si>
    <t>3M 8515 N95 Mask</t>
  </si>
  <si>
    <t xml:space="preserve">Hand Winch </t>
  </si>
  <si>
    <t>Adjustable Wrench</t>
  </si>
  <si>
    <t xml:space="preserve">Electric Insulation Tape </t>
  </si>
  <si>
    <t xml:space="preserve">Half Round File </t>
  </si>
  <si>
    <t>Latex Half Coated Gloves</t>
  </si>
  <si>
    <t xml:space="preserve">Flap Disc </t>
  </si>
  <si>
    <t xml:space="preserve">Cup Brush </t>
  </si>
  <si>
    <t>Low Chloride Paint Marker</t>
  </si>
  <si>
    <t xml:space="preserve">Zinc Spray Paint </t>
  </si>
  <si>
    <t>Ear Plug with Corded</t>
  </si>
  <si>
    <t xml:space="preserve">Welding Glass </t>
  </si>
  <si>
    <t>Welding Glass</t>
  </si>
  <si>
    <t xml:space="preserve">Welding Cable Connector </t>
  </si>
  <si>
    <t>Tig Collet Body</t>
  </si>
  <si>
    <t xml:space="preserve">Tig Collet Pin </t>
  </si>
  <si>
    <t>Tig Torch Head with Handle</t>
  </si>
  <si>
    <t>Tungsten Electrode</t>
  </si>
  <si>
    <t xml:space="preserve">Argon Hose Quick Connector </t>
  </si>
  <si>
    <t xml:space="preserve">Tube Cutter </t>
  </si>
  <si>
    <t>Cutting Disc</t>
  </si>
  <si>
    <t>Permanent Marker Pen Twin Tip</t>
  </si>
  <si>
    <t>Electric Insulation Tape</t>
  </si>
  <si>
    <t>Paint Brush</t>
  </si>
  <si>
    <t xml:space="preserve">Concrete Drill Bit </t>
  </si>
  <si>
    <t xml:space="preserve">Diamond Cutting Wheel </t>
  </si>
  <si>
    <t>Diamond Grinding Wheel</t>
  </si>
  <si>
    <t>Telescopic Magnet Pickup</t>
  </si>
  <si>
    <t>Chemical Gloves</t>
  </si>
  <si>
    <t>Nicome Carbon Battery</t>
  </si>
  <si>
    <t xml:space="preserve">LED Torch Light Rechargeable </t>
  </si>
  <si>
    <t>Grinding Disc</t>
  </si>
  <si>
    <t xml:space="preserve">Carbide Burr Flame Shape </t>
  </si>
  <si>
    <t xml:space="preserve">Carbide Burr Taper Shape </t>
  </si>
  <si>
    <t xml:space="preserve">Welding Electrode Holder </t>
  </si>
  <si>
    <t xml:space="preserve">Double Ear Clamp </t>
  </si>
  <si>
    <t>Double Ear Clamp</t>
  </si>
  <si>
    <t xml:space="preserve">Q-Shaped Reaction Bar for GSR122E/STC12TE </t>
  </si>
  <si>
    <t>Carbon Brush</t>
  </si>
  <si>
    <t>Set Screw for GSR122E/STC12TE</t>
  </si>
  <si>
    <t>Two Way Radio Walkie Talkie Baofeng</t>
  </si>
  <si>
    <t xml:space="preserve">Grinding Disc </t>
  </si>
  <si>
    <t>Tig Torch</t>
  </si>
  <si>
    <t>Tig Torch Switch</t>
  </si>
  <si>
    <t xml:space="preserve">Tungsten Electrode </t>
  </si>
  <si>
    <t xml:space="preserve">Ceramic Nozzle </t>
  </si>
  <si>
    <t>Dust Mask</t>
  </si>
  <si>
    <t>Cotton Rags</t>
  </si>
  <si>
    <t>Hacksaw Blade</t>
  </si>
  <si>
    <t>Sponge Foam Sheet</t>
  </si>
  <si>
    <t>Ceramic Nozzle</t>
  </si>
  <si>
    <t>Argon Regulator</t>
  </si>
  <si>
    <t xml:space="preserve">Hacksaw Frame </t>
  </si>
  <si>
    <t>Cable Tie</t>
  </si>
  <si>
    <t xml:space="preserve">Paint Scraper </t>
  </si>
  <si>
    <t>Flap Wheel</t>
  </si>
  <si>
    <t>Enamel Paint</t>
  </si>
  <si>
    <t>PVC Coated Tie Wire</t>
  </si>
  <si>
    <t>Face Shield Visor</t>
  </si>
  <si>
    <t>Welding Tig Gloves</t>
  </si>
  <si>
    <t xml:space="preserve">Welding Tig Gloves </t>
  </si>
  <si>
    <t>Welding Apron</t>
  </si>
  <si>
    <t>Scaffolding Hand Gloves</t>
  </si>
  <si>
    <t xml:space="preserve">Permanent Marker Pen Twin Tip </t>
  </si>
  <si>
    <t xml:space="preserve">Hand Wire Brush </t>
  </si>
  <si>
    <t>Ordinary Plywood</t>
  </si>
  <si>
    <t xml:space="preserve">Drill Bit </t>
  </si>
  <si>
    <t>Drill Bit</t>
  </si>
  <si>
    <t xml:space="preserve">Rubber Hand Gloves </t>
  </si>
  <si>
    <t>Polythene Sheet</t>
  </si>
  <si>
    <t>Megaphone Speaker</t>
  </si>
  <si>
    <t>19mm x 40yard</t>
  </si>
  <si>
    <t xml:space="preserve"> Black 2"</t>
  </si>
  <si>
    <t>11.6kg</t>
  </si>
  <si>
    <t>220V 295x135x295mm</t>
  </si>
  <si>
    <t xml:space="preserve"> BS103</t>
  </si>
  <si>
    <t>S/S 25x20x6mm</t>
  </si>
  <si>
    <t xml:space="preserve"> Dark Blue</t>
  </si>
  <si>
    <t xml:space="preserve"> Yellow</t>
  </si>
  <si>
    <t xml:space="preserve"> (562211-00) for DWE4002-B5 Dewalt</t>
  </si>
  <si>
    <t xml:space="preserve"> HDM-500</t>
  </si>
  <si>
    <t>50G AT Asada</t>
  </si>
  <si>
    <t xml:space="preserve"> 2LB</t>
  </si>
  <si>
    <t xml:space="preserve"> Plus+ 9"</t>
  </si>
  <si>
    <t>Flat- 9"</t>
  </si>
  <si>
    <t xml:space="preserve"> 2XL</t>
  </si>
  <si>
    <t>G2100 Dark Blue (240G)</t>
  </si>
  <si>
    <t xml:space="preserve"> G2100 Yellow (240G)</t>
  </si>
  <si>
    <t>5mmx10mtr</t>
  </si>
  <si>
    <t xml:space="preserve"> 18"</t>
  </si>
  <si>
    <t>Yellow</t>
  </si>
  <si>
    <t>C/S 12"</t>
  </si>
  <si>
    <t xml:space="preserve"> Star 9"</t>
  </si>
  <si>
    <t xml:space="preserve"> 24"</t>
  </si>
  <si>
    <t xml:space="preserve"> Green Crinkled</t>
  </si>
  <si>
    <t>S/S 4" 80 Grit</t>
  </si>
  <si>
    <t>S/S 40x20x6mm</t>
  </si>
  <si>
    <t>S/S Crimped M10x75mm</t>
  </si>
  <si>
    <t xml:space="preserve"> Blue</t>
  </si>
  <si>
    <t>Weicon(400 ml)</t>
  </si>
  <si>
    <t>Dark #11</t>
  </si>
  <si>
    <t xml:space="preserve"> Dark #12</t>
  </si>
  <si>
    <t>35-50mm2 Male &amp; Female</t>
  </si>
  <si>
    <t>50-70mm2 Male &amp; Female</t>
  </si>
  <si>
    <t xml:space="preserve"> 350A 3.2mm SS</t>
  </si>
  <si>
    <t>350A 3.2mm SS</t>
  </si>
  <si>
    <t xml:space="preserve"> 2.4mm</t>
  </si>
  <si>
    <t>15x6mm</t>
  </si>
  <si>
    <t>12-50mm Super Ego Spain</t>
  </si>
  <si>
    <t xml:space="preserve"> C/S 7"x3mm Maks</t>
  </si>
  <si>
    <t xml:space="preserve"> Black 1.0x0.5mm</t>
  </si>
  <si>
    <t xml:space="preserve"> Green</t>
  </si>
  <si>
    <t xml:space="preserve"> 1"</t>
  </si>
  <si>
    <t>10mm</t>
  </si>
  <si>
    <t xml:space="preserve"> C/S 5"x3mm Maks</t>
  </si>
  <si>
    <t>5"</t>
  </si>
  <si>
    <t xml:space="preserve"> 5"</t>
  </si>
  <si>
    <t xml:space="preserve"> XL Heavy Duty Red Color</t>
  </si>
  <si>
    <t xml:space="preserve"> 9V, 6F22</t>
  </si>
  <si>
    <t>GFL4658Z Geepas</t>
  </si>
  <si>
    <t xml:space="preserve"> C/S 4"x6mm Maks</t>
  </si>
  <si>
    <t xml:space="preserve"> Black</t>
  </si>
  <si>
    <t>12x32x6mm</t>
  </si>
  <si>
    <t>10x20x6mm</t>
  </si>
  <si>
    <t>500A</t>
  </si>
  <si>
    <t>S/S 11-13mm</t>
  </si>
  <si>
    <t xml:space="preserve"> S/S 13-15mm</t>
  </si>
  <si>
    <t>#11QH, TONE Japan</t>
  </si>
  <si>
    <t xml:space="preserve"> E995 for STC-12TE Tone Japan</t>
  </si>
  <si>
    <t xml:space="preserve"> #M6X6, TONE Japan</t>
  </si>
  <si>
    <t xml:space="preserve"> BF-888S</t>
  </si>
  <si>
    <t xml:space="preserve"> S/S 4"x1mm Maks</t>
  </si>
  <si>
    <t xml:space="preserve"> C/S 4"x3mm Maks</t>
  </si>
  <si>
    <t xml:space="preserve"> S/S 4"x3mm Maks</t>
  </si>
  <si>
    <t>S/S 4"x6mm Maks</t>
  </si>
  <si>
    <t>300A</t>
  </si>
  <si>
    <t xml:space="preserve"> 350A 2.4mm</t>
  </si>
  <si>
    <t xml:space="preserve"> Back Cap Long (57Y02)</t>
  </si>
  <si>
    <t xml:space="preserve"> Back Cap Short (57Y04)</t>
  </si>
  <si>
    <t>3.2mm</t>
  </si>
  <si>
    <t>350A #6</t>
  </si>
  <si>
    <t xml:space="preserve"> N95 Venus</t>
  </si>
  <si>
    <t xml:space="preserve"> White 10Kg</t>
  </si>
  <si>
    <t xml:space="preserve"> S/S 12"</t>
  </si>
  <si>
    <t xml:space="preserve"> 900x1900x100mm</t>
  </si>
  <si>
    <t>350A #7</t>
  </si>
  <si>
    <t xml:space="preserve"> 350A #8</t>
  </si>
  <si>
    <t>12"</t>
  </si>
  <si>
    <t xml:space="preserve"> 4.8mmx300mm White (100ea/pkt)</t>
  </si>
  <si>
    <t>2"</t>
  </si>
  <si>
    <t>C/S 4" 80 Grit</t>
  </si>
  <si>
    <t xml:space="preserve"> C/S 40x20x6mm</t>
  </si>
  <si>
    <t xml:space="preserve"> Blue 3.5kg</t>
  </si>
  <si>
    <t xml:space="preserve"> 6kg</t>
  </si>
  <si>
    <t xml:space="preserve"> 15"</t>
  </si>
  <si>
    <t xml:space="preserve"> 10"</t>
  </si>
  <si>
    <t>14"</t>
  </si>
  <si>
    <t xml:space="preserve"> Leather</t>
  </si>
  <si>
    <t xml:space="preserve"> Dark #10</t>
  </si>
  <si>
    <t>Black N75W Pentel</t>
  </si>
  <si>
    <t xml:space="preserve"> Blue 1.0x0.5mm</t>
  </si>
  <si>
    <t>C/S</t>
  </si>
  <si>
    <t xml:space="preserve"> C/S 12"</t>
  </si>
  <si>
    <t xml:space="preserve"> 4'x8'x12mm</t>
  </si>
  <si>
    <t>CS 4mm</t>
  </si>
  <si>
    <t>CS 5mm</t>
  </si>
  <si>
    <t xml:space="preserve"> CS 6mm</t>
  </si>
  <si>
    <t>CS 8mm</t>
  </si>
  <si>
    <t>CS 10mm</t>
  </si>
  <si>
    <t>CS 12mm</t>
  </si>
  <si>
    <t>M</t>
  </si>
  <si>
    <t xml:space="preserve"> 4x20mtr 0.5mm</t>
  </si>
  <si>
    <t>Nos</t>
  </si>
  <si>
    <t>Kit</t>
  </si>
  <si>
    <t>Pair</t>
  </si>
  <si>
    <t>Pkt</t>
  </si>
  <si>
    <t>Can</t>
  </si>
  <si>
    <t>roll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</si>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</sst>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_-;\-* #,##0_-;_-* &quot;-&quot;_-;_-@_-"/>
    <numFmt numFmtId="165" formatCode="_-* #,##0.00_-;\-* #,##0.00_-;_-* &quot;-&quot;??_-;_-@_-"/>
    <numFmt numFmtId="166" formatCode="#,##0.000_);[Red]\(#,##0.000\)"/>
    <numFmt numFmtId="167" formatCode="#,##0.000_ ;[Red]\-#,##0.000\ "/>
    <numFmt numFmtId="168" formatCode="#,##0.00_ ;[Red]\-#,##0.00\ "/>
    <numFmt numFmtId="169" formatCode="0.0%"/>
    <numFmt numFmtId="170" formatCode="0.000_ ;[Red]\-0.000\ "/>
    <numFmt numFmtId="171" formatCode="[$-409]d\-mmm\-yyyy;@"/>
  </numFmts>
  <fonts count="44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b/>
      <sz val="16"/>
      <color theme="1"/>
      <name val="현대하모니 M"/>
      <family val="1"/>
      <charset val="129"/>
    </font>
    <font>
      <sz val="8"/>
      <name val="Calibri"/>
      <family val="2"/>
      <charset val="129"/>
      <scheme val="minor"/>
    </font>
    <font>
      <b/>
      <sz val="11"/>
      <color theme="1"/>
      <name val="현대하모니 M"/>
      <family val="1"/>
      <charset val="129"/>
    </font>
    <font>
      <sz val="8"/>
      <color theme="1"/>
      <name val="현대하모니 M"/>
      <family val="1"/>
      <charset val="129"/>
    </font>
    <font>
      <sz val="11"/>
      <color theme="1"/>
      <name val="현대하모니 M"/>
      <family val="1"/>
      <charset val="129"/>
    </font>
    <font>
      <b/>
      <sz val="8"/>
      <color theme="1"/>
      <name val="현대하모니 M"/>
      <family val="1"/>
      <charset val="129"/>
    </font>
    <font>
      <sz val="9"/>
      <color theme="1"/>
      <name val="현대하모니 M"/>
      <family val="1"/>
      <charset val="129"/>
    </font>
    <font>
      <sz val="9"/>
      <name val="현대하모니 M"/>
      <family val="1"/>
      <charset val="129"/>
    </font>
    <font>
      <b/>
      <sz val="9"/>
      <color rgb="FF3C0BB5"/>
      <name val="현대하모니 M"/>
      <family val="1"/>
      <charset val="129"/>
    </font>
    <font>
      <sz val="11"/>
      <color indexed="8"/>
      <name val="현대하모니 M"/>
      <family val="1"/>
      <charset val="129"/>
    </font>
    <font>
      <b/>
      <sz val="9"/>
      <color theme="1"/>
      <name val="현대하모니 M"/>
      <family val="1"/>
      <charset val="129"/>
    </font>
    <font>
      <b/>
      <sz val="9"/>
      <name val="현대하모니 M"/>
      <family val="1"/>
      <charset val="129"/>
    </font>
    <font>
      <sz val="9"/>
      <color indexed="8"/>
      <name val="현대하모니 M"/>
      <family val="1"/>
      <charset val="129"/>
    </font>
    <font>
      <b/>
      <sz val="9"/>
      <color rgb="FF1802BE"/>
      <name val="현대하모니 M"/>
      <family val="1"/>
      <charset val="129"/>
    </font>
    <font>
      <sz val="9"/>
      <color rgb="FF1802BE"/>
      <name val="현대하모니 M"/>
      <family val="1"/>
      <charset val="129"/>
    </font>
    <font>
      <b/>
      <sz val="10"/>
      <color theme="1"/>
      <name val="현대하모니 M"/>
      <family val="1"/>
      <charset val="129"/>
    </font>
    <font>
      <b/>
      <sz val="10"/>
      <name val="현대하모니 M"/>
      <family val="1"/>
      <charset val="129"/>
    </font>
    <font>
      <sz val="10"/>
      <color theme="1"/>
      <name val="현대하모니 M"/>
      <family val="1"/>
      <charset val="129"/>
    </font>
    <font>
      <sz val="10"/>
      <name val="현대하모니 M"/>
      <family val="1"/>
      <charset val="129"/>
    </font>
    <font>
      <sz val="11"/>
      <name val="현대하모니 M"/>
      <family val="1"/>
      <charset val="129"/>
    </font>
    <font>
      <sz val="11"/>
      <name val="돋움"/>
      <family val="3"/>
      <charset val="129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C0BB5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3C0BB5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9"/>
      <color rgb="FF1802BE"/>
      <name val="Calibri"/>
      <family val="2"/>
      <scheme val="minor"/>
    </font>
    <font>
      <sz val="9"/>
      <color rgb="FF1802BE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05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 style="thin">
        <color theme="0" tint="-0.499984740745262"/>
      </right>
      <top/>
      <bottom style="double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 style="double">
        <color auto="1"/>
      </bottom>
      <diagonal/>
    </border>
    <border>
      <left style="thin">
        <color theme="0" tint="-0.499984740745262"/>
      </left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24994659260841701"/>
      </bottom>
      <diagonal/>
    </border>
    <border>
      <left/>
      <right/>
      <top style="thin">
        <color theme="0" tint="-0.499984740745262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24994659260841701"/>
      </bottom>
      <diagonal/>
    </border>
    <border>
      <left/>
      <right style="hair">
        <color indexed="64"/>
      </right>
      <top/>
      <bottom style="thin">
        <color theme="0" tint="-0.24994659260841701"/>
      </bottom>
      <diagonal/>
    </border>
    <border>
      <left style="hair">
        <color indexed="64"/>
      </left>
      <right style="hair">
        <color indexed="64"/>
      </right>
      <top/>
      <bottom style="thin">
        <color theme="0" tint="-0.24994659260841701"/>
      </bottom>
      <diagonal/>
    </border>
    <border>
      <left style="hair">
        <color indexed="64"/>
      </left>
      <right/>
      <top/>
      <bottom style="thin">
        <color theme="0" tint="-0.24994659260841701"/>
      </bottom>
      <diagonal/>
    </border>
    <border>
      <left style="hair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hair">
        <color indexed="64"/>
      </right>
      <top/>
      <bottom style="thin">
        <color theme="0" tint="-0.24994659260841701"/>
      </bottom>
      <diagonal/>
    </border>
    <border>
      <left style="hair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 style="hair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hair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 style="double">
        <color indexed="64"/>
      </bottom>
      <diagonal/>
    </border>
    <border>
      <left/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auto="1"/>
      </top>
      <bottom style="double">
        <color auto="1"/>
      </bottom>
      <diagonal/>
    </border>
    <border>
      <left/>
      <right style="medium">
        <color indexed="64"/>
      </right>
      <top style="medium">
        <color auto="1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 style="thin">
        <color theme="0" tint="-0.24994659260841701"/>
      </bottom>
      <diagonal/>
    </border>
    <border>
      <left style="thin">
        <color indexed="64"/>
      </left>
      <right/>
      <top style="double">
        <color auto="1"/>
      </top>
      <bottom style="thin">
        <color theme="0" tint="-0.24994659260841701"/>
      </bottom>
      <diagonal/>
    </border>
    <border>
      <left/>
      <right style="thin">
        <color indexed="64"/>
      </right>
      <top style="double">
        <color auto="1"/>
      </top>
      <bottom style="thin">
        <color theme="0" tint="-0.24994659260841701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hair">
        <color indexed="64"/>
      </right>
      <top style="double">
        <color auto="1"/>
      </top>
      <bottom style="thin">
        <color theme="0" tint="-0.24994659260841701"/>
      </bottom>
      <diagonal/>
    </border>
    <border>
      <left style="hair">
        <color indexed="64"/>
      </left>
      <right/>
      <top style="double">
        <color auto="1"/>
      </top>
      <bottom style="thin">
        <color theme="0" tint="-0.24994659260841701"/>
      </bottom>
      <diagonal/>
    </border>
    <border>
      <left/>
      <right style="medium">
        <color indexed="64"/>
      </right>
      <top style="double">
        <color auto="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theme="0" tint="-0.24994659260841701"/>
      </left>
      <right style="hair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theme="0" tint="-0.499984740745262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3" fillId="0" borderId="0">
      <alignment vertical="center"/>
    </xf>
  </cellStyleXfs>
  <cellXfs count="403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9" fontId="5" fillId="0" borderId="1" xfId="0" applyNumberFormat="1" applyFont="1" applyBorder="1">
      <alignment vertical="center"/>
    </xf>
    <xf numFmtId="0" fontId="5" fillId="0" borderId="0" xfId="0" applyFont="1" applyAlignment="1">
      <alignment horizontal="right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9" fontId="5" fillId="0" borderId="0" xfId="0" applyNumberFormat="1" applyFo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164" fontId="5" fillId="0" borderId="0" xfId="1" applyFont="1" applyFill="1" applyBorder="1" applyAlignment="1">
      <alignment horizontal="center" vertical="center"/>
    </xf>
    <xf numFmtId="164" fontId="8" fillId="3" borderId="16" xfId="1" applyFont="1" applyFill="1" applyBorder="1" applyAlignment="1">
      <alignment horizontal="center" vertical="center"/>
    </xf>
    <xf numFmtId="40" fontId="8" fillId="3" borderId="17" xfId="1" applyNumberFormat="1" applyFont="1" applyFill="1" applyBorder="1" applyAlignment="1">
      <alignment horizontal="center" vertical="center"/>
    </xf>
    <xf numFmtId="40" fontId="8" fillId="3" borderId="18" xfId="1" applyNumberFormat="1" applyFont="1" applyFill="1" applyBorder="1" applyAlignment="1">
      <alignment horizontal="center" vertical="center" wrapText="1"/>
    </xf>
    <xf numFmtId="9" fontId="8" fillId="3" borderId="19" xfId="1" applyNumberFormat="1" applyFont="1" applyFill="1" applyBorder="1" applyAlignment="1">
      <alignment horizontal="center" vertical="center"/>
    </xf>
    <xf numFmtId="9" fontId="8" fillId="3" borderId="19" xfId="1" applyNumberFormat="1" applyFont="1" applyFill="1" applyBorder="1" applyAlignment="1">
      <alignment horizontal="center" vertical="center" wrapText="1"/>
    </xf>
    <xf numFmtId="0" fontId="9" fillId="2" borderId="21" xfId="0" quotePrefix="1" applyFont="1" applyFill="1" applyBorder="1" applyAlignment="1">
      <alignment horizontal="center" vertical="center"/>
    </xf>
    <xf numFmtId="0" fontId="9" fillId="0" borderId="22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166" fontId="10" fillId="0" borderId="22" xfId="3" applyNumberFormat="1" applyFont="1" applyBorder="1">
      <alignment vertical="center"/>
    </xf>
    <xf numFmtId="167" fontId="10" fillId="0" borderId="22" xfId="3" applyNumberFormat="1" applyFont="1" applyBorder="1">
      <alignment vertical="center"/>
    </xf>
    <xf numFmtId="9" fontId="10" fillId="0" borderId="22" xfId="2" applyFont="1" applyFill="1" applyBorder="1" applyAlignment="1">
      <alignment vertical="center"/>
    </xf>
    <xf numFmtId="168" fontId="10" fillId="0" borderId="22" xfId="3" applyNumberFormat="1" applyFont="1" applyBorder="1">
      <alignment vertical="center"/>
    </xf>
    <xf numFmtId="3" fontId="11" fillId="0" borderId="23" xfId="0" quotePrefix="1" applyNumberFormat="1" applyFont="1" applyBorder="1" applyAlignment="1">
      <alignment horizontal="center" vertical="center" wrapText="1"/>
    </xf>
    <xf numFmtId="3" fontId="12" fillId="0" borderId="0" xfId="0" applyNumberFormat="1" applyFont="1" applyAlignment="1">
      <alignment horizontal="left" vertical="center" wrapText="1"/>
    </xf>
    <xf numFmtId="0" fontId="9" fillId="2" borderId="24" xfId="0" quotePrefix="1" applyFont="1" applyFill="1" applyBorder="1" applyAlignment="1">
      <alignment horizontal="center" vertical="center"/>
    </xf>
    <xf numFmtId="0" fontId="9" fillId="0" borderId="25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center" vertical="center"/>
    </xf>
    <xf numFmtId="166" fontId="10" fillId="0" borderId="25" xfId="3" applyNumberFormat="1" applyFont="1" applyBorder="1">
      <alignment vertical="center"/>
    </xf>
    <xf numFmtId="167" fontId="10" fillId="0" borderId="25" xfId="3" applyNumberFormat="1" applyFont="1" applyBorder="1">
      <alignment vertical="center"/>
    </xf>
    <xf numFmtId="9" fontId="10" fillId="0" borderId="25" xfId="2" applyFont="1" applyFill="1" applyBorder="1" applyAlignment="1">
      <alignment vertical="center"/>
    </xf>
    <xf numFmtId="168" fontId="10" fillId="0" borderId="25" xfId="3" applyNumberFormat="1" applyFont="1" applyBorder="1">
      <alignment vertical="center"/>
    </xf>
    <xf numFmtId="3" fontId="11" fillId="0" borderId="26" xfId="0" quotePrefix="1" applyNumberFormat="1" applyFont="1" applyBorder="1" applyAlignment="1">
      <alignment horizontal="center" vertical="center" wrapText="1"/>
    </xf>
    <xf numFmtId="0" fontId="9" fillId="2" borderId="27" xfId="0" quotePrefix="1" applyFont="1" applyFill="1" applyBorder="1" applyAlignment="1">
      <alignment horizontal="center" vertical="center"/>
    </xf>
    <xf numFmtId="0" fontId="9" fillId="0" borderId="28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center" vertical="center"/>
    </xf>
    <xf numFmtId="166" fontId="10" fillId="0" borderId="28" xfId="3" applyNumberFormat="1" applyFont="1" applyBorder="1">
      <alignment vertical="center"/>
    </xf>
    <xf numFmtId="167" fontId="10" fillId="0" borderId="28" xfId="3" applyNumberFormat="1" applyFont="1" applyBorder="1">
      <alignment vertical="center"/>
    </xf>
    <xf numFmtId="9" fontId="10" fillId="0" borderId="28" xfId="2" applyFont="1" applyFill="1" applyBorder="1" applyAlignment="1">
      <alignment vertical="center"/>
    </xf>
    <xf numFmtId="168" fontId="10" fillId="0" borderId="28" xfId="3" applyNumberFormat="1" applyFont="1" applyBorder="1">
      <alignment vertical="center"/>
    </xf>
    <xf numFmtId="3" fontId="11" fillId="0" borderId="29" xfId="0" quotePrefix="1" applyNumberFormat="1" applyFont="1" applyBorder="1" applyAlignment="1">
      <alignment horizontal="center" vertical="center" wrapText="1"/>
    </xf>
    <xf numFmtId="0" fontId="9" fillId="0" borderId="27" xfId="0" quotePrefix="1" applyFont="1" applyBorder="1" applyAlignment="1">
      <alignment horizontal="center" vertical="center"/>
    </xf>
    <xf numFmtId="3" fontId="11" fillId="0" borderId="29" xfId="0" quotePrefix="1" applyNumberFormat="1" applyFont="1" applyBorder="1" applyAlignment="1">
      <alignment vertical="center" wrapText="1"/>
    </xf>
    <xf numFmtId="0" fontId="13" fillId="0" borderId="27" xfId="0" quotePrefix="1" applyFont="1" applyBorder="1" applyAlignment="1">
      <alignment horizontal="center" vertical="center"/>
    </xf>
    <xf numFmtId="0" fontId="14" fillId="0" borderId="35" xfId="0" applyFont="1" applyBorder="1" applyAlignment="1">
      <alignment vertical="center" wrapText="1"/>
    </xf>
    <xf numFmtId="167" fontId="10" fillId="0" borderId="38" xfId="3" applyNumberFormat="1" applyFont="1" applyBorder="1" applyAlignment="1">
      <alignment horizontal="right" vertical="center"/>
    </xf>
    <xf numFmtId="167" fontId="10" fillId="0" borderId="39" xfId="3" applyNumberFormat="1" applyFont="1" applyBorder="1" applyAlignment="1">
      <alignment horizontal="right" vertical="center"/>
    </xf>
    <xf numFmtId="167" fontId="10" fillId="0" borderId="40" xfId="3" applyNumberFormat="1" applyFont="1" applyBorder="1" applyAlignment="1">
      <alignment horizontal="right" vertical="center"/>
    </xf>
    <xf numFmtId="9" fontId="9" fillId="0" borderId="41" xfId="2" applyFont="1" applyFill="1" applyBorder="1" applyAlignment="1">
      <alignment horizontal="center" vertical="center"/>
    </xf>
    <xf numFmtId="167" fontId="10" fillId="0" borderId="42" xfId="3" applyNumberFormat="1" applyFont="1" applyBorder="1" applyAlignment="1">
      <alignment horizontal="right" vertical="center"/>
    </xf>
    <xf numFmtId="9" fontId="9" fillId="0" borderId="33" xfId="2" applyFont="1" applyFill="1" applyBorder="1" applyAlignment="1">
      <alignment horizontal="center" vertical="center"/>
    </xf>
    <xf numFmtId="9" fontId="9" fillId="0" borderId="43" xfId="2" applyFont="1" applyFill="1" applyBorder="1" applyAlignment="1">
      <alignment vertical="center"/>
    </xf>
    <xf numFmtId="3" fontId="15" fillId="0" borderId="44" xfId="0" quotePrefix="1" applyNumberFormat="1" applyFont="1" applyBorder="1" applyAlignment="1">
      <alignment vertical="center" wrapText="1"/>
    </xf>
    <xf numFmtId="0" fontId="9" fillId="0" borderId="45" xfId="0" quotePrefix="1" applyFont="1" applyBorder="1" applyAlignment="1">
      <alignment horizontal="center" vertical="center"/>
    </xf>
    <xf numFmtId="166" fontId="17" fillId="0" borderId="49" xfId="3" applyNumberFormat="1" applyFont="1" applyBorder="1">
      <alignment vertical="center"/>
    </xf>
    <xf numFmtId="167" fontId="17" fillId="0" borderId="50" xfId="3" applyNumberFormat="1" applyFont="1" applyBorder="1">
      <alignment vertical="center"/>
    </xf>
    <xf numFmtId="167" fontId="17" fillId="0" borderId="51" xfId="3" applyNumberFormat="1" applyFont="1" applyBorder="1">
      <alignment vertical="center"/>
    </xf>
    <xf numFmtId="9" fontId="17" fillId="0" borderId="52" xfId="2" applyFont="1" applyFill="1" applyBorder="1" applyAlignment="1">
      <alignment vertical="center"/>
    </xf>
    <xf numFmtId="166" fontId="17" fillId="0" borderId="53" xfId="3" applyNumberFormat="1" applyFont="1" applyBorder="1">
      <alignment vertical="center"/>
    </xf>
    <xf numFmtId="9" fontId="17" fillId="0" borderId="48" xfId="2" applyFont="1" applyFill="1" applyBorder="1" applyAlignment="1">
      <alignment vertical="center"/>
    </xf>
    <xf numFmtId="3" fontId="15" fillId="0" borderId="54" xfId="0" quotePrefix="1" applyNumberFormat="1" applyFont="1" applyBorder="1" applyAlignment="1">
      <alignment vertical="center" wrapText="1"/>
    </xf>
    <xf numFmtId="166" fontId="14" fillId="0" borderId="58" xfId="1" applyNumberFormat="1" applyFont="1" applyFill="1" applyBorder="1" applyAlignment="1">
      <alignment horizontal="right" vertical="center"/>
    </xf>
    <xf numFmtId="40" fontId="14" fillId="0" borderId="59" xfId="1" applyNumberFormat="1" applyFont="1" applyFill="1" applyBorder="1" applyAlignment="1">
      <alignment horizontal="right" vertical="center"/>
    </xf>
    <xf numFmtId="40" fontId="14" fillId="0" borderId="60" xfId="1" applyNumberFormat="1" applyFont="1" applyFill="1" applyBorder="1" applyAlignment="1">
      <alignment horizontal="right" vertical="center"/>
    </xf>
    <xf numFmtId="9" fontId="14" fillId="0" borderId="57" xfId="2" applyFont="1" applyFill="1" applyBorder="1" applyAlignment="1">
      <alignment horizontal="center" vertical="center"/>
    </xf>
    <xf numFmtId="40" fontId="14" fillId="0" borderId="58" xfId="1" applyNumberFormat="1" applyFont="1" applyFill="1" applyBorder="1" applyAlignment="1">
      <alignment horizontal="right" vertical="center"/>
    </xf>
    <xf numFmtId="9" fontId="14" fillId="0" borderId="56" xfId="2" applyFont="1" applyFill="1" applyBorder="1" applyAlignment="1">
      <alignment horizontal="center" vertical="center"/>
    </xf>
    <xf numFmtId="165" fontId="14" fillId="0" borderId="61" xfId="1" applyNumberFormat="1" applyFont="1" applyFill="1" applyBorder="1" applyAlignment="1">
      <alignment vertical="center" shrinkToFit="1"/>
    </xf>
    <xf numFmtId="164" fontId="5" fillId="0" borderId="0" xfId="1" applyFont="1" applyFill="1" applyBorder="1" applyAlignment="1">
      <alignment vertical="center" shrinkToFit="1"/>
    </xf>
    <xf numFmtId="0" fontId="7" fillId="4" borderId="0" xfId="0" applyFont="1" applyFill="1">
      <alignment vertical="center"/>
    </xf>
    <xf numFmtId="0" fontId="18" fillId="4" borderId="0" xfId="0" quotePrefix="1" applyFont="1" applyFill="1" applyAlignment="1">
      <alignment horizontal="center" vertical="center"/>
    </xf>
    <xf numFmtId="0" fontId="13" fillId="4" borderId="0" xfId="0" quotePrefix="1" applyFont="1" applyFill="1" applyAlignment="1">
      <alignment horizontal="left" vertical="center" wrapText="1"/>
    </xf>
    <xf numFmtId="40" fontId="18" fillId="0" borderId="0" xfId="1" applyNumberFormat="1" applyFont="1" applyFill="1" applyBorder="1" applyAlignment="1">
      <alignment horizontal="center" vertical="center" wrapText="1" shrinkToFit="1"/>
    </xf>
    <xf numFmtId="40" fontId="19" fillId="0" borderId="0" xfId="1" applyNumberFormat="1" applyFont="1" applyFill="1" applyBorder="1" applyAlignment="1">
      <alignment horizontal="center" vertical="center" shrinkToFit="1"/>
    </xf>
    <xf numFmtId="169" fontId="19" fillId="4" borderId="0" xfId="2" applyNumberFormat="1" applyFont="1" applyFill="1" applyBorder="1" applyAlignment="1">
      <alignment vertical="center" shrinkToFit="1"/>
    </xf>
    <xf numFmtId="164" fontId="18" fillId="4" borderId="0" xfId="1" applyFont="1" applyFill="1" applyBorder="1" applyAlignment="1">
      <alignment horizontal="left" vertical="center" shrinkToFit="1"/>
    </xf>
    <xf numFmtId="164" fontId="7" fillId="0" borderId="0" xfId="1" applyFont="1" applyFill="1" applyBorder="1" applyAlignment="1">
      <alignment horizontal="left" vertical="center" shrinkToFit="1"/>
    </xf>
    <xf numFmtId="0" fontId="6" fillId="4" borderId="0" xfId="0" applyFont="1" applyFill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6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0" fillId="2" borderId="70" xfId="0" quotePrefix="1" applyFont="1" applyFill="1" applyBorder="1" applyAlignment="1">
      <alignment horizontal="center" vertical="center"/>
    </xf>
    <xf numFmtId="164" fontId="6" fillId="4" borderId="77" xfId="1" applyFont="1" applyFill="1" applyBorder="1" applyAlignment="1">
      <alignment horizontal="left" vertical="center" wrapText="1" shrinkToFit="1"/>
    </xf>
    <xf numFmtId="164" fontId="5" fillId="0" borderId="0" xfId="1" applyFont="1" applyFill="1" applyBorder="1" applyAlignment="1">
      <alignment horizontal="left" vertical="center" shrinkToFit="1"/>
    </xf>
    <xf numFmtId="0" fontId="20" fillId="2" borderId="78" xfId="0" quotePrefix="1" applyFont="1" applyFill="1" applyBorder="1" applyAlignment="1">
      <alignment horizontal="center" vertical="center"/>
    </xf>
    <xf numFmtId="164" fontId="6" fillId="4" borderId="85" xfId="1" applyFont="1" applyFill="1" applyBorder="1" applyAlignment="1">
      <alignment horizontal="left" vertical="center" wrapText="1" shrinkToFit="1"/>
    </xf>
    <xf numFmtId="0" fontId="20" fillId="2" borderId="45" xfId="0" quotePrefix="1" applyFont="1" applyFill="1" applyBorder="1" applyAlignment="1">
      <alignment horizontal="center" vertical="center"/>
    </xf>
    <xf numFmtId="164" fontId="20" fillId="4" borderId="87" xfId="1" applyFont="1" applyFill="1" applyBorder="1" applyAlignment="1">
      <alignment horizontal="left" vertical="center" shrinkToFit="1"/>
    </xf>
    <xf numFmtId="0" fontId="21" fillId="0" borderId="88" xfId="0" applyFont="1" applyBorder="1" applyAlignment="1">
      <alignment horizontal="left" vertical="center"/>
    </xf>
    <xf numFmtId="0" fontId="7" fillId="0" borderId="62" xfId="0" quotePrefix="1" applyFont="1" applyBorder="1" applyAlignment="1">
      <alignment horizontal="left" vertical="center"/>
    </xf>
    <xf numFmtId="0" fontId="7" fillId="0" borderId="62" xfId="0" applyFont="1" applyBorder="1" applyAlignment="1">
      <alignment horizontal="center" vertical="center"/>
    </xf>
    <xf numFmtId="0" fontId="7" fillId="0" borderId="62" xfId="0" applyFont="1" applyBorder="1">
      <alignment vertical="center"/>
    </xf>
    <xf numFmtId="0" fontId="5" fillId="0" borderId="62" xfId="0" applyFont="1" applyBorder="1">
      <alignment vertical="center"/>
    </xf>
    <xf numFmtId="9" fontId="5" fillId="0" borderId="62" xfId="0" applyNumberFormat="1" applyFont="1" applyBorder="1">
      <alignment vertical="center"/>
    </xf>
    <xf numFmtId="0" fontId="5" fillId="0" borderId="89" xfId="0" applyFont="1" applyBorder="1">
      <alignment vertical="center"/>
    </xf>
    <xf numFmtId="0" fontId="21" fillId="0" borderId="55" xfId="0" applyFont="1" applyBorder="1" applyAlignment="1">
      <alignment horizontal="left" vertical="center"/>
    </xf>
    <xf numFmtId="0" fontId="7" fillId="0" borderId="56" xfId="0" quotePrefix="1" applyFont="1" applyBorder="1" applyAlignment="1">
      <alignment horizontal="left" vertical="center"/>
    </xf>
    <xf numFmtId="0" fontId="7" fillId="0" borderId="56" xfId="0" applyFont="1" applyBorder="1" applyAlignment="1">
      <alignment horizontal="center" vertical="center"/>
    </xf>
    <xf numFmtId="0" fontId="7" fillId="0" borderId="56" xfId="0" applyFont="1" applyBorder="1">
      <alignment vertical="center"/>
    </xf>
    <xf numFmtId="0" fontId="5" fillId="0" borderId="56" xfId="0" applyFont="1" applyBorder="1">
      <alignment vertical="center"/>
    </xf>
    <xf numFmtId="9" fontId="5" fillId="0" borderId="56" xfId="0" applyNumberFormat="1" applyFont="1" applyBorder="1">
      <alignment vertical="center"/>
    </xf>
    <xf numFmtId="0" fontId="5" fillId="0" borderId="90" xfId="0" applyFont="1" applyBorder="1">
      <alignment vertical="center"/>
    </xf>
    <xf numFmtId="0" fontId="21" fillId="0" borderId="91" xfId="0" applyFont="1" applyBorder="1" applyAlignment="1">
      <alignment horizontal="left" vertical="center"/>
    </xf>
    <xf numFmtId="0" fontId="22" fillId="0" borderId="92" xfId="0" applyFont="1" applyBorder="1" applyAlignment="1">
      <alignment horizontal="left" vertical="center"/>
    </xf>
    <xf numFmtId="0" fontId="22" fillId="0" borderId="92" xfId="0" applyFont="1" applyBorder="1" applyAlignment="1">
      <alignment horizontal="center" vertical="center"/>
    </xf>
    <xf numFmtId="0" fontId="22" fillId="0" borderId="92" xfId="0" applyFont="1" applyBorder="1">
      <alignment vertical="center"/>
    </xf>
    <xf numFmtId="0" fontId="5" fillId="0" borderId="92" xfId="0" applyFont="1" applyBorder="1">
      <alignment vertical="center"/>
    </xf>
    <xf numFmtId="9" fontId="5" fillId="0" borderId="92" xfId="0" applyNumberFormat="1" applyFont="1" applyBorder="1">
      <alignment vertical="center"/>
    </xf>
    <xf numFmtId="0" fontId="5" fillId="0" borderId="93" xfId="0" applyFont="1" applyBorder="1">
      <alignment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170" fontId="6" fillId="0" borderId="0" xfId="0" applyNumberFormat="1" applyFont="1">
      <alignment vertical="center"/>
    </xf>
    <xf numFmtId="9" fontId="7" fillId="0" borderId="0" xfId="0" applyNumberFormat="1" applyFont="1">
      <alignment vertical="center"/>
    </xf>
    <xf numFmtId="0" fontId="25" fillId="0" borderId="1" xfId="0" applyFont="1" applyBorder="1">
      <alignment vertical="center"/>
    </xf>
    <xf numFmtId="0" fontId="24" fillId="0" borderId="1" xfId="0" applyFont="1" applyBorder="1">
      <alignment vertical="center"/>
    </xf>
    <xf numFmtId="0" fontId="24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/>
    </xf>
    <xf numFmtId="9" fontId="24" fillId="0" borderId="1" xfId="0" applyNumberFormat="1" applyFont="1" applyBorder="1">
      <alignment vertical="center"/>
    </xf>
    <xf numFmtId="0" fontId="24" fillId="0" borderId="0" xfId="0" applyFont="1" applyAlignment="1">
      <alignment horizontal="right" wrapText="1"/>
    </xf>
    <xf numFmtId="0" fontId="26" fillId="0" borderId="0" xfId="0" applyFont="1">
      <alignment vertical="center"/>
    </xf>
    <xf numFmtId="0" fontId="1" fillId="0" borderId="0" xfId="0" applyFont="1">
      <alignment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9" fontId="24" fillId="0" borderId="0" xfId="0" applyNumberFormat="1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2" borderId="2" xfId="0" applyFont="1" applyFill="1" applyBorder="1" applyAlignment="1">
      <alignment horizontal="center" vertical="center"/>
    </xf>
    <xf numFmtId="164" fontId="24" fillId="0" borderId="0" xfId="1" applyFont="1" applyFill="1" applyBorder="1" applyAlignment="1">
      <alignment horizontal="center" vertical="center"/>
    </xf>
    <xf numFmtId="164" fontId="27" fillId="3" borderId="16" xfId="1" applyFont="1" applyFill="1" applyBorder="1" applyAlignment="1">
      <alignment horizontal="center" vertical="center"/>
    </xf>
    <xf numFmtId="40" fontId="27" fillId="3" borderId="17" xfId="1" applyNumberFormat="1" applyFont="1" applyFill="1" applyBorder="1" applyAlignment="1">
      <alignment horizontal="center" vertical="center"/>
    </xf>
    <xf numFmtId="40" fontId="27" fillId="3" borderId="18" xfId="1" applyNumberFormat="1" applyFont="1" applyFill="1" applyBorder="1" applyAlignment="1">
      <alignment horizontal="center" vertical="center" wrapText="1"/>
    </xf>
    <xf numFmtId="9" fontId="27" fillId="3" borderId="19" xfId="1" applyNumberFormat="1" applyFont="1" applyFill="1" applyBorder="1" applyAlignment="1">
      <alignment horizontal="center" vertical="center"/>
    </xf>
    <xf numFmtId="9" fontId="27" fillId="3" borderId="19" xfId="1" applyNumberFormat="1" applyFont="1" applyFill="1" applyBorder="1" applyAlignment="1">
      <alignment horizontal="center" vertical="center" wrapText="1"/>
    </xf>
    <xf numFmtId="0" fontId="28" fillId="0" borderId="0" xfId="0" applyFont="1">
      <alignment vertical="center"/>
    </xf>
    <xf numFmtId="0" fontId="26" fillId="2" borderId="24" xfId="0" quotePrefix="1" applyFont="1" applyFill="1" applyBorder="1" applyAlignment="1">
      <alignment horizontal="center" vertical="center"/>
    </xf>
    <xf numFmtId="3" fontId="29" fillId="0" borderId="23" xfId="0" quotePrefix="1" applyNumberFormat="1" applyFont="1" applyBorder="1" applyAlignment="1">
      <alignment horizontal="center" vertical="center" wrapText="1"/>
    </xf>
    <xf numFmtId="3" fontId="30" fillId="0" borderId="0" xfId="0" applyNumberFormat="1" applyFont="1" applyAlignment="1">
      <alignment horizontal="left" vertical="center" wrapText="1"/>
    </xf>
    <xf numFmtId="3" fontId="29" fillId="0" borderId="26" xfId="0" quotePrefix="1" applyNumberFormat="1" applyFont="1" applyBorder="1" applyAlignment="1">
      <alignment horizontal="center" vertical="center" wrapText="1"/>
    </xf>
    <xf numFmtId="3" fontId="35" fillId="0" borderId="0" xfId="0" applyNumberFormat="1" applyFont="1" applyAlignment="1">
      <alignment horizontal="left" vertical="center" wrapText="1"/>
    </xf>
    <xf numFmtId="0" fontId="33" fillId="0" borderId="27" xfId="0" quotePrefix="1" applyFont="1" applyBorder="1" applyAlignment="1">
      <alignment horizontal="center" vertical="center"/>
    </xf>
    <xf numFmtId="0" fontId="36" fillId="0" borderId="35" xfId="0" applyFont="1" applyBorder="1" applyAlignment="1">
      <alignment vertical="center" wrapText="1"/>
    </xf>
    <xf numFmtId="167" fontId="31" fillId="0" borderId="39" xfId="3" applyNumberFormat="1" applyFont="1" applyBorder="1" applyAlignment="1">
      <alignment horizontal="right" vertical="center"/>
    </xf>
    <xf numFmtId="167" fontId="31" fillId="0" borderId="40" xfId="3" applyNumberFormat="1" applyFont="1" applyBorder="1" applyAlignment="1">
      <alignment horizontal="right" vertical="center"/>
    </xf>
    <xf numFmtId="9" fontId="32" fillId="0" borderId="41" xfId="2" applyFont="1" applyFill="1" applyBorder="1" applyAlignment="1">
      <alignment horizontal="center" vertical="center"/>
    </xf>
    <xf numFmtId="167" fontId="31" fillId="0" borderId="42" xfId="3" applyNumberFormat="1" applyFont="1" applyBorder="1" applyAlignment="1">
      <alignment horizontal="right" vertical="center"/>
    </xf>
    <xf numFmtId="9" fontId="32" fillId="0" borderId="33" xfId="2" applyFont="1" applyFill="1" applyBorder="1" applyAlignment="1">
      <alignment horizontal="center" vertical="center"/>
    </xf>
    <xf numFmtId="9" fontId="32" fillId="0" borderId="43" xfId="2" applyFont="1" applyFill="1" applyBorder="1" applyAlignment="1">
      <alignment vertical="center"/>
    </xf>
    <xf numFmtId="3" fontId="37" fillId="0" borderId="44" xfId="0" quotePrefix="1" applyNumberFormat="1" applyFont="1" applyBorder="1" applyAlignment="1">
      <alignment vertical="center" wrapText="1"/>
    </xf>
    <xf numFmtId="0" fontId="32" fillId="0" borderId="45" xfId="0" quotePrefix="1" applyFont="1" applyBorder="1" applyAlignment="1">
      <alignment horizontal="center" vertical="center"/>
    </xf>
    <xf numFmtId="166" fontId="39" fillId="0" borderId="49" xfId="3" applyNumberFormat="1" applyFont="1" applyBorder="1">
      <alignment vertical="center"/>
    </xf>
    <xf numFmtId="167" fontId="39" fillId="0" borderId="50" xfId="3" applyNumberFormat="1" applyFont="1" applyBorder="1">
      <alignment vertical="center"/>
    </xf>
    <xf numFmtId="167" fontId="39" fillId="0" borderId="51" xfId="3" applyNumberFormat="1" applyFont="1" applyBorder="1">
      <alignment vertical="center"/>
    </xf>
    <xf numFmtId="9" fontId="39" fillId="0" borderId="52" xfId="2" applyFont="1" applyFill="1" applyBorder="1" applyAlignment="1">
      <alignment vertical="center"/>
    </xf>
    <xf numFmtId="166" fontId="39" fillId="0" borderId="53" xfId="3" applyNumberFormat="1" applyFont="1" applyBorder="1">
      <alignment vertical="center"/>
    </xf>
    <xf numFmtId="9" fontId="39" fillId="0" borderId="48" xfId="2" applyFont="1" applyFill="1" applyBorder="1" applyAlignment="1">
      <alignment vertical="center"/>
    </xf>
    <xf numFmtId="3" fontId="37" fillId="0" borderId="54" xfId="0" quotePrefix="1" applyNumberFormat="1" applyFont="1" applyBorder="1" applyAlignment="1">
      <alignment vertical="center" wrapText="1"/>
    </xf>
    <xf numFmtId="166" fontId="36" fillId="0" borderId="58" xfId="1" applyNumberFormat="1" applyFont="1" applyFill="1" applyBorder="1" applyAlignment="1">
      <alignment horizontal="right" vertical="center"/>
    </xf>
    <xf numFmtId="40" fontId="36" fillId="0" borderId="59" xfId="1" applyNumberFormat="1" applyFont="1" applyFill="1" applyBorder="1" applyAlignment="1">
      <alignment horizontal="right" vertical="center"/>
    </xf>
    <xf numFmtId="40" fontId="36" fillId="0" borderId="60" xfId="1" applyNumberFormat="1" applyFont="1" applyFill="1" applyBorder="1" applyAlignment="1">
      <alignment horizontal="right" vertical="center"/>
    </xf>
    <xf numFmtId="9" fontId="36" fillId="0" borderId="57" xfId="2" applyFont="1" applyFill="1" applyBorder="1" applyAlignment="1">
      <alignment horizontal="center" vertical="center"/>
    </xf>
    <xf numFmtId="40" fontId="36" fillId="0" borderId="58" xfId="1" applyNumberFormat="1" applyFont="1" applyFill="1" applyBorder="1" applyAlignment="1">
      <alignment horizontal="right" vertical="center"/>
    </xf>
    <xf numFmtId="9" fontId="36" fillId="0" borderId="56" xfId="2" applyFont="1" applyFill="1" applyBorder="1" applyAlignment="1">
      <alignment horizontal="center" vertical="center"/>
    </xf>
    <xf numFmtId="165" fontId="36" fillId="0" borderId="61" xfId="1" applyNumberFormat="1" applyFont="1" applyFill="1" applyBorder="1" applyAlignment="1">
      <alignment vertical="center" shrinkToFit="1"/>
    </xf>
    <xf numFmtId="164" fontId="24" fillId="0" borderId="0" xfId="1" applyFont="1" applyFill="1" applyBorder="1" applyAlignment="1">
      <alignment vertical="center" shrinkToFit="1"/>
    </xf>
    <xf numFmtId="0" fontId="1" fillId="4" borderId="0" xfId="0" applyFont="1" applyFill="1">
      <alignment vertical="center"/>
    </xf>
    <xf numFmtId="0" fontId="40" fillId="4" borderId="0" xfId="0" quotePrefix="1" applyFont="1" applyFill="1" applyAlignment="1">
      <alignment horizontal="center" vertical="center"/>
    </xf>
    <xf numFmtId="0" fontId="33" fillId="4" borderId="0" xfId="0" quotePrefix="1" applyFont="1" applyFill="1" applyAlignment="1">
      <alignment horizontal="left" vertical="center" wrapText="1"/>
    </xf>
    <xf numFmtId="40" fontId="40" fillId="0" borderId="0" xfId="1" applyNumberFormat="1" applyFont="1" applyFill="1" applyBorder="1" applyAlignment="1">
      <alignment horizontal="center" vertical="center" wrapText="1" shrinkToFit="1"/>
    </xf>
    <xf numFmtId="40" fontId="41" fillId="0" borderId="0" xfId="1" applyNumberFormat="1" applyFont="1" applyFill="1" applyBorder="1" applyAlignment="1">
      <alignment horizontal="center" vertical="center" shrinkToFit="1"/>
    </xf>
    <xf numFmtId="169" fontId="41" fillId="4" borderId="0" xfId="2" applyNumberFormat="1" applyFont="1" applyFill="1" applyBorder="1" applyAlignment="1">
      <alignment vertical="center" shrinkToFit="1"/>
    </xf>
    <xf numFmtId="164" fontId="40" fillId="4" borderId="0" xfId="1" applyFont="1" applyFill="1" applyBorder="1" applyAlignment="1">
      <alignment horizontal="left" vertical="center" shrinkToFit="1"/>
    </xf>
    <xf numFmtId="164" fontId="1" fillId="0" borderId="0" xfId="1" applyFont="1" applyFill="1" applyBorder="1" applyAlignment="1">
      <alignment horizontal="left" vertical="center" shrinkToFit="1"/>
    </xf>
    <xf numFmtId="0" fontId="26" fillId="4" borderId="0" xfId="0" applyFont="1" applyFill="1">
      <alignment vertical="center"/>
    </xf>
    <xf numFmtId="0" fontId="24" fillId="2" borderId="69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8" fillId="2" borderId="70" xfId="0" quotePrefix="1" applyFont="1" applyFill="1" applyBorder="1" applyAlignment="1">
      <alignment horizontal="center" vertical="center"/>
    </xf>
    <xf numFmtId="164" fontId="26" fillId="4" borderId="77" xfId="1" applyFont="1" applyFill="1" applyBorder="1" applyAlignment="1">
      <alignment horizontal="left" vertical="center" wrapText="1" shrinkToFit="1"/>
    </xf>
    <xf numFmtId="164" fontId="24" fillId="0" borderId="0" xfId="1" applyFont="1" applyFill="1" applyBorder="1" applyAlignment="1">
      <alignment horizontal="left" vertical="center" shrinkToFit="1"/>
    </xf>
    <xf numFmtId="0" fontId="28" fillId="2" borderId="78" xfId="0" quotePrefix="1" applyFont="1" applyFill="1" applyBorder="1" applyAlignment="1">
      <alignment horizontal="center" vertical="center"/>
    </xf>
    <xf numFmtId="164" fontId="26" fillId="4" borderId="85" xfId="1" applyFont="1" applyFill="1" applyBorder="1" applyAlignment="1">
      <alignment horizontal="left" vertical="center" wrapText="1" shrinkToFit="1"/>
    </xf>
    <xf numFmtId="0" fontId="28" fillId="2" borderId="45" xfId="0" quotePrefix="1" applyFont="1" applyFill="1" applyBorder="1" applyAlignment="1">
      <alignment horizontal="center" vertical="center"/>
    </xf>
    <xf numFmtId="164" fontId="28" fillId="4" borderId="87" xfId="1" applyFont="1" applyFill="1" applyBorder="1" applyAlignment="1">
      <alignment horizontal="left" vertical="center" shrinkToFit="1"/>
    </xf>
    <xf numFmtId="0" fontId="42" fillId="0" borderId="88" xfId="0" applyFont="1" applyBorder="1" applyAlignment="1">
      <alignment horizontal="left" vertical="center"/>
    </xf>
    <xf numFmtId="0" fontId="1" fillId="0" borderId="62" xfId="0" quotePrefix="1" applyFont="1" applyBorder="1" applyAlignment="1">
      <alignment horizontal="left" vertical="center"/>
    </xf>
    <xf numFmtId="0" fontId="1" fillId="0" borderId="62" xfId="0" applyFont="1" applyBorder="1" applyAlignment="1">
      <alignment horizontal="center" vertical="center"/>
    </xf>
    <xf numFmtId="0" fontId="1" fillId="0" borderId="62" xfId="0" applyFont="1" applyBorder="1">
      <alignment vertical="center"/>
    </xf>
    <xf numFmtId="0" fontId="24" fillId="0" borderId="62" xfId="0" applyFont="1" applyBorder="1">
      <alignment vertical="center"/>
    </xf>
    <xf numFmtId="9" fontId="24" fillId="0" borderId="62" xfId="0" applyNumberFormat="1" applyFont="1" applyBorder="1">
      <alignment vertical="center"/>
    </xf>
    <xf numFmtId="0" fontId="24" fillId="0" borderId="89" xfId="0" applyFont="1" applyBorder="1">
      <alignment vertical="center"/>
    </xf>
    <xf numFmtId="0" fontId="42" fillId="0" borderId="55" xfId="0" applyFont="1" applyBorder="1" applyAlignment="1">
      <alignment horizontal="left" vertical="center"/>
    </xf>
    <xf numFmtId="0" fontId="1" fillId="0" borderId="56" xfId="0" quotePrefix="1" applyFont="1" applyBorder="1" applyAlignment="1">
      <alignment horizontal="left" vertical="center"/>
    </xf>
    <xf numFmtId="0" fontId="1" fillId="0" borderId="56" xfId="0" applyFont="1" applyBorder="1" applyAlignment="1">
      <alignment horizontal="center" vertical="center"/>
    </xf>
    <xf numFmtId="0" fontId="1" fillId="0" borderId="56" xfId="0" applyFont="1" applyBorder="1">
      <alignment vertical="center"/>
    </xf>
    <xf numFmtId="0" fontId="24" fillId="0" borderId="56" xfId="0" applyFont="1" applyBorder="1">
      <alignment vertical="center"/>
    </xf>
    <xf numFmtId="9" fontId="24" fillId="0" borderId="56" xfId="0" applyNumberFormat="1" applyFont="1" applyBorder="1">
      <alignment vertical="center"/>
    </xf>
    <xf numFmtId="0" fontId="24" fillId="0" borderId="90" xfId="0" applyFont="1" applyBorder="1">
      <alignment vertical="center"/>
    </xf>
    <xf numFmtId="0" fontId="42" fillId="0" borderId="91" xfId="0" applyFont="1" applyBorder="1" applyAlignment="1">
      <alignment horizontal="left" vertical="center"/>
    </xf>
    <xf numFmtId="0" fontId="43" fillId="0" borderId="92" xfId="0" applyFont="1" applyBorder="1" applyAlignment="1">
      <alignment horizontal="left" vertical="center"/>
    </xf>
    <xf numFmtId="0" fontId="43" fillId="0" borderId="92" xfId="0" applyFont="1" applyBorder="1" applyAlignment="1">
      <alignment horizontal="center" vertical="center"/>
    </xf>
    <xf numFmtId="0" fontId="43" fillId="0" borderId="92" xfId="0" applyFont="1" applyBorder="1">
      <alignment vertical="center"/>
    </xf>
    <xf numFmtId="0" fontId="24" fillId="0" borderId="92" xfId="0" applyFont="1" applyBorder="1">
      <alignment vertical="center"/>
    </xf>
    <xf numFmtId="9" fontId="24" fillId="0" borderId="92" xfId="0" applyNumberFormat="1" applyFont="1" applyBorder="1">
      <alignment vertical="center"/>
    </xf>
    <xf numFmtId="0" fontId="24" fillId="0" borderId="93" xfId="0" applyFont="1" applyBorder="1">
      <alignment vertical="center"/>
    </xf>
    <xf numFmtId="0" fontId="43" fillId="0" borderId="0" xfId="0" applyFont="1">
      <alignment vertical="center"/>
    </xf>
    <xf numFmtId="0" fontId="43" fillId="0" borderId="0" xfId="0" applyFont="1" applyAlignment="1">
      <alignment horizontal="left" vertical="center"/>
    </xf>
    <xf numFmtId="0" fontId="43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170" fontId="26" fillId="0" borderId="0" xfId="0" applyNumberFormat="1" applyFont="1">
      <alignment vertical="center"/>
    </xf>
    <xf numFmtId="9" fontId="1" fillId="0" borderId="0" xfId="0" applyNumberFormat="1" applyFont="1">
      <alignment vertical="center"/>
    </xf>
    <xf numFmtId="171" fontId="24" fillId="0" borderId="1" xfId="0" applyNumberFormat="1" applyFont="1" applyBorder="1" applyAlignment="1">
      <alignment horizontal="right" wrapText="1"/>
    </xf>
    <xf numFmtId="0" fontId="1" fillId="0" borderId="25" xfId="0" applyFont="1" applyBorder="1" applyAlignment="1">
      <alignment horizontal="center" vertical="center"/>
    </xf>
    <xf numFmtId="168" fontId="31" fillId="0" borderId="39" xfId="3" applyNumberFormat="1" applyFont="1" applyBorder="1" applyAlignment="1">
      <alignment horizontal="right" vertical="center"/>
    </xf>
    <xf numFmtId="168" fontId="39" fillId="0" borderId="50" xfId="3" applyNumberFormat="1" applyFont="1" applyBorder="1">
      <alignment vertical="center"/>
    </xf>
    <xf numFmtId="167" fontId="31" fillId="0" borderId="98" xfId="3" applyNumberFormat="1" applyFont="1" applyBorder="1" applyAlignment="1">
      <alignment horizontal="right" vertical="center"/>
    </xf>
    <xf numFmtId="9" fontId="36" fillId="0" borderId="58" xfId="2" applyFont="1" applyFill="1" applyBorder="1" applyAlignment="1">
      <alignment horizontal="right" vertical="center"/>
    </xf>
    <xf numFmtId="0" fontId="28" fillId="0" borderId="22" xfId="0" applyFont="1" applyBorder="1" applyAlignment="1">
      <alignment horizontal="left" vertical="center" wrapText="1"/>
    </xf>
    <xf numFmtId="0" fontId="42" fillId="0" borderId="25" xfId="4" applyFont="1" applyBorder="1" applyAlignment="1">
      <alignment vertical="center" wrapText="1"/>
    </xf>
    <xf numFmtId="0" fontId="42" fillId="0" borderId="25" xfId="4" applyFont="1" applyBorder="1">
      <alignment vertical="center"/>
    </xf>
    <xf numFmtId="167" fontId="42" fillId="0" borderId="22" xfId="3" applyNumberFormat="1" applyFont="1" applyBorder="1" applyAlignment="1">
      <alignment horizontal="center" vertical="center" wrapText="1"/>
    </xf>
    <xf numFmtId="9" fontId="42" fillId="0" borderId="22" xfId="2" applyFont="1" applyFill="1" applyBorder="1" applyAlignment="1">
      <alignment vertical="center"/>
    </xf>
    <xf numFmtId="9" fontId="42" fillId="0" borderId="25" xfId="2" applyFont="1" applyFill="1" applyBorder="1" applyAlignment="1">
      <alignment vertical="center"/>
    </xf>
    <xf numFmtId="167" fontId="42" fillId="0" borderId="25" xfId="3" applyNumberFormat="1" applyFont="1" applyBorder="1" applyAlignment="1">
      <alignment horizontal="center" vertical="center" wrapText="1"/>
    </xf>
    <xf numFmtId="40" fontId="42" fillId="0" borderId="25" xfId="3" applyNumberFormat="1" applyFont="1" applyBorder="1">
      <alignment vertical="center"/>
    </xf>
    <xf numFmtId="40" fontId="42" fillId="0" borderId="22" xfId="3" applyNumberFormat="1" applyFont="1" applyBorder="1">
      <alignment vertical="center"/>
    </xf>
    <xf numFmtId="14" fontId="5" fillId="0" borderId="1" xfId="0" applyNumberFormat="1" applyFont="1" applyBorder="1" applyAlignment="1">
      <alignment horizontal="left" wrapText="1"/>
    </xf>
    <xf numFmtId="169" fontId="21" fillId="4" borderId="84" xfId="2" applyNumberFormat="1" applyFont="1" applyFill="1" applyBorder="1" applyAlignment="1">
      <alignment horizontal="center" vertical="center" shrinkToFit="1"/>
    </xf>
    <xf numFmtId="169" fontId="21" fillId="4" borderId="80" xfId="2" applyNumberFormat="1" applyFont="1" applyFill="1" applyBorder="1" applyAlignment="1">
      <alignment horizontal="center" vertical="center" shrinkToFit="1"/>
    </xf>
    <xf numFmtId="0" fontId="20" fillId="4" borderId="46" xfId="0" quotePrefix="1" applyFont="1" applyFill="1" applyBorder="1" applyAlignment="1">
      <alignment horizontal="left" vertical="center" wrapText="1"/>
    </xf>
    <xf numFmtId="0" fontId="20" fillId="4" borderId="48" xfId="0" quotePrefix="1" applyFont="1" applyFill="1" applyBorder="1" applyAlignment="1">
      <alignment horizontal="left" vertical="center" wrapText="1"/>
    </xf>
    <xf numFmtId="40" fontId="21" fillId="0" borderId="46" xfId="1" applyNumberFormat="1" applyFont="1" applyFill="1" applyBorder="1" applyAlignment="1">
      <alignment horizontal="center" vertical="center" shrinkToFit="1"/>
    </xf>
    <xf numFmtId="40" fontId="21" fillId="0" borderId="49" xfId="1" applyNumberFormat="1" applyFont="1" applyFill="1" applyBorder="1" applyAlignment="1">
      <alignment horizontal="center" vertical="center" shrinkToFit="1"/>
    </xf>
    <xf numFmtId="169" fontId="21" fillId="0" borderId="51" xfId="1" applyNumberFormat="1" applyFont="1" applyFill="1" applyBorder="1" applyAlignment="1">
      <alignment horizontal="center" vertical="center" shrinkToFit="1"/>
    </xf>
    <xf numFmtId="169" fontId="21" fillId="0" borderId="48" xfId="1" applyNumberFormat="1" applyFont="1" applyFill="1" applyBorder="1" applyAlignment="1">
      <alignment horizontal="center" vertical="center" shrinkToFit="1"/>
    </xf>
    <xf numFmtId="0" fontId="20" fillId="4" borderId="79" xfId="0" quotePrefix="1" applyFont="1" applyFill="1" applyBorder="1" applyAlignment="1">
      <alignment horizontal="left" vertical="center" wrapText="1"/>
    </xf>
    <xf numFmtId="0" fontId="20" fillId="4" borderId="80" xfId="0" quotePrefix="1" applyFont="1" applyFill="1" applyBorder="1" applyAlignment="1">
      <alignment horizontal="left" vertical="center" wrapText="1"/>
    </xf>
    <xf numFmtId="40" fontId="21" fillId="0" borderId="79" xfId="1" applyNumberFormat="1" applyFont="1" applyFill="1" applyBorder="1" applyAlignment="1">
      <alignment horizontal="center" vertical="center" shrinkToFit="1"/>
    </xf>
    <xf numFmtId="40" fontId="21" fillId="0" borderId="83" xfId="1" applyNumberFormat="1" applyFont="1" applyFill="1" applyBorder="1" applyAlignment="1">
      <alignment horizontal="center" vertical="center" shrinkToFit="1"/>
    </xf>
    <xf numFmtId="0" fontId="5" fillId="2" borderId="65" xfId="0" applyFont="1" applyFill="1" applyBorder="1" applyAlignment="1">
      <alignment horizontal="center" vertical="center" shrinkToFit="1"/>
    </xf>
    <xf numFmtId="0" fontId="5" fillId="2" borderId="66" xfId="0" applyFont="1" applyFill="1" applyBorder="1" applyAlignment="1">
      <alignment horizontal="center" vertical="center" shrinkToFit="1"/>
    </xf>
    <xf numFmtId="0" fontId="5" fillId="2" borderId="67" xfId="0" applyFont="1" applyFill="1" applyBorder="1" applyAlignment="1">
      <alignment horizontal="center" vertical="center" shrinkToFit="1"/>
    </xf>
    <xf numFmtId="0" fontId="5" fillId="2" borderId="68" xfId="0" applyFont="1" applyFill="1" applyBorder="1" applyAlignment="1">
      <alignment horizontal="center" vertical="center" shrinkToFit="1"/>
    </xf>
    <xf numFmtId="0" fontId="20" fillId="4" borderId="71" xfId="0" quotePrefix="1" applyFont="1" applyFill="1" applyBorder="1" applyAlignment="1">
      <alignment horizontal="left" vertical="center" wrapText="1"/>
    </xf>
    <xf numFmtId="0" fontId="20" fillId="4" borderId="72" xfId="0" quotePrefix="1" applyFont="1" applyFill="1" applyBorder="1" applyAlignment="1">
      <alignment horizontal="left" vertical="center" wrapText="1"/>
    </xf>
    <xf numFmtId="168" fontId="20" fillId="0" borderId="73" xfId="1" applyNumberFormat="1" applyFont="1" applyFill="1" applyBorder="1" applyAlignment="1">
      <alignment horizontal="center" vertical="center" shrinkToFit="1"/>
    </xf>
    <xf numFmtId="168" fontId="20" fillId="0" borderId="74" xfId="1" applyNumberFormat="1" applyFont="1" applyFill="1" applyBorder="1" applyAlignment="1">
      <alignment horizontal="center" vertical="center" shrinkToFit="1"/>
    </xf>
    <xf numFmtId="168" fontId="20" fillId="0" borderId="81" xfId="1" applyNumberFormat="1" applyFont="1" applyFill="1" applyBorder="1" applyAlignment="1">
      <alignment horizontal="center" vertical="center" shrinkToFit="1"/>
    </xf>
    <xf numFmtId="168" fontId="20" fillId="0" borderId="82" xfId="1" applyNumberFormat="1" applyFont="1" applyFill="1" applyBorder="1" applyAlignment="1">
      <alignment horizontal="center" vertical="center" shrinkToFit="1"/>
    </xf>
    <xf numFmtId="168" fontId="20" fillId="0" borderId="86" xfId="1" applyNumberFormat="1" applyFont="1" applyFill="1" applyBorder="1" applyAlignment="1">
      <alignment horizontal="center" vertical="center" shrinkToFit="1"/>
    </xf>
    <xf numFmtId="168" fontId="20" fillId="0" borderId="57" xfId="1" applyNumberFormat="1" applyFont="1" applyFill="1" applyBorder="1" applyAlignment="1">
      <alignment horizontal="center" vertical="center" shrinkToFit="1"/>
    </xf>
    <xf numFmtId="40" fontId="21" fillId="0" borderId="71" xfId="1" applyNumberFormat="1" applyFont="1" applyFill="1" applyBorder="1" applyAlignment="1">
      <alignment horizontal="center" vertical="center" shrinkToFit="1"/>
    </xf>
    <xf numFmtId="40" fontId="21" fillId="0" borderId="75" xfId="1" applyNumberFormat="1" applyFont="1" applyFill="1" applyBorder="1" applyAlignment="1">
      <alignment horizontal="center" vertical="center" shrinkToFit="1"/>
    </xf>
    <xf numFmtId="169" fontId="21" fillId="4" borderId="76" xfId="2" applyNumberFormat="1" applyFont="1" applyFill="1" applyBorder="1" applyAlignment="1">
      <alignment horizontal="center" vertical="center" shrinkToFit="1"/>
    </xf>
    <xf numFmtId="169" fontId="21" fillId="4" borderId="72" xfId="2" applyNumberFormat="1" applyFont="1" applyFill="1" applyBorder="1" applyAlignment="1">
      <alignment horizontal="center" vertical="center" shrinkToFit="1"/>
    </xf>
    <xf numFmtId="0" fontId="14" fillId="2" borderId="55" xfId="0" applyFont="1" applyFill="1" applyBorder="1" applyAlignment="1">
      <alignment horizontal="center" vertical="center"/>
    </xf>
    <xf numFmtId="0" fontId="14" fillId="2" borderId="56" xfId="0" applyFont="1" applyFill="1" applyBorder="1" applyAlignment="1">
      <alignment horizontal="center" vertical="center"/>
    </xf>
    <xf numFmtId="0" fontId="14" fillId="2" borderId="57" xfId="0" applyFont="1" applyFill="1" applyBorder="1" applyAlignment="1">
      <alignment horizontal="center" vertical="center"/>
    </xf>
    <xf numFmtId="0" fontId="5" fillId="2" borderId="63" xfId="0" applyFont="1" applyFill="1" applyBorder="1" applyAlignment="1">
      <alignment horizontal="center" vertical="center"/>
    </xf>
    <xf numFmtId="0" fontId="5" fillId="2" borderId="64" xfId="0" applyFont="1" applyFill="1" applyBorder="1" applyAlignment="1">
      <alignment horizontal="center" vertical="center"/>
    </xf>
    <xf numFmtId="0" fontId="5" fillId="2" borderId="65" xfId="0" applyFont="1" applyFill="1" applyBorder="1" applyAlignment="1">
      <alignment horizontal="center" vertical="center"/>
    </xf>
    <xf numFmtId="0" fontId="5" fillId="2" borderId="68" xfId="0" applyFont="1" applyFill="1" applyBorder="1" applyAlignment="1">
      <alignment horizontal="center" vertical="center"/>
    </xf>
    <xf numFmtId="0" fontId="16" fillId="0" borderId="46" xfId="0" applyFont="1" applyBorder="1" applyAlignment="1">
      <alignment horizontal="right" vertical="center"/>
    </xf>
    <xf numFmtId="0" fontId="16" fillId="0" borderId="47" xfId="0" applyFont="1" applyBorder="1" applyAlignment="1">
      <alignment horizontal="right" vertical="center"/>
    </xf>
    <xf numFmtId="0" fontId="16" fillId="0" borderId="48" xfId="0" applyFont="1" applyBorder="1" applyAlignment="1">
      <alignment horizontal="right" vertical="center"/>
    </xf>
    <xf numFmtId="164" fontId="5" fillId="2" borderId="7" xfId="1" applyFont="1" applyFill="1" applyBorder="1" applyAlignment="1">
      <alignment horizontal="center" vertical="center"/>
    </xf>
    <xf numFmtId="164" fontId="5" fillId="2" borderId="8" xfId="1" applyFont="1" applyFill="1" applyBorder="1" applyAlignment="1">
      <alignment horizontal="center" vertical="center"/>
    </xf>
    <xf numFmtId="164" fontId="5" fillId="2" borderId="9" xfId="1" applyFont="1" applyFill="1" applyBorder="1" applyAlignment="1">
      <alignment horizontal="center" vertical="center"/>
    </xf>
    <xf numFmtId="164" fontId="5" fillId="2" borderId="10" xfId="1" applyFont="1" applyFill="1" applyBorder="1" applyAlignment="1">
      <alignment horizontal="center" vertical="center"/>
    </xf>
    <xf numFmtId="164" fontId="5" fillId="2" borderId="20" xfId="1" applyFont="1" applyFill="1" applyBorder="1" applyAlignment="1">
      <alignment horizontal="center" vertical="center"/>
    </xf>
    <xf numFmtId="167" fontId="10" fillId="0" borderId="22" xfId="3" applyNumberFormat="1" applyFont="1" applyBorder="1" applyAlignment="1">
      <alignment horizontal="center" vertical="center" wrapText="1"/>
    </xf>
    <xf numFmtId="167" fontId="10" fillId="0" borderId="25" xfId="3" applyNumberFormat="1" applyFont="1" applyBorder="1" applyAlignment="1">
      <alignment horizontal="center" vertical="center" wrapText="1"/>
    </xf>
    <xf numFmtId="167" fontId="10" fillId="0" borderId="28" xfId="3" applyNumberFormat="1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166" fontId="10" fillId="0" borderId="32" xfId="3" applyNumberFormat="1" applyFont="1" applyBorder="1" applyAlignment="1">
      <alignment horizontal="center" vertical="center"/>
    </xf>
    <xf numFmtId="166" fontId="10" fillId="0" borderId="33" xfId="3" applyNumberFormat="1" applyFont="1" applyBorder="1" applyAlignment="1">
      <alignment horizontal="center" vertical="center"/>
    </xf>
    <xf numFmtId="166" fontId="10" fillId="0" borderId="34" xfId="3" applyNumberFormat="1" applyFont="1" applyBorder="1" applyAlignment="1">
      <alignment horizontal="center" vertical="center"/>
    </xf>
    <xf numFmtId="0" fontId="13" fillId="4" borderId="36" xfId="0" applyFont="1" applyFill="1" applyBorder="1" applyAlignment="1">
      <alignment horizontal="right" vertical="center" wrapText="1"/>
    </xf>
    <xf numFmtId="0" fontId="13" fillId="4" borderId="37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 wrapText="1"/>
    </xf>
    <xf numFmtId="40" fontId="36" fillId="0" borderId="95" xfId="1" applyNumberFormat="1" applyFont="1" applyFill="1" applyBorder="1" applyAlignment="1">
      <alignment horizontal="center" vertical="center"/>
    </xf>
    <xf numFmtId="40" fontId="36" fillId="0" borderId="96" xfId="1" applyNumberFormat="1" applyFont="1" applyFill="1" applyBorder="1" applyAlignment="1">
      <alignment horizontal="center" vertical="center"/>
    </xf>
    <xf numFmtId="2" fontId="33" fillId="4" borderId="79" xfId="0" applyNumberFormat="1" applyFont="1" applyFill="1" applyBorder="1" applyAlignment="1">
      <alignment horizontal="center" vertical="center" wrapText="1"/>
    </xf>
    <xf numFmtId="2" fontId="33" fillId="4" borderId="97" xfId="0" applyNumberFormat="1" applyFont="1" applyFill="1" applyBorder="1" applyAlignment="1">
      <alignment horizontal="center" vertical="center" wrapText="1"/>
    </xf>
    <xf numFmtId="2" fontId="39" fillId="0" borderId="46" xfId="3" applyNumberFormat="1" applyFont="1" applyBorder="1" applyAlignment="1">
      <alignment horizontal="center" vertical="center"/>
    </xf>
    <xf numFmtId="2" fontId="39" fillId="0" borderId="49" xfId="3" applyNumberFormat="1" applyFont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8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36" fillId="2" borderId="55" xfId="0" applyFont="1" applyFill="1" applyBorder="1" applyAlignment="1">
      <alignment horizontal="center" vertical="center"/>
    </xf>
    <xf numFmtId="0" fontId="36" fillId="2" borderId="56" xfId="0" applyFont="1" applyFill="1" applyBorder="1" applyAlignment="1">
      <alignment horizontal="center" vertical="center"/>
    </xf>
    <xf numFmtId="0" fontId="36" fillId="2" borderId="57" xfId="0" applyFont="1" applyFill="1" applyBorder="1" applyAlignment="1">
      <alignment horizontal="center" vertical="center"/>
    </xf>
    <xf numFmtId="0" fontId="38" fillId="0" borderId="46" xfId="0" applyFont="1" applyBorder="1" applyAlignment="1">
      <alignment horizontal="right" vertical="center"/>
    </xf>
    <xf numFmtId="0" fontId="38" fillId="0" borderId="47" xfId="0" applyFont="1" applyBorder="1" applyAlignment="1">
      <alignment horizontal="right" vertical="center"/>
    </xf>
    <xf numFmtId="0" fontId="38" fillId="0" borderId="48" xfId="0" applyFont="1" applyBorder="1" applyAlignment="1">
      <alignment horizontal="right" vertical="center"/>
    </xf>
    <xf numFmtId="169" fontId="42" fillId="0" borderId="51" xfId="1" applyNumberFormat="1" applyFont="1" applyFill="1" applyBorder="1" applyAlignment="1">
      <alignment horizontal="center" vertical="center" shrinkToFit="1"/>
    </xf>
    <xf numFmtId="169" fontId="42" fillId="0" borderId="48" xfId="1" applyNumberFormat="1" applyFont="1" applyFill="1" applyBorder="1" applyAlignment="1">
      <alignment horizontal="center" vertical="center" shrinkToFit="1"/>
    </xf>
    <xf numFmtId="40" fontId="42" fillId="0" borderId="46" xfId="1" applyNumberFormat="1" applyFont="1" applyFill="1" applyBorder="1" applyAlignment="1">
      <alignment horizontal="center" vertical="center" shrinkToFit="1"/>
    </xf>
    <xf numFmtId="40" fontId="42" fillId="0" borderId="49" xfId="1" applyNumberFormat="1" applyFont="1" applyFill="1" applyBorder="1" applyAlignment="1">
      <alignment horizontal="center" vertical="center" shrinkToFit="1"/>
    </xf>
    <xf numFmtId="166" fontId="28" fillId="4" borderId="79" xfId="0" quotePrefix="1" applyNumberFormat="1" applyFont="1" applyFill="1" applyBorder="1" applyAlignment="1">
      <alignment horizontal="left" vertical="center" wrapText="1"/>
    </xf>
    <xf numFmtId="0" fontId="28" fillId="4" borderId="80" xfId="0" quotePrefix="1" applyFont="1" applyFill="1" applyBorder="1" applyAlignment="1">
      <alignment horizontal="left" vertical="center" wrapText="1"/>
    </xf>
    <xf numFmtId="40" fontId="42" fillId="0" borderId="79" xfId="1" applyNumberFormat="1" applyFont="1" applyFill="1" applyBorder="1" applyAlignment="1">
      <alignment horizontal="center" vertical="center" shrinkToFit="1"/>
    </xf>
    <xf numFmtId="40" fontId="42" fillId="0" borderId="83" xfId="1" applyNumberFormat="1" applyFont="1" applyFill="1" applyBorder="1" applyAlignment="1">
      <alignment horizontal="center" vertical="center" shrinkToFit="1"/>
    </xf>
    <xf numFmtId="169" fontId="42" fillId="4" borderId="84" xfId="2" applyNumberFormat="1" applyFont="1" applyFill="1" applyBorder="1" applyAlignment="1">
      <alignment horizontal="center" vertical="center" shrinkToFit="1"/>
    </xf>
    <xf numFmtId="169" fontId="42" fillId="4" borderId="80" xfId="2" applyNumberFormat="1" applyFont="1" applyFill="1" applyBorder="1" applyAlignment="1">
      <alignment horizontal="center" vertical="center" shrinkToFit="1"/>
    </xf>
    <xf numFmtId="166" fontId="28" fillId="4" borderId="46" xfId="0" quotePrefix="1" applyNumberFormat="1" applyFont="1" applyFill="1" applyBorder="1" applyAlignment="1">
      <alignment horizontal="left" vertical="center" wrapText="1"/>
    </xf>
    <xf numFmtId="0" fontId="28" fillId="4" borderId="48" xfId="0" quotePrefix="1" applyFont="1" applyFill="1" applyBorder="1" applyAlignment="1">
      <alignment horizontal="left" vertical="center" wrapText="1"/>
    </xf>
    <xf numFmtId="168" fontId="28" fillId="0" borderId="73" xfId="1" applyNumberFormat="1" applyFont="1" applyFill="1" applyBorder="1" applyAlignment="1">
      <alignment horizontal="center" vertical="center" shrinkToFit="1"/>
    </xf>
    <xf numFmtId="168" fontId="28" fillId="0" borderId="94" xfId="1" applyNumberFormat="1" applyFont="1" applyFill="1" applyBorder="1" applyAlignment="1">
      <alignment horizontal="center" vertical="center" shrinkToFit="1"/>
    </xf>
    <xf numFmtId="168" fontId="28" fillId="0" borderId="74" xfId="1" applyNumberFormat="1" applyFont="1" applyFill="1" applyBorder="1" applyAlignment="1">
      <alignment horizontal="center" vertical="center" shrinkToFit="1"/>
    </xf>
    <xf numFmtId="168" fontId="28" fillId="0" borderId="81" xfId="1" applyNumberFormat="1" applyFont="1" applyFill="1" applyBorder="1" applyAlignment="1">
      <alignment horizontal="center" vertical="center" shrinkToFit="1"/>
    </xf>
    <xf numFmtId="168" fontId="28" fillId="0" borderId="0" xfId="1" applyNumberFormat="1" applyFont="1" applyFill="1" applyBorder="1" applyAlignment="1">
      <alignment horizontal="center" vertical="center" shrinkToFit="1"/>
    </xf>
    <xf numFmtId="168" fontId="28" fillId="0" borderId="82" xfId="1" applyNumberFormat="1" applyFont="1" applyFill="1" applyBorder="1" applyAlignment="1">
      <alignment horizontal="center" vertical="center" shrinkToFit="1"/>
    </xf>
    <xf numFmtId="168" fontId="28" fillId="0" borderId="86" xfId="1" applyNumberFormat="1" applyFont="1" applyFill="1" applyBorder="1" applyAlignment="1">
      <alignment horizontal="center" vertical="center" shrinkToFit="1"/>
    </xf>
    <xf numFmtId="168" fontId="28" fillId="0" borderId="56" xfId="1" applyNumberFormat="1" applyFont="1" applyFill="1" applyBorder="1" applyAlignment="1">
      <alignment horizontal="center" vertical="center" shrinkToFit="1"/>
    </xf>
    <xf numFmtId="168" fontId="28" fillId="0" borderId="57" xfId="1" applyNumberFormat="1" applyFont="1" applyFill="1" applyBorder="1" applyAlignment="1">
      <alignment horizontal="center" vertical="center" shrinkToFit="1"/>
    </xf>
    <xf numFmtId="0" fontId="24" fillId="2" borderId="65" xfId="0" applyFont="1" applyFill="1" applyBorder="1" applyAlignment="1">
      <alignment horizontal="center" vertical="center" shrinkToFit="1"/>
    </xf>
    <xf numFmtId="0" fontId="24" fillId="2" borderId="66" xfId="0" applyFont="1" applyFill="1" applyBorder="1" applyAlignment="1">
      <alignment horizontal="center" vertical="center" shrinkToFit="1"/>
    </xf>
    <xf numFmtId="0" fontId="24" fillId="2" borderId="67" xfId="0" applyFont="1" applyFill="1" applyBorder="1" applyAlignment="1">
      <alignment horizontal="center" vertical="center" shrinkToFit="1"/>
    </xf>
    <xf numFmtId="0" fontId="24" fillId="2" borderId="68" xfId="0" applyFont="1" applyFill="1" applyBorder="1" applyAlignment="1">
      <alignment horizontal="center" vertical="center" shrinkToFit="1"/>
    </xf>
    <xf numFmtId="166" fontId="28" fillId="4" borderId="71" xfId="0" quotePrefix="1" applyNumberFormat="1" applyFont="1" applyFill="1" applyBorder="1" applyAlignment="1">
      <alignment horizontal="left" vertical="center" wrapText="1"/>
    </xf>
    <xf numFmtId="0" fontId="28" fillId="4" borderId="72" xfId="0" quotePrefix="1" applyFont="1" applyFill="1" applyBorder="1" applyAlignment="1">
      <alignment horizontal="left" vertical="center" wrapText="1"/>
    </xf>
    <xf numFmtId="40" fontId="42" fillId="0" borderId="71" xfId="1" applyNumberFormat="1" applyFont="1" applyFill="1" applyBorder="1" applyAlignment="1">
      <alignment horizontal="center" vertical="center" shrinkToFit="1"/>
    </xf>
    <xf numFmtId="40" fontId="42" fillId="0" borderId="75" xfId="1" applyNumberFormat="1" applyFont="1" applyFill="1" applyBorder="1" applyAlignment="1">
      <alignment horizontal="center" vertical="center" shrinkToFit="1"/>
    </xf>
    <xf numFmtId="169" fontId="42" fillId="4" borderId="76" xfId="2" applyNumberFormat="1" applyFont="1" applyFill="1" applyBorder="1" applyAlignment="1">
      <alignment horizontal="center" vertical="center" shrinkToFit="1"/>
    </xf>
    <xf numFmtId="169" fontId="42" fillId="4" borderId="72" xfId="2" applyNumberFormat="1" applyFont="1" applyFill="1" applyBorder="1" applyAlignment="1">
      <alignment horizontal="center" vertical="center" shrinkToFit="1"/>
    </xf>
    <xf numFmtId="0" fontId="24" fillId="2" borderId="65" xfId="0" applyFont="1" applyFill="1" applyBorder="1" applyAlignment="1">
      <alignment horizontal="center" vertical="center"/>
    </xf>
    <xf numFmtId="0" fontId="24" fillId="2" borderId="68" xfId="0" applyFont="1" applyFill="1" applyBorder="1" applyAlignment="1">
      <alignment horizontal="center" vertical="center"/>
    </xf>
    <xf numFmtId="0" fontId="24" fillId="2" borderId="99" xfId="0" applyFont="1" applyFill="1" applyBorder="1" applyAlignment="1">
      <alignment horizontal="center" vertical="center"/>
    </xf>
    <xf numFmtId="164" fontId="24" fillId="2" borderId="10" xfId="1" applyFont="1" applyFill="1" applyBorder="1" applyAlignment="1">
      <alignment horizontal="center" vertical="center"/>
    </xf>
    <xf numFmtId="164" fontId="24" fillId="2" borderId="20" xfId="1" applyFont="1" applyFill="1" applyBorder="1" applyAlignment="1">
      <alignment horizontal="center" vertical="center"/>
    </xf>
    <xf numFmtId="164" fontId="24" fillId="2" borderId="7" xfId="1" applyFont="1" applyFill="1" applyBorder="1" applyAlignment="1">
      <alignment horizontal="center" vertical="center" wrapText="1"/>
    </xf>
    <xf numFmtId="164" fontId="24" fillId="2" borderId="8" xfId="1" applyFont="1" applyFill="1" applyBorder="1" applyAlignment="1">
      <alignment horizontal="center" vertical="center" wrapText="1"/>
    </xf>
    <xf numFmtId="164" fontId="24" fillId="2" borderId="9" xfId="1" applyFont="1" applyFill="1" applyBorder="1" applyAlignment="1">
      <alignment horizontal="center" vertical="center" wrapText="1"/>
    </xf>
    <xf numFmtId="0" fontId="33" fillId="4" borderId="36" xfId="0" applyFont="1" applyFill="1" applyBorder="1" applyAlignment="1">
      <alignment horizontal="right" vertical="center" wrapText="1"/>
    </xf>
    <xf numFmtId="0" fontId="33" fillId="4" borderId="37" xfId="0" applyFont="1" applyFill="1" applyBorder="1" applyAlignment="1">
      <alignment horizontal="right" vertical="center" wrapText="1"/>
    </xf>
    <xf numFmtId="0" fontId="24" fillId="2" borderId="2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 wrapText="1"/>
    </xf>
    <xf numFmtId="0" fontId="24" fillId="2" borderId="13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14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/>
    </xf>
    <xf numFmtId="0" fontId="24" fillId="2" borderId="15" xfId="0" applyFont="1" applyFill="1" applyBorder="1" applyAlignment="1">
      <alignment horizontal="center" vertical="center"/>
    </xf>
    <xf numFmtId="0" fontId="1" fillId="0" borderId="100" xfId="0" applyFont="1" applyBorder="1" applyAlignment="1">
      <alignment horizontal="center" vertical="center"/>
    </xf>
    <xf numFmtId="2" fontId="28" fillId="0" borderId="100" xfId="0" applyNumberFormat="1" applyFont="1" applyBorder="1" applyAlignment="1">
      <alignment horizontal="center" vertical="center"/>
    </xf>
    <xf numFmtId="9" fontId="28" fillId="0" borderId="100" xfId="0" applyNumberFormat="1" applyFont="1" applyBorder="1" applyAlignment="1">
      <alignment horizontal="center" vertical="center"/>
    </xf>
    <xf numFmtId="40" fontId="42" fillId="0" borderId="100" xfId="3" applyNumberFormat="1" applyFont="1" applyBorder="1">
      <alignment vertical="center"/>
    </xf>
    <xf numFmtId="167" fontId="42" fillId="0" borderId="100" xfId="3" applyNumberFormat="1" applyFont="1" applyBorder="1" applyAlignment="1">
      <alignment horizontal="center" vertical="center" wrapText="1"/>
    </xf>
    <xf numFmtId="9" fontId="42" fillId="0" borderId="100" xfId="2" applyFont="1" applyFill="1" applyBorder="1" applyAlignment="1">
      <alignment vertical="center"/>
    </xf>
    <xf numFmtId="0" fontId="33" fillId="0" borderId="30" xfId="0" applyFont="1" applyBorder="1" applyAlignment="1">
      <alignment horizontal="center" vertical="center" wrapText="1"/>
    </xf>
    <xf numFmtId="0" fontId="33" fillId="0" borderId="31" xfId="0" applyFont="1" applyBorder="1" applyAlignment="1">
      <alignment horizontal="center" vertical="center" wrapText="1"/>
    </xf>
    <xf numFmtId="166" fontId="31" fillId="0" borderId="32" xfId="3" quotePrefix="1" applyNumberFormat="1" applyFont="1" applyBorder="1" applyAlignment="1">
      <alignment horizontal="center" vertical="center"/>
    </xf>
    <xf numFmtId="166" fontId="31" fillId="0" borderId="33" xfId="3" quotePrefix="1" applyNumberFormat="1" applyFont="1" applyBorder="1" applyAlignment="1">
      <alignment horizontal="center" vertical="center"/>
    </xf>
    <xf numFmtId="166" fontId="31" fillId="0" borderId="34" xfId="3" quotePrefix="1" applyNumberFormat="1" applyFont="1" applyBorder="1" applyAlignment="1">
      <alignment horizontal="center" vertical="center"/>
    </xf>
    <xf numFmtId="166" fontId="31" fillId="0" borderId="33" xfId="3" applyNumberFormat="1" applyFont="1" applyBorder="1" applyAlignment="1">
      <alignment horizontal="center" vertical="center"/>
    </xf>
    <xf numFmtId="166" fontId="31" fillId="0" borderId="34" xfId="3" applyNumberFormat="1" applyFont="1" applyBorder="1" applyAlignment="1">
      <alignment horizontal="center" vertical="center"/>
    </xf>
    <xf numFmtId="166" fontId="31" fillId="0" borderId="32" xfId="3" quotePrefix="1" applyNumberFormat="1" applyFont="1" applyBorder="1" applyAlignment="1">
      <alignment horizontal="center" vertical="center" wrapText="1"/>
    </xf>
    <xf numFmtId="166" fontId="31" fillId="0" borderId="33" xfId="3" applyNumberFormat="1" applyFont="1" applyBorder="1" applyAlignment="1">
      <alignment horizontal="center" vertical="center" wrapText="1"/>
    </xf>
    <xf numFmtId="166" fontId="31" fillId="0" borderId="34" xfId="3" applyNumberFormat="1" applyFont="1" applyBorder="1" applyAlignment="1">
      <alignment horizontal="center" vertical="center" wrapText="1"/>
    </xf>
    <xf numFmtId="3" fontId="34" fillId="0" borderId="29" xfId="0" quotePrefix="1" applyNumberFormat="1" applyFont="1" applyBorder="1" applyAlignment="1">
      <alignment vertical="center" wrapText="1"/>
    </xf>
    <xf numFmtId="0" fontId="24" fillId="2" borderId="24" xfId="0" applyFont="1" applyFill="1" applyBorder="1" applyAlignment="1">
      <alignment horizontal="center" vertical="center"/>
    </xf>
    <xf numFmtId="0" fontId="33" fillId="0" borderId="101" xfId="0" quotePrefix="1" applyFont="1" applyBorder="1" applyAlignment="1">
      <alignment horizontal="center" vertical="center"/>
    </xf>
    <xf numFmtId="0" fontId="26" fillId="2" borderId="102" xfId="0" quotePrefix="1" applyFont="1" applyFill="1" applyBorder="1" applyAlignment="1">
      <alignment horizontal="center" vertical="center"/>
    </xf>
    <xf numFmtId="0" fontId="26" fillId="2" borderId="103" xfId="0" quotePrefix="1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2" fontId="28" fillId="0" borderId="22" xfId="0" applyNumberFormat="1" applyFont="1" applyBorder="1" applyAlignment="1">
      <alignment horizontal="center" vertical="center"/>
    </xf>
    <xf numFmtId="9" fontId="28" fillId="0" borderId="22" xfId="0" applyNumberFormat="1" applyFont="1" applyBorder="1" applyAlignment="1">
      <alignment horizontal="center" vertical="center"/>
    </xf>
    <xf numFmtId="0" fontId="28" fillId="0" borderId="25" xfId="0" applyFont="1" applyBorder="1" applyAlignment="1">
      <alignment horizontal="left" vertical="center"/>
    </xf>
    <xf numFmtId="2" fontId="28" fillId="0" borderId="25" xfId="0" applyNumberFormat="1" applyFont="1" applyBorder="1" applyAlignment="1">
      <alignment horizontal="center" vertical="center"/>
    </xf>
    <xf numFmtId="9" fontId="28" fillId="0" borderId="25" xfId="0" applyNumberFormat="1" applyFont="1" applyBorder="1" applyAlignment="1">
      <alignment horizontal="center" vertical="center"/>
    </xf>
    <xf numFmtId="0" fontId="28" fillId="0" borderId="100" xfId="0" applyFont="1" applyBorder="1" applyAlignment="1">
      <alignment horizontal="left" vertical="center"/>
    </xf>
    <xf numFmtId="0" fontId="42" fillId="0" borderId="100" xfId="4" applyFont="1" applyBorder="1">
      <alignment vertical="center"/>
    </xf>
    <xf numFmtId="3" fontId="29" fillId="0" borderId="104" xfId="0" quotePrefix="1" applyNumberFormat="1" applyFont="1" applyBorder="1" applyAlignment="1">
      <alignment horizontal="center" vertical="center" wrapText="1"/>
    </xf>
  </cellXfs>
  <cellStyles count="5">
    <cellStyle name="Comma [0]" xfId="1" builtinId="6"/>
    <cellStyle name="Normal" xfId="0" builtinId="0"/>
    <cellStyle name="Percent" xfId="2" builtinId="5"/>
    <cellStyle name="표준 3" xfId="3" xr:uid="{00000000-0005-0000-0000-000003000000}"/>
    <cellStyle name="표준_sht6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X31"/>
  <sheetViews>
    <sheetView showGridLines="0" view="pageBreakPreview" zoomScale="106" zoomScaleNormal="70" zoomScaleSheetLayoutView="106" workbookViewId="0">
      <selection activeCell="F7" sqref="F7"/>
    </sheetView>
  </sheetViews>
  <sheetFormatPr defaultColWidth="9" defaultRowHeight="18" customHeight="1"/>
  <cols>
    <col min="1" max="1" width="3.140625" style="8" customWidth="1"/>
    <col min="2" max="2" width="5.140625" style="8" customWidth="1"/>
    <col min="3" max="3" width="22.42578125" style="13" customWidth="1"/>
    <col min="4" max="4" width="39.42578125" style="14" customWidth="1"/>
    <col min="5" max="5" width="9.85546875" style="8" customWidth="1"/>
    <col min="6" max="6" width="5.7109375" style="8" customWidth="1"/>
    <col min="7" max="9" width="9.7109375" style="8" customWidth="1"/>
    <col min="10" max="10" width="5.7109375" style="126" customWidth="1"/>
    <col min="11" max="13" width="9.7109375" style="8" customWidth="1"/>
    <col min="14" max="14" width="5.7109375" style="126" customWidth="1"/>
    <col min="15" max="17" width="9.7109375" style="126" customWidth="1"/>
    <col min="18" max="18" width="5.7109375" style="126" customWidth="1"/>
    <col min="19" max="19" width="14.28515625" style="8" customWidth="1"/>
    <col min="20" max="20" width="2" style="8" customWidth="1"/>
    <col min="21" max="24" width="9" style="7"/>
    <col min="25" max="16384" width="9" style="8"/>
  </cols>
  <sheetData>
    <row r="1" spans="1:24" ht="24.95" customHeight="1" thickBot="1">
      <c r="A1" s="1" t="s">
        <v>36</v>
      </c>
      <c r="B1" s="2"/>
      <c r="C1" s="3"/>
      <c r="D1" s="4"/>
      <c r="E1" s="2"/>
      <c r="F1" s="2"/>
      <c r="G1" s="2"/>
      <c r="H1" s="2"/>
      <c r="I1" s="2"/>
      <c r="J1" s="5"/>
      <c r="K1" s="2"/>
      <c r="L1" s="2"/>
      <c r="M1" s="2"/>
      <c r="N1" s="5"/>
      <c r="O1" s="5"/>
      <c r="P1" s="5"/>
      <c r="Q1" s="243" t="s">
        <v>37</v>
      </c>
      <c r="R1" s="243"/>
      <c r="S1" s="243"/>
      <c r="T1" s="6"/>
    </row>
    <row r="2" spans="1:24" ht="15" customHeight="1" thickTop="1">
      <c r="A2" s="9"/>
      <c r="B2" s="9"/>
      <c r="C2" s="10"/>
      <c r="D2" s="11"/>
      <c r="E2" s="9"/>
      <c r="F2" s="9"/>
      <c r="G2" s="9"/>
      <c r="H2" s="9"/>
      <c r="I2" s="9"/>
      <c r="J2" s="12"/>
      <c r="K2" s="9"/>
      <c r="L2" s="9"/>
      <c r="M2" s="9"/>
      <c r="N2" s="12"/>
      <c r="O2" s="12"/>
      <c r="P2" s="12"/>
      <c r="Q2" s="12"/>
      <c r="R2" s="12"/>
      <c r="S2" s="9"/>
      <c r="T2" s="9"/>
    </row>
    <row r="3" spans="1:24" ht="18" customHeight="1" thickBot="1">
      <c r="A3" s="9" t="s">
        <v>0</v>
      </c>
      <c r="J3" s="15"/>
      <c r="N3" s="15"/>
      <c r="O3" s="15"/>
      <c r="P3" s="15"/>
      <c r="Q3" s="15"/>
      <c r="R3" s="15"/>
      <c r="S3" s="16" t="s">
        <v>1</v>
      </c>
      <c r="T3" s="16"/>
    </row>
    <row r="4" spans="1:24" ht="23.1" customHeight="1">
      <c r="B4" s="297" t="s">
        <v>2</v>
      </c>
      <c r="C4" s="299" t="s">
        <v>3</v>
      </c>
      <c r="D4" s="301" t="s">
        <v>4</v>
      </c>
      <c r="E4" s="303" t="s">
        <v>5</v>
      </c>
      <c r="F4" s="305" t="s">
        <v>6</v>
      </c>
      <c r="G4" s="282" t="s">
        <v>7</v>
      </c>
      <c r="H4" s="283"/>
      <c r="I4" s="283"/>
      <c r="J4" s="284"/>
      <c r="K4" s="282" t="s">
        <v>8</v>
      </c>
      <c r="L4" s="283"/>
      <c r="M4" s="283"/>
      <c r="N4" s="284"/>
      <c r="O4" s="282" t="s">
        <v>9</v>
      </c>
      <c r="P4" s="283"/>
      <c r="Q4" s="283"/>
      <c r="R4" s="284"/>
      <c r="S4" s="285" t="s">
        <v>10</v>
      </c>
      <c r="T4" s="17"/>
    </row>
    <row r="5" spans="1:24" ht="33.75" customHeight="1" thickBot="1">
      <c r="B5" s="298"/>
      <c r="C5" s="300"/>
      <c r="D5" s="302"/>
      <c r="E5" s="304"/>
      <c r="F5" s="306"/>
      <c r="G5" s="18" t="s">
        <v>11</v>
      </c>
      <c r="H5" s="19" t="s">
        <v>12</v>
      </c>
      <c r="I5" s="20" t="s">
        <v>13</v>
      </c>
      <c r="J5" s="21" t="s">
        <v>14</v>
      </c>
      <c r="K5" s="18" t="s">
        <v>15</v>
      </c>
      <c r="L5" s="19" t="s">
        <v>16</v>
      </c>
      <c r="M5" s="20" t="s">
        <v>17</v>
      </c>
      <c r="N5" s="22" t="s">
        <v>18</v>
      </c>
      <c r="O5" s="18" t="s">
        <v>15</v>
      </c>
      <c r="P5" s="19" t="s">
        <v>16</v>
      </c>
      <c r="Q5" s="20" t="s">
        <v>19</v>
      </c>
      <c r="R5" s="22" t="s">
        <v>20</v>
      </c>
      <c r="S5" s="286"/>
      <c r="T5" s="17"/>
    </row>
    <row r="6" spans="1:24" s="7" customFormat="1" ht="30" customHeight="1" thickTop="1">
      <c r="A6" s="8"/>
      <c r="B6" s="23"/>
      <c r="C6" s="24"/>
      <c r="D6" s="25"/>
      <c r="E6" s="26"/>
      <c r="F6" s="26"/>
      <c r="G6" s="27"/>
      <c r="H6" s="28"/>
      <c r="I6" s="287"/>
      <c r="J6" s="29"/>
      <c r="K6" s="30"/>
      <c r="L6" s="28"/>
      <c r="M6" s="287"/>
      <c r="N6" s="29"/>
      <c r="O6" s="27"/>
      <c r="P6" s="28"/>
      <c r="Q6" s="287"/>
      <c r="R6" s="29"/>
      <c r="S6" s="31"/>
      <c r="T6" s="32"/>
    </row>
    <row r="7" spans="1:24" s="7" customFormat="1" ht="30" customHeight="1">
      <c r="A7" s="8"/>
      <c r="B7" s="33"/>
      <c r="C7" s="34"/>
      <c r="D7" s="35"/>
      <c r="E7" s="36"/>
      <c r="F7" s="36"/>
      <c r="G7" s="37"/>
      <c r="H7" s="38"/>
      <c r="I7" s="288"/>
      <c r="J7" s="39"/>
      <c r="K7" s="40"/>
      <c r="L7" s="38"/>
      <c r="M7" s="288"/>
      <c r="N7" s="39"/>
      <c r="O7" s="37"/>
      <c r="P7" s="38"/>
      <c r="Q7" s="288"/>
      <c r="R7" s="39"/>
      <c r="S7" s="41"/>
      <c r="T7" s="32"/>
    </row>
    <row r="8" spans="1:24" s="7" customFormat="1" ht="30" customHeight="1">
      <c r="A8" s="8"/>
      <c r="B8" s="42"/>
      <c r="C8" s="43"/>
      <c r="D8" s="44"/>
      <c r="E8" s="45"/>
      <c r="F8" s="45"/>
      <c r="G8" s="46"/>
      <c r="H8" s="47"/>
      <c r="I8" s="289"/>
      <c r="J8" s="48"/>
      <c r="K8" s="49"/>
      <c r="L8" s="47"/>
      <c r="M8" s="289"/>
      <c r="N8" s="48"/>
      <c r="O8" s="46"/>
      <c r="P8" s="47"/>
      <c r="Q8" s="289"/>
      <c r="R8" s="48"/>
      <c r="S8" s="50"/>
      <c r="T8" s="32"/>
    </row>
    <row r="9" spans="1:24" s="7" customFormat="1" ht="30" customHeight="1">
      <c r="A9" s="8"/>
      <c r="B9" s="51"/>
      <c r="C9" s="290" t="s">
        <v>21</v>
      </c>
      <c r="D9" s="291"/>
      <c r="E9" s="291"/>
      <c r="F9" s="291"/>
      <c r="G9" s="292"/>
      <c r="H9" s="293"/>
      <c r="I9" s="293"/>
      <c r="J9" s="294"/>
      <c r="K9" s="292"/>
      <c r="L9" s="293"/>
      <c r="M9" s="293"/>
      <c r="N9" s="294"/>
      <c r="O9" s="292"/>
      <c r="P9" s="293"/>
      <c r="Q9" s="293"/>
      <c r="R9" s="294"/>
      <c r="S9" s="52"/>
      <c r="T9" s="32"/>
    </row>
    <row r="10" spans="1:24" s="7" customFormat="1" ht="30" customHeight="1">
      <c r="A10" s="8"/>
      <c r="B10" s="53"/>
      <c r="C10" s="54"/>
      <c r="D10" s="295" t="s">
        <v>22</v>
      </c>
      <c r="E10" s="295"/>
      <c r="F10" s="296"/>
      <c r="G10" s="55"/>
      <c r="H10" s="56"/>
      <c r="I10" s="57"/>
      <c r="J10" s="58"/>
      <c r="K10" s="59"/>
      <c r="L10" s="56"/>
      <c r="M10" s="56"/>
      <c r="N10" s="60"/>
      <c r="O10" s="59"/>
      <c r="P10" s="56"/>
      <c r="Q10" s="56"/>
      <c r="R10" s="61"/>
      <c r="S10" s="62"/>
      <c r="T10" s="32"/>
    </row>
    <row r="11" spans="1:24" ht="30" customHeight="1" thickBot="1">
      <c r="B11" s="63"/>
      <c r="C11" s="279" t="s">
        <v>23</v>
      </c>
      <c r="D11" s="280"/>
      <c r="E11" s="280"/>
      <c r="F11" s="281"/>
      <c r="G11" s="64"/>
      <c r="H11" s="65"/>
      <c r="I11" s="66"/>
      <c r="J11" s="67"/>
      <c r="K11" s="68"/>
      <c r="L11" s="65"/>
      <c r="M11" s="66"/>
      <c r="N11" s="67"/>
      <c r="O11" s="68"/>
      <c r="P11" s="65"/>
      <c r="Q11" s="65"/>
      <c r="R11" s="69"/>
      <c r="S11" s="70"/>
      <c r="T11" s="32"/>
    </row>
    <row r="12" spans="1:24" ht="25.15" customHeight="1" thickBot="1">
      <c r="B12" s="272" t="s">
        <v>24</v>
      </c>
      <c r="C12" s="273"/>
      <c r="D12" s="273"/>
      <c r="E12" s="273"/>
      <c r="F12" s="274"/>
      <c r="G12" s="71"/>
      <c r="H12" s="72"/>
      <c r="I12" s="73"/>
      <c r="J12" s="74"/>
      <c r="K12" s="75"/>
      <c r="L12" s="72"/>
      <c r="M12" s="73"/>
      <c r="N12" s="76"/>
      <c r="O12" s="71"/>
      <c r="P12" s="72"/>
      <c r="Q12" s="73"/>
      <c r="R12" s="74"/>
      <c r="S12" s="77"/>
      <c r="T12" s="78"/>
    </row>
    <row r="13" spans="1:24" s="79" customFormat="1" ht="12" customHeight="1">
      <c r="B13" s="80"/>
      <c r="C13" s="81"/>
      <c r="D13" s="81"/>
      <c r="E13" s="82"/>
      <c r="F13" s="82"/>
      <c r="G13" s="83"/>
      <c r="H13" s="83"/>
      <c r="I13" s="83"/>
      <c r="J13" s="84"/>
      <c r="K13" s="83"/>
      <c r="L13" s="83"/>
      <c r="M13" s="83"/>
      <c r="N13" s="84"/>
      <c r="O13" s="84"/>
      <c r="P13" s="84"/>
      <c r="Q13" s="84"/>
      <c r="R13" s="84"/>
      <c r="S13" s="85"/>
      <c r="T13" s="86"/>
      <c r="U13" s="87"/>
      <c r="V13" s="87"/>
      <c r="W13" s="87"/>
      <c r="X13" s="87"/>
    </row>
    <row r="14" spans="1:24" ht="18" customHeight="1" thickBot="1">
      <c r="A14" s="9" t="s">
        <v>38</v>
      </c>
      <c r="B14" s="9"/>
      <c r="C14" s="10"/>
      <c r="D14" s="11"/>
      <c r="E14" s="9"/>
      <c r="F14" s="9"/>
      <c r="G14" s="9"/>
      <c r="H14" s="9"/>
      <c r="I14" s="9"/>
      <c r="J14" s="12"/>
      <c r="K14" s="9"/>
      <c r="L14" s="9"/>
      <c r="M14" s="9"/>
      <c r="N14" s="12"/>
      <c r="O14" s="12"/>
      <c r="P14" s="12"/>
      <c r="Q14" s="12"/>
      <c r="R14" s="12"/>
      <c r="S14" s="16" t="s">
        <v>25</v>
      </c>
      <c r="T14" s="16"/>
    </row>
    <row r="15" spans="1:24" ht="23.25" customHeight="1" thickBot="1">
      <c r="B15" s="88" t="s">
        <v>26</v>
      </c>
      <c r="C15" s="277" t="s">
        <v>27</v>
      </c>
      <c r="D15" s="278"/>
      <c r="E15" s="275" t="s">
        <v>28</v>
      </c>
      <c r="F15" s="276"/>
      <c r="G15" s="256" t="s">
        <v>29</v>
      </c>
      <c r="H15" s="257"/>
      <c r="I15" s="258" t="s">
        <v>30</v>
      </c>
      <c r="J15" s="259"/>
      <c r="K15" s="256" t="s">
        <v>31</v>
      </c>
      <c r="L15" s="257"/>
      <c r="M15" s="258" t="s">
        <v>32</v>
      </c>
      <c r="N15" s="259"/>
      <c r="O15" s="256" t="s">
        <v>31</v>
      </c>
      <c r="P15" s="257"/>
      <c r="Q15" s="258" t="s">
        <v>32</v>
      </c>
      <c r="R15" s="259"/>
      <c r="S15" s="89" t="s">
        <v>33</v>
      </c>
      <c r="T15" s="90"/>
    </row>
    <row r="16" spans="1:24" s="79" customFormat="1" ht="25.15" customHeight="1" thickTop="1">
      <c r="B16" s="91"/>
      <c r="C16" s="260"/>
      <c r="D16" s="261"/>
      <c r="E16" s="262"/>
      <c r="F16" s="263"/>
      <c r="G16" s="268"/>
      <c r="H16" s="269"/>
      <c r="I16" s="270"/>
      <c r="J16" s="271"/>
      <c r="K16" s="268"/>
      <c r="L16" s="269"/>
      <c r="M16" s="270"/>
      <c r="N16" s="271"/>
      <c r="O16" s="268"/>
      <c r="P16" s="269"/>
      <c r="Q16" s="270"/>
      <c r="R16" s="271"/>
      <c r="S16" s="92"/>
      <c r="T16" s="93"/>
      <c r="U16" s="87"/>
      <c r="V16" s="87"/>
      <c r="W16" s="87"/>
      <c r="X16" s="87"/>
    </row>
    <row r="17" spans="1:24" s="79" customFormat="1" ht="25.15" customHeight="1">
      <c r="B17" s="94"/>
      <c r="C17" s="252"/>
      <c r="D17" s="253"/>
      <c r="E17" s="264"/>
      <c r="F17" s="265"/>
      <c r="G17" s="254"/>
      <c r="H17" s="255"/>
      <c r="I17" s="244"/>
      <c r="J17" s="245"/>
      <c r="K17" s="254"/>
      <c r="L17" s="255"/>
      <c r="M17" s="244"/>
      <c r="N17" s="245"/>
      <c r="O17" s="254"/>
      <c r="P17" s="255"/>
      <c r="Q17" s="244"/>
      <c r="R17" s="245"/>
      <c r="S17" s="95"/>
      <c r="T17" s="93"/>
      <c r="U17" s="87"/>
      <c r="V17" s="87"/>
      <c r="W17" s="87"/>
      <c r="X17" s="87"/>
    </row>
    <row r="18" spans="1:24" s="79" customFormat="1" ht="25.15" customHeight="1" thickBot="1">
      <c r="B18" s="96"/>
      <c r="C18" s="246"/>
      <c r="D18" s="247"/>
      <c r="E18" s="266"/>
      <c r="F18" s="267"/>
      <c r="G18" s="248"/>
      <c r="H18" s="249"/>
      <c r="I18" s="250"/>
      <c r="J18" s="251"/>
      <c r="K18" s="248"/>
      <c r="L18" s="249"/>
      <c r="M18" s="250"/>
      <c r="N18" s="251"/>
      <c r="O18" s="248"/>
      <c r="P18" s="249"/>
      <c r="Q18" s="250"/>
      <c r="R18" s="251"/>
      <c r="S18" s="97"/>
      <c r="T18" s="93"/>
      <c r="U18" s="87"/>
      <c r="V18" s="87"/>
      <c r="W18" s="87"/>
      <c r="X18" s="87"/>
    </row>
    <row r="19" spans="1:24" s="79" customFormat="1" ht="12" customHeight="1">
      <c r="B19" s="80"/>
      <c r="C19" s="81"/>
      <c r="D19" s="81"/>
      <c r="E19" s="82"/>
      <c r="F19" s="82"/>
      <c r="G19" s="83"/>
      <c r="H19" s="83"/>
      <c r="I19" s="83"/>
      <c r="J19" s="84"/>
      <c r="K19" s="83"/>
      <c r="L19" s="83"/>
      <c r="M19" s="83"/>
      <c r="N19" s="84"/>
      <c r="O19" s="84"/>
      <c r="P19" s="84"/>
      <c r="Q19" s="84"/>
      <c r="R19" s="84"/>
      <c r="S19" s="85"/>
      <c r="T19" s="86"/>
      <c r="U19" s="87"/>
      <c r="V19" s="87"/>
      <c r="W19" s="87"/>
      <c r="X19" s="87"/>
    </row>
    <row r="20" spans="1:24" ht="18" customHeight="1" thickBot="1">
      <c r="A20" s="9" t="s">
        <v>34</v>
      </c>
      <c r="B20" s="9"/>
      <c r="C20" s="10"/>
      <c r="D20" s="11"/>
      <c r="E20" s="9"/>
      <c r="F20" s="9"/>
      <c r="G20" s="9"/>
      <c r="H20" s="9"/>
      <c r="I20" s="9"/>
      <c r="J20" s="12"/>
      <c r="K20" s="9"/>
      <c r="L20" s="9"/>
      <c r="M20" s="9"/>
      <c r="N20" s="12"/>
      <c r="O20" s="12"/>
      <c r="P20" s="12"/>
      <c r="Q20" s="12"/>
      <c r="R20" s="12"/>
      <c r="S20" s="9"/>
      <c r="T20" s="9"/>
    </row>
    <row r="21" spans="1:24" ht="19.899999999999999" customHeight="1">
      <c r="A21" s="9"/>
      <c r="B21" s="98"/>
      <c r="C21" s="99"/>
      <c r="D21" s="100"/>
      <c r="E21" s="101"/>
      <c r="F21" s="102"/>
      <c r="G21" s="102"/>
      <c r="H21" s="102"/>
      <c r="I21" s="102"/>
      <c r="J21" s="103"/>
      <c r="K21" s="102"/>
      <c r="L21" s="102"/>
      <c r="M21" s="102"/>
      <c r="N21" s="103"/>
      <c r="O21" s="103"/>
      <c r="P21" s="103"/>
      <c r="Q21" s="103"/>
      <c r="R21" s="103"/>
      <c r="S21" s="104"/>
      <c r="T21" s="9"/>
    </row>
    <row r="22" spans="1:24" ht="19.899999999999999" customHeight="1" thickBot="1">
      <c r="A22" s="9"/>
      <c r="B22" s="105"/>
      <c r="C22" s="106"/>
      <c r="D22" s="107"/>
      <c r="E22" s="108"/>
      <c r="F22" s="109"/>
      <c r="G22" s="109"/>
      <c r="H22" s="109"/>
      <c r="I22" s="109"/>
      <c r="J22" s="110"/>
      <c r="K22" s="109"/>
      <c r="L22" s="109"/>
      <c r="M22" s="109"/>
      <c r="N22" s="110"/>
      <c r="O22" s="110"/>
      <c r="P22" s="110"/>
      <c r="Q22" s="110"/>
      <c r="R22" s="110"/>
      <c r="S22" s="111"/>
      <c r="T22" s="9"/>
    </row>
    <row r="23" spans="1:24" s="79" customFormat="1" ht="12" customHeight="1">
      <c r="B23" s="80"/>
      <c r="C23" s="81"/>
      <c r="D23" s="81"/>
      <c r="E23" s="82"/>
      <c r="F23" s="82"/>
      <c r="G23" s="83"/>
      <c r="H23" s="83"/>
      <c r="I23" s="83"/>
      <c r="J23" s="84"/>
      <c r="K23" s="83"/>
      <c r="L23" s="83"/>
      <c r="M23" s="83"/>
      <c r="N23" s="84"/>
      <c r="O23" s="84"/>
      <c r="P23" s="84"/>
      <c r="Q23" s="84"/>
      <c r="R23" s="84"/>
      <c r="S23" s="85"/>
      <c r="T23" s="86"/>
      <c r="U23" s="87"/>
      <c r="V23" s="87"/>
      <c r="W23" s="87"/>
      <c r="X23" s="87"/>
    </row>
    <row r="24" spans="1:24" ht="18" customHeight="1" thickBot="1">
      <c r="A24" s="9" t="s">
        <v>35</v>
      </c>
      <c r="B24" s="9"/>
      <c r="C24" s="10"/>
      <c r="D24" s="11"/>
      <c r="E24" s="9"/>
      <c r="F24" s="9"/>
      <c r="G24" s="9"/>
      <c r="H24" s="9"/>
      <c r="I24" s="9"/>
      <c r="J24" s="12"/>
      <c r="K24" s="9"/>
      <c r="L24" s="9"/>
      <c r="M24" s="9"/>
      <c r="N24" s="12"/>
      <c r="O24" s="12"/>
      <c r="P24" s="12"/>
      <c r="Q24" s="12"/>
      <c r="R24" s="12"/>
      <c r="S24" s="9"/>
      <c r="T24" s="9"/>
    </row>
    <row r="25" spans="1:24" ht="24.95" customHeight="1" thickBot="1">
      <c r="A25" s="9"/>
      <c r="B25" s="112"/>
      <c r="C25" s="113"/>
      <c r="D25" s="114"/>
      <c r="E25" s="115"/>
      <c r="F25" s="116"/>
      <c r="G25" s="116"/>
      <c r="H25" s="116"/>
      <c r="I25" s="116"/>
      <c r="J25" s="117"/>
      <c r="K25" s="116"/>
      <c r="L25" s="116"/>
      <c r="M25" s="116"/>
      <c r="N25" s="117"/>
      <c r="O25" s="117"/>
      <c r="P25" s="117"/>
      <c r="Q25" s="117"/>
      <c r="R25" s="117"/>
      <c r="S25" s="118"/>
      <c r="T25" s="9"/>
    </row>
    <row r="26" spans="1:24" ht="18" customHeight="1">
      <c r="A26" s="9"/>
      <c r="B26" s="119"/>
      <c r="C26" s="120"/>
      <c r="D26" s="121"/>
      <c r="E26" s="119"/>
      <c r="F26" s="9"/>
      <c r="G26" s="9"/>
      <c r="H26" s="9"/>
      <c r="I26" s="9"/>
      <c r="J26" s="12"/>
      <c r="K26" s="9"/>
      <c r="L26" s="9"/>
      <c r="M26" s="9"/>
      <c r="N26" s="12"/>
      <c r="O26" s="12"/>
      <c r="P26" s="12"/>
      <c r="Q26" s="12"/>
      <c r="R26" s="12"/>
      <c r="S26" s="9"/>
      <c r="T26" s="9"/>
    </row>
    <row r="27" spans="1:24" s="125" customFormat="1" ht="15" customHeight="1">
      <c r="A27" s="8"/>
      <c r="B27" s="122"/>
      <c r="C27" s="123"/>
      <c r="D27" s="124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7"/>
      <c r="V27" s="7"/>
      <c r="W27" s="7"/>
      <c r="X27" s="7"/>
    </row>
    <row r="28" spans="1:24" s="125" customFormat="1" ht="18" customHeight="1">
      <c r="A28" s="8"/>
      <c r="B28" s="8"/>
      <c r="C28" s="13"/>
      <c r="D28" s="124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8"/>
      <c r="T28" s="8"/>
      <c r="U28" s="7"/>
      <c r="V28" s="7"/>
      <c r="W28" s="7"/>
      <c r="X28" s="7"/>
    </row>
    <row r="29" spans="1:24" s="125" customFormat="1" ht="18" customHeight="1">
      <c r="A29" s="8"/>
      <c r="B29" s="8"/>
      <c r="C29" s="13"/>
      <c r="D29" s="124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8"/>
      <c r="T29" s="8"/>
      <c r="U29" s="7"/>
      <c r="V29" s="7"/>
      <c r="W29" s="7"/>
      <c r="X29" s="7"/>
    </row>
    <row r="30" spans="1:24" s="125" customFormat="1" ht="18" customHeight="1">
      <c r="A30" s="8"/>
      <c r="B30" s="8"/>
      <c r="C30" s="13"/>
      <c r="D30" s="124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8"/>
      <c r="T30" s="8"/>
      <c r="U30" s="7"/>
      <c r="V30" s="7"/>
      <c r="W30" s="7"/>
      <c r="X30" s="7"/>
    </row>
    <row r="31" spans="1:24" s="125" customFormat="1" ht="18" customHeight="1">
      <c r="A31" s="8"/>
      <c r="B31" s="8"/>
      <c r="C31" s="13"/>
      <c r="D31" s="124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8"/>
      <c r="T31" s="8"/>
      <c r="U31" s="7"/>
      <c r="V31" s="7"/>
      <c r="W31" s="7"/>
      <c r="X31" s="7"/>
    </row>
  </sheetData>
  <mergeCells count="50">
    <mergeCell ref="B4:B5"/>
    <mergeCell ref="C4:C5"/>
    <mergeCell ref="D4:D5"/>
    <mergeCell ref="E4:E5"/>
    <mergeCell ref="F4:F5"/>
    <mergeCell ref="C11:F11"/>
    <mergeCell ref="K4:N4"/>
    <mergeCell ref="O4:R4"/>
    <mergeCell ref="S4:S5"/>
    <mergeCell ref="I6:I8"/>
    <mergeCell ref="M6:M8"/>
    <mergeCell ref="Q6:Q8"/>
    <mergeCell ref="G4:J4"/>
    <mergeCell ref="C9:F9"/>
    <mergeCell ref="G9:J9"/>
    <mergeCell ref="K9:N9"/>
    <mergeCell ref="O9:R9"/>
    <mergeCell ref="D10:F10"/>
    <mergeCell ref="B12:F12"/>
    <mergeCell ref="E15:F15"/>
    <mergeCell ref="G15:H15"/>
    <mergeCell ref="I15:J15"/>
    <mergeCell ref="K15:L15"/>
    <mergeCell ref="C15:D15"/>
    <mergeCell ref="Q15:R15"/>
    <mergeCell ref="C16:D16"/>
    <mergeCell ref="E16:F18"/>
    <mergeCell ref="G16:H16"/>
    <mergeCell ref="I16:J16"/>
    <mergeCell ref="K16:L16"/>
    <mergeCell ref="M16:N16"/>
    <mergeCell ref="O16:P16"/>
    <mergeCell ref="Q16:R16"/>
    <mergeCell ref="M15:N15"/>
    <mergeCell ref="Q1:S1"/>
    <mergeCell ref="Q17:R17"/>
    <mergeCell ref="C18:D18"/>
    <mergeCell ref="G18:H18"/>
    <mergeCell ref="I18:J18"/>
    <mergeCell ref="K18:L18"/>
    <mergeCell ref="M18:N18"/>
    <mergeCell ref="O18:P18"/>
    <mergeCell ref="Q18:R18"/>
    <mergeCell ref="C17:D17"/>
    <mergeCell ref="G17:H17"/>
    <mergeCell ref="I17:J17"/>
    <mergeCell ref="K17:L17"/>
    <mergeCell ref="M17:N17"/>
    <mergeCell ref="O17:P17"/>
    <mergeCell ref="O15:P15"/>
  </mergeCells>
  <phoneticPr fontId="4" type="noConversion"/>
  <printOptions horizontalCentered="1"/>
  <pageMargins left="0.15748031496062992" right="0.15748031496062992" top="0.69" bottom="0.19685039370078741" header="0.31496062992125984" footer="0.15748031496062992"/>
  <pageSetup paperSize="9" scale="65" fitToHeight="0" orientation="landscape" horizontalDpi="1200" verticalDpi="1200" r:id="rId1"/>
  <rowBreaks count="1" manualBreakCount="1">
    <brk id="27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AA140"/>
  <sheetViews>
    <sheetView showGridLines="0" tabSelected="1" topLeftCell="A100" zoomScale="130" zoomScaleNormal="130" zoomScaleSheetLayoutView="110" workbookViewId="0">
      <selection activeCell="D15" sqref="D15"/>
    </sheetView>
  </sheetViews>
  <sheetFormatPr defaultColWidth="9" defaultRowHeight="18" customHeight="1"/>
  <cols>
    <col min="1" max="1" width="3.140625" style="134" customWidth="1"/>
    <col min="2" max="2" width="5.140625" style="134" customWidth="1"/>
    <col min="3" max="3" width="30.5703125" style="139" customWidth="1"/>
    <col min="4" max="4" width="28.5703125" style="140" customWidth="1"/>
    <col min="5" max="5" width="8.7109375" style="134" customWidth="1"/>
    <col min="6" max="6" width="8.140625" style="134" customWidth="1"/>
    <col min="7" max="7" width="9" style="134" customWidth="1"/>
    <col min="8" max="8" width="12.42578125" style="134" customWidth="1"/>
    <col min="9" max="9" width="8.140625" style="134" bestFit="1" customWidth="1"/>
    <col min="10" max="10" width="13.140625" style="134" customWidth="1"/>
    <col min="11" max="11" width="12.140625" style="134" customWidth="1"/>
    <col min="12" max="12" width="11.140625" style="134" customWidth="1"/>
    <col min="13" max="13" width="6.28515625" style="227" bestFit="1" customWidth="1"/>
    <col min="14" max="14" width="11.28515625" style="134" bestFit="1" customWidth="1"/>
    <col min="15" max="15" width="13.85546875" style="134" bestFit="1" customWidth="1"/>
    <col min="16" max="16" width="12.140625" style="134" customWidth="1"/>
    <col min="17" max="17" width="8.140625" style="227" customWidth="1"/>
    <col min="18" max="18" width="12.28515625" style="227" bestFit="1" customWidth="1"/>
    <col min="19" max="19" width="13.85546875" style="227" bestFit="1" customWidth="1"/>
    <col min="20" max="20" width="9.7109375" style="227" customWidth="1"/>
    <col min="21" max="21" width="8.85546875" style="227" bestFit="1" customWidth="1"/>
    <col min="22" max="22" width="14.28515625" style="134" customWidth="1"/>
    <col min="23" max="23" width="2" style="134" customWidth="1"/>
    <col min="24" max="27" width="9" style="133"/>
    <col min="28" max="16384" width="9" style="134"/>
  </cols>
  <sheetData>
    <row r="1" spans="1:23" ht="24.95" customHeight="1" thickBot="1">
      <c r="A1" s="127" t="s">
        <v>57</v>
      </c>
      <c r="B1" s="128"/>
      <c r="C1" s="129"/>
      <c r="D1" s="130"/>
      <c r="E1" s="128"/>
      <c r="F1" s="128"/>
      <c r="G1" s="128"/>
      <c r="H1" s="128"/>
      <c r="I1" s="128"/>
      <c r="J1" s="128"/>
      <c r="K1" s="128"/>
      <c r="L1" s="128"/>
      <c r="M1" s="131"/>
      <c r="N1" s="128"/>
      <c r="O1" s="128"/>
      <c r="P1" s="128"/>
      <c r="Q1" s="131"/>
      <c r="R1" s="131"/>
      <c r="S1" s="131"/>
      <c r="T1" s="131"/>
      <c r="U1" s="131"/>
      <c r="V1" s="228">
        <v>46320</v>
      </c>
      <c r="W1" s="132"/>
    </row>
    <row r="2" spans="1:23" ht="15" customHeight="1" thickTop="1">
      <c r="A2" s="135"/>
      <c r="B2" s="135"/>
      <c r="C2" s="136"/>
      <c r="D2" s="137"/>
      <c r="E2" s="135"/>
      <c r="F2" s="135"/>
      <c r="G2" s="135"/>
      <c r="H2" s="135"/>
      <c r="I2" s="135"/>
      <c r="J2" s="135"/>
      <c r="K2" s="135"/>
      <c r="L2" s="135"/>
      <c r="M2" s="138"/>
      <c r="N2" s="135"/>
      <c r="O2" s="135"/>
      <c r="P2" s="135"/>
      <c r="Q2" s="138"/>
      <c r="R2" s="138"/>
      <c r="S2" s="138"/>
      <c r="T2" s="138"/>
      <c r="U2" s="138"/>
      <c r="V2" s="135"/>
      <c r="W2" s="135"/>
    </row>
    <row r="3" spans="1:23" ht="18" customHeight="1" thickBot="1">
      <c r="A3" s="307" t="s">
        <v>43</v>
      </c>
      <c r="B3" s="307"/>
      <c r="C3" s="307"/>
      <c r="M3" s="141"/>
      <c r="Q3" s="141"/>
      <c r="R3" s="141"/>
      <c r="S3" s="141"/>
      <c r="T3" s="141"/>
      <c r="U3" s="141"/>
      <c r="V3" s="142" t="s">
        <v>1</v>
      </c>
      <c r="W3" s="142"/>
    </row>
    <row r="4" spans="1:23" ht="32.25" customHeight="1">
      <c r="B4" s="364" t="s">
        <v>2</v>
      </c>
      <c r="C4" s="365" t="s">
        <v>3</v>
      </c>
      <c r="D4" s="367" t="s">
        <v>4</v>
      </c>
      <c r="E4" s="369" t="s">
        <v>5</v>
      </c>
      <c r="F4" s="371" t="s">
        <v>41</v>
      </c>
      <c r="G4" s="314" t="s">
        <v>59</v>
      </c>
      <c r="H4" s="315"/>
      <c r="I4" s="316"/>
      <c r="J4" s="359" t="s">
        <v>55</v>
      </c>
      <c r="K4" s="360"/>
      <c r="L4" s="360"/>
      <c r="M4" s="361"/>
      <c r="N4" s="359" t="s">
        <v>60</v>
      </c>
      <c r="O4" s="360"/>
      <c r="P4" s="360"/>
      <c r="Q4" s="361"/>
      <c r="R4" s="359" t="s">
        <v>61</v>
      </c>
      <c r="S4" s="360"/>
      <c r="T4" s="360"/>
      <c r="U4" s="361"/>
      <c r="V4" s="357" t="s">
        <v>42</v>
      </c>
      <c r="W4" s="144"/>
    </row>
    <row r="5" spans="1:23" ht="27" customHeight="1" thickBot="1">
      <c r="B5" s="390"/>
      <c r="C5" s="366"/>
      <c r="D5" s="368"/>
      <c r="E5" s="370"/>
      <c r="F5" s="372"/>
      <c r="G5" s="145" t="s">
        <v>39</v>
      </c>
      <c r="H5" s="145" t="s">
        <v>40</v>
      </c>
      <c r="I5" s="148" t="s">
        <v>14</v>
      </c>
      <c r="J5" s="145" t="s">
        <v>39</v>
      </c>
      <c r="K5" s="146" t="s">
        <v>40</v>
      </c>
      <c r="L5" s="147" t="s">
        <v>13</v>
      </c>
      <c r="M5" s="148" t="s">
        <v>14</v>
      </c>
      <c r="N5" s="145" t="s">
        <v>39</v>
      </c>
      <c r="O5" s="146" t="s">
        <v>40</v>
      </c>
      <c r="P5" s="147" t="s">
        <v>17</v>
      </c>
      <c r="Q5" s="149" t="s">
        <v>18</v>
      </c>
      <c r="R5" s="145" t="s">
        <v>39</v>
      </c>
      <c r="S5" s="146" t="s">
        <v>40</v>
      </c>
      <c r="T5" s="147" t="s">
        <v>19</v>
      </c>
      <c r="U5" s="149" t="s">
        <v>20</v>
      </c>
      <c r="V5" s="358"/>
      <c r="W5" s="144"/>
    </row>
    <row r="6" spans="1:23" s="150" customFormat="1" ht="16.5" customHeight="1" thickTop="1">
      <c r="B6" s="392">
        <v>1</v>
      </c>
      <c r="C6" s="234" t="s">
        <v>62</v>
      </c>
      <c r="D6" s="234" t="s">
        <v>152</v>
      </c>
      <c r="E6" s="394" t="s">
        <v>253</v>
      </c>
      <c r="F6" s="394">
        <v>1500</v>
      </c>
      <c r="G6" s="395">
        <v>1.8</v>
      </c>
      <c r="H6" s="395">
        <f>F6*G6</f>
        <v>2700</v>
      </c>
      <c r="I6" s="396">
        <f>H6/K6</f>
        <v>1.125</v>
      </c>
      <c r="J6" s="242">
        <v>1.6</v>
      </c>
      <c r="K6" s="242">
        <f>J6*F6</f>
        <v>2400</v>
      </c>
      <c r="L6" s="237"/>
      <c r="M6" s="238">
        <v>1</v>
      </c>
      <c r="N6" s="242">
        <v>1.8</v>
      </c>
      <c r="O6" s="242">
        <f>N6*F6</f>
        <v>2700</v>
      </c>
      <c r="P6" s="237"/>
      <c r="Q6" s="238">
        <f>O6/K6</f>
        <v>1.125</v>
      </c>
      <c r="R6" s="242">
        <v>2</v>
      </c>
      <c r="S6" s="242">
        <f>R6*F6</f>
        <v>3000</v>
      </c>
      <c r="T6" s="237"/>
      <c r="U6" s="238">
        <f>S6/K6</f>
        <v>1.25</v>
      </c>
      <c r="V6" s="152"/>
      <c r="W6" s="153"/>
    </row>
    <row r="7" spans="1:23" s="150" customFormat="1" ht="16.5" customHeight="1">
      <c r="B7" s="151">
        <v>2</v>
      </c>
      <c r="C7" s="397" t="s">
        <v>63</v>
      </c>
      <c r="D7" s="235" t="s">
        <v>153</v>
      </c>
      <c r="E7" s="229" t="s">
        <v>253</v>
      </c>
      <c r="F7" s="229">
        <v>18</v>
      </c>
      <c r="G7" s="398">
        <v>3.5</v>
      </c>
      <c r="H7" s="398">
        <f>F7*G7</f>
        <v>63</v>
      </c>
      <c r="I7" s="399">
        <f>H7/K7</f>
        <v>1.1666666666666667</v>
      </c>
      <c r="J7" s="241">
        <v>3</v>
      </c>
      <c r="K7" s="241">
        <f t="shared" ref="K7:K70" si="0">J7*F7</f>
        <v>54</v>
      </c>
      <c r="L7" s="240"/>
      <c r="M7" s="239">
        <v>1</v>
      </c>
      <c r="N7" s="241">
        <v>3.2</v>
      </c>
      <c r="O7" s="241">
        <f t="shared" ref="O7:O70" si="1">N7*F7</f>
        <v>57.6</v>
      </c>
      <c r="P7" s="240"/>
      <c r="Q7" s="239">
        <f t="shared" ref="Q7:Q70" si="2">O7/K7</f>
        <v>1.0666666666666667</v>
      </c>
      <c r="R7" s="241">
        <v>3</v>
      </c>
      <c r="S7" s="241">
        <f t="shared" ref="S7:S70" si="3">R7*F7</f>
        <v>54</v>
      </c>
      <c r="T7" s="240"/>
      <c r="U7" s="239">
        <f t="shared" ref="U7:U70" si="4">S7/K7</f>
        <v>1</v>
      </c>
      <c r="V7" s="154"/>
      <c r="W7" s="153"/>
    </row>
    <row r="8" spans="1:23" s="150" customFormat="1" ht="16.5" customHeight="1">
      <c r="B8" s="151">
        <v>3</v>
      </c>
      <c r="C8" s="397" t="s">
        <v>64</v>
      </c>
      <c r="D8" s="236" t="s">
        <v>154</v>
      </c>
      <c r="E8" s="229" t="s">
        <v>253</v>
      </c>
      <c r="F8" s="229">
        <v>12</v>
      </c>
      <c r="G8" s="398">
        <v>612</v>
      </c>
      <c r="H8" s="398">
        <f>F8*G8</f>
        <v>7344</v>
      </c>
      <c r="I8" s="399">
        <f>H8/K8</f>
        <v>0.98709677419354835</v>
      </c>
      <c r="J8" s="241">
        <v>620</v>
      </c>
      <c r="K8" s="241">
        <f t="shared" si="0"/>
        <v>7440</v>
      </c>
      <c r="L8" s="240"/>
      <c r="M8" s="239">
        <v>1</v>
      </c>
      <c r="N8" s="241">
        <v>630</v>
      </c>
      <c r="O8" s="241">
        <f t="shared" si="1"/>
        <v>7560</v>
      </c>
      <c r="P8" s="240"/>
      <c r="Q8" s="239">
        <f t="shared" si="2"/>
        <v>1.0161290322580645</v>
      </c>
      <c r="R8" s="241">
        <v>625</v>
      </c>
      <c r="S8" s="241">
        <f t="shared" si="3"/>
        <v>7500</v>
      </c>
      <c r="T8" s="240"/>
      <c r="U8" s="239">
        <f t="shared" si="4"/>
        <v>1.0080645161290323</v>
      </c>
      <c r="V8" s="154"/>
      <c r="W8" s="153"/>
    </row>
    <row r="9" spans="1:23" s="150" customFormat="1" ht="16.5" customHeight="1">
      <c r="B9" s="151">
        <v>4</v>
      </c>
      <c r="C9" s="397" t="s">
        <v>65</v>
      </c>
      <c r="D9" s="236" t="s">
        <v>155</v>
      </c>
      <c r="E9" s="229" t="s">
        <v>253</v>
      </c>
      <c r="F9" s="229">
        <v>5</v>
      </c>
      <c r="G9" s="398">
        <v>58</v>
      </c>
      <c r="H9" s="398">
        <f>F9*G9</f>
        <v>290</v>
      </c>
      <c r="I9" s="399">
        <f>H9/K9</f>
        <v>1.0545454545454545</v>
      </c>
      <c r="J9" s="241">
        <v>55</v>
      </c>
      <c r="K9" s="241">
        <f t="shared" si="0"/>
        <v>275</v>
      </c>
      <c r="L9" s="240"/>
      <c r="M9" s="239">
        <v>1</v>
      </c>
      <c r="N9" s="241">
        <v>57</v>
      </c>
      <c r="O9" s="241">
        <f t="shared" si="1"/>
        <v>285</v>
      </c>
      <c r="P9" s="240"/>
      <c r="Q9" s="239">
        <f t="shared" si="2"/>
        <v>1.0363636363636364</v>
      </c>
      <c r="R9" s="241">
        <v>58</v>
      </c>
      <c r="S9" s="241">
        <f t="shared" si="3"/>
        <v>290</v>
      </c>
      <c r="T9" s="240"/>
      <c r="U9" s="239">
        <f t="shared" si="4"/>
        <v>1.0545454545454545</v>
      </c>
      <c r="V9" s="154"/>
      <c r="W9" s="153"/>
    </row>
    <row r="10" spans="1:23" s="150" customFormat="1" ht="16.5" customHeight="1">
      <c r="B10" s="151">
        <v>5</v>
      </c>
      <c r="C10" s="397" t="s">
        <v>66</v>
      </c>
      <c r="D10" s="236" t="s">
        <v>156</v>
      </c>
      <c r="E10" s="229" t="s">
        <v>254</v>
      </c>
      <c r="F10" s="229">
        <v>6</v>
      </c>
      <c r="G10" s="398" t="s">
        <v>259</v>
      </c>
      <c r="H10" s="398" t="s">
        <v>259</v>
      </c>
      <c r="I10" s="399">
        <v>1</v>
      </c>
      <c r="J10" s="241">
        <v>190</v>
      </c>
      <c r="K10" s="241">
        <f t="shared" si="0"/>
        <v>1140</v>
      </c>
      <c r="L10" s="240"/>
      <c r="M10" s="239">
        <v>1</v>
      </c>
      <c r="N10" s="241">
        <v>198</v>
      </c>
      <c r="O10" s="241">
        <f t="shared" si="1"/>
        <v>1188</v>
      </c>
      <c r="P10" s="240"/>
      <c r="Q10" s="239">
        <f t="shared" si="2"/>
        <v>1.0421052631578946</v>
      </c>
      <c r="R10" s="241">
        <v>200</v>
      </c>
      <c r="S10" s="241">
        <f t="shared" si="3"/>
        <v>1200</v>
      </c>
      <c r="T10" s="240"/>
      <c r="U10" s="239">
        <f t="shared" si="4"/>
        <v>1.0526315789473684</v>
      </c>
      <c r="V10" s="154"/>
      <c r="W10" s="153"/>
    </row>
    <row r="11" spans="1:23" s="150" customFormat="1" ht="16.5" customHeight="1">
      <c r="B11" s="151">
        <v>6</v>
      </c>
      <c r="C11" s="397" t="s">
        <v>67</v>
      </c>
      <c r="D11" s="236" t="s">
        <v>157</v>
      </c>
      <c r="E11" s="229" t="s">
        <v>253</v>
      </c>
      <c r="F11" s="229">
        <v>600</v>
      </c>
      <c r="G11" s="398">
        <v>4</v>
      </c>
      <c r="H11" s="398">
        <f>F11*G11</f>
        <v>2400</v>
      </c>
      <c r="I11" s="399">
        <f t="shared" ref="I11:I14" si="5">H11/K11</f>
        <v>1</v>
      </c>
      <c r="J11" s="241">
        <v>4</v>
      </c>
      <c r="K11" s="241">
        <f t="shared" si="0"/>
        <v>2400</v>
      </c>
      <c r="L11" s="240"/>
      <c r="M11" s="239">
        <v>1</v>
      </c>
      <c r="N11" s="241">
        <v>4.2</v>
      </c>
      <c r="O11" s="241">
        <f t="shared" si="1"/>
        <v>2520</v>
      </c>
      <c r="P11" s="240"/>
      <c r="Q11" s="239">
        <f t="shared" si="2"/>
        <v>1.05</v>
      </c>
      <c r="R11" s="241">
        <v>4.2</v>
      </c>
      <c r="S11" s="241">
        <f t="shared" si="3"/>
        <v>2520</v>
      </c>
      <c r="T11" s="240"/>
      <c r="U11" s="239">
        <f t="shared" si="4"/>
        <v>1.05</v>
      </c>
      <c r="V11" s="154"/>
      <c r="W11" s="153"/>
    </row>
    <row r="12" spans="1:23" s="150" customFormat="1" ht="16.5" customHeight="1">
      <c r="B12" s="151">
        <v>7</v>
      </c>
      <c r="C12" s="397" t="s">
        <v>68</v>
      </c>
      <c r="D12" s="236" t="s">
        <v>158</v>
      </c>
      <c r="E12" s="229" t="s">
        <v>253</v>
      </c>
      <c r="F12" s="229">
        <v>36</v>
      </c>
      <c r="G12" s="398">
        <v>4</v>
      </c>
      <c r="H12" s="398">
        <f>F12*G12</f>
        <v>144</v>
      </c>
      <c r="I12" s="399">
        <f t="shared" si="5"/>
        <v>0.90909090909090906</v>
      </c>
      <c r="J12" s="241">
        <v>4.4000000000000004</v>
      </c>
      <c r="K12" s="241">
        <f t="shared" si="0"/>
        <v>158.4</v>
      </c>
      <c r="L12" s="240"/>
      <c r="M12" s="239">
        <v>1</v>
      </c>
      <c r="N12" s="241">
        <v>4.5</v>
      </c>
      <c r="O12" s="241">
        <f t="shared" si="1"/>
        <v>162</v>
      </c>
      <c r="P12" s="240"/>
      <c r="Q12" s="239">
        <f t="shared" si="2"/>
        <v>1.0227272727272727</v>
      </c>
      <c r="R12" s="241">
        <v>4.5</v>
      </c>
      <c r="S12" s="241">
        <f t="shared" si="3"/>
        <v>162</v>
      </c>
      <c r="T12" s="240"/>
      <c r="U12" s="239">
        <f t="shared" si="4"/>
        <v>1.0227272727272727</v>
      </c>
      <c r="V12" s="154"/>
      <c r="W12" s="153"/>
    </row>
    <row r="13" spans="1:23" s="150" customFormat="1" ht="16.5" customHeight="1">
      <c r="B13" s="151">
        <v>8</v>
      </c>
      <c r="C13" s="397" t="s">
        <v>68</v>
      </c>
      <c r="D13" s="236" t="s">
        <v>159</v>
      </c>
      <c r="E13" s="229" t="s">
        <v>253</v>
      </c>
      <c r="F13" s="229">
        <v>12</v>
      </c>
      <c r="G13" s="398">
        <v>6</v>
      </c>
      <c r="H13" s="398">
        <f>F13*G13</f>
        <v>72</v>
      </c>
      <c r="I13" s="399">
        <f t="shared" si="5"/>
        <v>1.3636363636363635</v>
      </c>
      <c r="J13" s="241">
        <v>4.4000000000000004</v>
      </c>
      <c r="K13" s="241">
        <f t="shared" si="0"/>
        <v>52.800000000000004</v>
      </c>
      <c r="L13" s="240"/>
      <c r="M13" s="239">
        <v>1</v>
      </c>
      <c r="N13" s="241">
        <v>4.5</v>
      </c>
      <c r="O13" s="241">
        <f t="shared" si="1"/>
        <v>54</v>
      </c>
      <c r="P13" s="240"/>
      <c r="Q13" s="239">
        <f t="shared" si="2"/>
        <v>1.0227272727272727</v>
      </c>
      <c r="R13" s="241">
        <v>4.5</v>
      </c>
      <c r="S13" s="241">
        <f t="shared" si="3"/>
        <v>54</v>
      </c>
      <c r="T13" s="240"/>
      <c r="U13" s="239">
        <f t="shared" si="4"/>
        <v>1.0227272727272727</v>
      </c>
      <c r="V13" s="154"/>
      <c r="W13" s="153"/>
    </row>
    <row r="14" spans="1:23" s="150" customFormat="1" ht="16.5" customHeight="1">
      <c r="B14" s="151">
        <v>9</v>
      </c>
      <c r="C14" s="397" t="s">
        <v>69</v>
      </c>
      <c r="D14" s="236" t="s">
        <v>160</v>
      </c>
      <c r="E14" s="229" t="s">
        <v>253</v>
      </c>
      <c r="F14" s="229">
        <v>30</v>
      </c>
      <c r="G14" s="398">
        <v>11</v>
      </c>
      <c r="H14" s="398">
        <f>F14*G14</f>
        <v>330</v>
      </c>
      <c r="I14" s="399">
        <f t="shared" si="5"/>
        <v>1.375</v>
      </c>
      <c r="J14" s="241">
        <v>8</v>
      </c>
      <c r="K14" s="241">
        <f t="shared" si="0"/>
        <v>240</v>
      </c>
      <c r="L14" s="240"/>
      <c r="M14" s="239">
        <v>1</v>
      </c>
      <c r="N14" s="241">
        <v>8.1999999999999993</v>
      </c>
      <c r="O14" s="241">
        <f t="shared" si="1"/>
        <v>245.99999999999997</v>
      </c>
      <c r="P14" s="240"/>
      <c r="Q14" s="239">
        <f t="shared" si="2"/>
        <v>1.0249999999999999</v>
      </c>
      <c r="R14" s="241">
        <v>8</v>
      </c>
      <c r="S14" s="241">
        <f t="shared" si="3"/>
        <v>240</v>
      </c>
      <c r="T14" s="240"/>
      <c r="U14" s="239">
        <f t="shared" si="4"/>
        <v>1</v>
      </c>
      <c r="V14" s="154"/>
      <c r="W14" s="153"/>
    </row>
    <row r="15" spans="1:23" s="150" customFormat="1" ht="16.5" customHeight="1">
      <c r="B15" s="151">
        <v>10</v>
      </c>
      <c r="C15" s="397" t="s">
        <v>70</v>
      </c>
      <c r="D15" s="236" t="s">
        <v>161</v>
      </c>
      <c r="E15" s="229" t="s">
        <v>253</v>
      </c>
      <c r="F15" s="229">
        <v>3</v>
      </c>
      <c r="G15" s="398" t="s">
        <v>259</v>
      </c>
      <c r="H15" s="398" t="s">
        <v>259</v>
      </c>
      <c r="I15" s="399">
        <v>1</v>
      </c>
      <c r="J15" s="241">
        <v>870</v>
      </c>
      <c r="K15" s="241">
        <f t="shared" si="0"/>
        <v>2610</v>
      </c>
      <c r="L15" s="240"/>
      <c r="M15" s="239">
        <v>1</v>
      </c>
      <c r="N15" s="241">
        <v>870</v>
      </c>
      <c r="O15" s="241">
        <f t="shared" si="1"/>
        <v>2610</v>
      </c>
      <c r="P15" s="240"/>
      <c r="Q15" s="239">
        <f t="shared" si="2"/>
        <v>1</v>
      </c>
      <c r="R15" s="241">
        <v>875</v>
      </c>
      <c r="S15" s="241">
        <f t="shared" si="3"/>
        <v>2625</v>
      </c>
      <c r="T15" s="240"/>
      <c r="U15" s="239">
        <f t="shared" si="4"/>
        <v>1.0057471264367817</v>
      </c>
      <c r="V15" s="154"/>
      <c r="W15" s="153"/>
    </row>
    <row r="16" spans="1:23" s="150" customFormat="1" ht="16.5" customHeight="1">
      <c r="B16" s="151">
        <v>11</v>
      </c>
      <c r="C16" s="397" t="s">
        <v>71</v>
      </c>
      <c r="D16" s="236"/>
      <c r="E16" s="229" t="s">
        <v>253</v>
      </c>
      <c r="F16" s="229">
        <v>6</v>
      </c>
      <c r="G16" s="398" t="s">
        <v>259</v>
      </c>
      <c r="H16" s="398" t="s">
        <v>259</v>
      </c>
      <c r="I16" s="399">
        <v>1</v>
      </c>
      <c r="J16" s="241">
        <v>32</v>
      </c>
      <c r="K16" s="241">
        <f t="shared" si="0"/>
        <v>192</v>
      </c>
      <c r="L16" s="240"/>
      <c r="M16" s="239">
        <v>1</v>
      </c>
      <c r="N16" s="241">
        <v>35</v>
      </c>
      <c r="O16" s="241">
        <f t="shared" si="1"/>
        <v>210</v>
      </c>
      <c r="P16" s="240"/>
      <c r="Q16" s="239">
        <f t="shared" si="2"/>
        <v>1.09375</v>
      </c>
      <c r="R16" s="241">
        <v>33</v>
      </c>
      <c r="S16" s="241">
        <f t="shared" si="3"/>
        <v>198</v>
      </c>
      <c r="T16" s="240"/>
      <c r="U16" s="239">
        <f t="shared" si="4"/>
        <v>1.03125</v>
      </c>
      <c r="V16" s="154"/>
      <c r="W16" s="153"/>
    </row>
    <row r="17" spans="2:23" s="150" customFormat="1" ht="16.5" customHeight="1">
      <c r="B17" s="151">
        <v>12</v>
      </c>
      <c r="C17" s="397" t="s">
        <v>72</v>
      </c>
      <c r="D17" s="236" t="s">
        <v>162</v>
      </c>
      <c r="E17" s="229" t="s">
        <v>253</v>
      </c>
      <c r="F17" s="229">
        <v>2</v>
      </c>
      <c r="G17" s="398" t="s">
        <v>259</v>
      </c>
      <c r="H17" s="398" t="s">
        <v>259</v>
      </c>
      <c r="I17" s="399">
        <v>1</v>
      </c>
      <c r="J17" s="241">
        <v>1320</v>
      </c>
      <c r="K17" s="241">
        <f t="shared" si="0"/>
        <v>2640</v>
      </c>
      <c r="L17" s="240"/>
      <c r="M17" s="239">
        <v>1</v>
      </c>
      <c r="N17" s="241">
        <v>1350</v>
      </c>
      <c r="O17" s="241">
        <f t="shared" si="1"/>
        <v>2700</v>
      </c>
      <c r="P17" s="240"/>
      <c r="Q17" s="239">
        <f t="shared" si="2"/>
        <v>1.0227272727272727</v>
      </c>
      <c r="R17" s="241">
        <v>1375</v>
      </c>
      <c r="S17" s="241">
        <f t="shared" si="3"/>
        <v>2750</v>
      </c>
      <c r="T17" s="240"/>
      <c r="U17" s="239">
        <f t="shared" si="4"/>
        <v>1.0416666666666667</v>
      </c>
      <c r="V17" s="154"/>
      <c r="W17" s="153"/>
    </row>
    <row r="18" spans="2:23" s="150" customFormat="1" ht="16.5" customHeight="1">
      <c r="B18" s="151">
        <v>13</v>
      </c>
      <c r="C18" s="397" t="s">
        <v>73</v>
      </c>
      <c r="D18" s="236" t="s">
        <v>162</v>
      </c>
      <c r="E18" s="229" t="s">
        <v>253</v>
      </c>
      <c r="F18" s="229">
        <v>2</v>
      </c>
      <c r="G18" s="398" t="s">
        <v>259</v>
      </c>
      <c r="H18" s="398" t="s">
        <v>259</v>
      </c>
      <c r="I18" s="399">
        <v>1</v>
      </c>
      <c r="J18" s="241">
        <v>680</v>
      </c>
      <c r="K18" s="241">
        <f t="shared" si="0"/>
        <v>1360</v>
      </c>
      <c r="L18" s="240"/>
      <c r="M18" s="239">
        <v>1</v>
      </c>
      <c r="N18" s="241">
        <v>685</v>
      </c>
      <c r="O18" s="241">
        <f t="shared" si="1"/>
        <v>1370</v>
      </c>
      <c r="P18" s="240"/>
      <c r="Q18" s="239">
        <f t="shared" si="2"/>
        <v>1.0073529411764706</v>
      </c>
      <c r="R18" s="241">
        <v>695</v>
      </c>
      <c r="S18" s="241">
        <f t="shared" si="3"/>
        <v>1390</v>
      </c>
      <c r="T18" s="240"/>
      <c r="U18" s="239">
        <f t="shared" si="4"/>
        <v>1.0220588235294117</v>
      </c>
      <c r="V18" s="154"/>
      <c r="W18" s="153"/>
    </row>
    <row r="19" spans="2:23" s="150" customFormat="1" ht="16.5" customHeight="1">
      <c r="B19" s="151">
        <v>14</v>
      </c>
      <c r="C19" s="397" t="s">
        <v>74</v>
      </c>
      <c r="D19" s="236" t="s">
        <v>163</v>
      </c>
      <c r="E19" s="229" t="s">
        <v>253</v>
      </c>
      <c r="F19" s="229">
        <v>10</v>
      </c>
      <c r="G19" s="398">
        <v>25</v>
      </c>
      <c r="H19" s="398">
        <f>F19*G19</f>
        <v>250</v>
      </c>
      <c r="I19" s="399">
        <f t="shared" ref="I19:I80" si="6">H19/K19</f>
        <v>1.1363636363636365</v>
      </c>
      <c r="J19" s="241">
        <v>22</v>
      </c>
      <c r="K19" s="241">
        <f t="shared" si="0"/>
        <v>220</v>
      </c>
      <c r="L19" s="240"/>
      <c r="M19" s="239">
        <v>1</v>
      </c>
      <c r="N19" s="241">
        <v>25</v>
      </c>
      <c r="O19" s="241">
        <f t="shared" si="1"/>
        <v>250</v>
      </c>
      <c r="P19" s="240"/>
      <c r="Q19" s="239">
        <f t="shared" si="2"/>
        <v>1.1363636363636365</v>
      </c>
      <c r="R19" s="241">
        <v>29</v>
      </c>
      <c r="S19" s="241">
        <f t="shared" si="3"/>
        <v>290</v>
      </c>
      <c r="T19" s="240"/>
      <c r="U19" s="239">
        <f t="shared" si="4"/>
        <v>1.3181818181818181</v>
      </c>
      <c r="V19" s="154"/>
      <c r="W19" s="153"/>
    </row>
    <row r="20" spans="2:23" s="150" customFormat="1" ht="16.5" customHeight="1">
      <c r="B20" s="151">
        <v>15</v>
      </c>
      <c r="C20" s="397" t="s">
        <v>75</v>
      </c>
      <c r="D20" s="236" t="s">
        <v>164</v>
      </c>
      <c r="E20" s="229" t="s">
        <v>253</v>
      </c>
      <c r="F20" s="229">
        <v>4</v>
      </c>
      <c r="G20" s="398" t="s">
        <v>259</v>
      </c>
      <c r="H20" s="398" t="s">
        <v>259</v>
      </c>
      <c r="I20" s="399">
        <v>1</v>
      </c>
      <c r="J20" s="241">
        <v>6.8</v>
      </c>
      <c r="K20" s="241">
        <f t="shared" si="0"/>
        <v>27.2</v>
      </c>
      <c r="L20" s="240"/>
      <c r="M20" s="239">
        <v>1</v>
      </c>
      <c r="N20" s="241">
        <v>7.5</v>
      </c>
      <c r="O20" s="241">
        <f t="shared" si="1"/>
        <v>30</v>
      </c>
      <c r="P20" s="240"/>
      <c r="Q20" s="239">
        <f t="shared" si="2"/>
        <v>1.1029411764705883</v>
      </c>
      <c r="R20" s="241">
        <v>7</v>
      </c>
      <c r="S20" s="241">
        <f t="shared" si="3"/>
        <v>28</v>
      </c>
      <c r="T20" s="240"/>
      <c r="U20" s="239">
        <f t="shared" si="4"/>
        <v>1.0294117647058825</v>
      </c>
      <c r="V20" s="154"/>
      <c r="W20" s="153"/>
    </row>
    <row r="21" spans="2:23" s="150" customFormat="1" ht="16.5" customHeight="1">
      <c r="B21" s="151">
        <v>16</v>
      </c>
      <c r="C21" s="397" t="s">
        <v>76</v>
      </c>
      <c r="D21" s="236" t="s">
        <v>165</v>
      </c>
      <c r="E21" s="229" t="s">
        <v>253</v>
      </c>
      <c r="F21" s="229">
        <v>4</v>
      </c>
      <c r="G21" s="398" t="s">
        <v>259</v>
      </c>
      <c r="H21" s="398" t="s">
        <v>259</v>
      </c>
      <c r="I21" s="399">
        <v>1</v>
      </c>
      <c r="J21" s="241">
        <v>6.8</v>
      </c>
      <c r="K21" s="241">
        <f t="shared" si="0"/>
        <v>27.2</v>
      </c>
      <c r="L21" s="240"/>
      <c r="M21" s="239">
        <v>1</v>
      </c>
      <c r="N21" s="241">
        <v>7.5</v>
      </c>
      <c r="O21" s="241">
        <f t="shared" si="1"/>
        <v>30</v>
      </c>
      <c r="P21" s="240"/>
      <c r="Q21" s="239">
        <f t="shared" si="2"/>
        <v>1.1029411764705883</v>
      </c>
      <c r="R21" s="241">
        <v>7</v>
      </c>
      <c r="S21" s="241">
        <f t="shared" si="3"/>
        <v>28</v>
      </c>
      <c r="T21" s="240"/>
      <c r="U21" s="239">
        <f t="shared" si="4"/>
        <v>1.0294117647058825</v>
      </c>
      <c r="V21" s="154"/>
      <c r="W21" s="153"/>
    </row>
    <row r="22" spans="2:23" s="150" customFormat="1" ht="16.5" customHeight="1">
      <c r="B22" s="151">
        <v>17</v>
      </c>
      <c r="C22" s="397" t="s">
        <v>77</v>
      </c>
      <c r="D22" s="236" t="s">
        <v>166</v>
      </c>
      <c r="E22" s="229" t="s">
        <v>253</v>
      </c>
      <c r="F22" s="229">
        <v>300</v>
      </c>
      <c r="G22" s="398">
        <v>4</v>
      </c>
      <c r="H22" s="398">
        <f t="shared" ref="H22:H83" si="7">F22*G22</f>
        <v>1200</v>
      </c>
      <c r="I22" s="399">
        <f t="shared" si="6"/>
        <v>1</v>
      </c>
      <c r="J22" s="241">
        <v>4</v>
      </c>
      <c r="K22" s="241">
        <f t="shared" si="0"/>
        <v>1200</v>
      </c>
      <c r="L22" s="240"/>
      <c r="M22" s="239">
        <v>1</v>
      </c>
      <c r="N22" s="241">
        <v>5.5</v>
      </c>
      <c r="O22" s="241">
        <f t="shared" si="1"/>
        <v>1650</v>
      </c>
      <c r="P22" s="240"/>
      <c r="Q22" s="239">
        <f t="shared" si="2"/>
        <v>1.375</v>
      </c>
      <c r="R22" s="241">
        <v>5</v>
      </c>
      <c r="S22" s="241">
        <f t="shared" si="3"/>
        <v>1500</v>
      </c>
      <c r="T22" s="240"/>
      <c r="U22" s="239">
        <f t="shared" si="4"/>
        <v>1.25</v>
      </c>
      <c r="V22" s="154"/>
      <c r="W22" s="153"/>
    </row>
    <row r="23" spans="2:23" s="150" customFormat="1" ht="16.5" customHeight="1">
      <c r="B23" s="151">
        <v>18</v>
      </c>
      <c r="C23" s="397" t="s">
        <v>78</v>
      </c>
      <c r="D23" s="236" t="s">
        <v>167</v>
      </c>
      <c r="E23" s="229" t="s">
        <v>253</v>
      </c>
      <c r="F23" s="229">
        <v>50</v>
      </c>
      <c r="G23" s="398">
        <v>6</v>
      </c>
      <c r="H23" s="398">
        <f t="shared" si="7"/>
        <v>300</v>
      </c>
      <c r="I23" s="399">
        <f t="shared" si="6"/>
        <v>1.3953488372093024</v>
      </c>
      <c r="J23" s="241">
        <v>4.3</v>
      </c>
      <c r="K23" s="241">
        <f t="shared" si="0"/>
        <v>215</v>
      </c>
      <c r="L23" s="240"/>
      <c r="M23" s="239">
        <v>1</v>
      </c>
      <c r="N23" s="241">
        <v>4.5</v>
      </c>
      <c r="O23" s="241">
        <f t="shared" si="1"/>
        <v>225</v>
      </c>
      <c r="P23" s="240"/>
      <c r="Q23" s="239">
        <f t="shared" si="2"/>
        <v>1.0465116279069768</v>
      </c>
      <c r="R23" s="241">
        <v>4.5</v>
      </c>
      <c r="S23" s="241">
        <f t="shared" si="3"/>
        <v>225</v>
      </c>
      <c r="T23" s="240"/>
      <c r="U23" s="239">
        <f t="shared" si="4"/>
        <v>1.0465116279069768</v>
      </c>
      <c r="V23" s="154"/>
      <c r="W23" s="153"/>
    </row>
    <row r="24" spans="2:23" s="150" customFormat="1" ht="16.5" customHeight="1">
      <c r="B24" s="151">
        <v>19</v>
      </c>
      <c r="C24" s="397" t="s">
        <v>79</v>
      </c>
      <c r="D24" s="236" t="s">
        <v>168</v>
      </c>
      <c r="E24" s="229" t="s">
        <v>253</v>
      </c>
      <c r="F24" s="229">
        <v>12</v>
      </c>
      <c r="G24" s="398">
        <v>6</v>
      </c>
      <c r="H24" s="398">
        <f t="shared" si="7"/>
        <v>72</v>
      </c>
      <c r="I24" s="399">
        <f t="shared" si="6"/>
        <v>1.3953488372093026</v>
      </c>
      <c r="J24" s="241">
        <v>4.3</v>
      </c>
      <c r="K24" s="241">
        <f t="shared" si="0"/>
        <v>51.599999999999994</v>
      </c>
      <c r="L24" s="240"/>
      <c r="M24" s="239">
        <v>1</v>
      </c>
      <c r="N24" s="241">
        <v>4.5</v>
      </c>
      <c r="O24" s="241">
        <f t="shared" si="1"/>
        <v>54</v>
      </c>
      <c r="P24" s="240"/>
      <c r="Q24" s="239">
        <f t="shared" si="2"/>
        <v>1.0465116279069768</v>
      </c>
      <c r="R24" s="241">
        <v>4.5</v>
      </c>
      <c r="S24" s="241">
        <f t="shared" si="3"/>
        <v>54</v>
      </c>
      <c r="T24" s="240"/>
      <c r="U24" s="239">
        <f t="shared" si="4"/>
        <v>1.0465116279069768</v>
      </c>
      <c r="V24" s="154"/>
      <c r="W24" s="153"/>
    </row>
    <row r="25" spans="2:23" s="150" customFormat="1" ht="16.5" customHeight="1">
      <c r="B25" s="151">
        <v>20</v>
      </c>
      <c r="C25" s="397" t="s">
        <v>80</v>
      </c>
      <c r="D25" s="236"/>
      <c r="E25" s="229" t="s">
        <v>253</v>
      </c>
      <c r="F25" s="229">
        <v>50</v>
      </c>
      <c r="G25" s="398" t="s">
        <v>259</v>
      </c>
      <c r="H25" s="398" t="s">
        <v>259</v>
      </c>
      <c r="I25" s="399">
        <v>1</v>
      </c>
      <c r="J25" s="241">
        <v>7.2</v>
      </c>
      <c r="K25" s="241">
        <f t="shared" si="0"/>
        <v>360</v>
      </c>
      <c r="L25" s="240"/>
      <c r="M25" s="239">
        <v>1</v>
      </c>
      <c r="N25" s="241">
        <v>8</v>
      </c>
      <c r="O25" s="241">
        <f t="shared" si="1"/>
        <v>400</v>
      </c>
      <c r="P25" s="240"/>
      <c r="Q25" s="239">
        <f t="shared" si="2"/>
        <v>1.1111111111111112</v>
      </c>
      <c r="R25" s="241">
        <v>9</v>
      </c>
      <c r="S25" s="241">
        <f t="shared" si="3"/>
        <v>450</v>
      </c>
      <c r="T25" s="240"/>
      <c r="U25" s="239">
        <f t="shared" si="4"/>
        <v>1.25</v>
      </c>
      <c r="V25" s="154"/>
      <c r="W25" s="153"/>
    </row>
    <row r="26" spans="2:23" s="150" customFormat="1" ht="16.5" customHeight="1">
      <c r="B26" s="151">
        <v>21</v>
      </c>
      <c r="C26" s="397" t="s">
        <v>81</v>
      </c>
      <c r="D26" s="236"/>
      <c r="E26" s="229" t="s">
        <v>253</v>
      </c>
      <c r="F26" s="229">
        <v>30</v>
      </c>
      <c r="G26" s="398" t="s">
        <v>259</v>
      </c>
      <c r="H26" s="398" t="s">
        <v>259</v>
      </c>
      <c r="I26" s="399">
        <v>1</v>
      </c>
      <c r="J26" s="241">
        <v>9.5</v>
      </c>
      <c r="K26" s="241">
        <f t="shared" si="0"/>
        <v>285</v>
      </c>
      <c r="L26" s="240"/>
      <c r="M26" s="239">
        <v>1</v>
      </c>
      <c r="N26" s="241">
        <v>12</v>
      </c>
      <c r="O26" s="241">
        <f t="shared" si="1"/>
        <v>360</v>
      </c>
      <c r="P26" s="240"/>
      <c r="Q26" s="239">
        <f t="shared" si="2"/>
        <v>1.263157894736842</v>
      </c>
      <c r="R26" s="241">
        <v>15</v>
      </c>
      <c r="S26" s="241">
        <f t="shared" si="3"/>
        <v>450</v>
      </c>
      <c r="T26" s="240"/>
      <c r="U26" s="239">
        <f t="shared" si="4"/>
        <v>1.5789473684210527</v>
      </c>
      <c r="V26" s="154"/>
      <c r="W26" s="153"/>
    </row>
    <row r="27" spans="2:23" s="150" customFormat="1" ht="16.5" customHeight="1">
      <c r="B27" s="151">
        <v>22</v>
      </c>
      <c r="C27" s="397" t="s">
        <v>82</v>
      </c>
      <c r="D27" s="236" t="s">
        <v>169</v>
      </c>
      <c r="E27" s="229" t="s">
        <v>253</v>
      </c>
      <c r="F27" s="229">
        <v>2</v>
      </c>
      <c r="G27" s="398">
        <v>142</v>
      </c>
      <c r="H27" s="398">
        <f t="shared" si="7"/>
        <v>284</v>
      </c>
      <c r="I27" s="399">
        <f t="shared" si="6"/>
        <v>1.0518518518518518</v>
      </c>
      <c r="J27" s="241">
        <v>135</v>
      </c>
      <c r="K27" s="241">
        <f t="shared" si="0"/>
        <v>270</v>
      </c>
      <c r="L27" s="240"/>
      <c r="M27" s="239">
        <v>1</v>
      </c>
      <c r="N27" s="241">
        <v>148</v>
      </c>
      <c r="O27" s="241">
        <f t="shared" si="1"/>
        <v>296</v>
      </c>
      <c r="P27" s="240"/>
      <c r="Q27" s="239">
        <f t="shared" si="2"/>
        <v>1.0962962962962963</v>
      </c>
      <c r="R27" s="241">
        <v>160</v>
      </c>
      <c r="S27" s="241">
        <f t="shared" si="3"/>
        <v>320</v>
      </c>
      <c r="T27" s="240"/>
      <c r="U27" s="239">
        <f t="shared" si="4"/>
        <v>1.1851851851851851</v>
      </c>
      <c r="V27" s="154"/>
      <c r="W27" s="153"/>
    </row>
    <row r="28" spans="2:23" s="150" customFormat="1" ht="16.5" customHeight="1">
      <c r="B28" s="151">
        <v>23</v>
      </c>
      <c r="C28" s="397" t="s">
        <v>83</v>
      </c>
      <c r="D28" s="236" t="s">
        <v>170</v>
      </c>
      <c r="E28" s="229" t="s">
        <v>253</v>
      </c>
      <c r="F28" s="229">
        <v>2</v>
      </c>
      <c r="G28" s="398">
        <v>37</v>
      </c>
      <c r="H28" s="398">
        <f t="shared" si="7"/>
        <v>74</v>
      </c>
      <c r="I28" s="399">
        <f t="shared" si="6"/>
        <v>0.71153846153846156</v>
      </c>
      <c r="J28" s="241">
        <v>52</v>
      </c>
      <c r="K28" s="241">
        <f t="shared" si="0"/>
        <v>104</v>
      </c>
      <c r="L28" s="240"/>
      <c r="M28" s="239">
        <v>1</v>
      </c>
      <c r="N28" s="241">
        <v>53</v>
      </c>
      <c r="O28" s="241">
        <f t="shared" si="1"/>
        <v>106</v>
      </c>
      <c r="P28" s="240"/>
      <c r="Q28" s="239">
        <f t="shared" si="2"/>
        <v>1.0192307692307692</v>
      </c>
      <c r="R28" s="241">
        <v>52</v>
      </c>
      <c r="S28" s="241">
        <f t="shared" si="3"/>
        <v>104</v>
      </c>
      <c r="T28" s="240"/>
      <c r="U28" s="239">
        <f t="shared" si="4"/>
        <v>1</v>
      </c>
      <c r="V28" s="154"/>
      <c r="W28" s="153"/>
    </row>
    <row r="29" spans="2:23" s="150" customFormat="1" ht="16.5" customHeight="1">
      <c r="B29" s="151">
        <v>24</v>
      </c>
      <c r="C29" s="397" t="s">
        <v>84</v>
      </c>
      <c r="D29" s="236" t="s">
        <v>171</v>
      </c>
      <c r="E29" s="229" t="s">
        <v>253</v>
      </c>
      <c r="F29" s="229">
        <v>300</v>
      </c>
      <c r="G29" s="398" t="s">
        <v>259</v>
      </c>
      <c r="H29" s="398" t="s">
        <v>259</v>
      </c>
      <c r="I29" s="399">
        <v>1</v>
      </c>
      <c r="J29" s="241">
        <v>1.9</v>
      </c>
      <c r="K29" s="241">
        <f t="shared" si="0"/>
        <v>570</v>
      </c>
      <c r="L29" s="240"/>
      <c r="M29" s="239">
        <v>1</v>
      </c>
      <c r="N29" s="241">
        <v>2.2000000000000002</v>
      </c>
      <c r="O29" s="241">
        <f t="shared" si="1"/>
        <v>660</v>
      </c>
      <c r="P29" s="240"/>
      <c r="Q29" s="239">
        <f t="shared" si="2"/>
        <v>1.1578947368421053</v>
      </c>
      <c r="R29" s="241">
        <v>2</v>
      </c>
      <c r="S29" s="241">
        <f t="shared" si="3"/>
        <v>600</v>
      </c>
      <c r="T29" s="240"/>
      <c r="U29" s="239">
        <f t="shared" si="4"/>
        <v>1.0526315789473684</v>
      </c>
      <c r="V29" s="154"/>
      <c r="W29" s="153"/>
    </row>
    <row r="30" spans="2:23" s="150" customFormat="1" ht="16.5" customHeight="1">
      <c r="B30" s="151">
        <v>25</v>
      </c>
      <c r="C30" s="397" t="s">
        <v>85</v>
      </c>
      <c r="D30" s="236" t="s">
        <v>172</v>
      </c>
      <c r="E30" s="229" t="s">
        <v>253</v>
      </c>
      <c r="F30" s="229">
        <v>15</v>
      </c>
      <c r="G30" s="398">
        <v>10</v>
      </c>
      <c r="H30" s="398">
        <f t="shared" si="7"/>
        <v>150</v>
      </c>
      <c r="I30" s="399">
        <f t="shared" si="6"/>
        <v>1.0526315789473684</v>
      </c>
      <c r="J30" s="241">
        <v>9.5</v>
      </c>
      <c r="K30" s="241">
        <f t="shared" si="0"/>
        <v>142.5</v>
      </c>
      <c r="L30" s="240"/>
      <c r="M30" s="239">
        <v>1</v>
      </c>
      <c r="N30" s="241">
        <v>10</v>
      </c>
      <c r="O30" s="241">
        <f t="shared" si="1"/>
        <v>150</v>
      </c>
      <c r="P30" s="240"/>
      <c r="Q30" s="239">
        <f t="shared" si="2"/>
        <v>1.0526315789473684</v>
      </c>
      <c r="R30" s="241">
        <v>12</v>
      </c>
      <c r="S30" s="241">
        <f t="shared" si="3"/>
        <v>180</v>
      </c>
      <c r="T30" s="240"/>
      <c r="U30" s="239">
        <f t="shared" si="4"/>
        <v>1.263157894736842</v>
      </c>
      <c r="V30" s="154"/>
      <c r="W30" s="153"/>
    </row>
    <row r="31" spans="2:23" s="150" customFormat="1" ht="16.5" customHeight="1">
      <c r="B31" s="151">
        <v>26</v>
      </c>
      <c r="C31" s="397" t="s">
        <v>75</v>
      </c>
      <c r="D31" s="236" t="s">
        <v>173</v>
      </c>
      <c r="E31" s="229" t="s">
        <v>253</v>
      </c>
      <c r="F31" s="229">
        <v>4</v>
      </c>
      <c r="G31" s="398" t="s">
        <v>259</v>
      </c>
      <c r="H31" s="398" t="s">
        <v>259</v>
      </c>
      <c r="I31" s="399">
        <v>1</v>
      </c>
      <c r="J31" s="241">
        <v>9.6</v>
      </c>
      <c r="K31" s="241">
        <f t="shared" si="0"/>
        <v>38.4</v>
      </c>
      <c r="L31" s="240"/>
      <c r="M31" s="239">
        <v>1</v>
      </c>
      <c r="N31" s="241">
        <v>10</v>
      </c>
      <c r="O31" s="241">
        <f t="shared" si="1"/>
        <v>40</v>
      </c>
      <c r="P31" s="240"/>
      <c r="Q31" s="239">
        <f t="shared" si="2"/>
        <v>1.0416666666666667</v>
      </c>
      <c r="R31" s="241">
        <v>12</v>
      </c>
      <c r="S31" s="241">
        <f t="shared" si="3"/>
        <v>48</v>
      </c>
      <c r="T31" s="240"/>
      <c r="U31" s="239">
        <f t="shared" si="4"/>
        <v>1.25</v>
      </c>
      <c r="V31" s="154"/>
      <c r="W31" s="153"/>
    </row>
    <row r="32" spans="2:23" s="150" customFormat="1" ht="16.5" customHeight="1">
      <c r="B32" s="151">
        <v>27</v>
      </c>
      <c r="C32" s="397" t="s">
        <v>83</v>
      </c>
      <c r="D32" s="236" t="s">
        <v>174</v>
      </c>
      <c r="E32" s="229" t="s">
        <v>253</v>
      </c>
      <c r="F32" s="229">
        <v>4</v>
      </c>
      <c r="G32" s="398" t="s">
        <v>259</v>
      </c>
      <c r="H32" s="398" t="s">
        <v>259</v>
      </c>
      <c r="I32" s="399">
        <v>1</v>
      </c>
      <c r="J32" s="241">
        <v>98</v>
      </c>
      <c r="K32" s="241">
        <f t="shared" si="0"/>
        <v>392</v>
      </c>
      <c r="L32" s="240"/>
      <c r="M32" s="239">
        <v>1</v>
      </c>
      <c r="N32" s="241">
        <v>110</v>
      </c>
      <c r="O32" s="241">
        <f t="shared" si="1"/>
        <v>440</v>
      </c>
      <c r="P32" s="240"/>
      <c r="Q32" s="239">
        <f t="shared" si="2"/>
        <v>1.1224489795918366</v>
      </c>
      <c r="R32" s="241">
        <v>102</v>
      </c>
      <c r="S32" s="241">
        <f t="shared" si="3"/>
        <v>408</v>
      </c>
      <c r="T32" s="240"/>
      <c r="U32" s="239">
        <f t="shared" si="4"/>
        <v>1.0408163265306123</v>
      </c>
      <c r="V32" s="154"/>
      <c r="W32" s="153"/>
    </row>
    <row r="33" spans="2:23" s="150" customFormat="1" ht="16.5" customHeight="1">
      <c r="B33" s="151">
        <v>28</v>
      </c>
      <c r="C33" s="397" t="s">
        <v>86</v>
      </c>
      <c r="D33" s="236" t="s">
        <v>175</v>
      </c>
      <c r="E33" s="229" t="s">
        <v>255</v>
      </c>
      <c r="F33" s="229">
        <v>9050</v>
      </c>
      <c r="G33" s="398">
        <v>1.3</v>
      </c>
      <c r="H33" s="398">
        <f t="shared" si="7"/>
        <v>11765</v>
      </c>
      <c r="I33" s="399">
        <f t="shared" si="6"/>
        <v>1</v>
      </c>
      <c r="J33" s="241">
        <v>1.3</v>
      </c>
      <c r="K33" s="241">
        <f t="shared" si="0"/>
        <v>11765</v>
      </c>
      <c r="L33" s="240"/>
      <c r="M33" s="239">
        <v>1</v>
      </c>
      <c r="N33" s="241">
        <v>1.3</v>
      </c>
      <c r="O33" s="241">
        <f t="shared" si="1"/>
        <v>11765</v>
      </c>
      <c r="P33" s="240"/>
      <c r="Q33" s="239">
        <f t="shared" si="2"/>
        <v>1</v>
      </c>
      <c r="R33" s="241">
        <v>1.5</v>
      </c>
      <c r="S33" s="241">
        <f t="shared" si="3"/>
        <v>13575</v>
      </c>
      <c r="T33" s="240"/>
      <c r="U33" s="239">
        <f t="shared" si="4"/>
        <v>1.1538461538461537</v>
      </c>
      <c r="V33" s="154"/>
      <c r="W33" s="153"/>
    </row>
    <row r="34" spans="2:23" s="150" customFormat="1" ht="16.5" customHeight="1">
      <c r="B34" s="151">
        <v>29</v>
      </c>
      <c r="C34" s="397" t="s">
        <v>87</v>
      </c>
      <c r="D34" s="236" t="s">
        <v>176</v>
      </c>
      <c r="E34" s="229" t="s">
        <v>253</v>
      </c>
      <c r="F34" s="229">
        <v>3800</v>
      </c>
      <c r="G34" s="398">
        <v>3</v>
      </c>
      <c r="H34" s="398">
        <f t="shared" si="7"/>
        <v>11400</v>
      </c>
      <c r="I34" s="399">
        <f t="shared" si="6"/>
        <v>1</v>
      </c>
      <c r="J34" s="241">
        <v>3</v>
      </c>
      <c r="K34" s="241">
        <f t="shared" si="0"/>
        <v>11400</v>
      </c>
      <c r="L34" s="240"/>
      <c r="M34" s="239">
        <v>1</v>
      </c>
      <c r="N34" s="241">
        <v>3</v>
      </c>
      <c r="O34" s="241">
        <f t="shared" si="1"/>
        <v>11400</v>
      </c>
      <c r="P34" s="240"/>
      <c r="Q34" s="239">
        <f t="shared" si="2"/>
        <v>1</v>
      </c>
      <c r="R34" s="241">
        <v>3.3</v>
      </c>
      <c r="S34" s="241">
        <f t="shared" si="3"/>
        <v>12540</v>
      </c>
      <c r="T34" s="240"/>
      <c r="U34" s="239">
        <f t="shared" si="4"/>
        <v>1.1000000000000001</v>
      </c>
      <c r="V34" s="154"/>
      <c r="W34" s="153"/>
    </row>
    <row r="35" spans="2:23" s="150" customFormat="1" ht="16.5" customHeight="1">
      <c r="B35" s="151">
        <v>30</v>
      </c>
      <c r="C35" s="397" t="s">
        <v>67</v>
      </c>
      <c r="D35" s="236" t="s">
        <v>177</v>
      </c>
      <c r="E35" s="229" t="s">
        <v>253</v>
      </c>
      <c r="F35" s="229">
        <v>1250</v>
      </c>
      <c r="G35" s="398">
        <v>7.8</v>
      </c>
      <c r="H35" s="398">
        <f t="shared" si="7"/>
        <v>9750</v>
      </c>
      <c r="I35" s="399">
        <f t="shared" si="6"/>
        <v>1</v>
      </c>
      <c r="J35" s="241">
        <v>7.8</v>
      </c>
      <c r="K35" s="241">
        <f t="shared" si="0"/>
        <v>9750</v>
      </c>
      <c r="L35" s="240"/>
      <c r="M35" s="239">
        <v>1</v>
      </c>
      <c r="N35" s="241">
        <v>8</v>
      </c>
      <c r="O35" s="241">
        <f t="shared" si="1"/>
        <v>10000</v>
      </c>
      <c r="P35" s="240"/>
      <c r="Q35" s="239">
        <f t="shared" si="2"/>
        <v>1.0256410256410255</v>
      </c>
      <c r="R35" s="241">
        <v>8</v>
      </c>
      <c r="S35" s="241">
        <f t="shared" si="3"/>
        <v>10000</v>
      </c>
      <c r="T35" s="240"/>
      <c r="U35" s="239">
        <f t="shared" si="4"/>
        <v>1.0256410256410255</v>
      </c>
      <c r="V35" s="154"/>
      <c r="W35" s="153"/>
    </row>
    <row r="36" spans="2:23" s="150" customFormat="1" ht="16.5" customHeight="1">
      <c r="B36" s="151">
        <v>31</v>
      </c>
      <c r="C36" s="397" t="s">
        <v>88</v>
      </c>
      <c r="D36" s="236" t="s">
        <v>178</v>
      </c>
      <c r="E36" s="229" t="s">
        <v>253</v>
      </c>
      <c r="F36" s="229">
        <v>1550</v>
      </c>
      <c r="G36" s="398">
        <v>19</v>
      </c>
      <c r="H36" s="398">
        <f t="shared" si="7"/>
        <v>29450</v>
      </c>
      <c r="I36" s="399">
        <f t="shared" si="6"/>
        <v>1.0857142857142856</v>
      </c>
      <c r="J36" s="241">
        <v>17.5</v>
      </c>
      <c r="K36" s="241">
        <f t="shared" si="0"/>
        <v>27125</v>
      </c>
      <c r="L36" s="240"/>
      <c r="M36" s="239">
        <v>1</v>
      </c>
      <c r="N36" s="241">
        <v>18</v>
      </c>
      <c r="O36" s="241">
        <f t="shared" si="1"/>
        <v>27900</v>
      </c>
      <c r="P36" s="240"/>
      <c r="Q36" s="239">
        <f t="shared" si="2"/>
        <v>1.0285714285714285</v>
      </c>
      <c r="R36" s="241">
        <v>17.8</v>
      </c>
      <c r="S36" s="241">
        <f t="shared" si="3"/>
        <v>27590</v>
      </c>
      <c r="T36" s="240"/>
      <c r="U36" s="239">
        <f t="shared" si="4"/>
        <v>1.0171428571428571</v>
      </c>
      <c r="V36" s="154"/>
      <c r="W36" s="153"/>
    </row>
    <row r="37" spans="2:23" s="150" customFormat="1" ht="16.5" customHeight="1">
      <c r="B37" s="151">
        <v>32</v>
      </c>
      <c r="C37" s="397" t="s">
        <v>89</v>
      </c>
      <c r="D37" s="236" t="s">
        <v>179</v>
      </c>
      <c r="E37" s="229" t="s">
        <v>253</v>
      </c>
      <c r="F37" s="229">
        <v>624</v>
      </c>
      <c r="G37" s="398">
        <v>15</v>
      </c>
      <c r="H37" s="398">
        <f t="shared" si="7"/>
        <v>9360</v>
      </c>
      <c r="I37" s="399">
        <f t="shared" si="6"/>
        <v>1.171875</v>
      </c>
      <c r="J37" s="241">
        <v>12.8</v>
      </c>
      <c r="K37" s="241">
        <f t="shared" si="0"/>
        <v>7987.2000000000007</v>
      </c>
      <c r="L37" s="240"/>
      <c r="M37" s="239">
        <v>1</v>
      </c>
      <c r="N37" s="241">
        <v>13.2</v>
      </c>
      <c r="O37" s="241">
        <f t="shared" si="1"/>
        <v>8236.7999999999993</v>
      </c>
      <c r="P37" s="240"/>
      <c r="Q37" s="239">
        <f t="shared" si="2"/>
        <v>1.0312499999999998</v>
      </c>
      <c r="R37" s="241">
        <v>13</v>
      </c>
      <c r="S37" s="241">
        <f t="shared" si="3"/>
        <v>8112</v>
      </c>
      <c r="T37" s="240"/>
      <c r="U37" s="239">
        <f t="shared" si="4"/>
        <v>1.015625</v>
      </c>
      <c r="V37" s="154"/>
      <c r="W37" s="153"/>
    </row>
    <row r="38" spans="2:23" s="150" customFormat="1" ht="16.5" customHeight="1">
      <c r="B38" s="151">
        <v>33</v>
      </c>
      <c r="C38" s="397" t="s">
        <v>90</v>
      </c>
      <c r="D38" s="236" t="s">
        <v>180</v>
      </c>
      <c r="E38" s="229" t="s">
        <v>253</v>
      </c>
      <c r="F38" s="229">
        <v>120</v>
      </c>
      <c r="G38" s="398">
        <v>35</v>
      </c>
      <c r="H38" s="398">
        <f t="shared" si="7"/>
        <v>4200</v>
      </c>
      <c r="I38" s="399">
        <f t="shared" si="6"/>
        <v>1.09375</v>
      </c>
      <c r="J38" s="241">
        <v>32</v>
      </c>
      <c r="K38" s="241">
        <f t="shared" si="0"/>
        <v>3840</v>
      </c>
      <c r="L38" s="240"/>
      <c r="M38" s="239">
        <v>1</v>
      </c>
      <c r="N38" s="241">
        <v>35</v>
      </c>
      <c r="O38" s="241">
        <f t="shared" si="1"/>
        <v>4200</v>
      </c>
      <c r="P38" s="240"/>
      <c r="Q38" s="239">
        <f t="shared" si="2"/>
        <v>1.09375</v>
      </c>
      <c r="R38" s="241">
        <v>36</v>
      </c>
      <c r="S38" s="241">
        <f t="shared" si="3"/>
        <v>4320</v>
      </c>
      <c r="T38" s="240"/>
      <c r="U38" s="239">
        <f t="shared" si="4"/>
        <v>1.125</v>
      </c>
      <c r="V38" s="154"/>
      <c r="W38" s="153"/>
    </row>
    <row r="39" spans="2:23" s="150" customFormat="1" ht="16.5" customHeight="1">
      <c r="B39" s="151">
        <v>34</v>
      </c>
      <c r="C39" s="397" t="s">
        <v>91</v>
      </c>
      <c r="D39" s="236"/>
      <c r="E39" s="229" t="s">
        <v>253</v>
      </c>
      <c r="F39" s="229">
        <v>3100</v>
      </c>
      <c r="G39" s="398">
        <v>0.6</v>
      </c>
      <c r="H39" s="398">
        <f t="shared" si="7"/>
        <v>1860</v>
      </c>
      <c r="I39" s="399">
        <f t="shared" si="6"/>
        <v>1.0909090909090908</v>
      </c>
      <c r="J39" s="241">
        <v>0.55000000000000004</v>
      </c>
      <c r="K39" s="241">
        <f t="shared" si="0"/>
        <v>1705.0000000000002</v>
      </c>
      <c r="L39" s="240"/>
      <c r="M39" s="239">
        <v>1</v>
      </c>
      <c r="N39" s="241">
        <v>0.6</v>
      </c>
      <c r="O39" s="241">
        <f t="shared" si="1"/>
        <v>1860</v>
      </c>
      <c r="P39" s="240"/>
      <c r="Q39" s="239">
        <f t="shared" si="2"/>
        <v>1.0909090909090908</v>
      </c>
      <c r="R39" s="241">
        <v>0.6</v>
      </c>
      <c r="S39" s="241">
        <f t="shared" si="3"/>
        <v>1860</v>
      </c>
      <c r="T39" s="240"/>
      <c r="U39" s="239">
        <f t="shared" si="4"/>
        <v>1.0909090909090908</v>
      </c>
      <c r="V39" s="154"/>
      <c r="W39" s="153"/>
    </row>
    <row r="40" spans="2:23" s="150" customFormat="1" ht="16.5" customHeight="1">
      <c r="B40" s="151">
        <v>35</v>
      </c>
      <c r="C40" s="397" t="s">
        <v>92</v>
      </c>
      <c r="D40" s="236" t="s">
        <v>181</v>
      </c>
      <c r="E40" s="229" t="s">
        <v>253</v>
      </c>
      <c r="F40" s="229">
        <v>210</v>
      </c>
      <c r="G40" s="398">
        <v>0.95</v>
      </c>
      <c r="H40" s="398">
        <f t="shared" si="7"/>
        <v>199.5</v>
      </c>
      <c r="I40" s="399">
        <f t="shared" si="6"/>
        <v>1.1176470588235294</v>
      </c>
      <c r="J40" s="241">
        <v>0.85</v>
      </c>
      <c r="K40" s="241">
        <f t="shared" si="0"/>
        <v>178.5</v>
      </c>
      <c r="L40" s="240"/>
      <c r="M40" s="239">
        <v>1</v>
      </c>
      <c r="N40" s="241">
        <v>0.85</v>
      </c>
      <c r="O40" s="241">
        <f t="shared" si="1"/>
        <v>178.5</v>
      </c>
      <c r="P40" s="240"/>
      <c r="Q40" s="239">
        <f t="shared" si="2"/>
        <v>1</v>
      </c>
      <c r="R40" s="241">
        <v>0.9</v>
      </c>
      <c r="S40" s="241">
        <f t="shared" si="3"/>
        <v>189</v>
      </c>
      <c r="T40" s="240"/>
      <c r="U40" s="239">
        <f t="shared" si="4"/>
        <v>1.0588235294117647</v>
      </c>
      <c r="V40" s="154"/>
      <c r="W40" s="153"/>
    </row>
    <row r="41" spans="2:23" s="150" customFormat="1" ht="16.5" customHeight="1">
      <c r="B41" s="151">
        <v>36</v>
      </c>
      <c r="C41" s="397" t="s">
        <v>93</v>
      </c>
      <c r="D41" s="236" t="s">
        <v>182</v>
      </c>
      <c r="E41" s="229" t="s">
        <v>253</v>
      </c>
      <c r="F41" s="229">
        <v>260</v>
      </c>
      <c r="G41" s="398">
        <v>0.95</v>
      </c>
      <c r="H41" s="398">
        <f t="shared" si="7"/>
        <v>247</v>
      </c>
      <c r="I41" s="399">
        <f t="shared" si="6"/>
        <v>1.1176470588235294</v>
      </c>
      <c r="J41" s="241">
        <v>0.85</v>
      </c>
      <c r="K41" s="241">
        <f t="shared" si="0"/>
        <v>221</v>
      </c>
      <c r="L41" s="240"/>
      <c r="M41" s="239">
        <v>1</v>
      </c>
      <c r="N41" s="241">
        <v>0.85</v>
      </c>
      <c r="O41" s="241">
        <f t="shared" si="1"/>
        <v>221</v>
      </c>
      <c r="P41" s="240"/>
      <c r="Q41" s="239">
        <f t="shared" si="2"/>
        <v>1</v>
      </c>
      <c r="R41" s="241">
        <v>0.9</v>
      </c>
      <c r="S41" s="241">
        <f t="shared" si="3"/>
        <v>234</v>
      </c>
      <c r="T41" s="240"/>
      <c r="U41" s="239">
        <f t="shared" si="4"/>
        <v>1.0588235294117647</v>
      </c>
      <c r="V41" s="154"/>
      <c r="W41" s="153"/>
    </row>
    <row r="42" spans="2:23" s="150" customFormat="1" ht="16.5" customHeight="1">
      <c r="B42" s="151">
        <v>37</v>
      </c>
      <c r="C42" s="397" t="s">
        <v>94</v>
      </c>
      <c r="D42" s="236" t="s">
        <v>183</v>
      </c>
      <c r="E42" s="229" t="s">
        <v>253</v>
      </c>
      <c r="F42" s="229">
        <v>50</v>
      </c>
      <c r="G42" s="398">
        <v>13</v>
      </c>
      <c r="H42" s="398">
        <f t="shared" si="7"/>
        <v>650</v>
      </c>
      <c r="I42" s="399">
        <f t="shared" si="6"/>
        <v>1</v>
      </c>
      <c r="J42" s="241">
        <v>13</v>
      </c>
      <c r="K42" s="241">
        <f t="shared" si="0"/>
        <v>650</v>
      </c>
      <c r="L42" s="240"/>
      <c r="M42" s="239">
        <v>1</v>
      </c>
      <c r="N42" s="241">
        <v>16</v>
      </c>
      <c r="O42" s="241">
        <f t="shared" si="1"/>
        <v>800</v>
      </c>
      <c r="P42" s="240"/>
      <c r="Q42" s="239">
        <f t="shared" si="2"/>
        <v>1.2307692307692308</v>
      </c>
      <c r="R42" s="241">
        <v>16</v>
      </c>
      <c r="S42" s="241">
        <f t="shared" si="3"/>
        <v>800</v>
      </c>
      <c r="T42" s="240"/>
      <c r="U42" s="239">
        <f t="shared" si="4"/>
        <v>1.2307692307692308</v>
      </c>
      <c r="V42" s="154"/>
      <c r="W42" s="153"/>
    </row>
    <row r="43" spans="2:23" s="150" customFormat="1" ht="16.5" customHeight="1">
      <c r="B43" s="151">
        <v>38</v>
      </c>
      <c r="C43" s="397" t="s">
        <v>94</v>
      </c>
      <c r="D43" s="236" t="s">
        <v>184</v>
      </c>
      <c r="E43" s="229" t="s">
        <v>253</v>
      </c>
      <c r="F43" s="229">
        <v>150</v>
      </c>
      <c r="G43" s="398">
        <v>18</v>
      </c>
      <c r="H43" s="398">
        <f t="shared" si="7"/>
        <v>2700</v>
      </c>
      <c r="I43" s="399">
        <f t="shared" si="6"/>
        <v>1.2</v>
      </c>
      <c r="J43" s="241">
        <v>15</v>
      </c>
      <c r="K43" s="241">
        <f t="shared" si="0"/>
        <v>2250</v>
      </c>
      <c r="L43" s="240"/>
      <c r="M43" s="239">
        <v>1</v>
      </c>
      <c r="N43" s="241">
        <v>22</v>
      </c>
      <c r="O43" s="241">
        <f t="shared" si="1"/>
        <v>3300</v>
      </c>
      <c r="P43" s="240"/>
      <c r="Q43" s="239">
        <f t="shared" si="2"/>
        <v>1.4666666666666666</v>
      </c>
      <c r="R43" s="241">
        <v>20</v>
      </c>
      <c r="S43" s="241">
        <f t="shared" si="3"/>
        <v>3000</v>
      </c>
      <c r="T43" s="240"/>
      <c r="U43" s="239">
        <f t="shared" si="4"/>
        <v>1.3333333333333333</v>
      </c>
      <c r="V43" s="154"/>
      <c r="W43" s="153"/>
    </row>
    <row r="44" spans="2:23" s="150" customFormat="1" ht="16.5" customHeight="1">
      <c r="B44" s="151">
        <v>39</v>
      </c>
      <c r="C44" s="397" t="s">
        <v>95</v>
      </c>
      <c r="D44" s="236" t="s">
        <v>185</v>
      </c>
      <c r="E44" s="229" t="s">
        <v>253</v>
      </c>
      <c r="F44" s="229">
        <v>350</v>
      </c>
      <c r="G44" s="398">
        <v>12</v>
      </c>
      <c r="H44" s="398">
        <f t="shared" si="7"/>
        <v>4200</v>
      </c>
      <c r="I44" s="399">
        <f t="shared" si="6"/>
        <v>1.0169491525423728</v>
      </c>
      <c r="J44" s="241">
        <v>11.8</v>
      </c>
      <c r="K44" s="241">
        <f t="shared" si="0"/>
        <v>4130</v>
      </c>
      <c r="L44" s="240"/>
      <c r="M44" s="239">
        <v>1</v>
      </c>
      <c r="N44" s="241">
        <v>12.5</v>
      </c>
      <c r="O44" s="241">
        <f t="shared" si="1"/>
        <v>4375</v>
      </c>
      <c r="P44" s="240"/>
      <c r="Q44" s="239">
        <f t="shared" si="2"/>
        <v>1.0593220338983051</v>
      </c>
      <c r="R44" s="241">
        <v>13</v>
      </c>
      <c r="S44" s="241">
        <f t="shared" si="3"/>
        <v>4550</v>
      </c>
      <c r="T44" s="240"/>
      <c r="U44" s="239">
        <f t="shared" si="4"/>
        <v>1.1016949152542372</v>
      </c>
      <c r="V44" s="154"/>
      <c r="W44" s="153"/>
    </row>
    <row r="45" spans="2:23" s="150" customFormat="1" ht="16.5" customHeight="1">
      <c r="B45" s="151">
        <v>40</v>
      </c>
      <c r="C45" s="397" t="s">
        <v>96</v>
      </c>
      <c r="D45" s="236" t="s">
        <v>186</v>
      </c>
      <c r="E45" s="229" t="s">
        <v>253</v>
      </c>
      <c r="F45" s="229">
        <v>100</v>
      </c>
      <c r="G45" s="398">
        <v>7</v>
      </c>
      <c r="H45" s="398">
        <f t="shared" si="7"/>
        <v>700</v>
      </c>
      <c r="I45" s="399">
        <f t="shared" si="6"/>
        <v>1.2727272727272727</v>
      </c>
      <c r="J45" s="241">
        <v>5.5</v>
      </c>
      <c r="K45" s="241">
        <f t="shared" si="0"/>
        <v>550</v>
      </c>
      <c r="L45" s="240"/>
      <c r="M45" s="239">
        <v>1</v>
      </c>
      <c r="N45" s="241">
        <v>5.9</v>
      </c>
      <c r="O45" s="241">
        <f t="shared" si="1"/>
        <v>590</v>
      </c>
      <c r="P45" s="240"/>
      <c r="Q45" s="239">
        <f t="shared" si="2"/>
        <v>1.0727272727272728</v>
      </c>
      <c r="R45" s="241">
        <v>6</v>
      </c>
      <c r="S45" s="241">
        <f t="shared" si="3"/>
        <v>600</v>
      </c>
      <c r="T45" s="240"/>
      <c r="U45" s="239">
        <f t="shared" si="4"/>
        <v>1.0909090909090908</v>
      </c>
      <c r="V45" s="154"/>
      <c r="W45" s="153"/>
    </row>
    <row r="46" spans="2:23" s="150" customFormat="1" ht="16.5" customHeight="1">
      <c r="B46" s="151">
        <v>41</v>
      </c>
      <c r="C46" s="397" t="s">
        <v>97</v>
      </c>
      <c r="D46" s="236"/>
      <c r="E46" s="229" t="s">
        <v>253</v>
      </c>
      <c r="F46" s="229">
        <v>50</v>
      </c>
      <c r="G46" s="398">
        <v>36</v>
      </c>
      <c r="H46" s="398">
        <f t="shared" si="7"/>
        <v>1800</v>
      </c>
      <c r="I46" s="399">
        <f t="shared" si="6"/>
        <v>1.0285714285714285</v>
      </c>
      <c r="J46" s="241">
        <v>35</v>
      </c>
      <c r="K46" s="241">
        <f t="shared" si="0"/>
        <v>1750</v>
      </c>
      <c r="L46" s="240"/>
      <c r="M46" s="239">
        <v>1</v>
      </c>
      <c r="N46" s="241">
        <v>38</v>
      </c>
      <c r="O46" s="241">
        <f t="shared" si="1"/>
        <v>1900</v>
      </c>
      <c r="P46" s="240"/>
      <c r="Q46" s="239">
        <f t="shared" si="2"/>
        <v>1.0857142857142856</v>
      </c>
      <c r="R46" s="241">
        <v>45</v>
      </c>
      <c r="S46" s="241">
        <f t="shared" si="3"/>
        <v>2250</v>
      </c>
      <c r="T46" s="240"/>
      <c r="U46" s="239">
        <f t="shared" si="4"/>
        <v>1.2857142857142858</v>
      </c>
      <c r="V46" s="154"/>
      <c r="W46" s="153"/>
    </row>
    <row r="47" spans="2:23" s="150" customFormat="1" ht="16.5" customHeight="1">
      <c r="B47" s="151">
        <v>42</v>
      </c>
      <c r="C47" s="397" t="s">
        <v>98</v>
      </c>
      <c r="D47" s="236" t="s">
        <v>187</v>
      </c>
      <c r="E47" s="229" t="s">
        <v>253</v>
      </c>
      <c r="F47" s="229">
        <v>1000</v>
      </c>
      <c r="G47" s="398">
        <v>21</v>
      </c>
      <c r="H47" s="398">
        <f t="shared" si="7"/>
        <v>21000</v>
      </c>
      <c r="I47" s="399">
        <f t="shared" si="6"/>
        <v>1</v>
      </c>
      <c r="J47" s="241">
        <v>21</v>
      </c>
      <c r="K47" s="241">
        <f t="shared" si="0"/>
        <v>21000</v>
      </c>
      <c r="L47" s="240"/>
      <c r="M47" s="239">
        <v>1</v>
      </c>
      <c r="N47" s="241">
        <v>23</v>
      </c>
      <c r="O47" s="241">
        <f t="shared" si="1"/>
        <v>23000</v>
      </c>
      <c r="P47" s="240"/>
      <c r="Q47" s="239">
        <f t="shared" si="2"/>
        <v>1.0952380952380953</v>
      </c>
      <c r="R47" s="241">
        <v>25</v>
      </c>
      <c r="S47" s="241">
        <f t="shared" si="3"/>
        <v>25000</v>
      </c>
      <c r="T47" s="240"/>
      <c r="U47" s="239">
        <f t="shared" si="4"/>
        <v>1.1904761904761905</v>
      </c>
      <c r="V47" s="154"/>
      <c r="W47" s="153"/>
    </row>
    <row r="48" spans="2:23" s="150" customFormat="1" ht="16.5" customHeight="1">
      <c r="B48" s="151">
        <v>43</v>
      </c>
      <c r="C48" s="397" t="s">
        <v>99</v>
      </c>
      <c r="D48" s="236" t="s">
        <v>188</v>
      </c>
      <c r="E48" s="229" t="s">
        <v>253</v>
      </c>
      <c r="F48" s="229">
        <v>250</v>
      </c>
      <c r="G48" s="398">
        <v>28</v>
      </c>
      <c r="H48" s="398">
        <f t="shared" si="7"/>
        <v>7000</v>
      </c>
      <c r="I48" s="399">
        <f t="shared" si="6"/>
        <v>1</v>
      </c>
      <c r="J48" s="241">
        <v>28</v>
      </c>
      <c r="K48" s="241">
        <f t="shared" si="0"/>
        <v>7000</v>
      </c>
      <c r="L48" s="240"/>
      <c r="M48" s="239">
        <v>1</v>
      </c>
      <c r="N48" s="241">
        <v>33</v>
      </c>
      <c r="O48" s="241">
        <f t="shared" si="1"/>
        <v>8250</v>
      </c>
      <c r="P48" s="240"/>
      <c r="Q48" s="239">
        <f t="shared" si="2"/>
        <v>1.1785714285714286</v>
      </c>
      <c r="R48" s="241">
        <v>35</v>
      </c>
      <c r="S48" s="241">
        <f t="shared" si="3"/>
        <v>8750</v>
      </c>
      <c r="T48" s="240"/>
      <c r="U48" s="239">
        <f t="shared" si="4"/>
        <v>1.25</v>
      </c>
      <c r="V48" s="154"/>
      <c r="W48" s="153"/>
    </row>
    <row r="49" spans="2:23" s="150" customFormat="1" ht="16.5" customHeight="1">
      <c r="B49" s="151">
        <v>44</v>
      </c>
      <c r="C49" s="397" t="s">
        <v>100</v>
      </c>
      <c r="D49" s="236" t="s">
        <v>189</v>
      </c>
      <c r="E49" s="229" t="s">
        <v>253</v>
      </c>
      <c r="F49" s="229">
        <v>2</v>
      </c>
      <c r="G49" s="398" t="s">
        <v>259</v>
      </c>
      <c r="H49" s="398" t="s">
        <v>259</v>
      </c>
      <c r="I49" s="399">
        <v>1</v>
      </c>
      <c r="J49" s="241">
        <v>176</v>
      </c>
      <c r="K49" s="241">
        <f t="shared" si="0"/>
        <v>352</v>
      </c>
      <c r="L49" s="240"/>
      <c r="M49" s="239">
        <v>1</v>
      </c>
      <c r="N49" s="241">
        <v>183</v>
      </c>
      <c r="O49" s="241">
        <f t="shared" si="1"/>
        <v>366</v>
      </c>
      <c r="P49" s="240"/>
      <c r="Q49" s="239">
        <f t="shared" si="2"/>
        <v>1.0397727272727273</v>
      </c>
      <c r="R49" s="241">
        <v>176</v>
      </c>
      <c r="S49" s="241">
        <f t="shared" si="3"/>
        <v>352</v>
      </c>
      <c r="T49" s="240"/>
      <c r="U49" s="239">
        <f t="shared" si="4"/>
        <v>1</v>
      </c>
      <c r="V49" s="154"/>
      <c r="W49" s="153"/>
    </row>
    <row r="50" spans="2:23" s="150" customFormat="1" ht="16.5" customHeight="1">
      <c r="B50" s="151">
        <v>45</v>
      </c>
      <c r="C50" s="397" t="s">
        <v>101</v>
      </c>
      <c r="D50" s="236" t="s">
        <v>190</v>
      </c>
      <c r="E50" s="229" t="s">
        <v>253</v>
      </c>
      <c r="F50" s="229">
        <v>200</v>
      </c>
      <c r="G50" s="398">
        <v>4</v>
      </c>
      <c r="H50" s="398">
        <f t="shared" si="7"/>
        <v>800</v>
      </c>
      <c r="I50" s="399">
        <f t="shared" si="6"/>
        <v>1.2121212121212122</v>
      </c>
      <c r="J50" s="241">
        <v>3.3</v>
      </c>
      <c r="K50" s="241">
        <f t="shared" si="0"/>
        <v>660</v>
      </c>
      <c r="L50" s="240"/>
      <c r="M50" s="239">
        <v>1</v>
      </c>
      <c r="N50" s="241">
        <v>3.5</v>
      </c>
      <c r="O50" s="241">
        <f t="shared" si="1"/>
        <v>700</v>
      </c>
      <c r="P50" s="240"/>
      <c r="Q50" s="239">
        <f t="shared" si="2"/>
        <v>1.0606060606060606</v>
      </c>
      <c r="R50" s="241">
        <v>3.4</v>
      </c>
      <c r="S50" s="241">
        <f t="shared" si="3"/>
        <v>680</v>
      </c>
      <c r="T50" s="240"/>
      <c r="U50" s="239">
        <f t="shared" si="4"/>
        <v>1.0303030303030303</v>
      </c>
      <c r="V50" s="154"/>
      <c r="W50" s="153"/>
    </row>
    <row r="51" spans="2:23" s="150" customFormat="1" ht="16.5" customHeight="1">
      <c r="B51" s="151">
        <v>46</v>
      </c>
      <c r="C51" s="397" t="s">
        <v>102</v>
      </c>
      <c r="D51" s="236" t="s">
        <v>191</v>
      </c>
      <c r="E51" s="229" t="s">
        <v>253</v>
      </c>
      <c r="F51" s="229">
        <v>768</v>
      </c>
      <c r="G51" s="398">
        <v>2</v>
      </c>
      <c r="H51" s="398">
        <f t="shared" si="7"/>
        <v>1536</v>
      </c>
      <c r="I51" s="399">
        <f t="shared" si="6"/>
        <v>1.2121212121212124</v>
      </c>
      <c r="J51" s="241">
        <v>1.65</v>
      </c>
      <c r="K51" s="241">
        <f t="shared" si="0"/>
        <v>1267.1999999999998</v>
      </c>
      <c r="L51" s="240"/>
      <c r="M51" s="239">
        <v>1</v>
      </c>
      <c r="N51" s="241">
        <v>2</v>
      </c>
      <c r="O51" s="241">
        <f t="shared" si="1"/>
        <v>1536</v>
      </c>
      <c r="P51" s="240"/>
      <c r="Q51" s="239">
        <f t="shared" si="2"/>
        <v>1.2121212121212124</v>
      </c>
      <c r="R51" s="241">
        <v>1.8</v>
      </c>
      <c r="S51" s="241">
        <f t="shared" si="3"/>
        <v>1382.4</v>
      </c>
      <c r="T51" s="240"/>
      <c r="U51" s="239">
        <f t="shared" si="4"/>
        <v>1.0909090909090911</v>
      </c>
      <c r="V51" s="154"/>
      <c r="W51" s="153"/>
    </row>
    <row r="52" spans="2:23" s="150" customFormat="1" ht="16.5" customHeight="1">
      <c r="B52" s="151">
        <v>47</v>
      </c>
      <c r="C52" s="397" t="s">
        <v>103</v>
      </c>
      <c r="D52" s="236" t="s">
        <v>192</v>
      </c>
      <c r="E52" s="229" t="s">
        <v>253</v>
      </c>
      <c r="F52" s="229">
        <v>500</v>
      </c>
      <c r="G52" s="398">
        <v>2</v>
      </c>
      <c r="H52" s="398">
        <f t="shared" si="7"/>
        <v>1000</v>
      </c>
      <c r="I52" s="399">
        <f t="shared" si="6"/>
        <v>1.0526315789473684</v>
      </c>
      <c r="J52" s="241">
        <v>1.9</v>
      </c>
      <c r="K52" s="241">
        <f t="shared" si="0"/>
        <v>950</v>
      </c>
      <c r="L52" s="240"/>
      <c r="M52" s="239">
        <v>1</v>
      </c>
      <c r="N52" s="241">
        <v>2.2000000000000002</v>
      </c>
      <c r="O52" s="241">
        <f t="shared" si="1"/>
        <v>1100</v>
      </c>
      <c r="P52" s="240"/>
      <c r="Q52" s="239">
        <f t="shared" si="2"/>
        <v>1.1578947368421053</v>
      </c>
      <c r="R52" s="241">
        <v>2</v>
      </c>
      <c r="S52" s="241">
        <f t="shared" si="3"/>
        <v>1000</v>
      </c>
      <c r="T52" s="240"/>
      <c r="U52" s="239">
        <f t="shared" si="4"/>
        <v>1.0526315789473684</v>
      </c>
      <c r="V52" s="154"/>
      <c r="W52" s="153"/>
    </row>
    <row r="53" spans="2:23" s="150" customFormat="1" ht="16.5" customHeight="1">
      <c r="B53" s="151">
        <v>48</v>
      </c>
      <c r="C53" s="397" t="s">
        <v>104</v>
      </c>
      <c r="D53" s="236" t="s">
        <v>193</v>
      </c>
      <c r="E53" s="229" t="s">
        <v>253</v>
      </c>
      <c r="F53" s="229">
        <v>50</v>
      </c>
      <c r="G53" s="398" t="s">
        <v>259</v>
      </c>
      <c r="H53" s="398" t="s">
        <v>259</v>
      </c>
      <c r="I53" s="399">
        <v>1</v>
      </c>
      <c r="J53" s="241">
        <v>1.25</v>
      </c>
      <c r="K53" s="241">
        <f t="shared" si="0"/>
        <v>62.5</v>
      </c>
      <c r="L53" s="240"/>
      <c r="M53" s="239">
        <v>1</v>
      </c>
      <c r="N53" s="241">
        <v>1.3</v>
      </c>
      <c r="O53" s="241">
        <f t="shared" si="1"/>
        <v>65</v>
      </c>
      <c r="P53" s="240"/>
      <c r="Q53" s="239">
        <f t="shared" si="2"/>
        <v>1.04</v>
      </c>
      <c r="R53" s="241">
        <v>1.5</v>
      </c>
      <c r="S53" s="241">
        <f t="shared" si="3"/>
        <v>75</v>
      </c>
      <c r="T53" s="240"/>
      <c r="U53" s="239">
        <f t="shared" si="4"/>
        <v>1.2</v>
      </c>
      <c r="V53" s="154"/>
      <c r="W53" s="153"/>
    </row>
    <row r="54" spans="2:23" s="150" customFormat="1" ht="16.5" customHeight="1">
      <c r="B54" s="151">
        <v>49</v>
      </c>
      <c r="C54" s="397" t="s">
        <v>105</v>
      </c>
      <c r="D54" s="236" t="s">
        <v>194</v>
      </c>
      <c r="E54" s="229" t="s">
        <v>253</v>
      </c>
      <c r="F54" s="229">
        <v>10</v>
      </c>
      <c r="G54" s="398">
        <v>5</v>
      </c>
      <c r="H54" s="398">
        <f t="shared" si="7"/>
        <v>50</v>
      </c>
      <c r="I54" s="399">
        <f t="shared" si="6"/>
        <v>1.3513513513513513</v>
      </c>
      <c r="J54" s="241">
        <v>3.7</v>
      </c>
      <c r="K54" s="241">
        <f t="shared" si="0"/>
        <v>37</v>
      </c>
      <c r="L54" s="240"/>
      <c r="M54" s="239">
        <v>1</v>
      </c>
      <c r="N54" s="241">
        <v>4.5999999999999996</v>
      </c>
      <c r="O54" s="241">
        <f t="shared" si="1"/>
        <v>46</v>
      </c>
      <c r="P54" s="240"/>
      <c r="Q54" s="239">
        <f t="shared" si="2"/>
        <v>1.2432432432432432</v>
      </c>
      <c r="R54" s="241">
        <v>5</v>
      </c>
      <c r="S54" s="241">
        <f t="shared" si="3"/>
        <v>50</v>
      </c>
      <c r="T54" s="240"/>
      <c r="U54" s="239">
        <f t="shared" si="4"/>
        <v>1.3513513513513513</v>
      </c>
      <c r="V54" s="154"/>
      <c r="W54" s="153"/>
    </row>
    <row r="55" spans="2:23" s="150" customFormat="1" ht="16.5" customHeight="1">
      <c r="B55" s="151">
        <v>50</v>
      </c>
      <c r="C55" s="397" t="s">
        <v>101</v>
      </c>
      <c r="D55" s="236" t="s">
        <v>195</v>
      </c>
      <c r="E55" s="229" t="s">
        <v>253</v>
      </c>
      <c r="F55" s="229">
        <v>50</v>
      </c>
      <c r="G55" s="398">
        <v>1.7</v>
      </c>
      <c r="H55" s="398">
        <f t="shared" si="7"/>
        <v>85</v>
      </c>
      <c r="I55" s="399">
        <f t="shared" si="6"/>
        <v>0.79069767441860461</v>
      </c>
      <c r="J55" s="241">
        <v>2.15</v>
      </c>
      <c r="K55" s="241">
        <f t="shared" si="0"/>
        <v>107.5</v>
      </c>
      <c r="L55" s="240"/>
      <c r="M55" s="239">
        <v>1</v>
      </c>
      <c r="N55" s="241">
        <v>2.2000000000000002</v>
      </c>
      <c r="O55" s="241">
        <f t="shared" si="1"/>
        <v>110.00000000000001</v>
      </c>
      <c r="P55" s="240"/>
      <c r="Q55" s="239">
        <f t="shared" si="2"/>
        <v>1.0232558139534884</v>
      </c>
      <c r="R55" s="241">
        <v>2.25</v>
      </c>
      <c r="S55" s="241">
        <f t="shared" si="3"/>
        <v>112.5</v>
      </c>
      <c r="T55" s="240"/>
      <c r="U55" s="239">
        <f t="shared" si="4"/>
        <v>1.0465116279069768</v>
      </c>
      <c r="V55" s="154"/>
      <c r="W55" s="153"/>
    </row>
    <row r="56" spans="2:23" s="150" customFormat="1" ht="16.5" customHeight="1">
      <c r="B56" s="151">
        <v>51</v>
      </c>
      <c r="C56" s="397" t="s">
        <v>106</v>
      </c>
      <c r="D56" s="236" t="s">
        <v>196</v>
      </c>
      <c r="E56" s="229" t="s">
        <v>253</v>
      </c>
      <c r="F56" s="229">
        <v>5</v>
      </c>
      <c r="G56" s="398" t="s">
        <v>259</v>
      </c>
      <c r="H56" s="398" t="s">
        <v>259</v>
      </c>
      <c r="I56" s="399">
        <v>1</v>
      </c>
      <c r="J56" s="241">
        <v>16</v>
      </c>
      <c r="K56" s="241">
        <f t="shared" si="0"/>
        <v>80</v>
      </c>
      <c r="L56" s="240"/>
      <c r="M56" s="239">
        <v>1</v>
      </c>
      <c r="N56" s="241">
        <v>17</v>
      </c>
      <c r="O56" s="241">
        <f t="shared" si="1"/>
        <v>85</v>
      </c>
      <c r="P56" s="240"/>
      <c r="Q56" s="239">
        <f t="shared" si="2"/>
        <v>1.0625</v>
      </c>
      <c r="R56" s="241">
        <v>19</v>
      </c>
      <c r="S56" s="241">
        <f t="shared" si="3"/>
        <v>95</v>
      </c>
      <c r="T56" s="240"/>
      <c r="U56" s="239">
        <f t="shared" si="4"/>
        <v>1.1875</v>
      </c>
      <c r="V56" s="154"/>
      <c r="W56" s="153"/>
    </row>
    <row r="57" spans="2:23" s="150" customFormat="1" ht="16.5" customHeight="1">
      <c r="B57" s="151">
        <v>52</v>
      </c>
      <c r="C57" s="397" t="s">
        <v>107</v>
      </c>
      <c r="D57" s="236" t="s">
        <v>197</v>
      </c>
      <c r="E57" s="229" t="s">
        <v>253</v>
      </c>
      <c r="F57" s="229">
        <v>5</v>
      </c>
      <c r="G57" s="398">
        <v>30</v>
      </c>
      <c r="H57" s="398">
        <f t="shared" si="7"/>
        <v>150</v>
      </c>
      <c r="I57" s="399">
        <f t="shared" si="6"/>
        <v>1.0526315789473684</v>
      </c>
      <c r="J57" s="241">
        <v>28.5</v>
      </c>
      <c r="K57" s="241">
        <f t="shared" si="0"/>
        <v>142.5</v>
      </c>
      <c r="L57" s="240"/>
      <c r="M57" s="239">
        <v>1</v>
      </c>
      <c r="N57" s="241">
        <v>31</v>
      </c>
      <c r="O57" s="241">
        <f t="shared" si="1"/>
        <v>155</v>
      </c>
      <c r="P57" s="240"/>
      <c r="Q57" s="239">
        <f t="shared" si="2"/>
        <v>1.0877192982456141</v>
      </c>
      <c r="R57" s="241">
        <v>33</v>
      </c>
      <c r="S57" s="241">
        <f t="shared" si="3"/>
        <v>165</v>
      </c>
      <c r="T57" s="240"/>
      <c r="U57" s="239">
        <f t="shared" si="4"/>
        <v>1.1578947368421053</v>
      </c>
      <c r="V57" s="154"/>
      <c r="W57" s="153"/>
    </row>
    <row r="58" spans="2:23" s="150" customFormat="1" ht="16.5" customHeight="1">
      <c r="B58" s="151">
        <v>53</v>
      </c>
      <c r="C58" s="397" t="s">
        <v>108</v>
      </c>
      <c r="D58" s="236"/>
      <c r="E58" s="229" t="s">
        <v>253</v>
      </c>
      <c r="F58" s="229">
        <v>10</v>
      </c>
      <c r="G58" s="398">
        <v>19</v>
      </c>
      <c r="H58" s="398">
        <f t="shared" si="7"/>
        <v>190</v>
      </c>
      <c r="I58" s="399">
        <f t="shared" si="6"/>
        <v>1.0555555555555556</v>
      </c>
      <c r="J58" s="241">
        <v>18</v>
      </c>
      <c r="K58" s="241">
        <f t="shared" si="0"/>
        <v>180</v>
      </c>
      <c r="L58" s="240"/>
      <c r="M58" s="239">
        <v>1</v>
      </c>
      <c r="N58" s="241">
        <v>18</v>
      </c>
      <c r="O58" s="241">
        <f t="shared" si="1"/>
        <v>180</v>
      </c>
      <c r="P58" s="240"/>
      <c r="Q58" s="239">
        <f t="shared" si="2"/>
        <v>1</v>
      </c>
      <c r="R58" s="241">
        <v>20</v>
      </c>
      <c r="S58" s="241">
        <f t="shared" si="3"/>
        <v>200</v>
      </c>
      <c r="T58" s="240"/>
      <c r="U58" s="239">
        <f t="shared" si="4"/>
        <v>1.1111111111111112</v>
      </c>
      <c r="V58" s="154"/>
      <c r="W58" s="153"/>
    </row>
    <row r="59" spans="2:23" s="150" customFormat="1" ht="16.5" customHeight="1">
      <c r="B59" s="151">
        <v>54</v>
      </c>
      <c r="C59" s="397" t="s">
        <v>109</v>
      </c>
      <c r="D59" s="236" t="s">
        <v>198</v>
      </c>
      <c r="E59" s="229" t="s">
        <v>255</v>
      </c>
      <c r="F59" s="229">
        <v>120</v>
      </c>
      <c r="G59" s="398">
        <v>5</v>
      </c>
      <c r="H59" s="398">
        <f t="shared" si="7"/>
        <v>600</v>
      </c>
      <c r="I59" s="399">
        <f t="shared" si="6"/>
        <v>1.25</v>
      </c>
      <c r="J59" s="241">
        <v>4</v>
      </c>
      <c r="K59" s="241">
        <f t="shared" si="0"/>
        <v>480</v>
      </c>
      <c r="L59" s="240"/>
      <c r="M59" s="239">
        <v>1</v>
      </c>
      <c r="N59" s="241">
        <v>5.5</v>
      </c>
      <c r="O59" s="241">
        <f t="shared" si="1"/>
        <v>660</v>
      </c>
      <c r="P59" s="240"/>
      <c r="Q59" s="239">
        <f t="shared" si="2"/>
        <v>1.375</v>
      </c>
      <c r="R59" s="241">
        <v>5</v>
      </c>
      <c r="S59" s="241">
        <f t="shared" si="3"/>
        <v>600</v>
      </c>
      <c r="T59" s="240"/>
      <c r="U59" s="239">
        <f t="shared" si="4"/>
        <v>1.25</v>
      </c>
      <c r="V59" s="154"/>
      <c r="W59" s="153"/>
    </row>
    <row r="60" spans="2:23" s="150" customFormat="1" ht="16.5" customHeight="1">
      <c r="B60" s="393">
        <v>55</v>
      </c>
      <c r="C60" s="400" t="s">
        <v>110</v>
      </c>
      <c r="D60" s="401" t="s">
        <v>199</v>
      </c>
      <c r="E60" s="373" t="s">
        <v>253</v>
      </c>
      <c r="F60" s="373">
        <v>24</v>
      </c>
      <c r="G60" s="374">
        <v>4</v>
      </c>
      <c r="H60" s="374">
        <f t="shared" si="7"/>
        <v>96</v>
      </c>
      <c r="I60" s="375">
        <f t="shared" si="6"/>
        <v>1.0256410256410258</v>
      </c>
      <c r="J60" s="376">
        <v>3.9</v>
      </c>
      <c r="K60" s="376">
        <f t="shared" si="0"/>
        <v>93.6</v>
      </c>
      <c r="L60" s="377"/>
      <c r="M60" s="378">
        <v>1</v>
      </c>
      <c r="N60" s="376">
        <v>4.5</v>
      </c>
      <c r="O60" s="376">
        <f t="shared" si="1"/>
        <v>108</v>
      </c>
      <c r="P60" s="377"/>
      <c r="Q60" s="378">
        <f t="shared" si="2"/>
        <v>1.153846153846154</v>
      </c>
      <c r="R60" s="376">
        <v>4.5</v>
      </c>
      <c r="S60" s="376">
        <f t="shared" si="3"/>
        <v>108</v>
      </c>
      <c r="T60" s="377"/>
      <c r="U60" s="378">
        <f t="shared" si="4"/>
        <v>1.153846153846154</v>
      </c>
      <c r="V60" s="402"/>
      <c r="W60" s="153"/>
    </row>
    <row r="61" spans="2:23" s="150" customFormat="1" ht="16.5" customHeight="1">
      <c r="B61" s="151">
        <v>56</v>
      </c>
      <c r="C61" s="397" t="s">
        <v>111</v>
      </c>
      <c r="D61" s="236" t="s">
        <v>200</v>
      </c>
      <c r="E61" s="229" t="s">
        <v>253</v>
      </c>
      <c r="F61" s="229">
        <v>12</v>
      </c>
      <c r="G61" s="398">
        <v>48</v>
      </c>
      <c r="H61" s="398">
        <f t="shared" si="7"/>
        <v>576</v>
      </c>
      <c r="I61" s="399">
        <f t="shared" si="6"/>
        <v>1.0434782608695652</v>
      </c>
      <c r="J61" s="241">
        <v>46</v>
      </c>
      <c r="K61" s="241">
        <f t="shared" si="0"/>
        <v>552</v>
      </c>
      <c r="L61" s="240"/>
      <c r="M61" s="239">
        <v>1</v>
      </c>
      <c r="N61" s="241">
        <v>48</v>
      </c>
      <c r="O61" s="241">
        <f t="shared" si="1"/>
        <v>576</v>
      </c>
      <c r="P61" s="240"/>
      <c r="Q61" s="239">
        <f t="shared" si="2"/>
        <v>1.0434782608695652</v>
      </c>
      <c r="R61" s="241">
        <v>48</v>
      </c>
      <c r="S61" s="241">
        <f t="shared" si="3"/>
        <v>576</v>
      </c>
      <c r="T61" s="240"/>
      <c r="U61" s="239">
        <f t="shared" si="4"/>
        <v>1.0434782608695652</v>
      </c>
      <c r="V61" s="154"/>
      <c r="W61" s="153"/>
    </row>
    <row r="62" spans="2:23" s="150" customFormat="1" ht="16.5" customHeight="1">
      <c r="B62" s="151">
        <v>57</v>
      </c>
      <c r="C62" s="397" t="s">
        <v>112</v>
      </c>
      <c r="D62" s="236" t="s">
        <v>201</v>
      </c>
      <c r="E62" s="229" t="s">
        <v>253</v>
      </c>
      <c r="F62" s="229">
        <v>300</v>
      </c>
      <c r="G62" s="398">
        <v>3</v>
      </c>
      <c r="H62" s="398">
        <f t="shared" si="7"/>
        <v>900</v>
      </c>
      <c r="I62" s="399">
        <f t="shared" si="6"/>
        <v>1.3043478260869565</v>
      </c>
      <c r="J62" s="241">
        <v>2.2999999999999998</v>
      </c>
      <c r="K62" s="241">
        <f t="shared" si="0"/>
        <v>690</v>
      </c>
      <c r="L62" s="240"/>
      <c r="M62" s="239">
        <v>1</v>
      </c>
      <c r="N62" s="241">
        <v>2.2999999999999998</v>
      </c>
      <c r="O62" s="241">
        <f t="shared" si="1"/>
        <v>690</v>
      </c>
      <c r="P62" s="240"/>
      <c r="Q62" s="239">
        <f t="shared" si="2"/>
        <v>1</v>
      </c>
      <c r="R62" s="241">
        <v>2.4</v>
      </c>
      <c r="S62" s="241">
        <f t="shared" si="3"/>
        <v>720</v>
      </c>
      <c r="T62" s="240"/>
      <c r="U62" s="239">
        <f t="shared" si="4"/>
        <v>1.0434782608695652</v>
      </c>
      <c r="V62" s="154"/>
      <c r="W62" s="153"/>
    </row>
    <row r="63" spans="2:23" s="150" customFormat="1" ht="16.5" customHeight="1">
      <c r="B63" s="151">
        <v>58</v>
      </c>
      <c r="C63" s="397" t="s">
        <v>103</v>
      </c>
      <c r="D63" s="236" t="s">
        <v>202</v>
      </c>
      <c r="E63" s="229" t="s">
        <v>253</v>
      </c>
      <c r="F63" s="229">
        <v>100</v>
      </c>
      <c r="G63" s="398">
        <v>2</v>
      </c>
      <c r="H63" s="398">
        <f t="shared" si="7"/>
        <v>200</v>
      </c>
      <c r="I63" s="399">
        <f t="shared" si="6"/>
        <v>1.0526315789473684</v>
      </c>
      <c r="J63" s="241">
        <v>1.9</v>
      </c>
      <c r="K63" s="241">
        <f t="shared" si="0"/>
        <v>190</v>
      </c>
      <c r="L63" s="240"/>
      <c r="M63" s="239">
        <v>1</v>
      </c>
      <c r="N63" s="241">
        <v>2.2000000000000002</v>
      </c>
      <c r="O63" s="241">
        <f t="shared" si="1"/>
        <v>220.00000000000003</v>
      </c>
      <c r="P63" s="240"/>
      <c r="Q63" s="239">
        <f t="shared" si="2"/>
        <v>1.1578947368421053</v>
      </c>
      <c r="R63" s="241">
        <v>2</v>
      </c>
      <c r="S63" s="241">
        <f t="shared" si="3"/>
        <v>200</v>
      </c>
      <c r="T63" s="240"/>
      <c r="U63" s="239">
        <f t="shared" si="4"/>
        <v>1.0526315789473684</v>
      </c>
      <c r="V63" s="154"/>
      <c r="W63" s="153"/>
    </row>
    <row r="64" spans="2:23" s="150" customFormat="1" ht="16.5" customHeight="1">
      <c r="B64" s="151">
        <v>59</v>
      </c>
      <c r="C64" s="397" t="s">
        <v>113</v>
      </c>
      <c r="D64" s="236" t="s">
        <v>203</v>
      </c>
      <c r="E64" s="229" t="s">
        <v>253</v>
      </c>
      <c r="F64" s="229">
        <v>30</v>
      </c>
      <c r="G64" s="398">
        <v>55</v>
      </c>
      <c r="H64" s="398">
        <f t="shared" si="7"/>
        <v>1650</v>
      </c>
      <c r="I64" s="399">
        <f t="shared" si="6"/>
        <v>1.2222222222222223</v>
      </c>
      <c r="J64" s="241">
        <v>45</v>
      </c>
      <c r="K64" s="241">
        <f t="shared" si="0"/>
        <v>1350</v>
      </c>
      <c r="L64" s="240"/>
      <c r="M64" s="239">
        <v>1</v>
      </c>
      <c r="N64" s="241">
        <v>46</v>
      </c>
      <c r="O64" s="241">
        <f t="shared" si="1"/>
        <v>1380</v>
      </c>
      <c r="P64" s="240"/>
      <c r="Q64" s="239">
        <f t="shared" si="2"/>
        <v>1.0222222222222221</v>
      </c>
      <c r="R64" s="241">
        <v>47</v>
      </c>
      <c r="S64" s="241">
        <f t="shared" si="3"/>
        <v>1410</v>
      </c>
      <c r="T64" s="240"/>
      <c r="U64" s="239">
        <f t="shared" si="4"/>
        <v>1.0444444444444445</v>
      </c>
      <c r="V64" s="154"/>
      <c r="W64" s="153"/>
    </row>
    <row r="65" spans="2:23" s="150" customFormat="1" ht="16.5" customHeight="1">
      <c r="B65" s="151">
        <v>60</v>
      </c>
      <c r="C65" s="397" t="s">
        <v>114</v>
      </c>
      <c r="D65" s="236" t="s">
        <v>204</v>
      </c>
      <c r="E65" s="229" t="s">
        <v>253</v>
      </c>
      <c r="F65" s="229">
        <v>80</v>
      </c>
      <c r="G65" s="398">
        <v>50</v>
      </c>
      <c r="H65" s="398">
        <f t="shared" si="7"/>
        <v>4000</v>
      </c>
      <c r="I65" s="399">
        <f t="shared" si="6"/>
        <v>1.0869565217391304</v>
      </c>
      <c r="J65" s="241">
        <v>46</v>
      </c>
      <c r="K65" s="241">
        <f t="shared" si="0"/>
        <v>3680</v>
      </c>
      <c r="L65" s="240"/>
      <c r="M65" s="239">
        <v>1</v>
      </c>
      <c r="N65" s="241">
        <v>46</v>
      </c>
      <c r="O65" s="241">
        <f t="shared" si="1"/>
        <v>3680</v>
      </c>
      <c r="P65" s="240"/>
      <c r="Q65" s="239">
        <f t="shared" si="2"/>
        <v>1</v>
      </c>
      <c r="R65" s="241">
        <v>47</v>
      </c>
      <c r="S65" s="241">
        <f t="shared" si="3"/>
        <v>3760</v>
      </c>
      <c r="T65" s="240"/>
      <c r="U65" s="239">
        <f t="shared" si="4"/>
        <v>1.0217391304347827</v>
      </c>
      <c r="V65" s="154"/>
      <c r="W65" s="153"/>
    </row>
    <row r="66" spans="2:23" s="150" customFormat="1" ht="16.5" customHeight="1">
      <c r="B66" s="151">
        <v>61</v>
      </c>
      <c r="C66" s="397" t="s">
        <v>115</v>
      </c>
      <c r="D66" s="236" t="s">
        <v>205</v>
      </c>
      <c r="E66" s="229" t="s">
        <v>253</v>
      </c>
      <c r="F66" s="229">
        <v>75</v>
      </c>
      <c r="G66" s="398">
        <v>28</v>
      </c>
      <c r="H66" s="398">
        <f t="shared" si="7"/>
        <v>2100</v>
      </c>
      <c r="I66" s="399">
        <f t="shared" si="6"/>
        <v>1.0769230769230769</v>
      </c>
      <c r="J66" s="241">
        <v>26</v>
      </c>
      <c r="K66" s="241">
        <f t="shared" si="0"/>
        <v>1950</v>
      </c>
      <c r="L66" s="240"/>
      <c r="M66" s="239">
        <v>1</v>
      </c>
      <c r="N66" s="241">
        <v>30</v>
      </c>
      <c r="O66" s="241">
        <f t="shared" si="1"/>
        <v>2250</v>
      </c>
      <c r="P66" s="240"/>
      <c r="Q66" s="239">
        <f t="shared" si="2"/>
        <v>1.1538461538461537</v>
      </c>
      <c r="R66" s="241">
        <v>34</v>
      </c>
      <c r="S66" s="241">
        <f t="shared" si="3"/>
        <v>2550</v>
      </c>
      <c r="T66" s="240"/>
      <c r="U66" s="239">
        <f t="shared" si="4"/>
        <v>1.3076923076923077</v>
      </c>
      <c r="V66" s="154"/>
      <c r="W66" s="153"/>
    </row>
    <row r="67" spans="2:23" s="150" customFormat="1" ht="16.5" customHeight="1">
      <c r="B67" s="151">
        <v>62</v>
      </c>
      <c r="C67" s="397" t="s">
        <v>116</v>
      </c>
      <c r="D67" s="236" t="s">
        <v>206</v>
      </c>
      <c r="E67" s="229" t="s">
        <v>253</v>
      </c>
      <c r="F67" s="229">
        <v>100</v>
      </c>
      <c r="G67" s="398">
        <v>5.8</v>
      </c>
      <c r="H67" s="398">
        <f t="shared" si="7"/>
        <v>580</v>
      </c>
      <c r="I67" s="399">
        <f t="shared" si="6"/>
        <v>1.2608695652173914</v>
      </c>
      <c r="J67" s="241">
        <v>4.5999999999999996</v>
      </c>
      <c r="K67" s="241">
        <f t="shared" si="0"/>
        <v>459.99999999999994</v>
      </c>
      <c r="L67" s="240"/>
      <c r="M67" s="239">
        <v>1</v>
      </c>
      <c r="N67" s="241">
        <v>4.7</v>
      </c>
      <c r="O67" s="241">
        <f t="shared" si="1"/>
        <v>470</v>
      </c>
      <c r="P67" s="240"/>
      <c r="Q67" s="239">
        <f t="shared" si="2"/>
        <v>1.0217391304347827</v>
      </c>
      <c r="R67" s="241">
        <v>4.5999999999999996</v>
      </c>
      <c r="S67" s="241">
        <f t="shared" si="3"/>
        <v>459.99999999999994</v>
      </c>
      <c r="T67" s="240"/>
      <c r="U67" s="239">
        <f t="shared" si="4"/>
        <v>1</v>
      </c>
      <c r="V67" s="154"/>
      <c r="W67" s="153"/>
    </row>
    <row r="68" spans="2:23" s="150" customFormat="1" ht="16.5" customHeight="1">
      <c r="B68" s="151">
        <v>63</v>
      </c>
      <c r="C68" s="397" t="s">
        <v>117</v>
      </c>
      <c r="D68" s="236" t="s">
        <v>207</v>
      </c>
      <c r="E68" s="229" t="s">
        <v>253</v>
      </c>
      <c r="F68" s="229">
        <v>100</v>
      </c>
      <c r="G68" s="398">
        <v>5.8</v>
      </c>
      <c r="H68" s="398">
        <f t="shared" si="7"/>
        <v>580</v>
      </c>
      <c r="I68" s="399">
        <f t="shared" si="6"/>
        <v>1.2608695652173914</v>
      </c>
      <c r="J68" s="241">
        <v>4.5999999999999996</v>
      </c>
      <c r="K68" s="241">
        <f t="shared" si="0"/>
        <v>459.99999999999994</v>
      </c>
      <c r="L68" s="240"/>
      <c r="M68" s="239">
        <v>1</v>
      </c>
      <c r="N68" s="241">
        <v>4.8</v>
      </c>
      <c r="O68" s="241">
        <f t="shared" si="1"/>
        <v>480</v>
      </c>
      <c r="P68" s="240"/>
      <c r="Q68" s="239">
        <f t="shared" si="2"/>
        <v>1.0434782608695654</v>
      </c>
      <c r="R68" s="241">
        <v>4.8</v>
      </c>
      <c r="S68" s="241">
        <f t="shared" si="3"/>
        <v>480</v>
      </c>
      <c r="T68" s="240"/>
      <c r="U68" s="239">
        <f t="shared" si="4"/>
        <v>1.0434782608695654</v>
      </c>
      <c r="V68" s="154"/>
      <c r="W68" s="153"/>
    </row>
    <row r="69" spans="2:23" s="150" customFormat="1" ht="16.5" customHeight="1">
      <c r="B69" s="151">
        <v>64</v>
      </c>
      <c r="C69" s="397" t="s">
        <v>118</v>
      </c>
      <c r="D69" s="236" t="s">
        <v>208</v>
      </c>
      <c r="E69" s="229" t="s">
        <v>253</v>
      </c>
      <c r="F69" s="229">
        <v>20</v>
      </c>
      <c r="G69" s="398" t="s">
        <v>259</v>
      </c>
      <c r="H69" s="398" t="s">
        <v>259</v>
      </c>
      <c r="I69" s="399">
        <v>1</v>
      </c>
      <c r="J69" s="241">
        <v>680</v>
      </c>
      <c r="K69" s="241">
        <f t="shared" si="0"/>
        <v>13600</v>
      </c>
      <c r="L69" s="240"/>
      <c r="M69" s="239">
        <v>1</v>
      </c>
      <c r="N69" s="241">
        <v>725</v>
      </c>
      <c r="O69" s="241">
        <f t="shared" si="1"/>
        <v>14500</v>
      </c>
      <c r="P69" s="240"/>
      <c r="Q69" s="239">
        <f t="shared" si="2"/>
        <v>1.0661764705882353</v>
      </c>
      <c r="R69" s="241">
        <v>820</v>
      </c>
      <c r="S69" s="241">
        <f t="shared" si="3"/>
        <v>16400</v>
      </c>
      <c r="T69" s="240"/>
      <c r="U69" s="239">
        <f t="shared" si="4"/>
        <v>1.2058823529411764</v>
      </c>
      <c r="V69" s="154"/>
      <c r="W69" s="153"/>
    </row>
    <row r="70" spans="2:23" s="150" customFormat="1" ht="16.5" customHeight="1">
      <c r="B70" s="151">
        <v>65</v>
      </c>
      <c r="C70" s="397" t="s">
        <v>119</v>
      </c>
      <c r="D70" s="236" t="s">
        <v>209</v>
      </c>
      <c r="E70" s="229" t="s">
        <v>253</v>
      </c>
      <c r="F70" s="229">
        <v>100</v>
      </c>
      <c r="G70" s="398" t="s">
        <v>259</v>
      </c>
      <c r="H70" s="398" t="s">
        <v>259</v>
      </c>
      <c r="I70" s="399">
        <v>1</v>
      </c>
      <c r="J70" s="241">
        <v>45</v>
      </c>
      <c r="K70" s="241">
        <f t="shared" si="0"/>
        <v>4500</v>
      </c>
      <c r="L70" s="240"/>
      <c r="M70" s="239">
        <v>1</v>
      </c>
      <c r="N70" s="241">
        <v>54</v>
      </c>
      <c r="O70" s="241">
        <f t="shared" si="1"/>
        <v>5400</v>
      </c>
      <c r="P70" s="240"/>
      <c r="Q70" s="239">
        <f t="shared" si="2"/>
        <v>1.2</v>
      </c>
      <c r="R70" s="241">
        <v>65</v>
      </c>
      <c r="S70" s="241">
        <f t="shared" si="3"/>
        <v>6500</v>
      </c>
      <c r="T70" s="240"/>
      <c r="U70" s="239">
        <f t="shared" si="4"/>
        <v>1.4444444444444444</v>
      </c>
      <c r="V70" s="154"/>
      <c r="W70" s="153"/>
    </row>
    <row r="71" spans="2:23" s="150" customFormat="1" ht="16.5" customHeight="1">
      <c r="B71" s="151">
        <v>66</v>
      </c>
      <c r="C71" s="397" t="s">
        <v>120</v>
      </c>
      <c r="D71" s="236" t="s">
        <v>210</v>
      </c>
      <c r="E71" s="229" t="s">
        <v>253</v>
      </c>
      <c r="F71" s="229">
        <v>100</v>
      </c>
      <c r="G71" s="398" t="s">
        <v>259</v>
      </c>
      <c r="H71" s="398" t="s">
        <v>259</v>
      </c>
      <c r="I71" s="399">
        <v>1</v>
      </c>
      <c r="J71" s="241">
        <v>10</v>
      </c>
      <c r="K71" s="241">
        <f t="shared" ref="K71:K117" si="8">J71*F71</f>
        <v>1000</v>
      </c>
      <c r="L71" s="240"/>
      <c r="M71" s="239">
        <v>1</v>
      </c>
      <c r="N71" s="241">
        <v>12</v>
      </c>
      <c r="O71" s="241">
        <f t="shared" ref="O71:O117" si="9">N71*F71</f>
        <v>1200</v>
      </c>
      <c r="P71" s="240"/>
      <c r="Q71" s="239">
        <f t="shared" ref="Q71:Q117" si="10">O71/K71</f>
        <v>1.2</v>
      </c>
      <c r="R71" s="241">
        <v>15</v>
      </c>
      <c r="S71" s="241">
        <f t="shared" ref="S71:S117" si="11">R71*F71</f>
        <v>1500</v>
      </c>
      <c r="T71" s="240"/>
      <c r="U71" s="239">
        <f t="shared" ref="U71:U117" si="12">S71/K71</f>
        <v>1.5</v>
      </c>
      <c r="V71" s="154"/>
      <c r="W71" s="153"/>
    </row>
    <row r="72" spans="2:23" s="150" customFormat="1" ht="16.5" customHeight="1">
      <c r="B72" s="151">
        <v>67</v>
      </c>
      <c r="C72" s="397" t="s">
        <v>121</v>
      </c>
      <c r="D72" s="236" t="s">
        <v>211</v>
      </c>
      <c r="E72" s="229" t="s">
        <v>253</v>
      </c>
      <c r="F72" s="229">
        <v>50</v>
      </c>
      <c r="G72" s="398">
        <v>125</v>
      </c>
      <c r="H72" s="398">
        <f t="shared" si="7"/>
        <v>6250</v>
      </c>
      <c r="I72" s="399">
        <f t="shared" si="6"/>
        <v>1</v>
      </c>
      <c r="J72" s="241">
        <v>125</v>
      </c>
      <c r="K72" s="241">
        <f t="shared" si="8"/>
        <v>6250</v>
      </c>
      <c r="L72" s="240"/>
      <c r="M72" s="239">
        <v>1</v>
      </c>
      <c r="N72" s="241">
        <v>132</v>
      </c>
      <c r="O72" s="241">
        <f t="shared" si="9"/>
        <v>6600</v>
      </c>
      <c r="P72" s="240"/>
      <c r="Q72" s="239">
        <f t="shared" si="10"/>
        <v>1.056</v>
      </c>
      <c r="R72" s="241">
        <v>135</v>
      </c>
      <c r="S72" s="241">
        <f t="shared" si="11"/>
        <v>6750</v>
      </c>
      <c r="T72" s="240"/>
      <c r="U72" s="239">
        <f t="shared" si="12"/>
        <v>1.08</v>
      </c>
      <c r="V72" s="154"/>
      <c r="W72" s="153"/>
    </row>
    <row r="73" spans="2:23" s="150" customFormat="1" ht="16.5" customHeight="1">
      <c r="B73" s="151">
        <v>68</v>
      </c>
      <c r="C73" s="397" t="s">
        <v>101</v>
      </c>
      <c r="D73" s="236" t="s">
        <v>212</v>
      </c>
      <c r="E73" s="229" t="s">
        <v>253</v>
      </c>
      <c r="F73" s="229">
        <v>18700</v>
      </c>
      <c r="G73" s="398">
        <v>1.3</v>
      </c>
      <c r="H73" s="398">
        <f t="shared" si="7"/>
        <v>24310</v>
      </c>
      <c r="I73" s="399">
        <f t="shared" si="6"/>
        <v>1</v>
      </c>
      <c r="J73" s="241">
        <v>1.3</v>
      </c>
      <c r="K73" s="241">
        <f t="shared" si="8"/>
        <v>24310</v>
      </c>
      <c r="L73" s="240"/>
      <c r="M73" s="239">
        <v>1</v>
      </c>
      <c r="N73" s="241">
        <v>1.33</v>
      </c>
      <c r="O73" s="241">
        <f t="shared" si="9"/>
        <v>24871</v>
      </c>
      <c r="P73" s="240"/>
      <c r="Q73" s="239">
        <f t="shared" si="10"/>
        <v>1.023076923076923</v>
      </c>
      <c r="R73" s="241">
        <v>1.35</v>
      </c>
      <c r="S73" s="241">
        <f t="shared" si="11"/>
        <v>25245</v>
      </c>
      <c r="T73" s="240"/>
      <c r="U73" s="239">
        <f t="shared" si="12"/>
        <v>1.0384615384615385</v>
      </c>
      <c r="V73" s="154"/>
      <c r="W73" s="153"/>
    </row>
    <row r="74" spans="2:23" s="150" customFormat="1" ht="16.5" customHeight="1">
      <c r="B74" s="151">
        <v>69</v>
      </c>
      <c r="C74" s="397" t="s">
        <v>101</v>
      </c>
      <c r="D74" s="236" t="s">
        <v>213</v>
      </c>
      <c r="E74" s="229" t="s">
        <v>253</v>
      </c>
      <c r="F74" s="229">
        <v>4600</v>
      </c>
      <c r="G74" s="398">
        <v>1.7</v>
      </c>
      <c r="H74" s="398">
        <f t="shared" si="7"/>
        <v>7820</v>
      </c>
      <c r="I74" s="399">
        <f t="shared" si="6"/>
        <v>1.0625</v>
      </c>
      <c r="J74" s="241">
        <v>1.6</v>
      </c>
      <c r="K74" s="241">
        <f t="shared" si="8"/>
        <v>7360</v>
      </c>
      <c r="L74" s="240"/>
      <c r="M74" s="239">
        <v>1</v>
      </c>
      <c r="N74" s="241">
        <v>1.6</v>
      </c>
      <c r="O74" s="241">
        <f t="shared" si="9"/>
        <v>7360</v>
      </c>
      <c r="P74" s="240"/>
      <c r="Q74" s="239">
        <f t="shared" si="10"/>
        <v>1</v>
      </c>
      <c r="R74" s="241">
        <v>1.65</v>
      </c>
      <c r="S74" s="241">
        <f t="shared" si="11"/>
        <v>7590</v>
      </c>
      <c r="T74" s="240"/>
      <c r="U74" s="239">
        <f t="shared" si="12"/>
        <v>1.03125</v>
      </c>
      <c r="V74" s="154"/>
      <c r="W74" s="153"/>
    </row>
    <row r="75" spans="2:23" s="150" customFormat="1" ht="16.5" customHeight="1">
      <c r="B75" s="151">
        <v>70</v>
      </c>
      <c r="C75" s="397" t="s">
        <v>101</v>
      </c>
      <c r="D75" s="236" t="s">
        <v>214</v>
      </c>
      <c r="E75" s="229" t="s">
        <v>253</v>
      </c>
      <c r="F75" s="229">
        <v>3300</v>
      </c>
      <c r="G75" s="398">
        <v>2.2000000000000002</v>
      </c>
      <c r="H75" s="398">
        <f t="shared" si="7"/>
        <v>7260.0000000000009</v>
      </c>
      <c r="I75" s="399">
        <f t="shared" si="6"/>
        <v>1.1000000000000001</v>
      </c>
      <c r="J75" s="241">
        <v>2</v>
      </c>
      <c r="K75" s="241">
        <f t="shared" si="8"/>
        <v>6600</v>
      </c>
      <c r="L75" s="240"/>
      <c r="M75" s="239">
        <v>1</v>
      </c>
      <c r="N75" s="241">
        <v>2.2000000000000002</v>
      </c>
      <c r="O75" s="241">
        <f t="shared" si="9"/>
        <v>7260.0000000000009</v>
      </c>
      <c r="P75" s="240"/>
      <c r="Q75" s="239">
        <f t="shared" si="10"/>
        <v>1.1000000000000001</v>
      </c>
      <c r="R75" s="241">
        <v>2.2999999999999998</v>
      </c>
      <c r="S75" s="241">
        <f t="shared" si="11"/>
        <v>7589.9999999999991</v>
      </c>
      <c r="T75" s="240"/>
      <c r="U75" s="239">
        <f t="shared" si="12"/>
        <v>1.1499999999999999</v>
      </c>
      <c r="V75" s="154"/>
      <c r="W75" s="153"/>
    </row>
    <row r="76" spans="2:23" s="150" customFormat="1" ht="16.5" customHeight="1">
      <c r="B76" s="151">
        <v>71</v>
      </c>
      <c r="C76" s="397" t="s">
        <v>122</v>
      </c>
      <c r="D76" s="236" t="s">
        <v>215</v>
      </c>
      <c r="E76" s="229" t="s">
        <v>253</v>
      </c>
      <c r="F76" s="229">
        <v>1600</v>
      </c>
      <c r="G76" s="398" t="s">
        <v>259</v>
      </c>
      <c r="H76" s="398" t="s">
        <v>259</v>
      </c>
      <c r="I76" s="399">
        <v>1</v>
      </c>
      <c r="J76" s="241">
        <v>2.4</v>
      </c>
      <c r="K76" s="241">
        <f t="shared" si="8"/>
        <v>3840</v>
      </c>
      <c r="L76" s="240"/>
      <c r="M76" s="239">
        <v>1</v>
      </c>
      <c r="N76" s="241">
        <v>2.5</v>
      </c>
      <c r="O76" s="241">
        <f t="shared" si="9"/>
        <v>4000</v>
      </c>
      <c r="P76" s="240"/>
      <c r="Q76" s="239">
        <f t="shared" si="10"/>
        <v>1.0416666666666667</v>
      </c>
      <c r="R76" s="241">
        <v>2.6</v>
      </c>
      <c r="S76" s="241">
        <f t="shared" si="11"/>
        <v>4160</v>
      </c>
      <c r="T76" s="240"/>
      <c r="U76" s="239">
        <f t="shared" si="12"/>
        <v>1.0833333333333333</v>
      </c>
      <c r="V76" s="154"/>
      <c r="W76" s="153"/>
    </row>
    <row r="77" spans="2:23" s="150" customFormat="1" ht="16.5" customHeight="1">
      <c r="B77" s="151">
        <v>72</v>
      </c>
      <c r="C77" s="397" t="s">
        <v>115</v>
      </c>
      <c r="D77" s="236" t="s">
        <v>216</v>
      </c>
      <c r="E77" s="229" t="s">
        <v>253</v>
      </c>
      <c r="F77" s="229">
        <v>25</v>
      </c>
      <c r="G77" s="398">
        <v>24</v>
      </c>
      <c r="H77" s="398">
        <f t="shared" si="7"/>
        <v>600</v>
      </c>
      <c r="I77" s="399">
        <f t="shared" si="6"/>
        <v>1.2</v>
      </c>
      <c r="J77" s="241">
        <v>20</v>
      </c>
      <c r="K77" s="241">
        <f t="shared" si="8"/>
        <v>500</v>
      </c>
      <c r="L77" s="240"/>
      <c r="M77" s="239">
        <v>1</v>
      </c>
      <c r="N77" s="241">
        <v>24</v>
      </c>
      <c r="O77" s="241">
        <f t="shared" si="9"/>
        <v>600</v>
      </c>
      <c r="P77" s="240"/>
      <c r="Q77" s="239">
        <f t="shared" si="10"/>
        <v>1.2</v>
      </c>
      <c r="R77" s="241">
        <v>26</v>
      </c>
      <c r="S77" s="241">
        <f t="shared" si="11"/>
        <v>650</v>
      </c>
      <c r="T77" s="240"/>
      <c r="U77" s="239">
        <f t="shared" si="12"/>
        <v>1.3</v>
      </c>
      <c r="V77" s="154"/>
      <c r="W77" s="153"/>
    </row>
    <row r="78" spans="2:23" s="150" customFormat="1" ht="16.5" customHeight="1">
      <c r="B78" s="151">
        <v>73</v>
      </c>
      <c r="C78" s="397" t="s">
        <v>95</v>
      </c>
      <c r="D78" s="236" t="s">
        <v>217</v>
      </c>
      <c r="E78" s="229" t="s">
        <v>253</v>
      </c>
      <c r="F78" s="229">
        <v>150</v>
      </c>
      <c r="G78" s="398">
        <v>12</v>
      </c>
      <c r="H78" s="398">
        <f t="shared" si="7"/>
        <v>1800</v>
      </c>
      <c r="I78" s="399">
        <f t="shared" si="6"/>
        <v>1.0169491525423728</v>
      </c>
      <c r="J78" s="241">
        <v>11.8</v>
      </c>
      <c r="K78" s="241">
        <f t="shared" si="8"/>
        <v>1770</v>
      </c>
      <c r="L78" s="240"/>
      <c r="M78" s="239">
        <v>1</v>
      </c>
      <c r="N78" s="241">
        <v>12</v>
      </c>
      <c r="O78" s="241">
        <f t="shared" si="9"/>
        <v>1800</v>
      </c>
      <c r="P78" s="240"/>
      <c r="Q78" s="239">
        <f t="shared" si="10"/>
        <v>1.0169491525423728</v>
      </c>
      <c r="R78" s="241">
        <v>13</v>
      </c>
      <c r="S78" s="241">
        <f t="shared" si="11"/>
        <v>1950</v>
      </c>
      <c r="T78" s="240"/>
      <c r="U78" s="239">
        <f t="shared" si="12"/>
        <v>1.1016949152542372</v>
      </c>
      <c r="V78" s="154"/>
      <c r="W78" s="153"/>
    </row>
    <row r="79" spans="2:23" s="150" customFormat="1" ht="16.5" customHeight="1">
      <c r="B79" s="151">
        <v>74</v>
      </c>
      <c r="C79" s="397" t="s">
        <v>123</v>
      </c>
      <c r="D79" s="236" t="s">
        <v>218</v>
      </c>
      <c r="E79" s="229" t="s">
        <v>253</v>
      </c>
      <c r="F79" s="229">
        <v>100</v>
      </c>
      <c r="G79" s="398">
        <v>4.2</v>
      </c>
      <c r="H79" s="398">
        <f t="shared" si="7"/>
        <v>420</v>
      </c>
      <c r="I79" s="399">
        <f t="shared" si="6"/>
        <v>1.1666666666666667</v>
      </c>
      <c r="J79" s="241">
        <v>3.6</v>
      </c>
      <c r="K79" s="241">
        <f t="shared" si="8"/>
        <v>360</v>
      </c>
      <c r="L79" s="240"/>
      <c r="M79" s="239">
        <v>1</v>
      </c>
      <c r="N79" s="241">
        <v>4</v>
      </c>
      <c r="O79" s="241">
        <f t="shared" si="9"/>
        <v>400</v>
      </c>
      <c r="P79" s="240"/>
      <c r="Q79" s="239">
        <f t="shared" si="10"/>
        <v>1.1111111111111112</v>
      </c>
      <c r="R79" s="241">
        <v>3.8</v>
      </c>
      <c r="S79" s="241">
        <f t="shared" si="11"/>
        <v>380</v>
      </c>
      <c r="T79" s="240"/>
      <c r="U79" s="239">
        <f t="shared" si="12"/>
        <v>1.0555555555555556</v>
      </c>
      <c r="V79" s="154"/>
      <c r="W79" s="153"/>
    </row>
    <row r="80" spans="2:23" s="150" customFormat="1" ht="16.5" customHeight="1">
      <c r="B80" s="151">
        <v>75</v>
      </c>
      <c r="C80" s="397" t="s">
        <v>123</v>
      </c>
      <c r="D80" s="236" t="s">
        <v>219</v>
      </c>
      <c r="E80" s="229" t="s">
        <v>253</v>
      </c>
      <c r="F80" s="229">
        <v>100</v>
      </c>
      <c r="G80" s="398">
        <v>3.5</v>
      </c>
      <c r="H80" s="398">
        <f t="shared" si="7"/>
        <v>350</v>
      </c>
      <c r="I80" s="399">
        <f t="shared" si="6"/>
        <v>1.1666666666666667</v>
      </c>
      <c r="J80" s="241">
        <v>3</v>
      </c>
      <c r="K80" s="241">
        <f t="shared" si="8"/>
        <v>300</v>
      </c>
      <c r="L80" s="240"/>
      <c r="M80" s="239">
        <v>1</v>
      </c>
      <c r="N80" s="241">
        <v>3.5</v>
      </c>
      <c r="O80" s="241">
        <f t="shared" si="9"/>
        <v>350</v>
      </c>
      <c r="P80" s="240"/>
      <c r="Q80" s="239">
        <f t="shared" si="10"/>
        <v>1.1666666666666667</v>
      </c>
      <c r="R80" s="241">
        <v>3.5</v>
      </c>
      <c r="S80" s="241">
        <f t="shared" si="11"/>
        <v>350</v>
      </c>
      <c r="T80" s="240"/>
      <c r="U80" s="239">
        <f t="shared" si="12"/>
        <v>1.1666666666666667</v>
      </c>
      <c r="V80" s="154"/>
      <c r="W80" s="153"/>
    </row>
    <row r="81" spans="2:23" s="150" customFormat="1" ht="16.5" customHeight="1">
      <c r="B81" s="151">
        <v>76</v>
      </c>
      <c r="C81" s="397" t="s">
        <v>124</v>
      </c>
      <c r="D81" s="236"/>
      <c r="E81" s="229" t="s">
        <v>253</v>
      </c>
      <c r="F81" s="229">
        <v>100</v>
      </c>
      <c r="G81" s="398">
        <v>12</v>
      </c>
      <c r="H81" s="398">
        <f t="shared" si="7"/>
        <v>1200</v>
      </c>
      <c r="I81" s="399">
        <f t="shared" ref="I81:I117" si="13">H81/K81</f>
        <v>1.1428571428571428</v>
      </c>
      <c r="J81" s="241">
        <v>10.5</v>
      </c>
      <c r="K81" s="241">
        <f t="shared" si="8"/>
        <v>1050</v>
      </c>
      <c r="L81" s="240"/>
      <c r="M81" s="239">
        <v>1</v>
      </c>
      <c r="N81" s="241">
        <v>15</v>
      </c>
      <c r="O81" s="241">
        <f t="shared" si="9"/>
        <v>1500</v>
      </c>
      <c r="P81" s="240"/>
      <c r="Q81" s="239">
        <f t="shared" si="10"/>
        <v>1.4285714285714286</v>
      </c>
      <c r="R81" s="241">
        <v>15</v>
      </c>
      <c r="S81" s="241">
        <f t="shared" si="11"/>
        <v>1500</v>
      </c>
      <c r="T81" s="240"/>
      <c r="U81" s="239">
        <f t="shared" si="12"/>
        <v>1.4285714285714286</v>
      </c>
      <c r="V81" s="154"/>
      <c r="W81" s="153"/>
    </row>
    <row r="82" spans="2:23" s="150" customFormat="1" ht="16.5" customHeight="1">
      <c r="B82" s="151">
        <v>77</v>
      </c>
      <c r="C82" s="397" t="s">
        <v>125</v>
      </c>
      <c r="D82" s="236" t="s">
        <v>220</v>
      </c>
      <c r="E82" s="229" t="s">
        <v>253</v>
      </c>
      <c r="F82" s="229">
        <v>200</v>
      </c>
      <c r="G82" s="398">
        <v>25</v>
      </c>
      <c r="H82" s="398">
        <f t="shared" si="7"/>
        <v>5000</v>
      </c>
      <c r="I82" s="399">
        <f t="shared" si="13"/>
        <v>1</v>
      </c>
      <c r="J82" s="241">
        <v>25</v>
      </c>
      <c r="K82" s="241">
        <f t="shared" si="8"/>
        <v>5000</v>
      </c>
      <c r="L82" s="240"/>
      <c r="M82" s="239">
        <v>1</v>
      </c>
      <c r="N82" s="241">
        <v>27</v>
      </c>
      <c r="O82" s="241">
        <f t="shared" si="9"/>
        <v>5400</v>
      </c>
      <c r="P82" s="240"/>
      <c r="Q82" s="239">
        <f t="shared" si="10"/>
        <v>1.08</v>
      </c>
      <c r="R82" s="241">
        <v>28</v>
      </c>
      <c r="S82" s="241">
        <f t="shared" si="11"/>
        <v>5600</v>
      </c>
      <c r="T82" s="240"/>
      <c r="U82" s="239">
        <f t="shared" si="12"/>
        <v>1.1200000000000001</v>
      </c>
      <c r="V82" s="154"/>
      <c r="W82" s="153"/>
    </row>
    <row r="83" spans="2:23" s="150" customFormat="1" ht="16.5" customHeight="1">
      <c r="B83" s="151">
        <v>78</v>
      </c>
      <c r="C83" s="397" t="s">
        <v>126</v>
      </c>
      <c r="D83" s="236" t="s">
        <v>221</v>
      </c>
      <c r="E83" s="229" t="s">
        <v>253</v>
      </c>
      <c r="F83" s="229">
        <v>200</v>
      </c>
      <c r="G83" s="398">
        <v>12</v>
      </c>
      <c r="H83" s="398">
        <f t="shared" si="7"/>
        <v>2400</v>
      </c>
      <c r="I83" s="399">
        <f t="shared" si="13"/>
        <v>1.0169491525423728</v>
      </c>
      <c r="J83" s="241">
        <v>11.8</v>
      </c>
      <c r="K83" s="241">
        <f t="shared" si="8"/>
        <v>2360</v>
      </c>
      <c r="L83" s="240"/>
      <c r="M83" s="239">
        <v>1</v>
      </c>
      <c r="N83" s="241">
        <v>12.5</v>
      </c>
      <c r="O83" s="241">
        <f t="shared" si="9"/>
        <v>2500</v>
      </c>
      <c r="P83" s="240"/>
      <c r="Q83" s="239">
        <f t="shared" si="10"/>
        <v>1.0593220338983051</v>
      </c>
      <c r="R83" s="241">
        <v>13</v>
      </c>
      <c r="S83" s="241">
        <f t="shared" si="11"/>
        <v>2600</v>
      </c>
      <c r="T83" s="240"/>
      <c r="U83" s="239">
        <f t="shared" si="12"/>
        <v>1.1016949152542372</v>
      </c>
      <c r="V83" s="154"/>
      <c r="W83" s="153"/>
    </row>
    <row r="84" spans="2:23" s="150" customFormat="1" ht="16.5" customHeight="1">
      <c r="B84" s="151">
        <v>79</v>
      </c>
      <c r="C84" s="397" t="s">
        <v>127</v>
      </c>
      <c r="D84" s="236" t="s">
        <v>222</v>
      </c>
      <c r="E84" s="229" t="s">
        <v>253</v>
      </c>
      <c r="F84" s="229">
        <v>3800</v>
      </c>
      <c r="G84" s="398">
        <v>1.35</v>
      </c>
      <c r="H84" s="398">
        <f t="shared" ref="H84:H117" si="14">F84*G84</f>
        <v>5130</v>
      </c>
      <c r="I84" s="399">
        <f t="shared" si="13"/>
        <v>1</v>
      </c>
      <c r="J84" s="241">
        <v>1.35</v>
      </c>
      <c r="K84" s="241">
        <f t="shared" si="8"/>
        <v>5130</v>
      </c>
      <c r="L84" s="240"/>
      <c r="M84" s="239">
        <v>1</v>
      </c>
      <c r="N84" s="241">
        <v>1.5</v>
      </c>
      <c r="O84" s="241">
        <f t="shared" si="9"/>
        <v>5700</v>
      </c>
      <c r="P84" s="240"/>
      <c r="Q84" s="239">
        <f t="shared" si="10"/>
        <v>1.1111111111111112</v>
      </c>
      <c r="R84" s="241">
        <v>1.5</v>
      </c>
      <c r="S84" s="241">
        <f t="shared" si="11"/>
        <v>5700</v>
      </c>
      <c r="T84" s="240"/>
      <c r="U84" s="239">
        <f t="shared" si="12"/>
        <v>1.1111111111111112</v>
      </c>
      <c r="V84" s="154"/>
      <c r="W84" s="153"/>
    </row>
    <row r="85" spans="2:23" s="150" customFormat="1" ht="16.5" customHeight="1">
      <c r="B85" s="151">
        <v>80</v>
      </c>
      <c r="C85" s="397" t="s">
        <v>128</v>
      </c>
      <c r="D85" s="236" t="s">
        <v>223</v>
      </c>
      <c r="E85" s="229" t="s">
        <v>253</v>
      </c>
      <c r="F85" s="229">
        <v>6</v>
      </c>
      <c r="G85" s="398">
        <v>85</v>
      </c>
      <c r="H85" s="398">
        <f t="shared" si="14"/>
        <v>510</v>
      </c>
      <c r="I85" s="399">
        <f t="shared" si="13"/>
        <v>1.0897435897435896</v>
      </c>
      <c r="J85" s="241">
        <v>78</v>
      </c>
      <c r="K85" s="241">
        <f t="shared" si="8"/>
        <v>468</v>
      </c>
      <c r="L85" s="240"/>
      <c r="M85" s="239">
        <v>1</v>
      </c>
      <c r="N85" s="241">
        <v>78</v>
      </c>
      <c r="O85" s="241">
        <f t="shared" si="9"/>
        <v>468</v>
      </c>
      <c r="P85" s="240"/>
      <c r="Q85" s="239">
        <f t="shared" si="10"/>
        <v>1</v>
      </c>
      <c r="R85" s="241">
        <v>80</v>
      </c>
      <c r="S85" s="241">
        <f t="shared" si="11"/>
        <v>480</v>
      </c>
      <c r="T85" s="240"/>
      <c r="U85" s="239">
        <f t="shared" si="12"/>
        <v>1.0256410256410255</v>
      </c>
      <c r="V85" s="154"/>
      <c r="W85" s="153"/>
    </row>
    <row r="86" spans="2:23" s="150" customFormat="1" ht="16.5" customHeight="1">
      <c r="B86" s="151">
        <v>81</v>
      </c>
      <c r="C86" s="397" t="s">
        <v>129</v>
      </c>
      <c r="D86" s="236" t="s">
        <v>224</v>
      </c>
      <c r="E86" s="229" t="s">
        <v>253</v>
      </c>
      <c r="F86" s="229">
        <v>300</v>
      </c>
      <c r="G86" s="398">
        <v>1</v>
      </c>
      <c r="H86" s="398">
        <f t="shared" si="14"/>
        <v>300</v>
      </c>
      <c r="I86" s="399">
        <f t="shared" si="13"/>
        <v>1.25</v>
      </c>
      <c r="J86" s="241">
        <v>0.8</v>
      </c>
      <c r="K86" s="241">
        <f t="shared" si="8"/>
        <v>240</v>
      </c>
      <c r="L86" s="240"/>
      <c r="M86" s="239">
        <v>1</v>
      </c>
      <c r="N86" s="241">
        <v>0.8</v>
      </c>
      <c r="O86" s="241">
        <f t="shared" si="9"/>
        <v>240</v>
      </c>
      <c r="P86" s="240"/>
      <c r="Q86" s="239">
        <f t="shared" si="10"/>
        <v>1</v>
      </c>
      <c r="R86" s="241">
        <v>0.8</v>
      </c>
      <c r="S86" s="241">
        <f t="shared" si="11"/>
        <v>240</v>
      </c>
      <c r="T86" s="240"/>
      <c r="U86" s="239">
        <f t="shared" si="12"/>
        <v>1</v>
      </c>
      <c r="V86" s="154"/>
      <c r="W86" s="153"/>
    </row>
    <row r="87" spans="2:23" s="150" customFormat="1" ht="16.5" customHeight="1">
      <c r="B87" s="151">
        <v>82</v>
      </c>
      <c r="C87" s="397" t="s">
        <v>130</v>
      </c>
      <c r="D87" s="236" t="s">
        <v>225</v>
      </c>
      <c r="E87" s="229" t="s">
        <v>253</v>
      </c>
      <c r="F87" s="229">
        <v>25</v>
      </c>
      <c r="G87" s="398">
        <v>97</v>
      </c>
      <c r="H87" s="398">
        <f t="shared" si="14"/>
        <v>2425</v>
      </c>
      <c r="I87" s="399">
        <f t="shared" si="13"/>
        <v>0.9509803921568627</v>
      </c>
      <c r="J87" s="241">
        <v>102</v>
      </c>
      <c r="K87" s="241">
        <f t="shared" si="8"/>
        <v>2550</v>
      </c>
      <c r="L87" s="240"/>
      <c r="M87" s="239">
        <v>1</v>
      </c>
      <c r="N87" s="241">
        <v>107</v>
      </c>
      <c r="O87" s="241">
        <f t="shared" si="9"/>
        <v>2675</v>
      </c>
      <c r="P87" s="240"/>
      <c r="Q87" s="239">
        <f t="shared" si="10"/>
        <v>1.0490196078431373</v>
      </c>
      <c r="R87" s="241">
        <v>115</v>
      </c>
      <c r="S87" s="241">
        <f t="shared" si="11"/>
        <v>2875</v>
      </c>
      <c r="T87" s="240"/>
      <c r="U87" s="239">
        <f t="shared" si="12"/>
        <v>1.1274509803921569</v>
      </c>
      <c r="V87" s="154"/>
      <c r="W87" s="153"/>
    </row>
    <row r="88" spans="2:23" s="150" customFormat="1" ht="16.5" customHeight="1">
      <c r="B88" s="151">
        <v>83</v>
      </c>
      <c r="C88" s="397" t="s">
        <v>126</v>
      </c>
      <c r="D88" s="236" t="s">
        <v>226</v>
      </c>
      <c r="E88" s="229" t="s">
        <v>253</v>
      </c>
      <c r="F88" s="229">
        <v>300</v>
      </c>
      <c r="G88" s="398">
        <v>12</v>
      </c>
      <c r="H88" s="398">
        <f t="shared" si="14"/>
        <v>3600</v>
      </c>
      <c r="I88" s="399">
        <f t="shared" si="13"/>
        <v>1.0169491525423728</v>
      </c>
      <c r="J88" s="241">
        <v>11.8</v>
      </c>
      <c r="K88" s="241">
        <f t="shared" si="8"/>
        <v>3540</v>
      </c>
      <c r="L88" s="240"/>
      <c r="M88" s="239">
        <v>1</v>
      </c>
      <c r="N88" s="241">
        <v>12.5</v>
      </c>
      <c r="O88" s="241">
        <f t="shared" si="9"/>
        <v>3750</v>
      </c>
      <c r="P88" s="240"/>
      <c r="Q88" s="239">
        <f t="shared" si="10"/>
        <v>1.0593220338983051</v>
      </c>
      <c r="R88" s="241">
        <v>13</v>
      </c>
      <c r="S88" s="241">
        <f t="shared" si="11"/>
        <v>3900</v>
      </c>
      <c r="T88" s="240"/>
      <c r="U88" s="239">
        <f t="shared" si="12"/>
        <v>1.1016949152542372</v>
      </c>
      <c r="V88" s="154"/>
      <c r="W88" s="153"/>
    </row>
    <row r="89" spans="2:23" s="150" customFormat="1" ht="16.5" customHeight="1">
      <c r="B89" s="151">
        <v>84</v>
      </c>
      <c r="C89" s="397" t="s">
        <v>131</v>
      </c>
      <c r="D89" s="236" t="s">
        <v>227</v>
      </c>
      <c r="E89" s="229" t="s">
        <v>253</v>
      </c>
      <c r="F89" s="229">
        <v>300</v>
      </c>
      <c r="G89" s="398">
        <v>12</v>
      </c>
      <c r="H89" s="398">
        <f t="shared" si="14"/>
        <v>3600</v>
      </c>
      <c r="I89" s="399">
        <f t="shared" si="13"/>
        <v>1.0169491525423728</v>
      </c>
      <c r="J89" s="241">
        <v>11.8</v>
      </c>
      <c r="K89" s="241">
        <f t="shared" si="8"/>
        <v>3540</v>
      </c>
      <c r="L89" s="240"/>
      <c r="M89" s="239">
        <v>1</v>
      </c>
      <c r="N89" s="241">
        <v>12.5</v>
      </c>
      <c r="O89" s="241">
        <f t="shared" si="9"/>
        <v>3750</v>
      </c>
      <c r="P89" s="240"/>
      <c r="Q89" s="239">
        <f t="shared" si="10"/>
        <v>1.0593220338983051</v>
      </c>
      <c r="R89" s="241">
        <v>13</v>
      </c>
      <c r="S89" s="241">
        <f t="shared" si="11"/>
        <v>3900</v>
      </c>
      <c r="T89" s="240"/>
      <c r="U89" s="239">
        <f t="shared" si="12"/>
        <v>1.1016949152542372</v>
      </c>
      <c r="V89" s="154"/>
      <c r="W89" s="153"/>
    </row>
    <row r="90" spans="2:23" s="150" customFormat="1" ht="16.5" customHeight="1">
      <c r="B90" s="151">
        <v>85</v>
      </c>
      <c r="C90" s="397" t="s">
        <v>132</v>
      </c>
      <c r="D90" s="236"/>
      <c r="E90" s="229" t="s">
        <v>253</v>
      </c>
      <c r="F90" s="229">
        <v>50</v>
      </c>
      <c r="G90" s="398">
        <v>158</v>
      </c>
      <c r="H90" s="398">
        <f t="shared" si="14"/>
        <v>7900</v>
      </c>
      <c r="I90" s="399">
        <f t="shared" si="13"/>
        <v>1.1285714285714286</v>
      </c>
      <c r="J90" s="241">
        <v>140</v>
      </c>
      <c r="K90" s="241">
        <f t="shared" si="8"/>
        <v>7000</v>
      </c>
      <c r="L90" s="240"/>
      <c r="M90" s="239">
        <v>1</v>
      </c>
      <c r="N90" s="241">
        <v>145</v>
      </c>
      <c r="O90" s="241">
        <f t="shared" si="9"/>
        <v>7250</v>
      </c>
      <c r="P90" s="240"/>
      <c r="Q90" s="239">
        <f t="shared" si="10"/>
        <v>1.0357142857142858</v>
      </c>
      <c r="R90" s="241">
        <v>145</v>
      </c>
      <c r="S90" s="241">
        <f t="shared" si="11"/>
        <v>7250</v>
      </c>
      <c r="T90" s="240"/>
      <c r="U90" s="239">
        <f t="shared" si="12"/>
        <v>1.0357142857142858</v>
      </c>
      <c r="V90" s="154"/>
      <c r="W90" s="153"/>
    </row>
    <row r="91" spans="2:23" s="150" customFormat="1" ht="16.5" customHeight="1">
      <c r="B91" s="151">
        <v>86</v>
      </c>
      <c r="C91" s="397" t="s">
        <v>133</v>
      </c>
      <c r="D91" s="236" t="s">
        <v>228</v>
      </c>
      <c r="E91" s="229" t="s">
        <v>253</v>
      </c>
      <c r="F91" s="229">
        <v>30</v>
      </c>
      <c r="G91" s="398">
        <v>11</v>
      </c>
      <c r="H91" s="398">
        <f t="shared" si="14"/>
        <v>330</v>
      </c>
      <c r="I91" s="399">
        <f t="shared" si="13"/>
        <v>1</v>
      </c>
      <c r="J91" s="241">
        <v>11</v>
      </c>
      <c r="K91" s="241">
        <f t="shared" si="8"/>
        <v>330</v>
      </c>
      <c r="L91" s="240"/>
      <c r="M91" s="239">
        <v>1</v>
      </c>
      <c r="N91" s="241">
        <v>13</v>
      </c>
      <c r="O91" s="241">
        <f t="shared" si="9"/>
        <v>390</v>
      </c>
      <c r="P91" s="240"/>
      <c r="Q91" s="239">
        <f t="shared" si="10"/>
        <v>1.1818181818181819</v>
      </c>
      <c r="R91" s="241">
        <v>14</v>
      </c>
      <c r="S91" s="241">
        <f t="shared" si="11"/>
        <v>420</v>
      </c>
      <c r="T91" s="240"/>
      <c r="U91" s="239">
        <f t="shared" si="12"/>
        <v>1.2727272727272727</v>
      </c>
      <c r="V91" s="154"/>
      <c r="W91" s="153"/>
    </row>
    <row r="92" spans="2:23" s="150" customFormat="1" ht="16.5" customHeight="1">
      <c r="B92" s="151">
        <v>87</v>
      </c>
      <c r="C92" s="397" t="s">
        <v>134</v>
      </c>
      <c r="D92" s="236" t="s">
        <v>229</v>
      </c>
      <c r="E92" s="229" t="s">
        <v>256</v>
      </c>
      <c r="F92" s="229">
        <v>110</v>
      </c>
      <c r="G92" s="398">
        <v>13</v>
      </c>
      <c r="H92" s="398">
        <f t="shared" si="14"/>
        <v>1430</v>
      </c>
      <c r="I92" s="399">
        <f t="shared" si="13"/>
        <v>1.625</v>
      </c>
      <c r="J92" s="241">
        <v>8</v>
      </c>
      <c r="K92" s="241">
        <f t="shared" si="8"/>
        <v>880</v>
      </c>
      <c r="L92" s="240"/>
      <c r="M92" s="239">
        <v>1</v>
      </c>
      <c r="N92" s="241">
        <v>9</v>
      </c>
      <c r="O92" s="241">
        <f t="shared" si="9"/>
        <v>990</v>
      </c>
      <c r="P92" s="240"/>
      <c r="Q92" s="239">
        <f t="shared" si="10"/>
        <v>1.125</v>
      </c>
      <c r="R92" s="241">
        <v>8</v>
      </c>
      <c r="S92" s="241">
        <f t="shared" si="11"/>
        <v>880</v>
      </c>
      <c r="T92" s="240"/>
      <c r="U92" s="239">
        <f t="shared" si="12"/>
        <v>1</v>
      </c>
      <c r="V92" s="154"/>
      <c r="W92" s="153"/>
    </row>
    <row r="93" spans="2:23" s="150" customFormat="1" ht="16.5" customHeight="1">
      <c r="B93" s="151">
        <v>88</v>
      </c>
      <c r="C93" s="397" t="s">
        <v>135</v>
      </c>
      <c r="D93" s="236" t="s">
        <v>230</v>
      </c>
      <c r="E93" s="229" t="s">
        <v>253</v>
      </c>
      <c r="F93" s="229">
        <v>50</v>
      </c>
      <c r="G93" s="398">
        <v>2</v>
      </c>
      <c r="H93" s="398">
        <f t="shared" si="14"/>
        <v>100</v>
      </c>
      <c r="I93" s="399">
        <f t="shared" si="13"/>
        <v>1.1764705882352942</v>
      </c>
      <c r="J93" s="241">
        <v>1.7</v>
      </c>
      <c r="K93" s="241">
        <f t="shared" si="8"/>
        <v>85</v>
      </c>
      <c r="L93" s="240"/>
      <c r="M93" s="239">
        <v>1</v>
      </c>
      <c r="N93" s="241">
        <v>2</v>
      </c>
      <c r="O93" s="241">
        <f t="shared" si="9"/>
        <v>100</v>
      </c>
      <c r="P93" s="240"/>
      <c r="Q93" s="239">
        <f t="shared" si="10"/>
        <v>1.1764705882352942</v>
      </c>
      <c r="R93" s="241">
        <v>1.8</v>
      </c>
      <c r="S93" s="241">
        <f t="shared" si="11"/>
        <v>90</v>
      </c>
      <c r="T93" s="240"/>
      <c r="U93" s="239">
        <f t="shared" si="12"/>
        <v>1.0588235294117647</v>
      </c>
      <c r="V93" s="154"/>
      <c r="W93" s="153"/>
    </row>
    <row r="94" spans="2:23" s="150" customFormat="1" ht="16.5" customHeight="1">
      <c r="B94" s="151">
        <v>89</v>
      </c>
      <c r="C94" s="397" t="s">
        <v>87</v>
      </c>
      <c r="D94" s="236" t="s">
        <v>231</v>
      </c>
      <c r="E94" s="229" t="s">
        <v>253</v>
      </c>
      <c r="F94" s="229">
        <v>1200</v>
      </c>
      <c r="G94" s="398">
        <v>2.2999999999999998</v>
      </c>
      <c r="H94" s="398">
        <f t="shared" si="14"/>
        <v>2760</v>
      </c>
      <c r="I94" s="399">
        <f t="shared" si="13"/>
        <v>1</v>
      </c>
      <c r="J94" s="241">
        <v>2.2999999999999998</v>
      </c>
      <c r="K94" s="241">
        <f t="shared" si="8"/>
        <v>2760</v>
      </c>
      <c r="L94" s="240"/>
      <c r="M94" s="239">
        <v>1</v>
      </c>
      <c r="N94" s="241">
        <v>2.4</v>
      </c>
      <c r="O94" s="241">
        <f t="shared" si="9"/>
        <v>2880</v>
      </c>
      <c r="P94" s="240"/>
      <c r="Q94" s="239">
        <f t="shared" si="10"/>
        <v>1.0434782608695652</v>
      </c>
      <c r="R94" s="241">
        <v>2.5</v>
      </c>
      <c r="S94" s="241">
        <f t="shared" si="11"/>
        <v>3000</v>
      </c>
      <c r="T94" s="240"/>
      <c r="U94" s="239">
        <f t="shared" si="12"/>
        <v>1.0869565217391304</v>
      </c>
      <c r="V94" s="154"/>
      <c r="W94" s="153"/>
    </row>
    <row r="95" spans="2:23" s="150" customFormat="1" ht="16.5" customHeight="1">
      <c r="B95" s="151">
        <v>90</v>
      </c>
      <c r="C95" s="397" t="s">
        <v>136</v>
      </c>
      <c r="D95" s="236" t="s">
        <v>232</v>
      </c>
      <c r="E95" s="229" t="s">
        <v>253</v>
      </c>
      <c r="F95" s="229">
        <v>200</v>
      </c>
      <c r="G95" s="398" t="s">
        <v>259</v>
      </c>
      <c r="H95" s="398" t="s">
        <v>259</v>
      </c>
      <c r="I95" s="399">
        <v>1</v>
      </c>
      <c r="J95" s="241">
        <v>5.5</v>
      </c>
      <c r="K95" s="241">
        <f t="shared" si="8"/>
        <v>1100</v>
      </c>
      <c r="L95" s="240"/>
      <c r="M95" s="239">
        <v>1</v>
      </c>
      <c r="N95" s="241">
        <v>5.8</v>
      </c>
      <c r="O95" s="241">
        <f t="shared" si="9"/>
        <v>1160</v>
      </c>
      <c r="P95" s="240"/>
      <c r="Q95" s="239">
        <f t="shared" si="10"/>
        <v>1.0545454545454545</v>
      </c>
      <c r="R95" s="241">
        <v>5.5</v>
      </c>
      <c r="S95" s="241">
        <f t="shared" si="11"/>
        <v>1100</v>
      </c>
      <c r="T95" s="240"/>
      <c r="U95" s="239">
        <f t="shared" si="12"/>
        <v>1</v>
      </c>
      <c r="V95" s="154"/>
      <c r="W95" s="153"/>
    </row>
    <row r="96" spans="2:23" s="150" customFormat="1" ht="16.5" customHeight="1">
      <c r="B96" s="151">
        <v>91</v>
      </c>
      <c r="C96" s="397" t="s">
        <v>137</v>
      </c>
      <c r="D96" s="236" t="s">
        <v>233</v>
      </c>
      <c r="E96" s="229" t="s">
        <v>257</v>
      </c>
      <c r="F96" s="229">
        <v>8</v>
      </c>
      <c r="G96" s="398" t="s">
        <v>259</v>
      </c>
      <c r="H96" s="398" t="s">
        <v>259</v>
      </c>
      <c r="I96" s="399">
        <v>1</v>
      </c>
      <c r="J96" s="241">
        <v>75</v>
      </c>
      <c r="K96" s="241">
        <f t="shared" si="8"/>
        <v>600</v>
      </c>
      <c r="L96" s="240"/>
      <c r="M96" s="239">
        <v>1</v>
      </c>
      <c r="N96" s="241">
        <v>78</v>
      </c>
      <c r="O96" s="241">
        <f t="shared" si="9"/>
        <v>624</v>
      </c>
      <c r="P96" s="240"/>
      <c r="Q96" s="239">
        <f t="shared" si="10"/>
        <v>1.04</v>
      </c>
      <c r="R96" s="241">
        <v>76</v>
      </c>
      <c r="S96" s="241">
        <f t="shared" si="11"/>
        <v>608</v>
      </c>
      <c r="T96" s="240"/>
      <c r="U96" s="239">
        <f t="shared" si="12"/>
        <v>1.0133333333333334</v>
      </c>
      <c r="V96" s="154"/>
      <c r="W96" s="153"/>
    </row>
    <row r="97" spans="2:23" s="150" customFormat="1" ht="16.5" customHeight="1">
      <c r="B97" s="151">
        <v>92</v>
      </c>
      <c r="C97" s="397" t="s">
        <v>138</v>
      </c>
      <c r="D97" s="236" t="s">
        <v>234</v>
      </c>
      <c r="E97" s="229" t="s">
        <v>253</v>
      </c>
      <c r="F97" s="229">
        <v>10</v>
      </c>
      <c r="G97" s="398" t="s">
        <v>259</v>
      </c>
      <c r="H97" s="398" t="s">
        <v>259</v>
      </c>
      <c r="I97" s="399">
        <v>1</v>
      </c>
      <c r="J97" s="241">
        <v>33</v>
      </c>
      <c r="K97" s="241">
        <f t="shared" si="8"/>
        <v>330</v>
      </c>
      <c r="L97" s="240"/>
      <c r="M97" s="239">
        <v>1</v>
      </c>
      <c r="N97" s="241">
        <v>35</v>
      </c>
      <c r="O97" s="241">
        <f t="shared" si="9"/>
        <v>350</v>
      </c>
      <c r="P97" s="240"/>
      <c r="Q97" s="239">
        <f t="shared" si="10"/>
        <v>1.0606060606060606</v>
      </c>
      <c r="R97" s="241">
        <v>35</v>
      </c>
      <c r="S97" s="241">
        <f t="shared" si="11"/>
        <v>350</v>
      </c>
      <c r="T97" s="240"/>
      <c r="U97" s="239">
        <f t="shared" si="12"/>
        <v>1.0606060606060606</v>
      </c>
      <c r="V97" s="154"/>
      <c r="W97" s="153"/>
    </row>
    <row r="98" spans="2:23" s="150" customFormat="1" ht="16.5" customHeight="1">
      <c r="B98" s="151">
        <v>93</v>
      </c>
      <c r="C98" s="397" t="s">
        <v>139</v>
      </c>
      <c r="D98" s="236" t="s">
        <v>235</v>
      </c>
      <c r="E98" s="229" t="s">
        <v>253</v>
      </c>
      <c r="F98" s="229">
        <v>150</v>
      </c>
      <c r="G98" s="398" t="s">
        <v>259</v>
      </c>
      <c r="H98" s="398" t="s">
        <v>259</v>
      </c>
      <c r="I98" s="399">
        <v>1</v>
      </c>
      <c r="J98" s="241">
        <v>4</v>
      </c>
      <c r="K98" s="241">
        <f t="shared" si="8"/>
        <v>600</v>
      </c>
      <c r="L98" s="240"/>
      <c r="M98" s="239">
        <v>1</v>
      </c>
      <c r="N98" s="241">
        <v>4.5</v>
      </c>
      <c r="O98" s="241">
        <f t="shared" si="9"/>
        <v>675</v>
      </c>
      <c r="P98" s="240"/>
      <c r="Q98" s="239">
        <f t="shared" si="10"/>
        <v>1.125</v>
      </c>
      <c r="R98" s="241">
        <v>4.5</v>
      </c>
      <c r="S98" s="241">
        <f t="shared" si="11"/>
        <v>675</v>
      </c>
      <c r="T98" s="240"/>
      <c r="U98" s="239">
        <f t="shared" si="12"/>
        <v>1.125</v>
      </c>
      <c r="V98" s="154"/>
      <c r="W98" s="153"/>
    </row>
    <row r="99" spans="2:23" s="150" customFormat="1" ht="16.5" customHeight="1">
      <c r="B99" s="151">
        <v>94</v>
      </c>
      <c r="C99" s="397" t="s">
        <v>140</v>
      </c>
      <c r="D99" s="236" t="s">
        <v>236</v>
      </c>
      <c r="E99" s="229" t="s">
        <v>255</v>
      </c>
      <c r="F99" s="229">
        <v>580</v>
      </c>
      <c r="G99" s="398">
        <v>7</v>
      </c>
      <c r="H99" s="398">
        <f t="shared" si="14"/>
        <v>4060</v>
      </c>
      <c r="I99" s="399">
        <f t="shared" si="13"/>
        <v>1.1475409836065573</v>
      </c>
      <c r="J99" s="241">
        <v>6.1</v>
      </c>
      <c r="K99" s="241">
        <f t="shared" si="8"/>
        <v>3538</v>
      </c>
      <c r="L99" s="240"/>
      <c r="M99" s="239">
        <v>1</v>
      </c>
      <c r="N99" s="241">
        <v>6.5</v>
      </c>
      <c r="O99" s="241">
        <f t="shared" si="9"/>
        <v>3770</v>
      </c>
      <c r="P99" s="240"/>
      <c r="Q99" s="239">
        <f t="shared" si="10"/>
        <v>1.0655737704918034</v>
      </c>
      <c r="R99" s="241">
        <v>6.5</v>
      </c>
      <c r="S99" s="241">
        <f t="shared" si="11"/>
        <v>3770</v>
      </c>
      <c r="T99" s="240"/>
      <c r="U99" s="239">
        <f t="shared" si="12"/>
        <v>1.0655737704918034</v>
      </c>
      <c r="V99" s="154"/>
      <c r="W99" s="153"/>
    </row>
    <row r="100" spans="2:23" s="150" customFormat="1" ht="16.5" customHeight="1">
      <c r="B100" s="151">
        <v>95</v>
      </c>
      <c r="C100" s="397" t="s">
        <v>141</v>
      </c>
      <c r="D100" s="236" t="s">
        <v>237</v>
      </c>
      <c r="E100" s="229" t="s">
        <v>255</v>
      </c>
      <c r="F100" s="229">
        <v>620</v>
      </c>
      <c r="G100" s="398" t="s">
        <v>259</v>
      </c>
      <c r="H100" s="398" t="s">
        <v>259</v>
      </c>
      <c r="I100" s="399">
        <v>1</v>
      </c>
      <c r="J100" s="241">
        <v>7.3</v>
      </c>
      <c r="K100" s="241">
        <f t="shared" si="8"/>
        <v>4526</v>
      </c>
      <c r="L100" s="240"/>
      <c r="M100" s="239">
        <v>1</v>
      </c>
      <c r="N100" s="241">
        <v>7.9</v>
      </c>
      <c r="O100" s="241">
        <f t="shared" si="9"/>
        <v>4898</v>
      </c>
      <c r="P100" s="240"/>
      <c r="Q100" s="239">
        <f t="shared" si="10"/>
        <v>1.0821917808219179</v>
      </c>
      <c r="R100" s="241">
        <v>7.8</v>
      </c>
      <c r="S100" s="241">
        <f t="shared" si="11"/>
        <v>4836</v>
      </c>
      <c r="T100" s="240"/>
      <c r="U100" s="239">
        <f t="shared" si="12"/>
        <v>1.0684931506849316</v>
      </c>
      <c r="V100" s="154"/>
      <c r="W100" s="153"/>
    </row>
    <row r="101" spans="2:23" s="150" customFormat="1" ht="16.5" customHeight="1">
      <c r="B101" s="151">
        <v>96</v>
      </c>
      <c r="C101" s="397" t="s">
        <v>142</v>
      </c>
      <c r="D101" s="236" t="s">
        <v>238</v>
      </c>
      <c r="E101" s="229" t="s">
        <v>253</v>
      </c>
      <c r="F101" s="229">
        <v>130</v>
      </c>
      <c r="G101" s="398">
        <v>12</v>
      </c>
      <c r="H101" s="398">
        <f t="shared" si="14"/>
        <v>1560</v>
      </c>
      <c r="I101" s="399">
        <f t="shared" si="13"/>
        <v>1.0169491525423728</v>
      </c>
      <c r="J101" s="241">
        <v>11.8</v>
      </c>
      <c r="K101" s="241">
        <f t="shared" si="8"/>
        <v>1534</v>
      </c>
      <c r="L101" s="240"/>
      <c r="M101" s="239">
        <v>1</v>
      </c>
      <c r="N101" s="241">
        <v>12.5</v>
      </c>
      <c r="O101" s="241">
        <f t="shared" si="9"/>
        <v>1625</v>
      </c>
      <c r="P101" s="240"/>
      <c r="Q101" s="239">
        <f t="shared" si="10"/>
        <v>1.0593220338983051</v>
      </c>
      <c r="R101" s="241">
        <v>13</v>
      </c>
      <c r="S101" s="241">
        <f t="shared" si="11"/>
        <v>1690</v>
      </c>
      <c r="T101" s="240"/>
      <c r="U101" s="239">
        <f t="shared" si="12"/>
        <v>1.1016949152542372</v>
      </c>
      <c r="V101" s="154"/>
      <c r="W101" s="153"/>
    </row>
    <row r="102" spans="2:23" s="150" customFormat="1" ht="16.5" customHeight="1">
      <c r="B102" s="151">
        <v>97</v>
      </c>
      <c r="C102" s="397" t="s">
        <v>93</v>
      </c>
      <c r="D102" s="236" t="s">
        <v>239</v>
      </c>
      <c r="E102" s="229" t="s">
        <v>253</v>
      </c>
      <c r="F102" s="229">
        <v>110</v>
      </c>
      <c r="G102" s="398">
        <v>0.9</v>
      </c>
      <c r="H102" s="398">
        <f t="shared" si="14"/>
        <v>99</v>
      </c>
      <c r="I102" s="399">
        <f t="shared" si="13"/>
        <v>1.0588235294117647</v>
      </c>
      <c r="J102" s="241">
        <v>0.85</v>
      </c>
      <c r="K102" s="241">
        <f t="shared" si="8"/>
        <v>93.5</v>
      </c>
      <c r="L102" s="240"/>
      <c r="M102" s="239">
        <v>1</v>
      </c>
      <c r="N102" s="241">
        <v>0.85</v>
      </c>
      <c r="O102" s="241">
        <f t="shared" si="9"/>
        <v>93.5</v>
      </c>
      <c r="P102" s="240"/>
      <c r="Q102" s="239">
        <f t="shared" si="10"/>
        <v>1</v>
      </c>
      <c r="R102" s="241">
        <v>0.9</v>
      </c>
      <c r="S102" s="241">
        <f t="shared" si="11"/>
        <v>99</v>
      </c>
      <c r="T102" s="240"/>
      <c r="U102" s="239">
        <f t="shared" si="12"/>
        <v>1.0588235294117647</v>
      </c>
      <c r="V102" s="154"/>
      <c r="W102" s="153"/>
    </row>
    <row r="103" spans="2:23" s="150" customFormat="1" ht="16.5" customHeight="1">
      <c r="B103" s="151">
        <v>98</v>
      </c>
      <c r="C103" s="397" t="s">
        <v>143</v>
      </c>
      <c r="D103" s="236"/>
      <c r="E103" s="229" t="s">
        <v>255</v>
      </c>
      <c r="F103" s="229">
        <v>360</v>
      </c>
      <c r="G103" s="398">
        <v>5</v>
      </c>
      <c r="H103" s="398">
        <f t="shared" si="14"/>
        <v>1800</v>
      </c>
      <c r="I103" s="399">
        <f t="shared" si="13"/>
        <v>1.3157894736842106</v>
      </c>
      <c r="J103" s="241">
        <v>3.8</v>
      </c>
      <c r="K103" s="241">
        <f t="shared" si="8"/>
        <v>1368</v>
      </c>
      <c r="L103" s="240"/>
      <c r="M103" s="239">
        <v>1</v>
      </c>
      <c r="N103" s="241">
        <v>4</v>
      </c>
      <c r="O103" s="241">
        <f t="shared" si="9"/>
        <v>1440</v>
      </c>
      <c r="P103" s="240"/>
      <c r="Q103" s="239">
        <f t="shared" si="10"/>
        <v>1.0526315789473684</v>
      </c>
      <c r="R103" s="241">
        <v>4</v>
      </c>
      <c r="S103" s="241">
        <f t="shared" si="11"/>
        <v>1440</v>
      </c>
      <c r="T103" s="240"/>
      <c r="U103" s="239">
        <f t="shared" si="12"/>
        <v>1.0526315789473684</v>
      </c>
      <c r="V103" s="154"/>
      <c r="W103" s="153"/>
    </row>
    <row r="104" spans="2:23" s="150" customFormat="1" ht="16.5" customHeight="1">
      <c r="B104" s="151">
        <v>99</v>
      </c>
      <c r="C104" s="397" t="s">
        <v>144</v>
      </c>
      <c r="D104" s="236" t="s">
        <v>240</v>
      </c>
      <c r="E104" s="229" t="s">
        <v>253</v>
      </c>
      <c r="F104" s="229">
        <v>24</v>
      </c>
      <c r="G104" s="398" t="s">
        <v>259</v>
      </c>
      <c r="H104" s="398" t="s">
        <v>259</v>
      </c>
      <c r="I104" s="399">
        <v>1</v>
      </c>
      <c r="J104" s="241">
        <v>3.15</v>
      </c>
      <c r="K104" s="241">
        <f t="shared" si="8"/>
        <v>75.599999999999994</v>
      </c>
      <c r="L104" s="240"/>
      <c r="M104" s="239">
        <v>1</v>
      </c>
      <c r="N104" s="241">
        <v>2</v>
      </c>
      <c r="O104" s="241">
        <f t="shared" si="9"/>
        <v>48</v>
      </c>
      <c r="P104" s="240"/>
      <c r="Q104" s="239">
        <f t="shared" si="10"/>
        <v>0.634920634920635</v>
      </c>
      <c r="R104" s="241">
        <v>1.8</v>
      </c>
      <c r="S104" s="241">
        <f t="shared" si="11"/>
        <v>43.2</v>
      </c>
      <c r="T104" s="240"/>
      <c r="U104" s="239">
        <f t="shared" si="12"/>
        <v>0.57142857142857151</v>
      </c>
      <c r="V104" s="154"/>
      <c r="W104" s="153"/>
    </row>
    <row r="105" spans="2:23" s="150" customFormat="1" ht="16.5" customHeight="1">
      <c r="B105" s="151">
        <v>100</v>
      </c>
      <c r="C105" s="397" t="s">
        <v>102</v>
      </c>
      <c r="D105" s="236" t="s">
        <v>241</v>
      </c>
      <c r="E105" s="229" t="s">
        <v>253</v>
      </c>
      <c r="F105" s="229">
        <v>24</v>
      </c>
      <c r="G105" s="398" t="s">
        <v>259</v>
      </c>
      <c r="H105" s="398" t="s">
        <v>259</v>
      </c>
      <c r="I105" s="399">
        <v>1</v>
      </c>
      <c r="J105" s="241">
        <v>1.65</v>
      </c>
      <c r="K105" s="241">
        <f t="shared" si="8"/>
        <v>39.599999999999994</v>
      </c>
      <c r="L105" s="240"/>
      <c r="M105" s="239">
        <v>1</v>
      </c>
      <c r="N105" s="241">
        <v>3.3</v>
      </c>
      <c r="O105" s="241">
        <f t="shared" si="9"/>
        <v>79.199999999999989</v>
      </c>
      <c r="P105" s="240"/>
      <c r="Q105" s="239">
        <f t="shared" si="10"/>
        <v>2</v>
      </c>
      <c r="R105" s="241">
        <v>3.5</v>
      </c>
      <c r="S105" s="241">
        <f t="shared" si="11"/>
        <v>84</v>
      </c>
      <c r="T105" s="240"/>
      <c r="U105" s="239">
        <f t="shared" si="12"/>
        <v>2.1212121212121215</v>
      </c>
      <c r="V105" s="154"/>
      <c r="W105" s="153"/>
    </row>
    <row r="106" spans="2:23" s="150" customFormat="1" ht="16.5" customHeight="1">
      <c r="B106" s="151">
        <v>101</v>
      </c>
      <c r="C106" s="397" t="s">
        <v>145</v>
      </c>
      <c r="D106" s="236" t="s">
        <v>242</v>
      </c>
      <c r="E106" s="229" t="s">
        <v>253</v>
      </c>
      <c r="F106" s="229">
        <v>24</v>
      </c>
      <c r="G106" s="398">
        <v>3.5</v>
      </c>
      <c r="H106" s="398">
        <f t="shared" si="14"/>
        <v>84</v>
      </c>
      <c r="I106" s="399">
        <f t="shared" si="13"/>
        <v>1.4</v>
      </c>
      <c r="J106" s="241">
        <v>2.5</v>
      </c>
      <c r="K106" s="241">
        <f t="shared" si="8"/>
        <v>60</v>
      </c>
      <c r="L106" s="240"/>
      <c r="M106" s="239">
        <v>1</v>
      </c>
      <c r="N106" s="241">
        <v>2.6</v>
      </c>
      <c r="O106" s="241">
        <f t="shared" si="9"/>
        <v>62.400000000000006</v>
      </c>
      <c r="P106" s="240"/>
      <c r="Q106" s="239">
        <f t="shared" si="10"/>
        <v>1.04</v>
      </c>
      <c r="R106" s="241">
        <v>2.8</v>
      </c>
      <c r="S106" s="241">
        <f t="shared" si="11"/>
        <v>67.199999999999989</v>
      </c>
      <c r="T106" s="240"/>
      <c r="U106" s="239">
        <f t="shared" si="12"/>
        <v>1.1199999999999999</v>
      </c>
      <c r="V106" s="154"/>
      <c r="W106" s="153"/>
    </row>
    <row r="107" spans="2:23" s="150" customFormat="1" ht="16.5" customHeight="1">
      <c r="B107" s="151">
        <v>102</v>
      </c>
      <c r="C107" s="397" t="s">
        <v>129</v>
      </c>
      <c r="D107" s="236" t="s">
        <v>243</v>
      </c>
      <c r="E107" s="229" t="s">
        <v>253</v>
      </c>
      <c r="F107" s="229">
        <v>200</v>
      </c>
      <c r="G107" s="398">
        <v>1</v>
      </c>
      <c r="H107" s="398">
        <f t="shared" si="14"/>
        <v>200</v>
      </c>
      <c r="I107" s="399">
        <f t="shared" si="13"/>
        <v>1.6666666666666667</v>
      </c>
      <c r="J107" s="241">
        <v>0.6</v>
      </c>
      <c r="K107" s="241">
        <f t="shared" si="8"/>
        <v>120</v>
      </c>
      <c r="L107" s="240"/>
      <c r="M107" s="239">
        <v>1</v>
      </c>
      <c r="N107" s="241">
        <v>0.8</v>
      </c>
      <c r="O107" s="241">
        <f t="shared" si="9"/>
        <v>160</v>
      </c>
      <c r="P107" s="240"/>
      <c r="Q107" s="239">
        <f t="shared" si="10"/>
        <v>1.3333333333333333</v>
      </c>
      <c r="R107" s="241">
        <v>0.8</v>
      </c>
      <c r="S107" s="241">
        <f t="shared" si="11"/>
        <v>160</v>
      </c>
      <c r="T107" s="240"/>
      <c r="U107" s="239">
        <f t="shared" si="12"/>
        <v>1.3333333333333333</v>
      </c>
      <c r="V107" s="154"/>
      <c r="W107" s="153"/>
    </row>
    <row r="108" spans="2:23" s="150" customFormat="1" ht="16.5" customHeight="1">
      <c r="B108" s="151">
        <v>103</v>
      </c>
      <c r="C108" s="397" t="s">
        <v>146</v>
      </c>
      <c r="D108" s="236" t="s">
        <v>244</v>
      </c>
      <c r="E108" s="229" t="s">
        <v>58</v>
      </c>
      <c r="F108" s="229">
        <v>100</v>
      </c>
      <c r="G108" s="398">
        <v>98</v>
      </c>
      <c r="H108" s="398">
        <f t="shared" si="14"/>
        <v>9800</v>
      </c>
      <c r="I108" s="399">
        <f t="shared" si="13"/>
        <v>1.0315789473684212</v>
      </c>
      <c r="J108" s="241">
        <v>95</v>
      </c>
      <c r="K108" s="241">
        <f t="shared" si="8"/>
        <v>9500</v>
      </c>
      <c r="L108" s="240"/>
      <c r="M108" s="239">
        <v>1</v>
      </c>
      <c r="N108" s="241">
        <v>102</v>
      </c>
      <c r="O108" s="241">
        <f t="shared" si="9"/>
        <v>10200</v>
      </c>
      <c r="P108" s="240"/>
      <c r="Q108" s="239">
        <f t="shared" si="10"/>
        <v>1.0736842105263158</v>
      </c>
      <c r="R108" s="241">
        <v>107</v>
      </c>
      <c r="S108" s="241">
        <f t="shared" si="11"/>
        <v>10700</v>
      </c>
      <c r="T108" s="240"/>
      <c r="U108" s="239">
        <f t="shared" si="12"/>
        <v>1.1263157894736842</v>
      </c>
      <c r="V108" s="154"/>
      <c r="W108" s="153"/>
    </row>
    <row r="109" spans="2:23" s="150" customFormat="1" ht="16.5" customHeight="1">
      <c r="B109" s="151">
        <v>104</v>
      </c>
      <c r="C109" s="397" t="s">
        <v>147</v>
      </c>
      <c r="D109" s="236" t="s">
        <v>245</v>
      </c>
      <c r="E109" s="229" t="s">
        <v>253</v>
      </c>
      <c r="F109" s="229">
        <v>20</v>
      </c>
      <c r="G109" s="398" t="s">
        <v>259</v>
      </c>
      <c r="H109" s="398" t="s">
        <v>259</v>
      </c>
      <c r="I109" s="399">
        <v>1</v>
      </c>
      <c r="J109" s="241">
        <v>0.8</v>
      </c>
      <c r="K109" s="241">
        <f t="shared" si="8"/>
        <v>16</v>
      </c>
      <c r="L109" s="240"/>
      <c r="M109" s="239">
        <v>1</v>
      </c>
      <c r="N109" s="241">
        <v>0.9</v>
      </c>
      <c r="O109" s="241">
        <f t="shared" si="9"/>
        <v>18</v>
      </c>
      <c r="P109" s="240"/>
      <c r="Q109" s="239">
        <f t="shared" si="10"/>
        <v>1.125</v>
      </c>
      <c r="R109" s="241">
        <v>1</v>
      </c>
      <c r="S109" s="241">
        <f t="shared" si="11"/>
        <v>20</v>
      </c>
      <c r="T109" s="240"/>
      <c r="U109" s="239">
        <f t="shared" si="12"/>
        <v>1.25</v>
      </c>
      <c r="V109" s="154"/>
      <c r="W109" s="153"/>
    </row>
    <row r="110" spans="2:23" s="150" customFormat="1" ht="16.5" customHeight="1">
      <c r="B110" s="151">
        <v>105</v>
      </c>
      <c r="C110" s="397" t="s">
        <v>147</v>
      </c>
      <c r="D110" s="236" t="s">
        <v>246</v>
      </c>
      <c r="E110" s="229" t="s">
        <v>253</v>
      </c>
      <c r="F110" s="229">
        <v>20</v>
      </c>
      <c r="G110" s="398" t="s">
        <v>259</v>
      </c>
      <c r="H110" s="398" t="s">
        <v>259</v>
      </c>
      <c r="I110" s="399">
        <v>1</v>
      </c>
      <c r="J110" s="241">
        <v>1.1000000000000001</v>
      </c>
      <c r="K110" s="241">
        <f t="shared" si="8"/>
        <v>22</v>
      </c>
      <c r="L110" s="240"/>
      <c r="M110" s="239">
        <v>1</v>
      </c>
      <c r="N110" s="241">
        <v>1.1000000000000001</v>
      </c>
      <c r="O110" s="241">
        <f t="shared" si="9"/>
        <v>22</v>
      </c>
      <c r="P110" s="240"/>
      <c r="Q110" s="239">
        <f t="shared" si="10"/>
        <v>1</v>
      </c>
      <c r="R110" s="241">
        <v>1.2</v>
      </c>
      <c r="S110" s="241">
        <f t="shared" si="11"/>
        <v>24</v>
      </c>
      <c r="T110" s="240"/>
      <c r="U110" s="239">
        <f t="shared" si="12"/>
        <v>1.0909090909090908</v>
      </c>
      <c r="V110" s="154"/>
      <c r="W110" s="153"/>
    </row>
    <row r="111" spans="2:23" s="150" customFormat="1" ht="16.5" customHeight="1">
      <c r="B111" s="151">
        <v>106</v>
      </c>
      <c r="C111" s="397" t="s">
        <v>148</v>
      </c>
      <c r="D111" s="236" t="s">
        <v>247</v>
      </c>
      <c r="E111" s="229" t="s">
        <v>253</v>
      </c>
      <c r="F111" s="229">
        <v>20</v>
      </c>
      <c r="G111" s="398" t="s">
        <v>259</v>
      </c>
      <c r="H111" s="398" t="s">
        <v>259</v>
      </c>
      <c r="I111" s="399">
        <v>1</v>
      </c>
      <c r="J111" s="241">
        <v>1.2</v>
      </c>
      <c r="K111" s="241">
        <f t="shared" si="8"/>
        <v>24</v>
      </c>
      <c r="L111" s="240"/>
      <c r="M111" s="239">
        <v>1</v>
      </c>
      <c r="N111" s="241">
        <v>1.5</v>
      </c>
      <c r="O111" s="241">
        <f t="shared" si="9"/>
        <v>30</v>
      </c>
      <c r="P111" s="240"/>
      <c r="Q111" s="239">
        <f t="shared" si="10"/>
        <v>1.25</v>
      </c>
      <c r="R111" s="241">
        <v>1.4</v>
      </c>
      <c r="S111" s="241">
        <f t="shared" si="11"/>
        <v>28</v>
      </c>
      <c r="T111" s="240"/>
      <c r="U111" s="239">
        <f t="shared" si="12"/>
        <v>1.1666666666666667</v>
      </c>
      <c r="V111" s="154"/>
      <c r="W111" s="153"/>
    </row>
    <row r="112" spans="2:23" s="150" customFormat="1" ht="16.5" customHeight="1">
      <c r="B112" s="151">
        <v>107</v>
      </c>
      <c r="C112" s="397" t="s">
        <v>147</v>
      </c>
      <c r="D112" s="236" t="s">
        <v>248</v>
      </c>
      <c r="E112" s="229" t="s">
        <v>253</v>
      </c>
      <c r="F112" s="229">
        <v>20</v>
      </c>
      <c r="G112" s="398" t="s">
        <v>259</v>
      </c>
      <c r="H112" s="398" t="s">
        <v>259</v>
      </c>
      <c r="I112" s="399">
        <v>1</v>
      </c>
      <c r="J112" s="241">
        <v>2.8</v>
      </c>
      <c r="K112" s="241">
        <f t="shared" si="8"/>
        <v>56</v>
      </c>
      <c r="L112" s="240"/>
      <c r="M112" s="239">
        <v>1</v>
      </c>
      <c r="N112" s="241">
        <v>3</v>
      </c>
      <c r="O112" s="241">
        <f t="shared" si="9"/>
        <v>60</v>
      </c>
      <c r="P112" s="240"/>
      <c r="Q112" s="239">
        <f t="shared" si="10"/>
        <v>1.0714285714285714</v>
      </c>
      <c r="R112" s="241">
        <v>3</v>
      </c>
      <c r="S112" s="241">
        <f t="shared" si="11"/>
        <v>60</v>
      </c>
      <c r="T112" s="240"/>
      <c r="U112" s="239">
        <f t="shared" si="12"/>
        <v>1.0714285714285714</v>
      </c>
      <c r="V112" s="154"/>
      <c r="W112" s="153"/>
    </row>
    <row r="113" spans="1:27" s="150" customFormat="1" ht="16.5" customHeight="1">
      <c r="B113" s="151">
        <v>108</v>
      </c>
      <c r="C113" s="397" t="s">
        <v>147</v>
      </c>
      <c r="D113" s="236" t="s">
        <v>249</v>
      </c>
      <c r="E113" s="229" t="s">
        <v>253</v>
      </c>
      <c r="F113" s="229">
        <v>20</v>
      </c>
      <c r="G113" s="398" t="s">
        <v>259</v>
      </c>
      <c r="H113" s="398" t="s">
        <v>259</v>
      </c>
      <c r="I113" s="399">
        <v>1</v>
      </c>
      <c r="J113" s="241">
        <v>4.2</v>
      </c>
      <c r="K113" s="241">
        <f t="shared" si="8"/>
        <v>84</v>
      </c>
      <c r="L113" s="240"/>
      <c r="M113" s="239">
        <v>1</v>
      </c>
      <c r="N113" s="241">
        <v>4.5</v>
      </c>
      <c r="O113" s="241">
        <f t="shared" si="9"/>
        <v>90</v>
      </c>
      <c r="P113" s="240"/>
      <c r="Q113" s="239">
        <f t="shared" si="10"/>
        <v>1.0714285714285714</v>
      </c>
      <c r="R113" s="241">
        <v>4.2</v>
      </c>
      <c r="S113" s="241">
        <f t="shared" si="11"/>
        <v>84</v>
      </c>
      <c r="T113" s="240"/>
      <c r="U113" s="239">
        <f t="shared" si="12"/>
        <v>1</v>
      </c>
      <c r="V113" s="154"/>
      <c r="W113" s="153"/>
    </row>
    <row r="114" spans="1:27" s="150" customFormat="1" ht="16.5" customHeight="1">
      <c r="B114" s="151">
        <v>109</v>
      </c>
      <c r="C114" s="397" t="s">
        <v>147</v>
      </c>
      <c r="D114" s="236" t="s">
        <v>250</v>
      </c>
      <c r="E114" s="229" t="s">
        <v>253</v>
      </c>
      <c r="F114" s="229">
        <v>20</v>
      </c>
      <c r="G114" s="398" t="s">
        <v>259</v>
      </c>
      <c r="H114" s="398" t="s">
        <v>259</v>
      </c>
      <c r="I114" s="399">
        <v>1</v>
      </c>
      <c r="J114" s="241">
        <v>5.5</v>
      </c>
      <c r="K114" s="241">
        <f t="shared" si="8"/>
        <v>110</v>
      </c>
      <c r="L114" s="240"/>
      <c r="M114" s="239">
        <v>1</v>
      </c>
      <c r="N114" s="241">
        <v>5.8</v>
      </c>
      <c r="O114" s="241">
        <f t="shared" si="9"/>
        <v>116</v>
      </c>
      <c r="P114" s="240"/>
      <c r="Q114" s="239">
        <f t="shared" si="10"/>
        <v>1.0545454545454545</v>
      </c>
      <c r="R114" s="241">
        <v>6</v>
      </c>
      <c r="S114" s="241">
        <f t="shared" si="11"/>
        <v>120</v>
      </c>
      <c r="T114" s="240"/>
      <c r="U114" s="239">
        <f t="shared" si="12"/>
        <v>1.0909090909090908</v>
      </c>
      <c r="V114" s="154"/>
      <c r="W114" s="153"/>
    </row>
    <row r="115" spans="1:27" s="150" customFormat="1" ht="16.5" customHeight="1">
      <c r="B115" s="151">
        <v>110</v>
      </c>
      <c r="C115" s="397" t="s">
        <v>149</v>
      </c>
      <c r="D115" s="236" t="s">
        <v>251</v>
      </c>
      <c r="E115" s="229" t="s">
        <v>255</v>
      </c>
      <c r="F115" s="229">
        <v>100</v>
      </c>
      <c r="G115" s="398">
        <v>2.2999999999999998</v>
      </c>
      <c r="H115" s="398">
        <f t="shared" si="14"/>
        <v>229.99999999999997</v>
      </c>
      <c r="I115" s="399">
        <f t="shared" si="13"/>
        <v>1.1499999999999999</v>
      </c>
      <c r="J115" s="241">
        <v>2</v>
      </c>
      <c r="K115" s="241">
        <f t="shared" si="8"/>
        <v>200</v>
      </c>
      <c r="L115" s="240"/>
      <c r="M115" s="239">
        <v>1</v>
      </c>
      <c r="N115" s="241">
        <v>2</v>
      </c>
      <c r="O115" s="241">
        <f t="shared" si="9"/>
        <v>200</v>
      </c>
      <c r="P115" s="240"/>
      <c r="Q115" s="239">
        <f t="shared" si="10"/>
        <v>1</v>
      </c>
      <c r="R115" s="241">
        <v>2.5</v>
      </c>
      <c r="S115" s="241">
        <f t="shared" si="11"/>
        <v>250</v>
      </c>
      <c r="T115" s="240"/>
      <c r="U115" s="239">
        <f t="shared" si="12"/>
        <v>1.25</v>
      </c>
      <c r="V115" s="154"/>
      <c r="W115" s="153"/>
    </row>
    <row r="116" spans="1:27" s="150" customFormat="1" ht="16.5" customHeight="1">
      <c r="B116" s="151">
        <v>111</v>
      </c>
      <c r="C116" s="397" t="s">
        <v>150</v>
      </c>
      <c r="D116" s="236" t="s">
        <v>252</v>
      </c>
      <c r="E116" s="229" t="s">
        <v>258</v>
      </c>
      <c r="F116" s="229">
        <v>5</v>
      </c>
      <c r="G116" s="398" t="s">
        <v>259</v>
      </c>
      <c r="H116" s="398" t="s">
        <v>259</v>
      </c>
      <c r="I116" s="399">
        <v>1</v>
      </c>
      <c r="J116" s="241">
        <v>430</v>
      </c>
      <c r="K116" s="241">
        <f t="shared" si="8"/>
        <v>2150</v>
      </c>
      <c r="L116" s="240"/>
      <c r="M116" s="239">
        <v>1</v>
      </c>
      <c r="N116" s="241">
        <v>435</v>
      </c>
      <c r="O116" s="241">
        <f t="shared" si="9"/>
        <v>2175</v>
      </c>
      <c r="P116" s="240"/>
      <c r="Q116" s="239">
        <f t="shared" si="10"/>
        <v>1.0116279069767442</v>
      </c>
      <c r="R116" s="241">
        <v>463</v>
      </c>
      <c r="S116" s="241">
        <f t="shared" si="11"/>
        <v>2315</v>
      </c>
      <c r="T116" s="240"/>
      <c r="U116" s="239">
        <f t="shared" si="12"/>
        <v>1.0767441860465117</v>
      </c>
      <c r="V116" s="154"/>
      <c r="W116" s="153"/>
    </row>
    <row r="117" spans="1:27" s="150" customFormat="1" ht="16.5" customHeight="1">
      <c r="B117" s="393">
        <v>112</v>
      </c>
      <c r="C117" s="400" t="s">
        <v>151</v>
      </c>
      <c r="D117" s="401"/>
      <c r="E117" s="373" t="s">
        <v>253</v>
      </c>
      <c r="F117" s="373">
        <v>3</v>
      </c>
      <c r="G117" s="374">
        <v>130</v>
      </c>
      <c r="H117" s="374">
        <f t="shared" si="14"/>
        <v>390</v>
      </c>
      <c r="I117" s="375">
        <f t="shared" si="13"/>
        <v>1.2149532710280373</v>
      </c>
      <c r="J117" s="376">
        <v>107</v>
      </c>
      <c r="K117" s="376">
        <f t="shared" si="8"/>
        <v>321</v>
      </c>
      <c r="L117" s="377"/>
      <c r="M117" s="378">
        <v>1</v>
      </c>
      <c r="N117" s="376">
        <v>108</v>
      </c>
      <c r="O117" s="376">
        <f t="shared" si="9"/>
        <v>324</v>
      </c>
      <c r="P117" s="377"/>
      <c r="Q117" s="378">
        <f t="shared" si="10"/>
        <v>1.0093457943925233</v>
      </c>
      <c r="R117" s="376">
        <v>110</v>
      </c>
      <c r="S117" s="376">
        <f t="shared" si="11"/>
        <v>330</v>
      </c>
      <c r="T117" s="377"/>
      <c r="U117" s="378">
        <f t="shared" si="12"/>
        <v>1.02803738317757</v>
      </c>
      <c r="V117" s="402"/>
      <c r="W117" s="153"/>
    </row>
    <row r="118" spans="1:27" s="133" customFormat="1" ht="33" customHeight="1">
      <c r="A118" s="134"/>
      <c r="B118" s="391"/>
      <c r="C118" s="379" t="s">
        <v>21</v>
      </c>
      <c r="D118" s="380"/>
      <c r="E118" s="380"/>
      <c r="F118" s="380"/>
      <c r="G118" s="381" t="str">
        <f>G4</f>
        <v>Previous Price</v>
      </c>
      <c r="H118" s="382"/>
      <c r="I118" s="383"/>
      <c r="J118" s="381" t="str">
        <f>J4</f>
        <v>JASSIM SAIF AMER ALIABERI TRADING EST</v>
      </c>
      <c r="K118" s="384"/>
      <c r="L118" s="384"/>
      <c r="M118" s="385"/>
      <c r="N118" s="381" t="str">
        <f>N4</f>
        <v>SANFORD INNOVATION COMPANY</v>
      </c>
      <c r="O118" s="384"/>
      <c r="P118" s="384"/>
      <c r="Q118" s="385"/>
      <c r="R118" s="386" t="str">
        <f>R4</f>
        <v>EXCEL ENGINEERING EST</v>
      </c>
      <c r="S118" s="387"/>
      <c r="T118" s="387"/>
      <c r="U118" s="388"/>
      <c r="V118" s="389"/>
      <c r="W118" s="155"/>
    </row>
    <row r="119" spans="1:27" s="133" customFormat="1" ht="21.75" customHeight="1">
      <c r="A119" s="134"/>
      <c r="B119" s="156"/>
      <c r="C119" s="157"/>
      <c r="D119" s="362" t="s">
        <v>22</v>
      </c>
      <c r="E119" s="362"/>
      <c r="F119" s="363"/>
      <c r="G119" s="310">
        <f>SUM(H6:H117)</f>
        <v>250765.5</v>
      </c>
      <c r="H119" s="311"/>
      <c r="I119" s="160"/>
      <c r="J119" s="232"/>
      <c r="K119" s="230">
        <f>SUM(K6:K117)</f>
        <v>281701.79999999993</v>
      </c>
      <c r="L119" s="159"/>
      <c r="M119" s="160">
        <v>1</v>
      </c>
      <c r="N119" s="161"/>
      <c r="O119" s="230">
        <f>SUM(O6:O117)</f>
        <v>299341.00000000006</v>
      </c>
      <c r="P119" s="158"/>
      <c r="Q119" s="162">
        <f>O119/K119</f>
        <v>1.0626165683002384</v>
      </c>
      <c r="R119" s="161"/>
      <c r="S119" s="230">
        <f>SUM(S6:S117)</f>
        <v>311367.30000000005</v>
      </c>
      <c r="T119" s="158"/>
      <c r="U119" s="163">
        <f>S119/K119</f>
        <v>1.1053081662949975</v>
      </c>
      <c r="V119" s="164"/>
      <c r="W119" s="155"/>
    </row>
    <row r="120" spans="1:27" ht="21.75" customHeight="1" thickBot="1">
      <c r="B120" s="165"/>
      <c r="C120" s="320" t="s">
        <v>23</v>
      </c>
      <c r="D120" s="321"/>
      <c r="E120" s="321"/>
      <c r="F120" s="322"/>
      <c r="G120" s="312">
        <f>G119*15%</f>
        <v>37614.824999999997</v>
      </c>
      <c r="H120" s="313"/>
      <c r="I120" s="169"/>
      <c r="J120" s="166"/>
      <c r="K120" s="231">
        <f>K119*15%</f>
        <v>42255.26999999999</v>
      </c>
      <c r="L120" s="168"/>
      <c r="M120" s="169"/>
      <c r="N120" s="170"/>
      <c r="O120" s="231">
        <f>O119*15%</f>
        <v>44901.150000000009</v>
      </c>
      <c r="P120" s="168"/>
      <c r="Q120" s="169"/>
      <c r="R120" s="170"/>
      <c r="S120" s="231">
        <f>S119*15%</f>
        <v>46705.095000000008</v>
      </c>
      <c r="T120" s="167"/>
      <c r="U120" s="171"/>
      <c r="V120" s="172"/>
      <c r="W120" s="155"/>
    </row>
    <row r="121" spans="1:27" ht="25.15" customHeight="1" thickBot="1">
      <c r="B121" s="317" t="s">
        <v>45</v>
      </c>
      <c r="C121" s="318"/>
      <c r="D121" s="318"/>
      <c r="E121" s="318"/>
      <c r="F121" s="319"/>
      <c r="G121" s="308">
        <f>SUM(G119:H120)</f>
        <v>288380.32500000001</v>
      </c>
      <c r="H121" s="309"/>
      <c r="I121" s="233">
        <f>AVERAGE(I6:I117)</f>
        <v>1.0835760235273781</v>
      </c>
      <c r="J121" s="233"/>
      <c r="K121" s="174">
        <f>SUM(K119:K120)</f>
        <v>323957.06999999995</v>
      </c>
      <c r="L121" s="175"/>
      <c r="M121" s="176">
        <v>1</v>
      </c>
      <c r="N121" s="177"/>
      <c r="O121" s="174">
        <f>SUM(O119:O120)</f>
        <v>344242.15000000008</v>
      </c>
      <c r="P121" s="175"/>
      <c r="Q121" s="178">
        <f>O121/K121</f>
        <v>1.0626165683002384</v>
      </c>
      <c r="R121" s="173"/>
      <c r="S121" s="174">
        <f>SUM(S119:S120)</f>
        <v>358072.39500000008</v>
      </c>
      <c r="T121" s="175"/>
      <c r="U121" s="176">
        <f>S121/K121</f>
        <v>1.1053081662949975</v>
      </c>
      <c r="V121" s="179"/>
      <c r="W121" s="180"/>
    </row>
    <row r="122" spans="1:27" s="181" customFormat="1" ht="12" customHeight="1">
      <c r="B122" s="182"/>
      <c r="C122" s="183"/>
      <c r="D122" s="183"/>
      <c r="E122" s="184"/>
      <c r="F122" s="184"/>
      <c r="G122" s="184"/>
      <c r="H122" s="184"/>
      <c r="I122" s="184"/>
      <c r="J122" s="185"/>
      <c r="K122" s="185"/>
      <c r="L122" s="185"/>
      <c r="M122" s="186"/>
      <c r="N122" s="185"/>
      <c r="O122" s="185"/>
      <c r="P122" s="185"/>
      <c r="Q122" s="186"/>
      <c r="R122" s="186"/>
      <c r="S122" s="186"/>
      <c r="T122" s="186"/>
      <c r="U122" s="186"/>
      <c r="V122" s="187"/>
      <c r="W122" s="188"/>
      <c r="X122" s="189"/>
      <c r="Y122" s="189"/>
      <c r="Z122" s="189"/>
      <c r="AA122" s="189"/>
    </row>
    <row r="123" spans="1:27" ht="18" customHeight="1" thickBot="1">
      <c r="A123" s="135" t="s">
        <v>44</v>
      </c>
      <c r="B123" s="135"/>
      <c r="C123" s="136"/>
      <c r="D123" s="137"/>
      <c r="E123" s="135"/>
      <c r="F123" s="135"/>
      <c r="G123" s="135"/>
      <c r="H123" s="135"/>
      <c r="I123" s="135"/>
      <c r="J123" s="135"/>
      <c r="K123" s="135"/>
      <c r="L123" s="135"/>
      <c r="M123" s="138"/>
      <c r="N123" s="135"/>
      <c r="O123" s="135"/>
      <c r="P123" s="135"/>
      <c r="Q123" s="138"/>
      <c r="R123" s="138"/>
      <c r="S123" s="138"/>
      <c r="T123" s="138"/>
      <c r="U123" s="138"/>
      <c r="V123" s="142" t="s">
        <v>25</v>
      </c>
      <c r="W123" s="142"/>
    </row>
    <row r="124" spans="1:27" ht="23.25" customHeight="1" thickBot="1">
      <c r="B124" s="143" t="s">
        <v>46</v>
      </c>
      <c r="C124" s="354" t="s">
        <v>47</v>
      </c>
      <c r="D124" s="355"/>
      <c r="E124" s="354" t="s">
        <v>48</v>
      </c>
      <c r="F124" s="356"/>
      <c r="G124" s="356"/>
      <c r="H124" s="356"/>
      <c r="I124" s="355"/>
      <c r="J124" s="344" t="s">
        <v>49</v>
      </c>
      <c r="K124" s="345"/>
      <c r="L124" s="346" t="s">
        <v>50</v>
      </c>
      <c r="M124" s="347"/>
      <c r="N124" s="344" t="s">
        <v>51</v>
      </c>
      <c r="O124" s="345"/>
      <c r="P124" s="346" t="s">
        <v>50</v>
      </c>
      <c r="Q124" s="347"/>
      <c r="R124" s="344" t="s">
        <v>51</v>
      </c>
      <c r="S124" s="345"/>
      <c r="T124" s="346" t="s">
        <v>50</v>
      </c>
      <c r="U124" s="347"/>
      <c r="V124" s="190" t="s">
        <v>52</v>
      </c>
      <c r="W124" s="191"/>
    </row>
    <row r="125" spans="1:27" s="181" customFormat="1" ht="25.15" customHeight="1" thickTop="1">
      <c r="B125" s="192">
        <v>1</v>
      </c>
      <c r="C125" s="348" t="str">
        <f>+J118</f>
        <v>JASSIM SAIF AMER ALIABERI TRADING EST</v>
      </c>
      <c r="D125" s="349"/>
      <c r="E125" s="335">
        <f>K121</f>
        <v>323957.06999999995</v>
      </c>
      <c r="F125" s="336"/>
      <c r="G125" s="336"/>
      <c r="H125" s="336"/>
      <c r="I125" s="337"/>
      <c r="J125" s="350">
        <f>K121</f>
        <v>323957.06999999995</v>
      </c>
      <c r="K125" s="351"/>
      <c r="L125" s="352">
        <v>1</v>
      </c>
      <c r="M125" s="353"/>
      <c r="N125" s="350">
        <f>E125</f>
        <v>323957.06999999995</v>
      </c>
      <c r="O125" s="351"/>
      <c r="P125" s="352">
        <f>N125/E125</f>
        <v>1</v>
      </c>
      <c r="Q125" s="353">
        <f>N125/E125</f>
        <v>1</v>
      </c>
      <c r="R125" s="350">
        <f>E125</f>
        <v>323957.06999999995</v>
      </c>
      <c r="S125" s="351"/>
      <c r="T125" s="352">
        <f>R125/E125</f>
        <v>1</v>
      </c>
      <c r="U125" s="353">
        <f>R125/E125</f>
        <v>1</v>
      </c>
      <c r="V125" s="193"/>
      <c r="W125" s="194"/>
      <c r="X125" s="189"/>
      <c r="Y125" s="189"/>
      <c r="Z125" s="189"/>
      <c r="AA125" s="189"/>
    </row>
    <row r="126" spans="1:27" s="181" customFormat="1" ht="25.15" customHeight="1">
      <c r="B126" s="195">
        <v>2</v>
      </c>
      <c r="C126" s="327" t="str">
        <f>+N118</f>
        <v>SANFORD INNOVATION COMPANY</v>
      </c>
      <c r="D126" s="328"/>
      <c r="E126" s="338"/>
      <c r="F126" s="339"/>
      <c r="G126" s="339"/>
      <c r="H126" s="339"/>
      <c r="I126" s="340"/>
      <c r="J126" s="329">
        <f>O121</f>
        <v>344242.15000000008</v>
      </c>
      <c r="K126" s="330"/>
      <c r="L126" s="331">
        <f>J126/E125</f>
        <v>1.0626165683002384</v>
      </c>
      <c r="M126" s="332"/>
      <c r="N126" s="329">
        <f>J126</f>
        <v>344242.15000000008</v>
      </c>
      <c r="O126" s="330"/>
      <c r="P126" s="331">
        <f>N126/E125</f>
        <v>1.0626165683002384</v>
      </c>
      <c r="Q126" s="332">
        <v>1</v>
      </c>
      <c r="R126" s="329">
        <f>N126</f>
        <v>344242.15000000008</v>
      </c>
      <c r="S126" s="330"/>
      <c r="T126" s="331">
        <f>R126/E125</f>
        <v>1.0626165683002384</v>
      </c>
      <c r="U126" s="332">
        <v>1</v>
      </c>
      <c r="V126" s="196"/>
      <c r="W126" s="194"/>
      <c r="X126" s="189"/>
      <c r="Y126" s="189"/>
      <c r="Z126" s="189"/>
      <c r="AA126" s="189"/>
    </row>
    <row r="127" spans="1:27" s="181" customFormat="1" ht="25.15" customHeight="1" thickBot="1">
      <c r="B127" s="197">
        <v>3</v>
      </c>
      <c r="C127" s="333" t="str">
        <f>+R118</f>
        <v>EXCEL ENGINEERING EST</v>
      </c>
      <c r="D127" s="334"/>
      <c r="E127" s="341"/>
      <c r="F127" s="342"/>
      <c r="G127" s="342"/>
      <c r="H127" s="342"/>
      <c r="I127" s="343"/>
      <c r="J127" s="325">
        <f>S121</f>
        <v>358072.39500000008</v>
      </c>
      <c r="K127" s="326"/>
      <c r="L127" s="323">
        <f>J127/E125</f>
        <v>1.1053081662949975</v>
      </c>
      <c r="M127" s="324"/>
      <c r="N127" s="325">
        <f>J127</f>
        <v>358072.39500000008</v>
      </c>
      <c r="O127" s="326"/>
      <c r="P127" s="323">
        <f>N127/E125</f>
        <v>1.1053081662949975</v>
      </c>
      <c r="Q127" s="324"/>
      <c r="R127" s="325">
        <f>J127</f>
        <v>358072.39500000008</v>
      </c>
      <c r="S127" s="326"/>
      <c r="T127" s="323">
        <f>R127/E125</f>
        <v>1.1053081662949975</v>
      </c>
      <c r="U127" s="324"/>
      <c r="V127" s="198"/>
      <c r="W127" s="194"/>
      <c r="X127" s="189"/>
      <c r="Y127" s="189"/>
      <c r="Z127" s="189"/>
      <c r="AA127" s="189"/>
    </row>
    <row r="128" spans="1:27" s="181" customFormat="1" ht="12" customHeight="1">
      <c r="B128" s="182"/>
      <c r="C128" s="183"/>
      <c r="D128" s="183"/>
      <c r="E128" s="184"/>
      <c r="F128" s="184"/>
      <c r="G128" s="184"/>
      <c r="H128" s="184"/>
      <c r="I128" s="184"/>
      <c r="J128" s="185"/>
      <c r="K128" s="185"/>
      <c r="L128" s="185"/>
      <c r="M128" s="186"/>
      <c r="N128" s="185"/>
      <c r="O128" s="185"/>
      <c r="P128" s="185"/>
      <c r="Q128" s="186"/>
      <c r="R128" s="186"/>
      <c r="S128" s="186"/>
      <c r="T128" s="186"/>
      <c r="U128" s="186"/>
      <c r="V128" s="187"/>
      <c r="W128" s="188"/>
      <c r="X128" s="189"/>
      <c r="Y128" s="189"/>
      <c r="Z128" s="189"/>
      <c r="AA128" s="189"/>
    </row>
    <row r="129" spans="1:27" ht="18" customHeight="1" thickBot="1">
      <c r="A129" s="135" t="s">
        <v>53</v>
      </c>
      <c r="B129" s="135"/>
      <c r="C129" s="136"/>
      <c r="D129" s="137"/>
      <c r="E129" s="135"/>
      <c r="F129" s="135"/>
      <c r="G129" s="135"/>
      <c r="H129" s="135"/>
      <c r="I129" s="135"/>
      <c r="J129" s="135"/>
      <c r="K129" s="135"/>
      <c r="L129" s="135"/>
      <c r="M129" s="138"/>
      <c r="N129" s="135"/>
      <c r="O129" s="135"/>
      <c r="P129" s="135"/>
      <c r="Q129" s="138"/>
      <c r="R129" s="138"/>
      <c r="S129" s="138"/>
      <c r="T129" s="138"/>
      <c r="U129" s="138"/>
      <c r="V129" s="135"/>
      <c r="W129" s="135"/>
    </row>
    <row r="130" spans="1:27" ht="19.899999999999999" customHeight="1">
      <c r="A130" s="135"/>
      <c r="B130" s="199" t="s">
        <v>56</v>
      </c>
      <c r="C130" s="200"/>
      <c r="D130" s="201"/>
      <c r="E130" s="202"/>
      <c r="F130" s="203"/>
      <c r="G130" s="203"/>
      <c r="H130" s="203"/>
      <c r="I130" s="203"/>
      <c r="J130" s="203"/>
      <c r="K130" s="203"/>
      <c r="L130" s="203"/>
      <c r="M130" s="204"/>
      <c r="N130" s="203"/>
      <c r="O130" s="203"/>
      <c r="P130" s="203"/>
      <c r="Q130" s="204"/>
      <c r="R130" s="204"/>
      <c r="S130" s="204"/>
      <c r="T130" s="204"/>
      <c r="U130" s="204"/>
      <c r="V130" s="205"/>
      <c r="W130" s="135"/>
    </row>
    <row r="131" spans="1:27" ht="19.899999999999999" customHeight="1" thickBot="1">
      <c r="A131" s="135"/>
      <c r="B131" s="206"/>
      <c r="C131" s="207"/>
      <c r="D131" s="208"/>
      <c r="E131" s="209"/>
      <c r="F131" s="210"/>
      <c r="G131" s="210"/>
      <c r="H131" s="210"/>
      <c r="I131" s="210"/>
      <c r="J131" s="210"/>
      <c r="K131" s="210"/>
      <c r="L131" s="210"/>
      <c r="M131" s="211"/>
      <c r="N131" s="210"/>
      <c r="O131" s="210"/>
      <c r="P131" s="210"/>
      <c r="Q131" s="211"/>
      <c r="R131" s="211"/>
      <c r="S131" s="211"/>
      <c r="T131" s="211"/>
      <c r="U131" s="211"/>
      <c r="V131" s="212"/>
      <c r="W131" s="135"/>
    </row>
    <row r="132" spans="1:27" s="181" customFormat="1" ht="12" customHeight="1">
      <c r="B132" s="182"/>
      <c r="C132" s="183"/>
      <c r="D132" s="183"/>
      <c r="E132" s="184"/>
      <c r="F132" s="184"/>
      <c r="G132" s="184"/>
      <c r="H132" s="184"/>
      <c r="I132" s="184"/>
      <c r="J132" s="185"/>
      <c r="K132" s="185"/>
      <c r="L132" s="185"/>
      <c r="M132" s="186"/>
      <c r="N132" s="185"/>
      <c r="O132" s="185"/>
      <c r="P132" s="185"/>
      <c r="Q132" s="186"/>
      <c r="R132" s="186"/>
      <c r="S132" s="186"/>
      <c r="T132" s="186"/>
      <c r="U132" s="186"/>
      <c r="V132" s="187"/>
      <c r="W132" s="188"/>
      <c r="X132" s="189"/>
      <c r="Y132" s="189"/>
      <c r="Z132" s="189"/>
      <c r="AA132" s="189"/>
    </row>
    <row r="133" spans="1:27" ht="18" customHeight="1" thickBot="1">
      <c r="A133" s="135" t="s">
        <v>54</v>
      </c>
      <c r="B133" s="135"/>
      <c r="C133" s="136"/>
      <c r="D133" s="137"/>
      <c r="E133" s="135"/>
      <c r="F133" s="135"/>
      <c r="G133" s="135"/>
      <c r="H133" s="135"/>
      <c r="I133" s="135"/>
      <c r="J133" s="135"/>
      <c r="K133" s="135"/>
      <c r="L133" s="135"/>
      <c r="M133" s="138"/>
      <c r="N133" s="135"/>
      <c r="O133" s="135"/>
      <c r="P133" s="135"/>
      <c r="Q133" s="138"/>
      <c r="R133" s="138"/>
      <c r="S133" s="138"/>
      <c r="T133" s="138"/>
      <c r="U133" s="138"/>
      <c r="V133" s="135"/>
      <c r="W133" s="135"/>
    </row>
    <row r="134" spans="1:27" ht="24.95" customHeight="1" thickBot="1">
      <c r="A134" s="135"/>
      <c r="B134" s="213" t="str">
        <f>CONCATENATE("1) Selected '",J4,"' as the vendor offering the lowest price while meeting all required quality standards.")</f>
        <v>1) Selected 'JASSIM SAIF AMER ALIABERI TRADING EST' as the vendor offering the lowest price while meeting all required quality standards.</v>
      </c>
      <c r="C134" s="214"/>
      <c r="D134" s="215"/>
      <c r="E134" s="216"/>
      <c r="F134" s="217"/>
      <c r="G134" s="217"/>
      <c r="H134" s="217"/>
      <c r="I134" s="217"/>
      <c r="J134" s="217"/>
      <c r="K134" s="217"/>
      <c r="L134" s="217"/>
      <c r="M134" s="218"/>
      <c r="N134" s="217"/>
      <c r="O134" s="217"/>
      <c r="P134" s="217"/>
      <c r="Q134" s="218"/>
      <c r="R134" s="218"/>
      <c r="S134" s="218"/>
      <c r="T134" s="218"/>
      <c r="U134" s="218"/>
      <c r="V134" s="219"/>
      <c r="W134" s="135"/>
    </row>
    <row r="135" spans="1:27" ht="18" customHeight="1">
      <c r="A135" s="135"/>
      <c r="B135" s="220"/>
      <c r="C135" s="221"/>
      <c r="D135" s="222"/>
      <c r="E135" s="220"/>
      <c r="F135" s="135"/>
      <c r="G135" s="135"/>
      <c r="H135" s="135"/>
      <c r="I135" s="135"/>
      <c r="J135" s="135"/>
      <c r="K135" s="135"/>
      <c r="L135" s="135"/>
      <c r="M135" s="138"/>
      <c r="N135" s="135"/>
      <c r="O135" s="135"/>
      <c r="P135" s="135"/>
      <c r="Q135" s="138"/>
      <c r="R135" s="138"/>
      <c r="S135" s="138"/>
      <c r="T135" s="138"/>
      <c r="U135" s="138"/>
      <c r="V135" s="135"/>
      <c r="W135" s="135"/>
    </row>
    <row r="136" spans="1:27" s="226" customFormat="1" ht="15" customHeight="1">
      <c r="A136" s="134"/>
      <c r="B136" s="223"/>
      <c r="C136" s="224"/>
      <c r="D136" s="225"/>
      <c r="E136" s="223"/>
      <c r="F136" s="223"/>
      <c r="G136" s="223"/>
      <c r="H136" s="223"/>
      <c r="I136" s="223"/>
      <c r="J136" s="223"/>
      <c r="K136" s="223"/>
      <c r="L136" s="223"/>
      <c r="M136" s="223"/>
      <c r="N136" s="223"/>
      <c r="O136" s="223"/>
      <c r="P136" s="223"/>
      <c r="Q136" s="223"/>
      <c r="R136" s="223"/>
      <c r="S136" s="223"/>
      <c r="T136" s="223"/>
      <c r="U136" s="223"/>
      <c r="V136" s="223"/>
      <c r="W136" s="223"/>
      <c r="X136" s="133"/>
      <c r="Y136" s="133"/>
      <c r="Z136" s="133"/>
      <c r="AA136" s="133"/>
    </row>
    <row r="137" spans="1:27" s="226" customFormat="1" ht="18" customHeight="1">
      <c r="A137" s="134"/>
      <c r="B137" s="134"/>
      <c r="C137" s="139"/>
      <c r="D137" s="225"/>
      <c r="L137" s="223"/>
      <c r="M137" s="223"/>
      <c r="N137" s="223"/>
      <c r="O137" s="223"/>
      <c r="P137" s="223"/>
      <c r="Q137" s="223"/>
      <c r="R137" s="223"/>
      <c r="S137" s="223"/>
      <c r="T137" s="223"/>
      <c r="U137" s="223"/>
      <c r="V137" s="134"/>
      <c r="W137" s="134"/>
      <c r="X137" s="133"/>
      <c r="Y137" s="133"/>
      <c r="Z137" s="133"/>
      <c r="AA137" s="133"/>
    </row>
    <row r="138" spans="1:27" s="226" customFormat="1" ht="18" customHeight="1">
      <c r="A138" s="134"/>
      <c r="B138" s="134"/>
      <c r="C138" s="139"/>
      <c r="D138" s="225"/>
      <c r="E138" s="223"/>
      <c r="F138" s="223"/>
      <c r="G138" s="223"/>
      <c r="H138" s="223"/>
      <c r="I138" s="223"/>
      <c r="J138" s="223"/>
      <c r="K138" s="223"/>
      <c r="L138" s="223"/>
      <c r="M138" s="223"/>
      <c r="N138" s="223"/>
      <c r="O138" s="223"/>
      <c r="P138" s="223"/>
      <c r="Q138" s="223"/>
      <c r="R138" s="223"/>
      <c r="S138" s="223"/>
      <c r="T138" s="223"/>
      <c r="U138" s="223"/>
      <c r="V138" s="134"/>
      <c r="W138" s="134"/>
      <c r="X138" s="133"/>
      <c r="Y138" s="133"/>
      <c r="Z138" s="133"/>
      <c r="AA138" s="133"/>
    </row>
    <row r="139" spans="1:27" s="226" customFormat="1" ht="18" customHeight="1">
      <c r="A139" s="134"/>
      <c r="B139" s="134"/>
      <c r="C139" s="139"/>
      <c r="D139" s="225"/>
      <c r="E139" s="223"/>
      <c r="F139" s="223"/>
      <c r="G139" s="223"/>
      <c r="H139" s="223"/>
      <c r="I139" s="223"/>
      <c r="J139" s="223"/>
      <c r="K139" s="223"/>
      <c r="L139" s="223"/>
      <c r="M139" s="223"/>
      <c r="N139" s="223"/>
      <c r="O139" s="223"/>
      <c r="P139" s="223"/>
      <c r="Q139" s="223"/>
      <c r="R139" s="223"/>
      <c r="S139" s="223"/>
      <c r="T139" s="223"/>
      <c r="U139" s="223"/>
      <c r="V139" s="134"/>
      <c r="W139" s="134"/>
      <c r="X139" s="133"/>
      <c r="Y139" s="133"/>
      <c r="Z139" s="133"/>
      <c r="AA139" s="133"/>
    </row>
    <row r="140" spans="1:27" s="226" customFormat="1" ht="18" customHeight="1">
      <c r="A140" s="134"/>
      <c r="B140" s="134"/>
      <c r="C140" s="139"/>
      <c r="D140" s="225"/>
      <c r="E140" s="223"/>
      <c r="F140" s="223"/>
      <c r="G140" s="223"/>
      <c r="H140" s="223"/>
      <c r="I140" s="223"/>
      <c r="J140" s="223"/>
      <c r="K140" s="223"/>
      <c r="L140" s="223"/>
      <c r="M140" s="223"/>
      <c r="N140" s="223"/>
      <c r="O140" s="223"/>
      <c r="P140" s="223"/>
      <c r="Q140" s="223"/>
      <c r="R140" s="223"/>
      <c r="S140" s="223"/>
      <c r="T140" s="223"/>
      <c r="U140" s="223"/>
      <c r="V140" s="134"/>
      <c r="W140" s="134"/>
      <c r="X140" s="133"/>
      <c r="Y140" s="133"/>
      <c r="Z140" s="133"/>
      <c r="AA140" s="133"/>
    </row>
  </sheetData>
  <mergeCells count="52">
    <mergeCell ref="V4:V5"/>
    <mergeCell ref="J4:M4"/>
    <mergeCell ref="J118:M118"/>
    <mergeCell ref="N118:Q118"/>
    <mergeCell ref="R118:U118"/>
    <mergeCell ref="N4:Q4"/>
    <mergeCell ref="R4:U4"/>
    <mergeCell ref="R124:S124"/>
    <mergeCell ref="T124:U124"/>
    <mergeCell ref="C125:D125"/>
    <mergeCell ref="J125:K125"/>
    <mergeCell ref="L125:M125"/>
    <mergeCell ref="N125:O125"/>
    <mergeCell ref="P125:Q125"/>
    <mergeCell ref="R125:S125"/>
    <mergeCell ref="T125:U125"/>
    <mergeCell ref="P124:Q124"/>
    <mergeCell ref="J124:K124"/>
    <mergeCell ref="L124:M124"/>
    <mergeCell ref="N124:O124"/>
    <mergeCell ref="C124:D124"/>
    <mergeCell ref="E124:I124"/>
    <mergeCell ref="P127:Q127"/>
    <mergeCell ref="R127:S127"/>
    <mergeCell ref="T127:U127"/>
    <mergeCell ref="C126:D126"/>
    <mergeCell ref="J126:K126"/>
    <mergeCell ref="L126:M126"/>
    <mergeCell ref="N126:O126"/>
    <mergeCell ref="P126:Q126"/>
    <mergeCell ref="R126:S126"/>
    <mergeCell ref="T126:U126"/>
    <mergeCell ref="C127:D127"/>
    <mergeCell ref="J127:K127"/>
    <mergeCell ref="L127:M127"/>
    <mergeCell ref="N127:O127"/>
    <mergeCell ref="E125:I127"/>
    <mergeCell ref="A3:C3"/>
    <mergeCell ref="G121:H121"/>
    <mergeCell ref="G119:H119"/>
    <mergeCell ref="G120:H120"/>
    <mergeCell ref="G118:I118"/>
    <mergeCell ref="G4:I4"/>
    <mergeCell ref="B121:F121"/>
    <mergeCell ref="C120:F120"/>
    <mergeCell ref="C118:F118"/>
    <mergeCell ref="D119:F119"/>
    <mergeCell ref="B4:B5"/>
    <mergeCell ref="C4:C5"/>
    <mergeCell ref="D4:D5"/>
    <mergeCell ref="E4:E5"/>
    <mergeCell ref="F4:F5"/>
  </mergeCells>
  <phoneticPr fontId="4" type="noConversion"/>
  <printOptions horizontalCentered="1"/>
  <pageMargins left="0.15748031496063" right="0.15748031496063" top="0.44" bottom="0.196850393700787" header="0.31496062992126" footer="0.15748031496063"/>
  <pageSetup paperSize="9" scale="55" fitToHeight="0" orientation="landscape" r:id="rId1"/>
  <ignoredErrors>
    <ignoredError sqref="Q119 U119 U6 Q6" evalError="1"/>
    <ignoredError sqref="P12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양식</vt:lpstr>
      <vt:lpstr>샘플_AGTC  소모품_1차</vt:lpstr>
      <vt:lpstr>'샘플_AGTC  소모품_1차'!Print_Area</vt:lpstr>
      <vt:lpstr>양식!Print_Area</vt:lpstr>
      <vt:lpstr>'샘플_AGTC  소모품_1차'!Print_Titles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</dc:creator>
  <cp:lastModifiedBy>shadab khan</cp:lastModifiedBy>
  <cp:lastPrinted>2026-10-28T04:31:47Z</cp:lastPrinted>
  <dcterms:created xsi:type="dcterms:W3CDTF">2023-08-14T07:13:42Z</dcterms:created>
  <dcterms:modified xsi:type="dcterms:W3CDTF">2026-10-28T04:31:52Z</dcterms:modified>
</cp:coreProperties>
</file>