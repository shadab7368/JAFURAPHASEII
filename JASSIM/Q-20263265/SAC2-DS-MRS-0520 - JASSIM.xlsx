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adab\PO\JASSIM\Q-20263265\"/>
    </mc:Choice>
  </mc:AlternateContent>
  <xr:revisionPtr revIDLastSave="0" documentId="13_ncr:1_{F3E72486-2F90-473D-8553-964608FAD35C}" xr6:coauthVersionLast="47" xr6:coauthVersionMax="47" xr10:uidLastSave="{00000000-0000-0000-0000-000000000000}"/>
  <bookViews>
    <workbookView xWindow="-120" yWindow="-120" windowWidth="29040" windowHeight="15720" activeTab="3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MRS!$A$1:$M$16</definedName>
    <definedName name="_xlnm.Print_Area" localSheetId="1">'MRS LIST'!$A$1:$K$7</definedName>
    <definedName name="_xlnm.Print_Area" localSheetId="2">'PO 1st page'!$A$1:$N$71</definedName>
    <definedName name="_xlnm.Print_Area" localSheetId="3">'PO 2nd page'!$A$1:$H$14</definedName>
    <definedName name="_xlnm.Print_Titles" localSheetId="0">MRS!$4:$5</definedName>
    <definedName name="_xlnm.Print_Titles" localSheetId="1">'MRS LIST'!$4:$5</definedName>
    <definedName name="_xlnm.Print_Titles" localSheetId="3">'PO 2nd page'!$4:$5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4" l="1"/>
  <c r="D7" i="4"/>
  <c r="B7" i="4"/>
  <c r="A7" i="4"/>
  <c r="G7" i="2"/>
  <c r="H7" i="2"/>
  <c r="I7" i="2"/>
  <c r="F7" i="4" s="1"/>
  <c r="D7" i="2"/>
  <c r="B7" i="2"/>
  <c r="J7" i="1"/>
  <c r="J7" i="2" s="1"/>
  <c r="G7" i="4" s="1"/>
  <c r="A7" i="1" l="1"/>
  <c r="A7" i="2" s="1"/>
  <c r="B6" i="4"/>
  <c r="E3" i="1" l="1"/>
  <c r="H6" i="2" l="1"/>
  <c r="G6" i="2"/>
  <c r="D6" i="2"/>
  <c r="B6" i="2"/>
  <c r="E6" i="4"/>
  <c r="D6" i="4"/>
  <c r="J6" i="1"/>
  <c r="J6" i="2" s="1"/>
  <c r="J8" i="1" l="1"/>
  <c r="K67" i="3"/>
  <c r="K10" i="3" l="1"/>
  <c r="A11" i="4" l="1"/>
  <c r="I6" i="2"/>
  <c r="F6" i="4" s="1"/>
  <c r="A6" i="4"/>
  <c r="F4" i="4"/>
  <c r="B3" i="4"/>
  <c r="J70" i="3"/>
  <c r="K11" i="3"/>
  <c r="B2" i="4" s="1"/>
  <c r="K3" i="2"/>
  <c r="A3" i="2"/>
  <c r="J2" i="2"/>
  <c r="D2" i="2"/>
  <c r="A2" i="2"/>
  <c r="J1" i="2"/>
  <c r="A6" i="1"/>
  <c r="A6" i="2" s="1"/>
  <c r="G6" i="4" l="1"/>
  <c r="G8" i="4" s="1"/>
  <c r="F29" i="3" s="1"/>
  <c r="G9" i="4" l="1"/>
  <c r="F30" i="3" s="1"/>
  <c r="G10" i="4" l="1"/>
  <c r="F31" i="3" s="1"/>
</calcChain>
</file>

<file path=xl/sharedStrings.xml><?xml version="1.0" encoding="utf-8"?>
<sst xmlns="http://schemas.openxmlformats.org/spreadsheetml/2006/main" count="172" uniqueCount="137">
  <si>
    <t>Vendor Name</t>
    <phoneticPr fontId="7" type="noConversion"/>
  </si>
  <si>
    <t xml:space="preserve">  PJT :  SACE2           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</si>
  <si>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</si>
  <si>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</si>
  <si>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</si>
  <si>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</si>
  <si>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</si>
  <si>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</si>
  <si>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</si>
  <si>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</si>
  <si>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</si>
  <si>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ADM</t>
    <phoneticPr fontId="4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</si>
  <si>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</si>
  <si>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</si>
  <si>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</si>
  <si>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</si>
  <si>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</si>
  <si>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</si>
  <si>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</si>
  <si>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</si>
  <si>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</si>
  <si>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</si>
  <si>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</si>
  <si>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7" type="noConversion"/>
  </si>
  <si>
    <t>P/O Date:</t>
  </si>
  <si>
    <t xml:space="preserve"> VAT No. : </t>
    <phoneticPr fontId="7" type="noConversion"/>
  </si>
  <si>
    <t>P/O No.:</t>
  </si>
  <si>
    <t xml:space="preserve"> In Charge :</t>
    <phoneticPr fontId="7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</si>
  <si>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</si>
  <si>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</si>
  <si>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</si>
  <si>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</si>
  <si>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</si>
  <si>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</si>
  <si>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</si>
  <si>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</si>
  <si>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</si>
  <si>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</si>
  <si>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</si>
  <si>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</si>
  <si>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</si>
  <si>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</si>
  <si>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</si>
  <si>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</si>
  <si>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</si>
  <si>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</si>
  <si>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</si>
  <si>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</si>
  <si>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</si>
  <si>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</si>
  <si>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</si>
  <si>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</si>
  <si>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</si>
  <si>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</si>
  <si>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</si>
  <si>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</si>
  <si>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</si>
  <si>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</si>
  <si>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</si>
  <si>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</si>
  <si>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</si>
  <si>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</si>
  <si>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</si>
  <si>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</si>
  <si>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</si>
  <si>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</si>
  <si>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</si>
  <si>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</si>
  <si>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</si>
  <si>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</si>
  <si>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</si>
  <si>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</si>
  <si>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</si>
  <si>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</si>
  <si>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</si>
  <si>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</si>
  <si>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</si>
  <si>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</si>
  <si>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</si>
  <si>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DAESHIN PLANT</t>
    <phoneticPr fontId="7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</si>
  <si>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</si>
  <si>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</si>
  <si>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</si>
  <si>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t>Unit Price (SAR)
(Exclude VAT)</t>
    <phoneticPr fontId="7" type="noConversion"/>
  </si>
  <si>
    <t>Total Price (SAR)
(Exclude VAT)</t>
    <phoneticPr fontId="7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</si>
  <si>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</si>
  <si>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</si>
  <si>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 xml:space="preserve">  Delivery &amp; Payment : Dong Chang Kim / Daeshin Admin. [ Mobile No. : +966 53 748 5762 / Email : kdchjs@daeshinplant.com ]</t>
  </si>
  <si>
    <t>JSAJ</t>
  </si>
  <si>
    <t>JSAJ(Jassim Saif Amer Aljaberi Trading Est.)</t>
  </si>
  <si>
    <t>2051247436</t>
  </si>
  <si>
    <t>311625046900003</t>
  </si>
  <si>
    <t>Shashank Kamra</t>
  </si>
  <si>
    <t>Mobile No. +966 539222074</t>
  </si>
  <si>
    <t>Mobile: +966 539222074</t>
  </si>
  <si>
    <t>Sales Manager</t>
  </si>
  <si>
    <t>One time</t>
  </si>
  <si>
    <t>Branch of Hyundai Engineering and Const. Co., Ltd. (HDEC)</t>
  </si>
  <si>
    <t>Building No. 6634, Al Khobar 34423, KSA</t>
  </si>
  <si>
    <t>BRANCH OF HYUNDAI ENG. &amp; CONST. CO., LTD.</t>
  </si>
  <si>
    <t>Bank Account Details:</t>
  </si>
  <si>
    <t>JASSIM SAIF AMER ALJABERI TRADING EST.</t>
  </si>
  <si>
    <t>95400006184205</t>
  </si>
  <si>
    <t>SAUDI NATIONAL BANK</t>
  </si>
  <si>
    <t>NCBKSAJE</t>
  </si>
  <si>
    <t>SAR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</si>
  <si>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</si>
  <si>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</si>
  <si>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</si>
  <si>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</si>
  <si>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</si>
  <si>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</si>
  <si>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</si>
  <si>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SA96 1000 0095 4000 0618 4205</t>
  </si>
  <si>
    <t>SUB-CON</t>
    <phoneticPr fontId="8" type="noConversion"/>
  </si>
  <si>
    <t>HDEC</t>
    <phoneticPr fontId="8" type="noConversion"/>
  </si>
  <si>
    <t>In Charge</t>
    <phoneticPr fontId="8" type="noConversion"/>
  </si>
  <si>
    <t>ADM</t>
    <phoneticPr fontId="8" type="noConversion"/>
  </si>
  <si>
    <t>PCM</t>
    <phoneticPr fontId="8" type="noConversion"/>
  </si>
  <si>
    <t>PM</t>
    <phoneticPr fontId="8" type="noConversion"/>
  </si>
  <si>
    <t>Construction</t>
    <phoneticPr fontId="8" type="noConversion"/>
  </si>
  <si>
    <t>Subcon(PC)</t>
    <phoneticPr fontId="8" type="noConversion"/>
  </si>
  <si>
    <t>Account</t>
    <phoneticPr fontId="8" type="noConversion"/>
  </si>
  <si>
    <t>ADM</t>
    <phoneticPr fontId="13" type="noConversion"/>
  </si>
  <si>
    <t>Manager</t>
    <phoneticPr fontId="8" type="noConversion"/>
  </si>
  <si>
    <t>HEC</t>
    <phoneticPr fontId="13" type="noConversion"/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</si>
  <si>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</si>
  <si>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</si>
  <si>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QTY</t>
  </si>
  <si>
    <t>UNIT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</si>
  <si>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-MRS-0520</t>
    </r>
  </si>
  <si>
    <t>Welding Rod</t>
  </si>
  <si>
    <t>Q-20263265</t>
  </si>
  <si>
    <t>Welding rod</t>
  </si>
  <si>
    <t>E7018-1 H4R  3.2mm</t>
  </si>
  <si>
    <t>ENiCrMo-3   3.2mm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</si>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</sst>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</numFmts>
  <fonts count="58">
    <font>
      <sz val="11"/>
      <color theme="1"/>
      <name val="Calibri"/>
      <family val="3"/>
      <charset val="129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 style="thin">
        <color theme="0" tint="-0.499984740745262"/>
      </right>
      <top/>
      <bottom/>
      <diagonal/>
    </border>
    <border>
      <left/>
      <right style="thin">
        <color theme="0" tint="-0.34998626667073579"/>
      </right>
      <top/>
      <bottom style="thin">
        <color theme="0" tint="-0.499984740745262"/>
      </bottom>
      <diagonal/>
    </border>
    <border>
      <left style="thin">
        <color theme="0" tint="-0.34998626667073579"/>
      </left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27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28" fillId="0" borderId="0" applyBorder="0"/>
    <xf numFmtId="0" fontId="37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</cellStyleXfs>
  <cellXfs count="201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10" xfId="1" applyFill="1" applyBorder="1" applyAlignment="1">
      <alignment vertical="center"/>
    </xf>
    <xf numFmtId="0" fontId="3" fillId="2" borderId="10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3" fillId="2" borderId="0" xfId="1" applyFill="1" applyAlignment="1">
      <alignment horizontal="left" vertical="center"/>
    </xf>
    <xf numFmtId="0" fontId="6" fillId="2" borderId="0" xfId="1" applyFont="1" applyFill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/>
    </xf>
    <xf numFmtId="0" fontId="15" fillId="2" borderId="0" xfId="1" applyFont="1" applyFill="1" applyAlignment="1">
      <alignment vertical="center"/>
    </xf>
    <xf numFmtId="0" fontId="6" fillId="2" borderId="18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6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9" fillId="3" borderId="0" xfId="5" applyFont="1" applyFill="1" applyAlignment="1">
      <alignment horizontal="left" vertical="center"/>
    </xf>
    <xf numFmtId="169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9" fillId="0" borderId="0" xfId="6" applyFont="1"/>
    <xf numFmtId="0" fontId="29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8" fillId="0" borderId="0" xfId="6" applyFont="1" applyAlignment="1">
      <alignment vertical="top"/>
    </xf>
    <xf numFmtId="168" fontId="8" fillId="0" borderId="0" xfId="6" quotePrefix="1" applyNumberFormat="1" applyFont="1" applyAlignment="1">
      <alignment horizontal="left" vertical="top"/>
    </xf>
    <xf numFmtId="171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8" fillId="4" borderId="18" xfId="6" applyFont="1" applyFill="1" applyBorder="1" applyAlignment="1">
      <alignment horizontal="center" vertical="center" wrapText="1"/>
    </xf>
    <xf numFmtId="43" fontId="13" fillId="0" borderId="18" xfId="6" quotePrefix="1" applyNumberFormat="1" applyFont="1" applyBorder="1" applyAlignment="1">
      <alignment vertical="center" wrapText="1"/>
    </xf>
    <xf numFmtId="0" fontId="8" fillId="0" borderId="32" xfId="6" applyFont="1" applyBorder="1"/>
    <xf numFmtId="170" fontId="10" fillId="0" borderId="36" xfId="6" applyNumberFormat="1" applyFont="1" applyBorder="1" applyAlignment="1">
      <alignment horizontal="center" vertical="center" wrapText="1"/>
    </xf>
    <xf numFmtId="0" fontId="8" fillId="0" borderId="37" xfId="6" applyFont="1" applyBorder="1"/>
    <xf numFmtId="0" fontId="10" fillId="0" borderId="0" xfId="6" applyFont="1" applyAlignment="1">
      <alignment vertical="center"/>
    </xf>
    <xf numFmtId="0" fontId="26" fillId="0" borderId="38" xfId="6" applyFont="1" applyBorder="1" applyAlignment="1">
      <alignment vertical="center"/>
    </xf>
    <xf numFmtId="0" fontId="26" fillId="0" borderId="38" xfId="6" applyFont="1" applyBorder="1"/>
    <xf numFmtId="0" fontId="10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3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3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8" fillId="3" borderId="0" xfId="5" applyFont="1" applyFill="1" applyAlignment="1">
      <alignment horizontal="left" vertical="center"/>
    </xf>
    <xf numFmtId="169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8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3" xfId="6" quotePrefix="1" applyFont="1" applyBorder="1" applyAlignment="1">
      <alignment horizontal="center" vertical="center"/>
    </xf>
    <xf numFmtId="0" fontId="3" fillId="0" borderId="34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2" fillId="0" borderId="18" xfId="0" applyFont="1" applyBorder="1" applyAlignment="1">
      <alignment horizontal="center" vertical="center"/>
    </xf>
    <xf numFmtId="172" fontId="42" fillId="0" borderId="18" xfId="10" applyNumberFormat="1" applyFont="1" applyBorder="1" applyAlignment="1">
      <alignment horizontal="center" vertical="center"/>
    </xf>
    <xf numFmtId="0" fontId="6" fillId="2" borderId="18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10" fillId="0" borderId="0" xfId="2" applyFont="1" applyAlignment="1">
      <alignment vertical="center"/>
    </xf>
    <xf numFmtId="167" fontId="3" fillId="0" borderId="14" xfId="0" applyNumberFormat="1" applyFont="1" applyBorder="1" applyAlignment="1">
      <alignment horizontal="right" vertical="center" wrapText="1"/>
    </xf>
    <xf numFmtId="0" fontId="43" fillId="2" borderId="0" xfId="1" applyFont="1" applyFill="1" applyAlignment="1">
      <alignment vertical="center"/>
    </xf>
    <xf numFmtId="170" fontId="18" fillId="3" borderId="0" xfId="5" applyNumberFormat="1" applyFont="1" applyFill="1"/>
    <xf numFmtId="0" fontId="3" fillId="2" borderId="16" xfId="1" applyFill="1" applyBorder="1" applyAlignment="1">
      <alignment vertical="center"/>
    </xf>
    <xf numFmtId="0" fontId="3" fillId="2" borderId="16" xfId="1" applyFill="1" applyBorder="1" applyAlignment="1">
      <alignment vertical="center" wrapText="1"/>
    </xf>
    <xf numFmtId="0" fontId="3" fillId="2" borderId="8" xfId="1" applyFill="1" applyBorder="1" applyAlignment="1">
      <alignment horizontal="center" vertical="center"/>
    </xf>
    <xf numFmtId="0" fontId="41" fillId="3" borderId="0" xfId="5" applyFont="1" applyFill="1" applyAlignment="1">
      <alignment horizontal="left" vertical="center"/>
    </xf>
    <xf numFmtId="170" fontId="25" fillId="3" borderId="0" xfId="5" applyNumberFormat="1" applyFont="1" applyFill="1"/>
    <xf numFmtId="0" fontId="52" fillId="3" borderId="0" xfId="5" applyFont="1" applyFill="1"/>
    <xf numFmtId="0" fontId="18" fillId="3" borderId="0" xfId="5" quotePrefix="1" applyFont="1" applyFill="1"/>
    <xf numFmtId="0" fontId="21" fillId="3" borderId="39" xfId="5" applyFont="1" applyFill="1" applyBorder="1"/>
    <xf numFmtId="0" fontId="18" fillId="3" borderId="39" xfId="5" applyFont="1" applyFill="1" applyBorder="1"/>
    <xf numFmtId="0" fontId="6" fillId="2" borderId="17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vertical="center"/>
    </xf>
    <xf numFmtId="0" fontId="6" fillId="2" borderId="10" xfId="1" applyFont="1" applyFill="1" applyBorder="1" applyAlignment="1">
      <alignment horizontal="center" vertical="center"/>
    </xf>
    <xf numFmtId="0" fontId="13" fillId="3" borderId="0" xfId="0" applyFont="1" applyFill="1">
      <alignment vertical="center"/>
    </xf>
    <xf numFmtId="0" fontId="13" fillId="3" borderId="40" xfId="0" applyFont="1" applyFill="1" applyBorder="1">
      <alignment vertical="center"/>
    </xf>
    <xf numFmtId="0" fontId="6" fillId="2" borderId="8" xfId="1" applyFont="1" applyFill="1" applyBorder="1" applyAlignment="1">
      <alignment vertical="center" wrapText="1"/>
    </xf>
    <xf numFmtId="0" fontId="53" fillId="2" borderId="0" xfId="1" applyFont="1" applyFill="1" applyAlignment="1">
      <alignment vertical="center"/>
    </xf>
    <xf numFmtId="0" fontId="56" fillId="0" borderId="0" xfId="2" applyFont="1" applyAlignment="1">
      <alignment vertical="center"/>
    </xf>
    <xf numFmtId="168" fontId="57" fillId="0" borderId="7" xfId="3" applyNumberFormat="1" applyFont="1" applyBorder="1" applyAlignment="1">
      <alignment horizontal="right"/>
    </xf>
    <xf numFmtId="0" fontId="14" fillId="0" borderId="8" xfId="0" applyFont="1" applyBorder="1" applyAlignment="1">
      <alignment horizontal="center" vertical="center"/>
    </xf>
    <xf numFmtId="40" fontId="14" fillId="0" borderId="8" xfId="0" applyNumberFormat="1" applyFont="1" applyBorder="1">
      <alignment vertical="center"/>
    </xf>
    <xf numFmtId="167" fontId="3" fillId="0" borderId="8" xfId="0" applyNumberFormat="1" applyFont="1" applyBorder="1" applyAlignment="1">
      <alignment horizontal="right" vertical="center" wrapText="1"/>
    </xf>
    <xf numFmtId="167" fontId="3" fillId="0" borderId="8" xfId="0" applyNumberFormat="1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3" fillId="0" borderId="8" xfId="0" quotePrefix="1" applyFont="1" applyBorder="1" applyAlignment="1">
      <alignment horizontal="center" vertical="center" wrapText="1"/>
    </xf>
    <xf numFmtId="0" fontId="3" fillId="2" borderId="14" xfId="4" applyNumberFormat="1" applyFont="1" applyFill="1" applyBorder="1" applyAlignment="1">
      <alignment horizontal="center" vertical="center" wrapText="1"/>
    </xf>
    <xf numFmtId="0" fontId="8" fillId="2" borderId="42" xfId="1" quotePrefix="1" applyFont="1" applyFill="1" applyBorder="1" applyAlignment="1">
      <alignment vertical="center"/>
    </xf>
    <xf numFmtId="0" fontId="6" fillId="2" borderId="18" xfId="7" applyFont="1" applyFill="1" applyBorder="1" applyAlignment="1">
      <alignment horizontal="center" vertical="center" wrapText="1"/>
    </xf>
    <xf numFmtId="0" fontId="6" fillId="2" borderId="18" xfId="8" applyFont="1" applyFill="1" applyBorder="1" applyAlignment="1">
      <alignment horizontal="center" vertical="center"/>
    </xf>
    <xf numFmtId="43" fontId="6" fillId="0" borderId="18" xfId="9" quotePrefix="1" applyFont="1" applyFill="1" applyBorder="1" applyAlignment="1">
      <alignment vertical="center"/>
    </xf>
    <xf numFmtId="43" fontId="6" fillId="0" borderId="18" xfId="6" applyNumberFormat="1" applyFont="1" applyBorder="1" applyAlignment="1">
      <alignment vertical="center"/>
    </xf>
    <xf numFmtId="0" fontId="3" fillId="3" borderId="16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0" fillId="0" borderId="43" xfId="0" applyBorder="1" applyAlignment="1"/>
    <xf numFmtId="0" fontId="0" fillId="0" borderId="44" xfId="0" applyBorder="1" applyAlignment="1"/>
    <xf numFmtId="0" fontId="6" fillId="2" borderId="12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8" fillId="2" borderId="9" xfId="1" applyFont="1" applyFill="1" applyBorder="1" applyAlignment="1">
      <alignment horizontal="center" vertical="center" wrapText="1"/>
    </xf>
    <xf numFmtId="0" fontId="8" fillId="2" borderId="43" xfId="1" applyFont="1" applyFill="1" applyBorder="1" applyAlignment="1">
      <alignment horizontal="center" vertical="center"/>
    </xf>
    <xf numFmtId="0" fontId="8" fillId="2" borderId="44" xfId="1" applyFont="1" applyFill="1" applyBorder="1" applyAlignment="1">
      <alignment horizontal="center" vertical="center"/>
    </xf>
    <xf numFmtId="0" fontId="8" fillId="2" borderId="10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 wrapText="1"/>
    </xf>
    <xf numFmtId="0" fontId="8" fillId="2" borderId="40" xfId="1" applyFont="1" applyFill="1" applyBorder="1" applyAlignment="1">
      <alignment horizontal="center" vertical="center" wrapText="1"/>
    </xf>
    <xf numFmtId="0" fontId="0" fillId="0" borderId="43" xfId="0" applyBorder="1" applyAlignment="1">
      <alignment horizontal="left"/>
    </xf>
    <xf numFmtId="0" fontId="0" fillId="0" borderId="44" xfId="0" applyBorder="1" applyAlignment="1">
      <alignment horizontal="left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48" fillId="2" borderId="7" xfId="1" applyNumberFormat="1" applyFont="1" applyFill="1" applyBorder="1" applyAlignment="1">
      <alignment horizontal="left" vertical="center"/>
    </xf>
    <xf numFmtId="0" fontId="8" fillId="2" borderId="12" xfId="1" applyFont="1" applyFill="1" applyBorder="1" applyAlignment="1">
      <alignment horizontal="center" vertical="center" wrapText="1"/>
    </xf>
    <xf numFmtId="0" fontId="8" fillId="2" borderId="17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/>
    </xf>
    <xf numFmtId="0" fontId="8" fillId="2" borderId="17" xfId="1" applyFont="1" applyFill="1" applyBorder="1" applyAlignment="1">
      <alignment horizontal="center" vertical="center"/>
    </xf>
    <xf numFmtId="0" fontId="3" fillId="2" borderId="14" xfId="1" applyFill="1" applyBorder="1" applyAlignment="1">
      <alignment horizontal="center" vertical="center" wrapText="1"/>
    </xf>
    <xf numFmtId="0" fontId="3" fillId="2" borderId="41" xfId="1" applyFill="1" applyBorder="1" applyAlignment="1">
      <alignment horizontal="center" vertical="center" wrapText="1"/>
    </xf>
    <xf numFmtId="0" fontId="13" fillId="3" borderId="12" xfId="0" applyFont="1" applyFill="1" applyBorder="1" applyAlignment="1">
      <alignment horizontal="center" vertical="center" wrapText="1"/>
    </xf>
    <xf numFmtId="0" fontId="13" fillId="3" borderId="13" xfId="0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42" fillId="0" borderId="19" xfId="0" applyFont="1" applyBorder="1" applyAlignment="1">
      <alignment horizontal="left" vertical="center" wrapText="1"/>
    </xf>
    <xf numFmtId="0" fontId="42" fillId="0" borderId="20" xfId="0" applyFont="1" applyBorder="1" applyAlignment="1">
      <alignment horizontal="left" vertical="center" wrapText="1"/>
    </xf>
    <xf numFmtId="0" fontId="42" fillId="3" borderId="19" xfId="0" applyFont="1" applyFill="1" applyBorder="1" applyAlignment="1">
      <alignment horizontal="center" vertical="center" wrapText="1"/>
    </xf>
    <xf numFmtId="0" fontId="42" fillId="3" borderId="21" xfId="0" applyFont="1" applyFill="1" applyBorder="1" applyAlignment="1">
      <alignment horizontal="center" vertical="center" wrapText="1"/>
    </xf>
    <xf numFmtId="0" fontId="42" fillId="3" borderId="20" xfId="0" applyFont="1" applyFill="1" applyBorder="1" applyAlignment="1">
      <alignment horizontal="center" vertical="center" wrapText="1"/>
    </xf>
    <xf numFmtId="0" fontId="15" fillId="2" borderId="18" xfId="1" applyFont="1" applyFill="1" applyBorder="1" applyAlignment="1">
      <alignment horizontal="center" vertical="center" wrapText="1"/>
    </xf>
    <xf numFmtId="0" fontId="15" fillId="2" borderId="18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68" fontId="32" fillId="3" borderId="0" xfId="5" quotePrefix="1" applyNumberFormat="1" applyFont="1" applyFill="1" applyAlignment="1">
      <alignment horizontal="left" vertical="center"/>
    </xf>
    <xf numFmtId="168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2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51" fillId="3" borderId="0" xfId="5" applyFont="1" applyFill="1" applyAlignment="1">
      <alignment horizontal="left" wrapText="1"/>
    </xf>
    <xf numFmtId="0" fontId="42" fillId="3" borderId="18" xfId="5" applyFont="1" applyFill="1" applyBorder="1" applyAlignment="1">
      <alignment horizontal="left" vertical="center" wrapText="1"/>
    </xf>
    <xf numFmtId="0" fontId="13" fillId="0" borderId="31" xfId="6" quotePrefix="1" applyFont="1" applyBorder="1" applyAlignment="1">
      <alignment horizontal="right" vertical="center"/>
    </xf>
    <xf numFmtId="0" fontId="13" fillId="0" borderId="18" xfId="6" quotePrefix="1" applyFont="1" applyBorder="1" applyAlignment="1">
      <alignment horizontal="right" vertical="center"/>
    </xf>
    <xf numFmtId="0" fontId="10" fillId="0" borderId="35" xfId="6" quotePrefix="1" applyFont="1" applyBorder="1" applyAlignment="1">
      <alignment horizontal="right" vertical="center"/>
    </xf>
    <xf numFmtId="0" fontId="10" fillId="0" borderId="36" xfId="6" quotePrefix="1" applyFont="1" applyBorder="1" applyAlignment="1">
      <alignment horizontal="right" vertical="center"/>
    </xf>
    <xf numFmtId="0" fontId="30" fillId="0" borderId="0" xfId="6" applyFont="1" applyAlignment="1">
      <alignment horizontal="center" vertical="center"/>
    </xf>
    <xf numFmtId="0" fontId="33" fillId="0" borderId="23" xfId="6" applyFont="1" applyBorder="1" applyAlignment="1">
      <alignment horizontal="right" vertical="center"/>
    </xf>
    <xf numFmtId="0" fontId="8" fillId="4" borderId="24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  <xf numFmtId="0" fontId="8" fillId="4" borderId="25" xfId="6" applyFont="1" applyFill="1" applyBorder="1" applyAlignment="1">
      <alignment horizontal="center" vertical="center" wrapText="1"/>
    </xf>
    <xf numFmtId="0" fontId="8" fillId="4" borderId="26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27" xfId="6" applyFont="1" applyFill="1" applyBorder="1" applyAlignment="1">
      <alignment horizontal="center" vertical="center" wrapText="1"/>
    </xf>
    <xf numFmtId="0" fontId="8" fillId="4" borderId="18" xfId="6" applyFont="1" applyFill="1" applyBorder="1" applyAlignment="1">
      <alignment horizontal="center" vertical="center" wrapText="1"/>
    </xf>
    <xf numFmtId="0" fontId="8" fillId="4" borderId="28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32" xfId="6" applyFont="1" applyFill="1" applyBorder="1" applyAlignment="1">
      <alignment horizontal="center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191502</xdr:colOff>
          <xdr:row>8</xdr:row>
          <xdr:rowOff>246146</xdr:rowOff>
        </xdr:from>
        <xdr:to>
          <xdr:col>11</xdr:col>
          <xdr:colOff>1480385</xdr:colOff>
          <xdr:row>15</xdr:row>
          <xdr:rowOff>233613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BE086B2F-AB31-E0D2-8CD8-9D9ED6A2D9B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2:$Y$17" spid="_x0000_s142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407318" y="5971172"/>
              <a:ext cx="8457699" cy="234365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7</xdr:row>
      <xdr:rowOff>0</xdr:rowOff>
    </xdr:from>
    <xdr:to>
      <xdr:col>15</xdr:col>
      <xdr:colOff>543942</xdr:colOff>
      <xdr:row>7</xdr:row>
      <xdr:rowOff>218392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7</xdr:row>
      <xdr:rowOff>0</xdr:rowOff>
    </xdr:from>
    <xdr:to>
      <xdr:col>15</xdr:col>
      <xdr:colOff>543942</xdr:colOff>
      <xdr:row>7</xdr:row>
      <xdr:rowOff>218392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0</xdr:rowOff>
    </xdr:from>
    <xdr:to>
      <xdr:col>28</xdr:col>
      <xdr:colOff>1</xdr:colOff>
      <xdr:row>7</xdr:row>
      <xdr:rowOff>1072552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7</xdr:row>
      <xdr:rowOff>0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7</xdr:row>
      <xdr:rowOff>0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7</xdr:row>
      <xdr:rowOff>0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EFA97763-8EC8-40AF-8FA4-23C8D51193CC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7</xdr:row>
      <xdr:rowOff>0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865F5DAD-FF18-481D-832D-6D043607E841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7</xdr:row>
      <xdr:rowOff>0</xdr:rowOff>
    </xdr:from>
    <xdr:ext cx="217370" cy="218392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56D9B8F1-7681-47C3-A7E7-018DCA7DF06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7</xdr:row>
      <xdr:rowOff>0</xdr:rowOff>
    </xdr:from>
    <xdr:ext cx="217370" cy="218392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88036024-3DEA-45DA-AFBF-3EE236A8AA1E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7</xdr:row>
      <xdr:rowOff>0</xdr:rowOff>
    </xdr:from>
    <xdr:ext cx="217370" cy="218392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8951C320-5AA8-45C8-9636-45384E364D2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7</xdr:row>
      <xdr:rowOff>0</xdr:rowOff>
    </xdr:from>
    <xdr:ext cx="217370" cy="218392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53884489-53F3-4D1A-AC52-98DF8B1F6A14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44"/>
  <sheetViews>
    <sheetView showGridLines="0" view="pageBreakPreview" zoomScale="95" zoomScaleNormal="95" zoomScaleSheetLayoutView="95" workbookViewId="0">
      <selection activeCell="C10" sqref="C10"/>
    </sheetView>
  </sheetViews>
  <sheetFormatPr defaultColWidth="9" defaultRowHeight="21" customHeight="1"/>
  <cols>
    <col min="1" max="1" width="11" style="2" customWidth="1"/>
    <col min="2" max="2" width="8.140625" style="2" customWidth="1"/>
    <col min="3" max="3" width="28.7109375" style="2" customWidth="1"/>
    <col min="4" max="4" width="17.28515625" style="2" customWidth="1"/>
    <col min="5" max="5" width="14.5703125" style="2" customWidth="1"/>
    <col min="6" max="6" width="14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26" ht="49.9" customHeight="1">
      <c r="A1" s="108" t="s">
        <v>126</v>
      </c>
      <c r="B1" s="109"/>
      <c r="C1" s="88"/>
      <c r="D1" s="88"/>
      <c r="E1" s="88"/>
      <c r="F1" s="88"/>
      <c r="G1" s="1"/>
      <c r="J1" s="141" t="s">
        <v>79</v>
      </c>
      <c r="K1" s="142"/>
      <c r="L1" s="143"/>
    </row>
    <row r="2" spans="1:26" ht="20.100000000000001" customHeight="1">
      <c r="A2" s="3" t="s">
        <v>1</v>
      </c>
      <c r="B2" s="82"/>
      <c r="C2" s="82"/>
      <c r="D2" s="3" t="s">
        <v>127</v>
      </c>
      <c r="E2" s="82"/>
      <c r="F2" s="82"/>
      <c r="G2" s="82"/>
      <c r="H2" s="82"/>
      <c r="I2" s="4"/>
      <c r="J2" s="144" t="s">
        <v>86</v>
      </c>
      <c r="K2" s="145"/>
      <c r="L2" s="146"/>
    </row>
    <row r="3" spans="1:26" ht="20.100000000000001" customHeight="1">
      <c r="A3" s="3" t="s">
        <v>130</v>
      </c>
      <c r="B3" s="82"/>
      <c r="C3" s="82"/>
      <c r="D3" s="82"/>
      <c r="E3" s="147">
        <f>+L3+3</f>
        <v>46324</v>
      </c>
      <c r="F3" s="147"/>
      <c r="G3" s="147"/>
      <c r="H3" s="147"/>
      <c r="I3" s="147"/>
      <c r="J3" s="82"/>
      <c r="K3" s="82"/>
      <c r="L3" s="110">
        <v>46321</v>
      </c>
      <c r="M3" s="4"/>
    </row>
    <row r="4" spans="1:26" ht="15.95" customHeight="1">
      <c r="A4" s="131" t="s">
        <v>2</v>
      </c>
      <c r="B4" s="133" t="s">
        <v>3</v>
      </c>
      <c r="C4" s="134"/>
      <c r="D4" s="135" t="s">
        <v>4</v>
      </c>
      <c r="E4" s="135"/>
      <c r="F4" s="136"/>
      <c r="G4" s="152" t="s">
        <v>5</v>
      </c>
      <c r="H4" s="148" t="s">
        <v>6</v>
      </c>
      <c r="I4" s="148" t="s">
        <v>83</v>
      </c>
      <c r="J4" s="150" t="s">
        <v>84</v>
      </c>
      <c r="K4" s="148" t="s">
        <v>0</v>
      </c>
      <c r="L4" s="151" t="s">
        <v>7</v>
      </c>
    </row>
    <row r="5" spans="1:26" ht="24.75" customHeight="1">
      <c r="A5" s="132"/>
      <c r="B5" s="133"/>
      <c r="C5" s="134"/>
      <c r="D5" s="137"/>
      <c r="E5" s="137"/>
      <c r="F5" s="138"/>
      <c r="G5" s="153"/>
      <c r="H5" s="149"/>
      <c r="I5" s="149"/>
      <c r="J5" s="148"/>
      <c r="K5" s="149"/>
      <c r="L5" s="152"/>
    </row>
    <row r="6" spans="1:26" ht="32.25" customHeight="1">
      <c r="A6" s="117">
        <f t="shared" ref="A6:A7" si="0">ROW(A1)</f>
        <v>1</v>
      </c>
      <c r="B6" s="125" t="s">
        <v>133</v>
      </c>
      <c r="C6" s="126" t="s">
        <v>133</v>
      </c>
      <c r="D6" s="123" t="s">
        <v>134</v>
      </c>
      <c r="E6" s="123" t="s">
        <v>134</v>
      </c>
      <c r="F6" s="124" t="s">
        <v>134</v>
      </c>
      <c r="G6" s="115" t="s">
        <v>136</v>
      </c>
      <c r="H6" s="111">
        <v>1500</v>
      </c>
      <c r="I6" s="112">
        <v>16.25</v>
      </c>
      <c r="J6" s="113">
        <f>H6*I6</f>
        <v>24375</v>
      </c>
      <c r="K6" s="114" t="s">
        <v>88</v>
      </c>
      <c r="L6" s="116" t="s">
        <v>96</v>
      </c>
      <c r="R6" s="87"/>
    </row>
    <row r="7" spans="1:26" ht="32.25" customHeight="1">
      <c r="A7" s="117">
        <f t="shared" si="0"/>
        <v>2</v>
      </c>
      <c r="B7" s="139" t="s">
        <v>133</v>
      </c>
      <c r="C7" s="140" t="s">
        <v>133</v>
      </c>
      <c r="D7" s="123" t="s">
        <v>135</v>
      </c>
      <c r="E7" s="123" t="s">
        <v>135</v>
      </c>
      <c r="F7" s="124" t="s">
        <v>135</v>
      </c>
      <c r="G7" s="115" t="s">
        <v>136</v>
      </c>
      <c r="H7" s="111">
        <v>100</v>
      </c>
      <c r="I7" s="112">
        <v>268</v>
      </c>
      <c r="J7" s="113">
        <f t="shared" ref="J7" si="1">H7*I7</f>
        <v>26800</v>
      </c>
      <c r="K7" s="114" t="s">
        <v>56</v>
      </c>
      <c r="L7" s="116" t="s">
        <v>56</v>
      </c>
      <c r="R7" s="87"/>
    </row>
    <row r="8" spans="1:26" ht="30" customHeight="1">
      <c r="A8" s="154" t="s">
        <v>8</v>
      </c>
      <c r="B8" s="155"/>
      <c r="C8" s="118"/>
      <c r="D8" s="92"/>
      <c r="E8" s="92"/>
      <c r="F8" s="92"/>
      <c r="G8" s="93"/>
      <c r="H8" s="93"/>
      <c r="I8" s="94" t="s">
        <v>9</v>
      </c>
      <c r="J8" s="89">
        <f>SUM(J6:J7)</f>
        <v>51175</v>
      </c>
      <c r="K8" s="114" t="s">
        <v>56</v>
      </c>
      <c r="L8" s="116" t="s">
        <v>56</v>
      </c>
    </row>
    <row r="9" spans="1:26" ht="20.100000000000001" customHeight="1">
      <c r="A9" s="5" t="s">
        <v>10</v>
      </c>
      <c r="B9" s="6"/>
      <c r="C9" s="6"/>
      <c r="D9" s="6"/>
      <c r="E9" s="6"/>
      <c r="F9" s="6"/>
      <c r="G9" s="6"/>
      <c r="H9" s="6"/>
      <c r="I9" s="6"/>
      <c r="J9" s="6"/>
      <c r="K9" s="7"/>
      <c r="L9" s="8"/>
    </row>
    <row r="10" spans="1:26" ht="18" customHeight="1">
      <c r="A10" s="9"/>
      <c r="J10" s="1"/>
      <c r="K10" s="1"/>
      <c r="O10" s="10"/>
      <c r="P10" s="10"/>
      <c r="Q10" s="10"/>
      <c r="R10" s="10"/>
      <c r="S10" s="10"/>
      <c r="T10" s="10"/>
      <c r="U10" s="10"/>
      <c r="V10" s="10"/>
      <c r="W10" s="10"/>
      <c r="Y10" s="158"/>
      <c r="Z10" s="10"/>
    </row>
    <row r="11" spans="1:26" ht="50.1" customHeight="1">
      <c r="Y11" s="159"/>
    </row>
    <row r="12" spans="1:26" ht="15" customHeight="1">
      <c r="O12" s="160" t="s">
        <v>114</v>
      </c>
      <c r="P12" s="161"/>
      <c r="Q12" s="161"/>
      <c r="R12" s="162"/>
      <c r="S12" s="101"/>
      <c r="T12" s="160" t="s">
        <v>115</v>
      </c>
      <c r="U12" s="161"/>
      <c r="V12" s="161"/>
      <c r="W12" s="161"/>
      <c r="X12" s="161"/>
      <c r="Y12" s="162"/>
    </row>
    <row r="13" spans="1:26" ht="15" customHeight="1">
      <c r="O13" s="163" t="s">
        <v>116</v>
      </c>
      <c r="P13" s="127" t="s">
        <v>117</v>
      </c>
      <c r="Q13" s="163" t="s">
        <v>118</v>
      </c>
      <c r="R13" s="127" t="s">
        <v>119</v>
      </c>
      <c r="S13" s="101"/>
      <c r="T13" s="163" t="s">
        <v>120</v>
      </c>
      <c r="U13" s="127" t="s">
        <v>121</v>
      </c>
      <c r="V13" s="160" t="s">
        <v>122</v>
      </c>
      <c r="W13" s="161"/>
      <c r="X13" s="162"/>
      <c r="Y13" s="127" t="s">
        <v>123</v>
      </c>
    </row>
    <row r="14" spans="1:26" ht="18" customHeight="1">
      <c r="O14" s="128"/>
      <c r="P14" s="129"/>
      <c r="Q14" s="128"/>
      <c r="R14" s="129"/>
      <c r="S14" s="102"/>
      <c r="T14" s="128"/>
      <c r="U14" s="129"/>
      <c r="V14" s="12" t="s">
        <v>116</v>
      </c>
      <c r="W14" s="164" t="s">
        <v>124</v>
      </c>
      <c r="X14" s="165"/>
      <c r="Y14" s="129"/>
    </row>
    <row r="15" spans="1:26" ht="50.1" customHeight="1">
      <c r="O15" s="13"/>
      <c r="P15" s="13"/>
      <c r="Q15" s="13"/>
      <c r="R15" s="13"/>
      <c r="S15" s="101"/>
      <c r="T15" s="13"/>
      <c r="U15" s="13"/>
      <c r="V15" s="13"/>
      <c r="W15" s="160"/>
      <c r="X15" s="162"/>
      <c r="Y15" s="103"/>
    </row>
    <row r="16" spans="1:26" ht="36" customHeight="1">
      <c r="W16" s="104"/>
      <c r="X16" s="156" t="s">
        <v>125</v>
      </c>
      <c r="Y16" s="11" t="s">
        <v>123</v>
      </c>
    </row>
    <row r="17" spans="15:25" ht="50.1" customHeight="1">
      <c r="O17" s="105"/>
      <c r="P17" s="105"/>
      <c r="Q17" s="105"/>
      <c r="R17" s="105"/>
      <c r="S17" s="105"/>
      <c r="T17" s="105"/>
      <c r="U17" s="105"/>
      <c r="V17" s="105"/>
      <c r="W17" s="106"/>
      <c r="X17" s="157"/>
      <c r="Y17" s="107"/>
    </row>
    <row r="18" spans="15:25" ht="19.899999999999999" customHeight="1"/>
    <row r="19" spans="15:25" ht="17.45" customHeight="1">
      <c r="O19" s="130"/>
      <c r="P19" s="130"/>
    </row>
    <row r="20" spans="15:25" ht="19.899999999999999" customHeight="1">
      <c r="O20" s="130"/>
      <c r="P20" s="130"/>
    </row>
    <row r="21" spans="15:25" ht="14.25">
      <c r="O21" s="10"/>
      <c r="P21" s="10"/>
    </row>
    <row r="22" spans="15:25" ht="65.099999999999994" customHeight="1"/>
    <row r="23" spans="15:25" ht="14.25">
      <c r="O23" s="10"/>
      <c r="P23" s="10"/>
    </row>
    <row r="24" spans="15:25" ht="19.899999999999999" customHeight="1"/>
    <row r="25" spans="15:25" ht="14.25"/>
    <row r="26" spans="15:25" ht="19.899999999999999" customHeight="1"/>
    <row r="27" spans="15:25" ht="14.25"/>
    <row r="28" spans="15:25" ht="19.899999999999999" customHeight="1"/>
    <row r="29" spans="15:25" ht="19.899999999999999" customHeight="1"/>
    <row r="30" spans="15:25" ht="64.900000000000006" customHeight="1"/>
    <row r="32" spans="15:25" ht="19.899999999999999" customHeight="1"/>
    <row r="33" spans="15:19" ht="19.899999999999999" customHeight="1"/>
    <row r="34" spans="15:19" ht="64.900000000000006" customHeight="1"/>
    <row r="38" spans="15:19" ht="21" customHeight="1">
      <c r="O38" s="127" t="s">
        <v>12</v>
      </c>
      <c r="P38" s="127" t="s">
        <v>12</v>
      </c>
      <c r="S38" s="127" t="s">
        <v>11</v>
      </c>
    </row>
    <row r="39" spans="15:19" ht="21" customHeight="1">
      <c r="O39" s="129"/>
      <c r="P39" s="129"/>
      <c r="S39" s="128"/>
    </row>
    <row r="40" spans="15:19" ht="64.900000000000006" customHeight="1">
      <c r="O40" s="13"/>
      <c r="P40" s="13"/>
      <c r="S40" s="14"/>
    </row>
    <row r="41" spans="15:19" ht="7.15" customHeight="1"/>
    <row r="42" spans="15:19" ht="21" customHeight="1">
      <c r="O42" s="127" t="s">
        <v>12</v>
      </c>
      <c r="P42" s="127" t="s">
        <v>12</v>
      </c>
      <c r="S42" s="127" t="s">
        <v>13</v>
      </c>
    </row>
    <row r="43" spans="15:19" ht="21" customHeight="1">
      <c r="O43" s="129"/>
      <c r="P43" s="129"/>
      <c r="S43" s="128"/>
    </row>
    <row r="44" spans="15:19" ht="64.900000000000006" customHeight="1">
      <c r="O44" s="13"/>
      <c r="P44" s="13"/>
      <c r="S44" s="13"/>
    </row>
  </sheetData>
  <mergeCells count="39">
    <mergeCell ref="X16:X17"/>
    <mergeCell ref="Y10:Y11"/>
    <mergeCell ref="O12:R12"/>
    <mergeCell ref="T12:Y12"/>
    <mergeCell ref="O13:O14"/>
    <mergeCell ref="Q13:Q14"/>
    <mergeCell ref="R13:R14"/>
    <mergeCell ref="T13:T14"/>
    <mergeCell ref="U13:U14"/>
    <mergeCell ref="V13:X13"/>
    <mergeCell ref="Y13:Y14"/>
    <mergeCell ref="W14:X14"/>
    <mergeCell ref="W15:X15"/>
    <mergeCell ref="B6:C6"/>
    <mergeCell ref="J1:L1"/>
    <mergeCell ref="J2:L2"/>
    <mergeCell ref="E3:I3"/>
    <mergeCell ref="I4:I5"/>
    <mergeCell ref="J4:J5"/>
    <mergeCell ref="K4:K5"/>
    <mergeCell ref="L4:L5"/>
    <mergeCell ref="G4:G5"/>
    <mergeCell ref="H4:H5"/>
    <mergeCell ref="A4:A5"/>
    <mergeCell ref="B4:C5"/>
    <mergeCell ref="D4:F5"/>
    <mergeCell ref="D7:F7"/>
    <mergeCell ref="B7:C7"/>
    <mergeCell ref="D6:F6"/>
    <mergeCell ref="S38:S39"/>
    <mergeCell ref="O42:O43"/>
    <mergeCell ref="P42:P43"/>
    <mergeCell ref="S42:S43"/>
    <mergeCell ref="O19:O20"/>
    <mergeCell ref="P19:P20"/>
    <mergeCell ref="O38:O39"/>
    <mergeCell ref="P38:P39"/>
    <mergeCell ref="A8:B8"/>
    <mergeCell ref="P13:P14"/>
  </mergeCells>
  <phoneticPr fontId="4" type="noConversion"/>
  <printOptions horizontalCentered="1"/>
  <pageMargins left="0.39370078740157499" right="0.39370078740157499" top="0.39370078740157499" bottom="0.39370078740157499" header="0" footer="0"/>
  <pageSetup paperSize="9" scale="75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19"/>
  <sheetViews>
    <sheetView showGridLines="0" zoomScale="95" zoomScaleNormal="95" zoomScaleSheetLayoutView="70" workbookViewId="0">
      <pane ySplit="5" topLeftCell="A6" activePane="bottomLeft" state="frozen"/>
      <selection activeCell="D30" sqref="D30"/>
      <selection pane="bottomLeft" activeCell="A8" sqref="A8:XFD118"/>
    </sheetView>
  </sheetViews>
  <sheetFormatPr defaultColWidth="9" defaultRowHeight="21" customHeight="1"/>
  <cols>
    <col min="1" max="1" width="6.855468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90" t="s">
        <v>85</v>
      </c>
      <c r="B1" s="81"/>
      <c r="C1" s="81"/>
      <c r="D1" s="81"/>
      <c r="E1" s="81"/>
      <c r="F1" s="81"/>
      <c r="G1" s="1"/>
      <c r="J1" s="141" t="str">
        <f>+MRS!J1</f>
        <v>DAESHIN PLANT</v>
      </c>
      <c r="K1" s="143"/>
    </row>
    <row r="2" spans="1:18" ht="24.95" customHeight="1">
      <c r="A2" s="3" t="str">
        <f>+MRS!A2</f>
        <v xml:space="preserve">  PJT :  SACE2           </v>
      </c>
      <c r="B2" s="82"/>
      <c r="C2" s="82"/>
      <c r="D2" s="3" t="str">
        <f>+MRS!D2</f>
        <v>Division (In charge Name) : ADMIN MANAGER (Dong Chang Kim)</v>
      </c>
      <c r="E2" s="82"/>
      <c r="F2" s="82"/>
      <c r="G2" s="15"/>
      <c r="H2" s="15"/>
      <c r="I2" s="15"/>
      <c r="J2" s="144" t="str">
        <f>+MRS!J2</f>
        <v>Subcontract name (SAC2-SC-IK-SMP-01)</v>
      </c>
      <c r="K2" s="146"/>
    </row>
    <row r="3" spans="1:18" ht="24.95" customHeight="1">
      <c r="A3" s="3" t="str">
        <f>+MRS!A3</f>
        <v xml:space="preserve">  MRS No : SAC2-DS-MRS-0520</v>
      </c>
      <c r="B3" s="82"/>
      <c r="C3" s="82"/>
      <c r="D3" s="82"/>
      <c r="E3" s="82"/>
      <c r="F3" s="82"/>
      <c r="G3" s="82"/>
      <c r="H3" s="82"/>
      <c r="I3" s="82"/>
      <c r="J3" s="82"/>
      <c r="K3" s="83">
        <f>+MRS!L3</f>
        <v>46321</v>
      </c>
    </row>
    <row r="4" spans="1:18" ht="15.95" customHeight="1">
      <c r="A4" s="171" t="s">
        <v>2</v>
      </c>
      <c r="B4" s="172" t="s">
        <v>14</v>
      </c>
      <c r="C4" s="172"/>
      <c r="D4" s="171" t="s">
        <v>4</v>
      </c>
      <c r="E4" s="171"/>
      <c r="F4" s="171"/>
      <c r="G4" s="172" t="s">
        <v>5</v>
      </c>
      <c r="H4" s="171" t="s">
        <v>80</v>
      </c>
      <c r="I4" s="171" t="s">
        <v>15</v>
      </c>
      <c r="J4" s="171" t="s">
        <v>16</v>
      </c>
      <c r="K4" s="172" t="s">
        <v>7</v>
      </c>
    </row>
    <row r="5" spans="1:18" ht="15.95" customHeight="1">
      <c r="A5" s="171"/>
      <c r="B5" s="172"/>
      <c r="C5" s="172"/>
      <c r="D5" s="171"/>
      <c r="E5" s="171"/>
      <c r="F5" s="171"/>
      <c r="G5" s="172"/>
      <c r="H5" s="171"/>
      <c r="I5" s="171"/>
      <c r="J5" s="171"/>
      <c r="K5" s="172"/>
    </row>
    <row r="6" spans="1:18" ht="105" customHeight="1">
      <c r="A6" s="16">
        <f>+MRS!A6</f>
        <v>1</v>
      </c>
      <c r="B6" s="166" t="str">
        <f>MRS!B6</f>
        <v>Welding rod</v>
      </c>
      <c r="C6" s="167"/>
      <c r="D6" s="168" t="str">
        <f>MRS!D6</f>
        <v>E7018-1 H4R  3.2mm</v>
      </c>
      <c r="E6" s="169"/>
      <c r="F6" s="170"/>
      <c r="G6" s="84" t="str">
        <f>MRS!G6</f>
        <v>Kg</v>
      </c>
      <c r="H6" s="84">
        <f>MRS!H6</f>
        <v>1500</v>
      </c>
      <c r="I6" s="85">
        <f>MRS!I6</f>
        <v>16.25</v>
      </c>
      <c r="J6" s="85">
        <f>MRS!J6</f>
        <v>24375</v>
      </c>
      <c r="K6" s="86"/>
      <c r="O6" s="87"/>
      <c r="P6" s="87"/>
      <c r="R6" s="87"/>
    </row>
    <row r="7" spans="1:18" ht="105" customHeight="1">
      <c r="A7" s="16">
        <f>+MRS!A7</f>
        <v>2</v>
      </c>
      <c r="B7" s="166" t="str">
        <f>MRS!B7</f>
        <v>Welding rod</v>
      </c>
      <c r="C7" s="167"/>
      <c r="D7" s="168" t="str">
        <f>MRS!D7</f>
        <v>ENiCrMo-3   3.2mm</v>
      </c>
      <c r="E7" s="169"/>
      <c r="F7" s="170"/>
      <c r="G7" s="84" t="str">
        <f>MRS!G7</f>
        <v>Kg</v>
      </c>
      <c r="H7" s="84">
        <f>MRS!H7</f>
        <v>100</v>
      </c>
      <c r="I7" s="85">
        <f>MRS!I7</f>
        <v>268</v>
      </c>
      <c r="J7" s="85">
        <f>MRS!J7</f>
        <v>26800</v>
      </c>
      <c r="K7" s="86"/>
      <c r="O7" s="87"/>
      <c r="P7" s="87"/>
      <c r="R7" s="87"/>
    </row>
    <row r="8" spans="1:18" ht="105" customHeight="1">
      <c r="A8" s="16"/>
      <c r="B8" s="166"/>
      <c r="C8" s="167"/>
      <c r="D8" s="168"/>
      <c r="E8" s="169"/>
      <c r="F8" s="170"/>
      <c r="G8" s="84"/>
      <c r="H8" s="84"/>
      <c r="I8" s="85"/>
      <c r="J8" s="85"/>
      <c r="K8" s="86"/>
      <c r="O8" s="87"/>
      <c r="P8" s="87"/>
      <c r="R8" s="87"/>
    </row>
    <row r="9" spans="1:18" ht="105" customHeight="1">
      <c r="A9" s="16"/>
      <c r="B9" s="166"/>
      <c r="C9" s="167"/>
      <c r="D9" s="168"/>
      <c r="E9" s="169"/>
      <c r="F9" s="170"/>
      <c r="G9" s="84"/>
      <c r="H9" s="84"/>
      <c r="I9" s="85"/>
      <c r="J9" s="85"/>
      <c r="K9" s="86"/>
      <c r="O9" s="87"/>
      <c r="P9" s="87"/>
      <c r="R9" s="87"/>
    </row>
    <row r="10" spans="1:18" ht="105" customHeight="1">
      <c r="A10" s="16"/>
      <c r="B10" s="166"/>
      <c r="C10" s="167"/>
      <c r="D10" s="168"/>
      <c r="E10" s="169"/>
      <c r="F10" s="170"/>
      <c r="G10" s="84"/>
      <c r="H10" s="84"/>
      <c r="I10" s="85"/>
      <c r="J10" s="85"/>
      <c r="K10" s="86"/>
      <c r="O10" s="87"/>
      <c r="P10" s="87"/>
      <c r="R10" s="87"/>
    </row>
    <row r="11" spans="1:18" ht="105" customHeight="1">
      <c r="A11" s="16"/>
      <c r="B11" s="166"/>
      <c r="C11" s="167"/>
      <c r="D11" s="168"/>
      <c r="E11" s="169"/>
      <c r="F11" s="170"/>
      <c r="G11" s="84"/>
      <c r="H11" s="84"/>
      <c r="I11" s="85"/>
      <c r="J11" s="85"/>
      <c r="K11" s="86"/>
      <c r="O11" s="87"/>
      <c r="P11" s="87"/>
      <c r="R11" s="87"/>
    </row>
    <row r="12" spans="1:18" ht="105" customHeight="1">
      <c r="A12" s="16"/>
      <c r="B12" s="166"/>
      <c r="C12" s="167"/>
      <c r="D12" s="168"/>
      <c r="E12" s="169"/>
      <c r="F12" s="170"/>
      <c r="G12" s="84"/>
      <c r="H12" s="84"/>
      <c r="I12" s="85"/>
      <c r="J12" s="85"/>
      <c r="K12" s="86"/>
      <c r="O12" s="87"/>
      <c r="P12" s="87"/>
      <c r="R12" s="87"/>
    </row>
    <row r="13" spans="1:18" ht="105" customHeight="1">
      <c r="A13" s="16"/>
      <c r="B13" s="166"/>
      <c r="C13" s="167"/>
      <c r="D13" s="168"/>
      <c r="E13" s="169"/>
      <c r="F13" s="170"/>
      <c r="G13" s="84"/>
      <c r="H13" s="84"/>
      <c r="I13" s="85"/>
      <c r="J13" s="85"/>
      <c r="K13" s="86"/>
      <c r="O13" s="87"/>
      <c r="P13" s="87"/>
      <c r="R13" s="87"/>
    </row>
    <row r="14" spans="1:18" ht="105" customHeight="1">
      <c r="A14" s="16"/>
      <c r="B14" s="166"/>
      <c r="C14" s="167"/>
      <c r="D14" s="168"/>
      <c r="E14" s="169"/>
      <c r="F14" s="170"/>
      <c r="G14" s="84"/>
      <c r="H14" s="84"/>
      <c r="I14" s="85"/>
      <c r="J14" s="85"/>
      <c r="K14" s="86"/>
      <c r="O14" s="87"/>
      <c r="P14" s="87"/>
      <c r="R14" s="87"/>
    </row>
    <row r="15" spans="1:18" ht="105" customHeight="1">
      <c r="A15" s="16"/>
      <c r="B15" s="166"/>
      <c r="C15" s="167"/>
      <c r="D15" s="168"/>
      <c r="E15" s="169"/>
      <c r="F15" s="170"/>
      <c r="G15" s="84"/>
      <c r="H15" s="84"/>
      <c r="I15" s="85"/>
      <c r="J15" s="85"/>
      <c r="K15" s="86"/>
      <c r="O15" s="87"/>
      <c r="P15" s="87"/>
      <c r="R15" s="87"/>
    </row>
    <row r="16" spans="1:18" ht="105" customHeight="1">
      <c r="A16" s="16"/>
      <c r="B16" s="166"/>
      <c r="C16" s="167"/>
      <c r="D16" s="168"/>
      <c r="E16" s="169"/>
      <c r="F16" s="170"/>
      <c r="G16" s="84"/>
      <c r="H16" s="84"/>
      <c r="I16" s="85"/>
      <c r="J16" s="85"/>
      <c r="K16" s="86"/>
      <c r="O16" s="87"/>
      <c r="P16" s="87"/>
      <c r="R16" s="87"/>
    </row>
    <row r="17" spans="1:18" ht="105" customHeight="1">
      <c r="A17" s="16"/>
      <c r="B17" s="166"/>
      <c r="C17" s="167"/>
      <c r="D17" s="168"/>
      <c r="E17" s="169"/>
      <c r="F17" s="170"/>
      <c r="G17" s="84"/>
      <c r="H17" s="84"/>
      <c r="I17" s="85"/>
      <c r="J17" s="85"/>
      <c r="K17" s="86"/>
      <c r="O17" s="87"/>
      <c r="P17" s="87"/>
      <c r="R17" s="87"/>
    </row>
    <row r="18" spans="1:18" ht="105" customHeight="1">
      <c r="A18" s="16"/>
      <c r="B18" s="166"/>
      <c r="C18" s="167"/>
      <c r="D18" s="168"/>
      <c r="E18" s="169"/>
      <c r="F18" s="170"/>
      <c r="G18" s="84"/>
      <c r="H18" s="84"/>
      <c r="I18" s="85"/>
      <c r="J18" s="85"/>
      <c r="K18" s="86"/>
      <c r="O18" s="87"/>
      <c r="P18" s="87"/>
      <c r="R18" s="87"/>
    </row>
    <row r="19" spans="1:18" ht="105" customHeight="1">
      <c r="A19" s="16"/>
      <c r="B19" s="166"/>
      <c r="C19" s="167"/>
      <c r="D19" s="168"/>
      <c r="E19" s="169"/>
      <c r="F19" s="170"/>
      <c r="G19" s="84"/>
      <c r="H19" s="84"/>
      <c r="I19" s="85"/>
      <c r="J19" s="85"/>
      <c r="K19" s="86"/>
      <c r="O19" s="87"/>
      <c r="P19" s="87"/>
      <c r="R19" s="87"/>
    </row>
    <row r="20" spans="1:18" ht="105" customHeight="1">
      <c r="A20" s="16"/>
      <c r="B20" s="166"/>
      <c r="C20" s="167"/>
      <c r="D20" s="168"/>
      <c r="E20" s="169"/>
      <c r="F20" s="170"/>
      <c r="G20" s="84"/>
      <c r="H20" s="84"/>
      <c r="I20" s="85"/>
      <c r="J20" s="85"/>
      <c r="K20" s="86"/>
      <c r="O20" s="87"/>
      <c r="P20" s="87"/>
      <c r="R20" s="87"/>
    </row>
    <row r="21" spans="1:18" ht="105" customHeight="1">
      <c r="A21" s="16"/>
      <c r="B21" s="166"/>
      <c r="C21" s="167"/>
      <c r="D21" s="168"/>
      <c r="E21" s="169"/>
      <c r="F21" s="170"/>
      <c r="G21" s="84"/>
      <c r="H21" s="84"/>
      <c r="I21" s="85"/>
      <c r="J21" s="85"/>
      <c r="K21" s="86"/>
      <c r="O21" s="87"/>
      <c r="P21" s="87"/>
      <c r="R21" s="87"/>
    </row>
    <row r="22" spans="1:18" ht="105" customHeight="1">
      <c r="A22" s="16"/>
      <c r="B22" s="166"/>
      <c r="C22" s="167"/>
      <c r="D22" s="168"/>
      <c r="E22" s="169"/>
      <c r="F22" s="170"/>
      <c r="G22" s="84"/>
      <c r="H22" s="84"/>
      <c r="I22" s="85"/>
      <c r="J22" s="85"/>
      <c r="K22" s="86"/>
      <c r="O22" s="87"/>
      <c r="P22" s="87"/>
      <c r="R22" s="87"/>
    </row>
    <row r="23" spans="1:18" ht="105" customHeight="1">
      <c r="A23" s="16"/>
      <c r="B23" s="166"/>
      <c r="C23" s="167"/>
      <c r="D23" s="168"/>
      <c r="E23" s="169"/>
      <c r="F23" s="170"/>
      <c r="G23" s="84"/>
      <c r="H23" s="84"/>
      <c r="I23" s="85"/>
      <c r="J23" s="85"/>
      <c r="K23" s="86"/>
      <c r="O23" s="87"/>
      <c r="P23" s="87"/>
      <c r="R23" s="87"/>
    </row>
    <row r="24" spans="1:18" ht="105" customHeight="1">
      <c r="A24" s="16"/>
      <c r="B24" s="166"/>
      <c r="C24" s="167"/>
      <c r="D24" s="168"/>
      <c r="E24" s="169"/>
      <c r="F24" s="170"/>
      <c r="G24" s="84"/>
      <c r="H24" s="84"/>
      <c r="I24" s="85"/>
      <c r="J24" s="85"/>
      <c r="K24" s="86"/>
      <c r="O24" s="87"/>
      <c r="P24" s="87"/>
      <c r="R24" s="87"/>
    </row>
    <row r="25" spans="1:18" ht="105" customHeight="1">
      <c r="A25" s="16"/>
      <c r="B25" s="166"/>
      <c r="C25" s="167"/>
      <c r="D25" s="168"/>
      <c r="E25" s="169"/>
      <c r="F25" s="170"/>
      <c r="G25" s="84"/>
      <c r="H25" s="84"/>
      <c r="I25" s="85"/>
      <c r="J25" s="85"/>
      <c r="K25" s="86"/>
      <c r="O25" s="87"/>
      <c r="P25" s="87"/>
      <c r="R25" s="87"/>
    </row>
    <row r="26" spans="1:18" ht="105" customHeight="1">
      <c r="A26" s="16"/>
      <c r="B26" s="166"/>
      <c r="C26" s="167"/>
      <c r="D26" s="168"/>
      <c r="E26" s="169"/>
      <c r="F26" s="170"/>
      <c r="G26" s="84"/>
      <c r="H26" s="84"/>
      <c r="I26" s="85"/>
      <c r="J26" s="85"/>
      <c r="K26" s="86"/>
      <c r="O26" s="87"/>
      <c r="P26" s="87"/>
      <c r="R26" s="87"/>
    </row>
    <row r="27" spans="1:18" ht="105" customHeight="1">
      <c r="A27" s="16"/>
      <c r="B27" s="166"/>
      <c r="C27" s="167"/>
      <c r="D27" s="168"/>
      <c r="E27" s="169"/>
      <c r="F27" s="170"/>
      <c r="G27" s="84"/>
      <c r="H27" s="84"/>
      <c r="I27" s="85"/>
      <c r="J27" s="85"/>
      <c r="K27" s="86"/>
      <c r="O27" s="87"/>
      <c r="P27" s="87"/>
      <c r="R27" s="87"/>
    </row>
    <row r="28" spans="1:18" ht="105" customHeight="1">
      <c r="A28" s="16"/>
      <c r="B28" s="166"/>
      <c r="C28" s="167"/>
      <c r="D28" s="168"/>
      <c r="E28" s="169"/>
      <c r="F28" s="170"/>
      <c r="G28" s="84"/>
      <c r="H28" s="84"/>
      <c r="I28" s="85"/>
      <c r="J28" s="85"/>
      <c r="K28" s="86"/>
      <c r="O28" s="87"/>
      <c r="P28" s="87"/>
      <c r="R28" s="87"/>
    </row>
    <row r="29" spans="1:18" ht="105" customHeight="1">
      <c r="A29" s="16"/>
      <c r="B29" s="166"/>
      <c r="C29" s="167"/>
      <c r="D29" s="168"/>
      <c r="E29" s="169"/>
      <c r="F29" s="170"/>
      <c r="G29" s="84"/>
      <c r="H29" s="84"/>
      <c r="I29" s="85"/>
      <c r="J29" s="85"/>
      <c r="K29" s="86"/>
      <c r="O29" s="87"/>
      <c r="P29" s="87"/>
      <c r="R29" s="87"/>
    </row>
    <row r="30" spans="1:18" ht="105" customHeight="1">
      <c r="A30" s="16"/>
      <c r="B30" s="166"/>
      <c r="C30" s="167"/>
      <c r="D30" s="168"/>
      <c r="E30" s="169"/>
      <c r="F30" s="170"/>
      <c r="G30" s="84"/>
      <c r="H30" s="84"/>
      <c r="I30" s="85"/>
      <c r="J30" s="85"/>
      <c r="K30" s="86"/>
      <c r="O30" s="87"/>
      <c r="P30" s="87"/>
      <c r="R30" s="87"/>
    </row>
    <row r="31" spans="1:18" ht="105" customHeight="1">
      <c r="A31" s="16"/>
      <c r="B31" s="166"/>
      <c r="C31" s="167"/>
      <c r="D31" s="168"/>
      <c r="E31" s="169"/>
      <c r="F31" s="170"/>
      <c r="G31" s="84"/>
      <c r="H31" s="84"/>
      <c r="I31" s="85"/>
      <c r="J31" s="85"/>
      <c r="K31" s="86"/>
      <c r="O31" s="87"/>
      <c r="P31" s="87"/>
      <c r="R31" s="87"/>
    </row>
    <row r="32" spans="1:18" ht="105" customHeight="1">
      <c r="A32" s="16"/>
      <c r="B32" s="166"/>
      <c r="C32" s="167"/>
      <c r="D32" s="168"/>
      <c r="E32" s="169"/>
      <c r="F32" s="170"/>
      <c r="G32" s="84"/>
      <c r="H32" s="84"/>
      <c r="I32" s="85"/>
      <c r="J32" s="85"/>
      <c r="K32" s="86"/>
      <c r="O32" s="87"/>
      <c r="P32" s="87"/>
      <c r="R32" s="87"/>
    </row>
    <row r="33" spans="1:18" ht="105" customHeight="1">
      <c r="A33" s="16"/>
      <c r="B33" s="166"/>
      <c r="C33" s="167"/>
      <c r="D33" s="168"/>
      <c r="E33" s="169"/>
      <c r="F33" s="170"/>
      <c r="G33" s="84"/>
      <c r="H33" s="84"/>
      <c r="I33" s="85"/>
      <c r="J33" s="85"/>
      <c r="K33" s="86"/>
      <c r="O33" s="87"/>
      <c r="P33" s="87"/>
      <c r="R33" s="87"/>
    </row>
    <row r="34" spans="1:18" ht="105" customHeight="1">
      <c r="A34" s="16"/>
      <c r="B34" s="166"/>
      <c r="C34" s="167"/>
      <c r="D34" s="168"/>
      <c r="E34" s="169"/>
      <c r="F34" s="170"/>
      <c r="G34" s="84"/>
      <c r="H34" s="84"/>
      <c r="I34" s="85"/>
      <c r="J34" s="85"/>
      <c r="K34" s="86"/>
      <c r="O34" s="87"/>
      <c r="P34" s="87"/>
      <c r="R34" s="87"/>
    </row>
    <row r="35" spans="1:18" ht="105" customHeight="1">
      <c r="A35" s="16"/>
      <c r="B35" s="166"/>
      <c r="C35" s="167"/>
      <c r="D35" s="168"/>
      <c r="E35" s="169"/>
      <c r="F35" s="170"/>
      <c r="G35" s="84"/>
      <c r="H35" s="84"/>
      <c r="I35" s="85"/>
      <c r="J35" s="85"/>
      <c r="K35" s="86"/>
      <c r="O35" s="87"/>
      <c r="P35" s="87"/>
      <c r="R35" s="87"/>
    </row>
    <row r="36" spans="1:18" ht="105" customHeight="1">
      <c r="A36" s="16"/>
      <c r="B36" s="166"/>
      <c r="C36" s="167"/>
      <c r="D36" s="168"/>
      <c r="E36" s="169"/>
      <c r="F36" s="170"/>
      <c r="G36" s="84"/>
      <c r="H36" s="84"/>
      <c r="I36" s="85"/>
      <c r="J36" s="85"/>
      <c r="K36" s="86"/>
      <c r="O36" s="87"/>
      <c r="P36" s="87"/>
      <c r="R36" s="87"/>
    </row>
    <row r="37" spans="1:18" ht="105" customHeight="1">
      <c r="A37" s="16"/>
      <c r="B37" s="166"/>
      <c r="C37" s="167"/>
      <c r="D37" s="168"/>
      <c r="E37" s="169"/>
      <c r="F37" s="170"/>
      <c r="G37" s="84"/>
      <c r="H37" s="84"/>
      <c r="I37" s="85"/>
      <c r="J37" s="85"/>
      <c r="K37" s="86"/>
      <c r="O37" s="87"/>
      <c r="P37" s="87"/>
      <c r="R37" s="87"/>
    </row>
    <row r="38" spans="1:18" ht="105" customHeight="1">
      <c r="A38" s="16"/>
      <c r="B38" s="166"/>
      <c r="C38" s="167"/>
      <c r="D38" s="168"/>
      <c r="E38" s="169"/>
      <c r="F38" s="170"/>
      <c r="G38" s="84"/>
      <c r="H38" s="84"/>
      <c r="I38" s="85"/>
      <c r="J38" s="85"/>
      <c r="K38" s="86"/>
      <c r="O38" s="87"/>
      <c r="P38" s="87"/>
      <c r="R38" s="87"/>
    </row>
    <row r="39" spans="1:18" ht="105" customHeight="1">
      <c r="A39" s="16"/>
      <c r="B39" s="166"/>
      <c r="C39" s="167"/>
      <c r="D39" s="168"/>
      <c r="E39" s="169"/>
      <c r="F39" s="170"/>
      <c r="G39" s="84"/>
      <c r="H39" s="84"/>
      <c r="I39" s="85"/>
      <c r="J39" s="85"/>
      <c r="K39" s="86"/>
      <c r="O39" s="87"/>
      <c r="P39" s="87"/>
      <c r="R39" s="87"/>
    </row>
    <row r="40" spans="1:18" ht="105" customHeight="1">
      <c r="A40" s="16"/>
      <c r="B40" s="166"/>
      <c r="C40" s="167"/>
      <c r="D40" s="168"/>
      <c r="E40" s="169"/>
      <c r="F40" s="170"/>
      <c r="G40" s="84"/>
      <c r="H40" s="84"/>
      <c r="I40" s="85"/>
      <c r="J40" s="85"/>
      <c r="K40" s="86"/>
      <c r="O40" s="87"/>
      <c r="P40" s="87"/>
      <c r="R40" s="87"/>
    </row>
    <row r="41" spans="1:18" ht="105" customHeight="1">
      <c r="A41" s="16"/>
      <c r="B41" s="166"/>
      <c r="C41" s="167"/>
      <c r="D41" s="168"/>
      <c r="E41" s="169"/>
      <c r="F41" s="170"/>
      <c r="G41" s="84"/>
      <c r="H41" s="84"/>
      <c r="I41" s="85"/>
      <c r="J41" s="85"/>
      <c r="K41" s="86"/>
      <c r="O41" s="87"/>
      <c r="P41" s="87"/>
      <c r="R41" s="87"/>
    </row>
    <row r="42" spans="1:18" ht="105" customHeight="1">
      <c r="A42" s="16"/>
      <c r="B42" s="166"/>
      <c r="C42" s="167"/>
      <c r="D42" s="168"/>
      <c r="E42" s="169"/>
      <c r="F42" s="170"/>
      <c r="G42" s="84"/>
      <c r="H42" s="84"/>
      <c r="I42" s="85"/>
      <c r="J42" s="85"/>
      <c r="K42" s="86"/>
      <c r="O42" s="87"/>
      <c r="P42" s="87"/>
      <c r="R42" s="87"/>
    </row>
    <row r="43" spans="1:18" ht="105" customHeight="1">
      <c r="A43" s="16"/>
      <c r="B43" s="166"/>
      <c r="C43" s="167"/>
      <c r="D43" s="168"/>
      <c r="E43" s="169"/>
      <c r="F43" s="170"/>
      <c r="G43" s="84"/>
      <c r="H43" s="84"/>
      <c r="I43" s="85"/>
      <c r="J43" s="85"/>
      <c r="K43" s="86"/>
      <c r="O43" s="87"/>
      <c r="P43" s="87"/>
      <c r="R43" s="87"/>
    </row>
    <row r="44" spans="1:18" ht="105" customHeight="1">
      <c r="A44" s="16"/>
      <c r="B44" s="166"/>
      <c r="C44" s="167"/>
      <c r="D44" s="168"/>
      <c r="E44" s="169"/>
      <c r="F44" s="170"/>
      <c r="G44" s="84"/>
      <c r="H44" s="84"/>
      <c r="I44" s="85"/>
      <c r="J44" s="85"/>
      <c r="K44" s="86"/>
      <c r="O44" s="87"/>
      <c r="P44" s="87"/>
      <c r="R44" s="87"/>
    </row>
    <row r="45" spans="1:18" ht="105" customHeight="1">
      <c r="A45" s="16"/>
      <c r="B45" s="166"/>
      <c r="C45" s="167"/>
      <c r="D45" s="168"/>
      <c r="E45" s="169"/>
      <c r="F45" s="170"/>
      <c r="G45" s="84"/>
      <c r="H45" s="84"/>
      <c r="I45" s="85"/>
      <c r="J45" s="85"/>
      <c r="K45" s="86"/>
      <c r="O45" s="87"/>
      <c r="P45" s="87"/>
      <c r="R45" s="87"/>
    </row>
    <row r="46" spans="1:18" ht="105" customHeight="1">
      <c r="A46" s="16"/>
      <c r="B46" s="166"/>
      <c r="C46" s="167"/>
      <c r="D46" s="168"/>
      <c r="E46" s="169"/>
      <c r="F46" s="170"/>
      <c r="G46" s="84"/>
      <c r="H46" s="84"/>
      <c r="I46" s="85"/>
      <c r="J46" s="85"/>
      <c r="K46" s="86"/>
      <c r="O46" s="87"/>
      <c r="P46" s="87"/>
      <c r="R46" s="87"/>
    </row>
    <row r="47" spans="1:18" ht="105" customHeight="1">
      <c r="A47" s="16"/>
      <c r="B47" s="166"/>
      <c r="C47" s="167"/>
      <c r="D47" s="168"/>
      <c r="E47" s="169"/>
      <c r="F47" s="170"/>
      <c r="G47" s="84"/>
      <c r="H47" s="84"/>
      <c r="I47" s="85"/>
      <c r="J47" s="85"/>
      <c r="K47" s="86"/>
      <c r="O47" s="87"/>
      <c r="P47" s="87"/>
      <c r="R47" s="87"/>
    </row>
    <row r="48" spans="1:18" ht="105" customHeight="1">
      <c r="A48" s="16"/>
      <c r="B48" s="166"/>
      <c r="C48" s="167"/>
      <c r="D48" s="168"/>
      <c r="E48" s="169"/>
      <c r="F48" s="170"/>
      <c r="G48" s="84"/>
      <c r="H48" s="84"/>
      <c r="I48" s="85"/>
      <c r="J48" s="85"/>
      <c r="K48" s="86"/>
      <c r="O48" s="87"/>
      <c r="P48" s="87"/>
      <c r="R48" s="87"/>
    </row>
    <row r="49" spans="1:18" ht="105" customHeight="1">
      <c r="A49" s="16"/>
      <c r="B49" s="166"/>
      <c r="C49" s="167"/>
      <c r="D49" s="168"/>
      <c r="E49" s="169"/>
      <c r="F49" s="170"/>
      <c r="G49" s="84"/>
      <c r="H49" s="84"/>
      <c r="I49" s="85"/>
      <c r="J49" s="85"/>
      <c r="K49" s="86"/>
      <c r="O49" s="87"/>
      <c r="P49" s="87"/>
      <c r="R49" s="87"/>
    </row>
    <row r="50" spans="1:18" ht="105" customHeight="1">
      <c r="A50" s="16"/>
      <c r="B50" s="166"/>
      <c r="C50" s="167"/>
      <c r="D50" s="168"/>
      <c r="E50" s="169"/>
      <c r="F50" s="170"/>
      <c r="G50" s="84"/>
      <c r="H50" s="84"/>
      <c r="I50" s="85"/>
      <c r="J50" s="85"/>
      <c r="K50" s="86"/>
      <c r="O50" s="87"/>
      <c r="P50" s="87"/>
      <c r="R50" s="87"/>
    </row>
    <row r="51" spans="1:18" ht="105" customHeight="1">
      <c r="A51" s="16"/>
      <c r="B51" s="166"/>
      <c r="C51" s="167"/>
      <c r="D51" s="168"/>
      <c r="E51" s="169"/>
      <c r="F51" s="170"/>
      <c r="G51" s="84"/>
      <c r="H51" s="84"/>
      <c r="I51" s="85"/>
      <c r="J51" s="85"/>
      <c r="K51" s="86"/>
      <c r="O51" s="87"/>
      <c r="P51" s="87"/>
      <c r="R51" s="87"/>
    </row>
    <row r="52" spans="1:18" ht="105" customHeight="1">
      <c r="A52" s="16"/>
      <c r="B52" s="166"/>
      <c r="C52" s="167"/>
      <c r="D52" s="168"/>
      <c r="E52" s="169"/>
      <c r="F52" s="170"/>
      <c r="G52" s="84"/>
      <c r="H52" s="84"/>
      <c r="I52" s="85"/>
      <c r="J52" s="85"/>
      <c r="K52" s="86"/>
      <c r="O52" s="87"/>
      <c r="P52" s="87"/>
      <c r="R52" s="87"/>
    </row>
    <row r="53" spans="1:18" ht="105" customHeight="1">
      <c r="A53" s="16"/>
      <c r="B53" s="166"/>
      <c r="C53" s="167"/>
      <c r="D53" s="168"/>
      <c r="E53" s="169"/>
      <c r="F53" s="170"/>
      <c r="G53" s="84"/>
      <c r="H53" s="84"/>
      <c r="I53" s="85"/>
      <c r="J53" s="85"/>
      <c r="K53" s="86"/>
      <c r="O53" s="87"/>
      <c r="P53" s="87"/>
      <c r="R53" s="87"/>
    </row>
    <row r="54" spans="1:18" ht="105" customHeight="1">
      <c r="A54" s="16"/>
      <c r="B54" s="166"/>
      <c r="C54" s="167"/>
      <c r="D54" s="168"/>
      <c r="E54" s="169"/>
      <c r="F54" s="170"/>
      <c r="G54" s="84"/>
      <c r="H54" s="84"/>
      <c r="I54" s="85"/>
      <c r="J54" s="85"/>
      <c r="K54" s="86"/>
      <c r="O54" s="87"/>
      <c r="P54" s="87"/>
      <c r="R54" s="87"/>
    </row>
    <row r="55" spans="1:18" ht="105" customHeight="1">
      <c r="A55" s="16"/>
      <c r="B55" s="166"/>
      <c r="C55" s="167"/>
      <c r="D55" s="168"/>
      <c r="E55" s="169"/>
      <c r="F55" s="170"/>
      <c r="G55" s="84"/>
      <c r="H55" s="84"/>
      <c r="I55" s="85"/>
      <c r="J55" s="85"/>
      <c r="K55" s="86"/>
      <c r="O55" s="87"/>
      <c r="P55" s="87"/>
      <c r="R55" s="87"/>
    </row>
    <row r="56" spans="1:18" ht="105" customHeight="1">
      <c r="A56" s="16"/>
      <c r="B56" s="166"/>
      <c r="C56" s="167"/>
      <c r="D56" s="168"/>
      <c r="E56" s="169"/>
      <c r="F56" s="170"/>
      <c r="G56" s="84"/>
      <c r="H56" s="84"/>
      <c r="I56" s="85"/>
      <c r="J56" s="85"/>
      <c r="K56" s="86"/>
      <c r="O56" s="87"/>
      <c r="P56" s="87"/>
      <c r="R56" s="87"/>
    </row>
    <row r="57" spans="1:18" ht="105" customHeight="1">
      <c r="A57" s="16"/>
      <c r="B57" s="166"/>
      <c r="C57" s="167"/>
      <c r="D57" s="168"/>
      <c r="E57" s="169"/>
      <c r="F57" s="170"/>
      <c r="G57" s="84"/>
      <c r="H57" s="84"/>
      <c r="I57" s="85"/>
      <c r="J57" s="85"/>
      <c r="K57" s="86"/>
      <c r="O57" s="87"/>
      <c r="P57" s="87"/>
      <c r="R57" s="87"/>
    </row>
    <row r="58" spans="1:18" ht="105" customHeight="1">
      <c r="A58" s="16"/>
      <c r="B58" s="166"/>
      <c r="C58" s="167"/>
      <c r="D58" s="168"/>
      <c r="E58" s="169"/>
      <c r="F58" s="170"/>
      <c r="G58" s="84"/>
      <c r="H58" s="84"/>
      <c r="I58" s="85"/>
      <c r="J58" s="85"/>
      <c r="K58" s="86"/>
      <c r="O58" s="87"/>
      <c r="P58" s="87"/>
      <c r="R58" s="87"/>
    </row>
    <row r="59" spans="1:18" ht="105" customHeight="1">
      <c r="A59" s="16"/>
      <c r="B59" s="166"/>
      <c r="C59" s="167"/>
      <c r="D59" s="168"/>
      <c r="E59" s="169"/>
      <c r="F59" s="170"/>
      <c r="G59" s="84"/>
      <c r="H59" s="84"/>
      <c r="I59" s="85"/>
      <c r="J59" s="85"/>
      <c r="K59" s="86"/>
      <c r="O59" s="87"/>
      <c r="P59" s="87"/>
      <c r="R59" s="87"/>
    </row>
    <row r="60" spans="1:18" ht="105" customHeight="1">
      <c r="A60" s="16"/>
      <c r="B60" s="166"/>
      <c r="C60" s="167"/>
      <c r="D60" s="168"/>
      <c r="E60" s="169"/>
      <c r="F60" s="170"/>
      <c r="G60" s="84"/>
      <c r="H60" s="84"/>
      <c r="I60" s="85"/>
      <c r="J60" s="85"/>
      <c r="K60" s="86"/>
      <c r="O60" s="87"/>
      <c r="P60" s="87"/>
      <c r="R60" s="87"/>
    </row>
    <row r="61" spans="1:18" ht="105" customHeight="1">
      <c r="A61" s="16"/>
      <c r="B61" s="166"/>
      <c r="C61" s="167"/>
      <c r="D61" s="168"/>
      <c r="E61" s="169"/>
      <c r="F61" s="170"/>
      <c r="G61" s="84"/>
      <c r="H61" s="84"/>
      <c r="I61" s="85"/>
      <c r="J61" s="85"/>
      <c r="K61" s="86"/>
      <c r="O61" s="87"/>
      <c r="P61" s="87"/>
      <c r="R61" s="87"/>
    </row>
    <row r="62" spans="1:18" ht="105" customHeight="1">
      <c r="A62" s="16"/>
      <c r="B62" s="166"/>
      <c r="C62" s="167"/>
      <c r="D62" s="168"/>
      <c r="E62" s="169"/>
      <c r="F62" s="170"/>
      <c r="G62" s="84"/>
      <c r="H62" s="84"/>
      <c r="I62" s="85"/>
      <c r="J62" s="85"/>
      <c r="K62" s="86"/>
      <c r="O62" s="87"/>
      <c r="P62" s="87"/>
      <c r="R62" s="87"/>
    </row>
    <row r="63" spans="1:18" ht="105" customHeight="1">
      <c r="A63" s="16"/>
      <c r="B63" s="166"/>
      <c r="C63" s="167"/>
      <c r="D63" s="168"/>
      <c r="E63" s="169"/>
      <c r="F63" s="170"/>
      <c r="G63" s="84"/>
      <c r="H63" s="84"/>
      <c r="I63" s="85"/>
      <c r="J63" s="85"/>
      <c r="K63" s="86"/>
      <c r="O63" s="87"/>
      <c r="P63" s="87"/>
      <c r="R63" s="87"/>
    </row>
    <row r="64" spans="1:18" ht="105" customHeight="1">
      <c r="A64" s="16"/>
      <c r="B64" s="166"/>
      <c r="C64" s="167"/>
      <c r="D64" s="168"/>
      <c r="E64" s="169"/>
      <c r="F64" s="170"/>
      <c r="G64" s="84"/>
      <c r="H64" s="84"/>
      <c r="I64" s="85"/>
      <c r="J64" s="85"/>
      <c r="K64" s="86"/>
      <c r="O64" s="87"/>
      <c r="P64" s="87"/>
      <c r="R64" s="87"/>
    </row>
    <row r="65" spans="1:18" ht="105" customHeight="1">
      <c r="A65" s="16"/>
      <c r="B65" s="166"/>
      <c r="C65" s="167"/>
      <c r="D65" s="168"/>
      <c r="E65" s="169"/>
      <c r="F65" s="170"/>
      <c r="G65" s="84"/>
      <c r="H65" s="84"/>
      <c r="I65" s="85"/>
      <c r="J65" s="85"/>
      <c r="K65" s="86"/>
      <c r="O65" s="87"/>
      <c r="P65" s="87"/>
      <c r="R65" s="87"/>
    </row>
    <row r="66" spans="1:18" ht="105" customHeight="1">
      <c r="A66" s="16"/>
      <c r="B66" s="166"/>
      <c r="C66" s="167"/>
      <c r="D66" s="168"/>
      <c r="E66" s="169"/>
      <c r="F66" s="170"/>
      <c r="G66" s="84"/>
      <c r="H66" s="84"/>
      <c r="I66" s="85"/>
      <c r="J66" s="85"/>
      <c r="K66" s="86"/>
      <c r="O66" s="87"/>
      <c r="P66" s="87"/>
      <c r="R66" s="87"/>
    </row>
    <row r="67" spans="1:18" ht="105" customHeight="1">
      <c r="A67" s="16"/>
      <c r="B67" s="166"/>
      <c r="C67" s="167"/>
      <c r="D67" s="168"/>
      <c r="E67" s="169"/>
      <c r="F67" s="170"/>
      <c r="G67" s="84"/>
      <c r="H67" s="84"/>
      <c r="I67" s="85"/>
      <c r="J67" s="85"/>
      <c r="K67" s="86"/>
      <c r="O67" s="87"/>
      <c r="P67" s="87"/>
      <c r="R67" s="87"/>
    </row>
    <row r="68" spans="1:18" ht="105" customHeight="1">
      <c r="A68" s="16"/>
      <c r="B68" s="166"/>
      <c r="C68" s="167"/>
      <c r="D68" s="168"/>
      <c r="E68" s="169"/>
      <c r="F68" s="170"/>
      <c r="G68" s="84"/>
      <c r="H68" s="84"/>
      <c r="I68" s="85"/>
      <c r="J68" s="85"/>
      <c r="K68" s="86"/>
      <c r="O68" s="87"/>
      <c r="P68" s="87"/>
      <c r="R68" s="87"/>
    </row>
    <row r="69" spans="1:18" ht="105" customHeight="1">
      <c r="A69" s="16"/>
      <c r="B69" s="166"/>
      <c r="C69" s="167"/>
      <c r="D69" s="168"/>
      <c r="E69" s="169"/>
      <c r="F69" s="170"/>
      <c r="G69" s="84"/>
      <c r="H69" s="84"/>
      <c r="I69" s="85"/>
      <c r="J69" s="85"/>
      <c r="K69" s="86"/>
      <c r="O69" s="87"/>
      <c r="P69" s="87"/>
      <c r="R69" s="87"/>
    </row>
    <row r="70" spans="1:18" ht="105" customHeight="1">
      <c r="A70" s="16"/>
      <c r="B70" s="166"/>
      <c r="C70" s="167"/>
      <c r="D70" s="168"/>
      <c r="E70" s="169"/>
      <c r="F70" s="170"/>
      <c r="G70" s="84"/>
      <c r="H70" s="84"/>
      <c r="I70" s="85"/>
      <c r="J70" s="85"/>
      <c r="K70" s="86"/>
      <c r="O70" s="87"/>
      <c r="P70" s="87"/>
      <c r="R70" s="87"/>
    </row>
    <row r="71" spans="1:18" ht="105" customHeight="1">
      <c r="A71" s="16"/>
      <c r="B71" s="166"/>
      <c r="C71" s="167"/>
      <c r="D71" s="168"/>
      <c r="E71" s="169"/>
      <c r="F71" s="170"/>
      <c r="G71" s="84"/>
      <c r="H71" s="84"/>
      <c r="I71" s="85"/>
      <c r="J71" s="85"/>
      <c r="K71" s="86"/>
      <c r="O71" s="87"/>
      <c r="P71" s="87"/>
      <c r="R71" s="87"/>
    </row>
    <row r="72" spans="1:18" ht="105" customHeight="1">
      <c r="A72" s="16"/>
      <c r="B72" s="166"/>
      <c r="C72" s="167"/>
      <c r="D72" s="168"/>
      <c r="E72" s="169"/>
      <c r="F72" s="170"/>
      <c r="G72" s="84"/>
      <c r="H72" s="84"/>
      <c r="I72" s="85"/>
      <c r="J72" s="85"/>
      <c r="K72" s="86"/>
      <c r="O72" s="87"/>
      <c r="P72" s="87"/>
      <c r="R72" s="87"/>
    </row>
    <row r="73" spans="1:18" ht="105" customHeight="1">
      <c r="A73" s="16"/>
      <c r="B73" s="166"/>
      <c r="C73" s="167"/>
      <c r="D73" s="168"/>
      <c r="E73" s="169"/>
      <c r="F73" s="170"/>
      <c r="G73" s="84"/>
      <c r="H73" s="84"/>
      <c r="I73" s="85"/>
      <c r="J73" s="85"/>
      <c r="K73" s="86"/>
      <c r="O73" s="87"/>
      <c r="P73" s="87"/>
      <c r="R73" s="87"/>
    </row>
    <row r="74" spans="1:18" ht="105" customHeight="1">
      <c r="A74" s="16"/>
      <c r="B74" s="166"/>
      <c r="C74" s="167"/>
      <c r="D74" s="168"/>
      <c r="E74" s="169"/>
      <c r="F74" s="170"/>
      <c r="G74" s="84"/>
      <c r="H74" s="84"/>
      <c r="I74" s="85"/>
      <c r="J74" s="85"/>
      <c r="K74" s="86"/>
      <c r="O74" s="87"/>
      <c r="P74" s="87"/>
      <c r="R74" s="87"/>
    </row>
    <row r="75" spans="1:18" ht="105" customHeight="1">
      <c r="A75" s="16"/>
      <c r="B75" s="166"/>
      <c r="C75" s="167"/>
      <c r="D75" s="168"/>
      <c r="E75" s="169"/>
      <c r="F75" s="170"/>
      <c r="G75" s="84"/>
      <c r="H75" s="84"/>
      <c r="I75" s="85"/>
      <c r="J75" s="85"/>
      <c r="K75" s="86"/>
      <c r="O75" s="87"/>
      <c r="P75" s="87"/>
      <c r="R75" s="87"/>
    </row>
    <row r="76" spans="1:18" ht="105" customHeight="1">
      <c r="A76" s="16"/>
      <c r="B76" s="166"/>
      <c r="C76" s="167"/>
      <c r="D76" s="168"/>
      <c r="E76" s="169"/>
      <c r="F76" s="170"/>
      <c r="G76" s="84"/>
      <c r="H76" s="84"/>
      <c r="I76" s="85"/>
      <c r="J76" s="85"/>
      <c r="K76" s="86"/>
      <c r="O76" s="87"/>
      <c r="P76" s="87"/>
      <c r="R76" s="87"/>
    </row>
    <row r="77" spans="1:18" ht="105" customHeight="1">
      <c r="A77" s="16"/>
      <c r="B77" s="166"/>
      <c r="C77" s="167"/>
      <c r="D77" s="168"/>
      <c r="E77" s="169"/>
      <c r="F77" s="170"/>
      <c r="G77" s="84"/>
      <c r="H77" s="84"/>
      <c r="I77" s="85"/>
      <c r="J77" s="85"/>
      <c r="K77" s="86"/>
      <c r="O77" s="87"/>
      <c r="P77" s="87"/>
      <c r="R77" s="87"/>
    </row>
    <row r="78" spans="1:18" ht="105" customHeight="1">
      <c r="A78" s="16"/>
      <c r="B78" s="166"/>
      <c r="C78" s="167"/>
      <c r="D78" s="168"/>
      <c r="E78" s="169"/>
      <c r="F78" s="170"/>
      <c r="G78" s="84"/>
      <c r="H78" s="84"/>
      <c r="I78" s="85"/>
      <c r="J78" s="85"/>
      <c r="K78" s="86"/>
      <c r="O78" s="87"/>
      <c r="P78" s="87"/>
      <c r="R78" s="87"/>
    </row>
    <row r="79" spans="1:18" ht="105" customHeight="1">
      <c r="A79" s="16"/>
      <c r="B79" s="166"/>
      <c r="C79" s="167"/>
      <c r="D79" s="168"/>
      <c r="E79" s="169"/>
      <c r="F79" s="170"/>
      <c r="G79" s="84"/>
      <c r="H79" s="84"/>
      <c r="I79" s="85"/>
      <c r="J79" s="85"/>
      <c r="K79" s="86"/>
      <c r="O79" s="87"/>
      <c r="P79" s="87"/>
      <c r="R79" s="87"/>
    </row>
    <row r="80" spans="1:18" ht="105" customHeight="1">
      <c r="A80" s="16"/>
      <c r="B80" s="166"/>
      <c r="C80" s="167"/>
      <c r="D80" s="168"/>
      <c r="E80" s="169"/>
      <c r="F80" s="170"/>
      <c r="G80" s="84"/>
      <c r="H80" s="84"/>
      <c r="I80" s="85"/>
      <c r="J80" s="85"/>
      <c r="K80" s="86"/>
      <c r="O80" s="87"/>
      <c r="P80" s="87"/>
      <c r="R80" s="87"/>
    </row>
    <row r="81" spans="1:18" ht="105" customHeight="1">
      <c r="A81" s="16"/>
      <c r="B81" s="166"/>
      <c r="C81" s="167"/>
      <c r="D81" s="168"/>
      <c r="E81" s="169"/>
      <c r="F81" s="170"/>
      <c r="G81" s="84"/>
      <c r="H81" s="84"/>
      <c r="I81" s="85"/>
      <c r="J81" s="85"/>
      <c r="K81" s="86"/>
      <c r="O81" s="87"/>
      <c r="P81" s="87"/>
      <c r="R81" s="87"/>
    </row>
    <row r="82" spans="1:18" ht="105" customHeight="1">
      <c r="A82" s="16"/>
      <c r="B82" s="166"/>
      <c r="C82" s="167"/>
      <c r="D82" s="168"/>
      <c r="E82" s="169"/>
      <c r="F82" s="170"/>
      <c r="G82" s="84"/>
      <c r="H82" s="84"/>
      <c r="I82" s="85"/>
      <c r="J82" s="85"/>
      <c r="K82" s="86"/>
      <c r="O82" s="87"/>
      <c r="P82" s="87"/>
      <c r="R82" s="87"/>
    </row>
    <row r="83" spans="1:18" ht="105" customHeight="1">
      <c r="A83" s="16"/>
      <c r="B83" s="166"/>
      <c r="C83" s="167"/>
      <c r="D83" s="168"/>
      <c r="E83" s="169"/>
      <c r="F83" s="170"/>
      <c r="G83" s="84"/>
      <c r="H83" s="84"/>
      <c r="I83" s="85"/>
      <c r="J83" s="85"/>
      <c r="K83" s="86"/>
      <c r="O83" s="87"/>
      <c r="P83" s="87"/>
      <c r="R83" s="87"/>
    </row>
    <row r="84" spans="1:18" ht="105" customHeight="1">
      <c r="A84" s="16"/>
      <c r="B84" s="166"/>
      <c r="C84" s="167"/>
      <c r="D84" s="168"/>
      <c r="E84" s="169"/>
      <c r="F84" s="170"/>
      <c r="G84" s="84"/>
      <c r="H84" s="84"/>
      <c r="I84" s="85"/>
      <c r="J84" s="85"/>
      <c r="K84" s="86"/>
      <c r="O84" s="87"/>
      <c r="P84" s="87"/>
      <c r="R84" s="87"/>
    </row>
    <row r="85" spans="1:18" ht="105" customHeight="1">
      <c r="A85" s="16"/>
      <c r="B85" s="166"/>
      <c r="C85" s="167"/>
      <c r="D85" s="168"/>
      <c r="E85" s="169"/>
      <c r="F85" s="170"/>
      <c r="G85" s="84"/>
      <c r="H85" s="84"/>
      <c r="I85" s="85"/>
      <c r="J85" s="85"/>
      <c r="K85" s="86"/>
      <c r="O85" s="87"/>
      <c r="P85" s="87"/>
      <c r="R85" s="87"/>
    </row>
    <row r="86" spans="1:18" ht="105" customHeight="1">
      <c r="A86" s="16"/>
      <c r="B86" s="166"/>
      <c r="C86" s="167"/>
      <c r="D86" s="168"/>
      <c r="E86" s="169"/>
      <c r="F86" s="170"/>
      <c r="G86" s="84"/>
      <c r="H86" s="84"/>
      <c r="I86" s="85"/>
      <c r="J86" s="85"/>
      <c r="K86" s="86"/>
      <c r="O86" s="87"/>
      <c r="P86" s="87"/>
      <c r="R86" s="87"/>
    </row>
    <row r="87" spans="1:18" ht="105" customHeight="1">
      <c r="A87" s="16"/>
      <c r="B87" s="166"/>
      <c r="C87" s="167"/>
      <c r="D87" s="168"/>
      <c r="E87" s="169"/>
      <c r="F87" s="170"/>
      <c r="G87" s="84"/>
      <c r="H87" s="84"/>
      <c r="I87" s="85"/>
      <c r="J87" s="85"/>
      <c r="K87" s="86"/>
      <c r="O87" s="87"/>
      <c r="P87" s="87"/>
      <c r="R87" s="87"/>
    </row>
    <row r="88" spans="1:18" ht="105" customHeight="1">
      <c r="A88" s="16"/>
      <c r="B88" s="166"/>
      <c r="C88" s="167"/>
      <c r="D88" s="168"/>
      <c r="E88" s="169"/>
      <c r="F88" s="170"/>
      <c r="G88" s="84"/>
      <c r="H88" s="84"/>
      <c r="I88" s="85"/>
      <c r="J88" s="85"/>
      <c r="K88" s="86"/>
      <c r="O88" s="87"/>
      <c r="P88" s="87"/>
      <c r="R88" s="87"/>
    </row>
    <row r="89" spans="1:18" ht="105" customHeight="1">
      <c r="A89" s="16"/>
      <c r="B89" s="166"/>
      <c r="C89" s="167"/>
      <c r="D89" s="168"/>
      <c r="E89" s="169"/>
      <c r="F89" s="170"/>
      <c r="G89" s="84"/>
      <c r="H89" s="84"/>
      <c r="I89" s="85"/>
      <c r="J89" s="85"/>
      <c r="K89" s="86"/>
      <c r="O89" s="87"/>
      <c r="P89" s="87"/>
      <c r="R89" s="87"/>
    </row>
    <row r="90" spans="1:18" ht="105" customHeight="1">
      <c r="A90" s="16"/>
      <c r="B90" s="166"/>
      <c r="C90" s="167"/>
      <c r="D90" s="168"/>
      <c r="E90" s="169"/>
      <c r="F90" s="170"/>
      <c r="G90" s="84"/>
      <c r="H90" s="84"/>
      <c r="I90" s="85"/>
      <c r="J90" s="85"/>
      <c r="K90" s="86"/>
      <c r="O90" s="87"/>
      <c r="P90" s="87"/>
      <c r="R90" s="87"/>
    </row>
    <row r="91" spans="1:18" ht="105" customHeight="1">
      <c r="A91" s="16"/>
      <c r="B91" s="166"/>
      <c r="C91" s="167"/>
      <c r="D91" s="168"/>
      <c r="E91" s="169"/>
      <c r="F91" s="170"/>
      <c r="G91" s="84"/>
      <c r="H91" s="84"/>
      <c r="I91" s="85"/>
      <c r="J91" s="85"/>
      <c r="K91" s="86"/>
      <c r="O91" s="87"/>
      <c r="P91" s="87"/>
      <c r="R91" s="87"/>
    </row>
    <row r="92" spans="1:18" ht="105" customHeight="1">
      <c r="A92" s="16"/>
      <c r="B92" s="166"/>
      <c r="C92" s="167"/>
      <c r="D92" s="168"/>
      <c r="E92" s="169"/>
      <c r="F92" s="170"/>
      <c r="G92" s="84"/>
      <c r="H92" s="84"/>
      <c r="I92" s="85"/>
      <c r="J92" s="85"/>
      <c r="K92" s="86"/>
      <c r="O92" s="87"/>
      <c r="P92" s="87"/>
      <c r="R92" s="87"/>
    </row>
    <row r="93" spans="1:18" ht="105" customHeight="1">
      <c r="A93" s="16"/>
      <c r="B93" s="166"/>
      <c r="C93" s="167"/>
      <c r="D93" s="168"/>
      <c r="E93" s="169"/>
      <c r="F93" s="170"/>
      <c r="G93" s="84"/>
      <c r="H93" s="84"/>
      <c r="I93" s="85"/>
      <c r="J93" s="85"/>
      <c r="K93" s="86"/>
      <c r="O93" s="87"/>
      <c r="P93" s="87"/>
      <c r="R93" s="87"/>
    </row>
    <row r="94" spans="1:18" ht="105" customHeight="1">
      <c r="A94" s="16"/>
      <c r="B94" s="166"/>
      <c r="C94" s="167"/>
      <c r="D94" s="168"/>
      <c r="E94" s="169"/>
      <c r="F94" s="170"/>
      <c r="G94" s="84"/>
      <c r="H94" s="84"/>
      <c r="I94" s="85"/>
      <c r="J94" s="85"/>
      <c r="K94" s="86"/>
      <c r="O94" s="87"/>
      <c r="P94" s="87"/>
      <c r="R94" s="87"/>
    </row>
    <row r="95" spans="1:18" ht="105" customHeight="1">
      <c r="A95" s="16"/>
      <c r="B95" s="166"/>
      <c r="C95" s="167"/>
      <c r="D95" s="168"/>
      <c r="E95" s="169"/>
      <c r="F95" s="170"/>
      <c r="G95" s="84"/>
      <c r="H95" s="84"/>
      <c r="I95" s="85"/>
      <c r="J95" s="85"/>
      <c r="K95" s="86"/>
      <c r="O95" s="87"/>
      <c r="P95" s="87"/>
      <c r="R95" s="87"/>
    </row>
    <row r="96" spans="1:18" ht="105" customHeight="1">
      <c r="A96" s="16"/>
      <c r="B96" s="166"/>
      <c r="C96" s="167"/>
      <c r="D96" s="168"/>
      <c r="E96" s="169"/>
      <c r="F96" s="170"/>
      <c r="G96" s="84"/>
      <c r="H96" s="84"/>
      <c r="I96" s="85"/>
      <c r="J96" s="85"/>
      <c r="K96" s="86"/>
      <c r="O96" s="87"/>
      <c r="P96" s="87"/>
      <c r="R96" s="87"/>
    </row>
    <row r="97" spans="1:18" ht="105" customHeight="1">
      <c r="A97" s="16"/>
      <c r="B97" s="166"/>
      <c r="C97" s="167"/>
      <c r="D97" s="168"/>
      <c r="E97" s="169"/>
      <c r="F97" s="170"/>
      <c r="G97" s="84"/>
      <c r="H97" s="84"/>
      <c r="I97" s="85"/>
      <c r="J97" s="85"/>
      <c r="K97" s="86"/>
      <c r="O97" s="87"/>
      <c r="P97" s="87"/>
      <c r="R97" s="87"/>
    </row>
    <row r="98" spans="1:18" ht="105" customHeight="1">
      <c r="A98" s="16"/>
      <c r="B98" s="166"/>
      <c r="C98" s="167"/>
      <c r="D98" s="168"/>
      <c r="E98" s="169"/>
      <c r="F98" s="170"/>
      <c r="G98" s="84"/>
      <c r="H98" s="84"/>
      <c r="I98" s="85"/>
      <c r="J98" s="85"/>
      <c r="K98" s="86"/>
      <c r="O98" s="87"/>
      <c r="P98" s="87"/>
      <c r="R98" s="87"/>
    </row>
    <row r="99" spans="1:18" ht="105" customHeight="1">
      <c r="A99" s="16"/>
      <c r="B99" s="166"/>
      <c r="C99" s="167"/>
      <c r="D99" s="168"/>
      <c r="E99" s="169"/>
      <c r="F99" s="170"/>
      <c r="G99" s="84"/>
      <c r="H99" s="84"/>
      <c r="I99" s="85"/>
      <c r="J99" s="85"/>
      <c r="K99" s="86"/>
      <c r="O99" s="87"/>
      <c r="P99" s="87"/>
      <c r="R99" s="87"/>
    </row>
    <row r="100" spans="1:18" ht="105" customHeight="1">
      <c r="A100" s="16"/>
      <c r="B100" s="166"/>
      <c r="C100" s="167"/>
      <c r="D100" s="168"/>
      <c r="E100" s="169"/>
      <c r="F100" s="170"/>
      <c r="G100" s="84"/>
      <c r="H100" s="84"/>
      <c r="I100" s="85"/>
      <c r="J100" s="85"/>
      <c r="K100" s="86"/>
      <c r="O100" s="87"/>
      <c r="P100" s="87"/>
      <c r="R100" s="87"/>
    </row>
    <row r="101" spans="1:18" ht="105" customHeight="1">
      <c r="A101" s="16"/>
      <c r="B101" s="166"/>
      <c r="C101" s="167"/>
      <c r="D101" s="168"/>
      <c r="E101" s="169"/>
      <c r="F101" s="170"/>
      <c r="G101" s="84"/>
      <c r="H101" s="84"/>
      <c r="I101" s="85"/>
      <c r="J101" s="85"/>
      <c r="K101" s="86"/>
      <c r="O101" s="87"/>
      <c r="P101" s="87"/>
      <c r="R101" s="87"/>
    </row>
    <row r="102" spans="1:18" ht="105" customHeight="1">
      <c r="A102" s="16"/>
      <c r="B102" s="166"/>
      <c r="C102" s="167"/>
      <c r="D102" s="168"/>
      <c r="E102" s="169"/>
      <c r="F102" s="170"/>
      <c r="G102" s="84"/>
      <c r="H102" s="84"/>
      <c r="I102" s="85"/>
      <c r="J102" s="85"/>
      <c r="K102" s="86"/>
      <c r="O102" s="87"/>
      <c r="P102" s="87"/>
      <c r="R102" s="87"/>
    </row>
    <row r="103" spans="1:18" ht="105" customHeight="1">
      <c r="A103" s="16"/>
      <c r="B103" s="166"/>
      <c r="C103" s="167"/>
      <c r="D103" s="168"/>
      <c r="E103" s="169"/>
      <c r="F103" s="170"/>
      <c r="G103" s="84"/>
      <c r="H103" s="84"/>
      <c r="I103" s="85"/>
      <c r="J103" s="85"/>
      <c r="K103" s="86"/>
      <c r="O103" s="87"/>
      <c r="P103" s="87"/>
      <c r="R103" s="87"/>
    </row>
    <row r="104" spans="1:18" ht="105" customHeight="1">
      <c r="A104" s="16"/>
      <c r="B104" s="166"/>
      <c r="C104" s="167"/>
      <c r="D104" s="168"/>
      <c r="E104" s="169"/>
      <c r="F104" s="170"/>
      <c r="G104" s="84"/>
      <c r="H104" s="84"/>
      <c r="I104" s="85"/>
      <c r="J104" s="85"/>
      <c r="K104" s="86"/>
      <c r="O104" s="87"/>
      <c r="P104" s="87"/>
      <c r="R104" s="87"/>
    </row>
    <row r="105" spans="1:18" ht="105" customHeight="1">
      <c r="A105" s="16"/>
      <c r="B105" s="166"/>
      <c r="C105" s="167"/>
      <c r="D105" s="168"/>
      <c r="E105" s="169"/>
      <c r="F105" s="170"/>
      <c r="G105" s="84"/>
      <c r="H105" s="84"/>
      <c r="I105" s="85"/>
      <c r="J105" s="85"/>
      <c r="K105" s="86"/>
      <c r="O105" s="87"/>
      <c r="P105" s="87"/>
      <c r="R105" s="87"/>
    </row>
    <row r="106" spans="1:18" ht="105" customHeight="1">
      <c r="A106" s="16"/>
      <c r="B106" s="166"/>
      <c r="C106" s="167"/>
      <c r="D106" s="168"/>
      <c r="E106" s="169"/>
      <c r="F106" s="170"/>
      <c r="G106" s="84"/>
      <c r="H106" s="84"/>
      <c r="I106" s="85"/>
      <c r="J106" s="85"/>
      <c r="K106" s="86"/>
      <c r="O106" s="87"/>
      <c r="P106" s="87"/>
      <c r="R106" s="87"/>
    </row>
    <row r="107" spans="1:18" ht="105" customHeight="1">
      <c r="A107" s="16"/>
      <c r="B107" s="166"/>
      <c r="C107" s="167"/>
      <c r="D107" s="168"/>
      <c r="E107" s="169"/>
      <c r="F107" s="170"/>
      <c r="G107" s="84"/>
      <c r="H107" s="84"/>
      <c r="I107" s="85"/>
      <c r="J107" s="85"/>
      <c r="K107" s="86"/>
      <c r="O107" s="87"/>
      <c r="P107" s="87"/>
      <c r="R107" s="87"/>
    </row>
    <row r="108" spans="1:18" ht="105" customHeight="1">
      <c r="A108" s="16"/>
      <c r="B108" s="166"/>
      <c r="C108" s="167"/>
      <c r="D108" s="168"/>
      <c r="E108" s="169"/>
      <c r="F108" s="170"/>
      <c r="G108" s="84"/>
      <c r="H108" s="84"/>
      <c r="I108" s="85"/>
      <c r="J108" s="85"/>
      <c r="K108" s="86"/>
      <c r="O108" s="87"/>
      <c r="P108" s="87"/>
      <c r="R108" s="87"/>
    </row>
    <row r="109" spans="1:18" ht="105" customHeight="1">
      <c r="A109" s="16"/>
      <c r="B109" s="166"/>
      <c r="C109" s="167"/>
      <c r="D109" s="168"/>
      <c r="E109" s="169"/>
      <c r="F109" s="170"/>
      <c r="G109" s="84"/>
      <c r="H109" s="84"/>
      <c r="I109" s="85"/>
      <c r="J109" s="85"/>
      <c r="K109" s="86"/>
      <c r="O109" s="87"/>
      <c r="P109" s="87"/>
      <c r="R109" s="87"/>
    </row>
    <row r="110" spans="1:18" ht="105" customHeight="1">
      <c r="A110" s="16"/>
      <c r="B110" s="166"/>
      <c r="C110" s="167"/>
      <c r="D110" s="168"/>
      <c r="E110" s="169"/>
      <c r="F110" s="170"/>
      <c r="G110" s="84"/>
      <c r="H110" s="84"/>
      <c r="I110" s="85"/>
      <c r="J110" s="85"/>
      <c r="K110" s="86"/>
      <c r="O110" s="87"/>
      <c r="P110" s="87"/>
      <c r="R110" s="87"/>
    </row>
    <row r="111" spans="1:18" ht="105" customHeight="1">
      <c r="A111" s="16"/>
      <c r="B111" s="166"/>
      <c r="C111" s="167"/>
      <c r="D111" s="168"/>
      <c r="E111" s="169"/>
      <c r="F111" s="170"/>
      <c r="G111" s="84"/>
      <c r="H111" s="84"/>
      <c r="I111" s="85"/>
      <c r="J111" s="85"/>
      <c r="K111" s="86"/>
      <c r="O111" s="87"/>
      <c r="P111" s="87"/>
      <c r="R111" s="87"/>
    </row>
    <row r="112" spans="1:18" ht="105" customHeight="1">
      <c r="A112" s="16"/>
      <c r="B112" s="166"/>
      <c r="C112" s="167"/>
      <c r="D112" s="168"/>
      <c r="E112" s="169"/>
      <c r="F112" s="170"/>
      <c r="G112" s="84"/>
      <c r="H112" s="84"/>
      <c r="I112" s="85"/>
      <c r="J112" s="85"/>
      <c r="K112" s="86"/>
      <c r="O112" s="87"/>
      <c r="P112" s="87"/>
      <c r="R112" s="87"/>
    </row>
    <row r="113" spans="1:18" ht="105" customHeight="1">
      <c r="A113" s="16"/>
      <c r="B113" s="166"/>
      <c r="C113" s="167"/>
      <c r="D113" s="168"/>
      <c r="E113" s="169"/>
      <c r="F113" s="170"/>
      <c r="G113" s="84"/>
      <c r="H113" s="84"/>
      <c r="I113" s="85"/>
      <c r="J113" s="85"/>
      <c r="K113" s="86"/>
      <c r="O113" s="87"/>
      <c r="P113" s="87"/>
      <c r="R113" s="87"/>
    </row>
    <row r="114" spans="1:18" ht="105" customHeight="1">
      <c r="A114" s="16"/>
      <c r="B114" s="166"/>
      <c r="C114" s="167"/>
      <c r="D114" s="168"/>
      <c r="E114" s="169"/>
      <c r="F114" s="170"/>
      <c r="G114" s="84"/>
      <c r="H114" s="84"/>
      <c r="I114" s="85"/>
      <c r="J114" s="85"/>
      <c r="K114" s="86"/>
      <c r="O114" s="87"/>
      <c r="P114" s="87"/>
      <c r="R114" s="87"/>
    </row>
    <row r="115" spans="1:18" ht="105" customHeight="1">
      <c r="A115" s="16"/>
      <c r="B115" s="166"/>
      <c r="C115" s="167"/>
      <c r="D115" s="168"/>
      <c r="E115" s="169"/>
      <c r="F115" s="170"/>
      <c r="G115" s="84"/>
      <c r="H115" s="84"/>
      <c r="I115" s="85"/>
      <c r="J115" s="85"/>
      <c r="K115" s="86"/>
      <c r="O115" s="87"/>
      <c r="P115" s="87"/>
      <c r="R115" s="87"/>
    </row>
    <row r="116" spans="1:18" ht="105" customHeight="1">
      <c r="A116" s="16"/>
      <c r="B116" s="166"/>
      <c r="C116" s="167"/>
      <c r="D116" s="168"/>
      <c r="E116" s="169"/>
      <c r="F116" s="170"/>
      <c r="G116" s="84"/>
      <c r="H116" s="84"/>
      <c r="I116" s="85"/>
      <c r="J116" s="85"/>
      <c r="K116" s="86"/>
      <c r="O116" s="87"/>
      <c r="P116" s="87"/>
      <c r="R116" s="87"/>
    </row>
    <row r="117" spans="1:18" ht="105" customHeight="1">
      <c r="A117" s="16"/>
      <c r="B117" s="166"/>
      <c r="C117" s="167"/>
      <c r="D117" s="168"/>
      <c r="E117" s="169"/>
      <c r="F117" s="170"/>
      <c r="G117" s="84"/>
      <c r="H117" s="84"/>
      <c r="I117" s="85"/>
      <c r="J117" s="85"/>
      <c r="K117" s="86"/>
      <c r="O117" s="87"/>
      <c r="P117" s="87"/>
      <c r="R117" s="87"/>
    </row>
    <row r="118" spans="1:18" ht="105" customHeight="1">
      <c r="A118" s="16"/>
      <c r="B118" s="166"/>
      <c r="C118" s="167"/>
      <c r="D118" s="168"/>
      <c r="E118" s="169"/>
      <c r="F118" s="170"/>
      <c r="G118" s="84"/>
      <c r="H118" s="84"/>
      <c r="I118" s="85"/>
      <c r="J118" s="85"/>
      <c r="K118" s="86"/>
      <c r="O118" s="87"/>
      <c r="P118" s="87"/>
      <c r="R118" s="87"/>
    </row>
    <row r="119" spans="1:18" ht="105" customHeight="1">
      <c r="A119" s="16"/>
      <c r="B119" s="166"/>
      <c r="C119" s="167"/>
      <c r="D119" s="168"/>
      <c r="E119" s="169"/>
      <c r="F119" s="170"/>
      <c r="G119" s="84"/>
      <c r="H119" s="84"/>
      <c r="I119" s="85"/>
      <c r="J119" s="85"/>
      <c r="K119" s="86"/>
      <c r="O119" s="87"/>
      <c r="P119" s="87"/>
      <c r="R119" s="87"/>
    </row>
  </sheetData>
  <mergeCells count="238">
    <mergeCell ref="J1:K1"/>
    <mergeCell ref="J2:K2"/>
    <mergeCell ref="B7:C7"/>
    <mergeCell ref="D7:F7"/>
    <mergeCell ref="G4:G5"/>
    <mergeCell ref="H4:H5"/>
    <mergeCell ref="I4:I5"/>
    <mergeCell ref="J4:J5"/>
    <mergeCell ref="K4:K5"/>
    <mergeCell ref="B6:C6"/>
    <mergeCell ref="D6:F6"/>
    <mergeCell ref="A4:A5"/>
    <mergeCell ref="B4:C5"/>
    <mergeCell ref="D4:F5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  <mergeCell ref="B18:C18"/>
    <mergeCell ref="D18:F18"/>
    <mergeCell ref="B19:C19"/>
    <mergeCell ref="D19:F19"/>
    <mergeCell ref="B20:C20"/>
    <mergeCell ref="D20:F20"/>
    <mergeCell ref="B21:C21"/>
    <mergeCell ref="D21:F21"/>
    <mergeCell ref="B22:C22"/>
    <mergeCell ref="D22:F22"/>
    <mergeCell ref="B23:C23"/>
    <mergeCell ref="D23:F23"/>
    <mergeCell ref="B24:C24"/>
    <mergeCell ref="D24:F24"/>
    <mergeCell ref="B25:C25"/>
    <mergeCell ref="D25:F25"/>
    <mergeCell ref="B26:C26"/>
    <mergeCell ref="D26:F26"/>
    <mergeCell ref="B27:C27"/>
    <mergeCell ref="D27:F27"/>
    <mergeCell ref="B28:C28"/>
    <mergeCell ref="D28:F28"/>
    <mergeCell ref="B29:C29"/>
    <mergeCell ref="D29:F29"/>
    <mergeCell ref="B30:C30"/>
    <mergeCell ref="D30:F30"/>
    <mergeCell ref="B31:C31"/>
    <mergeCell ref="D31:F31"/>
    <mergeCell ref="B32:C32"/>
    <mergeCell ref="D32:F32"/>
    <mergeCell ref="B33:C33"/>
    <mergeCell ref="D33:F33"/>
    <mergeCell ref="B34:C34"/>
    <mergeCell ref="D34:F34"/>
    <mergeCell ref="B35:C35"/>
    <mergeCell ref="D35:F35"/>
    <mergeCell ref="B36:C36"/>
    <mergeCell ref="D36:F36"/>
    <mergeCell ref="B37:C37"/>
    <mergeCell ref="D37:F37"/>
    <mergeCell ref="B38:C38"/>
    <mergeCell ref="D38:F38"/>
    <mergeCell ref="B39:C39"/>
    <mergeCell ref="D39:F39"/>
    <mergeCell ref="B40:C40"/>
    <mergeCell ref="D40:F40"/>
    <mergeCell ref="B41:C41"/>
    <mergeCell ref="D41:F41"/>
    <mergeCell ref="B42:C42"/>
    <mergeCell ref="D42:F42"/>
    <mergeCell ref="B43:C43"/>
    <mergeCell ref="D43:F43"/>
    <mergeCell ref="B44:C44"/>
    <mergeCell ref="D44:F44"/>
    <mergeCell ref="B45:C45"/>
    <mergeCell ref="D45:F45"/>
    <mergeCell ref="B46:C46"/>
    <mergeCell ref="D46:F46"/>
    <mergeCell ref="B47:C47"/>
    <mergeCell ref="D47:F47"/>
    <mergeCell ref="B48:C48"/>
    <mergeCell ref="D48:F48"/>
    <mergeCell ref="B49:C49"/>
    <mergeCell ref="D49:F49"/>
    <mergeCell ref="B50:C50"/>
    <mergeCell ref="D50:F50"/>
    <mergeCell ref="B51:C51"/>
    <mergeCell ref="D51:F51"/>
    <mergeCell ref="B52:C52"/>
    <mergeCell ref="D52:F52"/>
    <mergeCell ref="B53:C53"/>
    <mergeCell ref="D53:F53"/>
    <mergeCell ref="B54:C54"/>
    <mergeCell ref="D54:F54"/>
    <mergeCell ref="B55:C55"/>
    <mergeCell ref="D55:F55"/>
    <mergeCell ref="B56:C56"/>
    <mergeCell ref="D56:F56"/>
    <mergeCell ref="B57:C57"/>
    <mergeCell ref="D57:F57"/>
    <mergeCell ref="B58:C58"/>
    <mergeCell ref="D58:F58"/>
    <mergeCell ref="B59:C59"/>
    <mergeCell ref="D59:F59"/>
    <mergeCell ref="B60:C60"/>
    <mergeCell ref="D60:F60"/>
    <mergeCell ref="B61:C61"/>
    <mergeCell ref="D61:F61"/>
    <mergeCell ref="B62:C62"/>
    <mergeCell ref="D62:F62"/>
    <mergeCell ref="B63:C63"/>
    <mergeCell ref="D63:F63"/>
    <mergeCell ref="B64:C64"/>
    <mergeCell ref="D64:F64"/>
    <mergeCell ref="B65:C65"/>
    <mergeCell ref="D65:F65"/>
    <mergeCell ref="B66:C66"/>
    <mergeCell ref="D66:F66"/>
    <mergeCell ref="B67:C67"/>
    <mergeCell ref="D67:F67"/>
    <mergeCell ref="B68:C68"/>
    <mergeCell ref="D68:F68"/>
    <mergeCell ref="B69:C69"/>
    <mergeCell ref="D69:F69"/>
    <mergeCell ref="B70:C70"/>
    <mergeCell ref="D70:F70"/>
    <mergeCell ref="B71:C71"/>
    <mergeCell ref="D71:F71"/>
    <mergeCell ref="B72:C72"/>
    <mergeCell ref="D72:F72"/>
    <mergeCell ref="B73:C73"/>
    <mergeCell ref="D73:F73"/>
    <mergeCell ref="B74:C74"/>
    <mergeCell ref="D74:F74"/>
    <mergeCell ref="B75:C75"/>
    <mergeCell ref="D75:F75"/>
    <mergeCell ref="B76:C76"/>
    <mergeCell ref="D76:F76"/>
    <mergeCell ref="B77:C77"/>
    <mergeCell ref="D77:F77"/>
    <mergeCell ref="B78:C78"/>
    <mergeCell ref="D78:F78"/>
    <mergeCell ref="B79:C79"/>
    <mergeCell ref="D79:F79"/>
    <mergeCell ref="B80:C80"/>
    <mergeCell ref="D80:F80"/>
    <mergeCell ref="B81:C81"/>
    <mergeCell ref="D81:F81"/>
    <mergeCell ref="B82:C82"/>
    <mergeCell ref="D82:F82"/>
    <mergeCell ref="B83:C83"/>
    <mergeCell ref="D83:F83"/>
    <mergeCell ref="B84:C84"/>
    <mergeCell ref="D84:F84"/>
    <mergeCell ref="B85:C85"/>
    <mergeCell ref="D85:F85"/>
    <mergeCell ref="B86:C86"/>
    <mergeCell ref="D86:F86"/>
    <mergeCell ref="B87:C87"/>
    <mergeCell ref="D87:F87"/>
    <mergeCell ref="B88:C88"/>
    <mergeCell ref="D88:F88"/>
    <mergeCell ref="B89:C89"/>
    <mergeCell ref="D89:F89"/>
    <mergeCell ref="B90:C90"/>
    <mergeCell ref="D90:F90"/>
    <mergeCell ref="B91:C91"/>
    <mergeCell ref="D91:F91"/>
    <mergeCell ref="B92:C92"/>
    <mergeCell ref="D92:F92"/>
    <mergeCell ref="B93:C93"/>
    <mergeCell ref="D93:F93"/>
    <mergeCell ref="B94:C94"/>
    <mergeCell ref="D94:F94"/>
    <mergeCell ref="B95:C95"/>
    <mergeCell ref="D95:F95"/>
    <mergeCell ref="B96:C96"/>
    <mergeCell ref="D96:F96"/>
    <mergeCell ref="B97:C97"/>
    <mergeCell ref="D97:F97"/>
    <mergeCell ref="B98:C98"/>
    <mergeCell ref="D98:F98"/>
    <mergeCell ref="B99:C99"/>
    <mergeCell ref="D99:F99"/>
    <mergeCell ref="B100:C100"/>
    <mergeCell ref="D100:F100"/>
    <mergeCell ref="B101:C101"/>
    <mergeCell ref="D101:F101"/>
    <mergeCell ref="B102:C102"/>
    <mergeCell ref="D102:F102"/>
    <mergeCell ref="B103:C103"/>
    <mergeCell ref="D103:F103"/>
    <mergeCell ref="B104:C104"/>
    <mergeCell ref="D104:F104"/>
    <mergeCell ref="B105:C105"/>
    <mergeCell ref="D105:F105"/>
    <mergeCell ref="B106:C106"/>
    <mergeCell ref="D106:F106"/>
    <mergeCell ref="B107:C107"/>
    <mergeCell ref="D107:F107"/>
    <mergeCell ref="B108:C108"/>
    <mergeCell ref="D108:F108"/>
    <mergeCell ref="B109:C109"/>
    <mergeCell ref="D109:F109"/>
    <mergeCell ref="B110:C110"/>
    <mergeCell ref="D110:F110"/>
    <mergeCell ref="B111:C111"/>
    <mergeCell ref="D111:F111"/>
    <mergeCell ref="B112:C112"/>
    <mergeCell ref="D112:F112"/>
    <mergeCell ref="B118:C118"/>
    <mergeCell ref="D118:F118"/>
    <mergeCell ref="B119:C119"/>
    <mergeCell ref="D119:F119"/>
    <mergeCell ref="B113:C113"/>
    <mergeCell ref="D113:F113"/>
    <mergeCell ref="B114:C114"/>
    <mergeCell ref="D114:F114"/>
    <mergeCell ref="B115:C115"/>
    <mergeCell ref="D115:F115"/>
    <mergeCell ref="B116:C116"/>
    <mergeCell ref="D116:F116"/>
    <mergeCell ref="B117:C117"/>
    <mergeCell ref="D117:F117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topLeftCell="A7" zoomScale="130" zoomScaleNormal="100" zoomScaleSheetLayoutView="130" workbookViewId="0">
      <selection activeCell="K11" sqref="K11:M11"/>
    </sheetView>
  </sheetViews>
  <sheetFormatPr defaultColWidth="9.140625" defaultRowHeight="12.75"/>
  <cols>
    <col min="1" max="1" width="1.5703125" style="21" customWidth="1"/>
    <col min="2" max="2" width="4.28515625" style="21" customWidth="1"/>
    <col min="3" max="3" width="9.140625" style="21" customWidth="1"/>
    <col min="4" max="4" width="12.42578125" style="21" bestFit="1" customWidth="1"/>
    <col min="5" max="5" width="2.5703125" style="21" customWidth="1"/>
    <col min="6" max="6" width="14" style="21" customWidth="1"/>
    <col min="7" max="7" width="6.5703125" style="21" customWidth="1"/>
    <col min="8" max="10" width="9.140625" style="21"/>
    <col min="11" max="11" width="9.42578125" style="21" bestFit="1" customWidth="1"/>
    <col min="12" max="13" width="9.140625" style="21"/>
    <col min="14" max="14" width="1.5703125" style="21" customWidth="1"/>
    <col min="15" max="16384" width="9.140625" style="21"/>
  </cols>
  <sheetData>
    <row r="2" spans="2:13" s="17" customFormat="1" ht="13.5">
      <c r="M2" s="18" t="s">
        <v>99</v>
      </c>
    </row>
    <row r="3" spans="2:13" s="17" customFormat="1">
      <c r="M3" s="19" t="s">
        <v>17</v>
      </c>
    </row>
    <row r="4" spans="2:13" s="17" customFormat="1">
      <c r="M4" s="19" t="s">
        <v>18</v>
      </c>
    </row>
    <row r="5" spans="2:13" s="17" customFormat="1">
      <c r="B5" s="20" t="s">
        <v>19</v>
      </c>
      <c r="M5" s="19" t="s">
        <v>20</v>
      </c>
    </row>
    <row r="6" spans="2:13" s="17" customFormat="1">
      <c r="M6" s="19" t="s">
        <v>21</v>
      </c>
    </row>
    <row r="7" spans="2:13">
      <c r="M7" s="22"/>
    </row>
    <row r="8" spans="2:13">
      <c r="M8" s="22"/>
    </row>
    <row r="9" spans="2:13" s="66" customFormat="1" ht="13.5">
      <c r="B9" s="64" t="s">
        <v>22</v>
      </c>
      <c r="C9" s="65" t="s">
        <v>89</v>
      </c>
      <c r="D9" s="33"/>
      <c r="E9" s="33"/>
    </row>
    <row r="10" spans="2:13" s="33" customFormat="1">
      <c r="B10" s="64"/>
      <c r="C10" s="33" t="s">
        <v>23</v>
      </c>
      <c r="D10" s="68" t="s">
        <v>90</v>
      </c>
      <c r="J10" s="33" t="s">
        <v>24</v>
      </c>
      <c r="K10" s="174">
        <f>MRS!L3</f>
        <v>46321</v>
      </c>
      <c r="L10" s="175"/>
      <c r="M10" s="175"/>
    </row>
    <row r="11" spans="2:13" s="33" customFormat="1">
      <c r="B11" s="64"/>
      <c r="C11" s="67" t="s">
        <v>25</v>
      </c>
      <c r="D11" s="68" t="s">
        <v>91</v>
      </c>
      <c r="J11" s="33" t="s">
        <v>26</v>
      </c>
      <c r="K11" s="176" t="str">
        <f>SUBSTITUTE(SUBSTITUTE(+MRS!A3,"  MRS No : ",""),"-MRS","-PO")</f>
        <v>SAC2-DS-PO-0520</v>
      </c>
      <c r="L11" s="176"/>
      <c r="M11" s="176"/>
    </row>
    <row r="12" spans="2:13" s="33" customFormat="1">
      <c r="B12" s="64"/>
      <c r="C12" s="67" t="s">
        <v>27</v>
      </c>
      <c r="D12" s="33" t="s">
        <v>92</v>
      </c>
      <c r="J12" s="33" t="s">
        <v>28</v>
      </c>
    </row>
    <row r="13" spans="2:13" s="33" customFormat="1">
      <c r="B13" s="64"/>
      <c r="C13" s="69"/>
      <c r="D13" s="68" t="s">
        <v>93</v>
      </c>
      <c r="J13" s="33" t="s">
        <v>29</v>
      </c>
    </row>
    <row r="14" spans="2:13" s="33" customFormat="1">
      <c r="B14" s="64"/>
      <c r="C14" s="95" t="s">
        <v>98</v>
      </c>
      <c r="J14" s="33" t="s">
        <v>30</v>
      </c>
      <c r="K14" s="33" t="s">
        <v>132</v>
      </c>
    </row>
    <row r="15" spans="2:13" s="33" customFormat="1">
      <c r="B15" s="64"/>
      <c r="C15" s="67" t="s">
        <v>94</v>
      </c>
      <c r="J15" s="33" t="s">
        <v>31</v>
      </c>
      <c r="K15" s="70">
        <v>46321</v>
      </c>
    </row>
    <row r="16" spans="2:13" s="33" customFormat="1">
      <c r="C16" s="69"/>
      <c r="K16" s="70"/>
    </row>
    <row r="17" spans="2:13" ht="6" customHeight="1">
      <c r="C17" s="24"/>
      <c r="K17" s="25"/>
    </row>
    <row r="18" spans="2:13" ht="20.25">
      <c r="B18" s="177" t="s">
        <v>32</v>
      </c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</row>
    <row r="19" spans="2:13" ht="12" customHeight="1"/>
    <row r="20" spans="2:13" s="26" customFormat="1" ht="12" customHeight="1">
      <c r="B20" s="178" t="s">
        <v>33</v>
      </c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s="178"/>
    </row>
    <row r="21" spans="2:13" s="26" customFormat="1" ht="12" customHeight="1">
      <c r="B21" s="178" t="s">
        <v>34</v>
      </c>
      <c r="C21" s="178"/>
      <c r="D21" s="178"/>
      <c r="E21" s="178"/>
      <c r="F21" s="178"/>
      <c r="G21" s="178"/>
      <c r="H21" s="178"/>
      <c r="I21" s="178"/>
      <c r="J21" s="178"/>
      <c r="K21" s="178"/>
      <c r="L21" s="178"/>
      <c r="M21" s="178"/>
    </row>
    <row r="22" spans="2:13" s="26" customFormat="1" ht="12" customHeight="1">
      <c r="B22" s="178" t="s">
        <v>35</v>
      </c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78"/>
    </row>
    <row r="23" spans="2:13" ht="3.75" customHeight="1"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</row>
    <row r="24" spans="2:13" ht="6.95" customHeight="1">
      <c r="B24" s="180"/>
      <c r="C24" s="180"/>
      <c r="D24" s="180"/>
      <c r="E24" s="180"/>
      <c r="F24" s="180"/>
      <c r="G24" s="180"/>
      <c r="H24" s="180"/>
      <c r="I24" s="180"/>
      <c r="J24" s="180"/>
      <c r="K24" s="180"/>
      <c r="L24" s="180"/>
      <c r="M24" s="180"/>
    </row>
    <row r="25" spans="2:13" s="27" customFormat="1" ht="15" customHeight="1">
      <c r="B25" s="27">
        <v>1</v>
      </c>
      <c r="C25" s="27" t="s">
        <v>36</v>
      </c>
    </row>
    <row r="26" spans="2:13" s="33" customFormat="1" ht="15" customHeight="1">
      <c r="B26" s="65"/>
      <c r="C26" s="68" t="s">
        <v>131</v>
      </c>
      <c r="M26" s="71" t="s">
        <v>37</v>
      </c>
    </row>
    <row r="27" spans="2:13" ht="11.1" customHeight="1">
      <c r="B27" s="27"/>
    </row>
    <row r="28" spans="2:13" ht="15" customHeight="1">
      <c r="B28" s="27">
        <v>2</v>
      </c>
      <c r="C28" s="27" t="s">
        <v>38</v>
      </c>
    </row>
    <row r="29" spans="2:13" ht="15" customHeight="1">
      <c r="B29" s="27"/>
      <c r="C29" s="21" t="s">
        <v>39</v>
      </c>
      <c r="E29" s="21" t="s">
        <v>40</v>
      </c>
      <c r="F29" s="96">
        <f>'PO 2nd page'!G8</f>
        <v>51175</v>
      </c>
      <c r="G29" s="91"/>
      <c r="H29" s="91"/>
      <c r="M29" s="28"/>
    </row>
    <row r="30" spans="2:13" ht="15" customHeight="1">
      <c r="B30" s="27"/>
      <c r="C30" s="21" t="s">
        <v>41</v>
      </c>
      <c r="E30" s="21" t="s">
        <v>40</v>
      </c>
      <c r="F30" s="96">
        <f>'PO 2nd page'!G9</f>
        <v>7676.25</v>
      </c>
      <c r="G30" s="91"/>
      <c r="H30" s="91"/>
    </row>
    <row r="31" spans="2:13" ht="15" customHeight="1">
      <c r="B31" s="27"/>
      <c r="C31" s="21" t="s">
        <v>42</v>
      </c>
      <c r="D31" s="29"/>
      <c r="E31" s="21" t="s">
        <v>40</v>
      </c>
      <c r="F31" s="96">
        <f>'PO 2nd page'!G10</f>
        <v>58851.25</v>
      </c>
      <c r="G31" s="91"/>
      <c r="H31" s="91"/>
    </row>
    <row r="32" spans="2:13" ht="11.1" customHeight="1">
      <c r="B32" s="27"/>
    </row>
    <row r="33" spans="2:13" ht="15" customHeight="1">
      <c r="B33" s="27">
        <v>3</v>
      </c>
      <c r="C33" s="27" t="s">
        <v>43</v>
      </c>
    </row>
    <row r="34" spans="2:13" ht="12" customHeight="1">
      <c r="B34" s="27"/>
      <c r="C34" s="17" t="s">
        <v>44</v>
      </c>
    </row>
    <row r="35" spans="2:13" ht="12" customHeight="1">
      <c r="B35" s="27"/>
      <c r="C35" s="17" t="s">
        <v>45</v>
      </c>
    </row>
    <row r="36" spans="2:13" ht="12" customHeight="1">
      <c r="B36" s="27"/>
      <c r="C36" s="17" t="s">
        <v>46</v>
      </c>
    </row>
    <row r="37" spans="2:13" ht="6" customHeight="1">
      <c r="B37" s="27"/>
    </row>
    <row r="38" spans="2:13" ht="15" customHeight="1">
      <c r="B38" s="27">
        <v>4</v>
      </c>
      <c r="C38" s="27" t="s">
        <v>47</v>
      </c>
    </row>
    <row r="39" spans="2:13" ht="12" customHeight="1">
      <c r="B39" s="27"/>
      <c r="C39" s="21" t="s">
        <v>48</v>
      </c>
    </row>
    <row r="40" spans="2:13" ht="6" customHeight="1">
      <c r="B40" s="27"/>
    </row>
    <row r="41" spans="2:13" ht="15" customHeight="1">
      <c r="B41" s="27">
        <v>5</v>
      </c>
      <c r="C41" s="27" t="s">
        <v>49</v>
      </c>
    </row>
    <row r="42" spans="2:13" ht="12" customHeight="1">
      <c r="B42" s="27"/>
      <c r="C42" s="30" t="s">
        <v>50</v>
      </c>
      <c r="D42" s="31"/>
      <c r="E42" s="32"/>
      <c r="F42" s="32"/>
      <c r="G42" s="32"/>
      <c r="H42" s="32"/>
      <c r="I42" s="32"/>
      <c r="J42" s="32"/>
      <c r="K42" s="32"/>
      <c r="L42" s="32"/>
      <c r="M42" s="32"/>
    </row>
    <row r="43" spans="2:13" ht="12" customHeight="1">
      <c r="B43" s="27"/>
      <c r="C43" s="30" t="s">
        <v>51</v>
      </c>
      <c r="D43" s="31"/>
      <c r="E43" s="32"/>
      <c r="F43" s="32"/>
      <c r="G43" s="32"/>
      <c r="H43" s="32"/>
      <c r="I43" s="32"/>
      <c r="J43" s="32"/>
      <c r="K43" s="32"/>
      <c r="L43" s="32"/>
      <c r="M43" s="32"/>
    </row>
    <row r="44" spans="2:13" ht="12" customHeight="1">
      <c r="B44" s="27"/>
      <c r="C44" s="30" t="s">
        <v>52</v>
      </c>
      <c r="D44" s="31"/>
      <c r="E44" s="32"/>
      <c r="F44" s="32"/>
      <c r="G44" s="32"/>
      <c r="H44" s="32"/>
      <c r="I44" s="32"/>
      <c r="J44" s="32"/>
      <c r="K44" s="32"/>
      <c r="L44" s="32"/>
      <c r="M44" s="32"/>
    </row>
    <row r="45" spans="2:13" ht="12" customHeight="1">
      <c r="B45" s="27"/>
      <c r="C45" s="30" t="s">
        <v>53</v>
      </c>
      <c r="D45" s="31"/>
      <c r="E45" s="32"/>
      <c r="F45" s="32"/>
      <c r="G45" s="32"/>
      <c r="H45" s="32"/>
      <c r="I45" s="32"/>
      <c r="J45" s="32"/>
      <c r="K45" s="32"/>
      <c r="L45" s="32"/>
      <c r="M45" s="32"/>
    </row>
    <row r="46" spans="2:13" ht="12" customHeight="1">
      <c r="B46" s="27"/>
      <c r="C46" s="33" t="s">
        <v>54</v>
      </c>
      <c r="D46" s="34"/>
      <c r="E46" s="35"/>
      <c r="F46" s="35"/>
      <c r="G46" s="35"/>
      <c r="H46" s="35"/>
      <c r="I46" s="35"/>
      <c r="J46" s="35"/>
      <c r="K46" s="35"/>
      <c r="L46" s="35"/>
      <c r="M46" s="35"/>
    </row>
    <row r="47" spans="2:13" ht="6" customHeight="1">
      <c r="B47" s="27"/>
    </row>
    <row r="48" spans="2:13" ht="15" customHeight="1">
      <c r="B48" s="27">
        <v>6</v>
      </c>
      <c r="C48" s="27" t="s">
        <v>55</v>
      </c>
    </row>
    <row r="49" spans="2:16" s="33" customFormat="1" ht="12" customHeight="1">
      <c r="B49" s="72" t="s">
        <v>56</v>
      </c>
      <c r="C49" s="73" t="s">
        <v>87</v>
      </c>
      <c r="P49" s="74"/>
    </row>
    <row r="50" spans="2:16" s="75" customFormat="1" ht="12" customHeight="1">
      <c r="B50" s="76" t="s">
        <v>56</v>
      </c>
      <c r="C50" s="73" t="s">
        <v>82</v>
      </c>
    </row>
    <row r="51" spans="2:16" s="75" customFormat="1" ht="12" customHeight="1">
      <c r="B51" s="76" t="s">
        <v>56</v>
      </c>
      <c r="C51" s="73" t="s">
        <v>81</v>
      </c>
    </row>
    <row r="52" spans="2:16" s="75" customFormat="1" ht="6" customHeight="1">
      <c r="B52" s="76"/>
      <c r="C52" s="73"/>
    </row>
    <row r="53" spans="2:16" ht="15" customHeight="1">
      <c r="B53" s="36">
        <v>7</v>
      </c>
      <c r="C53" s="27" t="s">
        <v>100</v>
      </c>
    </row>
    <row r="54" spans="2:16" ht="12" customHeight="1">
      <c r="B54" s="76" t="s">
        <v>56</v>
      </c>
      <c r="C54" s="97" t="s">
        <v>106</v>
      </c>
      <c r="F54" s="21" t="s">
        <v>101</v>
      </c>
    </row>
    <row r="55" spans="2:16" ht="12" customHeight="1">
      <c r="B55" s="76" t="s">
        <v>56</v>
      </c>
      <c r="C55" s="97" t="s">
        <v>107</v>
      </c>
      <c r="F55" s="98" t="s">
        <v>102</v>
      </c>
    </row>
    <row r="56" spans="2:16" ht="12" customHeight="1">
      <c r="B56" s="76" t="s">
        <v>56</v>
      </c>
      <c r="C56" s="97" t="s">
        <v>108</v>
      </c>
      <c r="F56" s="21" t="s">
        <v>113</v>
      </c>
    </row>
    <row r="57" spans="2:16" ht="12" customHeight="1">
      <c r="B57" s="76" t="s">
        <v>56</v>
      </c>
      <c r="C57" s="97" t="s">
        <v>109</v>
      </c>
      <c r="F57" s="21" t="s">
        <v>103</v>
      </c>
    </row>
    <row r="58" spans="2:16" ht="12" customHeight="1">
      <c r="B58" s="76" t="s">
        <v>56</v>
      </c>
      <c r="C58" s="97" t="s">
        <v>110</v>
      </c>
      <c r="F58" s="21" t="s">
        <v>104</v>
      </c>
    </row>
    <row r="59" spans="2:16" ht="12" customHeight="1">
      <c r="B59" s="76" t="s">
        <v>56</v>
      </c>
      <c r="C59" s="97" t="s">
        <v>111</v>
      </c>
      <c r="F59" s="21" t="s">
        <v>105</v>
      </c>
    </row>
    <row r="60" spans="2:16" ht="12" customHeight="1">
      <c r="B60" s="76"/>
      <c r="C60" s="97" t="s">
        <v>112</v>
      </c>
    </row>
    <row r="61" spans="2:16" ht="6.75" customHeight="1">
      <c r="B61" s="76"/>
      <c r="C61" s="97"/>
    </row>
    <row r="62" spans="2:16" ht="6" customHeight="1">
      <c r="B62" s="99"/>
      <c r="C62" s="100"/>
      <c r="D62" s="100"/>
      <c r="E62" s="100"/>
      <c r="F62" s="100"/>
      <c r="G62" s="100"/>
      <c r="H62" s="100"/>
      <c r="I62" s="100"/>
      <c r="J62" s="100"/>
      <c r="K62" s="100"/>
      <c r="L62" s="100"/>
      <c r="M62" s="100"/>
    </row>
    <row r="63" spans="2:16" ht="11.1" customHeight="1">
      <c r="B63" s="36"/>
    </row>
    <row r="64" spans="2:16">
      <c r="B64" s="27" t="s">
        <v>57</v>
      </c>
      <c r="J64" s="27" t="s">
        <v>58</v>
      </c>
    </row>
    <row r="65" spans="1:13" ht="41.25" customHeight="1"/>
    <row r="66" spans="1:13" ht="13.5" customHeight="1">
      <c r="B66" s="21" t="s">
        <v>59</v>
      </c>
      <c r="J66" s="21" t="s">
        <v>59</v>
      </c>
    </row>
    <row r="67" spans="1:13" ht="13.5" customHeight="1">
      <c r="B67" s="21" t="s">
        <v>60</v>
      </c>
      <c r="J67" s="21" t="s">
        <v>61</v>
      </c>
      <c r="K67" s="17" t="str">
        <f>D12</f>
        <v>Shashank Kamra</v>
      </c>
    </row>
    <row r="68" spans="1:13" ht="13.5" customHeight="1">
      <c r="B68" s="21" t="s">
        <v>62</v>
      </c>
      <c r="J68" s="21" t="s">
        <v>63</v>
      </c>
      <c r="K68" s="17" t="s">
        <v>95</v>
      </c>
    </row>
    <row r="69" spans="1:13" ht="13.5" customHeight="1">
      <c r="B69" s="21" t="s">
        <v>64</v>
      </c>
      <c r="J69" s="21" t="s">
        <v>65</v>
      </c>
    </row>
    <row r="70" spans="1:13" s="23" customFormat="1" ht="24.75" customHeight="1">
      <c r="B70" s="20" t="s">
        <v>97</v>
      </c>
      <c r="J70" s="181" t="str">
        <f>C9</f>
        <v>JSAJ(Jassim Saif Amer Aljaberi Trading Est.)</v>
      </c>
      <c r="K70" s="181"/>
      <c r="L70" s="181"/>
      <c r="M70" s="181"/>
    </row>
    <row r="71" spans="1:13" ht="27.95" customHeight="1">
      <c r="A71" s="173" t="s">
        <v>66</v>
      </c>
      <c r="B71" s="173"/>
      <c r="C71" s="173"/>
      <c r="D71" s="173"/>
      <c r="E71" s="173"/>
      <c r="F71" s="173"/>
      <c r="G71" s="173"/>
      <c r="H71" s="173"/>
      <c r="I71" s="173"/>
      <c r="J71" s="173"/>
      <c r="K71" s="173"/>
      <c r="L71" s="173"/>
      <c r="M71" s="173"/>
    </row>
    <row r="78" spans="1:13">
      <c r="B78" s="27"/>
    </row>
    <row r="79" spans="1:13">
      <c r="B79" s="27"/>
    </row>
    <row r="80" spans="1:13">
      <c r="B80" s="27"/>
    </row>
    <row r="81" spans="2:2">
      <c r="B81" s="27"/>
    </row>
    <row r="82" spans="2:2">
      <c r="B82" s="27"/>
    </row>
    <row r="83" spans="2:2">
      <c r="B83" s="27"/>
    </row>
    <row r="84" spans="2:2">
      <c r="B84" s="27"/>
    </row>
    <row r="85" spans="2:2">
      <c r="B85" s="27"/>
    </row>
    <row r="86" spans="2:2">
      <c r="B86" s="27"/>
    </row>
    <row r="87" spans="2:2">
      <c r="B87" s="27"/>
    </row>
    <row r="88" spans="2:2">
      <c r="B88" s="27"/>
    </row>
    <row r="89" spans="2:2">
      <c r="B89" s="27"/>
    </row>
    <row r="90" spans="2:2">
      <c r="B90" s="27"/>
    </row>
    <row r="91" spans="2:2">
      <c r="B91" s="27"/>
    </row>
    <row r="92" spans="2:2">
      <c r="B92" s="27"/>
    </row>
    <row r="93" spans="2:2">
      <c r="B93" s="27"/>
    </row>
    <row r="94" spans="2:2">
      <c r="B94" s="27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ignoredErrors>
    <ignoredError sqref="F55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18"/>
  <sheetViews>
    <sheetView showGridLines="0" tabSelected="1" view="pageBreakPreview" zoomScaleSheetLayoutView="100" zoomScalePageLayoutView="55" workbookViewId="0">
      <selection activeCell="F20" sqref="F20"/>
    </sheetView>
  </sheetViews>
  <sheetFormatPr defaultColWidth="9" defaultRowHeight="12.75"/>
  <cols>
    <col min="1" max="1" width="8.5703125" style="37" customWidth="1"/>
    <col min="2" max="2" width="25.5703125" style="38" customWidth="1"/>
    <col min="3" max="3" width="23.5703125" style="38" customWidth="1"/>
    <col min="4" max="4" width="8.5703125" style="37" customWidth="1"/>
    <col min="5" max="5" width="13.5703125" style="37" customWidth="1"/>
    <col min="6" max="6" width="15.5703125" style="37" customWidth="1"/>
    <col min="7" max="8" width="17.140625" style="37" customWidth="1"/>
    <col min="9" max="9" width="0.85546875" style="37" customWidth="1"/>
    <col min="10" max="251" width="9" style="37"/>
    <col min="252" max="252" width="8.7109375" style="37" customWidth="1"/>
    <col min="253" max="253" width="45.140625" style="37" customWidth="1"/>
    <col min="254" max="254" width="13.28515625" style="37" customWidth="1"/>
    <col min="255" max="255" width="9.42578125" style="37" customWidth="1"/>
    <col min="256" max="256" width="6.42578125" style="37" customWidth="1"/>
    <col min="257" max="257" width="11.5703125" style="37" customWidth="1"/>
    <col min="258" max="258" width="12.85546875" style="37" bestFit="1" customWidth="1"/>
    <col min="259" max="259" width="25.5703125" style="37" customWidth="1"/>
    <col min="260" max="507" width="9" style="37"/>
    <col min="508" max="508" width="8.7109375" style="37" customWidth="1"/>
    <col min="509" max="509" width="45.140625" style="37" customWidth="1"/>
    <col min="510" max="510" width="13.28515625" style="37" customWidth="1"/>
    <col min="511" max="511" width="9.42578125" style="37" customWidth="1"/>
    <col min="512" max="512" width="6.42578125" style="37" customWidth="1"/>
    <col min="513" max="513" width="11.5703125" style="37" customWidth="1"/>
    <col min="514" max="514" width="12.85546875" style="37" bestFit="1" customWidth="1"/>
    <col min="515" max="515" width="25.5703125" style="37" customWidth="1"/>
    <col min="516" max="763" width="9" style="37"/>
    <col min="764" max="764" width="8.7109375" style="37" customWidth="1"/>
    <col min="765" max="765" width="45.140625" style="37" customWidth="1"/>
    <col min="766" max="766" width="13.28515625" style="37" customWidth="1"/>
    <col min="767" max="767" width="9.42578125" style="37" customWidth="1"/>
    <col min="768" max="768" width="6.42578125" style="37" customWidth="1"/>
    <col min="769" max="769" width="11.5703125" style="37" customWidth="1"/>
    <col min="770" max="770" width="12.85546875" style="37" bestFit="1" customWidth="1"/>
    <col min="771" max="771" width="25.5703125" style="37" customWidth="1"/>
    <col min="772" max="1019" width="9" style="37"/>
    <col min="1020" max="1020" width="8.7109375" style="37" customWidth="1"/>
    <col min="1021" max="1021" width="45.140625" style="37" customWidth="1"/>
    <col min="1022" max="1022" width="13.28515625" style="37" customWidth="1"/>
    <col min="1023" max="1023" width="9.42578125" style="37" customWidth="1"/>
    <col min="1024" max="1024" width="6.42578125" style="37" customWidth="1"/>
    <col min="1025" max="1025" width="11.5703125" style="37" customWidth="1"/>
    <col min="1026" max="1026" width="12.85546875" style="37" bestFit="1" customWidth="1"/>
    <col min="1027" max="1027" width="25.5703125" style="37" customWidth="1"/>
    <col min="1028" max="1275" width="9" style="37"/>
    <col min="1276" max="1276" width="8.7109375" style="37" customWidth="1"/>
    <col min="1277" max="1277" width="45.140625" style="37" customWidth="1"/>
    <col min="1278" max="1278" width="13.28515625" style="37" customWidth="1"/>
    <col min="1279" max="1279" width="9.42578125" style="37" customWidth="1"/>
    <col min="1280" max="1280" width="6.42578125" style="37" customWidth="1"/>
    <col min="1281" max="1281" width="11.5703125" style="37" customWidth="1"/>
    <col min="1282" max="1282" width="12.85546875" style="37" bestFit="1" customWidth="1"/>
    <col min="1283" max="1283" width="25.5703125" style="37" customWidth="1"/>
    <col min="1284" max="1531" width="9" style="37"/>
    <col min="1532" max="1532" width="8.7109375" style="37" customWidth="1"/>
    <col min="1533" max="1533" width="45.140625" style="37" customWidth="1"/>
    <col min="1534" max="1534" width="13.28515625" style="37" customWidth="1"/>
    <col min="1535" max="1535" width="9.42578125" style="37" customWidth="1"/>
    <col min="1536" max="1536" width="6.42578125" style="37" customWidth="1"/>
    <col min="1537" max="1537" width="11.5703125" style="37" customWidth="1"/>
    <col min="1538" max="1538" width="12.85546875" style="37" bestFit="1" customWidth="1"/>
    <col min="1539" max="1539" width="25.5703125" style="37" customWidth="1"/>
    <col min="1540" max="1787" width="9" style="37"/>
    <col min="1788" max="1788" width="8.7109375" style="37" customWidth="1"/>
    <col min="1789" max="1789" width="45.140625" style="37" customWidth="1"/>
    <col min="1790" max="1790" width="13.28515625" style="37" customWidth="1"/>
    <col min="1791" max="1791" width="9.42578125" style="37" customWidth="1"/>
    <col min="1792" max="1792" width="6.42578125" style="37" customWidth="1"/>
    <col min="1793" max="1793" width="11.5703125" style="37" customWidth="1"/>
    <col min="1794" max="1794" width="12.85546875" style="37" bestFit="1" customWidth="1"/>
    <col min="1795" max="1795" width="25.5703125" style="37" customWidth="1"/>
    <col min="1796" max="2043" width="9" style="37"/>
    <col min="2044" max="2044" width="8.7109375" style="37" customWidth="1"/>
    <col min="2045" max="2045" width="45.140625" style="37" customWidth="1"/>
    <col min="2046" max="2046" width="13.28515625" style="37" customWidth="1"/>
    <col min="2047" max="2047" width="9.42578125" style="37" customWidth="1"/>
    <col min="2048" max="2048" width="6.42578125" style="37" customWidth="1"/>
    <col min="2049" max="2049" width="11.5703125" style="37" customWidth="1"/>
    <col min="2050" max="2050" width="12.85546875" style="37" bestFit="1" customWidth="1"/>
    <col min="2051" max="2051" width="25.5703125" style="37" customWidth="1"/>
    <col min="2052" max="2299" width="9" style="37"/>
    <col min="2300" max="2300" width="8.7109375" style="37" customWidth="1"/>
    <col min="2301" max="2301" width="45.140625" style="37" customWidth="1"/>
    <col min="2302" max="2302" width="13.28515625" style="37" customWidth="1"/>
    <col min="2303" max="2303" width="9.42578125" style="37" customWidth="1"/>
    <col min="2304" max="2304" width="6.42578125" style="37" customWidth="1"/>
    <col min="2305" max="2305" width="11.5703125" style="37" customWidth="1"/>
    <col min="2306" max="2306" width="12.85546875" style="37" bestFit="1" customWidth="1"/>
    <col min="2307" max="2307" width="25.5703125" style="37" customWidth="1"/>
    <col min="2308" max="2555" width="9" style="37"/>
    <col min="2556" max="2556" width="8.7109375" style="37" customWidth="1"/>
    <col min="2557" max="2557" width="45.140625" style="37" customWidth="1"/>
    <col min="2558" max="2558" width="13.28515625" style="37" customWidth="1"/>
    <col min="2559" max="2559" width="9.42578125" style="37" customWidth="1"/>
    <col min="2560" max="2560" width="6.42578125" style="37" customWidth="1"/>
    <col min="2561" max="2561" width="11.5703125" style="37" customWidth="1"/>
    <col min="2562" max="2562" width="12.85546875" style="37" bestFit="1" customWidth="1"/>
    <col min="2563" max="2563" width="25.5703125" style="37" customWidth="1"/>
    <col min="2564" max="2811" width="9" style="37"/>
    <col min="2812" max="2812" width="8.7109375" style="37" customWidth="1"/>
    <col min="2813" max="2813" width="45.140625" style="37" customWidth="1"/>
    <col min="2814" max="2814" width="13.28515625" style="37" customWidth="1"/>
    <col min="2815" max="2815" width="9.42578125" style="37" customWidth="1"/>
    <col min="2816" max="2816" width="6.42578125" style="37" customWidth="1"/>
    <col min="2817" max="2817" width="11.5703125" style="37" customWidth="1"/>
    <col min="2818" max="2818" width="12.85546875" style="37" bestFit="1" customWidth="1"/>
    <col min="2819" max="2819" width="25.5703125" style="37" customWidth="1"/>
    <col min="2820" max="3067" width="9" style="37"/>
    <col min="3068" max="3068" width="8.7109375" style="37" customWidth="1"/>
    <col min="3069" max="3069" width="45.140625" style="37" customWidth="1"/>
    <col min="3070" max="3070" width="13.28515625" style="37" customWidth="1"/>
    <col min="3071" max="3071" width="9.42578125" style="37" customWidth="1"/>
    <col min="3072" max="3072" width="6.42578125" style="37" customWidth="1"/>
    <col min="3073" max="3073" width="11.5703125" style="37" customWidth="1"/>
    <col min="3074" max="3074" width="12.85546875" style="37" bestFit="1" customWidth="1"/>
    <col min="3075" max="3075" width="25.5703125" style="37" customWidth="1"/>
    <col min="3076" max="3323" width="9" style="37"/>
    <col min="3324" max="3324" width="8.7109375" style="37" customWidth="1"/>
    <col min="3325" max="3325" width="45.140625" style="37" customWidth="1"/>
    <col min="3326" max="3326" width="13.28515625" style="37" customWidth="1"/>
    <col min="3327" max="3327" width="9.42578125" style="37" customWidth="1"/>
    <col min="3328" max="3328" width="6.42578125" style="37" customWidth="1"/>
    <col min="3329" max="3329" width="11.5703125" style="37" customWidth="1"/>
    <col min="3330" max="3330" width="12.85546875" style="37" bestFit="1" customWidth="1"/>
    <col min="3331" max="3331" width="25.5703125" style="37" customWidth="1"/>
    <col min="3332" max="3579" width="9" style="37"/>
    <col min="3580" max="3580" width="8.7109375" style="37" customWidth="1"/>
    <col min="3581" max="3581" width="45.140625" style="37" customWidth="1"/>
    <col min="3582" max="3582" width="13.28515625" style="37" customWidth="1"/>
    <col min="3583" max="3583" width="9.42578125" style="37" customWidth="1"/>
    <col min="3584" max="3584" width="6.42578125" style="37" customWidth="1"/>
    <col min="3585" max="3585" width="11.5703125" style="37" customWidth="1"/>
    <col min="3586" max="3586" width="12.85546875" style="37" bestFit="1" customWidth="1"/>
    <col min="3587" max="3587" width="25.5703125" style="37" customWidth="1"/>
    <col min="3588" max="3835" width="9" style="37"/>
    <col min="3836" max="3836" width="8.7109375" style="37" customWidth="1"/>
    <col min="3837" max="3837" width="45.140625" style="37" customWidth="1"/>
    <col min="3838" max="3838" width="13.28515625" style="37" customWidth="1"/>
    <col min="3839" max="3839" width="9.42578125" style="37" customWidth="1"/>
    <col min="3840" max="3840" width="6.42578125" style="37" customWidth="1"/>
    <col min="3841" max="3841" width="11.5703125" style="37" customWidth="1"/>
    <col min="3842" max="3842" width="12.85546875" style="37" bestFit="1" customWidth="1"/>
    <col min="3843" max="3843" width="25.5703125" style="37" customWidth="1"/>
    <col min="3844" max="4091" width="9" style="37"/>
    <col min="4092" max="4092" width="8.7109375" style="37" customWidth="1"/>
    <col min="4093" max="4093" width="45.140625" style="37" customWidth="1"/>
    <col min="4094" max="4094" width="13.28515625" style="37" customWidth="1"/>
    <col min="4095" max="4095" width="9.42578125" style="37" customWidth="1"/>
    <col min="4096" max="4096" width="6.42578125" style="37" customWidth="1"/>
    <col min="4097" max="4097" width="11.5703125" style="37" customWidth="1"/>
    <col min="4098" max="4098" width="12.85546875" style="37" bestFit="1" customWidth="1"/>
    <col min="4099" max="4099" width="25.5703125" style="37" customWidth="1"/>
    <col min="4100" max="4347" width="9" style="37"/>
    <col min="4348" max="4348" width="8.7109375" style="37" customWidth="1"/>
    <col min="4349" max="4349" width="45.140625" style="37" customWidth="1"/>
    <col min="4350" max="4350" width="13.28515625" style="37" customWidth="1"/>
    <col min="4351" max="4351" width="9.42578125" style="37" customWidth="1"/>
    <col min="4352" max="4352" width="6.42578125" style="37" customWidth="1"/>
    <col min="4353" max="4353" width="11.5703125" style="37" customWidth="1"/>
    <col min="4354" max="4354" width="12.85546875" style="37" bestFit="1" customWidth="1"/>
    <col min="4355" max="4355" width="25.5703125" style="37" customWidth="1"/>
    <col min="4356" max="4603" width="9" style="37"/>
    <col min="4604" max="4604" width="8.7109375" style="37" customWidth="1"/>
    <col min="4605" max="4605" width="45.140625" style="37" customWidth="1"/>
    <col min="4606" max="4606" width="13.28515625" style="37" customWidth="1"/>
    <col min="4607" max="4607" width="9.42578125" style="37" customWidth="1"/>
    <col min="4608" max="4608" width="6.42578125" style="37" customWidth="1"/>
    <col min="4609" max="4609" width="11.5703125" style="37" customWidth="1"/>
    <col min="4610" max="4610" width="12.85546875" style="37" bestFit="1" customWidth="1"/>
    <col min="4611" max="4611" width="25.5703125" style="37" customWidth="1"/>
    <col min="4612" max="4859" width="9" style="37"/>
    <col min="4860" max="4860" width="8.7109375" style="37" customWidth="1"/>
    <col min="4861" max="4861" width="45.140625" style="37" customWidth="1"/>
    <col min="4862" max="4862" width="13.28515625" style="37" customWidth="1"/>
    <col min="4863" max="4863" width="9.42578125" style="37" customWidth="1"/>
    <col min="4864" max="4864" width="6.42578125" style="37" customWidth="1"/>
    <col min="4865" max="4865" width="11.5703125" style="37" customWidth="1"/>
    <col min="4866" max="4866" width="12.85546875" style="37" bestFit="1" customWidth="1"/>
    <col min="4867" max="4867" width="25.5703125" style="37" customWidth="1"/>
    <col min="4868" max="5115" width="9" style="37"/>
    <col min="5116" max="5116" width="8.7109375" style="37" customWidth="1"/>
    <col min="5117" max="5117" width="45.140625" style="37" customWidth="1"/>
    <col min="5118" max="5118" width="13.28515625" style="37" customWidth="1"/>
    <col min="5119" max="5119" width="9.42578125" style="37" customWidth="1"/>
    <col min="5120" max="5120" width="6.42578125" style="37" customWidth="1"/>
    <col min="5121" max="5121" width="11.5703125" style="37" customWidth="1"/>
    <col min="5122" max="5122" width="12.85546875" style="37" bestFit="1" customWidth="1"/>
    <col min="5123" max="5123" width="25.5703125" style="37" customWidth="1"/>
    <col min="5124" max="5371" width="9" style="37"/>
    <col min="5372" max="5372" width="8.7109375" style="37" customWidth="1"/>
    <col min="5373" max="5373" width="45.140625" style="37" customWidth="1"/>
    <col min="5374" max="5374" width="13.28515625" style="37" customWidth="1"/>
    <col min="5375" max="5375" width="9.42578125" style="37" customWidth="1"/>
    <col min="5376" max="5376" width="6.42578125" style="37" customWidth="1"/>
    <col min="5377" max="5377" width="11.5703125" style="37" customWidth="1"/>
    <col min="5378" max="5378" width="12.85546875" style="37" bestFit="1" customWidth="1"/>
    <col min="5379" max="5379" width="25.5703125" style="37" customWidth="1"/>
    <col min="5380" max="5627" width="9" style="37"/>
    <col min="5628" max="5628" width="8.7109375" style="37" customWidth="1"/>
    <col min="5629" max="5629" width="45.140625" style="37" customWidth="1"/>
    <col min="5630" max="5630" width="13.28515625" style="37" customWidth="1"/>
    <col min="5631" max="5631" width="9.42578125" style="37" customWidth="1"/>
    <col min="5632" max="5632" width="6.42578125" style="37" customWidth="1"/>
    <col min="5633" max="5633" width="11.5703125" style="37" customWidth="1"/>
    <col min="5634" max="5634" width="12.85546875" style="37" bestFit="1" customWidth="1"/>
    <col min="5635" max="5635" width="25.5703125" style="37" customWidth="1"/>
    <col min="5636" max="5883" width="9" style="37"/>
    <col min="5884" max="5884" width="8.7109375" style="37" customWidth="1"/>
    <col min="5885" max="5885" width="45.140625" style="37" customWidth="1"/>
    <col min="5886" max="5886" width="13.28515625" style="37" customWidth="1"/>
    <col min="5887" max="5887" width="9.42578125" style="37" customWidth="1"/>
    <col min="5888" max="5888" width="6.42578125" style="37" customWidth="1"/>
    <col min="5889" max="5889" width="11.5703125" style="37" customWidth="1"/>
    <col min="5890" max="5890" width="12.85546875" style="37" bestFit="1" customWidth="1"/>
    <col min="5891" max="5891" width="25.5703125" style="37" customWidth="1"/>
    <col min="5892" max="6139" width="9" style="37"/>
    <col min="6140" max="6140" width="8.7109375" style="37" customWidth="1"/>
    <col min="6141" max="6141" width="45.140625" style="37" customWidth="1"/>
    <col min="6142" max="6142" width="13.28515625" style="37" customWidth="1"/>
    <col min="6143" max="6143" width="9.42578125" style="37" customWidth="1"/>
    <col min="6144" max="6144" width="6.42578125" style="37" customWidth="1"/>
    <col min="6145" max="6145" width="11.5703125" style="37" customWidth="1"/>
    <col min="6146" max="6146" width="12.85546875" style="37" bestFit="1" customWidth="1"/>
    <col min="6147" max="6147" width="25.5703125" style="37" customWidth="1"/>
    <col min="6148" max="6395" width="9" style="37"/>
    <col min="6396" max="6396" width="8.7109375" style="37" customWidth="1"/>
    <col min="6397" max="6397" width="45.140625" style="37" customWidth="1"/>
    <col min="6398" max="6398" width="13.28515625" style="37" customWidth="1"/>
    <col min="6399" max="6399" width="9.42578125" style="37" customWidth="1"/>
    <col min="6400" max="6400" width="6.42578125" style="37" customWidth="1"/>
    <col min="6401" max="6401" width="11.5703125" style="37" customWidth="1"/>
    <col min="6402" max="6402" width="12.85546875" style="37" bestFit="1" customWidth="1"/>
    <col min="6403" max="6403" width="25.5703125" style="37" customWidth="1"/>
    <col min="6404" max="6651" width="9" style="37"/>
    <col min="6652" max="6652" width="8.7109375" style="37" customWidth="1"/>
    <col min="6653" max="6653" width="45.140625" style="37" customWidth="1"/>
    <col min="6654" max="6654" width="13.28515625" style="37" customWidth="1"/>
    <col min="6655" max="6655" width="9.42578125" style="37" customWidth="1"/>
    <col min="6656" max="6656" width="6.42578125" style="37" customWidth="1"/>
    <col min="6657" max="6657" width="11.5703125" style="37" customWidth="1"/>
    <col min="6658" max="6658" width="12.85546875" style="37" bestFit="1" customWidth="1"/>
    <col min="6659" max="6659" width="25.5703125" style="37" customWidth="1"/>
    <col min="6660" max="6907" width="9" style="37"/>
    <col min="6908" max="6908" width="8.7109375" style="37" customWidth="1"/>
    <col min="6909" max="6909" width="45.140625" style="37" customWidth="1"/>
    <col min="6910" max="6910" width="13.28515625" style="37" customWidth="1"/>
    <col min="6911" max="6911" width="9.42578125" style="37" customWidth="1"/>
    <col min="6912" max="6912" width="6.42578125" style="37" customWidth="1"/>
    <col min="6913" max="6913" width="11.5703125" style="37" customWidth="1"/>
    <col min="6914" max="6914" width="12.85546875" style="37" bestFit="1" customWidth="1"/>
    <col min="6915" max="6915" width="25.5703125" style="37" customWidth="1"/>
    <col min="6916" max="7163" width="9" style="37"/>
    <col min="7164" max="7164" width="8.7109375" style="37" customWidth="1"/>
    <col min="7165" max="7165" width="45.140625" style="37" customWidth="1"/>
    <col min="7166" max="7166" width="13.28515625" style="37" customWidth="1"/>
    <col min="7167" max="7167" width="9.42578125" style="37" customWidth="1"/>
    <col min="7168" max="7168" width="6.42578125" style="37" customWidth="1"/>
    <col min="7169" max="7169" width="11.5703125" style="37" customWidth="1"/>
    <col min="7170" max="7170" width="12.85546875" style="37" bestFit="1" customWidth="1"/>
    <col min="7171" max="7171" width="25.5703125" style="37" customWidth="1"/>
    <col min="7172" max="7419" width="9" style="37"/>
    <col min="7420" max="7420" width="8.7109375" style="37" customWidth="1"/>
    <col min="7421" max="7421" width="45.140625" style="37" customWidth="1"/>
    <col min="7422" max="7422" width="13.28515625" style="37" customWidth="1"/>
    <col min="7423" max="7423" width="9.42578125" style="37" customWidth="1"/>
    <col min="7424" max="7424" width="6.42578125" style="37" customWidth="1"/>
    <col min="7425" max="7425" width="11.5703125" style="37" customWidth="1"/>
    <col min="7426" max="7426" width="12.85546875" style="37" bestFit="1" customWidth="1"/>
    <col min="7427" max="7427" width="25.5703125" style="37" customWidth="1"/>
    <col min="7428" max="7675" width="9" style="37"/>
    <col min="7676" max="7676" width="8.7109375" style="37" customWidth="1"/>
    <col min="7677" max="7677" width="45.140625" style="37" customWidth="1"/>
    <col min="7678" max="7678" width="13.28515625" style="37" customWidth="1"/>
    <col min="7679" max="7679" width="9.42578125" style="37" customWidth="1"/>
    <col min="7680" max="7680" width="6.42578125" style="37" customWidth="1"/>
    <col min="7681" max="7681" width="11.5703125" style="37" customWidth="1"/>
    <col min="7682" max="7682" width="12.85546875" style="37" bestFit="1" customWidth="1"/>
    <col min="7683" max="7683" width="25.5703125" style="37" customWidth="1"/>
    <col min="7684" max="7931" width="9" style="37"/>
    <col min="7932" max="7932" width="8.7109375" style="37" customWidth="1"/>
    <col min="7933" max="7933" width="45.140625" style="37" customWidth="1"/>
    <col min="7934" max="7934" width="13.28515625" style="37" customWidth="1"/>
    <col min="7935" max="7935" width="9.42578125" style="37" customWidth="1"/>
    <col min="7936" max="7936" width="6.42578125" style="37" customWidth="1"/>
    <col min="7937" max="7937" width="11.5703125" style="37" customWidth="1"/>
    <col min="7938" max="7938" width="12.85546875" style="37" bestFit="1" customWidth="1"/>
    <col min="7939" max="7939" width="25.5703125" style="37" customWidth="1"/>
    <col min="7940" max="8187" width="9" style="37"/>
    <col min="8188" max="8188" width="8.7109375" style="37" customWidth="1"/>
    <col min="8189" max="8189" width="45.140625" style="37" customWidth="1"/>
    <col min="8190" max="8190" width="13.28515625" style="37" customWidth="1"/>
    <col min="8191" max="8191" width="9.42578125" style="37" customWidth="1"/>
    <col min="8192" max="8192" width="6.42578125" style="37" customWidth="1"/>
    <col min="8193" max="8193" width="11.5703125" style="37" customWidth="1"/>
    <col min="8194" max="8194" width="12.85546875" style="37" bestFit="1" customWidth="1"/>
    <col min="8195" max="8195" width="25.5703125" style="37" customWidth="1"/>
    <col min="8196" max="8443" width="9" style="37"/>
    <col min="8444" max="8444" width="8.7109375" style="37" customWidth="1"/>
    <col min="8445" max="8445" width="45.140625" style="37" customWidth="1"/>
    <col min="8446" max="8446" width="13.28515625" style="37" customWidth="1"/>
    <col min="8447" max="8447" width="9.42578125" style="37" customWidth="1"/>
    <col min="8448" max="8448" width="6.42578125" style="37" customWidth="1"/>
    <col min="8449" max="8449" width="11.5703125" style="37" customWidth="1"/>
    <col min="8450" max="8450" width="12.85546875" style="37" bestFit="1" customWidth="1"/>
    <col min="8451" max="8451" width="25.5703125" style="37" customWidth="1"/>
    <col min="8452" max="8699" width="9" style="37"/>
    <col min="8700" max="8700" width="8.7109375" style="37" customWidth="1"/>
    <col min="8701" max="8701" width="45.140625" style="37" customWidth="1"/>
    <col min="8702" max="8702" width="13.28515625" style="37" customWidth="1"/>
    <col min="8703" max="8703" width="9.42578125" style="37" customWidth="1"/>
    <col min="8704" max="8704" width="6.42578125" style="37" customWidth="1"/>
    <col min="8705" max="8705" width="11.5703125" style="37" customWidth="1"/>
    <col min="8706" max="8706" width="12.85546875" style="37" bestFit="1" customWidth="1"/>
    <col min="8707" max="8707" width="25.5703125" style="37" customWidth="1"/>
    <col min="8708" max="8955" width="9" style="37"/>
    <col min="8956" max="8956" width="8.7109375" style="37" customWidth="1"/>
    <col min="8957" max="8957" width="45.140625" style="37" customWidth="1"/>
    <col min="8958" max="8958" width="13.28515625" style="37" customWidth="1"/>
    <col min="8959" max="8959" width="9.42578125" style="37" customWidth="1"/>
    <col min="8960" max="8960" width="6.42578125" style="37" customWidth="1"/>
    <col min="8961" max="8961" width="11.5703125" style="37" customWidth="1"/>
    <col min="8962" max="8962" width="12.85546875" style="37" bestFit="1" customWidth="1"/>
    <col min="8963" max="8963" width="25.5703125" style="37" customWidth="1"/>
    <col min="8964" max="9211" width="9" style="37"/>
    <col min="9212" max="9212" width="8.7109375" style="37" customWidth="1"/>
    <col min="9213" max="9213" width="45.140625" style="37" customWidth="1"/>
    <col min="9214" max="9214" width="13.28515625" style="37" customWidth="1"/>
    <col min="9215" max="9215" width="9.42578125" style="37" customWidth="1"/>
    <col min="9216" max="9216" width="6.42578125" style="37" customWidth="1"/>
    <col min="9217" max="9217" width="11.5703125" style="37" customWidth="1"/>
    <col min="9218" max="9218" width="12.85546875" style="37" bestFit="1" customWidth="1"/>
    <col min="9219" max="9219" width="25.5703125" style="37" customWidth="1"/>
    <col min="9220" max="9467" width="9" style="37"/>
    <col min="9468" max="9468" width="8.7109375" style="37" customWidth="1"/>
    <col min="9469" max="9469" width="45.140625" style="37" customWidth="1"/>
    <col min="9470" max="9470" width="13.28515625" style="37" customWidth="1"/>
    <col min="9471" max="9471" width="9.42578125" style="37" customWidth="1"/>
    <col min="9472" max="9472" width="6.42578125" style="37" customWidth="1"/>
    <col min="9473" max="9473" width="11.5703125" style="37" customWidth="1"/>
    <col min="9474" max="9474" width="12.85546875" style="37" bestFit="1" customWidth="1"/>
    <col min="9475" max="9475" width="25.5703125" style="37" customWidth="1"/>
    <col min="9476" max="9723" width="9" style="37"/>
    <col min="9724" max="9724" width="8.7109375" style="37" customWidth="1"/>
    <col min="9725" max="9725" width="45.140625" style="37" customWidth="1"/>
    <col min="9726" max="9726" width="13.28515625" style="37" customWidth="1"/>
    <col min="9727" max="9727" width="9.42578125" style="37" customWidth="1"/>
    <col min="9728" max="9728" width="6.42578125" style="37" customWidth="1"/>
    <col min="9729" max="9729" width="11.5703125" style="37" customWidth="1"/>
    <col min="9730" max="9730" width="12.85546875" style="37" bestFit="1" customWidth="1"/>
    <col min="9731" max="9731" width="25.5703125" style="37" customWidth="1"/>
    <col min="9732" max="9979" width="9" style="37"/>
    <col min="9980" max="9980" width="8.7109375" style="37" customWidth="1"/>
    <col min="9981" max="9981" width="45.140625" style="37" customWidth="1"/>
    <col min="9982" max="9982" width="13.28515625" style="37" customWidth="1"/>
    <col min="9983" max="9983" width="9.42578125" style="37" customWidth="1"/>
    <col min="9984" max="9984" width="6.42578125" style="37" customWidth="1"/>
    <col min="9985" max="9985" width="11.5703125" style="37" customWidth="1"/>
    <col min="9986" max="9986" width="12.85546875" style="37" bestFit="1" customWidth="1"/>
    <col min="9987" max="9987" width="25.5703125" style="37" customWidth="1"/>
    <col min="9988" max="10235" width="9" style="37"/>
    <col min="10236" max="10236" width="8.7109375" style="37" customWidth="1"/>
    <col min="10237" max="10237" width="45.140625" style="37" customWidth="1"/>
    <col min="10238" max="10238" width="13.28515625" style="37" customWidth="1"/>
    <col min="10239" max="10239" width="9.42578125" style="37" customWidth="1"/>
    <col min="10240" max="10240" width="6.42578125" style="37" customWidth="1"/>
    <col min="10241" max="10241" width="11.5703125" style="37" customWidth="1"/>
    <col min="10242" max="10242" width="12.85546875" style="37" bestFit="1" customWidth="1"/>
    <col min="10243" max="10243" width="25.5703125" style="37" customWidth="1"/>
    <col min="10244" max="10491" width="9" style="37"/>
    <col min="10492" max="10492" width="8.7109375" style="37" customWidth="1"/>
    <col min="10493" max="10493" width="45.140625" style="37" customWidth="1"/>
    <col min="10494" max="10494" width="13.28515625" style="37" customWidth="1"/>
    <col min="10495" max="10495" width="9.42578125" style="37" customWidth="1"/>
    <col min="10496" max="10496" width="6.42578125" style="37" customWidth="1"/>
    <col min="10497" max="10497" width="11.5703125" style="37" customWidth="1"/>
    <col min="10498" max="10498" width="12.85546875" style="37" bestFit="1" customWidth="1"/>
    <col min="10499" max="10499" width="25.5703125" style="37" customWidth="1"/>
    <col min="10500" max="10747" width="9" style="37"/>
    <col min="10748" max="10748" width="8.7109375" style="37" customWidth="1"/>
    <col min="10749" max="10749" width="45.140625" style="37" customWidth="1"/>
    <col min="10750" max="10750" width="13.28515625" style="37" customWidth="1"/>
    <col min="10751" max="10751" width="9.42578125" style="37" customWidth="1"/>
    <col min="10752" max="10752" width="6.42578125" style="37" customWidth="1"/>
    <col min="10753" max="10753" width="11.5703125" style="37" customWidth="1"/>
    <col min="10754" max="10754" width="12.85546875" style="37" bestFit="1" customWidth="1"/>
    <col min="10755" max="10755" width="25.5703125" style="37" customWidth="1"/>
    <col min="10756" max="11003" width="9" style="37"/>
    <col min="11004" max="11004" width="8.7109375" style="37" customWidth="1"/>
    <col min="11005" max="11005" width="45.140625" style="37" customWidth="1"/>
    <col min="11006" max="11006" width="13.28515625" style="37" customWidth="1"/>
    <col min="11007" max="11007" width="9.42578125" style="37" customWidth="1"/>
    <col min="11008" max="11008" width="6.42578125" style="37" customWidth="1"/>
    <col min="11009" max="11009" width="11.5703125" style="37" customWidth="1"/>
    <col min="11010" max="11010" width="12.85546875" style="37" bestFit="1" customWidth="1"/>
    <col min="11011" max="11011" width="25.5703125" style="37" customWidth="1"/>
    <col min="11012" max="11259" width="9" style="37"/>
    <col min="11260" max="11260" width="8.7109375" style="37" customWidth="1"/>
    <col min="11261" max="11261" width="45.140625" style="37" customWidth="1"/>
    <col min="11262" max="11262" width="13.28515625" style="37" customWidth="1"/>
    <col min="11263" max="11263" width="9.42578125" style="37" customWidth="1"/>
    <col min="11264" max="11264" width="6.42578125" style="37" customWidth="1"/>
    <col min="11265" max="11265" width="11.5703125" style="37" customWidth="1"/>
    <col min="11266" max="11266" width="12.85546875" style="37" bestFit="1" customWidth="1"/>
    <col min="11267" max="11267" width="25.5703125" style="37" customWidth="1"/>
    <col min="11268" max="11515" width="9" style="37"/>
    <col min="11516" max="11516" width="8.7109375" style="37" customWidth="1"/>
    <col min="11517" max="11517" width="45.140625" style="37" customWidth="1"/>
    <col min="11518" max="11518" width="13.28515625" style="37" customWidth="1"/>
    <col min="11519" max="11519" width="9.42578125" style="37" customWidth="1"/>
    <col min="11520" max="11520" width="6.42578125" style="37" customWidth="1"/>
    <col min="11521" max="11521" width="11.5703125" style="37" customWidth="1"/>
    <col min="11522" max="11522" width="12.85546875" style="37" bestFit="1" customWidth="1"/>
    <col min="11523" max="11523" width="25.5703125" style="37" customWidth="1"/>
    <col min="11524" max="11771" width="9" style="37"/>
    <col min="11772" max="11772" width="8.7109375" style="37" customWidth="1"/>
    <col min="11773" max="11773" width="45.140625" style="37" customWidth="1"/>
    <col min="11774" max="11774" width="13.28515625" style="37" customWidth="1"/>
    <col min="11775" max="11775" width="9.42578125" style="37" customWidth="1"/>
    <col min="11776" max="11776" width="6.42578125" style="37" customWidth="1"/>
    <col min="11777" max="11777" width="11.5703125" style="37" customWidth="1"/>
    <col min="11778" max="11778" width="12.85546875" style="37" bestFit="1" customWidth="1"/>
    <col min="11779" max="11779" width="25.5703125" style="37" customWidth="1"/>
    <col min="11780" max="12027" width="9" style="37"/>
    <col min="12028" max="12028" width="8.7109375" style="37" customWidth="1"/>
    <col min="12029" max="12029" width="45.140625" style="37" customWidth="1"/>
    <col min="12030" max="12030" width="13.28515625" style="37" customWidth="1"/>
    <col min="12031" max="12031" width="9.42578125" style="37" customWidth="1"/>
    <col min="12032" max="12032" width="6.42578125" style="37" customWidth="1"/>
    <col min="12033" max="12033" width="11.5703125" style="37" customWidth="1"/>
    <col min="12034" max="12034" width="12.85546875" style="37" bestFit="1" customWidth="1"/>
    <col min="12035" max="12035" width="25.5703125" style="37" customWidth="1"/>
    <col min="12036" max="12283" width="9" style="37"/>
    <col min="12284" max="12284" width="8.7109375" style="37" customWidth="1"/>
    <col min="12285" max="12285" width="45.140625" style="37" customWidth="1"/>
    <col min="12286" max="12286" width="13.28515625" style="37" customWidth="1"/>
    <col min="12287" max="12287" width="9.42578125" style="37" customWidth="1"/>
    <col min="12288" max="12288" width="6.42578125" style="37" customWidth="1"/>
    <col min="12289" max="12289" width="11.5703125" style="37" customWidth="1"/>
    <col min="12290" max="12290" width="12.85546875" style="37" bestFit="1" customWidth="1"/>
    <col min="12291" max="12291" width="25.5703125" style="37" customWidth="1"/>
    <col min="12292" max="12539" width="9" style="37"/>
    <col min="12540" max="12540" width="8.7109375" style="37" customWidth="1"/>
    <col min="12541" max="12541" width="45.140625" style="37" customWidth="1"/>
    <col min="12542" max="12542" width="13.28515625" style="37" customWidth="1"/>
    <col min="12543" max="12543" width="9.42578125" style="37" customWidth="1"/>
    <col min="12544" max="12544" width="6.42578125" style="37" customWidth="1"/>
    <col min="12545" max="12545" width="11.5703125" style="37" customWidth="1"/>
    <col min="12546" max="12546" width="12.85546875" style="37" bestFit="1" customWidth="1"/>
    <col min="12547" max="12547" width="25.5703125" style="37" customWidth="1"/>
    <col min="12548" max="12795" width="9" style="37"/>
    <col min="12796" max="12796" width="8.7109375" style="37" customWidth="1"/>
    <col min="12797" max="12797" width="45.140625" style="37" customWidth="1"/>
    <col min="12798" max="12798" width="13.28515625" style="37" customWidth="1"/>
    <col min="12799" max="12799" width="9.42578125" style="37" customWidth="1"/>
    <col min="12800" max="12800" width="6.42578125" style="37" customWidth="1"/>
    <col min="12801" max="12801" width="11.5703125" style="37" customWidth="1"/>
    <col min="12802" max="12802" width="12.85546875" style="37" bestFit="1" customWidth="1"/>
    <col min="12803" max="12803" width="25.5703125" style="37" customWidth="1"/>
    <col min="12804" max="13051" width="9" style="37"/>
    <col min="13052" max="13052" width="8.7109375" style="37" customWidth="1"/>
    <col min="13053" max="13053" width="45.140625" style="37" customWidth="1"/>
    <col min="13054" max="13054" width="13.28515625" style="37" customWidth="1"/>
    <col min="13055" max="13055" width="9.42578125" style="37" customWidth="1"/>
    <col min="13056" max="13056" width="6.42578125" style="37" customWidth="1"/>
    <col min="13057" max="13057" width="11.5703125" style="37" customWidth="1"/>
    <col min="13058" max="13058" width="12.85546875" style="37" bestFit="1" customWidth="1"/>
    <col min="13059" max="13059" width="25.5703125" style="37" customWidth="1"/>
    <col min="13060" max="13307" width="9" style="37"/>
    <col min="13308" max="13308" width="8.7109375" style="37" customWidth="1"/>
    <col min="13309" max="13309" width="45.140625" style="37" customWidth="1"/>
    <col min="13310" max="13310" width="13.28515625" style="37" customWidth="1"/>
    <col min="13311" max="13311" width="9.42578125" style="37" customWidth="1"/>
    <col min="13312" max="13312" width="6.42578125" style="37" customWidth="1"/>
    <col min="13313" max="13313" width="11.5703125" style="37" customWidth="1"/>
    <col min="13314" max="13314" width="12.85546875" style="37" bestFit="1" customWidth="1"/>
    <col min="13315" max="13315" width="25.5703125" style="37" customWidth="1"/>
    <col min="13316" max="13563" width="9" style="37"/>
    <col min="13564" max="13564" width="8.7109375" style="37" customWidth="1"/>
    <col min="13565" max="13565" width="45.140625" style="37" customWidth="1"/>
    <col min="13566" max="13566" width="13.28515625" style="37" customWidth="1"/>
    <col min="13567" max="13567" width="9.42578125" style="37" customWidth="1"/>
    <col min="13568" max="13568" width="6.42578125" style="37" customWidth="1"/>
    <col min="13569" max="13569" width="11.5703125" style="37" customWidth="1"/>
    <col min="13570" max="13570" width="12.85546875" style="37" bestFit="1" customWidth="1"/>
    <col min="13571" max="13571" width="25.5703125" style="37" customWidth="1"/>
    <col min="13572" max="13819" width="9" style="37"/>
    <col min="13820" max="13820" width="8.7109375" style="37" customWidth="1"/>
    <col min="13821" max="13821" width="45.140625" style="37" customWidth="1"/>
    <col min="13822" max="13822" width="13.28515625" style="37" customWidth="1"/>
    <col min="13823" max="13823" width="9.42578125" style="37" customWidth="1"/>
    <col min="13824" max="13824" width="6.42578125" style="37" customWidth="1"/>
    <col min="13825" max="13825" width="11.5703125" style="37" customWidth="1"/>
    <col min="13826" max="13826" width="12.85546875" style="37" bestFit="1" customWidth="1"/>
    <col min="13827" max="13827" width="25.5703125" style="37" customWidth="1"/>
    <col min="13828" max="14075" width="9" style="37"/>
    <col min="14076" max="14076" width="8.7109375" style="37" customWidth="1"/>
    <col min="14077" max="14077" width="45.140625" style="37" customWidth="1"/>
    <col min="14078" max="14078" width="13.28515625" style="37" customWidth="1"/>
    <col min="14079" max="14079" width="9.42578125" style="37" customWidth="1"/>
    <col min="14080" max="14080" width="6.42578125" style="37" customWidth="1"/>
    <col min="14081" max="14081" width="11.5703125" style="37" customWidth="1"/>
    <col min="14082" max="14082" width="12.85546875" style="37" bestFit="1" customWidth="1"/>
    <col min="14083" max="14083" width="25.5703125" style="37" customWidth="1"/>
    <col min="14084" max="14331" width="9" style="37"/>
    <col min="14332" max="14332" width="8.7109375" style="37" customWidth="1"/>
    <col min="14333" max="14333" width="45.140625" style="37" customWidth="1"/>
    <col min="14334" max="14334" width="13.28515625" style="37" customWidth="1"/>
    <col min="14335" max="14335" width="9.42578125" style="37" customWidth="1"/>
    <col min="14336" max="14336" width="6.42578125" style="37" customWidth="1"/>
    <col min="14337" max="14337" width="11.5703125" style="37" customWidth="1"/>
    <col min="14338" max="14338" width="12.85546875" style="37" bestFit="1" customWidth="1"/>
    <col min="14339" max="14339" width="25.5703125" style="37" customWidth="1"/>
    <col min="14340" max="14587" width="9" style="37"/>
    <col min="14588" max="14588" width="8.7109375" style="37" customWidth="1"/>
    <col min="14589" max="14589" width="45.140625" style="37" customWidth="1"/>
    <col min="14590" max="14590" width="13.28515625" style="37" customWidth="1"/>
    <col min="14591" max="14591" width="9.42578125" style="37" customWidth="1"/>
    <col min="14592" max="14592" width="6.42578125" style="37" customWidth="1"/>
    <col min="14593" max="14593" width="11.5703125" style="37" customWidth="1"/>
    <col min="14594" max="14594" width="12.85546875" style="37" bestFit="1" customWidth="1"/>
    <col min="14595" max="14595" width="25.5703125" style="37" customWidth="1"/>
    <col min="14596" max="14843" width="9" style="37"/>
    <col min="14844" max="14844" width="8.7109375" style="37" customWidth="1"/>
    <col min="14845" max="14845" width="45.140625" style="37" customWidth="1"/>
    <col min="14846" max="14846" width="13.28515625" style="37" customWidth="1"/>
    <col min="14847" max="14847" width="9.42578125" style="37" customWidth="1"/>
    <col min="14848" max="14848" width="6.42578125" style="37" customWidth="1"/>
    <col min="14849" max="14849" width="11.5703125" style="37" customWidth="1"/>
    <col min="14850" max="14850" width="12.85546875" style="37" bestFit="1" customWidth="1"/>
    <col min="14851" max="14851" width="25.5703125" style="37" customWidth="1"/>
    <col min="14852" max="15099" width="9" style="37"/>
    <col min="15100" max="15100" width="8.7109375" style="37" customWidth="1"/>
    <col min="15101" max="15101" width="45.140625" style="37" customWidth="1"/>
    <col min="15102" max="15102" width="13.28515625" style="37" customWidth="1"/>
    <col min="15103" max="15103" width="9.42578125" style="37" customWidth="1"/>
    <col min="15104" max="15104" width="6.42578125" style="37" customWidth="1"/>
    <col min="15105" max="15105" width="11.5703125" style="37" customWidth="1"/>
    <col min="15106" max="15106" width="12.85546875" style="37" bestFit="1" customWidth="1"/>
    <col min="15107" max="15107" width="25.5703125" style="37" customWidth="1"/>
    <col min="15108" max="15355" width="9" style="37"/>
    <col min="15356" max="15356" width="8.7109375" style="37" customWidth="1"/>
    <col min="15357" max="15357" width="45.140625" style="37" customWidth="1"/>
    <col min="15358" max="15358" width="13.28515625" style="37" customWidth="1"/>
    <col min="15359" max="15359" width="9.42578125" style="37" customWidth="1"/>
    <col min="15360" max="15360" width="6.42578125" style="37" customWidth="1"/>
    <col min="15361" max="15361" width="11.5703125" style="37" customWidth="1"/>
    <col min="15362" max="15362" width="12.85546875" style="37" bestFit="1" customWidth="1"/>
    <col min="15363" max="15363" width="25.5703125" style="37" customWidth="1"/>
    <col min="15364" max="15611" width="9" style="37"/>
    <col min="15612" max="15612" width="8.7109375" style="37" customWidth="1"/>
    <col min="15613" max="15613" width="45.140625" style="37" customWidth="1"/>
    <col min="15614" max="15614" width="13.28515625" style="37" customWidth="1"/>
    <col min="15615" max="15615" width="9.42578125" style="37" customWidth="1"/>
    <col min="15616" max="15616" width="6.42578125" style="37" customWidth="1"/>
    <col min="15617" max="15617" width="11.5703125" style="37" customWidth="1"/>
    <col min="15618" max="15618" width="12.85546875" style="37" bestFit="1" customWidth="1"/>
    <col min="15619" max="15619" width="25.5703125" style="37" customWidth="1"/>
    <col min="15620" max="15867" width="9" style="37"/>
    <col min="15868" max="15868" width="8.7109375" style="37" customWidth="1"/>
    <col min="15869" max="15869" width="45.140625" style="37" customWidth="1"/>
    <col min="15870" max="15870" width="13.28515625" style="37" customWidth="1"/>
    <col min="15871" max="15871" width="9.42578125" style="37" customWidth="1"/>
    <col min="15872" max="15872" width="6.42578125" style="37" customWidth="1"/>
    <col min="15873" max="15873" width="11.5703125" style="37" customWidth="1"/>
    <col min="15874" max="15874" width="12.85546875" style="37" bestFit="1" customWidth="1"/>
    <col min="15875" max="15875" width="25.5703125" style="37" customWidth="1"/>
    <col min="15876" max="16123" width="9" style="37"/>
    <col min="16124" max="16124" width="8.7109375" style="37" customWidth="1"/>
    <col min="16125" max="16125" width="45.140625" style="37" customWidth="1"/>
    <col min="16126" max="16126" width="13.28515625" style="37" customWidth="1"/>
    <col min="16127" max="16127" width="9.42578125" style="37" customWidth="1"/>
    <col min="16128" max="16128" width="6.42578125" style="37" customWidth="1"/>
    <col min="16129" max="16129" width="11.5703125" style="37" customWidth="1"/>
    <col min="16130" max="16130" width="12.85546875" style="37" bestFit="1" customWidth="1"/>
    <col min="16131" max="16131" width="25.5703125" style="37" customWidth="1"/>
    <col min="16132" max="16384" width="9" style="37"/>
  </cols>
  <sheetData>
    <row r="1" spans="1:13" ht="16.5" customHeight="1"/>
    <row r="2" spans="1:13" ht="27" customHeight="1">
      <c r="A2" s="39" t="s">
        <v>67</v>
      </c>
      <c r="B2" s="39" t="str">
        <f>+'PO 1st page'!K11</f>
        <v>SAC2-DS-PO-0520</v>
      </c>
      <c r="C2" s="187" t="s">
        <v>68</v>
      </c>
      <c r="D2" s="187"/>
      <c r="E2" s="187"/>
      <c r="F2" s="187"/>
      <c r="G2" s="40"/>
      <c r="H2" s="40"/>
    </row>
    <row r="3" spans="1:13" s="46" customFormat="1" ht="28.5" customHeight="1" thickBot="1">
      <c r="A3" s="41" t="s">
        <v>69</v>
      </c>
      <c r="B3" s="42">
        <f>+'PO 1st page'!K10</f>
        <v>46321</v>
      </c>
      <c r="C3" s="43"/>
      <c r="D3" s="44"/>
      <c r="E3" s="188" t="s">
        <v>70</v>
      </c>
      <c r="F3" s="188"/>
      <c r="G3" s="188"/>
      <c r="H3" s="188"/>
      <c r="I3" s="45"/>
    </row>
    <row r="4" spans="1:13" s="47" customFormat="1" ht="28.5" customHeight="1" thickTop="1">
      <c r="A4" s="189" t="s">
        <v>71</v>
      </c>
      <c r="B4" s="191" t="s">
        <v>72</v>
      </c>
      <c r="C4" s="192"/>
      <c r="D4" s="195" t="s">
        <v>129</v>
      </c>
      <c r="E4" s="195" t="s">
        <v>128</v>
      </c>
      <c r="F4" s="197" t="str">
        <f>'PO 1st page'!C9</f>
        <v>JSAJ(Jassim Saif Amer Aljaberi Trading Est.)</v>
      </c>
      <c r="G4" s="198"/>
      <c r="H4" s="199" t="s">
        <v>73</v>
      </c>
      <c r="K4" s="48"/>
      <c r="L4" s="48"/>
      <c r="M4" s="48"/>
    </row>
    <row r="5" spans="1:13" s="47" customFormat="1" ht="21.95" customHeight="1">
      <c r="A5" s="190"/>
      <c r="B5" s="193"/>
      <c r="C5" s="194"/>
      <c r="D5" s="196"/>
      <c r="E5" s="196"/>
      <c r="F5" s="49" t="s">
        <v>74</v>
      </c>
      <c r="G5" s="49" t="s">
        <v>42</v>
      </c>
      <c r="H5" s="200"/>
      <c r="K5" s="48"/>
      <c r="L5" s="48"/>
      <c r="M5" s="48"/>
    </row>
    <row r="6" spans="1:13" s="47" customFormat="1" ht="32.1" customHeight="1">
      <c r="A6" s="77">
        <f t="shared" ref="A6:A7" si="0">ROW(A1)</f>
        <v>1</v>
      </c>
      <c r="B6" s="182" t="str">
        <f>MRS!B6&amp;" "&amp;MRS!D6</f>
        <v>Welding rod E7018-1 H4R  3.2mm</v>
      </c>
      <c r="C6" s="182"/>
      <c r="D6" s="119" t="str">
        <f>MRS!G6</f>
        <v>Kg</v>
      </c>
      <c r="E6" s="120">
        <f>MRS!H6</f>
        <v>1500</v>
      </c>
      <c r="F6" s="121">
        <f>+'MRS LIST'!I6</f>
        <v>16.25</v>
      </c>
      <c r="G6" s="122">
        <f>+'MRS LIST'!J6</f>
        <v>24375</v>
      </c>
      <c r="H6" s="78" t="s">
        <v>96</v>
      </c>
      <c r="K6" s="79"/>
      <c r="L6" s="80"/>
      <c r="M6" s="48"/>
    </row>
    <row r="7" spans="1:13" s="47" customFormat="1" ht="32.1" customHeight="1">
      <c r="A7" s="77">
        <f t="shared" si="0"/>
        <v>2</v>
      </c>
      <c r="B7" s="182" t="str">
        <f>MRS!B7&amp;" "&amp;MRS!D7</f>
        <v>Welding rod ENiCrMo-3   3.2mm</v>
      </c>
      <c r="C7" s="182"/>
      <c r="D7" s="119" t="str">
        <f>MRS!G7</f>
        <v>Kg</v>
      </c>
      <c r="E7" s="120">
        <f>MRS!H7</f>
        <v>100</v>
      </c>
      <c r="F7" s="121">
        <f>+'MRS LIST'!I7</f>
        <v>268</v>
      </c>
      <c r="G7" s="122">
        <f>+'MRS LIST'!J7</f>
        <v>26800</v>
      </c>
      <c r="H7" s="78"/>
      <c r="K7" s="79"/>
      <c r="L7" s="80"/>
      <c r="M7" s="48"/>
    </row>
    <row r="8" spans="1:13" s="47" customFormat="1" ht="23.1" customHeight="1">
      <c r="A8" s="183" t="s">
        <v>75</v>
      </c>
      <c r="B8" s="184"/>
      <c r="C8" s="184"/>
      <c r="D8" s="184"/>
      <c r="E8" s="184"/>
      <c r="F8" s="184"/>
      <c r="G8" s="50">
        <f>SUM(G6:G7)</f>
        <v>51175</v>
      </c>
      <c r="H8" s="51"/>
    </row>
    <row r="9" spans="1:13" s="47" customFormat="1" ht="23.1" customHeight="1">
      <c r="A9" s="183" t="s">
        <v>41</v>
      </c>
      <c r="B9" s="184"/>
      <c r="C9" s="184"/>
      <c r="D9" s="184"/>
      <c r="E9" s="184"/>
      <c r="F9" s="184"/>
      <c r="G9" s="50">
        <f>+G8*0.15</f>
        <v>7676.25</v>
      </c>
      <c r="H9" s="51"/>
    </row>
    <row r="10" spans="1:13" s="47" customFormat="1" ht="24.95" customHeight="1" thickBot="1">
      <c r="A10" s="185" t="s">
        <v>76</v>
      </c>
      <c r="B10" s="186"/>
      <c r="C10" s="186"/>
      <c r="D10" s="186"/>
      <c r="E10" s="186"/>
      <c r="F10" s="186"/>
      <c r="G10" s="52">
        <f>G9+G8</f>
        <v>58851.25</v>
      </c>
      <c r="H10" s="53"/>
    </row>
    <row r="11" spans="1:13" ht="15.75" thickTop="1">
      <c r="A11" s="54" t="str">
        <f>" 1) Above Price are as per your quotation with ref "&amp;'PO 1st page'!K14</f>
        <v xml:space="preserve"> 1) Above Price are as per your quotation with ref Q-20263265</v>
      </c>
      <c r="B11" s="55"/>
      <c r="C11" s="55"/>
      <c r="D11" s="56"/>
      <c r="E11" s="56"/>
      <c r="F11" s="56"/>
      <c r="G11" s="56"/>
      <c r="H11" s="56"/>
    </row>
    <row r="12" spans="1:13" ht="15">
      <c r="A12" s="57" t="s">
        <v>77</v>
      </c>
      <c r="B12" s="58"/>
      <c r="C12" s="58"/>
      <c r="D12" s="59"/>
      <c r="E12" s="59"/>
      <c r="F12" s="59"/>
      <c r="G12" s="59"/>
      <c r="H12" s="59"/>
      <c r="I12" s="60"/>
    </row>
    <row r="13" spans="1:13" ht="15.75">
      <c r="A13" s="61"/>
    </row>
    <row r="14" spans="1:13">
      <c r="A14" s="173" t="s">
        <v>78</v>
      </c>
      <c r="B14" s="173"/>
      <c r="C14" s="173"/>
      <c r="D14" s="173"/>
      <c r="E14" s="173"/>
      <c r="F14" s="173"/>
      <c r="G14" s="173"/>
      <c r="H14" s="173"/>
      <c r="I14" s="62"/>
      <c r="J14" s="62"/>
      <c r="K14" s="62"/>
      <c r="L14" s="62"/>
      <c r="M14" s="62"/>
    </row>
    <row r="15" spans="1:13" ht="15.75">
      <c r="A15" s="61"/>
      <c r="C15" s="63"/>
    </row>
    <row r="16" spans="1:13" ht="15.75">
      <c r="A16" s="61"/>
      <c r="C16" s="63"/>
    </row>
    <row r="18" ht="12" customHeight="1"/>
  </sheetData>
  <mergeCells count="14">
    <mergeCell ref="A8:F8"/>
    <mergeCell ref="A9:F9"/>
    <mergeCell ref="A10:F10"/>
    <mergeCell ref="A14:H14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</mergeCells>
  <phoneticPr fontId="7" type="noConversion"/>
  <printOptions horizontalCentered="1"/>
  <pageMargins left="0.39370078740157499" right="0.39370078740157499" top="0.39370078740157499" bottom="0.39370078740157499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MRS!Print_Titles</vt:lpstr>
      <vt:lpstr>'MRS LIST'!Print_Titles</vt:lpstr>
      <vt:lpstr>'PO 2nd page'!Print_Titles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shadab khan</cp:lastModifiedBy>
  <cp:lastPrinted>2026-10-26T11:42:01Z</cp:lastPrinted>
  <dcterms:created xsi:type="dcterms:W3CDTF">2024-10-20T11:50:19Z</dcterms:created>
  <dcterms:modified xsi:type="dcterms:W3CDTF">2026-10-26T11:42:49Z</dcterms:modified>
</cp:coreProperties>
</file>