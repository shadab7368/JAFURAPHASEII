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shadab\PO\JASSIM\Q-20263265\"/>
    </mc:Choice>
  </mc:AlternateContent>
  <xr:revisionPtr revIDLastSave="0" documentId="13_ncr:1_{AD729E38-C95F-4E10-A43F-D9AAE8F5BC6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양식" sheetId="2" r:id="rId1"/>
    <sheet name="샘플_AGTC  소모품_1차" sheetId="1" r:id="rId2"/>
  </sheets>
  <externalReferences>
    <externalReference r:id="rId3"/>
  </externalReferences>
  <definedNames>
    <definedName name="__2_0__123Grap" localSheetId="1" hidden="1">#REF!</definedName>
    <definedName name="__2_0__123Grap" localSheetId="0" hidden="1">#REF!</definedName>
    <definedName name="__2_0__123Grap" hidden="1">#REF!</definedName>
    <definedName name="__4_0_Dist_" localSheetId="1" hidden="1">#REF!</definedName>
    <definedName name="__4_0_Dist_" localSheetId="0" hidden="1">#REF!</definedName>
    <definedName name="__4_0_Dist_" hidden="1">#REF!</definedName>
    <definedName name="_1_0__123Grap" localSheetId="1" hidden="1">#REF!</definedName>
    <definedName name="_1_0__123Grap" localSheetId="0" hidden="1">#REF!</definedName>
    <definedName name="_1_0__123Grap" hidden="1">#REF!</definedName>
    <definedName name="_1_123Grap" localSheetId="1" hidden="1">#REF!</definedName>
    <definedName name="_1_123Grap" localSheetId="0" hidden="1">#REF!</definedName>
    <definedName name="_1_123Grap" hidden="1">#REF!</definedName>
    <definedName name="_15_0_0_F" localSheetId="1" hidden="1">#REF!</definedName>
    <definedName name="_15_0_0_F" localSheetId="0" hidden="1">#REF!</definedName>
    <definedName name="_15_0_0_F" hidden="1">#REF!</definedName>
    <definedName name="_2_0__123Grap" localSheetId="1" hidden="1">#REF!</definedName>
    <definedName name="_2_0__123Grap" localSheetId="0" hidden="1">#REF!</definedName>
    <definedName name="_2_0__123Grap" hidden="1">#REF!</definedName>
    <definedName name="_2_0_Dist_" localSheetId="1" hidden="1">#REF!</definedName>
    <definedName name="_2_0_Dist_" localSheetId="0" hidden="1">#REF!</definedName>
    <definedName name="_2_0_Dist_" hidden="1">#REF!</definedName>
    <definedName name="_2Dist_" localSheetId="1" hidden="1">#REF!</definedName>
    <definedName name="_2Dist_" localSheetId="0" hidden="1">#REF!</definedName>
    <definedName name="_2Dist_" hidden="1">#REF!</definedName>
    <definedName name="_3F" localSheetId="1" hidden="1">#REF!</definedName>
    <definedName name="_3F" localSheetId="0" hidden="1">#REF!</definedName>
    <definedName name="_3F" hidden="1">#REF!</definedName>
    <definedName name="_4_0_0_F" localSheetId="1" hidden="1">#REF!</definedName>
    <definedName name="_4_0_0_F" localSheetId="0" hidden="1">#REF!</definedName>
    <definedName name="_4_0_0_F" hidden="1">#REF!</definedName>
    <definedName name="_4_0_Dist_" localSheetId="1" hidden="1">#REF!</definedName>
    <definedName name="_4_0_Dist_" localSheetId="0" hidden="1">#REF!</definedName>
    <definedName name="_4_0_Dist_" hidden="1">#REF!</definedName>
    <definedName name="_6_0__123Grap" localSheetId="1" hidden="1">#REF!</definedName>
    <definedName name="_6_0__123Grap" localSheetId="0" hidden="1">#REF!</definedName>
    <definedName name="_6_0__123Grap" hidden="1">#REF!</definedName>
    <definedName name="_7_0_0_F" localSheetId="1" hidden="1">#REF!</definedName>
    <definedName name="_7_0_0_F" localSheetId="0" hidden="1">#REF!</definedName>
    <definedName name="_7_0_0_F" hidden="1">#REF!</definedName>
    <definedName name="_8_0_0_F" localSheetId="1" hidden="1">#REF!</definedName>
    <definedName name="_8_0_0_F" localSheetId="0" hidden="1">#REF!</definedName>
    <definedName name="_8_0_0_F" hidden="1">#REF!</definedName>
    <definedName name="_9_0_Dist_" localSheetId="1" hidden="1">#REF!</definedName>
    <definedName name="_9_0_Dist_" localSheetId="0" hidden="1">#REF!</definedName>
    <definedName name="_9_0_Dist_" hidden="1">#REF!</definedName>
    <definedName name="_Dist_Bin" localSheetId="1" hidden="1">#REF!</definedName>
    <definedName name="_Dist_Bin" localSheetId="0" hidden="1">#REF!</definedName>
    <definedName name="_Dist_Bin" hidden="1">#REF!</definedName>
    <definedName name="_Fill" localSheetId="1" hidden="1">#REF!</definedName>
    <definedName name="_Fill" localSheetId="0" hidden="1">#REF!</definedName>
    <definedName name="_Fill" hidden="1">#REF!</definedName>
    <definedName name="_xlnm._FilterDatabase" localSheetId="1" hidden="1">#REF!</definedName>
    <definedName name="_xlnm._FilterDatabase" localSheetId="0" hidden="1">#REF!</definedName>
    <definedName name="_xlnm._FilterDatabase" hidden="1">#REF!</definedName>
    <definedName name="_Key1" localSheetId="1" hidden="1">#REF!</definedName>
    <definedName name="_Key1" localSheetId="0" hidden="1">#REF!</definedName>
    <definedName name="_Key1" hidden="1">#REF!</definedName>
    <definedName name="_Key2" localSheetId="1" hidden="1">#REF!</definedName>
    <definedName name="_Key2" localSheetId="0" hidden="1">#REF!</definedName>
    <definedName name="_Key2" hidden="1">#REF!</definedName>
    <definedName name="_Order1" hidden="1">255</definedName>
    <definedName name="_Order2" hidden="1">0</definedName>
    <definedName name="_Sort" hidden="1">[1]업무분장!$A$1:$IV$4072</definedName>
    <definedName name="´cAE°eE¹" localSheetId="1" hidden="1">#REF!</definedName>
    <definedName name="´cAE°eE¹" localSheetId="0" hidden="1">#REF!</definedName>
    <definedName name="´cAE°eE¹" hidden="1">#REF!</definedName>
    <definedName name="￠￥cAE¡ÆeEⓒo" localSheetId="1" hidden="1">#REF!</definedName>
    <definedName name="￠￥cAE¡ÆeEⓒo" localSheetId="0" hidden="1">#REF!</definedName>
    <definedName name="￠￥cAE¡ÆeEⓒo" hidden="1">#REF!</definedName>
    <definedName name="AccessDatabase" hidden="1">"C:\My Documents\EXCEL\Insitu\내역서-금차분.mdb"</definedName>
    <definedName name="adklfj" localSheetId="1" hidden="1">#REF!</definedName>
    <definedName name="adklfj" localSheetId="0" hidden="1">#REF!</definedName>
    <definedName name="adklfj" hidden="1">#REF!</definedName>
    <definedName name="anscount" hidden="1">1</definedName>
    <definedName name="AZ" localSheetId="1" hidden="1">#REF!</definedName>
    <definedName name="AZ" localSheetId="0" hidden="1">#REF!</definedName>
    <definedName name="AZ" hidden="1">#REF!</definedName>
    <definedName name="BV" localSheetId="1" hidden="1">#REF!</definedName>
    <definedName name="BV" localSheetId="0" hidden="1">#REF!</definedName>
    <definedName name="BV" hidden="1">#REF!</definedName>
    <definedName name="dfsf" localSheetId="1" hidden="1">#REF!</definedName>
    <definedName name="dfsf" localSheetId="0" hidden="1">#REF!</definedName>
    <definedName name="dfsf" hidden="1">#REF!</definedName>
    <definedName name="djflkdslfj" localSheetId="1" hidden="1">#REF!</definedName>
    <definedName name="djflkdslfj" localSheetId="0" hidden="1">#REF!</definedName>
    <definedName name="djflkdslfj" hidden="1">#REF!</definedName>
    <definedName name="dljf" localSheetId="1" hidden="1">#REF!</definedName>
    <definedName name="dljf" localSheetId="0" hidden="1">#REF!</definedName>
    <definedName name="dljf" hidden="1">#REF!</definedName>
    <definedName name="dsf" localSheetId="1" hidden="1">#REF!</definedName>
    <definedName name="dsf" localSheetId="0" hidden="1">#REF!</definedName>
    <definedName name="dsf" hidden="1">#REF!</definedName>
    <definedName name="gdsg" localSheetId="1" hidden="1">#REF!</definedName>
    <definedName name="gdsg" localSheetId="0" hidden="1">#REF!</definedName>
    <definedName name="gdsg" hidden="1">#REF!</definedName>
    <definedName name="HTML_CodePage" hidden="1">949</definedName>
    <definedName name="HTML_Control" localSheetId="1" hidden="1">{"'별표'!$N$220"}</definedName>
    <definedName name="HTML_Control" localSheetId="0" hidden="1">{"'별표'!$N$220"}</definedName>
    <definedName name="HTML_Control" hidden="1">{"'별표'!$N$220"}</definedName>
    <definedName name="HTML_Description" hidden="1">""</definedName>
    <definedName name="HTML_Email" hidden="1">""</definedName>
    <definedName name="HTML_Header" hidden="1">"별표"</definedName>
    <definedName name="HTML_LastUpdate" hidden="1">"98-03-12"</definedName>
    <definedName name="HTML_LineAfter" hidden="1">FALSE</definedName>
    <definedName name="HTML_LineBefore" hidden="1">FALSE</definedName>
    <definedName name="HTML_Name" hidden="1">"나승온"</definedName>
    <definedName name="HTML_OBDlg2" hidden="1">TRUE</definedName>
    <definedName name="HTML_OBDlg4" hidden="1">TRUE</definedName>
    <definedName name="HTML_OS" hidden="1">0</definedName>
    <definedName name="HTML_PathFile" hidden="1">"C:\WINDOWS\Favorites\MyHTML.htm"</definedName>
    <definedName name="HTML_Title" hidden="1">"한전감포"</definedName>
    <definedName name="JY" localSheetId="1" hidden="1">#REF!</definedName>
    <definedName name="JY" localSheetId="0" hidden="1">#REF!</definedName>
    <definedName name="JY" hidden="1">#REF!</definedName>
    <definedName name="_xlnm.Print_Area" localSheetId="1">'샘플_AGTC  소모품_1차'!$A$1:$V$24</definedName>
    <definedName name="_xlnm.Print_Area" localSheetId="0">양식!$A$1:$S$25</definedName>
    <definedName name="_xlnm.Print_Titles" localSheetId="1">'샘플_AGTC  소모품_1차'!$4:$5</definedName>
    <definedName name="SC" localSheetId="1" hidden="1">#REF!</definedName>
    <definedName name="SC" localSheetId="0" hidden="1">#REF!</definedName>
    <definedName name="SC" hidden="1">#REF!</definedName>
    <definedName name="sdfag" localSheetId="1" hidden="1">#REF!</definedName>
    <definedName name="sdfag" localSheetId="0" hidden="1">#REF!</definedName>
    <definedName name="sdfag" hidden="1">#REF!</definedName>
    <definedName name="VC" localSheetId="1" hidden="1">#REF!</definedName>
    <definedName name="VC" localSheetId="0" hidden="1">#REF!</definedName>
    <definedName name="VC" hidden="1">#REF!</definedName>
    <definedName name="VX" localSheetId="1" hidden="1">#REF!</definedName>
    <definedName name="VX" localSheetId="0" hidden="1">#REF!</definedName>
    <definedName name="VX" hidden="1">#REF!</definedName>
    <definedName name="xx" localSheetId="1" hidden="1">#REF!</definedName>
    <definedName name="xx" localSheetId="0" hidden="1">#REF!</definedName>
    <definedName name="xx" hidden="1">#REF!</definedName>
    <definedName name="가" localSheetId="1" hidden="1">#REF!</definedName>
    <definedName name="가" localSheetId="0" hidden="1">#REF!</definedName>
    <definedName name="가" hidden="1">#REF!</definedName>
    <definedName name="강릉교동" localSheetId="1" hidden="1">#REF!</definedName>
    <definedName name="강릉교동" localSheetId="0" hidden="1">#REF!</definedName>
    <definedName name="강릉교동" hidden="1">#REF!</definedName>
    <definedName name="강릉교동터파기" localSheetId="1" hidden="1">#REF!</definedName>
    <definedName name="강릉교동터파기" localSheetId="0" hidden="1">#REF!</definedName>
    <definedName name="강릉교동터파기" hidden="1">#REF!</definedName>
    <definedName name="강릉교동토목" localSheetId="1" hidden="1">#REF!</definedName>
    <definedName name="강릉교동토목" localSheetId="0" hidden="1">#REF!</definedName>
    <definedName name="강릉교동토목" hidden="1">#REF!</definedName>
    <definedName name="강릉교동흙막이" localSheetId="1" hidden="1">#REF!</definedName>
    <definedName name="강릉교동흙막이" localSheetId="0" hidden="1">#REF!</definedName>
    <definedName name="강릉교동흙막이" hidden="1">#REF!</definedName>
    <definedName name="강릉토공사" localSheetId="1" hidden="1">#REF!</definedName>
    <definedName name="강릉토공사" localSheetId="0" hidden="1">#REF!</definedName>
    <definedName name="강릉토공사" hidden="1">#REF!</definedName>
    <definedName name="강릉토목공사" localSheetId="1" hidden="1">#REF!</definedName>
    <definedName name="강릉토목공사" localSheetId="0" hidden="1">#REF!</definedName>
    <definedName name="강릉토목공사" hidden="1">#REF!</definedName>
    <definedName name="강릉토목임" localSheetId="1" hidden="1">#REF!</definedName>
    <definedName name="강릉토목임" localSheetId="0" hidden="1">#REF!</definedName>
    <definedName name="강릉토목임" hidden="1">#REF!</definedName>
    <definedName name="경비1" localSheetId="1" hidden="1">#REF!</definedName>
    <definedName name="경비1" localSheetId="0" hidden="1">#REF!</definedName>
    <definedName name="경비1" hidden="1">#REF!</definedName>
    <definedName name="고가" hidden="1">#N/A</definedName>
    <definedName name="교동토" localSheetId="1" hidden="1">#REF!</definedName>
    <definedName name="교동토" localSheetId="0" hidden="1">#REF!</definedName>
    <definedName name="교동토" hidden="1">#REF!</definedName>
    <definedName name="당초계획" localSheetId="1" hidden="1">#REF!</definedName>
    <definedName name="당초계획" localSheetId="0" hidden="1">#REF!</definedName>
    <definedName name="당초계획" hidden="1">#REF!</definedName>
    <definedName name="대구신당동" localSheetId="1" hidden="1">{"'별표'!$N$220"}</definedName>
    <definedName name="대구신당동" localSheetId="0" hidden="1">{"'별표'!$N$220"}</definedName>
    <definedName name="대구신당동" hidden="1">{"'별표'!$N$220"}</definedName>
    <definedName name="ㅀ" localSheetId="1" hidden="1">#REF!</definedName>
    <definedName name="ㅀ" localSheetId="0" hidden="1">#REF!</definedName>
    <definedName name="ㅀ" hidden="1">#REF!</definedName>
    <definedName name="ㅁㅇㅇㅁㅇ" localSheetId="1" hidden="1">#REF!</definedName>
    <definedName name="ㅁㅇㅇㅁㅇ" localSheetId="0" hidden="1">#REF!</definedName>
    <definedName name="ㅁㅇㅇㅁㅇ" hidden="1">#REF!</definedName>
    <definedName name="미동의이주" hidden="1">#N/A</definedName>
    <definedName name="부대건축2" localSheetId="1" hidden="1">#REF!</definedName>
    <definedName name="부대건축2" localSheetId="0" hidden="1">#REF!</definedName>
    <definedName name="부대건축2" hidden="1">#REF!</definedName>
    <definedName name="설계내역서" localSheetId="1" hidden="1">{"'별표'!$N$220"}</definedName>
    <definedName name="설계내역서" localSheetId="0" hidden="1">{"'별표'!$N$220"}</definedName>
    <definedName name="설계내역서" hidden="1">{"'별표'!$N$220"}</definedName>
    <definedName name="설서" localSheetId="1" hidden="1">{"'별표'!$N$220"}</definedName>
    <definedName name="설서" localSheetId="0" hidden="1">{"'별표'!$N$220"}</definedName>
    <definedName name="설서" hidden="1">{"'별표'!$N$220"}</definedName>
    <definedName name="손익계산서" localSheetId="1" hidden="1">#REF!</definedName>
    <definedName name="손익계산서" localSheetId="0" hidden="1">#REF!</definedName>
    <definedName name="손익계산서" hidden="1">#REF!</definedName>
    <definedName name="ㅇㄹ" localSheetId="1" hidden="1">#REF!</definedName>
    <definedName name="ㅇㄹ" localSheetId="0" hidden="1">#REF!</definedName>
    <definedName name="ㅇㄹ" hidden="1">#REF!</definedName>
    <definedName name="아안녕" localSheetId="1" hidden="1">{"'별표'!$N$220"}</definedName>
    <definedName name="아안녕" localSheetId="0" hidden="1">{"'별표'!$N$220"}</definedName>
    <definedName name="아안녕" hidden="1">{"'별표'!$N$220"}</definedName>
    <definedName name="안녕" localSheetId="1" hidden="1">{"'별표'!$N$220"}</definedName>
    <definedName name="안녕" localSheetId="0" hidden="1">{"'별표'!$N$220"}</definedName>
    <definedName name="안녕" hidden="1">{"'별표'!$N$220"}</definedName>
    <definedName name="이름모름" localSheetId="1" hidden="1">{"'별표'!$N$220"}</definedName>
    <definedName name="이름모름" localSheetId="0" hidden="1">{"'별표'!$N$220"}</definedName>
    <definedName name="이름모름" hidden="1">{"'별표'!$N$220"}</definedName>
    <definedName name="자금운영7차" hidden="1">#N/A</definedName>
    <definedName name="타사공사비1" localSheetId="1" hidden="1">#REF!</definedName>
    <definedName name="타사공사비1" localSheetId="0" hidden="1">#REF!</definedName>
    <definedName name="타사공사비1" hidden="1">#REF!</definedName>
    <definedName name="토목공사강릉" localSheetId="1" hidden="1">#REF!</definedName>
    <definedName name="토목공사강릉" localSheetId="0" hidden="1">#REF!</definedName>
    <definedName name="토목공사강릉" hidden="1">#REF!</definedName>
    <definedName name="ㅎㅎ" localSheetId="1" hidden="1">{"'별표'!$N$220"}</definedName>
    <definedName name="ㅎㅎ" localSheetId="0" hidden="1">{"'별표'!$N$220"}</definedName>
    <definedName name="ㅎㅎ" hidden="1">{"'별표'!$N$220"}</definedName>
    <definedName name="현대코아공통비" localSheetId="1" hidden="1">#REF!</definedName>
    <definedName name="현대코아공통비" localSheetId="0" hidden="1">#REF!</definedName>
    <definedName name="현대코아공통비" hidden="1">#REF!</definedName>
    <definedName name="협조전" localSheetId="1" hidden="1">#REF!</definedName>
    <definedName name="협조전" localSheetId="0" hidden="1">#REF!</definedName>
    <definedName name="협조전" hidden="1">#REF!</definedName>
    <definedName name="호ㅓ" localSheetId="1" hidden="1">#REF!</definedName>
    <definedName name="호ㅓ" localSheetId="0" hidden="1">#REF!</definedName>
    <definedName name="호ㅓ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9" i="1" l="1"/>
  <c r="I6" i="1"/>
  <c r="H6" i="1"/>
  <c r="S7" i="1"/>
  <c r="O7" i="1"/>
  <c r="B24" i="1" l="1"/>
  <c r="K7" i="1"/>
  <c r="Q7" i="1" s="1"/>
  <c r="G8" i="1"/>
  <c r="U7" i="1" l="1"/>
  <c r="S6" i="1"/>
  <c r="G9" i="1" l="1"/>
  <c r="G10" i="1" s="1"/>
  <c r="G11" i="1" s="1"/>
  <c r="O6" i="1"/>
  <c r="K6" i="1" l="1"/>
  <c r="R8" i="1" l="1"/>
  <c r="N8" i="1"/>
  <c r="J8" i="1"/>
  <c r="C15" i="1" s="1"/>
  <c r="O9" i="1" l="1"/>
  <c r="O10" i="1" s="1"/>
  <c r="C17" i="1"/>
  <c r="C16" i="1"/>
  <c r="K9" i="1" l="1"/>
  <c r="K10" i="1" s="1"/>
  <c r="Q6" i="1"/>
  <c r="U6" i="1" l="1"/>
  <c r="S9" i="1"/>
  <c r="S10" i="1" s="1"/>
  <c r="O11" i="1"/>
  <c r="J16" i="1" l="1"/>
  <c r="S11" i="1"/>
  <c r="J17" i="1" l="1"/>
  <c r="N16" i="1"/>
  <c r="R16" i="1" l="1"/>
  <c r="N17" i="1"/>
  <c r="R17" i="1"/>
  <c r="K11" i="1" l="1"/>
  <c r="Q9" i="1"/>
  <c r="E15" i="1" l="1"/>
  <c r="U11" i="1"/>
  <c r="Q11" i="1"/>
  <c r="J15" i="1"/>
  <c r="L16" i="1" l="1"/>
  <c r="L17" i="1"/>
  <c r="R15" i="1"/>
  <c r="N15" i="1"/>
  <c r="T16" i="1"/>
  <c r="P17" i="1"/>
  <c r="T17" i="1"/>
  <c r="P16" i="1"/>
  <c r="Q15" i="1" l="1"/>
  <c r="P15" i="1"/>
  <c r="U15" i="1"/>
  <c r="T1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H6" authorId="0" shapeId="0" xr:uid="{B5A041AF-707D-462D-92F2-39DF3725522C}">
      <text>
        <r>
          <rPr>
            <b/>
            <sz val="9"/>
            <color indexed="81"/>
            <rFont val="Tahoma"/>
            <charset val="1"/>
          </rPr>
          <t>PO NUMBER</t>
        </r>
        <r>
          <rPr>
            <sz val="9"/>
            <color indexed="81"/>
            <rFont val="Tahoma"/>
            <charset val="1"/>
          </rPr>
          <t xml:space="preserve">
SAC2-DS-MRS-0268</t>
        </r>
      </text>
    </comment>
  </commentList>
</comments>
</file>

<file path=xl/sharedStrings.xml><?xml version="1.0" encoding="utf-8"?>
<sst xmlns="http://schemas.openxmlformats.org/spreadsheetml/2006/main" count="98" uniqueCount="66">
  <si>
    <t>1. 가격 검토표</t>
    <phoneticPr fontId="4" type="noConversion"/>
  </si>
  <si>
    <t>[Currency : SAR]</t>
    <phoneticPr fontId="4" type="noConversion"/>
  </si>
  <si>
    <t>No.</t>
    <phoneticPr fontId="4" type="noConversion"/>
  </si>
  <si>
    <t>Item Name</t>
    <phoneticPr fontId="4" type="noConversion"/>
  </si>
  <si>
    <t>Specification</t>
    <phoneticPr fontId="4" type="noConversion"/>
  </si>
  <si>
    <t>Unit measure</t>
    <phoneticPr fontId="4" type="noConversion"/>
  </si>
  <si>
    <t>수량</t>
    <phoneticPr fontId="4" type="noConversion"/>
  </si>
  <si>
    <t>입찰(견적) 금액 ①</t>
    <phoneticPr fontId="4" type="noConversion"/>
  </si>
  <si>
    <t>검토 금액 ②</t>
    <phoneticPr fontId="4" type="noConversion"/>
  </si>
  <si>
    <t>검토 금액 ③</t>
    <phoneticPr fontId="4" type="noConversion"/>
  </si>
  <si>
    <t>비 고</t>
    <phoneticPr fontId="4" type="noConversion"/>
  </si>
  <si>
    <t>단가</t>
    <phoneticPr fontId="4" type="noConversion"/>
  </si>
  <si>
    <t>총액</t>
    <phoneticPr fontId="4" type="noConversion"/>
  </si>
  <si>
    <t>Spec. or Brand</t>
    <phoneticPr fontId="4" type="noConversion"/>
  </si>
  <si>
    <t>%</t>
    <phoneticPr fontId="4" type="noConversion"/>
  </si>
  <si>
    <t>단가</t>
    <phoneticPr fontId="4" type="noConversion"/>
  </si>
  <si>
    <t>총액</t>
    <phoneticPr fontId="4" type="noConversion"/>
  </si>
  <si>
    <t>Spec. or Brand</t>
    <phoneticPr fontId="4" type="noConversion"/>
  </si>
  <si>
    <t>% (②/①)</t>
    <phoneticPr fontId="4" type="noConversion"/>
  </si>
  <si>
    <t>Spec. or Brand</t>
    <phoneticPr fontId="4" type="noConversion"/>
  </si>
  <si>
    <t>% (③/①)</t>
    <phoneticPr fontId="4" type="noConversion"/>
  </si>
  <si>
    <t>Supplier Company</t>
    <phoneticPr fontId="4" type="noConversion"/>
  </si>
  <si>
    <t>Total Taxable Amount</t>
    <phoneticPr fontId="4" type="noConversion"/>
  </si>
  <si>
    <t>15 % VAT for Total Taxable amount</t>
    <phoneticPr fontId="4" type="noConversion"/>
  </si>
  <si>
    <t xml:space="preserve"> 합계  ④</t>
    <phoneticPr fontId="4" type="noConversion"/>
  </si>
  <si>
    <t>[Currency : SAR]</t>
    <phoneticPr fontId="4" type="noConversion"/>
  </si>
  <si>
    <t>순</t>
    <phoneticPr fontId="4" type="noConversion"/>
  </si>
  <si>
    <t>업체명</t>
    <phoneticPr fontId="4" type="noConversion"/>
  </si>
  <si>
    <t>예산 ④</t>
    <phoneticPr fontId="4" type="noConversion"/>
  </si>
  <si>
    <t>입찰(견적) 금액</t>
    <phoneticPr fontId="4" type="noConversion"/>
  </si>
  <si>
    <t>예산 (%)</t>
    <phoneticPr fontId="4" type="noConversion"/>
  </si>
  <si>
    <t>검토 금액</t>
    <phoneticPr fontId="4" type="noConversion"/>
  </si>
  <si>
    <t>예산 (%)</t>
    <phoneticPr fontId="4" type="noConversion"/>
  </si>
  <si>
    <t>비고</t>
  </si>
  <si>
    <t>3. 입찰 (견적) 현황 &amp; 특기사항</t>
    <phoneticPr fontId="4" type="noConversion"/>
  </si>
  <si>
    <t>4. 결과</t>
    <phoneticPr fontId="4" type="noConversion"/>
  </si>
  <si>
    <t xml:space="preserve">■ 입찰가 (단가) 검토서 / </t>
    <phoneticPr fontId="4" type="noConversion"/>
  </si>
  <si>
    <t xml:space="preserve">Date : </t>
    <phoneticPr fontId="4" type="noConversion"/>
  </si>
  <si>
    <t>2.                              검토 금액 (VAT inclusive)</t>
  </si>
  <si>
    <t>Unit Price</t>
  </si>
  <si>
    <t>Total Amount</t>
  </si>
  <si>
    <t>Qty</t>
  </si>
  <si>
    <t>Remark</t>
  </si>
  <si>
    <t>1. Price Review Sheet</t>
  </si>
  <si>
    <t>2. Amount under review (VAT inclusive)</t>
  </si>
  <si>
    <t>Total ④</t>
  </si>
  <si>
    <t>No</t>
  </si>
  <si>
    <t>Company Name</t>
  </si>
  <si>
    <t>Budget ④</t>
  </si>
  <si>
    <t>Bid (Quotation) Amount</t>
  </si>
  <si>
    <t>Budget (%)</t>
  </si>
  <si>
    <t>Amount under review</t>
  </si>
  <si>
    <t>Remarks</t>
  </si>
  <si>
    <t>3. Bidding (Quotation) Status &amp; Special Notes</t>
  </si>
  <si>
    <t>4. Results</t>
  </si>
  <si>
    <t>JASSIM SAIF AMER ALIABERI TRADING EST</t>
  </si>
  <si>
    <t>SITE CONSUMABLES</t>
  </si>
  <si>
    <t>■ Bid Price (Unit Price) Review &amp; Compression Sheet</t>
  </si>
  <si>
    <t>Previous Price</t>
  </si>
  <si>
    <t>Welding rod</t>
  </si>
  <si>
    <t>E7018-1 H4R  3.2mm</t>
  </si>
  <si>
    <t>ENiCrMo-3   3.2mm</t>
  </si>
  <si>
    <t>kg</t>
  </si>
  <si>
    <t>JTC (JAHAZ AYED AL-RASHIDI &amp; PARTNER FOR TRAD. &amp; CONT. CO.)</t>
  </si>
  <si>
    <t>OCEAN (OCEAN WINGS COMPANY)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</si>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</sst>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* #,##0_-;\-* #,##0_-;_-* &quot;-&quot;_-;_-@_-"/>
    <numFmt numFmtId="165" formatCode="_-* #,##0.00_-;\-* #,##0.00_-;_-* &quot;-&quot;??_-;_-@_-"/>
    <numFmt numFmtId="166" formatCode="#,##0.000_);[Red]\(#,##0.000\)"/>
    <numFmt numFmtId="167" formatCode="#,##0.000_ ;[Red]\-#,##0.000\ "/>
    <numFmt numFmtId="168" formatCode="#,##0.00_ ;[Red]\-#,##0.00\ "/>
    <numFmt numFmtId="169" formatCode="0.0%"/>
    <numFmt numFmtId="170" formatCode="0.000_ ;[Red]\-0.000\ "/>
    <numFmt numFmtId="171" formatCode="[$-409]d\-mmm\-yyyy;@"/>
  </numFmts>
  <fonts count="46"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b/>
      <sz val="16"/>
      <color theme="1"/>
      <name val="현대하모니 M"/>
      <family val="1"/>
      <charset val="129"/>
    </font>
    <font>
      <sz val="8"/>
      <name val="Calibri"/>
      <family val="2"/>
      <charset val="129"/>
      <scheme val="minor"/>
    </font>
    <font>
      <b/>
      <sz val="11"/>
      <color theme="1"/>
      <name val="현대하모니 M"/>
      <family val="1"/>
      <charset val="129"/>
    </font>
    <font>
      <sz val="8"/>
      <color theme="1"/>
      <name val="현대하모니 M"/>
      <family val="1"/>
      <charset val="129"/>
    </font>
    <font>
      <sz val="11"/>
      <color theme="1"/>
      <name val="현대하모니 M"/>
      <family val="1"/>
      <charset val="129"/>
    </font>
    <font>
      <b/>
      <sz val="8"/>
      <color theme="1"/>
      <name val="현대하모니 M"/>
      <family val="1"/>
      <charset val="129"/>
    </font>
    <font>
      <sz val="9"/>
      <color theme="1"/>
      <name val="현대하모니 M"/>
      <family val="1"/>
      <charset val="129"/>
    </font>
    <font>
      <sz val="9"/>
      <name val="현대하모니 M"/>
      <family val="1"/>
      <charset val="129"/>
    </font>
    <font>
      <b/>
      <sz val="9"/>
      <color rgb="FF3C0BB5"/>
      <name val="현대하모니 M"/>
      <family val="1"/>
      <charset val="129"/>
    </font>
    <font>
      <sz val="11"/>
      <color indexed="8"/>
      <name val="현대하모니 M"/>
      <family val="1"/>
      <charset val="129"/>
    </font>
    <font>
      <b/>
      <sz val="9"/>
      <color theme="1"/>
      <name val="현대하모니 M"/>
      <family val="1"/>
      <charset val="129"/>
    </font>
    <font>
      <b/>
      <sz val="9"/>
      <name val="현대하모니 M"/>
      <family val="1"/>
      <charset val="129"/>
    </font>
    <font>
      <sz val="9"/>
      <color indexed="8"/>
      <name val="현대하모니 M"/>
      <family val="1"/>
      <charset val="129"/>
    </font>
    <font>
      <b/>
      <sz val="9"/>
      <color rgb="FF1802BE"/>
      <name val="현대하모니 M"/>
      <family val="1"/>
      <charset val="129"/>
    </font>
    <font>
      <sz val="9"/>
      <color rgb="FF1802BE"/>
      <name val="현대하모니 M"/>
      <family val="1"/>
      <charset val="129"/>
    </font>
    <font>
      <b/>
      <sz val="10"/>
      <color theme="1"/>
      <name val="현대하모니 M"/>
      <family val="1"/>
      <charset val="129"/>
    </font>
    <font>
      <b/>
      <sz val="10"/>
      <name val="현대하모니 M"/>
      <family val="1"/>
      <charset val="129"/>
    </font>
    <font>
      <sz val="10"/>
      <color theme="1"/>
      <name val="현대하모니 M"/>
      <family val="1"/>
      <charset val="129"/>
    </font>
    <font>
      <sz val="10"/>
      <name val="현대하모니 M"/>
      <family val="1"/>
      <charset val="129"/>
    </font>
    <font>
      <sz val="11"/>
      <name val="현대하모니 M"/>
      <family val="1"/>
      <charset val="129"/>
    </font>
    <font>
      <sz val="11"/>
      <name val="돋움"/>
      <family val="3"/>
      <charset val="129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C0BB5"/>
      <name val="Calibri"/>
      <family val="2"/>
      <scheme val="minor"/>
    </font>
    <font>
      <sz val="10"/>
      <color indexed="8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3C0BB5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9"/>
      <name val="Calibri"/>
      <family val="2"/>
      <scheme val="minor"/>
    </font>
    <font>
      <sz val="9"/>
      <color indexed="8"/>
      <name val="Calibri"/>
      <family val="2"/>
      <scheme val="minor"/>
    </font>
    <font>
      <b/>
      <sz val="9"/>
      <color rgb="FF1802BE"/>
      <name val="Calibri"/>
      <family val="2"/>
      <scheme val="minor"/>
    </font>
    <font>
      <sz val="9"/>
      <color rgb="FF1802BE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07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theme="0" tint="-0.499984740745262"/>
      </right>
      <top style="medium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theme="0" tint="-0.499984740745262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auto="1"/>
      </bottom>
      <diagonal/>
    </border>
    <border>
      <left style="thin">
        <color indexed="64"/>
      </left>
      <right style="thin">
        <color theme="0" tint="-0.499984740745262"/>
      </right>
      <top/>
      <bottom style="double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double">
        <color auto="1"/>
      </bottom>
      <diagonal/>
    </border>
    <border>
      <left style="thin">
        <color indexed="64"/>
      </left>
      <right style="thin">
        <color indexed="64"/>
      </right>
      <top/>
      <bottom style="double">
        <color auto="1"/>
      </bottom>
      <diagonal/>
    </border>
    <border>
      <left style="thin">
        <color theme="0" tint="-0.499984740745262"/>
      </left>
      <right style="thin">
        <color indexed="64"/>
      </right>
      <top/>
      <bottom style="double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auto="1"/>
      </top>
      <bottom/>
      <diagonal/>
    </border>
    <border>
      <left style="thin">
        <color indexed="64"/>
      </left>
      <right style="thin">
        <color indexed="64"/>
      </right>
      <top style="double">
        <color auto="1"/>
      </top>
      <bottom/>
      <diagonal/>
    </border>
    <border>
      <left style="thin">
        <color indexed="64"/>
      </left>
      <right style="medium">
        <color indexed="64"/>
      </right>
      <top style="double">
        <color auto="1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24994659260841701"/>
      </bottom>
      <diagonal/>
    </border>
    <border>
      <left style="medium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499984740745262"/>
      </top>
      <bottom style="thin">
        <color theme="0" tint="-0.24994659260841701"/>
      </bottom>
      <diagonal/>
    </border>
    <border>
      <left/>
      <right/>
      <top style="thin">
        <color theme="0" tint="-0.499984740745262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theme="0" tint="-0.499984740745262"/>
      </top>
      <bottom style="thin">
        <color theme="0" tint="-0.24994659260841701"/>
      </bottom>
      <diagonal/>
    </border>
    <border>
      <left/>
      <right style="hair">
        <color indexed="64"/>
      </right>
      <top/>
      <bottom style="thin">
        <color theme="0" tint="-0.24994659260841701"/>
      </bottom>
      <diagonal/>
    </border>
    <border>
      <left style="hair">
        <color indexed="64"/>
      </left>
      <right style="hair">
        <color indexed="64"/>
      </right>
      <top/>
      <bottom style="thin">
        <color theme="0" tint="-0.24994659260841701"/>
      </bottom>
      <diagonal/>
    </border>
    <border>
      <left style="hair">
        <color indexed="64"/>
      </left>
      <right/>
      <top/>
      <bottom style="thin">
        <color theme="0" tint="-0.24994659260841701"/>
      </bottom>
      <diagonal/>
    </border>
    <border>
      <left style="hair">
        <color indexed="64"/>
      </left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 style="hair">
        <color indexed="64"/>
      </right>
      <top/>
      <bottom style="thin">
        <color theme="0" tint="-0.24994659260841701"/>
      </bottom>
      <diagonal/>
    </border>
    <border>
      <left style="hair">
        <color indexed="64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24994659260841701"/>
      </top>
      <bottom style="medium">
        <color indexed="64"/>
      </bottom>
      <diagonal/>
    </border>
    <border>
      <left/>
      <right/>
      <top style="thin">
        <color theme="0" tint="-0.24994659260841701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24994659260841701"/>
      </top>
      <bottom style="medium">
        <color indexed="64"/>
      </bottom>
      <diagonal/>
    </border>
    <border>
      <left/>
      <right style="hair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hair">
        <color indexed="64"/>
      </left>
      <right/>
      <top style="thin">
        <color theme="0" tint="-0.24994659260841701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auto="1"/>
      </top>
      <bottom style="double">
        <color indexed="64"/>
      </bottom>
      <diagonal/>
    </border>
    <border>
      <left/>
      <right style="hair">
        <color indexed="64"/>
      </right>
      <top style="medium">
        <color indexed="64"/>
      </top>
      <bottom style="double">
        <color indexed="64"/>
      </bottom>
      <diagonal/>
    </border>
    <border>
      <left style="hair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auto="1"/>
      </top>
      <bottom style="double">
        <color auto="1"/>
      </bottom>
      <diagonal/>
    </border>
    <border>
      <left/>
      <right style="medium">
        <color indexed="64"/>
      </right>
      <top style="medium">
        <color auto="1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auto="1"/>
      </top>
      <bottom style="thin">
        <color theme="0" tint="-0.24994659260841701"/>
      </bottom>
      <diagonal/>
    </border>
    <border>
      <left style="thin">
        <color indexed="64"/>
      </left>
      <right/>
      <top style="double">
        <color auto="1"/>
      </top>
      <bottom style="thin">
        <color theme="0" tint="-0.24994659260841701"/>
      </bottom>
      <diagonal/>
    </border>
    <border>
      <left/>
      <right style="thin">
        <color indexed="64"/>
      </right>
      <top style="double">
        <color auto="1"/>
      </top>
      <bottom style="thin">
        <color theme="0" tint="-0.24994659260841701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hair">
        <color indexed="64"/>
      </right>
      <top style="double">
        <color auto="1"/>
      </top>
      <bottom style="thin">
        <color theme="0" tint="-0.24994659260841701"/>
      </bottom>
      <diagonal/>
    </border>
    <border>
      <left style="hair">
        <color indexed="64"/>
      </left>
      <right/>
      <top style="double">
        <color auto="1"/>
      </top>
      <bottom style="thin">
        <color theme="0" tint="-0.24994659260841701"/>
      </bottom>
      <diagonal/>
    </border>
    <border>
      <left/>
      <right style="medium">
        <color indexed="64"/>
      </right>
      <top style="double">
        <color auto="1"/>
      </top>
      <bottom style="thin">
        <color theme="0" tint="-0.24994659260841701"/>
      </bottom>
      <diagonal/>
    </border>
    <border>
      <left style="medium">
        <color indexed="64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hair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hair">
        <color theme="0" tint="-0.24994659260841701"/>
      </left>
      <right style="hair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 style="medium">
        <color theme="0" tint="-0.499984740745262"/>
      </left>
      <right/>
      <top style="thin">
        <color indexed="64"/>
      </top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24994659260841701"/>
      </bottom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medium">
        <color theme="0" tint="-0.499984740745262"/>
      </right>
      <top style="thin">
        <color indexed="64"/>
      </top>
      <bottom style="thin">
        <color theme="0" tint="-0.24994659260841701"/>
      </bottom>
      <diagonal/>
    </border>
  </borders>
  <cellStyleXfs count="5">
    <xf numFmtId="0" fontId="0" fillId="0" borderId="0">
      <alignment vertical="center"/>
    </xf>
    <xf numFmtId="16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3" fillId="0" borderId="0">
      <alignment vertical="center"/>
    </xf>
  </cellStyleXfs>
  <cellXfs count="390">
    <xf numFmtId="0" fontId="0" fillId="0" borderId="0" xfId="0">
      <alignment vertical="center"/>
    </xf>
    <xf numFmtId="0" fontId="3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9" fontId="5" fillId="0" borderId="1" xfId="0" applyNumberFormat="1" applyFont="1" applyBorder="1">
      <alignment vertical="center"/>
    </xf>
    <xf numFmtId="0" fontId="5" fillId="0" borderId="0" xfId="0" applyFont="1" applyAlignment="1">
      <alignment horizontal="right" wrapText="1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9" fontId="5" fillId="0" borderId="0" xfId="0" applyNumberFormat="1" applyFo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9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164" fontId="5" fillId="0" borderId="0" xfId="1" applyFont="1" applyFill="1" applyBorder="1" applyAlignment="1">
      <alignment horizontal="center" vertical="center"/>
    </xf>
    <xf numFmtId="164" fontId="8" fillId="3" borderId="16" xfId="1" applyFont="1" applyFill="1" applyBorder="1" applyAlignment="1">
      <alignment horizontal="center" vertical="center"/>
    </xf>
    <xf numFmtId="40" fontId="8" fillId="3" borderId="17" xfId="1" applyNumberFormat="1" applyFont="1" applyFill="1" applyBorder="1" applyAlignment="1">
      <alignment horizontal="center" vertical="center"/>
    </xf>
    <xf numFmtId="40" fontId="8" fillId="3" borderId="18" xfId="1" applyNumberFormat="1" applyFont="1" applyFill="1" applyBorder="1" applyAlignment="1">
      <alignment horizontal="center" vertical="center" wrapText="1"/>
    </xf>
    <xf numFmtId="9" fontId="8" fillId="3" borderId="19" xfId="1" applyNumberFormat="1" applyFont="1" applyFill="1" applyBorder="1" applyAlignment="1">
      <alignment horizontal="center" vertical="center"/>
    </xf>
    <xf numFmtId="9" fontId="8" fillId="3" borderId="19" xfId="1" applyNumberFormat="1" applyFont="1" applyFill="1" applyBorder="1" applyAlignment="1">
      <alignment horizontal="center" vertical="center" wrapText="1"/>
    </xf>
    <xf numFmtId="0" fontId="9" fillId="2" borderId="21" xfId="0" quotePrefix="1" applyFont="1" applyFill="1" applyBorder="1" applyAlignment="1">
      <alignment horizontal="center" vertical="center"/>
    </xf>
    <xf numFmtId="0" fontId="9" fillId="0" borderId="22" xfId="0" applyFont="1" applyBorder="1" applyAlignment="1">
      <alignment horizontal="left" vertical="center" wrapText="1"/>
    </xf>
    <xf numFmtId="0" fontId="9" fillId="0" borderId="22" xfId="0" applyFont="1" applyBorder="1" applyAlignment="1">
      <alignment horizontal="left" vertical="center"/>
    </xf>
    <xf numFmtId="0" fontId="9" fillId="0" borderId="22" xfId="0" applyFont="1" applyBorder="1" applyAlignment="1">
      <alignment horizontal="center" vertical="center"/>
    </xf>
    <xf numFmtId="166" fontId="10" fillId="0" borderId="22" xfId="3" applyNumberFormat="1" applyFont="1" applyBorder="1">
      <alignment vertical="center"/>
    </xf>
    <xf numFmtId="167" fontId="10" fillId="0" borderId="22" xfId="3" applyNumberFormat="1" applyFont="1" applyBorder="1">
      <alignment vertical="center"/>
    </xf>
    <xf numFmtId="9" fontId="10" fillId="0" borderId="22" xfId="2" applyFont="1" applyFill="1" applyBorder="1" applyAlignment="1">
      <alignment vertical="center"/>
    </xf>
    <xf numFmtId="168" fontId="10" fillId="0" borderId="22" xfId="3" applyNumberFormat="1" applyFont="1" applyBorder="1">
      <alignment vertical="center"/>
    </xf>
    <xf numFmtId="3" fontId="11" fillId="0" borderId="23" xfId="0" quotePrefix="1" applyNumberFormat="1" applyFont="1" applyBorder="1" applyAlignment="1">
      <alignment horizontal="center" vertical="center" wrapText="1"/>
    </xf>
    <xf numFmtId="3" fontId="12" fillId="0" borderId="0" xfId="0" applyNumberFormat="1" applyFont="1" applyAlignment="1">
      <alignment horizontal="left" vertical="center" wrapText="1"/>
    </xf>
    <xf numFmtId="0" fontId="9" fillId="2" borderId="24" xfId="0" quotePrefix="1" applyFont="1" applyFill="1" applyBorder="1" applyAlignment="1">
      <alignment horizontal="center" vertical="center"/>
    </xf>
    <xf numFmtId="0" fontId="9" fillId="0" borderId="25" xfId="0" applyFont="1" applyBorder="1" applyAlignment="1">
      <alignment horizontal="left" vertical="center"/>
    </xf>
    <xf numFmtId="0" fontId="9" fillId="0" borderId="25" xfId="0" applyFont="1" applyBorder="1" applyAlignment="1">
      <alignment horizontal="left" vertical="center" wrapText="1"/>
    </xf>
    <xf numFmtId="0" fontId="9" fillId="0" borderId="25" xfId="0" applyFont="1" applyBorder="1" applyAlignment="1">
      <alignment horizontal="center" vertical="center"/>
    </xf>
    <xf numFmtId="166" fontId="10" fillId="0" borderId="25" xfId="3" applyNumberFormat="1" applyFont="1" applyBorder="1">
      <alignment vertical="center"/>
    </xf>
    <xf numFmtId="167" fontId="10" fillId="0" borderId="25" xfId="3" applyNumberFormat="1" applyFont="1" applyBorder="1">
      <alignment vertical="center"/>
    </xf>
    <xf numFmtId="9" fontId="10" fillId="0" borderId="25" xfId="2" applyFont="1" applyFill="1" applyBorder="1" applyAlignment="1">
      <alignment vertical="center"/>
    </xf>
    <xf numFmtId="168" fontId="10" fillId="0" borderId="25" xfId="3" applyNumberFormat="1" applyFont="1" applyBorder="1">
      <alignment vertical="center"/>
    </xf>
    <xf numFmtId="3" fontId="11" fillId="0" borderId="26" xfId="0" quotePrefix="1" applyNumberFormat="1" applyFont="1" applyBorder="1" applyAlignment="1">
      <alignment horizontal="center" vertical="center" wrapText="1"/>
    </xf>
    <xf numFmtId="0" fontId="9" fillId="2" borderId="27" xfId="0" quotePrefix="1" applyFont="1" applyFill="1" applyBorder="1" applyAlignment="1">
      <alignment horizontal="center" vertical="center"/>
    </xf>
    <xf numFmtId="0" fontId="9" fillId="0" borderId="28" xfId="0" applyFont="1" applyBorder="1" applyAlignment="1">
      <alignment horizontal="left" vertical="center"/>
    </xf>
    <xf numFmtId="0" fontId="9" fillId="0" borderId="28" xfId="0" applyFont="1" applyBorder="1" applyAlignment="1">
      <alignment horizontal="left" vertical="center" wrapText="1"/>
    </xf>
    <xf numFmtId="0" fontId="9" fillId="0" borderId="28" xfId="0" applyFont="1" applyBorder="1" applyAlignment="1">
      <alignment horizontal="center" vertical="center"/>
    </xf>
    <xf numFmtId="166" fontId="10" fillId="0" borderId="28" xfId="3" applyNumberFormat="1" applyFont="1" applyBorder="1">
      <alignment vertical="center"/>
    </xf>
    <xf numFmtId="167" fontId="10" fillId="0" borderId="28" xfId="3" applyNumberFormat="1" applyFont="1" applyBorder="1">
      <alignment vertical="center"/>
    </xf>
    <xf numFmtId="9" fontId="10" fillId="0" borderId="28" xfId="2" applyFont="1" applyFill="1" applyBorder="1" applyAlignment="1">
      <alignment vertical="center"/>
    </xf>
    <xf numFmtId="168" fontId="10" fillId="0" borderId="28" xfId="3" applyNumberFormat="1" applyFont="1" applyBorder="1">
      <alignment vertical="center"/>
    </xf>
    <xf numFmtId="3" fontId="11" fillId="0" borderId="29" xfId="0" quotePrefix="1" applyNumberFormat="1" applyFont="1" applyBorder="1" applyAlignment="1">
      <alignment horizontal="center" vertical="center" wrapText="1"/>
    </xf>
    <xf numFmtId="0" fontId="9" fillId="0" borderId="27" xfId="0" quotePrefix="1" applyFont="1" applyBorder="1" applyAlignment="1">
      <alignment horizontal="center" vertical="center"/>
    </xf>
    <xf numFmtId="3" fontId="11" fillId="0" borderId="29" xfId="0" quotePrefix="1" applyNumberFormat="1" applyFont="1" applyBorder="1" applyAlignment="1">
      <alignment vertical="center" wrapText="1"/>
    </xf>
    <xf numFmtId="0" fontId="13" fillId="0" borderId="27" xfId="0" quotePrefix="1" applyFont="1" applyBorder="1" applyAlignment="1">
      <alignment horizontal="center" vertical="center"/>
    </xf>
    <xf numFmtId="0" fontId="14" fillId="0" borderId="35" xfId="0" applyFont="1" applyBorder="1" applyAlignment="1">
      <alignment vertical="center" wrapText="1"/>
    </xf>
    <xf numFmtId="167" fontId="10" fillId="0" borderId="38" xfId="3" applyNumberFormat="1" applyFont="1" applyBorder="1" applyAlignment="1">
      <alignment horizontal="right" vertical="center"/>
    </xf>
    <xf numFmtId="167" fontId="10" fillId="0" borderId="39" xfId="3" applyNumberFormat="1" applyFont="1" applyBorder="1" applyAlignment="1">
      <alignment horizontal="right" vertical="center"/>
    </xf>
    <xf numFmtId="167" fontId="10" fillId="0" borderId="40" xfId="3" applyNumberFormat="1" applyFont="1" applyBorder="1" applyAlignment="1">
      <alignment horizontal="right" vertical="center"/>
    </xf>
    <xf numFmtId="9" fontId="9" fillId="0" borderId="41" xfId="2" applyFont="1" applyFill="1" applyBorder="1" applyAlignment="1">
      <alignment horizontal="center" vertical="center"/>
    </xf>
    <xf numFmtId="167" fontId="10" fillId="0" borderId="42" xfId="3" applyNumberFormat="1" applyFont="1" applyBorder="1" applyAlignment="1">
      <alignment horizontal="right" vertical="center"/>
    </xf>
    <xf numFmtId="9" fontId="9" fillId="0" borderId="33" xfId="2" applyFont="1" applyFill="1" applyBorder="1" applyAlignment="1">
      <alignment horizontal="center" vertical="center"/>
    </xf>
    <xf numFmtId="9" fontId="9" fillId="0" borderId="43" xfId="2" applyFont="1" applyFill="1" applyBorder="1" applyAlignment="1">
      <alignment vertical="center"/>
    </xf>
    <xf numFmtId="3" fontId="15" fillId="0" borderId="44" xfId="0" quotePrefix="1" applyNumberFormat="1" applyFont="1" applyBorder="1" applyAlignment="1">
      <alignment vertical="center" wrapText="1"/>
    </xf>
    <xf numFmtId="0" fontId="9" fillId="0" borderId="45" xfId="0" quotePrefix="1" applyFont="1" applyBorder="1" applyAlignment="1">
      <alignment horizontal="center" vertical="center"/>
    </xf>
    <xf numFmtId="166" fontId="17" fillId="0" borderId="49" xfId="3" applyNumberFormat="1" applyFont="1" applyBorder="1">
      <alignment vertical="center"/>
    </xf>
    <xf numFmtId="167" fontId="17" fillId="0" borderId="50" xfId="3" applyNumberFormat="1" applyFont="1" applyBorder="1">
      <alignment vertical="center"/>
    </xf>
    <xf numFmtId="167" fontId="17" fillId="0" borderId="51" xfId="3" applyNumberFormat="1" applyFont="1" applyBorder="1">
      <alignment vertical="center"/>
    </xf>
    <xf numFmtId="9" fontId="17" fillId="0" borderId="52" xfId="2" applyFont="1" applyFill="1" applyBorder="1" applyAlignment="1">
      <alignment vertical="center"/>
    </xf>
    <xf numFmtId="166" fontId="17" fillId="0" borderId="53" xfId="3" applyNumberFormat="1" applyFont="1" applyBorder="1">
      <alignment vertical="center"/>
    </xf>
    <xf numFmtId="9" fontId="17" fillId="0" borderId="48" xfId="2" applyFont="1" applyFill="1" applyBorder="1" applyAlignment="1">
      <alignment vertical="center"/>
    </xf>
    <xf numFmtId="3" fontId="15" fillId="0" borderId="54" xfId="0" quotePrefix="1" applyNumberFormat="1" applyFont="1" applyBorder="1" applyAlignment="1">
      <alignment vertical="center" wrapText="1"/>
    </xf>
    <xf numFmtId="166" fontId="14" fillId="0" borderId="58" xfId="1" applyNumberFormat="1" applyFont="1" applyFill="1" applyBorder="1" applyAlignment="1">
      <alignment horizontal="right" vertical="center"/>
    </xf>
    <xf numFmtId="40" fontId="14" fillId="0" borderId="59" xfId="1" applyNumberFormat="1" applyFont="1" applyFill="1" applyBorder="1" applyAlignment="1">
      <alignment horizontal="right" vertical="center"/>
    </xf>
    <xf numFmtId="40" fontId="14" fillId="0" borderId="60" xfId="1" applyNumberFormat="1" applyFont="1" applyFill="1" applyBorder="1" applyAlignment="1">
      <alignment horizontal="right" vertical="center"/>
    </xf>
    <xf numFmtId="9" fontId="14" fillId="0" borderId="57" xfId="2" applyFont="1" applyFill="1" applyBorder="1" applyAlignment="1">
      <alignment horizontal="center" vertical="center"/>
    </xf>
    <xf numFmtId="40" fontId="14" fillId="0" borderId="58" xfId="1" applyNumberFormat="1" applyFont="1" applyFill="1" applyBorder="1" applyAlignment="1">
      <alignment horizontal="right" vertical="center"/>
    </xf>
    <xf numFmtId="9" fontId="14" fillId="0" borderId="56" xfId="2" applyFont="1" applyFill="1" applyBorder="1" applyAlignment="1">
      <alignment horizontal="center" vertical="center"/>
    </xf>
    <xf numFmtId="165" fontId="14" fillId="0" borderId="61" xfId="1" applyNumberFormat="1" applyFont="1" applyFill="1" applyBorder="1" applyAlignment="1">
      <alignment vertical="center" shrinkToFit="1"/>
    </xf>
    <xf numFmtId="164" fontId="5" fillId="0" borderId="0" xfId="1" applyFont="1" applyFill="1" applyBorder="1" applyAlignment="1">
      <alignment vertical="center" shrinkToFit="1"/>
    </xf>
    <xf numFmtId="0" fontId="7" fillId="4" borderId="0" xfId="0" applyFont="1" applyFill="1">
      <alignment vertical="center"/>
    </xf>
    <xf numFmtId="0" fontId="18" fillId="4" borderId="0" xfId="0" quotePrefix="1" applyFont="1" applyFill="1" applyAlignment="1">
      <alignment horizontal="center" vertical="center"/>
    </xf>
    <xf numFmtId="0" fontId="13" fillId="4" borderId="0" xfId="0" quotePrefix="1" applyFont="1" applyFill="1" applyAlignment="1">
      <alignment horizontal="left" vertical="center" wrapText="1"/>
    </xf>
    <xf numFmtId="40" fontId="18" fillId="0" borderId="0" xfId="1" applyNumberFormat="1" applyFont="1" applyFill="1" applyBorder="1" applyAlignment="1">
      <alignment horizontal="center" vertical="center" wrapText="1" shrinkToFit="1"/>
    </xf>
    <xf numFmtId="40" fontId="19" fillId="0" borderId="0" xfId="1" applyNumberFormat="1" applyFont="1" applyFill="1" applyBorder="1" applyAlignment="1">
      <alignment horizontal="center" vertical="center" shrinkToFit="1"/>
    </xf>
    <xf numFmtId="169" fontId="19" fillId="4" borderId="0" xfId="2" applyNumberFormat="1" applyFont="1" applyFill="1" applyBorder="1" applyAlignment="1">
      <alignment vertical="center" shrinkToFit="1"/>
    </xf>
    <xf numFmtId="164" fontId="18" fillId="4" borderId="0" xfId="1" applyFont="1" applyFill="1" applyBorder="1" applyAlignment="1">
      <alignment horizontal="left" vertical="center" shrinkToFit="1"/>
    </xf>
    <xf numFmtId="164" fontId="7" fillId="0" borderId="0" xfId="1" applyFont="1" applyFill="1" applyBorder="1" applyAlignment="1">
      <alignment horizontal="left" vertical="center" shrinkToFit="1"/>
    </xf>
    <xf numFmtId="0" fontId="6" fillId="4" borderId="0" xfId="0" applyFont="1" applyFill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69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0" fillId="2" borderId="70" xfId="0" quotePrefix="1" applyFont="1" applyFill="1" applyBorder="1" applyAlignment="1">
      <alignment horizontal="center" vertical="center"/>
    </xf>
    <xf numFmtId="164" fontId="6" fillId="4" borderId="77" xfId="1" applyFont="1" applyFill="1" applyBorder="1" applyAlignment="1">
      <alignment horizontal="left" vertical="center" wrapText="1" shrinkToFit="1"/>
    </xf>
    <xf numFmtId="164" fontId="5" fillId="0" borderId="0" xfId="1" applyFont="1" applyFill="1" applyBorder="1" applyAlignment="1">
      <alignment horizontal="left" vertical="center" shrinkToFit="1"/>
    </xf>
    <xf numFmtId="0" fontId="20" fillId="2" borderId="78" xfId="0" quotePrefix="1" applyFont="1" applyFill="1" applyBorder="1" applyAlignment="1">
      <alignment horizontal="center" vertical="center"/>
    </xf>
    <xf numFmtId="164" fontId="6" fillId="4" borderId="85" xfId="1" applyFont="1" applyFill="1" applyBorder="1" applyAlignment="1">
      <alignment horizontal="left" vertical="center" wrapText="1" shrinkToFit="1"/>
    </xf>
    <xf numFmtId="0" fontId="20" fillId="2" borderId="45" xfId="0" quotePrefix="1" applyFont="1" applyFill="1" applyBorder="1" applyAlignment="1">
      <alignment horizontal="center" vertical="center"/>
    </xf>
    <xf numFmtId="164" fontId="20" fillId="4" borderId="87" xfId="1" applyFont="1" applyFill="1" applyBorder="1" applyAlignment="1">
      <alignment horizontal="left" vertical="center" shrinkToFit="1"/>
    </xf>
    <xf numFmtId="0" fontId="21" fillId="0" borderId="88" xfId="0" applyFont="1" applyBorder="1" applyAlignment="1">
      <alignment horizontal="left" vertical="center"/>
    </xf>
    <xf numFmtId="0" fontId="7" fillId="0" borderId="62" xfId="0" quotePrefix="1" applyFont="1" applyBorder="1" applyAlignment="1">
      <alignment horizontal="left" vertical="center"/>
    </xf>
    <xf numFmtId="0" fontId="7" fillId="0" borderId="62" xfId="0" applyFont="1" applyBorder="1" applyAlignment="1">
      <alignment horizontal="center" vertical="center"/>
    </xf>
    <xf numFmtId="0" fontId="7" fillId="0" borderId="62" xfId="0" applyFont="1" applyBorder="1">
      <alignment vertical="center"/>
    </xf>
    <xf numFmtId="0" fontId="5" fillId="0" borderId="62" xfId="0" applyFont="1" applyBorder="1">
      <alignment vertical="center"/>
    </xf>
    <xf numFmtId="9" fontId="5" fillId="0" borderId="62" xfId="0" applyNumberFormat="1" applyFont="1" applyBorder="1">
      <alignment vertical="center"/>
    </xf>
    <xf numFmtId="0" fontId="5" fillId="0" borderId="89" xfId="0" applyFont="1" applyBorder="1">
      <alignment vertical="center"/>
    </xf>
    <xf numFmtId="0" fontId="21" fillId="0" borderId="55" xfId="0" applyFont="1" applyBorder="1" applyAlignment="1">
      <alignment horizontal="left" vertical="center"/>
    </xf>
    <xf numFmtId="0" fontId="7" fillId="0" borderId="56" xfId="0" quotePrefix="1" applyFont="1" applyBorder="1" applyAlignment="1">
      <alignment horizontal="left" vertical="center"/>
    </xf>
    <xf numFmtId="0" fontId="7" fillId="0" borderId="56" xfId="0" applyFont="1" applyBorder="1" applyAlignment="1">
      <alignment horizontal="center" vertical="center"/>
    </xf>
    <xf numFmtId="0" fontId="7" fillId="0" borderId="56" xfId="0" applyFont="1" applyBorder="1">
      <alignment vertical="center"/>
    </xf>
    <xf numFmtId="0" fontId="5" fillId="0" borderId="56" xfId="0" applyFont="1" applyBorder="1">
      <alignment vertical="center"/>
    </xf>
    <xf numFmtId="9" fontId="5" fillId="0" borderId="56" xfId="0" applyNumberFormat="1" applyFont="1" applyBorder="1">
      <alignment vertical="center"/>
    </xf>
    <xf numFmtId="0" fontId="5" fillId="0" borderId="90" xfId="0" applyFont="1" applyBorder="1">
      <alignment vertical="center"/>
    </xf>
    <xf numFmtId="0" fontId="21" fillId="0" borderId="91" xfId="0" applyFont="1" applyBorder="1" applyAlignment="1">
      <alignment horizontal="left" vertical="center"/>
    </xf>
    <xf numFmtId="0" fontId="22" fillId="0" borderId="92" xfId="0" applyFont="1" applyBorder="1" applyAlignment="1">
      <alignment horizontal="left" vertical="center"/>
    </xf>
    <xf numFmtId="0" fontId="22" fillId="0" borderId="92" xfId="0" applyFont="1" applyBorder="1" applyAlignment="1">
      <alignment horizontal="center" vertical="center"/>
    </xf>
    <xf numFmtId="0" fontId="22" fillId="0" borderId="92" xfId="0" applyFont="1" applyBorder="1">
      <alignment vertical="center"/>
    </xf>
    <xf numFmtId="0" fontId="5" fillId="0" borderId="92" xfId="0" applyFont="1" applyBorder="1">
      <alignment vertical="center"/>
    </xf>
    <xf numFmtId="9" fontId="5" fillId="0" borderId="92" xfId="0" applyNumberFormat="1" applyFont="1" applyBorder="1">
      <alignment vertical="center"/>
    </xf>
    <xf numFmtId="0" fontId="5" fillId="0" borderId="93" xfId="0" applyFont="1" applyBorder="1">
      <alignment vertical="center"/>
    </xf>
    <xf numFmtId="0" fontId="22" fillId="0" borderId="0" xfId="0" applyFont="1">
      <alignment vertical="center"/>
    </xf>
    <xf numFmtId="0" fontId="22" fillId="0" borderId="0" xfId="0" applyFont="1" applyAlignment="1">
      <alignment horizontal="left" vertical="center"/>
    </xf>
    <xf numFmtId="0" fontId="22" fillId="0" borderId="0" xfId="0" applyFont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170" fontId="6" fillId="0" borderId="0" xfId="0" applyNumberFormat="1" applyFont="1">
      <alignment vertical="center"/>
    </xf>
    <xf numFmtId="9" fontId="7" fillId="0" borderId="0" xfId="0" applyNumberFormat="1" applyFont="1">
      <alignment vertical="center"/>
    </xf>
    <xf numFmtId="0" fontId="25" fillId="0" borderId="1" xfId="0" applyFont="1" applyBorder="1">
      <alignment vertical="center"/>
    </xf>
    <xf numFmtId="0" fontId="24" fillId="0" borderId="1" xfId="0" applyFont="1" applyBorder="1">
      <alignment vertical="center"/>
    </xf>
    <xf numFmtId="0" fontId="24" fillId="0" borderId="1" xfId="0" applyFont="1" applyBorder="1" applyAlignment="1">
      <alignment horizontal="left" vertical="center"/>
    </xf>
    <xf numFmtId="0" fontId="24" fillId="0" borderId="1" xfId="0" applyFont="1" applyBorder="1" applyAlignment="1">
      <alignment horizontal="center" vertical="center"/>
    </xf>
    <xf numFmtId="9" fontId="24" fillId="0" borderId="1" xfId="0" applyNumberFormat="1" applyFont="1" applyBorder="1">
      <alignment vertical="center"/>
    </xf>
    <xf numFmtId="0" fontId="24" fillId="0" borderId="0" xfId="0" applyFont="1" applyAlignment="1">
      <alignment horizontal="right" wrapText="1"/>
    </xf>
    <xf numFmtId="0" fontId="26" fillId="0" borderId="0" xfId="0" applyFont="1">
      <alignment vertical="center"/>
    </xf>
    <xf numFmtId="0" fontId="1" fillId="0" borderId="0" xfId="0" applyFont="1">
      <alignment vertical="center"/>
    </xf>
    <xf numFmtId="0" fontId="24" fillId="0" borderId="0" xfId="0" applyFont="1">
      <alignment vertical="center"/>
    </xf>
    <xf numFmtId="0" fontId="24" fillId="0" borderId="0" xfId="0" applyFont="1" applyAlignment="1">
      <alignment horizontal="left" vertical="center"/>
    </xf>
    <xf numFmtId="0" fontId="24" fillId="0" borderId="0" xfId="0" applyFont="1" applyAlignment="1">
      <alignment horizontal="center" vertical="center"/>
    </xf>
    <xf numFmtId="9" fontId="24" fillId="0" borderId="0" xfId="0" applyNumberFormat="1" applyFo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9" fontId="24" fillId="0" borderId="0" xfId="0" applyNumberFormat="1" applyFont="1" applyAlignment="1">
      <alignment horizontal="right" vertical="center"/>
    </xf>
    <xf numFmtId="0" fontId="24" fillId="0" borderId="0" xfId="0" applyFont="1" applyAlignment="1">
      <alignment horizontal="right" vertical="center"/>
    </xf>
    <xf numFmtId="0" fontId="24" fillId="2" borderId="2" xfId="0" applyFont="1" applyFill="1" applyBorder="1" applyAlignment="1">
      <alignment horizontal="center" vertical="center"/>
    </xf>
    <xf numFmtId="164" fontId="24" fillId="0" borderId="0" xfId="1" applyFont="1" applyFill="1" applyBorder="1" applyAlignment="1">
      <alignment horizontal="center" vertical="center"/>
    </xf>
    <xf numFmtId="164" fontId="27" fillId="3" borderId="16" xfId="1" applyFont="1" applyFill="1" applyBorder="1" applyAlignment="1">
      <alignment horizontal="center" vertical="center"/>
    </xf>
    <xf numFmtId="40" fontId="27" fillId="3" borderId="17" xfId="1" applyNumberFormat="1" applyFont="1" applyFill="1" applyBorder="1" applyAlignment="1">
      <alignment horizontal="center" vertical="center"/>
    </xf>
    <xf numFmtId="40" fontId="27" fillId="3" borderId="18" xfId="1" applyNumberFormat="1" applyFont="1" applyFill="1" applyBorder="1" applyAlignment="1">
      <alignment horizontal="center" vertical="center" wrapText="1"/>
    </xf>
    <xf numFmtId="9" fontId="27" fillId="3" borderId="19" xfId="1" applyNumberFormat="1" applyFont="1" applyFill="1" applyBorder="1" applyAlignment="1">
      <alignment horizontal="center" vertical="center"/>
    </xf>
    <xf numFmtId="9" fontId="27" fillId="3" borderId="19" xfId="1" applyNumberFormat="1" applyFont="1" applyFill="1" applyBorder="1" applyAlignment="1">
      <alignment horizontal="center" vertical="center" wrapText="1"/>
    </xf>
    <xf numFmtId="0" fontId="28" fillId="0" borderId="0" xfId="0" applyFont="1">
      <alignment vertical="center"/>
    </xf>
    <xf numFmtId="0" fontId="26" fillId="2" borderId="24" xfId="0" quotePrefix="1" applyFont="1" applyFill="1" applyBorder="1" applyAlignment="1">
      <alignment horizontal="center" vertical="center"/>
    </xf>
    <xf numFmtId="3" fontId="29" fillId="0" borderId="23" xfId="0" quotePrefix="1" applyNumberFormat="1" applyFont="1" applyBorder="1" applyAlignment="1">
      <alignment horizontal="center" vertical="center" wrapText="1"/>
    </xf>
    <xf numFmtId="3" fontId="30" fillId="0" borderId="0" xfId="0" applyNumberFormat="1" applyFont="1" applyAlignment="1">
      <alignment horizontal="left" vertical="center" wrapText="1"/>
    </xf>
    <xf numFmtId="3" fontId="29" fillId="0" borderId="26" xfId="0" quotePrefix="1" applyNumberFormat="1" applyFont="1" applyBorder="1" applyAlignment="1">
      <alignment horizontal="center" vertical="center" wrapText="1"/>
    </xf>
    <xf numFmtId="3" fontId="35" fillId="0" borderId="0" xfId="0" applyNumberFormat="1" applyFont="1" applyAlignment="1">
      <alignment horizontal="left" vertical="center" wrapText="1"/>
    </xf>
    <xf numFmtId="0" fontId="33" fillId="0" borderId="27" xfId="0" quotePrefix="1" applyFont="1" applyBorder="1" applyAlignment="1">
      <alignment horizontal="center" vertical="center"/>
    </xf>
    <xf numFmtId="0" fontId="36" fillId="0" borderId="35" xfId="0" applyFont="1" applyBorder="1" applyAlignment="1">
      <alignment vertical="center" wrapText="1"/>
    </xf>
    <xf numFmtId="167" fontId="31" fillId="0" borderId="39" xfId="3" applyNumberFormat="1" applyFont="1" applyBorder="1" applyAlignment="1">
      <alignment horizontal="right" vertical="center"/>
    </xf>
    <xf numFmtId="167" fontId="31" fillId="0" borderId="40" xfId="3" applyNumberFormat="1" applyFont="1" applyBorder="1" applyAlignment="1">
      <alignment horizontal="right" vertical="center"/>
    </xf>
    <xf numFmtId="9" fontId="32" fillId="0" borderId="41" xfId="2" applyFont="1" applyFill="1" applyBorder="1" applyAlignment="1">
      <alignment horizontal="center" vertical="center"/>
    </xf>
    <xf numFmtId="167" fontId="31" fillId="0" borderId="42" xfId="3" applyNumberFormat="1" applyFont="1" applyBorder="1" applyAlignment="1">
      <alignment horizontal="right" vertical="center"/>
    </xf>
    <xf numFmtId="9" fontId="32" fillId="0" borderId="33" xfId="2" applyFont="1" applyFill="1" applyBorder="1" applyAlignment="1">
      <alignment horizontal="center" vertical="center"/>
    </xf>
    <xf numFmtId="9" fontId="32" fillId="0" borderId="43" xfId="2" applyFont="1" applyFill="1" applyBorder="1" applyAlignment="1">
      <alignment vertical="center"/>
    </xf>
    <xf numFmtId="3" fontId="37" fillId="0" borderId="44" xfId="0" quotePrefix="1" applyNumberFormat="1" applyFont="1" applyBorder="1" applyAlignment="1">
      <alignment vertical="center" wrapText="1"/>
    </xf>
    <xf numFmtId="0" fontId="32" fillId="0" borderId="45" xfId="0" quotePrefix="1" applyFont="1" applyBorder="1" applyAlignment="1">
      <alignment horizontal="center" vertical="center"/>
    </xf>
    <xf numFmtId="166" fontId="39" fillId="0" borderId="49" xfId="3" applyNumberFormat="1" applyFont="1" applyBorder="1">
      <alignment vertical="center"/>
    </xf>
    <xf numFmtId="167" fontId="39" fillId="0" borderId="50" xfId="3" applyNumberFormat="1" applyFont="1" applyBorder="1">
      <alignment vertical="center"/>
    </xf>
    <xf numFmtId="167" fontId="39" fillId="0" borderId="51" xfId="3" applyNumberFormat="1" applyFont="1" applyBorder="1">
      <alignment vertical="center"/>
    </xf>
    <xf numFmtId="9" fontId="39" fillId="0" borderId="52" xfId="2" applyFont="1" applyFill="1" applyBorder="1" applyAlignment="1">
      <alignment vertical="center"/>
    </xf>
    <xf numFmtId="166" fontId="39" fillId="0" borderId="53" xfId="3" applyNumberFormat="1" applyFont="1" applyBorder="1">
      <alignment vertical="center"/>
    </xf>
    <xf numFmtId="9" fontId="39" fillId="0" borderId="48" xfId="2" applyFont="1" applyFill="1" applyBorder="1" applyAlignment="1">
      <alignment vertical="center"/>
    </xf>
    <xf numFmtId="3" fontId="37" fillId="0" borderId="54" xfId="0" quotePrefix="1" applyNumberFormat="1" applyFont="1" applyBorder="1" applyAlignment="1">
      <alignment vertical="center" wrapText="1"/>
    </xf>
    <xf numFmtId="166" fontId="36" fillId="0" borderId="58" xfId="1" applyNumberFormat="1" applyFont="1" applyFill="1" applyBorder="1" applyAlignment="1">
      <alignment horizontal="right" vertical="center"/>
    </xf>
    <xf numFmtId="40" fontId="36" fillId="0" borderId="59" xfId="1" applyNumberFormat="1" applyFont="1" applyFill="1" applyBorder="1" applyAlignment="1">
      <alignment horizontal="right" vertical="center"/>
    </xf>
    <xf numFmtId="40" fontId="36" fillId="0" borderId="60" xfId="1" applyNumberFormat="1" applyFont="1" applyFill="1" applyBorder="1" applyAlignment="1">
      <alignment horizontal="right" vertical="center"/>
    </xf>
    <xf numFmtId="9" fontId="36" fillId="0" borderId="57" xfId="2" applyFont="1" applyFill="1" applyBorder="1" applyAlignment="1">
      <alignment horizontal="center" vertical="center"/>
    </xf>
    <xf numFmtId="40" fontId="36" fillId="0" borderId="58" xfId="1" applyNumberFormat="1" applyFont="1" applyFill="1" applyBorder="1" applyAlignment="1">
      <alignment horizontal="right" vertical="center"/>
    </xf>
    <xf numFmtId="9" fontId="36" fillId="0" borderId="56" xfId="2" applyFont="1" applyFill="1" applyBorder="1" applyAlignment="1">
      <alignment horizontal="center" vertical="center"/>
    </xf>
    <xf numFmtId="165" fontId="36" fillId="0" borderId="61" xfId="1" applyNumberFormat="1" applyFont="1" applyFill="1" applyBorder="1" applyAlignment="1">
      <alignment vertical="center" shrinkToFit="1"/>
    </xf>
    <xf numFmtId="164" fontId="24" fillId="0" borderId="0" xfId="1" applyFont="1" applyFill="1" applyBorder="1" applyAlignment="1">
      <alignment vertical="center" shrinkToFit="1"/>
    </xf>
    <xf numFmtId="0" fontId="1" fillId="4" borderId="0" xfId="0" applyFont="1" applyFill="1">
      <alignment vertical="center"/>
    </xf>
    <xf numFmtId="0" fontId="40" fillId="4" borderId="0" xfId="0" quotePrefix="1" applyFont="1" applyFill="1" applyAlignment="1">
      <alignment horizontal="center" vertical="center"/>
    </xf>
    <xf numFmtId="0" fontId="33" fillId="4" borderId="0" xfId="0" quotePrefix="1" applyFont="1" applyFill="1" applyAlignment="1">
      <alignment horizontal="left" vertical="center" wrapText="1"/>
    </xf>
    <xf numFmtId="40" fontId="40" fillId="0" borderId="0" xfId="1" applyNumberFormat="1" applyFont="1" applyFill="1" applyBorder="1" applyAlignment="1">
      <alignment horizontal="center" vertical="center" wrapText="1" shrinkToFit="1"/>
    </xf>
    <xf numFmtId="40" fontId="41" fillId="0" borderId="0" xfId="1" applyNumberFormat="1" applyFont="1" applyFill="1" applyBorder="1" applyAlignment="1">
      <alignment horizontal="center" vertical="center" shrinkToFit="1"/>
    </xf>
    <xf numFmtId="169" fontId="41" fillId="4" borderId="0" xfId="2" applyNumberFormat="1" applyFont="1" applyFill="1" applyBorder="1" applyAlignment="1">
      <alignment vertical="center" shrinkToFit="1"/>
    </xf>
    <xf numFmtId="164" fontId="40" fillId="4" borderId="0" xfId="1" applyFont="1" applyFill="1" applyBorder="1" applyAlignment="1">
      <alignment horizontal="left" vertical="center" shrinkToFit="1"/>
    </xf>
    <xf numFmtId="164" fontId="1" fillId="0" borderId="0" xfId="1" applyFont="1" applyFill="1" applyBorder="1" applyAlignment="1">
      <alignment horizontal="left" vertical="center" shrinkToFit="1"/>
    </xf>
    <xf numFmtId="0" fontId="26" fillId="4" borderId="0" xfId="0" applyFont="1" applyFill="1">
      <alignment vertical="center"/>
    </xf>
    <xf numFmtId="0" fontId="24" fillId="2" borderId="69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8" fillId="2" borderId="70" xfId="0" quotePrefix="1" applyFont="1" applyFill="1" applyBorder="1" applyAlignment="1">
      <alignment horizontal="center" vertical="center"/>
    </xf>
    <xf numFmtId="164" fontId="26" fillId="4" borderId="77" xfId="1" applyFont="1" applyFill="1" applyBorder="1" applyAlignment="1">
      <alignment horizontal="left" vertical="center" wrapText="1" shrinkToFit="1"/>
    </xf>
    <xf numFmtId="164" fontId="24" fillId="0" borderId="0" xfId="1" applyFont="1" applyFill="1" applyBorder="1" applyAlignment="1">
      <alignment horizontal="left" vertical="center" shrinkToFit="1"/>
    </xf>
    <xf numFmtId="0" fontId="28" fillId="2" borderId="78" xfId="0" quotePrefix="1" applyFont="1" applyFill="1" applyBorder="1" applyAlignment="1">
      <alignment horizontal="center" vertical="center"/>
    </xf>
    <xf numFmtId="164" fontId="26" fillId="4" borderId="85" xfId="1" applyFont="1" applyFill="1" applyBorder="1" applyAlignment="1">
      <alignment horizontal="left" vertical="center" wrapText="1" shrinkToFit="1"/>
    </xf>
    <xf numFmtId="0" fontId="28" fillId="2" borderId="45" xfId="0" quotePrefix="1" applyFont="1" applyFill="1" applyBorder="1" applyAlignment="1">
      <alignment horizontal="center" vertical="center"/>
    </xf>
    <xf numFmtId="164" fontId="28" fillId="4" borderId="87" xfId="1" applyFont="1" applyFill="1" applyBorder="1" applyAlignment="1">
      <alignment horizontal="left" vertical="center" shrinkToFit="1"/>
    </xf>
    <xf numFmtId="0" fontId="42" fillId="0" borderId="88" xfId="0" applyFont="1" applyBorder="1" applyAlignment="1">
      <alignment horizontal="left" vertical="center"/>
    </xf>
    <xf numFmtId="0" fontId="1" fillId="0" borderId="62" xfId="0" quotePrefix="1" applyFont="1" applyBorder="1" applyAlignment="1">
      <alignment horizontal="left" vertical="center"/>
    </xf>
    <xf numFmtId="0" fontId="1" fillId="0" borderId="62" xfId="0" applyFont="1" applyBorder="1" applyAlignment="1">
      <alignment horizontal="center" vertical="center"/>
    </xf>
    <xf numFmtId="0" fontId="1" fillId="0" borderId="62" xfId="0" applyFont="1" applyBorder="1">
      <alignment vertical="center"/>
    </xf>
    <xf numFmtId="0" fontId="24" fillId="0" borderId="62" xfId="0" applyFont="1" applyBorder="1">
      <alignment vertical="center"/>
    </xf>
    <xf numFmtId="9" fontId="24" fillId="0" borderId="62" xfId="0" applyNumberFormat="1" applyFont="1" applyBorder="1">
      <alignment vertical="center"/>
    </xf>
    <xf numFmtId="0" fontId="24" fillId="0" borderId="89" xfId="0" applyFont="1" applyBorder="1">
      <alignment vertical="center"/>
    </xf>
    <xf numFmtId="0" fontId="42" fillId="0" borderId="55" xfId="0" applyFont="1" applyBorder="1" applyAlignment="1">
      <alignment horizontal="left" vertical="center"/>
    </xf>
    <xf numFmtId="0" fontId="1" fillId="0" borderId="56" xfId="0" quotePrefix="1" applyFont="1" applyBorder="1" applyAlignment="1">
      <alignment horizontal="left" vertical="center"/>
    </xf>
    <xf numFmtId="0" fontId="1" fillId="0" borderId="56" xfId="0" applyFont="1" applyBorder="1" applyAlignment="1">
      <alignment horizontal="center" vertical="center"/>
    </xf>
    <xf numFmtId="0" fontId="1" fillId="0" borderId="56" xfId="0" applyFont="1" applyBorder="1">
      <alignment vertical="center"/>
    </xf>
    <xf numFmtId="0" fontId="24" fillId="0" borderId="56" xfId="0" applyFont="1" applyBorder="1">
      <alignment vertical="center"/>
    </xf>
    <xf numFmtId="9" fontId="24" fillId="0" borderId="56" xfId="0" applyNumberFormat="1" applyFont="1" applyBorder="1">
      <alignment vertical="center"/>
    </xf>
    <xf numFmtId="0" fontId="24" fillId="0" borderId="90" xfId="0" applyFont="1" applyBorder="1">
      <alignment vertical="center"/>
    </xf>
    <xf numFmtId="0" fontId="42" fillId="0" borderId="91" xfId="0" applyFont="1" applyBorder="1" applyAlignment="1">
      <alignment horizontal="left" vertical="center"/>
    </xf>
    <xf numFmtId="0" fontId="43" fillId="0" borderId="92" xfId="0" applyFont="1" applyBorder="1" applyAlignment="1">
      <alignment horizontal="left" vertical="center"/>
    </xf>
    <xf numFmtId="0" fontId="43" fillId="0" borderId="92" xfId="0" applyFont="1" applyBorder="1" applyAlignment="1">
      <alignment horizontal="center" vertical="center"/>
    </xf>
    <xf numFmtId="0" fontId="43" fillId="0" borderId="92" xfId="0" applyFont="1" applyBorder="1">
      <alignment vertical="center"/>
    </xf>
    <xf numFmtId="0" fontId="24" fillId="0" borderId="92" xfId="0" applyFont="1" applyBorder="1">
      <alignment vertical="center"/>
    </xf>
    <xf numFmtId="9" fontId="24" fillId="0" borderId="92" xfId="0" applyNumberFormat="1" applyFont="1" applyBorder="1">
      <alignment vertical="center"/>
    </xf>
    <xf numFmtId="0" fontId="24" fillId="0" borderId="93" xfId="0" applyFont="1" applyBorder="1">
      <alignment vertical="center"/>
    </xf>
    <xf numFmtId="0" fontId="43" fillId="0" borderId="0" xfId="0" applyFont="1">
      <alignment vertical="center"/>
    </xf>
    <xf numFmtId="0" fontId="43" fillId="0" borderId="0" xfId="0" applyFont="1" applyAlignment="1">
      <alignment horizontal="left" vertical="center"/>
    </xf>
    <xf numFmtId="0" fontId="43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170" fontId="26" fillId="0" borderId="0" xfId="0" applyNumberFormat="1" applyFont="1">
      <alignment vertical="center"/>
    </xf>
    <xf numFmtId="9" fontId="1" fillId="0" borderId="0" xfId="0" applyNumberFormat="1" applyFont="1">
      <alignment vertical="center"/>
    </xf>
    <xf numFmtId="171" fontId="24" fillId="0" borderId="1" xfId="0" applyNumberFormat="1" applyFont="1" applyBorder="1" applyAlignment="1">
      <alignment horizontal="right" wrapText="1"/>
    </xf>
    <xf numFmtId="0" fontId="1" fillId="0" borderId="25" xfId="0" applyFont="1" applyBorder="1" applyAlignment="1">
      <alignment horizontal="center" vertical="center"/>
    </xf>
    <xf numFmtId="168" fontId="31" fillId="0" borderId="39" xfId="3" applyNumberFormat="1" applyFont="1" applyBorder="1" applyAlignment="1">
      <alignment horizontal="right" vertical="center"/>
    </xf>
    <xf numFmtId="168" fontId="39" fillId="0" borderId="50" xfId="3" applyNumberFormat="1" applyFont="1" applyBorder="1">
      <alignment vertical="center"/>
    </xf>
    <xf numFmtId="167" fontId="31" fillId="0" borderId="98" xfId="3" applyNumberFormat="1" applyFont="1" applyBorder="1" applyAlignment="1">
      <alignment horizontal="right" vertical="center"/>
    </xf>
    <xf numFmtId="9" fontId="36" fillId="0" borderId="58" xfId="2" applyFont="1" applyFill="1" applyBorder="1" applyAlignment="1">
      <alignment horizontal="right" vertical="center"/>
    </xf>
    <xf numFmtId="3" fontId="34" fillId="0" borderId="105" xfId="0" quotePrefix="1" applyNumberFormat="1" applyFont="1" applyBorder="1" applyAlignment="1">
      <alignment vertical="center" wrapText="1"/>
    </xf>
    <xf numFmtId="0" fontId="33" fillId="0" borderId="106" xfId="0" quotePrefix="1" applyFont="1" applyBorder="1" applyAlignment="1">
      <alignment horizontal="center" vertical="center"/>
    </xf>
    <xf numFmtId="0" fontId="28" fillId="0" borderId="81" xfId="0" applyFont="1" applyBorder="1" applyAlignment="1">
      <alignment horizontal="left" vertical="center" wrapText="1"/>
    </xf>
    <xf numFmtId="0" fontId="28" fillId="0" borderId="22" xfId="0" applyFont="1" applyBorder="1" applyAlignment="1">
      <alignment horizontal="left" vertical="center" wrapText="1"/>
    </xf>
    <xf numFmtId="0" fontId="42" fillId="0" borderId="25" xfId="4" applyFont="1" applyBorder="1" applyAlignment="1">
      <alignment vertical="center" wrapText="1"/>
    </xf>
    <xf numFmtId="2" fontId="28" fillId="0" borderId="82" xfId="0" applyNumberFormat="1" applyFont="1" applyBorder="1" applyAlignment="1">
      <alignment horizontal="center" vertical="center"/>
    </xf>
    <xf numFmtId="9" fontId="28" fillId="0" borderId="82" xfId="0" applyNumberFormat="1" applyFont="1" applyBorder="1" applyAlignment="1">
      <alignment horizontal="center" vertical="center"/>
    </xf>
    <xf numFmtId="9" fontId="42" fillId="0" borderId="22" xfId="2" applyFont="1" applyFill="1" applyBorder="1" applyAlignment="1">
      <alignment vertical="center"/>
    </xf>
    <xf numFmtId="9" fontId="42" fillId="0" borderId="25" xfId="2" applyFont="1" applyFill="1" applyBorder="1" applyAlignment="1">
      <alignment vertical="center"/>
    </xf>
    <xf numFmtId="14" fontId="5" fillId="0" borderId="1" xfId="0" applyNumberFormat="1" applyFont="1" applyBorder="1" applyAlignment="1">
      <alignment horizontal="left" wrapText="1"/>
    </xf>
    <xf numFmtId="169" fontId="21" fillId="4" borderId="84" xfId="2" applyNumberFormat="1" applyFont="1" applyFill="1" applyBorder="1" applyAlignment="1">
      <alignment horizontal="center" vertical="center" shrinkToFit="1"/>
    </xf>
    <xf numFmtId="169" fontId="21" fillId="4" borderId="80" xfId="2" applyNumberFormat="1" applyFont="1" applyFill="1" applyBorder="1" applyAlignment="1">
      <alignment horizontal="center" vertical="center" shrinkToFit="1"/>
    </xf>
    <xf numFmtId="0" fontId="20" fillId="4" borderId="46" xfId="0" quotePrefix="1" applyFont="1" applyFill="1" applyBorder="1" applyAlignment="1">
      <alignment horizontal="left" vertical="center" wrapText="1"/>
    </xf>
    <xf numFmtId="0" fontId="20" fillId="4" borderId="48" xfId="0" quotePrefix="1" applyFont="1" applyFill="1" applyBorder="1" applyAlignment="1">
      <alignment horizontal="left" vertical="center" wrapText="1"/>
    </xf>
    <xf numFmtId="40" fontId="21" fillId="0" borderId="46" xfId="1" applyNumberFormat="1" applyFont="1" applyFill="1" applyBorder="1" applyAlignment="1">
      <alignment horizontal="center" vertical="center" shrinkToFit="1"/>
    </xf>
    <xf numFmtId="40" fontId="21" fillId="0" borderId="49" xfId="1" applyNumberFormat="1" applyFont="1" applyFill="1" applyBorder="1" applyAlignment="1">
      <alignment horizontal="center" vertical="center" shrinkToFit="1"/>
    </xf>
    <xf numFmtId="169" fontId="21" fillId="0" borderId="51" xfId="1" applyNumberFormat="1" applyFont="1" applyFill="1" applyBorder="1" applyAlignment="1">
      <alignment horizontal="center" vertical="center" shrinkToFit="1"/>
    </xf>
    <xf numFmtId="169" fontId="21" fillId="0" borderId="48" xfId="1" applyNumberFormat="1" applyFont="1" applyFill="1" applyBorder="1" applyAlignment="1">
      <alignment horizontal="center" vertical="center" shrinkToFit="1"/>
    </xf>
    <xf numFmtId="0" fontId="20" fillId="4" borderId="79" xfId="0" quotePrefix="1" applyFont="1" applyFill="1" applyBorder="1" applyAlignment="1">
      <alignment horizontal="left" vertical="center" wrapText="1"/>
    </xf>
    <xf numFmtId="0" fontId="20" fillId="4" borderId="80" xfId="0" quotePrefix="1" applyFont="1" applyFill="1" applyBorder="1" applyAlignment="1">
      <alignment horizontal="left" vertical="center" wrapText="1"/>
    </xf>
    <xf numFmtId="40" fontId="21" fillId="0" borderId="79" xfId="1" applyNumberFormat="1" applyFont="1" applyFill="1" applyBorder="1" applyAlignment="1">
      <alignment horizontal="center" vertical="center" shrinkToFit="1"/>
    </xf>
    <xf numFmtId="40" fontId="21" fillId="0" borderId="83" xfId="1" applyNumberFormat="1" applyFont="1" applyFill="1" applyBorder="1" applyAlignment="1">
      <alignment horizontal="center" vertical="center" shrinkToFit="1"/>
    </xf>
    <xf numFmtId="0" fontId="5" fillId="2" borderId="65" xfId="0" applyFont="1" applyFill="1" applyBorder="1" applyAlignment="1">
      <alignment horizontal="center" vertical="center" shrinkToFit="1"/>
    </xf>
    <xf numFmtId="0" fontId="5" fillId="2" borderId="66" xfId="0" applyFont="1" applyFill="1" applyBorder="1" applyAlignment="1">
      <alignment horizontal="center" vertical="center" shrinkToFit="1"/>
    </xf>
    <xf numFmtId="0" fontId="5" fillId="2" borderId="67" xfId="0" applyFont="1" applyFill="1" applyBorder="1" applyAlignment="1">
      <alignment horizontal="center" vertical="center" shrinkToFit="1"/>
    </xf>
    <xf numFmtId="0" fontId="5" fillId="2" borderId="68" xfId="0" applyFont="1" applyFill="1" applyBorder="1" applyAlignment="1">
      <alignment horizontal="center" vertical="center" shrinkToFit="1"/>
    </xf>
    <xf numFmtId="0" fontId="20" fillId="4" borderId="71" xfId="0" quotePrefix="1" applyFont="1" applyFill="1" applyBorder="1" applyAlignment="1">
      <alignment horizontal="left" vertical="center" wrapText="1"/>
    </xf>
    <xf numFmtId="0" fontId="20" fillId="4" borderId="72" xfId="0" quotePrefix="1" applyFont="1" applyFill="1" applyBorder="1" applyAlignment="1">
      <alignment horizontal="left" vertical="center" wrapText="1"/>
    </xf>
    <xf numFmtId="168" fontId="20" fillId="0" borderId="73" xfId="1" applyNumberFormat="1" applyFont="1" applyFill="1" applyBorder="1" applyAlignment="1">
      <alignment horizontal="center" vertical="center" shrinkToFit="1"/>
    </xf>
    <xf numFmtId="168" fontId="20" fillId="0" borderId="74" xfId="1" applyNumberFormat="1" applyFont="1" applyFill="1" applyBorder="1" applyAlignment="1">
      <alignment horizontal="center" vertical="center" shrinkToFit="1"/>
    </xf>
    <xf numFmtId="168" fontId="20" fillId="0" borderId="81" xfId="1" applyNumberFormat="1" applyFont="1" applyFill="1" applyBorder="1" applyAlignment="1">
      <alignment horizontal="center" vertical="center" shrinkToFit="1"/>
    </xf>
    <xf numFmtId="168" fontId="20" fillId="0" borderId="82" xfId="1" applyNumberFormat="1" applyFont="1" applyFill="1" applyBorder="1" applyAlignment="1">
      <alignment horizontal="center" vertical="center" shrinkToFit="1"/>
    </xf>
    <xf numFmtId="168" fontId="20" fillId="0" borderId="86" xfId="1" applyNumberFormat="1" applyFont="1" applyFill="1" applyBorder="1" applyAlignment="1">
      <alignment horizontal="center" vertical="center" shrinkToFit="1"/>
    </xf>
    <xf numFmtId="168" fontId="20" fillId="0" borderId="57" xfId="1" applyNumberFormat="1" applyFont="1" applyFill="1" applyBorder="1" applyAlignment="1">
      <alignment horizontal="center" vertical="center" shrinkToFit="1"/>
    </xf>
    <xf numFmtId="40" fontId="21" fillId="0" borderId="71" xfId="1" applyNumberFormat="1" applyFont="1" applyFill="1" applyBorder="1" applyAlignment="1">
      <alignment horizontal="center" vertical="center" shrinkToFit="1"/>
    </xf>
    <xf numFmtId="40" fontId="21" fillId="0" borderId="75" xfId="1" applyNumberFormat="1" applyFont="1" applyFill="1" applyBorder="1" applyAlignment="1">
      <alignment horizontal="center" vertical="center" shrinkToFit="1"/>
    </xf>
    <xf numFmtId="169" fontId="21" fillId="4" borderId="76" xfId="2" applyNumberFormat="1" applyFont="1" applyFill="1" applyBorder="1" applyAlignment="1">
      <alignment horizontal="center" vertical="center" shrinkToFit="1"/>
    </xf>
    <xf numFmtId="169" fontId="21" fillId="4" borderId="72" xfId="2" applyNumberFormat="1" applyFont="1" applyFill="1" applyBorder="1" applyAlignment="1">
      <alignment horizontal="center" vertical="center" shrinkToFit="1"/>
    </xf>
    <xf numFmtId="0" fontId="14" fillId="2" borderId="55" xfId="0" applyFont="1" applyFill="1" applyBorder="1" applyAlignment="1">
      <alignment horizontal="center" vertical="center"/>
    </xf>
    <xf numFmtId="0" fontId="14" fillId="2" borderId="56" xfId="0" applyFont="1" applyFill="1" applyBorder="1" applyAlignment="1">
      <alignment horizontal="center" vertical="center"/>
    </xf>
    <xf numFmtId="0" fontId="14" fillId="2" borderId="57" xfId="0" applyFont="1" applyFill="1" applyBorder="1" applyAlignment="1">
      <alignment horizontal="center" vertical="center"/>
    </xf>
    <xf numFmtId="0" fontId="5" fillId="2" borderId="63" xfId="0" applyFont="1" applyFill="1" applyBorder="1" applyAlignment="1">
      <alignment horizontal="center" vertical="center"/>
    </xf>
    <xf numFmtId="0" fontId="5" fillId="2" borderId="64" xfId="0" applyFont="1" applyFill="1" applyBorder="1" applyAlignment="1">
      <alignment horizontal="center" vertical="center"/>
    </xf>
    <xf numFmtId="0" fontId="5" fillId="2" borderId="65" xfId="0" applyFont="1" applyFill="1" applyBorder="1" applyAlignment="1">
      <alignment horizontal="center" vertical="center"/>
    </xf>
    <xf numFmtId="0" fontId="5" fillId="2" borderId="68" xfId="0" applyFont="1" applyFill="1" applyBorder="1" applyAlignment="1">
      <alignment horizontal="center" vertical="center"/>
    </xf>
    <xf numFmtId="0" fontId="16" fillId="0" borderId="46" xfId="0" applyFont="1" applyBorder="1" applyAlignment="1">
      <alignment horizontal="right" vertical="center"/>
    </xf>
    <xf numFmtId="0" fontId="16" fillId="0" borderId="47" xfId="0" applyFont="1" applyBorder="1" applyAlignment="1">
      <alignment horizontal="right" vertical="center"/>
    </xf>
    <xf numFmtId="0" fontId="16" fillId="0" borderId="48" xfId="0" applyFont="1" applyBorder="1" applyAlignment="1">
      <alignment horizontal="right" vertical="center"/>
    </xf>
    <xf numFmtId="164" fontId="5" fillId="2" borderId="7" xfId="1" applyFont="1" applyFill="1" applyBorder="1" applyAlignment="1">
      <alignment horizontal="center" vertical="center"/>
    </xf>
    <xf numFmtId="164" fontId="5" fillId="2" borderId="8" xfId="1" applyFont="1" applyFill="1" applyBorder="1" applyAlignment="1">
      <alignment horizontal="center" vertical="center"/>
    </xf>
    <xf numFmtId="164" fontId="5" fillId="2" borderId="9" xfId="1" applyFont="1" applyFill="1" applyBorder="1" applyAlignment="1">
      <alignment horizontal="center" vertical="center"/>
    </xf>
    <xf numFmtId="164" fontId="5" fillId="2" borderId="10" xfId="1" applyFont="1" applyFill="1" applyBorder="1" applyAlignment="1">
      <alignment horizontal="center" vertical="center"/>
    </xf>
    <xf numFmtId="164" fontId="5" fillId="2" borderId="20" xfId="1" applyFont="1" applyFill="1" applyBorder="1" applyAlignment="1">
      <alignment horizontal="center" vertical="center"/>
    </xf>
    <xf numFmtId="167" fontId="10" fillId="0" borderId="22" xfId="3" applyNumberFormat="1" applyFont="1" applyBorder="1" applyAlignment="1">
      <alignment horizontal="center" vertical="center" wrapText="1"/>
    </xf>
    <xf numFmtId="167" fontId="10" fillId="0" borderId="25" xfId="3" applyNumberFormat="1" applyFont="1" applyBorder="1" applyAlignment="1">
      <alignment horizontal="center" vertical="center" wrapText="1"/>
    </xf>
    <xf numFmtId="167" fontId="10" fillId="0" borderId="28" xfId="3" applyNumberFormat="1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 wrapText="1"/>
    </xf>
    <xf numFmtId="0" fontId="13" fillId="0" borderId="31" xfId="0" applyFont="1" applyBorder="1" applyAlignment="1">
      <alignment horizontal="center" vertical="center" wrapText="1"/>
    </xf>
    <xf numFmtId="166" fontId="10" fillId="0" borderId="32" xfId="3" applyNumberFormat="1" applyFont="1" applyBorder="1" applyAlignment="1">
      <alignment horizontal="center" vertical="center"/>
    </xf>
    <xf numFmtId="166" fontId="10" fillId="0" borderId="33" xfId="3" applyNumberFormat="1" applyFont="1" applyBorder="1" applyAlignment="1">
      <alignment horizontal="center" vertical="center"/>
    </xf>
    <xf numFmtId="166" fontId="10" fillId="0" borderId="34" xfId="3" applyNumberFormat="1" applyFont="1" applyBorder="1" applyAlignment="1">
      <alignment horizontal="center" vertical="center"/>
    </xf>
    <xf numFmtId="0" fontId="13" fillId="4" borderId="36" xfId="0" applyFont="1" applyFill="1" applyBorder="1" applyAlignment="1">
      <alignment horizontal="right" vertical="center" wrapText="1"/>
    </xf>
    <xf numFmtId="0" fontId="13" fillId="4" borderId="37" xfId="0" applyFont="1" applyFill="1" applyBorder="1" applyAlignment="1">
      <alignment horizontal="right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24" fillId="0" borderId="0" xfId="0" applyFont="1" applyAlignment="1">
      <alignment horizontal="left" vertical="center" wrapText="1"/>
    </xf>
    <xf numFmtId="40" fontId="36" fillId="0" borderId="95" xfId="1" applyNumberFormat="1" applyFont="1" applyFill="1" applyBorder="1" applyAlignment="1">
      <alignment horizontal="center" vertical="center"/>
    </xf>
    <xf numFmtId="40" fontId="36" fillId="0" borderId="96" xfId="1" applyNumberFormat="1" applyFont="1" applyFill="1" applyBorder="1" applyAlignment="1">
      <alignment horizontal="center" vertical="center"/>
    </xf>
    <xf numFmtId="2" fontId="33" fillId="4" borderId="79" xfId="0" applyNumberFormat="1" applyFont="1" applyFill="1" applyBorder="1" applyAlignment="1">
      <alignment horizontal="center" vertical="center" wrapText="1"/>
    </xf>
    <xf numFmtId="2" fontId="33" fillId="4" borderId="97" xfId="0" applyNumberFormat="1" applyFont="1" applyFill="1" applyBorder="1" applyAlignment="1">
      <alignment horizontal="center" vertical="center" wrapText="1"/>
    </xf>
    <xf numFmtId="2" fontId="39" fillId="0" borderId="46" xfId="3" applyNumberFormat="1" applyFont="1" applyBorder="1" applyAlignment="1">
      <alignment horizontal="center" vertical="center"/>
    </xf>
    <xf numFmtId="2" fontId="39" fillId="0" borderId="49" xfId="3" applyNumberFormat="1" applyFont="1" applyBorder="1" applyAlignment="1">
      <alignment horizontal="center" vertical="center"/>
    </xf>
    <xf numFmtId="166" fontId="31" fillId="0" borderId="102" xfId="3" quotePrefix="1" applyNumberFormat="1" applyFont="1" applyBorder="1" applyAlignment="1">
      <alignment horizontal="center" vertical="center"/>
    </xf>
    <xf numFmtId="166" fontId="31" fillId="0" borderId="103" xfId="3" quotePrefix="1" applyNumberFormat="1" applyFont="1" applyBorder="1" applyAlignment="1">
      <alignment horizontal="center" vertical="center"/>
    </xf>
    <xf numFmtId="166" fontId="31" fillId="0" borderId="104" xfId="3" quotePrefix="1" applyNumberFormat="1" applyFont="1" applyBorder="1" applyAlignment="1">
      <alignment horizontal="center" vertical="center"/>
    </xf>
    <xf numFmtId="0" fontId="24" fillId="2" borderId="7" xfId="0" applyFont="1" applyFill="1" applyBorder="1" applyAlignment="1">
      <alignment horizontal="center" vertical="center" wrapText="1"/>
    </xf>
    <xf numFmtId="0" fontId="24" fillId="2" borderId="8" xfId="0" applyFont="1" applyFill="1" applyBorder="1" applyAlignment="1">
      <alignment horizontal="center" vertical="center" wrapText="1"/>
    </xf>
    <xf numFmtId="0" fontId="24" fillId="2" borderId="9" xfId="0" applyFont="1" applyFill="1" applyBorder="1" applyAlignment="1">
      <alignment horizontal="center" vertical="center" wrapText="1"/>
    </xf>
    <xf numFmtId="0" fontId="36" fillId="2" borderId="55" xfId="0" applyFont="1" applyFill="1" applyBorder="1" applyAlignment="1">
      <alignment horizontal="center" vertical="center"/>
    </xf>
    <xf numFmtId="0" fontId="36" fillId="2" borderId="56" xfId="0" applyFont="1" applyFill="1" applyBorder="1" applyAlignment="1">
      <alignment horizontal="center" vertical="center"/>
    </xf>
    <xf numFmtId="0" fontId="36" fillId="2" borderId="57" xfId="0" applyFont="1" applyFill="1" applyBorder="1" applyAlignment="1">
      <alignment horizontal="center" vertical="center"/>
    </xf>
    <xf numFmtId="0" fontId="38" fillId="0" borderId="46" xfId="0" applyFont="1" applyBorder="1" applyAlignment="1">
      <alignment horizontal="right" vertical="center"/>
    </xf>
    <xf numFmtId="0" fontId="38" fillId="0" borderId="47" xfId="0" applyFont="1" applyBorder="1" applyAlignment="1">
      <alignment horizontal="right" vertical="center"/>
    </xf>
    <xf numFmtId="0" fontId="38" fillId="0" borderId="48" xfId="0" applyFont="1" applyBorder="1" applyAlignment="1">
      <alignment horizontal="right" vertical="center"/>
    </xf>
    <xf numFmtId="0" fontId="33" fillId="0" borderId="100" xfId="0" applyFont="1" applyBorder="1" applyAlignment="1">
      <alignment horizontal="center" vertical="center" wrapText="1"/>
    </xf>
    <xf numFmtId="0" fontId="33" fillId="0" borderId="101" xfId="0" applyFont="1" applyBorder="1" applyAlignment="1">
      <alignment horizontal="center" vertical="center" wrapText="1"/>
    </xf>
    <xf numFmtId="169" fontId="42" fillId="0" borderId="51" xfId="1" applyNumberFormat="1" applyFont="1" applyFill="1" applyBorder="1" applyAlignment="1">
      <alignment horizontal="center" vertical="center" shrinkToFit="1"/>
    </xf>
    <xf numFmtId="169" fontId="42" fillId="0" borderId="48" xfId="1" applyNumberFormat="1" applyFont="1" applyFill="1" applyBorder="1" applyAlignment="1">
      <alignment horizontal="center" vertical="center" shrinkToFit="1"/>
    </xf>
    <xf numFmtId="40" fontId="42" fillId="0" borderId="46" xfId="1" applyNumberFormat="1" applyFont="1" applyFill="1" applyBorder="1" applyAlignment="1">
      <alignment horizontal="center" vertical="center" shrinkToFit="1"/>
    </xf>
    <xf numFmtId="40" fontId="42" fillId="0" borderId="49" xfId="1" applyNumberFormat="1" applyFont="1" applyFill="1" applyBorder="1" applyAlignment="1">
      <alignment horizontal="center" vertical="center" shrinkToFit="1"/>
    </xf>
    <xf numFmtId="166" fontId="28" fillId="4" borderId="79" xfId="0" quotePrefix="1" applyNumberFormat="1" applyFont="1" applyFill="1" applyBorder="1" applyAlignment="1">
      <alignment horizontal="left" vertical="center" wrapText="1"/>
    </xf>
    <xf numFmtId="0" fontId="28" fillId="4" borderId="80" xfId="0" quotePrefix="1" applyFont="1" applyFill="1" applyBorder="1" applyAlignment="1">
      <alignment horizontal="left" vertical="center" wrapText="1"/>
    </xf>
    <xf numFmtId="40" fontId="42" fillId="0" borderId="79" xfId="1" applyNumberFormat="1" applyFont="1" applyFill="1" applyBorder="1" applyAlignment="1">
      <alignment horizontal="center" vertical="center" shrinkToFit="1"/>
    </xf>
    <xf numFmtId="40" fontId="42" fillId="0" borderId="83" xfId="1" applyNumberFormat="1" applyFont="1" applyFill="1" applyBorder="1" applyAlignment="1">
      <alignment horizontal="center" vertical="center" shrinkToFit="1"/>
    </xf>
    <xf numFmtId="169" fontId="42" fillId="4" borderId="84" xfId="2" applyNumberFormat="1" applyFont="1" applyFill="1" applyBorder="1" applyAlignment="1">
      <alignment horizontal="center" vertical="center" shrinkToFit="1"/>
    </xf>
    <xf numFmtId="169" fontId="42" fillId="4" borderId="80" xfId="2" applyNumberFormat="1" applyFont="1" applyFill="1" applyBorder="1" applyAlignment="1">
      <alignment horizontal="center" vertical="center" shrinkToFit="1"/>
    </xf>
    <xf numFmtId="166" fontId="28" fillId="4" borderId="46" xfId="0" quotePrefix="1" applyNumberFormat="1" applyFont="1" applyFill="1" applyBorder="1" applyAlignment="1">
      <alignment horizontal="left" vertical="center" wrapText="1"/>
    </xf>
    <xf numFmtId="0" fontId="28" fillId="4" borderId="48" xfId="0" quotePrefix="1" applyFont="1" applyFill="1" applyBorder="1" applyAlignment="1">
      <alignment horizontal="left" vertical="center" wrapText="1"/>
    </xf>
    <xf numFmtId="168" fontId="28" fillId="0" borderId="73" xfId="1" applyNumberFormat="1" applyFont="1" applyFill="1" applyBorder="1" applyAlignment="1">
      <alignment horizontal="center" vertical="center" shrinkToFit="1"/>
    </xf>
    <xf numFmtId="168" fontId="28" fillId="0" borderId="94" xfId="1" applyNumberFormat="1" applyFont="1" applyFill="1" applyBorder="1" applyAlignment="1">
      <alignment horizontal="center" vertical="center" shrinkToFit="1"/>
    </xf>
    <xf numFmtId="168" fontId="28" fillId="0" borderId="74" xfId="1" applyNumberFormat="1" applyFont="1" applyFill="1" applyBorder="1" applyAlignment="1">
      <alignment horizontal="center" vertical="center" shrinkToFit="1"/>
    </xf>
    <xf numFmtId="168" fontId="28" fillId="0" borderId="81" xfId="1" applyNumberFormat="1" applyFont="1" applyFill="1" applyBorder="1" applyAlignment="1">
      <alignment horizontal="center" vertical="center" shrinkToFit="1"/>
    </xf>
    <xf numFmtId="168" fontId="28" fillId="0" borderId="0" xfId="1" applyNumberFormat="1" applyFont="1" applyFill="1" applyBorder="1" applyAlignment="1">
      <alignment horizontal="center" vertical="center" shrinkToFit="1"/>
    </xf>
    <xf numFmtId="168" fontId="28" fillId="0" borderId="82" xfId="1" applyNumberFormat="1" applyFont="1" applyFill="1" applyBorder="1" applyAlignment="1">
      <alignment horizontal="center" vertical="center" shrinkToFit="1"/>
    </xf>
    <xf numFmtId="168" fontId="28" fillId="0" borderId="86" xfId="1" applyNumberFormat="1" applyFont="1" applyFill="1" applyBorder="1" applyAlignment="1">
      <alignment horizontal="center" vertical="center" shrinkToFit="1"/>
    </xf>
    <xf numFmtId="168" fontId="28" fillId="0" borderId="56" xfId="1" applyNumberFormat="1" applyFont="1" applyFill="1" applyBorder="1" applyAlignment="1">
      <alignment horizontal="center" vertical="center" shrinkToFit="1"/>
    </xf>
    <xf numFmtId="168" fontId="28" fillId="0" borderId="57" xfId="1" applyNumberFormat="1" applyFont="1" applyFill="1" applyBorder="1" applyAlignment="1">
      <alignment horizontal="center" vertical="center" shrinkToFit="1"/>
    </xf>
    <xf numFmtId="0" fontId="24" fillId="2" borderId="65" xfId="0" applyFont="1" applyFill="1" applyBorder="1" applyAlignment="1">
      <alignment horizontal="center" vertical="center" shrinkToFit="1"/>
    </xf>
    <xf numFmtId="0" fontId="24" fillId="2" borderId="66" xfId="0" applyFont="1" applyFill="1" applyBorder="1" applyAlignment="1">
      <alignment horizontal="center" vertical="center" shrinkToFit="1"/>
    </xf>
    <xf numFmtId="0" fontId="24" fillId="2" borderId="67" xfId="0" applyFont="1" applyFill="1" applyBorder="1" applyAlignment="1">
      <alignment horizontal="center" vertical="center" shrinkToFit="1"/>
    </xf>
    <xf numFmtId="0" fontId="24" fillId="2" borderId="68" xfId="0" applyFont="1" applyFill="1" applyBorder="1" applyAlignment="1">
      <alignment horizontal="center" vertical="center" shrinkToFit="1"/>
    </xf>
    <xf numFmtId="166" fontId="28" fillId="4" borderId="71" xfId="0" quotePrefix="1" applyNumberFormat="1" applyFont="1" applyFill="1" applyBorder="1" applyAlignment="1">
      <alignment horizontal="left" vertical="center" wrapText="1"/>
    </xf>
    <xf numFmtId="0" fontId="28" fillId="4" borderId="72" xfId="0" quotePrefix="1" applyFont="1" applyFill="1" applyBorder="1" applyAlignment="1">
      <alignment horizontal="left" vertical="center" wrapText="1"/>
    </xf>
    <xf numFmtId="40" fontId="42" fillId="0" borderId="71" xfId="1" applyNumberFormat="1" applyFont="1" applyFill="1" applyBorder="1" applyAlignment="1">
      <alignment horizontal="center" vertical="center" shrinkToFit="1"/>
    </xf>
    <xf numFmtId="40" fontId="42" fillId="0" borderId="75" xfId="1" applyNumberFormat="1" applyFont="1" applyFill="1" applyBorder="1" applyAlignment="1">
      <alignment horizontal="center" vertical="center" shrinkToFit="1"/>
    </xf>
    <xf numFmtId="169" fontId="42" fillId="4" borderId="76" xfId="2" applyNumberFormat="1" applyFont="1" applyFill="1" applyBorder="1" applyAlignment="1">
      <alignment horizontal="center" vertical="center" shrinkToFit="1"/>
    </xf>
    <xf numFmtId="169" fontId="42" fillId="4" borderId="72" xfId="2" applyNumberFormat="1" applyFont="1" applyFill="1" applyBorder="1" applyAlignment="1">
      <alignment horizontal="center" vertical="center" shrinkToFit="1"/>
    </xf>
    <xf numFmtId="0" fontId="24" fillId="2" borderId="65" xfId="0" applyFont="1" applyFill="1" applyBorder="1" applyAlignment="1">
      <alignment horizontal="center" vertical="center"/>
    </xf>
    <xf numFmtId="0" fontId="24" fillId="2" borderId="68" xfId="0" applyFont="1" applyFill="1" applyBorder="1" applyAlignment="1">
      <alignment horizontal="center" vertical="center"/>
    </xf>
    <xf numFmtId="0" fontId="24" fillId="2" borderId="99" xfId="0" applyFont="1" applyFill="1" applyBorder="1" applyAlignment="1">
      <alignment horizontal="center" vertical="center"/>
    </xf>
    <xf numFmtId="164" fontId="24" fillId="2" borderId="10" xfId="1" applyFont="1" applyFill="1" applyBorder="1" applyAlignment="1">
      <alignment horizontal="center" vertical="center"/>
    </xf>
    <xf numFmtId="164" fontId="24" fillId="2" borderId="20" xfId="1" applyFont="1" applyFill="1" applyBorder="1" applyAlignment="1">
      <alignment horizontal="center" vertical="center"/>
    </xf>
    <xf numFmtId="167" fontId="42" fillId="0" borderId="22" xfId="3" applyNumberFormat="1" applyFont="1" applyBorder="1" applyAlignment="1">
      <alignment horizontal="center" vertical="center" wrapText="1"/>
    </xf>
    <xf numFmtId="167" fontId="42" fillId="0" borderId="81" xfId="3" applyNumberFormat="1" applyFont="1" applyBorder="1" applyAlignment="1">
      <alignment horizontal="center" vertical="center" wrapText="1"/>
    </xf>
    <xf numFmtId="167" fontId="42" fillId="0" borderId="25" xfId="3" applyNumberFormat="1" applyFont="1" applyBorder="1" applyAlignment="1">
      <alignment horizontal="center" vertical="center" wrapText="1"/>
    </xf>
    <xf numFmtId="164" fontId="24" fillId="2" borderId="7" xfId="1" applyFont="1" applyFill="1" applyBorder="1" applyAlignment="1">
      <alignment horizontal="center" vertical="center" wrapText="1"/>
    </xf>
    <xf numFmtId="164" fontId="24" fillId="2" borderId="8" xfId="1" applyFont="1" applyFill="1" applyBorder="1" applyAlignment="1">
      <alignment horizontal="center" vertical="center" wrapText="1"/>
    </xf>
    <xf numFmtId="164" fontId="24" fillId="2" borderId="9" xfId="1" applyFont="1" applyFill="1" applyBorder="1" applyAlignment="1">
      <alignment horizontal="center" vertical="center" wrapText="1"/>
    </xf>
    <xf numFmtId="166" fontId="31" fillId="0" borderId="103" xfId="3" applyNumberFormat="1" applyFont="1" applyBorder="1" applyAlignment="1">
      <alignment horizontal="center" vertical="center"/>
    </xf>
    <xf numFmtId="166" fontId="31" fillId="0" borderId="104" xfId="3" applyNumberFormat="1" applyFont="1" applyBorder="1" applyAlignment="1">
      <alignment horizontal="center" vertical="center"/>
    </xf>
    <xf numFmtId="166" fontId="31" fillId="0" borderId="102" xfId="3" quotePrefix="1" applyNumberFormat="1" applyFont="1" applyBorder="1" applyAlignment="1">
      <alignment horizontal="center" vertical="center" wrapText="1"/>
    </xf>
    <xf numFmtId="166" fontId="31" fillId="0" borderId="103" xfId="3" applyNumberFormat="1" applyFont="1" applyBorder="1" applyAlignment="1">
      <alignment horizontal="center" vertical="center" wrapText="1"/>
    </xf>
    <xf numFmtId="166" fontId="31" fillId="0" borderId="104" xfId="3" applyNumberFormat="1" applyFont="1" applyBorder="1" applyAlignment="1">
      <alignment horizontal="center" vertical="center" wrapText="1"/>
    </xf>
    <xf numFmtId="0" fontId="33" fillId="4" borderId="36" xfId="0" applyFont="1" applyFill="1" applyBorder="1" applyAlignment="1">
      <alignment horizontal="right" vertical="center" wrapText="1"/>
    </xf>
    <xf numFmtId="0" fontId="33" fillId="4" borderId="37" xfId="0" applyFont="1" applyFill="1" applyBorder="1" applyAlignment="1">
      <alignment horizontal="right" vertical="center" wrapText="1"/>
    </xf>
    <xf numFmtId="0" fontId="24" fillId="2" borderId="2" xfId="0" applyFont="1" applyFill="1" applyBorder="1" applyAlignment="1">
      <alignment horizontal="center" vertical="center"/>
    </xf>
    <xf numFmtId="0" fontId="24" fillId="2" borderId="11" xfId="0" applyFont="1" applyFill="1" applyBorder="1" applyAlignment="1">
      <alignment horizontal="center" vertical="center"/>
    </xf>
    <xf numFmtId="0" fontId="24" fillId="2" borderId="3" xfId="0" applyFont="1" applyFill="1" applyBorder="1" applyAlignment="1">
      <alignment horizontal="center" vertical="center"/>
    </xf>
    <xf numFmtId="0" fontId="24" fillId="2" borderId="12" xfId="0" applyFont="1" applyFill="1" applyBorder="1" applyAlignment="1">
      <alignment horizontal="center" vertical="center"/>
    </xf>
    <xf numFmtId="0" fontId="24" fillId="2" borderId="4" xfId="0" applyFont="1" applyFill="1" applyBorder="1" applyAlignment="1">
      <alignment horizontal="center" vertical="center" wrapText="1"/>
    </xf>
    <xf numFmtId="0" fontId="24" fillId="2" borderId="13" xfId="0" applyFont="1" applyFill="1" applyBorder="1" applyAlignment="1">
      <alignment horizontal="center" vertical="center" wrapText="1"/>
    </xf>
    <xf numFmtId="0" fontId="24" fillId="2" borderId="5" xfId="0" applyFont="1" applyFill="1" applyBorder="1" applyAlignment="1">
      <alignment horizontal="center" vertical="center" wrapText="1"/>
    </xf>
    <xf numFmtId="0" fontId="24" fillId="2" borderId="14" xfId="0" applyFont="1" applyFill="1" applyBorder="1" applyAlignment="1">
      <alignment horizontal="center" vertical="center" wrapText="1"/>
    </xf>
    <xf numFmtId="0" fontId="24" fillId="2" borderId="6" xfId="0" applyFont="1" applyFill="1" applyBorder="1" applyAlignment="1">
      <alignment horizontal="center" vertical="center"/>
    </xf>
    <xf numFmtId="0" fontId="24" fillId="2" borderId="15" xfId="0" applyFont="1" applyFill="1" applyBorder="1" applyAlignment="1">
      <alignment horizontal="center" vertical="center"/>
    </xf>
    <xf numFmtId="40" fontId="42" fillId="0" borderId="82" xfId="3" applyNumberFormat="1" applyFont="1" applyBorder="1">
      <alignment vertical="center"/>
    </xf>
    <xf numFmtId="40" fontId="42" fillId="0" borderId="25" xfId="3" applyNumberFormat="1" applyFont="1" applyBorder="1">
      <alignment vertical="center"/>
    </xf>
    <xf numFmtId="40" fontId="42" fillId="0" borderId="22" xfId="3" applyNumberFormat="1" applyFont="1" applyBorder="1">
      <alignment vertical="center"/>
    </xf>
  </cellXfs>
  <cellStyles count="5">
    <cellStyle name="Comma [0]" xfId="1" builtinId="6"/>
    <cellStyle name="Normal" xfId="0" builtinId="0"/>
    <cellStyle name="Percent" xfId="2" builtinId="5"/>
    <cellStyle name="표준 3" xfId="3" xr:uid="{00000000-0005-0000-0000-000003000000}"/>
    <cellStyle name="표준_sht6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X31"/>
  <sheetViews>
    <sheetView showGridLines="0" view="pageBreakPreview" zoomScale="106" zoomScaleNormal="70" zoomScaleSheetLayoutView="106" workbookViewId="0">
      <selection activeCell="F7" sqref="F7"/>
    </sheetView>
  </sheetViews>
  <sheetFormatPr defaultColWidth="9" defaultRowHeight="18" customHeight="1"/>
  <cols>
    <col min="1" max="1" width="3.140625" style="8" customWidth="1"/>
    <col min="2" max="2" width="5.140625" style="8" customWidth="1"/>
    <col min="3" max="3" width="22.42578125" style="13" customWidth="1"/>
    <col min="4" max="4" width="39.42578125" style="14" customWidth="1"/>
    <col min="5" max="5" width="9.85546875" style="8" customWidth="1"/>
    <col min="6" max="6" width="5.7109375" style="8" customWidth="1"/>
    <col min="7" max="9" width="9.7109375" style="8" customWidth="1"/>
    <col min="10" max="10" width="5.7109375" style="126" customWidth="1"/>
    <col min="11" max="13" width="9.7109375" style="8" customWidth="1"/>
    <col min="14" max="14" width="5.7109375" style="126" customWidth="1"/>
    <col min="15" max="17" width="9.7109375" style="126" customWidth="1"/>
    <col min="18" max="18" width="5.7109375" style="126" customWidth="1"/>
    <col min="19" max="19" width="14.28515625" style="8" customWidth="1"/>
    <col min="20" max="20" width="2" style="8" customWidth="1"/>
    <col min="21" max="24" width="9" style="7"/>
    <col min="25" max="16384" width="9" style="8"/>
  </cols>
  <sheetData>
    <row r="1" spans="1:24" ht="24.95" customHeight="1" thickBot="1">
      <c r="A1" s="1" t="s">
        <v>36</v>
      </c>
      <c r="B1" s="2"/>
      <c r="C1" s="3"/>
      <c r="D1" s="4"/>
      <c r="E1" s="2"/>
      <c r="F1" s="2"/>
      <c r="G1" s="2"/>
      <c r="H1" s="2"/>
      <c r="I1" s="2"/>
      <c r="J1" s="5"/>
      <c r="K1" s="2"/>
      <c r="L1" s="2"/>
      <c r="M1" s="2"/>
      <c r="N1" s="5"/>
      <c r="O1" s="5"/>
      <c r="P1" s="5"/>
      <c r="Q1" s="243" t="s">
        <v>37</v>
      </c>
      <c r="R1" s="243"/>
      <c r="S1" s="243"/>
      <c r="T1" s="6"/>
    </row>
    <row r="2" spans="1:24" ht="15" customHeight="1" thickTop="1">
      <c r="A2" s="9"/>
      <c r="B2" s="9"/>
      <c r="C2" s="10"/>
      <c r="D2" s="11"/>
      <c r="E2" s="9"/>
      <c r="F2" s="9"/>
      <c r="G2" s="9"/>
      <c r="H2" s="9"/>
      <c r="I2" s="9"/>
      <c r="J2" s="12"/>
      <c r="K2" s="9"/>
      <c r="L2" s="9"/>
      <c r="M2" s="9"/>
      <c r="N2" s="12"/>
      <c r="O2" s="12"/>
      <c r="P2" s="12"/>
      <c r="Q2" s="12"/>
      <c r="R2" s="12"/>
      <c r="S2" s="9"/>
      <c r="T2" s="9"/>
    </row>
    <row r="3" spans="1:24" ht="18" customHeight="1" thickBot="1">
      <c r="A3" s="9" t="s">
        <v>0</v>
      </c>
      <c r="J3" s="15"/>
      <c r="N3" s="15"/>
      <c r="O3" s="15"/>
      <c r="P3" s="15"/>
      <c r="Q3" s="15"/>
      <c r="R3" s="15"/>
      <c r="S3" s="16" t="s">
        <v>1</v>
      </c>
      <c r="T3" s="16"/>
    </row>
    <row r="4" spans="1:24" ht="23.1" customHeight="1">
      <c r="B4" s="297" t="s">
        <v>2</v>
      </c>
      <c r="C4" s="299" t="s">
        <v>3</v>
      </c>
      <c r="D4" s="301" t="s">
        <v>4</v>
      </c>
      <c r="E4" s="303" t="s">
        <v>5</v>
      </c>
      <c r="F4" s="305" t="s">
        <v>6</v>
      </c>
      <c r="G4" s="282" t="s">
        <v>7</v>
      </c>
      <c r="H4" s="283"/>
      <c r="I4" s="283"/>
      <c r="J4" s="284"/>
      <c r="K4" s="282" t="s">
        <v>8</v>
      </c>
      <c r="L4" s="283"/>
      <c r="M4" s="283"/>
      <c r="N4" s="284"/>
      <c r="O4" s="282" t="s">
        <v>9</v>
      </c>
      <c r="P4" s="283"/>
      <c r="Q4" s="283"/>
      <c r="R4" s="284"/>
      <c r="S4" s="285" t="s">
        <v>10</v>
      </c>
      <c r="T4" s="17"/>
    </row>
    <row r="5" spans="1:24" ht="33.75" customHeight="1" thickBot="1">
      <c r="B5" s="298"/>
      <c r="C5" s="300"/>
      <c r="D5" s="302"/>
      <c r="E5" s="304"/>
      <c r="F5" s="306"/>
      <c r="G5" s="18" t="s">
        <v>11</v>
      </c>
      <c r="H5" s="19" t="s">
        <v>12</v>
      </c>
      <c r="I5" s="20" t="s">
        <v>13</v>
      </c>
      <c r="J5" s="21" t="s">
        <v>14</v>
      </c>
      <c r="K5" s="18" t="s">
        <v>15</v>
      </c>
      <c r="L5" s="19" t="s">
        <v>16</v>
      </c>
      <c r="M5" s="20" t="s">
        <v>17</v>
      </c>
      <c r="N5" s="22" t="s">
        <v>18</v>
      </c>
      <c r="O5" s="18" t="s">
        <v>15</v>
      </c>
      <c r="P5" s="19" t="s">
        <v>16</v>
      </c>
      <c r="Q5" s="20" t="s">
        <v>19</v>
      </c>
      <c r="R5" s="22" t="s">
        <v>20</v>
      </c>
      <c r="S5" s="286"/>
      <c r="T5" s="17"/>
    </row>
    <row r="6" spans="1:24" s="7" customFormat="1" ht="30" customHeight="1" thickTop="1">
      <c r="A6" s="8"/>
      <c r="B6" s="23"/>
      <c r="C6" s="24"/>
      <c r="D6" s="25"/>
      <c r="E6" s="26"/>
      <c r="F6" s="26"/>
      <c r="G6" s="27"/>
      <c r="H6" s="28"/>
      <c r="I6" s="287"/>
      <c r="J6" s="29"/>
      <c r="K6" s="30"/>
      <c r="L6" s="28"/>
      <c r="M6" s="287"/>
      <c r="N6" s="29"/>
      <c r="O6" s="27"/>
      <c r="P6" s="28"/>
      <c r="Q6" s="287"/>
      <c r="R6" s="29"/>
      <c r="S6" s="31"/>
      <c r="T6" s="32"/>
    </row>
    <row r="7" spans="1:24" s="7" customFormat="1" ht="30" customHeight="1">
      <c r="A7" s="8"/>
      <c r="B7" s="33"/>
      <c r="C7" s="34"/>
      <c r="D7" s="35"/>
      <c r="E7" s="36"/>
      <c r="F7" s="36"/>
      <c r="G7" s="37"/>
      <c r="H7" s="38"/>
      <c r="I7" s="288"/>
      <c r="J7" s="39"/>
      <c r="K7" s="40"/>
      <c r="L7" s="38"/>
      <c r="M7" s="288"/>
      <c r="N7" s="39"/>
      <c r="O7" s="37"/>
      <c r="P7" s="38"/>
      <c r="Q7" s="288"/>
      <c r="R7" s="39"/>
      <c r="S7" s="41"/>
      <c r="T7" s="32"/>
    </row>
    <row r="8" spans="1:24" s="7" customFormat="1" ht="30" customHeight="1">
      <c r="A8" s="8"/>
      <c r="B8" s="42"/>
      <c r="C8" s="43"/>
      <c r="D8" s="44"/>
      <c r="E8" s="45"/>
      <c r="F8" s="45"/>
      <c r="G8" s="46"/>
      <c r="H8" s="47"/>
      <c r="I8" s="289"/>
      <c r="J8" s="48"/>
      <c r="K8" s="49"/>
      <c r="L8" s="47"/>
      <c r="M8" s="289"/>
      <c r="N8" s="48"/>
      <c r="O8" s="46"/>
      <c r="P8" s="47"/>
      <c r="Q8" s="289"/>
      <c r="R8" s="48"/>
      <c r="S8" s="50"/>
      <c r="T8" s="32"/>
    </row>
    <row r="9" spans="1:24" s="7" customFormat="1" ht="30" customHeight="1">
      <c r="A9" s="8"/>
      <c r="B9" s="51"/>
      <c r="C9" s="290" t="s">
        <v>21</v>
      </c>
      <c r="D9" s="291"/>
      <c r="E9" s="291"/>
      <c r="F9" s="291"/>
      <c r="G9" s="292"/>
      <c r="H9" s="293"/>
      <c r="I9" s="293"/>
      <c r="J9" s="294"/>
      <c r="K9" s="292"/>
      <c r="L9" s="293"/>
      <c r="M9" s="293"/>
      <c r="N9" s="294"/>
      <c r="O9" s="292"/>
      <c r="P9" s="293"/>
      <c r="Q9" s="293"/>
      <c r="R9" s="294"/>
      <c r="S9" s="52"/>
      <c r="T9" s="32"/>
    </row>
    <row r="10" spans="1:24" s="7" customFormat="1" ht="30" customHeight="1">
      <c r="A10" s="8"/>
      <c r="B10" s="53"/>
      <c r="C10" s="54"/>
      <c r="D10" s="295" t="s">
        <v>22</v>
      </c>
      <c r="E10" s="295"/>
      <c r="F10" s="296"/>
      <c r="G10" s="55"/>
      <c r="H10" s="56"/>
      <c r="I10" s="57"/>
      <c r="J10" s="58"/>
      <c r="K10" s="59"/>
      <c r="L10" s="56"/>
      <c r="M10" s="56"/>
      <c r="N10" s="60"/>
      <c r="O10" s="59"/>
      <c r="P10" s="56"/>
      <c r="Q10" s="56"/>
      <c r="R10" s="61"/>
      <c r="S10" s="62"/>
      <c r="T10" s="32"/>
    </row>
    <row r="11" spans="1:24" ht="30" customHeight="1" thickBot="1">
      <c r="B11" s="63"/>
      <c r="C11" s="279" t="s">
        <v>23</v>
      </c>
      <c r="D11" s="280"/>
      <c r="E11" s="280"/>
      <c r="F11" s="281"/>
      <c r="G11" s="64"/>
      <c r="H11" s="65"/>
      <c r="I11" s="66"/>
      <c r="J11" s="67"/>
      <c r="K11" s="68"/>
      <c r="L11" s="65"/>
      <c r="M11" s="66"/>
      <c r="N11" s="67"/>
      <c r="O11" s="68"/>
      <c r="P11" s="65"/>
      <c r="Q11" s="65"/>
      <c r="R11" s="69"/>
      <c r="S11" s="70"/>
      <c r="T11" s="32"/>
    </row>
    <row r="12" spans="1:24" ht="25.15" customHeight="1" thickBot="1">
      <c r="B12" s="272" t="s">
        <v>24</v>
      </c>
      <c r="C12" s="273"/>
      <c r="D12" s="273"/>
      <c r="E12" s="273"/>
      <c r="F12" s="274"/>
      <c r="G12" s="71"/>
      <c r="H12" s="72"/>
      <c r="I12" s="73"/>
      <c r="J12" s="74"/>
      <c r="K12" s="75"/>
      <c r="L12" s="72"/>
      <c r="M12" s="73"/>
      <c r="N12" s="76"/>
      <c r="O12" s="71"/>
      <c r="P12" s="72"/>
      <c r="Q12" s="73"/>
      <c r="R12" s="74"/>
      <c r="S12" s="77"/>
      <c r="T12" s="78"/>
    </row>
    <row r="13" spans="1:24" s="79" customFormat="1" ht="12" customHeight="1">
      <c r="B13" s="80"/>
      <c r="C13" s="81"/>
      <c r="D13" s="81"/>
      <c r="E13" s="82"/>
      <c r="F13" s="82"/>
      <c r="G13" s="83"/>
      <c r="H13" s="83"/>
      <c r="I13" s="83"/>
      <c r="J13" s="84"/>
      <c r="K13" s="83"/>
      <c r="L13" s="83"/>
      <c r="M13" s="83"/>
      <c r="N13" s="84"/>
      <c r="O13" s="84"/>
      <c r="P13" s="84"/>
      <c r="Q13" s="84"/>
      <c r="R13" s="84"/>
      <c r="S13" s="85"/>
      <c r="T13" s="86"/>
      <c r="U13" s="87"/>
      <c r="V13" s="87"/>
      <c r="W13" s="87"/>
      <c r="X13" s="87"/>
    </row>
    <row r="14" spans="1:24" ht="18" customHeight="1" thickBot="1">
      <c r="A14" s="9" t="s">
        <v>38</v>
      </c>
      <c r="B14" s="9"/>
      <c r="C14" s="10"/>
      <c r="D14" s="11"/>
      <c r="E14" s="9"/>
      <c r="F14" s="9"/>
      <c r="G14" s="9"/>
      <c r="H14" s="9"/>
      <c r="I14" s="9"/>
      <c r="J14" s="12"/>
      <c r="K14" s="9"/>
      <c r="L14" s="9"/>
      <c r="M14" s="9"/>
      <c r="N14" s="12"/>
      <c r="O14" s="12"/>
      <c r="P14" s="12"/>
      <c r="Q14" s="12"/>
      <c r="R14" s="12"/>
      <c r="S14" s="16" t="s">
        <v>25</v>
      </c>
      <c r="T14" s="16"/>
    </row>
    <row r="15" spans="1:24" ht="23.25" customHeight="1" thickBot="1">
      <c r="B15" s="88" t="s">
        <v>26</v>
      </c>
      <c r="C15" s="277" t="s">
        <v>27</v>
      </c>
      <c r="D15" s="278"/>
      <c r="E15" s="275" t="s">
        <v>28</v>
      </c>
      <c r="F15" s="276"/>
      <c r="G15" s="256" t="s">
        <v>29</v>
      </c>
      <c r="H15" s="257"/>
      <c r="I15" s="258" t="s">
        <v>30</v>
      </c>
      <c r="J15" s="259"/>
      <c r="K15" s="256" t="s">
        <v>31</v>
      </c>
      <c r="L15" s="257"/>
      <c r="M15" s="258" t="s">
        <v>32</v>
      </c>
      <c r="N15" s="259"/>
      <c r="O15" s="256" t="s">
        <v>31</v>
      </c>
      <c r="P15" s="257"/>
      <c r="Q15" s="258" t="s">
        <v>32</v>
      </c>
      <c r="R15" s="259"/>
      <c r="S15" s="89" t="s">
        <v>33</v>
      </c>
      <c r="T15" s="90"/>
    </row>
    <row r="16" spans="1:24" s="79" customFormat="1" ht="25.15" customHeight="1" thickTop="1">
      <c r="B16" s="91"/>
      <c r="C16" s="260"/>
      <c r="D16" s="261"/>
      <c r="E16" s="262"/>
      <c r="F16" s="263"/>
      <c r="G16" s="268"/>
      <c r="H16" s="269"/>
      <c r="I16" s="270"/>
      <c r="J16" s="271"/>
      <c r="K16" s="268"/>
      <c r="L16" s="269"/>
      <c r="M16" s="270"/>
      <c r="N16" s="271"/>
      <c r="O16" s="268"/>
      <c r="P16" s="269"/>
      <c r="Q16" s="270"/>
      <c r="R16" s="271"/>
      <c r="S16" s="92"/>
      <c r="T16" s="93"/>
      <c r="U16" s="87"/>
      <c r="V16" s="87"/>
      <c r="W16" s="87"/>
      <c r="X16" s="87"/>
    </row>
    <row r="17" spans="1:24" s="79" customFormat="1" ht="25.15" customHeight="1">
      <c r="B17" s="94"/>
      <c r="C17" s="252"/>
      <c r="D17" s="253"/>
      <c r="E17" s="264"/>
      <c r="F17" s="265"/>
      <c r="G17" s="254"/>
      <c r="H17" s="255"/>
      <c r="I17" s="244"/>
      <c r="J17" s="245"/>
      <c r="K17" s="254"/>
      <c r="L17" s="255"/>
      <c r="M17" s="244"/>
      <c r="N17" s="245"/>
      <c r="O17" s="254"/>
      <c r="P17" s="255"/>
      <c r="Q17" s="244"/>
      <c r="R17" s="245"/>
      <c r="S17" s="95"/>
      <c r="T17" s="93"/>
      <c r="U17" s="87"/>
      <c r="V17" s="87"/>
      <c r="W17" s="87"/>
      <c r="X17" s="87"/>
    </row>
    <row r="18" spans="1:24" s="79" customFormat="1" ht="25.15" customHeight="1" thickBot="1">
      <c r="B18" s="96"/>
      <c r="C18" s="246"/>
      <c r="D18" s="247"/>
      <c r="E18" s="266"/>
      <c r="F18" s="267"/>
      <c r="G18" s="248"/>
      <c r="H18" s="249"/>
      <c r="I18" s="250"/>
      <c r="J18" s="251"/>
      <c r="K18" s="248"/>
      <c r="L18" s="249"/>
      <c r="M18" s="250"/>
      <c r="N18" s="251"/>
      <c r="O18" s="248"/>
      <c r="P18" s="249"/>
      <c r="Q18" s="250"/>
      <c r="R18" s="251"/>
      <c r="S18" s="97"/>
      <c r="T18" s="93"/>
      <c r="U18" s="87"/>
      <c r="V18" s="87"/>
      <c r="W18" s="87"/>
      <c r="X18" s="87"/>
    </row>
    <row r="19" spans="1:24" s="79" customFormat="1" ht="12" customHeight="1">
      <c r="B19" s="80"/>
      <c r="C19" s="81"/>
      <c r="D19" s="81"/>
      <c r="E19" s="82"/>
      <c r="F19" s="82"/>
      <c r="G19" s="83"/>
      <c r="H19" s="83"/>
      <c r="I19" s="83"/>
      <c r="J19" s="84"/>
      <c r="K19" s="83"/>
      <c r="L19" s="83"/>
      <c r="M19" s="83"/>
      <c r="N19" s="84"/>
      <c r="O19" s="84"/>
      <c r="P19" s="84"/>
      <c r="Q19" s="84"/>
      <c r="R19" s="84"/>
      <c r="S19" s="85"/>
      <c r="T19" s="86"/>
      <c r="U19" s="87"/>
      <c r="V19" s="87"/>
      <c r="W19" s="87"/>
      <c r="X19" s="87"/>
    </row>
    <row r="20" spans="1:24" ht="18" customHeight="1" thickBot="1">
      <c r="A20" s="9" t="s">
        <v>34</v>
      </c>
      <c r="B20" s="9"/>
      <c r="C20" s="10"/>
      <c r="D20" s="11"/>
      <c r="E20" s="9"/>
      <c r="F20" s="9"/>
      <c r="G20" s="9"/>
      <c r="H20" s="9"/>
      <c r="I20" s="9"/>
      <c r="J20" s="12"/>
      <c r="K20" s="9"/>
      <c r="L20" s="9"/>
      <c r="M20" s="9"/>
      <c r="N20" s="12"/>
      <c r="O20" s="12"/>
      <c r="P20" s="12"/>
      <c r="Q20" s="12"/>
      <c r="R20" s="12"/>
      <c r="S20" s="9"/>
      <c r="T20" s="9"/>
    </row>
    <row r="21" spans="1:24" ht="19.899999999999999" customHeight="1">
      <c r="A21" s="9"/>
      <c r="B21" s="98"/>
      <c r="C21" s="99"/>
      <c r="D21" s="100"/>
      <c r="E21" s="101"/>
      <c r="F21" s="102"/>
      <c r="G21" s="102"/>
      <c r="H21" s="102"/>
      <c r="I21" s="102"/>
      <c r="J21" s="103"/>
      <c r="K21" s="102"/>
      <c r="L21" s="102"/>
      <c r="M21" s="102"/>
      <c r="N21" s="103"/>
      <c r="O21" s="103"/>
      <c r="P21" s="103"/>
      <c r="Q21" s="103"/>
      <c r="R21" s="103"/>
      <c r="S21" s="104"/>
      <c r="T21" s="9"/>
    </row>
    <row r="22" spans="1:24" ht="19.899999999999999" customHeight="1" thickBot="1">
      <c r="A22" s="9"/>
      <c r="B22" s="105"/>
      <c r="C22" s="106"/>
      <c r="D22" s="107"/>
      <c r="E22" s="108"/>
      <c r="F22" s="109"/>
      <c r="G22" s="109"/>
      <c r="H22" s="109"/>
      <c r="I22" s="109"/>
      <c r="J22" s="110"/>
      <c r="K22" s="109"/>
      <c r="L22" s="109"/>
      <c r="M22" s="109"/>
      <c r="N22" s="110"/>
      <c r="O22" s="110"/>
      <c r="P22" s="110"/>
      <c r="Q22" s="110"/>
      <c r="R22" s="110"/>
      <c r="S22" s="111"/>
      <c r="T22" s="9"/>
    </row>
    <row r="23" spans="1:24" s="79" customFormat="1" ht="12" customHeight="1">
      <c r="B23" s="80"/>
      <c r="C23" s="81"/>
      <c r="D23" s="81"/>
      <c r="E23" s="82"/>
      <c r="F23" s="82"/>
      <c r="G23" s="83"/>
      <c r="H23" s="83"/>
      <c r="I23" s="83"/>
      <c r="J23" s="84"/>
      <c r="K23" s="83"/>
      <c r="L23" s="83"/>
      <c r="M23" s="83"/>
      <c r="N23" s="84"/>
      <c r="O23" s="84"/>
      <c r="P23" s="84"/>
      <c r="Q23" s="84"/>
      <c r="R23" s="84"/>
      <c r="S23" s="85"/>
      <c r="T23" s="86"/>
      <c r="U23" s="87"/>
      <c r="V23" s="87"/>
      <c r="W23" s="87"/>
      <c r="X23" s="87"/>
    </row>
    <row r="24" spans="1:24" ht="18" customHeight="1" thickBot="1">
      <c r="A24" s="9" t="s">
        <v>35</v>
      </c>
      <c r="B24" s="9"/>
      <c r="C24" s="10"/>
      <c r="D24" s="11"/>
      <c r="E24" s="9"/>
      <c r="F24" s="9"/>
      <c r="G24" s="9"/>
      <c r="H24" s="9"/>
      <c r="I24" s="9"/>
      <c r="J24" s="12"/>
      <c r="K24" s="9"/>
      <c r="L24" s="9"/>
      <c r="M24" s="9"/>
      <c r="N24" s="12"/>
      <c r="O24" s="12"/>
      <c r="P24" s="12"/>
      <c r="Q24" s="12"/>
      <c r="R24" s="12"/>
      <c r="S24" s="9"/>
      <c r="T24" s="9"/>
    </row>
    <row r="25" spans="1:24" ht="24.95" customHeight="1" thickBot="1">
      <c r="A25" s="9"/>
      <c r="B25" s="112"/>
      <c r="C25" s="113"/>
      <c r="D25" s="114"/>
      <c r="E25" s="115"/>
      <c r="F25" s="116"/>
      <c r="G25" s="116"/>
      <c r="H25" s="116"/>
      <c r="I25" s="116"/>
      <c r="J25" s="117"/>
      <c r="K25" s="116"/>
      <c r="L25" s="116"/>
      <c r="M25" s="116"/>
      <c r="N25" s="117"/>
      <c r="O25" s="117"/>
      <c r="P25" s="117"/>
      <c r="Q25" s="117"/>
      <c r="R25" s="117"/>
      <c r="S25" s="118"/>
      <c r="T25" s="9"/>
    </row>
    <row r="26" spans="1:24" ht="18" customHeight="1">
      <c r="A26" s="9"/>
      <c r="B26" s="119"/>
      <c r="C26" s="120"/>
      <c r="D26" s="121"/>
      <c r="E26" s="119"/>
      <c r="F26" s="9"/>
      <c r="G26" s="9"/>
      <c r="H26" s="9"/>
      <c r="I26" s="9"/>
      <c r="J26" s="12"/>
      <c r="K26" s="9"/>
      <c r="L26" s="9"/>
      <c r="M26" s="9"/>
      <c r="N26" s="12"/>
      <c r="O26" s="12"/>
      <c r="P26" s="12"/>
      <c r="Q26" s="12"/>
      <c r="R26" s="12"/>
      <c r="S26" s="9"/>
      <c r="T26" s="9"/>
    </row>
    <row r="27" spans="1:24" s="125" customFormat="1" ht="15" customHeight="1">
      <c r="A27" s="8"/>
      <c r="B27" s="122"/>
      <c r="C27" s="123"/>
      <c r="D27" s="124"/>
      <c r="E27" s="122"/>
      <c r="F27" s="122"/>
      <c r="G27" s="122"/>
      <c r="H27" s="122"/>
      <c r="I27" s="122"/>
      <c r="J27" s="122"/>
      <c r="K27" s="122"/>
      <c r="L27" s="122"/>
      <c r="M27" s="122"/>
      <c r="N27" s="122"/>
      <c r="O27" s="122"/>
      <c r="P27" s="122"/>
      <c r="Q27" s="122"/>
      <c r="R27" s="122"/>
      <c r="S27" s="122"/>
      <c r="T27" s="122"/>
      <c r="U27" s="7"/>
      <c r="V27" s="7"/>
      <c r="W27" s="7"/>
      <c r="X27" s="7"/>
    </row>
    <row r="28" spans="1:24" s="125" customFormat="1" ht="18" customHeight="1">
      <c r="A28" s="8"/>
      <c r="B28" s="8"/>
      <c r="C28" s="13"/>
      <c r="D28" s="124"/>
      <c r="I28" s="122"/>
      <c r="J28" s="122"/>
      <c r="K28" s="122"/>
      <c r="L28" s="122"/>
      <c r="M28" s="122"/>
      <c r="N28" s="122"/>
      <c r="O28" s="122"/>
      <c r="P28" s="122"/>
      <c r="Q28" s="122"/>
      <c r="R28" s="122"/>
      <c r="S28" s="8"/>
      <c r="T28" s="8"/>
      <c r="U28" s="7"/>
      <c r="V28" s="7"/>
      <c r="W28" s="7"/>
      <c r="X28" s="7"/>
    </row>
    <row r="29" spans="1:24" s="125" customFormat="1" ht="18" customHeight="1">
      <c r="A29" s="8"/>
      <c r="B29" s="8"/>
      <c r="C29" s="13"/>
      <c r="D29" s="124"/>
      <c r="E29" s="122"/>
      <c r="F29" s="122"/>
      <c r="G29" s="122"/>
      <c r="H29" s="122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8"/>
      <c r="T29" s="8"/>
      <c r="U29" s="7"/>
      <c r="V29" s="7"/>
      <c r="W29" s="7"/>
      <c r="X29" s="7"/>
    </row>
    <row r="30" spans="1:24" s="125" customFormat="1" ht="18" customHeight="1">
      <c r="A30" s="8"/>
      <c r="B30" s="8"/>
      <c r="C30" s="13"/>
      <c r="D30" s="124"/>
      <c r="E30" s="122"/>
      <c r="F30" s="122"/>
      <c r="G30" s="122"/>
      <c r="H30" s="122"/>
      <c r="I30" s="122"/>
      <c r="J30" s="122"/>
      <c r="K30" s="122"/>
      <c r="L30" s="122"/>
      <c r="M30" s="122"/>
      <c r="N30" s="122"/>
      <c r="O30" s="122"/>
      <c r="P30" s="122"/>
      <c r="Q30" s="122"/>
      <c r="R30" s="122"/>
      <c r="S30" s="8"/>
      <c r="T30" s="8"/>
      <c r="U30" s="7"/>
      <c r="V30" s="7"/>
      <c r="W30" s="7"/>
      <c r="X30" s="7"/>
    </row>
    <row r="31" spans="1:24" s="125" customFormat="1" ht="18" customHeight="1">
      <c r="A31" s="8"/>
      <c r="B31" s="8"/>
      <c r="C31" s="13"/>
      <c r="D31" s="124"/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8"/>
      <c r="T31" s="8"/>
      <c r="U31" s="7"/>
      <c r="V31" s="7"/>
      <c r="W31" s="7"/>
      <c r="X31" s="7"/>
    </row>
  </sheetData>
  <mergeCells count="50">
    <mergeCell ref="B4:B5"/>
    <mergeCell ref="C4:C5"/>
    <mergeCell ref="D4:D5"/>
    <mergeCell ref="E4:E5"/>
    <mergeCell ref="F4:F5"/>
    <mergeCell ref="C11:F11"/>
    <mergeCell ref="K4:N4"/>
    <mergeCell ref="O4:R4"/>
    <mergeCell ref="S4:S5"/>
    <mergeCell ref="I6:I8"/>
    <mergeCell ref="M6:M8"/>
    <mergeCell ref="Q6:Q8"/>
    <mergeCell ref="G4:J4"/>
    <mergeCell ref="C9:F9"/>
    <mergeCell ref="G9:J9"/>
    <mergeCell ref="K9:N9"/>
    <mergeCell ref="O9:R9"/>
    <mergeCell ref="D10:F10"/>
    <mergeCell ref="B12:F12"/>
    <mergeCell ref="E15:F15"/>
    <mergeCell ref="G15:H15"/>
    <mergeCell ref="I15:J15"/>
    <mergeCell ref="K15:L15"/>
    <mergeCell ref="C15:D15"/>
    <mergeCell ref="Q15:R15"/>
    <mergeCell ref="C16:D16"/>
    <mergeCell ref="E16:F18"/>
    <mergeCell ref="G16:H16"/>
    <mergeCell ref="I16:J16"/>
    <mergeCell ref="K16:L16"/>
    <mergeCell ref="M16:N16"/>
    <mergeCell ref="O16:P16"/>
    <mergeCell ref="Q16:R16"/>
    <mergeCell ref="M15:N15"/>
    <mergeCell ref="Q1:S1"/>
    <mergeCell ref="Q17:R17"/>
    <mergeCell ref="C18:D18"/>
    <mergeCell ref="G18:H18"/>
    <mergeCell ref="I18:J18"/>
    <mergeCell ref="K18:L18"/>
    <mergeCell ref="M18:N18"/>
    <mergeCell ref="O18:P18"/>
    <mergeCell ref="Q18:R18"/>
    <mergeCell ref="C17:D17"/>
    <mergeCell ref="G17:H17"/>
    <mergeCell ref="I17:J17"/>
    <mergeCell ref="K17:L17"/>
    <mergeCell ref="M17:N17"/>
    <mergeCell ref="O17:P17"/>
    <mergeCell ref="O15:P15"/>
  </mergeCells>
  <phoneticPr fontId="4" type="noConversion"/>
  <printOptions horizontalCentered="1"/>
  <pageMargins left="0.15748031496062992" right="0.15748031496062992" top="0.69" bottom="0.19685039370078741" header="0.31496062992125984" footer="0.15748031496062992"/>
  <pageSetup paperSize="9" scale="65" fitToHeight="0" orientation="landscape" horizontalDpi="1200" verticalDpi="1200" r:id="rId1"/>
  <rowBreaks count="1" manualBreakCount="1">
    <brk id="27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pageSetUpPr fitToPage="1"/>
  </sheetPr>
  <dimension ref="A1:AA30"/>
  <sheetViews>
    <sheetView showGridLines="0" tabSelected="1" topLeftCell="B1" zoomScale="130" zoomScaleNormal="130" zoomScaleSheetLayoutView="110" workbookViewId="0">
      <selection activeCell="Q9" sqref="Q9"/>
    </sheetView>
  </sheetViews>
  <sheetFormatPr defaultColWidth="9" defaultRowHeight="18" customHeight="1"/>
  <cols>
    <col min="1" max="1" width="3.140625" style="134" customWidth="1"/>
    <col min="2" max="2" width="5.140625" style="134" customWidth="1"/>
    <col min="3" max="3" width="30.5703125" style="139" customWidth="1"/>
    <col min="4" max="4" width="28.5703125" style="140" customWidth="1"/>
    <col min="5" max="5" width="8.7109375" style="134" customWidth="1"/>
    <col min="6" max="6" width="8.140625" style="134" customWidth="1"/>
    <col min="7" max="7" width="9" style="134" customWidth="1"/>
    <col min="8" max="8" width="12.42578125" style="134" customWidth="1"/>
    <col min="9" max="9" width="8.140625" style="134" bestFit="1" customWidth="1"/>
    <col min="10" max="10" width="13.140625" style="134" customWidth="1"/>
    <col min="11" max="11" width="12.140625" style="134" customWidth="1"/>
    <col min="12" max="12" width="11.140625" style="134" customWidth="1"/>
    <col min="13" max="13" width="6.28515625" style="227" bestFit="1" customWidth="1"/>
    <col min="14" max="14" width="11.28515625" style="134" bestFit="1" customWidth="1"/>
    <col min="15" max="15" width="13.85546875" style="134" bestFit="1" customWidth="1"/>
    <col min="16" max="16" width="12.140625" style="134" customWidth="1"/>
    <col min="17" max="17" width="8.140625" style="227" customWidth="1"/>
    <col min="18" max="18" width="12.28515625" style="227" bestFit="1" customWidth="1"/>
    <col min="19" max="19" width="13.85546875" style="227" bestFit="1" customWidth="1"/>
    <col min="20" max="20" width="9.7109375" style="227" customWidth="1"/>
    <col min="21" max="21" width="8.85546875" style="227" bestFit="1" customWidth="1"/>
    <col min="22" max="22" width="14.28515625" style="134" customWidth="1"/>
    <col min="23" max="23" width="2" style="134" customWidth="1"/>
    <col min="24" max="27" width="9" style="133"/>
    <col min="28" max="16384" width="9" style="134"/>
  </cols>
  <sheetData>
    <row r="1" spans="1:27" ht="24.95" customHeight="1" thickBot="1">
      <c r="A1" s="127" t="s">
        <v>57</v>
      </c>
      <c r="B1" s="128"/>
      <c r="C1" s="129"/>
      <c r="D1" s="130"/>
      <c r="E1" s="128"/>
      <c r="F1" s="128"/>
      <c r="G1" s="128"/>
      <c r="H1" s="128"/>
      <c r="I1" s="128"/>
      <c r="J1" s="128"/>
      <c r="K1" s="128"/>
      <c r="L1" s="128"/>
      <c r="M1" s="131"/>
      <c r="N1" s="128"/>
      <c r="O1" s="128"/>
      <c r="P1" s="128"/>
      <c r="Q1" s="131"/>
      <c r="R1" s="131"/>
      <c r="S1" s="131"/>
      <c r="T1" s="131"/>
      <c r="U1" s="131"/>
      <c r="V1" s="228">
        <v>46321</v>
      </c>
      <c r="W1" s="132"/>
    </row>
    <row r="2" spans="1:27" ht="15" customHeight="1" thickTop="1">
      <c r="A2" s="135"/>
      <c r="B2" s="135"/>
      <c r="C2" s="136"/>
      <c r="D2" s="137"/>
      <c r="E2" s="135"/>
      <c r="F2" s="135"/>
      <c r="G2" s="135"/>
      <c r="H2" s="135"/>
      <c r="I2" s="135"/>
      <c r="J2" s="135"/>
      <c r="K2" s="135"/>
      <c r="L2" s="135"/>
      <c r="M2" s="138"/>
      <c r="N2" s="135"/>
      <c r="O2" s="135"/>
      <c r="P2" s="135"/>
      <c r="Q2" s="138"/>
      <c r="R2" s="138"/>
      <c r="S2" s="138"/>
      <c r="T2" s="138"/>
      <c r="U2" s="138"/>
      <c r="V2" s="135"/>
      <c r="W2" s="135"/>
    </row>
    <row r="3" spans="1:27" ht="18" customHeight="1" thickBot="1">
      <c r="A3" s="307" t="s">
        <v>43</v>
      </c>
      <c r="B3" s="307"/>
      <c r="C3" s="307"/>
      <c r="M3" s="141"/>
      <c r="Q3" s="141"/>
      <c r="R3" s="141"/>
      <c r="S3" s="141"/>
      <c r="T3" s="141"/>
      <c r="U3" s="141"/>
      <c r="V3" s="142" t="s">
        <v>1</v>
      </c>
      <c r="W3" s="142"/>
    </row>
    <row r="4" spans="1:27" ht="32.25" customHeight="1">
      <c r="B4" s="377" t="s">
        <v>2</v>
      </c>
      <c r="C4" s="379" t="s">
        <v>3</v>
      </c>
      <c r="D4" s="381" t="s">
        <v>4</v>
      </c>
      <c r="E4" s="383" t="s">
        <v>5</v>
      </c>
      <c r="F4" s="385" t="s">
        <v>41</v>
      </c>
      <c r="G4" s="317" t="s">
        <v>58</v>
      </c>
      <c r="H4" s="318"/>
      <c r="I4" s="319"/>
      <c r="J4" s="367" t="s">
        <v>55</v>
      </c>
      <c r="K4" s="368"/>
      <c r="L4" s="368"/>
      <c r="M4" s="369"/>
      <c r="N4" s="367" t="s">
        <v>63</v>
      </c>
      <c r="O4" s="368"/>
      <c r="P4" s="368"/>
      <c r="Q4" s="369"/>
      <c r="R4" s="367" t="s">
        <v>64</v>
      </c>
      <c r="S4" s="368"/>
      <c r="T4" s="368"/>
      <c r="U4" s="369"/>
      <c r="V4" s="362" t="s">
        <v>42</v>
      </c>
      <c r="W4" s="144"/>
    </row>
    <row r="5" spans="1:27" ht="27" customHeight="1" thickBot="1">
      <c r="B5" s="378"/>
      <c r="C5" s="380"/>
      <c r="D5" s="382"/>
      <c r="E5" s="384"/>
      <c r="F5" s="386"/>
      <c r="G5" s="145" t="s">
        <v>39</v>
      </c>
      <c r="H5" s="145" t="s">
        <v>40</v>
      </c>
      <c r="I5" s="148" t="s">
        <v>14</v>
      </c>
      <c r="J5" s="145" t="s">
        <v>39</v>
      </c>
      <c r="K5" s="146" t="s">
        <v>40</v>
      </c>
      <c r="L5" s="147" t="s">
        <v>13</v>
      </c>
      <c r="M5" s="148" t="s">
        <v>14</v>
      </c>
      <c r="N5" s="145" t="s">
        <v>39</v>
      </c>
      <c r="O5" s="146" t="s">
        <v>40</v>
      </c>
      <c r="P5" s="147" t="s">
        <v>17</v>
      </c>
      <c r="Q5" s="149" t="s">
        <v>18</v>
      </c>
      <c r="R5" s="145" t="s">
        <v>39</v>
      </c>
      <c r="S5" s="146" t="s">
        <v>40</v>
      </c>
      <c r="T5" s="147" t="s">
        <v>19</v>
      </c>
      <c r="U5" s="149" t="s">
        <v>20</v>
      </c>
      <c r="V5" s="363"/>
      <c r="W5" s="144"/>
    </row>
    <row r="6" spans="1:27" s="150" customFormat="1" ht="15" customHeight="1" thickTop="1">
      <c r="B6" s="151">
        <v>1</v>
      </c>
      <c r="C6" s="236" t="s">
        <v>59</v>
      </c>
      <c r="D6" s="237" t="s">
        <v>60</v>
      </c>
      <c r="E6" s="229" t="s">
        <v>62</v>
      </c>
      <c r="F6" s="229">
        <v>1500</v>
      </c>
      <c r="G6" s="239">
        <v>18</v>
      </c>
      <c r="H6" s="239">
        <f>F6*G6</f>
        <v>27000</v>
      </c>
      <c r="I6" s="240">
        <f>H6/K6</f>
        <v>1.1076923076923078</v>
      </c>
      <c r="J6" s="387">
        <v>16.25</v>
      </c>
      <c r="K6" s="388">
        <f>J6*F6</f>
        <v>24375</v>
      </c>
      <c r="L6" s="364"/>
      <c r="M6" s="241">
        <v>1</v>
      </c>
      <c r="N6" s="387">
        <v>17</v>
      </c>
      <c r="O6" s="388">
        <f>N6*F6</f>
        <v>25500</v>
      </c>
      <c r="P6" s="364"/>
      <c r="Q6" s="241">
        <f>O6/K6</f>
        <v>1.0461538461538462</v>
      </c>
      <c r="R6" s="387">
        <v>18</v>
      </c>
      <c r="S6" s="389">
        <f>R6*F6</f>
        <v>27000</v>
      </c>
      <c r="T6" s="364"/>
      <c r="U6" s="241">
        <f>S6/K6</f>
        <v>1.1076923076923078</v>
      </c>
      <c r="V6" s="152"/>
      <c r="W6" s="153"/>
    </row>
    <row r="7" spans="1:27" s="150" customFormat="1" ht="15" customHeight="1">
      <c r="B7" s="151">
        <v>2</v>
      </c>
      <c r="C7" s="236" t="s">
        <v>59</v>
      </c>
      <c r="D7" s="238" t="s">
        <v>61</v>
      </c>
      <c r="E7" s="229" t="s">
        <v>62</v>
      </c>
      <c r="F7" s="229">
        <v>100</v>
      </c>
      <c r="G7" s="239" t="s">
        <v>65</v>
      </c>
      <c r="H7" s="239" t="s">
        <v>65</v>
      </c>
      <c r="I7" s="240">
        <v>0</v>
      </c>
      <c r="J7" s="387">
        <v>268</v>
      </c>
      <c r="K7" s="388">
        <f t="shared" ref="K7" si="0">J7*F7</f>
        <v>26800</v>
      </c>
      <c r="L7" s="365"/>
      <c r="M7" s="242">
        <v>1</v>
      </c>
      <c r="N7" s="387">
        <v>275</v>
      </c>
      <c r="O7" s="388">
        <f t="shared" ref="O7" si="1">N7*F7</f>
        <v>27500</v>
      </c>
      <c r="P7" s="366"/>
      <c r="Q7" s="242">
        <f t="shared" ref="Q7" si="2">O7/K7</f>
        <v>1.0261194029850746</v>
      </c>
      <c r="R7" s="387">
        <v>299</v>
      </c>
      <c r="S7" s="388">
        <f t="shared" ref="S7" si="3">R7*F7</f>
        <v>29900</v>
      </c>
      <c r="T7" s="366"/>
      <c r="U7" s="242">
        <f t="shared" ref="U7" si="4">S7/K7</f>
        <v>1.1156716417910448</v>
      </c>
      <c r="V7" s="154"/>
      <c r="W7" s="153"/>
    </row>
    <row r="8" spans="1:27" s="133" customFormat="1" ht="33" customHeight="1">
      <c r="A8" s="134"/>
      <c r="B8" s="235"/>
      <c r="C8" s="326" t="s">
        <v>21</v>
      </c>
      <c r="D8" s="327"/>
      <c r="E8" s="327"/>
      <c r="F8" s="327"/>
      <c r="G8" s="314" t="str">
        <f>G4</f>
        <v>Previous Price</v>
      </c>
      <c r="H8" s="315"/>
      <c r="I8" s="316"/>
      <c r="J8" s="314" t="str">
        <f>J4</f>
        <v>JASSIM SAIF AMER ALIABERI TRADING EST</v>
      </c>
      <c r="K8" s="370"/>
      <c r="L8" s="370"/>
      <c r="M8" s="371"/>
      <c r="N8" s="314" t="str">
        <f>N4</f>
        <v>JTC (JAHAZ AYED AL-RASHIDI &amp; PARTNER FOR TRAD. &amp; CONT. CO.)</v>
      </c>
      <c r="O8" s="370"/>
      <c r="P8" s="370"/>
      <c r="Q8" s="371"/>
      <c r="R8" s="372" t="str">
        <f>R4</f>
        <v>OCEAN (OCEAN WINGS COMPANY)</v>
      </c>
      <c r="S8" s="373"/>
      <c r="T8" s="373"/>
      <c r="U8" s="374"/>
      <c r="V8" s="234"/>
      <c r="W8" s="155"/>
    </row>
    <row r="9" spans="1:27" s="133" customFormat="1" ht="21.75" customHeight="1">
      <c r="A9" s="134"/>
      <c r="B9" s="156"/>
      <c r="C9" s="157"/>
      <c r="D9" s="375" t="s">
        <v>22</v>
      </c>
      <c r="E9" s="375"/>
      <c r="F9" s="376"/>
      <c r="G9" s="310">
        <f>SUM(H6:H7)</f>
        <v>27000</v>
      </c>
      <c r="H9" s="311"/>
      <c r="I9" s="160">
        <v>1.1100000000000001</v>
      </c>
      <c r="J9" s="232"/>
      <c r="K9" s="230">
        <f>SUM(K6:K7)</f>
        <v>51175</v>
      </c>
      <c r="L9" s="159"/>
      <c r="M9" s="160">
        <v>1</v>
      </c>
      <c r="N9" s="161"/>
      <c r="O9" s="230">
        <f>SUM(O6:O7)</f>
        <v>53000</v>
      </c>
      <c r="P9" s="158"/>
      <c r="Q9" s="162">
        <f>O9/K9</f>
        <v>1.0356619443087445</v>
      </c>
      <c r="R9" s="161"/>
      <c r="S9" s="230">
        <f>SUM(S6:S7)</f>
        <v>56900</v>
      </c>
      <c r="T9" s="158"/>
      <c r="U9" s="163">
        <f>S9/K9</f>
        <v>1.1118710307767465</v>
      </c>
      <c r="V9" s="164"/>
      <c r="W9" s="155"/>
    </row>
    <row r="10" spans="1:27" ht="21.75" customHeight="1" thickBot="1">
      <c r="B10" s="165"/>
      <c r="C10" s="323" t="s">
        <v>23</v>
      </c>
      <c r="D10" s="324"/>
      <c r="E10" s="324"/>
      <c r="F10" s="325"/>
      <c r="G10" s="312">
        <f>G9*15%</f>
        <v>4050</v>
      </c>
      <c r="H10" s="313"/>
      <c r="I10" s="169"/>
      <c r="J10" s="166"/>
      <c r="K10" s="231">
        <f>K9*15%</f>
        <v>7676.25</v>
      </c>
      <c r="L10" s="168"/>
      <c r="M10" s="169"/>
      <c r="N10" s="170"/>
      <c r="O10" s="231">
        <f>O9*15%</f>
        <v>7950</v>
      </c>
      <c r="P10" s="168"/>
      <c r="Q10" s="169"/>
      <c r="R10" s="170"/>
      <c r="S10" s="231">
        <f>S9*15%</f>
        <v>8535</v>
      </c>
      <c r="T10" s="167"/>
      <c r="U10" s="171"/>
      <c r="V10" s="172"/>
      <c r="W10" s="155"/>
    </row>
    <row r="11" spans="1:27" ht="25.15" customHeight="1" thickBot="1">
      <c r="B11" s="320" t="s">
        <v>45</v>
      </c>
      <c r="C11" s="321"/>
      <c r="D11" s="321"/>
      <c r="E11" s="321"/>
      <c r="F11" s="322"/>
      <c r="G11" s="308">
        <f>SUM(G9:H10)</f>
        <v>31050</v>
      </c>
      <c r="H11" s="309"/>
      <c r="I11" s="233">
        <v>1.1100000000000001</v>
      </c>
      <c r="J11" s="233"/>
      <c r="K11" s="174">
        <f>SUM(K9:K10)</f>
        <v>58851.25</v>
      </c>
      <c r="L11" s="175"/>
      <c r="M11" s="176">
        <v>1</v>
      </c>
      <c r="N11" s="177"/>
      <c r="O11" s="174">
        <f>SUM(O9:O10)</f>
        <v>60950</v>
      </c>
      <c r="P11" s="175"/>
      <c r="Q11" s="178">
        <f>O11/K11</f>
        <v>1.0356619443087445</v>
      </c>
      <c r="R11" s="173"/>
      <c r="S11" s="174">
        <f>SUM(S9:S10)</f>
        <v>65435</v>
      </c>
      <c r="T11" s="175"/>
      <c r="U11" s="176">
        <f>S11/K11</f>
        <v>1.1118710307767465</v>
      </c>
      <c r="V11" s="179"/>
      <c r="W11" s="180"/>
    </row>
    <row r="12" spans="1:27" s="181" customFormat="1" ht="12" customHeight="1">
      <c r="B12" s="182"/>
      <c r="C12" s="183"/>
      <c r="D12" s="183"/>
      <c r="E12" s="184"/>
      <c r="F12" s="184"/>
      <c r="G12" s="184"/>
      <c r="H12" s="184"/>
      <c r="I12" s="184"/>
      <c r="J12" s="185"/>
      <c r="K12" s="185"/>
      <c r="L12" s="185"/>
      <c r="M12" s="186"/>
      <c r="N12" s="185"/>
      <c r="O12" s="185"/>
      <c r="P12" s="185"/>
      <c r="Q12" s="186"/>
      <c r="R12" s="186"/>
      <c r="S12" s="186"/>
      <c r="T12" s="186"/>
      <c r="U12" s="186"/>
      <c r="V12" s="187"/>
      <c r="W12" s="188"/>
      <c r="X12" s="189"/>
      <c r="Y12" s="189"/>
      <c r="Z12" s="189"/>
      <c r="AA12" s="189"/>
    </row>
    <row r="13" spans="1:27" ht="18" customHeight="1" thickBot="1">
      <c r="A13" s="135" t="s">
        <v>44</v>
      </c>
      <c r="B13" s="135"/>
      <c r="C13" s="136"/>
      <c r="D13" s="137"/>
      <c r="E13" s="135"/>
      <c r="F13" s="135"/>
      <c r="G13" s="135"/>
      <c r="H13" s="135"/>
      <c r="I13" s="135"/>
      <c r="J13" s="135"/>
      <c r="K13" s="135"/>
      <c r="L13" s="135"/>
      <c r="M13" s="138"/>
      <c r="N13" s="135"/>
      <c r="O13" s="135"/>
      <c r="P13" s="135"/>
      <c r="Q13" s="138"/>
      <c r="R13" s="138"/>
      <c r="S13" s="138"/>
      <c r="T13" s="138"/>
      <c r="U13" s="138"/>
      <c r="V13" s="142" t="s">
        <v>25</v>
      </c>
      <c r="W13" s="142"/>
    </row>
    <row r="14" spans="1:27" ht="23.25" customHeight="1" thickBot="1">
      <c r="B14" s="143" t="s">
        <v>46</v>
      </c>
      <c r="C14" s="359" t="s">
        <v>47</v>
      </c>
      <c r="D14" s="360"/>
      <c r="E14" s="359" t="s">
        <v>48</v>
      </c>
      <c r="F14" s="361"/>
      <c r="G14" s="361"/>
      <c r="H14" s="361"/>
      <c r="I14" s="360"/>
      <c r="J14" s="349" t="s">
        <v>49</v>
      </c>
      <c r="K14" s="350"/>
      <c r="L14" s="351" t="s">
        <v>50</v>
      </c>
      <c r="M14" s="352"/>
      <c r="N14" s="349" t="s">
        <v>51</v>
      </c>
      <c r="O14" s="350"/>
      <c r="P14" s="351" t="s">
        <v>50</v>
      </c>
      <c r="Q14" s="352"/>
      <c r="R14" s="349" t="s">
        <v>51</v>
      </c>
      <c r="S14" s="350"/>
      <c r="T14" s="351" t="s">
        <v>50</v>
      </c>
      <c r="U14" s="352"/>
      <c r="V14" s="190" t="s">
        <v>52</v>
      </c>
      <c r="W14" s="191"/>
    </row>
    <row r="15" spans="1:27" s="181" customFormat="1" ht="25.15" customHeight="1" thickTop="1">
      <c r="B15" s="192">
        <v>1</v>
      </c>
      <c r="C15" s="353" t="str">
        <f>+J8</f>
        <v>JASSIM SAIF AMER ALIABERI TRADING EST</v>
      </c>
      <c r="D15" s="354"/>
      <c r="E15" s="340">
        <f>K11</f>
        <v>58851.25</v>
      </c>
      <c r="F15" s="341"/>
      <c r="G15" s="341"/>
      <c r="H15" s="341"/>
      <c r="I15" s="342"/>
      <c r="J15" s="355">
        <f>K11</f>
        <v>58851.25</v>
      </c>
      <c r="K15" s="356"/>
      <c r="L15" s="357">
        <v>1</v>
      </c>
      <c r="M15" s="358"/>
      <c r="N15" s="355">
        <f>E15</f>
        <v>58851.25</v>
      </c>
      <c r="O15" s="356"/>
      <c r="P15" s="357">
        <f>N15/E15</f>
        <v>1</v>
      </c>
      <c r="Q15" s="358">
        <f>N15/E15</f>
        <v>1</v>
      </c>
      <c r="R15" s="355">
        <f>E15</f>
        <v>58851.25</v>
      </c>
      <c r="S15" s="356"/>
      <c r="T15" s="357">
        <f>R15/E15</f>
        <v>1</v>
      </c>
      <c r="U15" s="358">
        <f>R15/E15</f>
        <v>1</v>
      </c>
      <c r="V15" s="193"/>
      <c r="W15" s="194"/>
      <c r="X15" s="189"/>
      <c r="Y15" s="189"/>
      <c r="Z15" s="189"/>
      <c r="AA15" s="189"/>
    </row>
    <row r="16" spans="1:27" s="181" customFormat="1" ht="25.15" customHeight="1">
      <c r="B16" s="195">
        <v>2</v>
      </c>
      <c r="C16" s="332" t="str">
        <f>+N8</f>
        <v>JTC (JAHAZ AYED AL-RASHIDI &amp; PARTNER FOR TRAD. &amp; CONT. CO.)</v>
      </c>
      <c r="D16" s="333"/>
      <c r="E16" s="343"/>
      <c r="F16" s="344"/>
      <c r="G16" s="344"/>
      <c r="H16" s="344"/>
      <c r="I16" s="345"/>
      <c r="J16" s="334">
        <f>O11</f>
        <v>60950</v>
      </c>
      <c r="K16" s="335"/>
      <c r="L16" s="336">
        <f>J16/E15</f>
        <v>1.0356619443087445</v>
      </c>
      <c r="M16" s="337"/>
      <c r="N16" s="334">
        <f>J16</f>
        <v>60950</v>
      </c>
      <c r="O16" s="335"/>
      <c r="P16" s="336">
        <f>N16/E15</f>
        <v>1.0356619443087445</v>
      </c>
      <c r="Q16" s="337">
        <v>1</v>
      </c>
      <c r="R16" s="334">
        <f>N16</f>
        <v>60950</v>
      </c>
      <c r="S16" s="335"/>
      <c r="T16" s="336">
        <f>R16/E15</f>
        <v>1.0356619443087445</v>
      </c>
      <c r="U16" s="337">
        <v>1</v>
      </c>
      <c r="V16" s="196"/>
      <c r="W16" s="194"/>
      <c r="X16" s="189"/>
      <c r="Y16" s="189"/>
      <c r="Z16" s="189"/>
      <c r="AA16" s="189"/>
    </row>
    <row r="17" spans="1:27" s="181" customFormat="1" ht="25.15" customHeight="1" thickBot="1">
      <c r="B17" s="197">
        <v>3</v>
      </c>
      <c r="C17" s="338" t="str">
        <f>+R8</f>
        <v>OCEAN (OCEAN WINGS COMPANY)</v>
      </c>
      <c r="D17" s="339"/>
      <c r="E17" s="346"/>
      <c r="F17" s="347"/>
      <c r="G17" s="347"/>
      <c r="H17" s="347"/>
      <c r="I17" s="348"/>
      <c r="J17" s="330">
        <f>S11</f>
        <v>65435</v>
      </c>
      <c r="K17" s="331"/>
      <c r="L17" s="328">
        <f>J17/E15</f>
        <v>1.1118710307767465</v>
      </c>
      <c r="M17" s="329"/>
      <c r="N17" s="330">
        <f>J17</f>
        <v>65435</v>
      </c>
      <c r="O17" s="331"/>
      <c r="P17" s="328">
        <f>N17/E15</f>
        <v>1.1118710307767465</v>
      </c>
      <c r="Q17" s="329"/>
      <c r="R17" s="330">
        <f>J17</f>
        <v>65435</v>
      </c>
      <c r="S17" s="331"/>
      <c r="T17" s="328">
        <f>R17/E15</f>
        <v>1.1118710307767465</v>
      </c>
      <c r="U17" s="329"/>
      <c r="V17" s="198"/>
      <c r="W17" s="194"/>
      <c r="X17" s="189"/>
      <c r="Y17" s="189"/>
      <c r="Z17" s="189"/>
      <c r="AA17" s="189"/>
    </row>
    <row r="18" spans="1:27" s="181" customFormat="1" ht="12" customHeight="1">
      <c r="B18" s="182"/>
      <c r="C18" s="183"/>
      <c r="D18" s="183"/>
      <c r="E18" s="184"/>
      <c r="F18" s="184"/>
      <c r="G18" s="184"/>
      <c r="H18" s="184"/>
      <c r="I18" s="184"/>
      <c r="J18" s="185"/>
      <c r="K18" s="185"/>
      <c r="L18" s="185"/>
      <c r="M18" s="186"/>
      <c r="N18" s="185"/>
      <c r="O18" s="185"/>
      <c r="P18" s="185"/>
      <c r="Q18" s="186"/>
      <c r="R18" s="186"/>
      <c r="S18" s="186"/>
      <c r="T18" s="186"/>
      <c r="U18" s="186"/>
      <c r="V18" s="187"/>
      <c r="W18" s="188"/>
      <c r="X18" s="189"/>
      <c r="Y18" s="189"/>
      <c r="Z18" s="189"/>
      <c r="AA18" s="189"/>
    </row>
    <row r="19" spans="1:27" ht="18" customHeight="1" thickBot="1">
      <c r="A19" s="135" t="s">
        <v>53</v>
      </c>
      <c r="B19" s="135"/>
      <c r="C19" s="136"/>
      <c r="D19" s="137"/>
      <c r="E19" s="135"/>
      <c r="F19" s="135"/>
      <c r="G19" s="135"/>
      <c r="H19" s="135"/>
      <c r="I19" s="135"/>
      <c r="J19" s="135"/>
      <c r="K19" s="135"/>
      <c r="L19" s="135"/>
      <c r="M19" s="138"/>
      <c r="N19" s="135"/>
      <c r="O19" s="135"/>
      <c r="P19" s="135"/>
      <c r="Q19" s="138"/>
      <c r="R19" s="138"/>
      <c r="S19" s="138"/>
      <c r="T19" s="138"/>
      <c r="U19" s="138"/>
      <c r="V19" s="135"/>
      <c r="W19" s="135"/>
    </row>
    <row r="20" spans="1:27" ht="19.899999999999999" customHeight="1">
      <c r="A20" s="135"/>
      <c r="B20" s="199" t="s">
        <v>56</v>
      </c>
      <c r="C20" s="200"/>
      <c r="D20" s="201"/>
      <c r="E20" s="202"/>
      <c r="F20" s="203"/>
      <c r="G20" s="203"/>
      <c r="H20" s="203"/>
      <c r="I20" s="203"/>
      <c r="J20" s="203"/>
      <c r="K20" s="203"/>
      <c r="L20" s="203"/>
      <c r="M20" s="204"/>
      <c r="N20" s="203"/>
      <c r="O20" s="203"/>
      <c r="P20" s="203"/>
      <c r="Q20" s="204"/>
      <c r="R20" s="204"/>
      <c r="S20" s="204"/>
      <c r="T20" s="204"/>
      <c r="U20" s="204"/>
      <c r="V20" s="205"/>
      <c r="W20" s="135"/>
    </row>
    <row r="21" spans="1:27" ht="19.899999999999999" customHeight="1" thickBot="1">
      <c r="A21" s="135"/>
      <c r="B21" s="206"/>
      <c r="C21" s="207"/>
      <c r="D21" s="208"/>
      <c r="E21" s="209"/>
      <c r="F21" s="210"/>
      <c r="G21" s="210"/>
      <c r="H21" s="210"/>
      <c r="I21" s="210"/>
      <c r="J21" s="210"/>
      <c r="K21" s="210"/>
      <c r="L21" s="210"/>
      <c r="M21" s="211"/>
      <c r="N21" s="210"/>
      <c r="O21" s="210"/>
      <c r="P21" s="210"/>
      <c r="Q21" s="211"/>
      <c r="R21" s="211"/>
      <c r="S21" s="211"/>
      <c r="T21" s="211"/>
      <c r="U21" s="211"/>
      <c r="V21" s="212"/>
      <c r="W21" s="135"/>
    </row>
    <row r="22" spans="1:27" s="181" customFormat="1" ht="12" customHeight="1">
      <c r="B22" s="182"/>
      <c r="C22" s="183"/>
      <c r="D22" s="183"/>
      <c r="E22" s="184"/>
      <c r="F22" s="184"/>
      <c r="G22" s="184"/>
      <c r="H22" s="184"/>
      <c r="I22" s="184"/>
      <c r="J22" s="185"/>
      <c r="K22" s="185"/>
      <c r="L22" s="185"/>
      <c r="M22" s="186"/>
      <c r="N22" s="185"/>
      <c r="O22" s="185"/>
      <c r="P22" s="185"/>
      <c r="Q22" s="186"/>
      <c r="R22" s="186"/>
      <c r="S22" s="186"/>
      <c r="T22" s="186"/>
      <c r="U22" s="186"/>
      <c r="V22" s="187"/>
      <c r="W22" s="188"/>
      <c r="X22" s="189"/>
      <c r="Y22" s="189"/>
      <c r="Z22" s="189"/>
      <c r="AA22" s="189"/>
    </row>
    <row r="23" spans="1:27" ht="18" customHeight="1" thickBot="1">
      <c r="A23" s="135" t="s">
        <v>54</v>
      </c>
      <c r="B23" s="135"/>
      <c r="C23" s="136"/>
      <c r="D23" s="137"/>
      <c r="E23" s="135"/>
      <c r="F23" s="135"/>
      <c r="G23" s="135"/>
      <c r="H23" s="135"/>
      <c r="I23" s="135"/>
      <c r="J23" s="135"/>
      <c r="K23" s="135"/>
      <c r="L23" s="135"/>
      <c r="M23" s="138"/>
      <c r="N23" s="135"/>
      <c r="O23" s="135"/>
      <c r="P23" s="135"/>
      <c r="Q23" s="138"/>
      <c r="R23" s="138"/>
      <c r="S23" s="138"/>
      <c r="T23" s="138"/>
      <c r="U23" s="138"/>
      <c r="V23" s="135"/>
      <c r="W23" s="135"/>
    </row>
    <row r="24" spans="1:27" ht="24.95" customHeight="1" thickBot="1">
      <c r="A24" s="135"/>
      <c r="B24" s="213" t="str">
        <f>CONCATENATE("1) Selected '",J4,"' as the vendor offering the lowest price while meeting all required quality standards.")</f>
        <v>1) Selected 'JASSIM SAIF AMER ALIABERI TRADING EST' as the vendor offering the lowest price while meeting all required quality standards.</v>
      </c>
      <c r="C24" s="214"/>
      <c r="D24" s="215"/>
      <c r="E24" s="216"/>
      <c r="F24" s="217"/>
      <c r="G24" s="217"/>
      <c r="H24" s="217"/>
      <c r="I24" s="217"/>
      <c r="J24" s="217"/>
      <c r="K24" s="217"/>
      <c r="L24" s="217"/>
      <c r="M24" s="218"/>
      <c r="N24" s="217"/>
      <c r="O24" s="217"/>
      <c r="P24" s="217"/>
      <c r="Q24" s="218"/>
      <c r="R24" s="218"/>
      <c r="S24" s="218"/>
      <c r="T24" s="218"/>
      <c r="U24" s="218"/>
      <c r="V24" s="219"/>
      <c r="W24" s="135"/>
    </row>
    <row r="25" spans="1:27" ht="18" customHeight="1">
      <c r="A25" s="135"/>
      <c r="B25" s="220"/>
      <c r="C25" s="221"/>
      <c r="D25" s="222"/>
      <c r="E25" s="220"/>
      <c r="F25" s="135"/>
      <c r="G25" s="135"/>
      <c r="H25" s="135"/>
      <c r="I25" s="135"/>
      <c r="J25" s="135"/>
      <c r="K25" s="135"/>
      <c r="L25" s="135"/>
      <c r="M25" s="138"/>
      <c r="N25" s="135"/>
      <c r="O25" s="135"/>
      <c r="P25" s="135"/>
      <c r="Q25" s="138"/>
      <c r="R25" s="138"/>
      <c r="S25" s="138"/>
      <c r="T25" s="138"/>
      <c r="U25" s="138"/>
      <c r="V25" s="135"/>
      <c r="W25" s="135"/>
    </row>
    <row r="26" spans="1:27" s="226" customFormat="1" ht="15" customHeight="1">
      <c r="A26" s="134"/>
      <c r="B26" s="223"/>
      <c r="C26" s="224"/>
      <c r="D26" s="225"/>
      <c r="E26" s="223"/>
      <c r="F26" s="223"/>
      <c r="G26" s="223"/>
      <c r="H26" s="223"/>
      <c r="I26" s="223"/>
      <c r="J26" s="223"/>
      <c r="K26" s="223"/>
      <c r="L26" s="223"/>
      <c r="M26" s="223"/>
      <c r="N26" s="223"/>
      <c r="O26" s="223"/>
      <c r="P26" s="223"/>
      <c r="Q26" s="223"/>
      <c r="R26" s="223"/>
      <c r="S26" s="223"/>
      <c r="T26" s="223"/>
      <c r="U26" s="223"/>
      <c r="V26" s="223"/>
      <c r="W26" s="223"/>
      <c r="X26" s="133"/>
      <c r="Y26" s="133"/>
      <c r="Z26" s="133"/>
      <c r="AA26" s="133"/>
    </row>
    <row r="27" spans="1:27" s="226" customFormat="1" ht="18" customHeight="1">
      <c r="A27" s="134"/>
      <c r="B27" s="134"/>
      <c r="C27" s="139"/>
      <c r="D27" s="225"/>
      <c r="L27" s="223"/>
      <c r="M27" s="223"/>
      <c r="N27" s="223"/>
      <c r="O27" s="223"/>
      <c r="P27" s="223"/>
      <c r="Q27" s="223"/>
      <c r="R27" s="223"/>
      <c r="S27" s="223"/>
      <c r="T27" s="223"/>
      <c r="U27" s="223"/>
      <c r="V27" s="134"/>
      <c r="W27" s="134"/>
      <c r="X27" s="133"/>
      <c r="Y27" s="133"/>
      <c r="Z27" s="133"/>
      <c r="AA27" s="133"/>
    </row>
    <row r="28" spans="1:27" s="226" customFormat="1" ht="18" customHeight="1">
      <c r="A28" s="134"/>
      <c r="B28" s="134"/>
      <c r="C28" s="139"/>
      <c r="D28" s="225"/>
      <c r="E28" s="223"/>
      <c r="F28" s="223"/>
      <c r="G28" s="223"/>
      <c r="H28" s="223"/>
      <c r="I28" s="223"/>
      <c r="J28" s="223"/>
      <c r="K28" s="223"/>
      <c r="L28" s="223"/>
      <c r="M28" s="223"/>
      <c r="N28" s="223"/>
      <c r="O28" s="223"/>
      <c r="P28" s="223"/>
      <c r="Q28" s="223"/>
      <c r="R28" s="223"/>
      <c r="S28" s="223"/>
      <c r="T28" s="223"/>
      <c r="U28" s="223"/>
      <c r="V28" s="134"/>
      <c r="W28" s="134"/>
      <c r="X28" s="133"/>
      <c r="Y28" s="133"/>
      <c r="Z28" s="133"/>
      <c r="AA28" s="133"/>
    </row>
    <row r="29" spans="1:27" s="226" customFormat="1" ht="18" customHeight="1">
      <c r="A29" s="134"/>
      <c r="B29" s="134"/>
      <c r="C29" s="139"/>
      <c r="D29" s="225"/>
      <c r="E29" s="223"/>
      <c r="F29" s="223"/>
      <c r="G29" s="223"/>
      <c r="H29" s="223"/>
      <c r="I29" s="223"/>
      <c r="J29" s="223"/>
      <c r="K29" s="223"/>
      <c r="L29" s="223"/>
      <c r="M29" s="223"/>
      <c r="N29" s="223"/>
      <c r="O29" s="223"/>
      <c r="P29" s="223"/>
      <c r="Q29" s="223"/>
      <c r="R29" s="223"/>
      <c r="S29" s="223"/>
      <c r="T29" s="223"/>
      <c r="U29" s="223"/>
      <c r="V29" s="134"/>
      <c r="W29" s="134"/>
      <c r="X29" s="133"/>
      <c r="Y29" s="133"/>
      <c r="Z29" s="133"/>
      <c r="AA29" s="133"/>
    </row>
    <row r="30" spans="1:27" s="226" customFormat="1" ht="18" customHeight="1">
      <c r="A30" s="134"/>
      <c r="B30" s="134"/>
      <c r="C30" s="139"/>
      <c r="D30" s="225"/>
      <c r="E30" s="223"/>
      <c r="F30" s="223"/>
      <c r="G30" s="223"/>
      <c r="H30" s="223"/>
      <c r="I30" s="223"/>
      <c r="J30" s="223"/>
      <c r="K30" s="223"/>
      <c r="L30" s="223"/>
      <c r="M30" s="223"/>
      <c r="N30" s="223"/>
      <c r="O30" s="223"/>
      <c r="P30" s="223"/>
      <c r="Q30" s="223"/>
      <c r="R30" s="223"/>
      <c r="S30" s="223"/>
      <c r="T30" s="223"/>
      <c r="U30" s="223"/>
      <c r="V30" s="134"/>
      <c r="W30" s="134"/>
      <c r="X30" s="133"/>
      <c r="Y30" s="133"/>
      <c r="Z30" s="133"/>
      <c r="AA30" s="133"/>
    </row>
  </sheetData>
  <mergeCells count="55">
    <mergeCell ref="J8:M8"/>
    <mergeCell ref="N8:Q8"/>
    <mergeCell ref="R8:U8"/>
    <mergeCell ref="D9:F9"/>
    <mergeCell ref="B4:B5"/>
    <mergeCell ref="C4:C5"/>
    <mergeCell ref="D4:D5"/>
    <mergeCell ref="E4:E5"/>
    <mergeCell ref="F4:F5"/>
    <mergeCell ref="N4:Q4"/>
    <mergeCell ref="R4:U4"/>
    <mergeCell ref="V4:V5"/>
    <mergeCell ref="L6:L7"/>
    <mergeCell ref="P6:P7"/>
    <mergeCell ref="T6:T7"/>
    <mergeCell ref="J4:M4"/>
    <mergeCell ref="R14:S14"/>
    <mergeCell ref="T14:U14"/>
    <mergeCell ref="C15:D15"/>
    <mergeCell ref="J15:K15"/>
    <mergeCell ref="L15:M15"/>
    <mergeCell ref="N15:O15"/>
    <mergeCell ref="P15:Q15"/>
    <mergeCell ref="R15:S15"/>
    <mergeCell ref="T15:U15"/>
    <mergeCell ref="P14:Q14"/>
    <mergeCell ref="J14:K14"/>
    <mergeCell ref="L14:M14"/>
    <mergeCell ref="N14:O14"/>
    <mergeCell ref="C14:D14"/>
    <mergeCell ref="E14:I14"/>
    <mergeCell ref="P17:Q17"/>
    <mergeCell ref="R17:S17"/>
    <mergeCell ref="T17:U17"/>
    <mergeCell ref="C16:D16"/>
    <mergeCell ref="J16:K16"/>
    <mergeCell ref="L16:M16"/>
    <mergeCell ref="N16:O16"/>
    <mergeCell ref="P16:Q16"/>
    <mergeCell ref="R16:S16"/>
    <mergeCell ref="T16:U16"/>
    <mergeCell ref="C17:D17"/>
    <mergeCell ref="J17:K17"/>
    <mergeCell ref="L17:M17"/>
    <mergeCell ref="N17:O17"/>
    <mergeCell ref="E15:I17"/>
    <mergeCell ref="A3:C3"/>
    <mergeCell ref="G11:H11"/>
    <mergeCell ref="G9:H9"/>
    <mergeCell ref="G10:H10"/>
    <mergeCell ref="G8:I8"/>
    <mergeCell ref="G4:I4"/>
    <mergeCell ref="B11:F11"/>
    <mergeCell ref="C10:F10"/>
    <mergeCell ref="C8:F8"/>
  </mergeCells>
  <phoneticPr fontId="4" type="noConversion"/>
  <printOptions horizontalCentered="1"/>
  <pageMargins left="0.15748031496063" right="0.15748031496063" top="0.44" bottom="0.196850393700787" header="0.31496062992126" footer="0.15748031496063"/>
  <pageSetup paperSize="9" scale="55" fitToHeight="0" orientation="landscape" r:id="rId1"/>
  <ignoredErrors>
    <ignoredError sqref="Q9 U6 Q6" evalError="1"/>
    <ignoredError sqref="P16" formula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양식</vt:lpstr>
      <vt:lpstr>샘플_AGTC  소모품_1차</vt:lpstr>
      <vt:lpstr>'샘플_AGTC  소모품_1차'!Print_Area</vt:lpstr>
      <vt:lpstr>양식!Print_Area</vt:lpstr>
      <vt:lpstr>'샘플_AGTC  소모품_1차'!Print_Titles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</dc:creator>
  <cp:lastModifiedBy>shadab khan</cp:lastModifiedBy>
  <cp:lastPrinted>2026-10-26T12:02:00Z</cp:lastPrinted>
  <dcterms:created xsi:type="dcterms:W3CDTF">2023-08-14T07:13:42Z</dcterms:created>
  <dcterms:modified xsi:type="dcterms:W3CDTF">2026-10-26T12:02:17Z</dcterms:modified>
</cp:coreProperties>
</file>