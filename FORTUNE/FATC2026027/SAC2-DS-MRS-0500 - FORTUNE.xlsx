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FORTUNE\FATC2026027\"/>
    </mc:Choice>
  </mc:AlternateContent>
  <xr:revisionPtr revIDLastSave="0" documentId="13_ncr:1_{68AF23FE-7087-41CC-9891-14719073EC2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MRS!$A$1:$L$52</definedName>
    <definedName name="_xlnm.Print_Area" localSheetId="1">'MRS LIST'!$A$1:$K$56</definedName>
    <definedName name="_xlnm.Print_Area" localSheetId="2">'PO 1st page'!$A$1:$N$72</definedName>
    <definedName name="_xlnm.Print_Area" localSheetId="3">'PO 2nd page'!$A$1:$H$51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4" l="1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17" i="4"/>
  <c r="A35" i="4"/>
  <c r="A36" i="4"/>
  <c r="A37" i="4"/>
  <c r="A38" i="4"/>
  <c r="A39" i="4"/>
  <c r="A40" i="4"/>
  <c r="A41" i="4"/>
  <c r="A42" i="4"/>
  <c r="A43" i="4"/>
  <c r="A44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B7" i="4"/>
  <c r="B8" i="4"/>
  <c r="B9" i="4"/>
  <c r="B10" i="4"/>
  <c r="B11" i="4"/>
  <c r="B12" i="4"/>
  <c r="B13" i="4"/>
  <c r="B14" i="4"/>
  <c r="B15" i="4"/>
  <c r="B16" i="4"/>
  <c r="B6" i="4"/>
  <c r="C26" i="3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F44" i="4" s="1"/>
  <c r="I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E44" i="4" s="1"/>
  <c r="H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D44" i="4" s="1"/>
  <c r="G6" i="2"/>
  <c r="D6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7" i="2"/>
  <c r="B8" i="2"/>
  <c r="B9" i="2"/>
  <c r="B10" i="2"/>
  <c r="B11" i="2"/>
  <c r="B12" i="2"/>
  <c r="B13" i="2"/>
  <c r="B14" i="2"/>
  <c r="B15" i="2"/>
  <c r="B16" i="2"/>
  <c r="B17" i="2"/>
  <c r="B6" i="2"/>
  <c r="J34" i="1" l="1"/>
  <c r="J35" i="1"/>
  <c r="J36" i="1"/>
  <c r="J37" i="1"/>
  <c r="J38" i="1"/>
  <c r="J39" i="1"/>
  <c r="J40" i="1"/>
  <c r="J41" i="1"/>
  <c r="J42" i="1"/>
  <c r="J43" i="1"/>
  <c r="J44" i="1"/>
  <c r="J44" i="2" s="1"/>
  <c r="G44" i="4" s="1"/>
  <c r="J6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P54" i="3" l="1"/>
  <c r="E3" i="1"/>
  <c r="K68" i="3" l="1"/>
  <c r="J45" i="1" l="1"/>
  <c r="K10" i="3"/>
  <c r="A48" i="4" l="1"/>
  <c r="G7" i="4"/>
  <c r="F7" i="4"/>
  <c r="F6" i="4"/>
  <c r="E6" i="4"/>
  <c r="D6" i="4"/>
  <c r="A7" i="4"/>
  <c r="A6" i="4"/>
  <c r="F4" i="4"/>
  <c r="B3" i="4"/>
  <c r="J71" i="3"/>
  <c r="K11" i="3"/>
  <c r="B2" i="4" s="1"/>
  <c r="K3" i="2"/>
  <c r="A3" i="2"/>
  <c r="J2" i="2"/>
  <c r="D2" i="2"/>
  <c r="A2" i="2"/>
  <c r="J1" i="2"/>
  <c r="G6" i="4" l="1"/>
  <c r="G45" i="4" s="1"/>
  <c r="F29" i="3" s="1"/>
  <c r="G46" i="4" l="1"/>
  <c r="G47" i="4" l="1"/>
  <c r="F31" i="3" s="1"/>
  <c r="F30" i="3"/>
</calcChain>
</file>

<file path=xl/sharedStrings.xml><?xml version="1.0" encoding="utf-8"?>
<sst xmlns="http://schemas.openxmlformats.org/spreadsheetml/2006/main" count="354" uniqueCount="177">
  <si>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</si>
  <si>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</si>
  <si>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</si>
  <si>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</si>
  <si>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</si>
  <si>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</si>
  <si>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</si>
  <si>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</si>
  <si>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</si>
  <si>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</si>
  <si>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</si>
  <si>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</si>
  <si>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</si>
  <si>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</si>
  <si>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</si>
  <si>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</si>
  <si>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</si>
  <si>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</si>
  <si>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</si>
  <si>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</si>
  <si>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</si>
  <si>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</si>
  <si>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</si>
  <si>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</si>
  <si>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</si>
  <si>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</si>
  <si>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</si>
  <si>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</si>
  <si>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</si>
  <si>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</si>
  <si>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</si>
  <si>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</si>
  <si>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</si>
  <si>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</si>
  <si>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</si>
  <si>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</si>
  <si>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</si>
  <si>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</si>
  <si>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</si>
  <si>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</si>
  <si>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</si>
  <si>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</si>
  <si>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</si>
  <si>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</si>
  <si>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</si>
  <si>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</si>
  <si>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</si>
  <si>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</si>
  <si>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</si>
  <si>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</si>
  <si>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</si>
  <si>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</si>
  <si>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</si>
  <si>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</si>
  <si>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</si>
  <si>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</si>
  <si>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</si>
  <si>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</si>
  <si>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</si>
  <si>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</si>
  <si>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</si>
  <si>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</si>
  <si>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</si>
  <si>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</si>
  <si>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</si>
  <si>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</si>
  <si>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</si>
  <si>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</si>
  <si>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</si>
  <si>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</si>
  <si>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</si>
  <si>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</si>
  <si>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</si>
  <si>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</si>
  <si>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</si>
  <si>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</si>
  <si>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</si>
  <si>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</si>
  <si>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</si>
  <si>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</si>
  <si>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</si>
  <si>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</si>
  <si>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</si>
  <si>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</si>
  <si>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</si>
  <si>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Manager</t>
  </si>
  <si>
    <t>Subcontract name (SAC2-SC-IK-SMP-01)</t>
  </si>
  <si>
    <t xml:space="preserve">  Delivery &amp; Payment : Dong Chang Kim / Daeshin Admin. [ Mobile No. : +966 53 748 5762 / Email : kdchjs@daeshinplant.com ]</t>
  </si>
  <si>
    <t>311334180900003</t>
  </si>
  <si>
    <t>2055015214</t>
  </si>
  <si>
    <t>Abdul Hafeez</t>
  </si>
  <si>
    <t>+966 58 146 3761/ Email:fatrading.ksa@gmail.com</t>
  </si>
  <si>
    <t>P.O. Box 36602 Jubail 31961 Kingdom of Saudi Arabia</t>
  </si>
  <si>
    <t>Landline : +99 13 344 4644. : Mobile : +966 58 146 3761</t>
  </si>
  <si>
    <t>FATC(fortune Arabia Trading Company)</t>
  </si>
  <si>
    <t>HYUNDAI ENG. &amp; CONST. CO., LTD.</t>
  </si>
  <si>
    <t>Hyundai Engineering and Const. Co., Ltd. (HDEC)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</si>
  <si>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</si>
  <si>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</si>
  <si>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</si>
  <si>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</si>
  <si>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</si>
  <si>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</si>
  <si>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</si>
  <si>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</si>
  <si>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</si>
  <si>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</si>
  <si>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</si>
  <si>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</si>
  <si>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</si>
  <si>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</si>
  <si>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</si>
  <si>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</si>
  <si>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</si>
  <si>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</si>
  <si>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</si>
  <si>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</si>
  <si>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</si>
  <si>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</si>
  <si>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</si>
  <si>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EA</t>
  </si>
  <si>
    <t>SA53 1000 0006 5000 0022 4409</t>
  </si>
  <si>
    <t>SAUDI NATIONAL BANK</t>
  </si>
  <si>
    <t>SNBKSAJE</t>
  </si>
  <si>
    <t>06500000224409</t>
  </si>
  <si>
    <t>FORTUNE ARABIA BANK COMPANY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</si>
  <si>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-MRS-0500</t>
    </r>
  </si>
  <si>
    <t>FACT/2026027</t>
  </si>
  <si>
    <t>3M HALF FACE MASK - 6200</t>
  </si>
  <si>
    <t xml:space="preserve">SILICON SEALANT WHITE (24PCS/BOX)    </t>
  </si>
  <si>
    <t xml:space="preserve">KNIFE BLADE SHORT (10PCS/PACK)    </t>
  </si>
  <si>
    <t xml:space="preserve">FILE HALF ROUND 12"   </t>
  </si>
  <si>
    <t xml:space="preserve">ELECTRICAL TAPE 50FT GREEN    </t>
  </si>
  <si>
    <t xml:space="preserve">CLEAR TAPE 2" 70YARD (30PCS/BOX) VESTRA   </t>
  </si>
  <si>
    <t>HACK SAW BLADE 24T  CS</t>
  </si>
  <si>
    <t xml:space="preserve">SAND PAPER ROLL 4'' 120GRIT   </t>
  </si>
  <si>
    <t xml:space="preserve">WRAPPING ROLL 3.5KG VESTRA </t>
  </si>
  <si>
    <t>ELECTRICAL TAPE 50FT RED</t>
  </si>
  <si>
    <t>MASKING TAPE 2'' 25 YARD (24ROLL/BOX)</t>
  </si>
  <si>
    <t>MASKING TAPE 1'' 18 YARD (36ROLL/BOX)</t>
  </si>
  <si>
    <t>WARNING TAPE 3" RED/WHITE</t>
  </si>
  <si>
    <t>DUCT TAPE 2'' 25YARD (24ROLL/BOX) VESTRA</t>
  </si>
  <si>
    <t>MEASURING TAPE 5MTR</t>
  </si>
  <si>
    <t>MEASURING TAPE 7.5M</t>
  </si>
  <si>
    <t>HAND WIRE BRUSH - CS</t>
  </si>
  <si>
    <t>WD 40 (24PCS/BOX)</t>
  </si>
  <si>
    <t>COTTON RAGS - MIXED_LQ4</t>
  </si>
  <si>
    <t>COTTON RAGS WHITE  100% COTTON HQ1</t>
  </si>
  <si>
    <t>FIRE BLANKET 1MM*50MTR ORANGE</t>
  </si>
  <si>
    <t>PADLOCK 60MM</t>
  </si>
  <si>
    <t>3M PINK FILTER 2091 P100</t>
  </si>
  <si>
    <t>DUST MASK N95 VENUS</t>
  </si>
  <si>
    <t>PAINT MARKER BLACK</t>
  </si>
  <si>
    <t>PAINT MARKER WHITE (12PCS/PACK)</t>
  </si>
  <si>
    <t>ELECTRICAL TAPE 50FT BLACK</t>
  </si>
  <si>
    <t>CLEAR TAPE 2" 100YARD (30PCS/BOX) VESTRA</t>
  </si>
  <si>
    <t>HACK SAW BLADE SS</t>
  </si>
  <si>
    <t>SAND BAG 100*60 BIG</t>
  </si>
  <si>
    <t>DISPOSABLE COVERALL #XL</t>
  </si>
  <si>
    <t>ORANGE COATED GLOVES</t>
  </si>
  <si>
    <t>LOW CHLORIDE MARKER BLUE</t>
  </si>
  <si>
    <t>MASKING TAPE 2'' 30 YARD (24ROLL/BOX)</t>
  </si>
  <si>
    <t>SPRAY PAINT WHITE (12PCS/BOX)</t>
  </si>
  <si>
    <t>CABLE TIE 300*4.8MM</t>
  </si>
  <si>
    <t>CD MARKER BLUE</t>
  </si>
  <si>
    <t>PAINT BRUSH 3" (12PCS/BOX)</t>
  </si>
  <si>
    <t>BOX</t>
  </si>
  <si>
    <t>PACK</t>
  </si>
  <si>
    <t>ROLL</t>
  </si>
  <si>
    <t>BNDL</t>
  </si>
  <si>
    <t>PAIR</t>
  </si>
  <si>
    <t>PCS</t>
  </si>
  <si>
    <t>Sum</t>
  </si>
  <si>
    <t>FORTUNE</t>
  </si>
  <si>
    <t xml:space="preserve">ONE TIME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</si>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</sst>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9" xfId="1" applyFill="1" applyBorder="1" applyAlignment="1">
      <alignment vertical="center"/>
    </xf>
    <xf numFmtId="0" fontId="2" fillId="2" borderId="9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7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1" xfId="5" applyFont="1" applyFill="1" applyBorder="1"/>
    <xf numFmtId="0" fontId="17" fillId="3" borderId="21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7" xfId="6" applyFont="1" applyFill="1" applyBorder="1" applyAlignment="1">
      <alignment horizontal="center" vertical="center" wrapText="1"/>
    </xf>
    <xf numFmtId="43" fontId="12" fillId="0" borderId="17" xfId="6" quotePrefix="1" applyNumberFormat="1" applyFont="1" applyBorder="1" applyAlignment="1">
      <alignment vertical="center" wrapText="1"/>
    </xf>
    <xf numFmtId="0" fontId="7" fillId="0" borderId="31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2" borderId="17" xfId="7" applyFont="1" applyFill="1" applyBorder="1" applyAlignment="1">
      <alignment horizontal="center" vertical="center" wrapText="1"/>
    </xf>
    <xf numFmtId="0" fontId="5" fillId="2" borderId="17" xfId="8" applyFont="1" applyFill="1" applyBorder="1" applyAlignment="1">
      <alignment horizontal="center" vertical="center"/>
    </xf>
    <xf numFmtId="43" fontId="5" fillId="0" borderId="17" xfId="9" quotePrefix="1" applyFont="1" applyFill="1" applyBorder="1" applyAlignment="1">
      <alignment vertical="center"/>
    </xf>
    <xf numFmtId="43" fontId="5" fillId="0" borderId="17" xfId="6" applyNumberFormat="1" applyFont="1" applyBorder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7" xfId="0" applyFont="1" applyBorder="1" applyAlignment="1">
      <alignment horizontal="center" vertical="center"/>
    </xf>
    <xf numFmtId="173" fontId="41" fillId="0" borderId="17" xfId="10" applyNumberFormat="1" applyFont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5" fillId="2" borderId="16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3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6" fillId="3" borderId="0" xfId="5" applyFont="1" applyFill="1"/>
    <xf numFmtId="0" fontId="17" fillId="3" borderId="0" xfId="5" quotePrefix="1" applyFont="1" applyFill="1"/>
    <xf numFmtId="169" fontId="55" fillId="0" borderId="0" xfId="3" applyNumberFormat="1" applyFont="1" applyAlignment="1">
      <alignment horizontal="right"/>
    </xf>
    <xf numFmtId="0" fontId="7" fillId="2" borderId="38" xfId="1" quotePrefix="1" applyFont="1" applyFill="1" applyBorder="1" applyAlignment="1">
      <alignment vertical="center"/>
    </xf>
    <xf numFmtId="0" fontId="2" fillId="2" borderId="7" xfId="1" applyFill="1" applyBorder="1" applyAlignment="1">
      <alignment vertical="center"/>
    </xf>
    <xf numFmtId="0" fontId="2" fillId="2" borderId="7" xfId="1" applyFill="1" applyBorder="1" applyAlignment="1">
      <alignment vertical="center" wrapText="1"/>
    </xf>
    <xf numFmtId="168" fontId="7" fillId="0" borderId="11" xfId="0" applyNumberFormat="1" applyFont="1" applyBorder="1" applyAlignment="1">
      <alignment horizontal="left" vertical="center" wrapText="1"/>
    </xf>
    <xf numFmtId="168" fontId="2" fillId="0" borderId="11" xfId="0" applyNumberFormat="1" applyFont="1" applyBorder="1" applyAlignment="1">
      <alignment horizontal="right"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0" borderId="17" xfId="6" quotePrefix="1" applyFont="1" applyBorder="1" applyAlignment="1">
      <alignment horizontal="center" vertical="center" wrapText="1"/>
    </xf>
    <xf numFmtId="0" fontId="5" fillId="0" borderId="17" xfId="6" quotePrefix="1" applyFont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right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8" xfId="1" applyFill="1" applyBorder="1" applyAlignment="1">
      <alignment horizontal="left" vertical="center" wrapText="1" indent="1"/>
    </xf>
    <xf numFmtId="0" fontId="2" fillId="3" borderId="8" xfId="0" quotePrefix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8" fillId="2" borderId="0" xfId="1" applyNumberFormat="1" applyFont="1" applyFill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1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12" fillId="0" borderId="30" xfId="6" quotePrefix="1" applyFont="1" applyBorder="1" applyAlignment="1">
      <alignment horizontal="right" vertical="center"/>
    </xf>
    <xf numFmtId="0" fontId="12" fillId="0" borderId="17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17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2" xfId="6" applyFont="1" applyBorder="1" applyAlignment="1">
      <alignment horizontal="right" vertical="center"/>
    </xf>
    <xf numFmtId="0" fontId="7" fillId="4" borderId="23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17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1575134</xdr:colOff>
          <xdr:row>45</xdr:row>
          <xdr:rowOff>362454</xdr:rowOff>
        </xdr:from>
        <xdr:to>
          <xdr:col>11</xdr:col>
          <xdr:colOff>1660859</xdr:colOff>
          <xdr:row>51</xdr:row>
          <xdr:rowOff>580526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3AE4607-C404-ECF1-D902-7DBBA7D3BC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0:$Y$54" spid="_x0000_s12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67213" y="20274717"/>
              <a:ext cx="8457699" cy="21531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81"/>
  <sheetViews>
    <sheetView showGridLines="0" tabSelected="1" view="pageBreakPreview" zoomScale="95" zoomScaleNormal="95" zoomScaleSheetLayoutView="95" workbookViewId="0">
      <selection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31.28515625" style="2" customWidth="1"/>
    <col min="4" max="4" width="17.28515625" style="2" customWidth="1"/>
    <col min="5" max="5" width="6" style="2" customWidth="1"/>
    <col min="6" max="6" width="8.85546875" style="2" customWidth="1"/>
    <col min="7" max="7" width="7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3" ht="49.9" customHeight="1">
      <c r="A1" s="97" t="s">
        <v>97</v>
      </c>
      <c r="B1" s="98"/>
      <c r="C1" s="92"/>
      <c r="D1" s="92"/>
      <c r="E1" s="92"/>
      <c r="F1" s="92"/>
      <c r="G1" s="1"/>
      <c r="J1" s="142" t="s">
        <v>78</v>
      </c>
      <c r="K1" s="143"/>
      <c r="L1" s="144"/>
    </row>
    <row r="2" spans="1:13" ht="20.100000000000001" customHeight="1">
      <c r="A2" s="3" t="s">
        <v>1</v>
      </c>
      <c r="B2" s="86"/>
      <c r="C2" s="86"/>
      <c r="D2" s="3" t="s">
        <v>98</v>
      </c>
      <c r="E2" s="86"/>
      <c r="F2" s="86"/>
      <c r="G2" s="86"/>
      <c r="H2" s="86"/>
      <c r="I2" s="4"/>
      <c r="J2" s="145" t="s">
        <v>86</v>
      </c>
      <c r="K2" s="146"/>
      <c r="L2" s="147"/>
    </row>
    <row r="3" spans="1:13" ht="20.100000000000001" customHeight="1">
      <c r="A3" s="3" t="s">
        <v>126</v>
      </c>
      <c r="B3" s="86"/>
      <c r="C3" s="86"/>
      <c r="D3" s="86"/>
      <c r="E3" s="148">
        <f>+L3+3</f>
        <v>46322</v>
      </c>
      <c r="F3" s="148"/>
      <c r="G3" s="148"/>
      <c r="H3" s="148"/>
      <c r="I3" s="148"/>
      <c r="J3" s="86"/>
      <c r="K3" s="86"/>
      <c r="L3" s="107">
        <v>46319</v>
      </c>
      <c r="M3" s="4"/>
    </row>
    <row r="4" spans="1:13" ht="15.95" customHeight="1">
      <c r="A4" s="149" t="s">
        <v>2</v>
      </c>
      <c r="B4" s="150" t="s">
        <v>3</v>
      </c>
      <c r="C4" s="150"/>
      <c r="D4" s="149" t="s">
        <v>4</v>
      </c>
      <c r="E4" s="149"/>
      <c r="F4" s="149"/>
      <c r="G4" s="150" t="s">
        <v>5</v>
      </c>
      <c r="H4" s="149" t="s">
        <v>6</v>
      </c>
      <c r="I4" s="149" t="s">
        <v>82</v>
      </c>
      <c r="J4" s="149" t="s">
        <v>83</v>
      </c>
      <c r="K4" s="149" t="s">
        <v>0</v>
      </c>
      <c r="L4" s="150" t="s">
        <v>7</v>
      </c>
    </row>
    <row r="5" spans="1:13" ht="24" customHeight="1">
      <c r="A5" s="149"/>
      <c r="B5" s="150"/>
      <c r="C5" s="150"/>
      <c r="D5" s="149"/>
      <c r="E5" s="149"/>
      <c r="F5" s="149"/>
      <c r="G5" s="150"/>
      <c r="H5" s="149"/>
      <c r="I5" s="149"/>
      <c r="J5" s="149"/>
      <c r="K5" s="149"/>
      <c r="L5" s="150"/>
    </row>
    <row r="6" spans="1:13" ht="33.75" customHeight="1">
      <c r="A6" s="118">
        <v>1</v>
      </c>
      <c r="B6" s="138" t="s">
        <v>128</v>
      </c>
      <c r="C6" s="138" t="s">
        <v>128</v>
      </c>
      <c r="D6" s="149"/>
      <c r="E6" s="149"/>
      <c r="F6" s="149"/>
      <c r="G6" s="119" t="s">
        <v>120</v>
      </c>
      <c r="H6" s="118">
        <v>64</v>
      </c>
      <c r="I6" s="118">
        <v>55</v>
      </c>
      <c r="J6" s="118">
        <f>H6*I6</f>
        <v>3520</v>
      </c>
      <c r="K6" s="120" t="s">
        <v>173</v>
      </c>
      <c r="L6" s="121" t="s">
        <v>174</v>
      </c>
    </row>
    <row r="7" spans="1:13" ht="33.75" customHeight="1">
      <c r="A7" s="118">
        <v>2</v>
      </c>
      <c r="B7" s="138" t="s">
        <v>129</v>
      </c>
      <c r="C7" s="138" t="s">
        <v>129</v>
      </c>
      <c r="D7" s="149"/>
      <c r="E7" s="149"/>
      <c r="F7" s="149"/>
      <c r="G7" s="119" t="s">
        <v>166</v>
      </c>
      <c r="H7" s="118">
        <v>18</v>
      </c>
      <c r="I7" s="118">
        <v>96</v>
      </c>
      <c r="J7" s="118">
        <f t="shared" ref="J7:J44" si="0">H7*I7</f>
        <v>1728</v>
      </c>
      <c r="K7" s="116" t="s">
        <v>55</v>
      </c>
      <c r="L7" s="117" t="s">
        <v>55</v>
      </c>
    </row>
    <row r="8" spans="1:13" ht="33.75" customHeight="1">
      <c r="A8" s="118">
        <v>3</v>
      </c>
      <c r="B8" s="138" t="s">
        <v>130</v>
      </c>
      <c r="C8" s="138" t="s">
        <v>130</v>
      </c>
      <c r="D8" s="149"/>
      <c r="E8" s="149"/>
      <c r="F8" s="149"/>
      <c r="G8" s="119" t="s">
        <v>167</v>
      </c>
      <c r="H8" s="118">
        <v>50</v>
      </c>
      <c r="I8" s="118">
        <v>8</v>
      </c>
      <c r="J8" s="118">
        <f t="shared" si="0"/>
        <v>400</v>
      </c>
      <c r="K8" s="116" t="s">
        <v>55</v>
      </c>
      <c r="L8" s="117" t="s">
        <v>55</v>
      </c>
    </row>
    <row r="9" spans="1:13" ht="33.75" customHeight="1">
      <c r="A9" s="118">
        <v>4</v>
      </c>
      <c r="B9" s="138" t="s">
        <v>131</v>
      </c>
      <c r="C9" s="138" t="s">
        <v>131</v>
      </c>
      <c r="D9" s="149"/>
      <c r="E9" s="149"/>
      <c r="F9" s="149"/>
      <c r="G9" s="119" t="s">
        <v>120</v>
      </c>
      <c r="H9" s="118">
        <v>10</v>
      </c>
      <c r="I9" s="118">
        <v>22</v>
      </c>
      <c r="J9" s="118">
        <f t="shared" si="0"/>
        <v>220</v>
      </c>
      <c r="K9" s="116" t="s">
        <v>55</v>
      </c>
      <c r="L9" s="117" t="s">
        <v>55</v>
      </c>
    </row>
    <row r="10" spans="1:13" ht="33.75" customHeight="1">
      <c r="A10" s="118">
        <v>5</v>
      </c>
      <c r="B10" s="138" t="s">
        <v>132</v>
      </c>
      <c r="C10" s="138" t="s">
        <v>132</v>
      </c>
      <c r="D10" s="149"/>
      <c r="E10" s="149"/>
      <c r="F10" s="149"/>
      <c r="G10" s="119" t="s">
        <v>168</v>
      </c>
      <c r="H10" s="118">
        <v>200</v>
      </c>
      <c r="I10" s="118">
        <v>2.5</v>
      </c>
      <c r="J10" s="118">
        <f t="shared" si="0"/>
        <v>500</v>
      </c>
      <c r="K10" s="116" t="s">
        <v>55</v>
      </c>
      <c r="L10" s="117" t="s">
        <v>55</v>
      </c>
    </row>
    <row r="11" spans="1:13" ht="33.75" customHeight="1">
      <c r="A11" s="118">
        <v>6</v>
      </c>
      <c r="B11" s="138" t="s">
        <v>133</v>
      </c>
      <c r="C11" s="138" t="s">
        <v>133</v>
      </c>
      <c r="D11" s="149"/>
      <c r="E11" s="149"/>
      <c r="F11" s="149"/>
      <c r="G11" s="119" t="s">
        <v>168</v>
      </c>
      <c r="H11" s="118">
        <v>30</v>
      </c>
      <c r="I11" s="118">
        <v>4</v>
      </c>
      <c r="J11" s="118">
        <f t="shared" si="0"/>
        <v>120</v>
      </c>
      <c r="K11" s="116" t="s">
        <v>55</v>
      </c>
      <c r="L11" s="117" t="s">
        <v>55</v>
      </c>
    </row>
    <row r="12" spans="1:13" ht="33.75" customHeight="1">
      <c r="A12" s="118">
        <v>7</v>
      </c>
      <c r="B12" s="138" t="s">
        <v>134</v>
      </c>
      <c r="C12" s="138" t="s">
        <v>134</v>
      </c>
      <c r="D12" s="149"/>
      <c r="E12" s="149"/>
      <c r="F12" s="149"/>
      <c r="G12" s="119" t="s">
        <v>120</v>
      </c>
      <c r="H12" s="118">
        <v>200</v>
      </c>
      <c r="I12" s="118">
        <v>1.2</v>
      </c>
      <c r="J12" s="118">
        <f t="shared" si="0"/>
        <v>240</v>
      </c>
      <c r="K12" s="116" t="s">
        <v>55</v>
      </c>
      <c r="L12" s="117" t="s">
        <v>55</v>
      </c>
    </row>
    <row r="13" spans="1:13" ht="33.75" customHeight="1">
      <c r="A13" s="118">
        <v>8</v>
      </c>
      <c r="B13" s="138" t="s">
        <v>135</v>
      </c>
      <c r="C13" s="138" t="s">
        <v>135</v>
      </c>
      <c r="D13" s="149"/>
      <c r="E13" s="149"/>
      <c r="F13" s="149"/>
      <c r="G13" s="119" t="s">
        <v>168</v>
      </c>
      <c r="H13" s="118">
        <v>5</v>
      </c>
      <c r="I13" s="118">
        <v>130</v>
      </c>
      <c r="J13" s="118">
        <f t="shared" si="0"/>
        <v>650</v>
      </c>
      <c r="K13" s="116" t="s">
        <v>55</v>
      </c>
      <c r="L13" s="117" t="s">
        <v>55</v>
      </c>
    </row>
    <row r="14" spans="1:13" ht="33.75" customHeight="1">
      <c r="A14" s="118">
        <v>9</v>
      </c>
      <c r="B14" s="138" t="s">
        <v>136</v>
      </c>
      <c r="C14" s="138" t="s">
        <v>136</v>
      </c>
      <c r="D14" s="149"/>
      <c r="E14" s="149"/>
      <c r="F14" s="149"/>
      <c r="G14" s="119" t="s">
        <v>168</v>
      </c>
      <c r="H14" s="118">
        <v>45</v>
      </c>
      <c r="I14" s="118">
        <v>32</v>
      </c>
      <c r="J14" s="118">
        <f t="shared" si="0"/>
        <v>1440</v>
      </c>
      <c r="K14" s="116" t="s">
        <v>55</v>
      </c>
      <c r="L14" s="117" t="s">
        <v>55</v>
      </c>
    </row>
    <row r="15" spans="1:13" ht="33.75" customHeight="1">
      <c r="A15" s="118">
        <v>10</v>
      </c>
      <c r="B15" s="138" t="s">
        <v>137</v>
      </c>
      <c r="C15" s="138" t="s">
        <v>137</v>
      </c>
      <c r="D15" s="149"/>
      <c r="E15" s="149"/>
      <c r="F15" s="149"/>
      <c r="G15" s="119" t="s">
        <v>168</v>
      </c>
      <c r="H15" s="118">
        <v>400</v>
      </c>
      <c r="I15" s="118">
        <v>2.5</v>
      </c>
      <c r="J15" s="118">
        <f t="shared" si="0"/>
        <v>1000</v>
      </c>
      <c r="K15" s="116" t="s">
        <v>55</v>
      </c>
      <c r="L15" s="117" t="s">
        <v>55</v>
      </c>
    </row>
    <row r="16" spans="1:13" ht="33.75" customHeight="1">
      <c r="A16" s="118">
        <v>11</v>
      </c>
      <c r="B16" s="138" t="s">
        <v>138</v>
      </c>
      <c r="C16" s="138" t="s">
        <v>138</v>
      </c>
      <c r="D16" s="149"/>
      <c r="E16" s="149"/>
      <c r="F16" s="149"/>
      <c r="G16" s="119" t="s">
        <v>166</v>
      </c>
      <c r="H16" s="118">
        <v>154</v>
      </c>
      <c r="I16" s="118">
        <v>75</v>
      </c>
      <c r="J16" s="118">
        <f t="shared" si="0"/>
        <v>11550</v>
      </c>
      <c r="K16" s="116" t="s">
        <v>55</v>
      </c>
      <c r="L16" s="117" t="s">
        <v>55</v>
      </c>
    </row>
    <row r="17" spans="1:19" ht="33.75" customHeight="1">
      <c r="A17" s="118">
        <v>12</v>
      </c>
      <c r="B17" s="138" t="s">
        <v>139</v>
      </c>
      <c r="C17" s="138" t="s">
        <v>139</v>
      </c>
      <c r="D17" s="149"/>
      <c r="E17" s="149"/>
      <c r="F17" s="149"/>
      <c r="G17" s="119" t="s">
        <v>166</v>
      </c>
      <c r="H17" s="118">
        <v>16</v>
      </c>
      <c r="I17" s="118">
        <v>70</v>
      </c>
      <c r="J17" s="118">
        <f t="shared" si="0"/>
        <v>1120</v>
      </c>
      <c r="K17" s="116" t="s">
        <v>55</v>
      </c>
      <c r="L17" s="117" t="s">
        <v>55</v>
      </c>
    </row>
    <row r="18" spans="1:19" ht="33.75" customHeight="1">
      <c r="A18" s="118">
        <v>13</v>
      </c>
      <c r="B18" s="138" t="s">
        <v>140</v>
      </c>
      <c r="C18" s="138" t="s">
        <v>140</v>
      </c>
      <c r="D18" s="149"/>
      <c r="E18" s="149"/>
      <c r="F18" s="149"/>
      <c r="G18" s="119" t="s">
        <v>168</v>
      </c>
      <c r="H18" s="118">
        <v>1282</v>
      </c>
      <c r="I18" s="118">
        <v>3.75</v>
      </c>
      <c r="J18" s="118">
        <f t="shared" si="0"/>
        <v>4807.5</v>
      </c>
      <c r="K18" s="116" t="s">
        <v>55</v>
      </c>
      <c r="L18" s="117" t="s">
        <v>55</v>
      </c>
    </row>
    <row r="19" spans="1:19" ht="33.75" customHeight="1">
      <c r="A19" s="118">
        <v>14</v>
      </c>
      <c r="B19" s="138" t="s">
        <v>141</v>
      </c>
      <c r="C19" s="138" t="s">
        <v>141</v>
      </c>
      <c r="D19" s="149"/>
      <c r="E19" s="149"/>
      <c r="F19" s="149"/>
      <c r="G19" s="119" t="s">
        <v>168</v>
      </c>
      <c r="H19" s="118">
        <v>80</v>
      </c>
      <c r="I19" s="118">
        <v>94</v>
      </c>
      <c r="J19" s="118">
        <f t="shared" si="0"/>
        <v>7520</v>
      </c>
      <c r="K19" s="116" t="s">
        <v>55</v>
      </c>
      <c r="L19" s="117" t="s">
        <v>55</v>
      </c>
    </row>
    <row r="20" spans="1:19" ht="33.75" customHeight="1">
      <c r="A20" s="118">
        <v>15</v>
      </c>
      <c r="B20" s="138" t="s">
        <v>142</v>
      </c>
      <c r="C20" s="138" t="s">
        <v>142</v>
      </c>
      <c r="D20" s="152"/>
      <c r="E20" s="152"/>
      <c r="F20" s="152"/>
      <c r="G20" s="119" t="s">
        <v>120</v>
      </c>
      <c r="H20" s="122">
        <v>50</v>
      </c>
      <c r="I20" s="123">
        <v>12</v>
      </c>
      <c r="J20" s="118">
        <f t="shared" si="0"/>
        <v>600</v>
      </c>
      <c r="K20" s="116" t="s">
        <v>55</v>
      </c>
      <c r="L20" s="117" t="s">
        <v>55</v>
      </c>
      <c r="S20" s="91"/>
    </row>
    <row r="21" spans="1:19" ht="33.75" customHeight="1">
      <c r="A21" s="118">
        <v>16</v>
      </c>
      <c r="B21" s="138" t="s">
        <v>143</v>
      </c>
      <c r="C21" s="138" t="s">
        <v>143</v>
      </c>
      <c r="D21" s="151"/>
      <c r="E21" s="151"/>
      <c r="F21" s="151"/>
      <c r="G21" s="119" t="s">
        <v>120</v>
      </c>
      <c r="H21" s="122">
        <v>25</v>
      </c>
      <c r="I21" s="123">
        <v>16</v>
      </c>
      <c r="J21" s="118">
        <f t="shared" si="0"/>
        <v>400</v>
      </c>
      <c r="K21" s="116" t="s">
        <v>55</v>
      </c>
      <c r="L21" s="117" t="s">
        <v>55</v>
      </c>
      <c r="S21" s="91"/>
    </row>
    <row r="22" spans="1:19" ht="33.75" customHeight="1">
      <c r="A22" s="118">
        <v>17</v>
      </c>
      <c r="B22" s="138" t="s">
        <v>144</v>
      </c>
      <c r="C22" s="138" t="s">
        <v>144</v>
      </c>
      <c r="D22" s="151"/>
      <c r="E22" s="151"/>
      <c r="F22" s="151"/>
      <c r="G22" s="119" t="s">
        <v>120</v>
      </c>
      <c r="H22" s="122">
        <v>36</v>
      </c>
      <c r="I22" s="123">
        <v>6.5</v>
      </c>
      <c r="J22" s="118">
        <f t="shared" si="0"/>
        <v>234</v>
      </c>
      <c r="K22" s="116" t="s">
        <v>55</v>
      </c>
      <c r="L22" s="117" t="s">
        <v>55</v>
      </c>
      <c r="S22" s="91"/>
    </row>
    <row r="23" spans="1:19" ht="33.75" customHeight="1">
      <c r="A23" s="118">
        <v>18</v>
      </c>
      <c r="B23" s="138" t="s">
        <v>145</v>
      </c>
      <c r="C23" s="138" t="s">
        <v>145</v>
      </c>
      <c r="D23" s="151"/>
      <c r="E23" s="151"/>
      <c r="F23" s="151"/>
      <c r="G23" s="119" t="s">
        <v>166</v>
      </c>
      <c r="H23" s="122">
        <v>16</v>
      </c>
      <c r="I23" s="123">
        <v>440</v>
      </c>
      <c r="J23" s="118">
        <f t="shared" si="0"/>
        <v>7040</v>
      </c>
      <c r="K23" s="116" t="s">
        <v>55</v>
      </c>
      <c r="L23" s="117" t="s">
        <v>55</v>
      </c>
      <c r="S23" s="91"/>
    </row>
    <row r="24" spans="1:19" ht="33.75" customHeight="1">
      <c r="A24" s="118">
        <v>19</v>
      </c>
      <c r="B24" s="138" t="s">
        <v>146</v>
      </c>
      <c r="C24" s="138" t="s">
        <v>146</v>
      </c>
      <c r="D24" s="151"/>
      <c r="E24" s="151"/>
      <c r="F24" s="151"/>
      <c r="G24" s="119" t="s">
        <v>169</v>
      </c>
      <c r="H24" s="122">
        <v>15</v>
      </c>
      <c r="I24" s="123">
        <v>29</v>
      </c>
      <c r="J24" s="118">
        <f t="shared" si="0"/>
        <v>435</v>
      </c>
      <c r="K24" s="116" t="s">
        <v>55</v>
      </c>
      <c r="L24" s="117" t="s">
        <v>55</v>
      </c>
      <c r="S24" s="91"/>
    </row>
    <row r="25" spans="1:19" ht="33.75" customHeight="1">
      <c r="A25" s="118">
        <v>20</v>
      </c>
      <c r="B25" s="138" t="s">
        <v>147</v>
      </c>
      <c r="C25" s="138" t="s">
        <v>147</v>
      </c>
      <c r="D25" s="151"/>
      <c r="E25" s="151"/>
      <c r="F25" s="151"/>
      <c r="G25" s="119" t="s">
        <v>169</v>
      </c>
      <c r="H25" s="122">
        <v>21</v>
      </c>
      <c r="I25" s="123">
        <v>88</v>
      </c>
      <c r="J25" s="118">
        <f t="shared" si="0"/>
        <v>1848</v>
      </c>
      <c r="K25" s="116" t="s">
        <v>55</v>
      </c>
      <c r="L25" s="117" t="s">
        <v>55</v>
      </c>
      <c r="S25" s="91"/>
    </row>
    <row r="26" spans="1:19" ht="33.75" customHeight="1">
      <c r="A26" s="118">
        <v>21</v>
      </c>
      <c r="B26" s="138" t="s">
        <v>148</v>
      </c>
      <c r="C26" s="138" t="s">
        <v>148</v>
      </c>
      <c r="D26" s="151"/>
      <c r="E26" s="151"/>
      <c r="F26" s="151"/>
      <c r="G26" s="119" t="s">
        <v>168</v>
      </c>
      <c r="H26" s="122">
        <v>50</v>
      </c>
      <c r="I26" s="123">
        <v>480</v>
      </c>
      <c r="J26" s="118">
        <f t="shared" si="0"/>
        <v>24000</v>
      </c>
      <c r="K26" s="116" t="s">
        <v>55</v>
      </c>
      <c r="L26" s="117" t="s">
        <v>55</v>
      </c>
      <c r="S26" s="91"/>
    </row>
    <row r="27" spans="1:19" ht="33.75" customHeight="1">
      <c r="A27" s="118">
        <v>22</v>
      </c>
      <c r="B27" s="138" t="s">
        <v>149</v>
      </c>
      <c r="C27" s="138" t="s">
        <v>149</v>
      </c>
      <c r="D27" s="151"/>
      <c r="E27" s="151"/>
      <c r="F27" s="151"/>
      <c r="G27" s="119" t="s">
        <v>120</v>
      </c>
      <c r="H27" s="122">
        <v>30</v>
      </c>
      <c r="I27" s="123">
        <v>14</v>
      </c>
      <c r="J27" s="118">
        <f t="shared" si="0"/>
        <v>420</v>
      </c>
      <c r="K27" s="116" t="s">
        <v>55</v>
      </c>
      <c r="L27" s="117" t="s">
        <v>55</v>
      </c>
      <c r="S27" s="91"/>
    </row>
    <row r="28" spans="1:19" ht="33.75" customHeight="1">
      <c r="A28" s="118">
        <v>23</v>
      </c>
      <c r="B28" s="138" t="s">
        <v>150</v>
      </c>
      <c r="C28" s="138" t="s">
        <v>150</v>
      </c>
      <c r="D28" s="151"/>
      <c r="E28" s="151"/>
      <c r="F28" s="151"/>
      <c r="G28" s="119" t="s">
        <v>170</v>
      </c>
      <c r="H28" s="122">
        <v>70</v>
      </c>
      <c r="I28" s="123">
        <v>34</v>
      </c>
      <c r="J28" s="118">
        <f t="shared" si="0"/>
        <v>2380</v>
      </c>
      <c r="K28" s="116" t="s">
        <v>55</v>
      </c>
      <c r="L28" s="117" t="s">
        <v>55</v>
      </c>
      <c r="S28" s="91"/>
    </row>
    <row r="29" spans="1:19" ht="33.75" customHeight="1">
      <c r="A29" s="118">
        <v>24</v>
      </c>
      <c r="B29" s="138" t="s">
        <v>151</v>
      </c>
      <c r="C29" s="138" t="s">
        <v>151</v>
      </c>
      <c r="D29" s="151"/>
      <c r="E29" s="151"/>
      <c r="F29" s="151"/>
      <c r="G29" s="119" t="s">
        <v>167</v>
      </c>
      <c r="H29" s="122">
        <v>50</v>
      </c>
      <c r="I29" s="123">
        <v>38</v>
      </c>
      <c r="J29" s="118">
        <f t="shared" si="0"/>
        <v>1900</v>
      </c>
      <c r="K29" s="116" t="s">
        <v>55</v>
      </c>
      <c r="L29" s="117" t="s">
        <v>55</v>
      </c>
      <c r="S29" s="91"/>
    </row>
    <row r="30" spans="1:19" ht="33.75" customHeight="1">
      <c r="A30" s="118">
        <v>25</v>
      </c>
      <c r="B30" s="138" t="s">
        <v>152</v>
      </c>
      <c r="C30" s="138" t="s">
        <v>152</v>
      </c>
      <c r="D30" s="151"/>
      <c r="E30" s="151"/>
      <c r="F30" s="151"/>
      <c r="G30" s="119" t="s">
        <v>167</v>
      </c>
      <c r="H30" s="122">
        <v>34</v>
      </c>
      <c r="I30" s="123">
        <v>38</v>
      </c>
      <c r="J30" s="118">
        <f t="shared" si="0"/>
        <v>1292</v>
      </c>
      <c r="K30" s="116" t="s">
        <v>55</v>
      </c>
      <c r="L30" s="117" t="s">
        <v>55</v>
      </c>
      <c r="S30" s="91"/>
    </row>
    <row r="31" spans="1:19" ht="33.75" customHeight="1">
      <c r="A31" s="118">
        <v>26</v>
      </c>
      <c r="B31" s="138" t="s">
        <v>153</v>
      </c>
      <c r="C31" s="138" t="s">
        <v>153</v>
      </c>
      <c r="D31" s="151"/>
      <c r="E31" s="151"/>
      <c r="F31" s="151"/>
      <c r="G31" s="119" t="s">
        <v>167</v>
      </c>
      <c r="H31" s="122">
        <v>34</v>
      </c>
      <c r="I31" s="123">
        <v>38</v>
      </c>
      <c r="J31" s="118">
        <f t="shared" si="0"/>
        <v>1292</v>
      </c>
      <c r="K31" s="116" t="s">
        <v>55</v>
      </c>
      <c r="L31" s="117" t="s">
        <v>55</v>
      </c>
      <c r="S31" s="91"/>
    </row>
    <row r="32" spans="1:19" ht="33.75" customHeight="1">
      <c r="A32" s="118">
        <v>27</v>
      </c>
      <c r="B32" s="138" t="s">
        <v>154</v>
      </c>
      <c r="C32" s="138" t="s">
        <v>154</v>
      </c>
      <c r="D32" s="151"/>
      <c r="E32" s="151"/>
      <c r="F32" s="151"/>
      <c r="G32" s="119" t="s">
        <v>168</v>
      </c>
      <c r="H32" s="122">
        <v>420</v>
      </c>
      <c r="I32" s="123">
        <v>2.5</v>
      </c>
      <c r="J32" s="118">
        <f t="shared" si="0"/>
        <v>1050</v>
      </c>
      <c r="K32" s="116" t="s">
        <v>55</v>
      </c>
      <c r="L32" s="117" t="s">
        <v>55</v>
      </c>
      <c r="S32" s="91"/>
    </row>
    <row r="33" spans="1:26" ht="33.75" customHeight="1">
      <c r="A33" s="118">
        <v>28</v>
      </c>
      <c r="B33" s="138" t="s">
        <v>155</v>
      </c>
      <c r="C33" s="138" t="s">
        <v>155</v>
      </c>
      <c r="D33" s="139"/>
      <c r="E33" s="139"/>
      <c r="F33" s="139"/>
      <c r="G33" s="119" t="s">
        <v>168</v>
      </c>
      <c r="H33" s="122">
        <v>132</v>
      </c>
      <c r="I33" s="123">
        <v>4</v>
      </c>
      <c r="J33" s="118">
        <f t="shared" si="0"/>
        <v>528</v>
      </c>
      <c r="K33" s="116" t="s">
        <v>55</v>
      </c>
      <c r="L33" s="117" t="s">
        <v>55</v>
      </c>
      <c r="S33" s="91"/>
    </row>
    <row r="34" spans="1:26" ht="33.75" customHeight="1">
      <c r="A34" s="118">
        <v>29</v>
      </c>
      <c r="B34" s="138" t="s">
        <v>156</v>
      </c>
      <c r="C34" s="138" t="s">
        <v>156</v>
      </c>
      <c r="D34" s="139"/>
      <c r="E34" s="139"/>
      <c r="F34" s="139"/>
      <c r="G34" s="119" t="s">
        <v>120</v>
      </c>
      <c r="H34" s="122">
        <v>660</v>
      </c>
      <c r="I34" s="123">
        <v>4.5</v>
      </c>
      <c r="J34" s="118">
        <f t="shared" si="0"/>
        <v>2970</v>
      </c>
      <c r="K34" s="116" t="s">
        <v>55</v>
      </c>
      <c r="L34" s="117" t="s">
        <v>55</v>
      </c>
      <c r="S34" s="91"/>
    </row>
    <row r="35" spans="1:26" ht="33.75" customHeight="1">
      <c r="A35" s="118">
        <v>30</v>
      </c>
      <c r="B35" s="138" t="s">
        <v>157</v>
      </c>
      <c r="C35" s="138" t="s">
        <v>157</v>
      </c>
      <c r="D35" s="139"/>
      <c r="E35" s="139"/>
      <c r="F35" s="139"/>
      <c r="G35" s="119" t="s">
        <v>171</v>
      </c>
      <c r="H35" s="122">
        <v>2500</v>
      </c>
      <c r="I35" s="123">
        <v>3</v>
      </c>
      <c r="J35" s="118">
        <f t="shared" si="0"/>
        <v>7500</v>
      </c>
      <c r="K35" s="116" t="s">
        <v>55</v>
      </c>
      <c r="L35" s="117" t="s">
        <v>55</v>
      </c>
      <c r="S35" s="91"/>
    </row>
    <row r="36" spans="1:26" ht="33.75" customHeight="1">
      <c r="A36" s="118">
        <v>31</v>
      </c>
      <c r="B36" s="138" t="s">
        <v>158</v>
      </c>
      <c r="C36" s="138" t="s">
        <v>158</v>
      </c>
      <c r="D36" s="139"/>
      <c r="E36" s="139"/>
      <c r="F36" s="139"/>
      <c r="G36" s="119" t="s">
        <v>171</v>
      </c>
      <c r="H36" s="122">
        <v>400</v>
      </c>
      <c r="I36" s="123">
        <v>4.5</v>
      </c>
      <c r="J36" s="118">
        <f t="shared" si="0"/>
        <v>1800</v>
      </c>
      <c r="K36" s="116" t="s">
        <v>55</v>
      </c>
      <c r="L36" s="117" t="s">
        <v>55</v>
      </c>
      <c r="S36" s="91"/>
    </row>
    <row r="37" spans="1:26" ht="33.75" customHeight="1">
      <c r="A37" s="118">
        <v>32</v>
      </c>
      <c r="B37" s="138" t="s">
        <v>159</v>
      </c>
      <c r="C37" s="138" t="s">
        <v>159</v>
      </c>
      <c r="D37" s="139"/>
      <c r="E37" s="139"/>
      <c r="F37" s="139"/>
      <c r="G37" s="119" t="s">
        <v>170</v>
      </c>
      <c r="H37" s="122">
        <v>19750</v>
      </c>
      <c r="I37" s="123">
        <v>1.4</v>
      </c>
      <c r="J37" s="118">
        <f t="shared" si="0"/>
        <v>27650</v>
      </c>
      <c r="K37" s="116" t="s">
        <v>55</v>
      </c>
      <c r="L37" s="117" t="s">
        <v>55</v>
      </c>
      <c r="S37" s="91"/>
    </row>
    <row r="38" spans="1:26" ht="33.75" customHeight="1">
      <c r="A38" s="118">
        <v>33</v>
      </c>
      <c r="B38" s="138" t="s">
        <v>152</v>
      </c>
      <c r="C38" s="138" t="s">
        <v>152</v>
      </c>
      <c r="D38" s="139"/>
      <c r="E38" s="139"/>
      <c r="F38" s="139"/>
      <c r="G38" s="119" t="s">
        <v>167</v>
      </c>
      <c r="H38" s="122">
        <v>40</v>
      </c>
      <c r="I38" s="123">
        <v>38</v>
      </c>
      <c r="J38" s="118">
        <f t="shared" si="0"/>
        <v>1520</v>
      </c>
      <c r="K38" s="116" t="s">
        <v>55</v>
      </c>
      <c r="L38" s="117" t="s">
        <v>55</v>
      </c>
      <c r="S38" s="91"/>
    </row>
    <row r="39" spans="1:26" ht="33.75" customHeight="1">
      <c r="A39" s="118">
        <v>34</v>
      </c>
      <c r="B39" s="138" t="s">
        <v>160</v>
      </c>
      <c r="C39" s="138" t="s">
        <v>160</v>
      </c>
      <c r="D39" s="139"/>
      <c r="E39" s="139"/>
      <c r="F39" s="139"/>
      <c r="G39" s="119" t="s">
        <v>120</v>
      </c>
      <c r="H39" s="122">
        <v>120</v>
      </c>
      <c r="I39" s="123">
        <v>18</v>
      </c>
      <c r="J39" s="118">
        <f t="shared" si="0"/>
        <v>2160</v>
      </c>
      <c r="K39" s="116" t="s">
        <v>55</v>
      </c>
      <c r="L39" s="117" t="s">
        <v>55</v>
      </c>
      <c r="S39" s="91"/>
    </row>
    <row r="40" spans="1:26" ht="33.75" customHeight="1">
      <c r="A40" s="118">
        <v>35</v>
      </c>
      <c r="B40" s="138" t="s">
        <v>161</v>
      </c>
      <c r="C40" s="138" t="s">
        <v>161</v>
      </c>
      <c r="D40" s="139"/>
      <c r="E40" s="139"/>
      <c r="F40" s="139"/>
      <c r="G40" s="119" t="s">
        <v>166</v>
      </c>
      <c r="H40" s="122">
        <v>23</v>
      </c>
      <c r="I40" s="123">
        <v>75</v>
      </c>
      <c r="J40" s="118">
        <f t="shared" si="0"/>
        <v>1725</v>
      </c>
      <c r="K40" s="116" t="s">
        <v>55</v>
      </c>
      <c r="L40" s="117" t="s">
        <v>55</v>
      </c>
      <c r="S40" s="91"/>
    </row>
    <row r="41" spans="1:26" ht="33.75" customHeight="1">
      <c r="A41" s="118">
        <v>36</v>
      </c>
      <c r="B41" s="138" t="s">
        <v>162</v>
      </c>
      <c r="C41" s="138" t="s">
        <v>162</v>
      </c>
      <c r="D41" s="139"/>
      <c r="E41" s="139"/>
      <c r="F41" s="139"/>
      <c r="G41" s="119" t="s">
        <v>171</v>
      </c>
      <c r="H41" s="122">
        <v>24</v>
      </c>
      <c r="I41" s="123">
        <v>6</v>
      </c>
      <c r="J41" s="118">
        <f t="shared" si="0"/>
        <v>144</v>
      </c>
      <c r="K41" s="116" t="s">
        <v>55</v>
      </c>
      <c r="L41" s="117" t="s">
        <v>55</v>
      </c>
      <c r="S41" s="91"/>
    </row>
    <row r="42" spans="1:26" ht="33.75" customHeight="1">
      <c r="A42" s="118">
        <v>37</v>
      </c>
      <c r="B42" s="138" t="s">
        <v>163</v>
      </c>
      <c r="C42" s="138" t="s">
        <v>163</v>
      </c>
      <c r="D42" s="139"/>
      <c r="E42" s="139"/>
      <c r="F42" s="139"/>
      <c r="G42" s="119" t="s">
        <v>167</v>
      </c>
      <c r="H42" s="122">
        <v>50</v>
      </c>
      <c r="I42" s="123">
        <v>14</v>
      </c>
      <c r="J42" s="118">
        <f t="shared" si="0"/>
        <v>700</v>
      </c>
      <c r="K42" s="116" t="s">
        <v>55</v>
      </c>
      <c r="L42" s="117" t="s">
        <v>55</v>
      </c>
      <c r="S42" s="91"/>
    </row>
    <row r="43" spans="1:26" ht="33.75" customHeight="1">
      <c r="A43" s="118">
        <v>38</v>
      </c>
      <c r="B43" s="138" t="s">
        <v>164</v>
      </c>
      <c r="C43" s="138" t="s">
        <v>164</v>
      </c>
      <c r="D43" s="139"/>
      <c r="E43" s="139"/>
      <c r="F43" s="139"/>
      <c r="G43" s="119" t="s">
        <v>167</v>
      </c>
      <c r="H43" s="122">
        <v>6</v>
      </c>
      <c r="I43" s="123">
        <v>65</v>
      </c>
      <c r="J43" s="118">
        <f t="shared" si="0"/>
        <v>390</v>
      </c>
      <c r="K43" s="116" t="s">
        <v>55</v>
      </c>
      <c r="L43" s="117" t="s">
        <v>55</v>
      </c>
      <c r="S43" s="91"/>
    </row>
    <row r="44" spans="1:26" ht="33.75" customHeight="1">
      <c r="A44" s="118">
        <v>39</v>
      </c>
      <c r="B44" s="138" t="s">
        <v>165</v>
      </c>
      <c r="C44" s="138" t="s">
        <v>165</v>
      </c>
      <c r="D44" s="139"/>
      <c r="E44" s="139"/>
      <c r="F44" s="139"/>
      <c r="G44" s="119" t="s">
        <v>171</v>
      </c>
      <c r="H44" s="122">
        <v>24</v>
      </c>
      <c r="I44" s="123">
        <v>4</v>
      </c>
      <c r="J44" s="118">
        <f t="shared" si="0"/>
        <v>96</v>
      </c>
      <c r="K44" s="116" t="s">
        <v>55</v>
      </c>
      <c r="L44" s="117" t="s">
        <v>55</v>
      </c>
      <c r="S44" s="91"/>
    </row>
    <row r="45" spans="1:26" ht="22.5" customHeight="1">
      <c r="A45" s="140" t="s">
        <v>8</v>
      </c>
      <c r="B45" s="141"/>
      <c r="C45" s="108"/>
      <c r="D45" s="109"/>
      <c r="E45" s="109"/>
      <c r="F45" s="109"/>
      <c r="G45" s="110"/>
      <c r="H45" s="110"/>
      <c r="I45" s="96" t="s">
        <v>172</v>
      </c>
      <c r="J45" s="111">
        <f>SUM(J6:J44)</f>
        <v>124889.5</v>
      </c>
      <c r="K45" s="112"/>
      <c r="L45" s="113"/>
    </row>
    <row r="46" spans="1:26" ht="36" customHeight="1">
      <c r="A46" s="5" t="s">
        <v>9</v>
      </c>
      <c r="B46" s="6"/>
      <c r="C46" s="6"/>
      <c r="D46" s="6"/>
      <c r="E46" s="6"/>
      <c r="F46" s="6"/>
      <c r="G46" s="6"/>
      <c r="H46" s="6"/>
      <c r="I46" s="6"/>
      <c r="J46" s="6"/>
      <c r="K46" s="7"/>
      <c r="L46" s="8"/>
    </row>
    <row r="47" spans="1:26" ht="18" customHeight="1">
      <c r="A47" s="9"/>
      <c r="J47" s="1"/>
      <c r="K47" s="1"/>
      <c r="O47" s="10"/>
      <c r="P47" s="10"/>
      <c r="Q47" s="10"/>
      <c r="R47" s="10"/>
      <c r="S47" s="10"/>
      <c r="T47" s="10"/>
      <c r="U47" s="10"/>
      <c r="V47" s="10"/>
      <c r="W47" s="10"/>
      <c r="Y47" s="124"/>
      <c r="Z47" s="10"/>
    </row>
    <row r="48" spans="1:26" ht="50.1" customHeight="1">
      <c r="Y48" s="125"/>
    </row>
    <row r="49" spans="15:25" ht="15" customHeight="1">
      <c r="O49" s="126" t="s">
        <v>99</v>
      </c>
      <c r="P49" s="127"/>
      <c r="Q49" s="127"/>
      <c r="R49" s="128"/>
      <c r="S49" s="95"/>
      <c r="T49" s="126" t="s">
        <v>100</v>
      </c>
      <c r="U49" s="127"/>
      <c r="V49" s="127"/>
      <c r="W49" s="127"/>
      <c r="X49" s="127"/>
      <c r="Y49" s="128"/>
    </row>
    <row r="50" spans="15:25" ht="15" customHeight="1">
      <c r="O50" s="129" t="s">
        <v>101</v>
      </c>
      <c r="P50" s="131" t="s">
        <v>102</v>
      </c>
      <c r="Q50" s="129" t="s">
        <v>103</v>
      </c>
      <c r="R50" s="131" t="s">
        <v>104</v>
      </c>
      <c r="S50" s="95"/>
      <c r="T50" s="129" t="s">
        <v>105</v>
      </c>
      <c r="U50" s="131" t="s">
        <v>106</v>
      </c>
      <c r="V50" s="126" t="s">
        <v>107</v>
      </c>
      <c r="W50" s="127"/>
      <c r="X50" s="128"/>
      <c r="Y50" s="131" t="s">
        <v>108</v>
      </c>
    </row>
    <row r="51" spans="15:25" ht="18" customHeight="1">
      <c r="O51" s="130"/>
      <c r="P51" s="132"/>
      <c r="Q51" s="130"/>
      <c r="R51" s="132"/>
      <c r="S51" s="99"/>
      <c r="T51" s="130"/>
      <c r="U51" s="132"/>
      <c r="V51" s="12" t="s">
        <v>101</v>
      </c>
      <c r="W51" s="133" t="s">
        <v>109</v>
      </c>
      <c r="X51" s="134"/>
      <c r="Y51" s="132"/>
    </row>
    <row r="52" spans="15:25" ht="50.1" customHeight="1">
      <c r="O52" s="13"/>
      <c r="P52" s="13"/>
      <c r="Q52" s="13"/>
      <c r="R52" s="13"/>
      <c r="S52" s="95"/>
      <c r="T52" s="13"/>
      <c r="U52" s="13"/>
      <c r="V52" s="13"/>
      <c r="W52" s="126"/>
      <c r="X52" s="128"/>
      <c r="Y52" s="100"/>
    </row>
    <row r="53" spans="15:25" ht="36" customHeight="1">
      <c r="W53" s="101"/>
      <c r="X53" s="135" t="s">
        <v>110</v>
      </c>
      <c r="Y53" s="11" t="s">
        <v>108</v>
      </c>
    </row>
    <row r="54" spans="15:25" ht="50.1" customHeight="1">
      <c r="O54" s="102"/>
      <c r="P54" s="102"/>
      <c r="Q54" s="102"/>
      <c r="R54" s="102"/>
      <c r="S54" s="102"/>
      <c r="T54" s="102"/>
      <c r="U54" s="102"/>
      <c r="V54" s="102"/>
      <c r="W54" s="103"/>
      <c r="X54" s="136"/>
      <c r="Y54" s="104"/>
    </row>
    <row r="55" spans="15:25" ht="19.899999999999999" customHeight="1"/>
    <row r="56" spans="15:25" ht="17.45" customHeight="1">
      <c r="O56" s="137"/>
      <c r="P56" s="137"/>
      <c r="Q56" s="137"/>
    </row>
    <row r="57" spans="15:25" ht="19.899999999999999" customHeight="1">
      <c r="O57" s="137"/>
      <c r="P57" s="137"/>
      <c r="Q57" s="137"/>
    </row>
    <row r="58" spans="15:25" ht="14.25">
      <c r="O58" s="10"/>
      <c r="P58" s="10"/>
      <c r="Q58" s="10"/>
    </row>
    <row r="59" spans="15:25" ht="65.099999999999994" customHeight="1"/>
    <row r="60" spans="15:25" ht="14.25">
      <c r="O60" s="10"/>
      <c r="P60" s="10"/>
      <c r="Q60" s="10"/>
    </row>
    <row r="61" spans="15:25" ht="19.899999999999999" customHeight="1"/>
    <row r="62" spans="15:25" ht="14.25"/>
    <row r="63" spans="15:25" ht="19.899999999999999" customHeight="1"/>
    <row r="64" spans="15:25" ht="14.25"/>
    <row r="65" spans="15:22" ht="19.899999999999999" customHeight="1"/>
    <row r="66" spans="15:22" ht="19.899999999999999" customHeight="1"/>
    <row r="67" spans="15:22" ht="64.900000000000006" customHeight="1"/>
    <row r="69" spans="15:22" ht="19.899999999999999" customHeight="1">
      <c r="T69" s="131" t="s">
        <v>11</v>
      </c>
    </row>
    <row r="70" spans="15:22" ht="19.899999999999999" customHeight="1">
      <c r="T70" s="132"/>
    </row>
    <row r="71" spans="15:22" ht="64.900000000000006" customHeight="1">
      <c r="T71" s="13"/>
    </row>
    <row r="75" spans="15:22" ht="21" customHeight="1">
      <c r="O75" s="131" t="s">
        <v>11</v>
      </c>
      <c r="P75" s="131" t="s">
        <v>11</v>
      </c>
      <c r="Q75" s="131" t="s">
        <v>11</v>
      </c>
      <c r="T75" s="131" t="s">
        <v>12</v>
      </c>
      <c r="U75" s="131" t="s">
        <v>10</v>
      </c>
      <c r="V75" s="131" t="s">
        <v>11</v>
      </c>
    </row>
    <row r="76" spans="15:22" ht="21" customHeight="1">
      <c r="O76" s="132"/>
      <c r="P76" s="132"/>
      <c r="Q76" s="132"/>
      <c r="T76" s="130"/>
      <c r="U76" s="130"/>
      <c r="V76" s="132"/>
    </row>
    <row r="77" spans="15:22" ht="64.900000000000006" customHeight="1">
      <c r="O77" s="13"/>
      <c r="P77" s="13"/>
      <c r="Q77" s="13"/>
      <c r="T77" s="13"/>
      <c r="U77" s="14"/>
      <c r="V77" s="13"/>
    </row>
    <row r="78" spans="15:22" ht="7.15" customHeight="1"/>
    <row r="79" spans="15:22" ht="21" customHeight="1">
      <c r="O79" s="131" t="s">
        <v>11</v>
      </c>
      <c r="P79" s="131" t="s">
        <v>11</v>
      </c>
      <c r="Q79" s="131" t="s">
        <v>11</v>
      </c>
      <c r="T79" s="131" t="s">
        <v>10</v>
      </c>
      <c r="U79" s="131" t="s">
        <v>12</v>
      </c>
      <c r="V79" s="131" t="s">
        <v>11</v>
      </c>
    </row>
    <row r="80" spans="15:22" ht="21" customHeight="1">
      <c r="O80" s="132"/>
      <c r="P80" s="132"/>
      <c r="Q80" s="132"/>
      <c r="T80" s="130"/>
      <c r="U80" s="130"/>
      <c r="V80" s="132"/>
    </row>
    <row r="81" spans="15:22" ht="64.900000000000006" customHeight="1">
      <c r="O81" s="13"/>
      <c r="P81" s="13"/>
      <c r="Q81" s="13"/>
      <c r="T81" s="14"/>
      <c r="U81" s="13"/>
      <c r="V81" s="13"/>
    </row>
  </sheetData>
  <mergeCells count="121">
    <mergeCell ref="D32:F32"/>
    <mergeCell ref="D34:F34"/>
    <mergeCell ref="D40:F40"/>
    <mergeCell ref="D41:F41"/>
    <mergeCell ref="D42:F42"/>
    <mergeCell ref="D27:F27"/>
    <mergeCell ref="D28:F28"/>
    <mergeCell ref="D29:F29"/>
    <mergeCell ref="D30:F30"/>
    <mergeCell ref="D31:F31"/>
    <mergeCell ref="D33:F33"/>
    <mergeCell ref="D35:F35"/>
    <mergeCell ref="D36:F36"/>
    <mergeCell ref="D23:F23"/>
    <mergeCell ref="D24:F24"/>
    <mergeCell ref="D25:F25"/>
    <mergeCell ref="D26:F26"/>
    <mergeCell ref="D16:F16"/>
    <mergeCell ref="D17:F17"/>
    <mergeCell ref="D18:F18"/>
    <mergeCell ref="D19:F19"/>
    <mergeCell ref="D21:F21"/>
    <mergeCell ref="D20:F20"/>
    <mergeCell ref="D13:F13"/>
    <mergeCell ref="D14:F14"/>
    <mergeCell ref="D15:F15"/>
    <mergeCell ref="D6:F6"/>
    <mergeCell ref="D7:F7"/>
    <mergeCell ref="D8:F8"/>
    <mergeCell ref="D9:F9"/>
    <mergeCell ref="D10:F10"/>
    <mergeCell ref="D22:F22"/>
    <mergeCell ref="B32:C32"/>
    <mergeCell ref="B34:C34"/>
    <mergeCell ref="B40:C40"/>
    <mergeCell ref="B41:C41"/>
    <mergeCell ref="B42:C42"/>
    <mergeCell ref="B31:C31"/>
    <mergeCell ref="B16:C16"/>
    <mergeCell ref="B17:C17"/>
    <mergeCell ref="B18:C18"/>
    <mergeCell ref="B19:C19"/>
    <mergeCell ref="B22:C22"/>
    <mergeCell ref="B23:C23"/>
    <mergeCell ref="B24:C24"/>
    <mergeCell ref="B25:C25"/>
    <mergeCell ref="B27:C27"/>
    <mergeCell ref="B28:C28"/>
    <mergeCell ref="B29:C29"/>
    <mergeCell ref="B30:C30"/>
    <mergeCell ref="B26:C26"/>
    <mergeCell ref="B21:C21"/>
    <mergeCell ref="B20:C20"/>
    <mergeCell ref="B33:C33"/>
    <mergeCell ref="B35:C35"/>
    <mergeCell ref="B36:C36"/>
    <mergeCell ref="B15:C15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D11:F11"/>
    <mergeCell ref="D12:F12"/>
    <mergeCell ref="B37:C37"/>
    <mergeCell ref="D37:F37"/>
    <mergeCell ref="B38:C38"/>
    <mergeCell ref="D38:F38"/>
    <mergeCell ref="B39:C39"/>
    <mergeCell ref="D39:F39"/>
    <mergeCell ref="A45:B45"/>
    <mergeCell ref="P50:P51"/>
    <mergeCell ref="Q50:Q51"/>
    <mergeCell ref="B43:C43"/>
    <mergeCell ref="B44:C44"/>
    <mergeCell ref="D43:F43"/>
    <mergeCell ref="D44:F44"/>
    <mergeCell ref="V75:V76"/>
    <mergeCell ref="O79:O80"/>
    <mergeCell ref="P79:P80"/>
    <mergeCell ref="Q79:Q80"/>
    <mergeCell ref="T79:T80"/>
    <mergeCell ref="U79:U80"/>
    <mergeCell ref="V79:V80"/>
    <mergeCell ref="W52:X52"/>
    <mergeCell ref="X53:X54"/>
    <mergeCell ref="O56:O57"/>
    <mergeCell ref="P56:P57"/>
    <mergeCell ref="Q56:Q57"/>
    <mergeCell ref="T69:T70"/>
    <mergeCell ref="O75:O76"/>
    <mergeCell ref="P75:P76"/>
    <mergeCell ref="Q75:Q76"/>
    <mergeCell ref="T75:T76"/>
    <mergeCell ref="U75:U76"/>
    <mergeCell ref="Y47:Y48"/>
    <mergeCell ref="O49:R49"/>
    <mergeCell ref="T49:Y49"/>
    <mergeCell ref="O50:O51"/>
    <mergeCell ref="R50:R51"/>
    <mergeCell ref="T50:T51"/>
    <mergeCell ref="U50:U51"/>
    <mergeCell ref="V50:X50"/>
    <mergeCell ref="Y50:Y51"/>
    <mergeCell ref="W51:X51"/>
  </mergeCells>
  <phoneticPr fontId="3" type="noConversion"/>
  <printOptions horizontalCentered="1"/>
  <pageMargins left="0.39370078740157499" right="0.39370078740157499" top="0.25" bottom="0.39370078740157499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6"/>
  <sheetViews>
    <sheetView showGridLines="0" view="pageBreakPreview" zoomScale="85" zoomScaleNormal="95" zoomScaleSheetLayoutView="85" workbookViewId="0">
      <selection activeCell="P7" sqref="P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9" width="12.5703125" style="2" customWidth="1"/>
    <col min="10" max="10" width="15.42578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84</v>
      </c>
      <c r="B1" s="85"/>
      <c r="C1" s="85"/>
      <c r="D1" s="85"/>
      <c r="E1" s="85"/>
      <c r="F1" s="85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5"/>
      <c r="H2" s="15"/>
      <c r="I2" s="15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SAC2-DS-MRS-0500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46319</v>
      </c>
    </row>
    <row r="4" spans="1:18" ht="15.95" customHeight="1">
      <c r="A4" s="158" t="s">
        <v>2</v>
      </c>
      <c r="B4" s="159" t="s">
        <v>13</v>
      </c>
      <c r="C4" s="159"/>
      <c r="D4" s="158" t="s">
        <v>4</v>
      </c>
      <c r="E4" s="158"/>
      <c r="F4" s="158"/>
      <c r="G4" s="159" t="s">
        <v>5</v>
      </c>
      <c r="H4" s="158" t="s">
        <v>79</v>
      </c>
      <c r="I4" s="158" t="s">
        <v>14</v>
      </c>
      <c r="J4" s="158" t="s">
        <v>15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16">
        <v>1</v>
      </c>
      <c r="B6" s="153" t="str">
        <f>MRS!B6 &amp; MRS!D6</f>
        <v>3M HALF FACE MASK - 6200</v>
      </c>
      <c r="C6" s="154"/>
      <c r="D6" s="155">
        <f>MRS!D20</f>
        <v>0</v>
      </c>
      <c r="E6" s="156"/>
      <c r="F6" s="157"/>
      <c r="G6" s="88" t="str">
        <f>MRS!G6</f>
        <v>EA</v>
      </c>
      <c r="H6" s="88">
        <f>MRS!H6</f>
        <v>64</v>
      </c>
      <c r="I6" s="89">
        <f>MRS!I6</f>
        <v>55</v>
      </c>
      <c r="J6" s="89">
        <f>MRS!J6</f>
        <v>3520</v>
      </c>
      <c r="K6" s="90"/>
      <c r="O6" s="91"/>
      <c r="P6" s="91"/>
      <c r="R6" s="91"/>
    </row>
    <row r="7" spans="1:18" ht="105" customHeight="1">
      <c r="A7" s="16">
        <v>2</v>
      </c>
      <c r="B7" s="153" t="str">
        <f>MRS!B7 &amp; MRS!D7</f>
        <v xml:space="preserve">SILICON SEALANT WHITE (24PCS/BOX)    </v>
      </c>
      <c r="C7" s="154"/>
      <c r="D7" s="155">
        <f>MRS!D21</f>
        <v>0</v>
      </c>
      <c r="E7" s="156"/>
      <c r="F7" s="157"/>
      <c r="G7" s="88" t="str">
        <f>MRS!G7</f>
        <v>BOX</v>
      </c>
      <c r="H7" s="88">
        <f>MRS!H7</f>
        <v>18</v>
      </c>
      <c r="I7" s="89">
        <f>MRS!I7</f>
        <v>96</v>
      </c>
      <c r="J7" s="89">
        <f>MRS!J7</f>
        <v>1728</v>
      </c>
      <c r="K7" s="90"/>
      <c r="O7" s="91"/>
      <c r="P7" s="91"/>
      <c r="R7" s="91"/>
    </row>
    <row r="8" spans="1:18" ht="105" customHeight="1">
      <c r="A8" s="16">
        <v>3</v>
      </c>
      <c r="B8" s="153" t="str">
        <f>MRS!B8 &amp; MRS!D8</f>
        <v xml:space="preserve">KNIFE BLADE SHORT (10PCS/PACK)    </v>
      </c>
      <c r="C8" s="154"/>
      <c r="D8" s="155">
        <f>MRS!D22</f>
        <v>0</v>
      </c>
      <c r="E8" s="156"/>
      <c r="F8" s="157"/>
      <c r="G8" s="88" t="str">
        <f>MRS!G8</f>
        <v>PACK</v>
      </c>
      <c r="H8" s="88">
        <f>MRS!H8</f>
        <v>50</v>
      </c>
      <c r="I8" s="89">
        <f>MRS!I8</f>
        <v>8</v>
      </c>
      <c r="J8" s="89">
        <f>MRS!J8</f>
        <v>400</v>
      </c>
      <c r="K8" s="90"/>
      <c r="O8" s="91"/>
      <c r="P8" s="91"/>
      <c r="R8" s="91"/>
    </row>
    <row r="9" spans="1:18" ht="105" customHeight="1">
      <c r="A9" s="16">
        <v>4</v>
      </c>
      <c r="B9" s="153" t="str">
        <f>MRS!B9 &amp; MRS!D9</f>
        <v xml:space="preserve">FILE HALF ROUND 12"   </v>
      </c>
      <c r="C9" s="154"/>
      <c r="D9" s="155">
        <f>MRS!D23</f>
        <v>0</v>
      </c>
      <c r="E9" s="156"/>
      <c r="F9" s="157"/>
      <c r="G9" s="88" t="str">
        <f>MRS!G9</f>
        <v>EA</v>
      </c>
      <c r="H9" s="88">
        <f>MRS!H9</f>
        <v>10</v>
      </c>
      <c r="I9" s="89">
        <f>MRS!I9</f>
        <v>22</v>
      </c>
      <c r="J9" s="89">
        <f>MRS!J9</f>
        <v>220</v>
      </c>
      <c r="K9" s="90"/>
      <c r="O9" s="91"/>
      <c r="P9" s="91"/>
      <c r="R9" s="91"/>
    </row>
    <row r="10" spans="1:18" ht="105" customHeight="1">
      <c r="A10" s="16">
        <v>5</v>
      </c>
      <c r="B10" s="153" t="str">
        <f>MRS!B10 &amp; MRS!D10</f>
        <v xml:space="preserve">ELECTRICAL TAPE 50FT GREEN    </v>
      </c>
      <c r="C10" s="154"/>
      <c r="D10" s="155">
        <f>MRS!D24</f>
        <v>0</v>
      </c>
      <c r="E10" s="156"/>
      <c r="F10" s="157"/>
      <c r="G10" s="88" t="str">
        <f>MRS!G10</f>
        <v>ROLL</v>
      </c>
      <c r="H10" s="88">
        <f>MRS!H10</f>
        <v>200</v>
      </c>
      <c r="I10" s="89">
        <f>MRS!I10</f>
        <v>2.5</v>
      </c>
      <c r="J10" s="89">
        <f>MRS!J10</f>
        <v>500</v>
      </c>
      <c r="K10" s="90"/>
      <c r="O10" s="91"/>
      <c r="P10" s="91"/>
      <c r="R10" s="91"/>
    </row>
    <row r="11" spans="1:18" ht="105" customHeight="1">
      <c r="A11" s="16">
        <v>6</v>
      </c>
      <c r="B11" s="153" t="str">
        <f>MRS!B11 &amp; MRS!D11</f>
        <v xml:space="preserve">CLEAR TAPE 2" 70YARD (30PCS/BOX) VESTRA   </v>
      </c>
      <c r="C11" s="154"/>
      <c r="D11" s="155">
        <f>MRS!D25</f>
        <v>0</v>
      </c>
      <c r="E11" s="156"/>
      <c r="F11" s="157"/>
      <c r="G11" s="88" t="str">
        <f>MRS!G11</f>
        <v>ROLL</v>
      </c>
      <c r="H11" s="88">
        <f>MRS!H11</f>
        <v>30</v>
      </c>
      <c r="I11" s="89">
        <f>MRS!I11</f>
        <v>4</v>
      </c>
      <c r="J11" s="89">
        <f>MRS!J11</f>
        <v>120</v>
      </c>
      <c r="K11" s="90"/>
      <c r="O11" s="91"/>
      <c r="P11" s="91"/>
      <c r="R11" s="91"/>
    </row>
    <row r="12" spans="1:18" ht="105" customHeight="1">
      <c r="A12" s="16">
        <v>7</v>
      </c>
      <c r="B12" s="153" t="str">
        <f>MRS!B12 &amp; MRS!D12</f>
        <v>HACK SAW BLADE 24T  CS</v>
      </c>
      <c r="C12" s="154"/>
      <c r="D12" s="155">
        <f>MRS!D26</f>
        <v>0</v>
      </c>
      <c r="E12" s="156"/>
      <c r="F12" s="157"/>
      <c r="G12" s="88" t="str">
        <f>MRS!G12</f>
        <v>EA</v>
      </c>
      <c r="H12" s="88">
        <f>MRS!H12</f>
        <v>200</v>
      </c>
      <c r="I12" s="89">
        <f>MRS!I12</f>
        <v>1.2</v>
      </c>
      <c r="J12" s="89">
        <f>MRS!J12</f>
        <v>240</v>
      </c>
      <c r="K12" s="90"/>
      <c r="O12" s="91"/>
      <c r="P12" s="91"/>
      <c r="R12" s="91"/>
    </row>
    <row r="13" spans="1:18" ht="105" customHeight="1">
      <c r="A13" s="16">
        <v>8</v>
      </c>
      <c r="B13" s="153" t="str">
        <f>MRS!B13 &amp; MRS!D13</f>
        <v xml:space="preserve">SAND PAPER ROLL 4'' 120GRIT   </v>
      </c>
      <c r="C13" s="154"/>
      <c r="D13" s="155">
        <f>MRS!D27</f>
        <v>0</v>
      </c>
      <c r="E13" s="156"/>
      <c r="F13" s="157"/>
      <c r="G13" s="88" t="str">
        <f>MRS!G13</f>
        <v>ROLL</v>
      </c>
      <c r="H13" s="88">
        <f>MRS!H13</f>
        <v>5</v>
      </c>
      <c r="I13" s="89">
        <f>MRS!I13</f>
        <v>130</v>
      </c>
      <c r="J13" s="89">
        <f>MRS!J13</f>
        <v>650</v>
      </c>
      <c r="K13" s="90"/>
      <c r="O13" s="91"/>
      <c r="P13" s="91"/>
      <c r="R13" s="91"/>
    </row>
    <row r="14" spans="1:18" ht="105" customHeight="1">
      <c r="A14" s="16">
        <v>9</v>
      </c>
      <c r="B14" s="153" t="str">
        <f>MRS!B14 &amp; MRS!D14</f>
        <v xml:space="preserve">WRAPPING ROLL 3.5KG VESTRA </v>
      </c>
      <c r="C14" s="154"/>
      <c r="D14" s="155">
        <f>MRS!D28</f>
        <v>0</v>
      </c>
      <c r="E14" s="156"/>
      <c r="F14" s="157"/>
      <c r="G14" s="88" t="str">
        <f>MRS!G14</f>
        <v>ROLL</v>
      </c>
      <c r="H14" s="88">
        <f>MRS!H14</f>
        <v>45</v>
      </c>
      <c r="I14" s="89">
        <f>MRS!I14</f>
        <v>32</v>
      </c>
      <c r="J14" s="89">
        <f>MRS!J14</f>
        <v>1440</v>
      </c>
      <c r="K14" s="90"/>
      <c r="O14" s="91"/>
      <c r="P14" s="91"/>
      <c r="R14" s="91"/>
    </row>
    <row r="15" spans="1:18" ht="105" customHeight="1">
      <c r="A15" s="16">
        <v>10</v>
      </c>
      <c r="B15" s="153" t="str">
        <f>MRS!B15 &amp; MRS!D15</f>
        <v>ELECTRICAL TAPE 50FT RED</v>
      </c>
      <c r="C15" s="154"/>
      <c r="D15" s="155">
        <f>MRS!D29</f>
        <v>0</v>
      </c>
      <c r="E15" s="156"/>
      <c r="F15" s="157"/>
      <c r="G15" s="88" t="str">
        <f>MRS!G15</f>
        <v>ROLL</v>
      </c>
      <c r="H15" s="88">
        <f>MRS!H15</f>
        <v>400</v>
      </c>
      <c r="I15" s="89">
        <f>MRS!I15</f>
        <v>2.5</v>
      </c>
      <c r="J15" s="89">
        <f>MRS!J15</f>
        <v>1000</v>
      </c>
      <c r="K15" s="90"/>
      <c r="O15" s="91"/>
      <c r="P15" s="91"/>
      <c r="R15" s="91"/>
    </row>
    <row r="16" spans="1:18" ht="105" customHeight="1">
      <c r="A16" s="16">
        <v>11</v>
      </c>
      <c r="B16" s="153" t="str">
        <f>MRS!B16 &amp; MRS!D16</f>
        <v>MASKING TAPE 2'' 25 YARD (24ROLL/BOX)</v>
      </c>
      <c r="C16" s="154"/>
      <c r="D16" s="155">
        <f>MRS!D30</f>
        <v>0</v>
      </c>
      <c r="E16" s="156"/>
      <c r="F16" s="157"/>
      <c r="G16" s="88" t="str">
        <f>MRS!G16</f>
        <v>BOX</v>
      </c>
      <c r="H16" s="88">
        <f>MRS!H16</f>
        <v>154</v>
      </c>
      <c r="I16" s="89">
        <f>MRS!I16</f>
        <v>75</v>
      </c>
      <c r="J16" s="89">
        <f>MRS!J16</f>
        <v>11550</v>
      </c>
      <c r="K16" s="90"/>
      <c r="O16" s="91"/>
      <c r="P16" s="91"/>
      <c r="R16" s="91"/>
    </row>
    <row r="17" spans="1:18" ht="105" customHeight="1">
      <c r="A17" s="16">
        <v>12</v>
      </c>
      <c r="B17" s="153" t="str">
        <f>MRS!B17 &amp; MRS!D17</f>
        <v>MASKING TAPE 1'' 18 YARD (36ROLL/BOX)</v>
      </c>
      <c r="C17" s="154"/>
      <c r="D17" s="155">
        <f>MRS!D31</f>
        <v>0</v>
      </c>
      <c r="E17" s="156"/>
      <c r="F17" s="157"/>
      <c r="G17" s="88" t="str">
        <f>MRS!G17</f>
        <v>BOX</v>
      </c>
      <c r="H17" s="88">
        <f>MRS!H17</f>
        <v>16</v>
      </c>
      <c r="I17" s="89">
        <f>MRS!I17</f>
        <v>70</v>
      </c>
      <c r="J17" s="89">
        <f>MRS!J17</f>
        <v>1120</v>
      </c>
      <c r="K17" s="90"/>
      <c r="O17" s="91"/>
      <c r="P17" s="91"/>
      <c r="R17" s="91"/>
    </row>
    <row r="18" spans="1:18" ht="105" customHeight="1">
      <c r="A18" s="16">
        <v>13</v>
      </c>
      <c r="B18" s="153" t="str">
        <f>MRS!B18 &amp; MRS!D18</f>
        <v>WARNING TAPE 3" RED/WHITE</v>
      </c>
      <c r="C18" s="154"/>
      <c r="D18" s="155">
        <f>MRS!D32</f>
        <v>0</v>
      </c>
      <c r="E18" s="156"/>
      <c r="F18" s="157"/>
      <c r="G18" s="88" t="str">
        <f>MRS!G18</f>
        <v>ROLL</v>
      </c>
      <c r="H18" s="88">
        <f>MRS!H18</f>
        <v>1282</v>
      </c>
      <c r="I18" s="89">
        <f>MRS!I18</f>
        <v>3.75</v>
      </c>
      <c r="J18" s="89">
        <f>MRS!J18</f>
        <v>4807.5</v>
      </c>
      <c r="K18" s="90"/>
      <c r="O18" s="91"/>
      <c r="P18" s="91"/>
      <c r="R18" s="91"/>
    </row>
    <row r="19" spans="1:18" ht="105" customHeight="1">
      <c r="A19" s="16">
        <v>14</v>
      </c>
      <c r="B19" s="153" t="str">
        <f>MRS!B19 &amp; MRS!D19</f>
        <v>DUCT TAPE 2'' 25YARD (24ROLL/BOX) VESTRA</v>
      </c>
      <c r="C19" s="154"/>
      <c r="D19" s="155">
        <f>MRS!D33</f>
        <v>0</v>
      </c>
      <c r="E19" s="156"/>
      <c r="F19" s="157"/>
      <c r="G19" s="88" t="str">
        <f>MRS!G19</f>
        <v>ROLL</v>
      </c>
      <c r="H19" s="88">
        <f>MRS!H19</f>
        <v>80</v>
      </c>
      <c r="I19" s="89">
        <f>MRS!I19</f>
        <v>94</v>
      </c>
      <c r="J19" s="89">
        <f>MRS!J19</f>
        <v>7520</v>
      </c>
      <c r="K19" s="90"/>
      <c r="O19" s="91"/>
      <c r="P19" s="91"/>
      <c r="R19" s="91"/>
    </row>
    <row r="20" spans="1:18" ht="105" customHeight="1">
      <c r="A20" s="16">
        <v>15</v>
      </c>
      <c r="B20" s="153" t="str">
        <f>MRS!B20 &amp; MRS!D20</f>
        <v>MEASURING TAPE 5MTR</v>
      </c>
      <c r="C20" s="154"/>
      <c r="D20" s="155">
        <f>MRS!D34</f>
        <v>0</v>
      </c>
      <c r="E20" s="156"/>
      <c r="F20" s="157"/>
      <c r="G20" s="88" t="str">
        <f>MRS!G20</f>
        <v>EA</v>
      </c>
      <c r="H20" s="88">
        <f>MRS!H20</f>
        <v>50</v>
      </c>
      <c r="I20" s="89">
        <f>MRS!I20</f>
        <v>12</v>
      </c>
      <c r="J20" s="89">
        <f>MRS!J20</f>
        <v>600</v>
      </c>
      <c r="K20" s="90"/>
      <c r="O20" s="91"/>
      <c r="P20" s="91"/>
      <c r="R20" s="91"/>
    </row>
    <row r="21" spans="1:18" ht="105" customHeight="1">
      <c r="A21" s="16">
        <v>16</v>
      </c>
      <c r="B21" s="153" t="str">
        <f>MRS!B21 &amp; MRS!D21</f>
        <v>MEASURING TAPE 7.5M</v>
      </c>
      <c r="C21" s="154"/>
      <c r="D21" s="155">
        <f>MRS!D35</f>
        <v>0</v>
      </c>
      <c r="E21" s="156"/>
      <c r="F21" s="157"/>
      <c r="G21" s="88" t="str">
        <f>MRS!G21</f>
        <v>EA</v>
      </c>
      <c r="H21" s="88">
        <f>MRS!H21</f>
        <v>25</v>
      </c>
      <c r="I21" s="89">
        <f>MRS!I21</f>
        <v>16</v>
      </c>
      <c r="J21" s="89">
        <f>MRS!J21</f>
        <v>400</v>
      </c>
      <c r="K21" s="90"/>
      <c r="O21" s="91"/>
      <c r="P21" s="91"/>
      <c r="R21" s="91"/>
    </row>
    <row r="22" spans="1:18" ht="105" customHeight="1">
      <c r="A22" s="16">
        <v>17</v>
      </c>
      <c r="B22" s="153" t="str">
        <f>MRS!B22 &amp; MRS!D22</f>
        <v>HAND WIRE BRUSH - CS</v>
      </c>
      <c r="C22" s="154"/>
      <c r="D22" s="155">
        <f>MRS!D36</f>
        <v>0</v>
      </c>
      <c r="E22" s="156"/>
      <c r="F22" s="157"/>
      <c r="G22" s="88" t="str">
        <f>MRS!G22</f>
        <v>EA</v>
      </c>
      <c r="H22" s="88">
        <f>MRS!H22</f>
        <v>36</v>
      </c>
      <c r="I22" s="89">
        <f>MRS!I22</f>
        <v>6.5</v>
      </c>
      <c r="J22" s="89">
        <f>MRS!J22</f>
        <v>234</v>
      </c>
      <c r="K22" s="90"/>
      <c r="O22" s="91"/>
      <c r="P22" s="91"/>
      <c r="R22" s="91"/>
    </row>
    <row r="23" spans="1:18" ht="105" customHeight="1">
      <c r="A23" s="16">
        <v>18</v>
      </c>
      <c r="B23" s="153" t="str">
        <f>MRS!B23 &amp; MRS!D23</f>
        <v>WD 40 (24PCS/BOX)</v>
      </c>
      <c r="C23" s="154"/>
      <c r="D23" s="155">
        <f>MRS!D37</f>
        <v>0</v>
      </c>
      <c r="E23" s="156"/>
      <c r="F23" s="157"/>
      <c r="G23" s="88" t="str">
        <f>MRS!G23</f>
        <v>BOX</v>
      </c>
      <c r="H23" s="88">
        <f>MRS!H23</f>
        <v>16</v>
      </c>
      <c r="I23" s="89">
        <f>MRS!I23</f>
        <v>440</v>
      </c>
      <c r="J23" s="89">
        <f>MRS!J23</f>
        <v>7040</v>
      </c>
      <c r="K23" s="90"/>
      <c r="O23" s="91"/>
      <c r="P23" s="91"/>
      <c r="R23" s="91"/>
    </row>
    <row r="24" spans="1:18" ht="105" customHeight="1">
      <c r="A24" s="16">
        <v>19</v>
      </c>
      <c r="B24" s="153" t="str">
        <f>MRS!B24 &amp; MRS!D24</f>
        <v>COTTON RAGS - MIXED_LQ4</v>
      </c>
      <c r="C24" s="154"/>
      <c r="D24" s="155">
        <f>MRS!D38</f>
        <v>0</v>
      </c>
      <c r="E24" s="156"/>
      <c r="F24" s="157"/>
      <c r="G24" s="88" t="str">
        <f>MRS!G24</f>
        <v>BNDL</v>
      </c>
      <c r="H24" s="88">
        <f>MRS!H24</f>
        <v>15</v>
      </c>
      <c r="I24" s="89">
        <f>MRS!I24</f>
        <v>29</v>
      </c>
      <c r="J24" s="89">
        <f>MRS!J24</f>
        <v>435</v>
      </c>
      <c r="K24" s="90"/>
      <c r="O24" s="91"/>
      <c r="P24" s="91"/>
      <c r="R24" s="91"/>
    </row>
    <row r="25" spans="1:18" ht="105" customHeight="1">
      <c r="A25" s="16">
        <v>20</v>
      </c>
      <c r="B25" s="153" t="str">
        <f>MRS!B25 &amp; MRS!D25</f>
        <v>COTTON RAGS WHITE  100% COTTON HQ1</v>
      </c>
      <c r="C25" s="154"/>
      <c r="D25" s="155">
        <f>MRS!D39</f>
        <v>0</v>
      </c>
      <c r="E25" s="156"/>
      <c r="F25" s="157"/>
      <c r="G25" s="88" t="str">
        <f>MRS!G25</f>
        <v>BNDL</v>
      </c>
      <c r="H25" s="88">
        <f>MRS!H25</f>
        <v>21</v>
      </c>
      <c r="I25" s="89">
        <f>MRS!I25</f>
        <v>88</v>
      </c>
      <c r="J25" s="89">
        <f>MRS!J25</f>
        <v>1848</v>
      </c>
      <c r="K25" s="90"/>
      <c r="O25" s="91"/>
      <c r="P25" s="91"/>
      <c r="R25" s="91"/>
    </row>
    <row r="26" spans="1:18" ht="105" customHeight="1">
      <c r="A26" s="16">
        <v>21</v>
      </c>
      <c r="B26" s="153" t="str">
        <f>MRS!B26 &amp; MRS!D26</f>
        <v>FIRE BLANKET 1MM*50MTR ORANGE</v>
      </c>
      <c r="C26" s="154"/>
      <c r="D26" s="155">
        <f>MRS!D40</f>
        <v>0</v>
      </c>
      <c r="E26" s="156"/>
      <c r="F26" s="157"/>
      <c r="G26" s="88" t="str">
        <f>MRS!G26</f>
        <v>ROLL</v>
      </c>
      <c r="H26" s="88">
        <f>MRS!H26</f>
        <v>50</v>
      </c>
      <c r="I26" s="89">
        <f>MRS!I26</f>
        <v>480</v>
      </c>
      <c r="J26" s="89">
        <f>MRS!J26</f>
        <v>24000</v>
      </c>
      <c r="K26" s="90"/>
      <c r="O26" s="91"/>
      <c r="P26" s="91"/>
      <c r="R26" s="91"/>
    </row>
    <row r="27" spans="1:18" ht="105" customHeight="1">
      <c r="A27" s="16">
        <v>22</v>
      </c>
      <c r="B27" s="153" t="str">
        <f>MRS!B27 &amp; MRS!D27</f>
        <v>PADLOCK 60MM</v>
      </c>
      <c r="C27" s="154"/>
      <c r="D27" s="155">
        <f>MRS!D41</f>
        <v>0</v>
      </c>
      <c r="E27" s="156"/>
      <c r="F27" s="157"/>
      <c r="G27" s="88" t="str">
        <f>MRS!G27</f>
        <v>EA</v>
      </c>
      <c r="H27" s="88">
        <f>MRS!H27</f>
        <v>30</v>
      </c>
      <c r="I27" s="89">
        <f>MRS!I27</f>
        <v>14</v>
      </c>
      <c r="J27" s="89">
        <f>MRS!J27</f>
        <v>420</v>
      </c>
      <c r="K27" s="90"/>
      <c r="O27" s="91"/>
      <c r="P27" s="91"/>
      <c r="R27" s="91"/>
    </row>
    <row r="28" spans="1:18" ht="105" customHeight="1">
      <c r="A28" s="16">
        <v>23</v>
      </c>
      <c r="B28" s="153" t="str">
        <f>MRS!B28 &amp; MRS!D28</f>
        <v>3M PINK FILTER 2091 P100</v>
      </c>
      <c r="C28" s="154"/>
      <c r="D28" s="155">
        <f>MRS!D42</f>
        <v>0</v>
      </c>
      <c r="E28" s="156"/>
      <c r="F28" s="157"/>
      <c r="G28" s="88" t="str">
        <f>MRS!G28</f>
        <v>PAIR</v>
      </c>
      <c r="H28" s="88">
        <f>MRS!H28</f>
        <v>70</v>
      </c>
      <c r="I28" s="89">
        <f>MRS!I28</f>
        <v>34</v>
      </c>
      <c r="J28" s="89">
        <f>MRS!J28</f>
        <v>2380</v>
      </c>
      <c r="K28" s="90"/>
      <c r="O28" s="91"/>
      <c r="P28" s="91"/>
      <c r="R28" s="91"/>
    </row>
    <row r="29" spans="1:18" ht="105" customHeight="1">
      <c r="A29" s="16">
        <v>24</v>
      </c>
      <c r="B29" s="153" t="str">
        <f>MRS!B29 &amp; MRS!D29</f>
        <v>DUST MASK N95 VENUS</v>
      </c>
      <c r="C29" s="154"/>
      <c r="D29" s="155">
        <f>MRS!D43</f>
        <v>0</v>
      </c>
      <c r="E29" s="156"/>
      <c r="F29" s="157"/>
      <c r="G29" s="88" t="str">
        <f>MRS!G29</f>
        <v>PACK</v>
      </c>
      <c r="H29" s="88">
        <f>MRS!H29</f>
        <v>50</v>
      </c>
      <c r="I29" s="89">
        <f>MRS!I29</f>
        <v>38</v>
      </c>
      <c r="J29" s="89">
        <f>MRS!J29</f>
        <v>1900</v>
      </c>
      <c r="K29" s="90"/>
      <c r="O29" s="91"/>
      <c r="P29" s="91"/>
      <c r="R29" s="91"/>
    </row>
    <row r="30" spans="1:18" ht="105" customHeight="1">
      <c r="A30" s="16">
        <v>25</v>
      </c>
      <c r="B30" s="153" t="str">
        <f>MRS!B30 &amp; MRS!D30</f>
        <v>PAINT MARKER BLACK</v>
      </c>
      <c r="C30" s="154"/>
      <c r="D30" s="155">
        <f>MRS!D44</f>
        <v>0</v>
      </c>
      <c r="E30" s="156"/>
      <c r="F30" s="157"/>
      <c r="G30" s="88" t="str">
        <f>MRS!G30</f>
        <v>PACK</v>
      </c>
      <c r="H30" s="88">
        <f>MRS!H30</f>
        <v>34</v>
      </c>
      <c r="I30" s="89">
        <f>MRS!I30</f>
        <v>38</v>
      </c>
      <c r="J30" s="89">
        <f>MRS!J30</f>
        <v>1292</v>
      </c>
      <c r="K30" s="90"/>
      <c r="O30" s="91"/>
      <c r="P30" s="91"/>
      <c r="R30" s="91"/>
    </row>
    <row r="31" spans="1:18" ht="105" customHeight="1">
      <c r="A31" s="16">
        <v>26</v>
      </c>
      <c r="B31" s="153" t="str">
        <f>MRS!B31 &amp; MRS!D31</f>
        <v>PAINT MARKER WHITE (12PCS/PACK)</v>
      </c>
      <c r="C31" s="154"/>
      <c r="D31" s="155">
        <f>MRS!D45</f>
        <v>0</v>
      </c>
      <c r="E31" s="156"/>
      <c r="F31" s="157"/>
      <c r="G31" s="88" t="str">
        <f>MRS!G31</f>
        <v>PACK</v>
      </c>
      <c r="H31" s="88">
        <f>MRS!H31</f>
        <v>34</v>
      </c>
      <c r="I31" s="89">
        <f>MRS!I31</f>
        <v>38</v>
      </c>
      <c r="J31" s="89">
        <f>MRS!J31</f>
        <v>1292</v>
      </c>
      <c r="K31" s="90"/>
      <c r="O31" s="91"/>
      <c r="P31" s="91"/>
      <c r="R31" s="91"/>
    </row>
    <row r="32" spans="1:18" ht="105" customHeight="1">
      <c r="A32" s="16">
        <v>27</v>
      </c>
      <c r="B32" s="153" t="str">
        <f>MRS!B32 &amp; MRS!D32</f>
        <v>ELECTRICAL TAPE 50FT BLACK</v>
      </c>
      <c r="C32" s="154"/>
      <c r="D32" s="155">
        <f>MRS!D46</f>
        <v>0</v>
      </c>
      <c r="E32" s="156"/>
      <c r="F32" s="157"/>
      <c r="G32" s="88" t="str">
        <f>MRS!G32</f>
        <v>ROLL</v>
      </c>
      <c r="H32" s="88">
        <f>MRS!H32</f>
        <v>420</v>
      </c>
      <c r="I32" s="89">
        <f>MRS!I32</f>
        <v>2.5</v>
      </c>
      <c r="J32" s="89">
        <f>MRS!J32</f>
        <v>1050</v>
      </c>
      <c r="K32" s="90"/>
      <c r="O32" s="91"/>
      <c r="P32" s="91"/>
      <c r="R32" s="91"/>
    </row>
    <row r="33" spans="1:18" ht="105" customHeight="1">
      <c r="A33" s="16">
        <v>28</v>
      </c>
      <c r="B33" s="153" t="str">
        <f>MRS!B33 &amp; MRS!D33</f>
        <v>CLEAR TAPE 2" 100YARD (30PCS/BOX) VESTRA</v>
      </c>
      <c r="C33" s="154"/>
      <c r="D33" s="155">
        <f>MRS!D47</f>
        <v>0</v>
      </c>
      <c r="E33" s="156"/>
      <c r="F33" s="157"/>
      <c r="G33" s="88" t="str">
        <f>MRS!G33</f>
        <v>ROLL</v>
      </c>
      <c r="H33" s="88">
        <f>MRS!H33</f>
        <v>132</v>
      </c>
      <c r="I33" s="89">
        <f>MRS!I33</f>
        <v>4</v>
      </c>
      <c r="J33" s="89">
        <f>MRS!J33</f>
        <v>528</v>
      </c>
      <c r="K33" s="90"/>
      <c r="O33" s="91"/>
      <c r="P33" s="91"/>
      <c r="R33" s="91"/>
    </row>
    <row r="34" spans="1:18" ht="105" customHeight="1">
      <c r="A34" s="16">
        <v>29</v>
      </c>
      <c r="B34" s="153" t="str">
        <f>MRS!B34 &amp; MRS!D34</f>
        <v>HACK SAW BLADE SS</v>
      </c>
      <c r="C34" s="154"/>
      <c r="D34" s="155">
        <f>MRS!D48</f>
        <v>0</v>
      </c>
      <c r="E34" s="156"/>
      <c r="F34" s="157"/>
      <c r="G34" s="88" t="str">
        <f>MRS!G34</f>
        <v>EA</v>
      </c>
      <c r="H34" s="88">
        <f>MRS!H34</f>
        <v>660</v>
      </c>
      <c r="I34" s="89">
        <f>MRS!I34</f>
        <v>4.5</v>
      </c>
      <c r="J34" s="89">
        <f>MRS!J34</f>
        <v>2970</v>
      </c>
      <c r="K34" s="90"/>
      <c r="O34" s="91"/>
      <c r="P34" s="91"/>
      <c r="R34" s="91"/>
    </row>
    <row r="35" spans="1:18" ht="105" customHeight="1">
      <c r="A35" s="16">
        <v>30</v>
      </c>
      <c r="B35" s="153" t="str">
        <f>MRS!B35 &amp; MRS!D35</f>
        <v>SAND BAG 100*60 BIG</v>
      </c>
      <c r="C35" s="154"/>
      <c r="D35" s="155">
        <f>MRS!D49</f>
        <v>0</v>
      </c>
      <c r="E35" s="156"/>
      <c r="F35" s="157"/>
      <c r="G35" s="88" t="str">
        <f>MRS!G35</f>
        <v>PCS</v>
      </c>
      <c r="H35" s="88">
        <f>MRS!H35</f>
        <v>2500</v>
      </c>
      <c r="I35" s="89">
        <f>MRS!I35</f>
        <v>3</v>
      </c>
      <c r="J35" s="89">
        <f>MRS!J35</f>
        <v>7500</v>
      </c>
      <c r="K35" s="90"/>
      <c r="O35" s="91"/>
      <c r="P35" s="91"/>
      <c r="R35" s="91"/>
    </row>
    <row r="36" spans="1:18" ht="105" customHeight="1">
      <c r="A36" s="16">
        <v>31</v>
      </c>
      <c r="B36" s="153" t="str">
        <f>MRS!B36 &amp; MRS!D36</f>
        <v>DISPOSABLE COVERALL #XL</v>
      </c>
      <c r="C36" s="154"/>
      <c r="D36" s="155">
        <f>MRS!D50</f>
        <v>0</v>
      </c>
      <c r="E36" s="156"/>
      <c r="F36" s="157"/>
      <c r="G36" s="88" t="str">
        <f>MRS!G36</f>
        <v>PCS</v>
      </c>
      <c r="H36" s="88">
        <f>MRS!H36</f>
        <v>400</v>
      </c>
      <c r="I36" s="89">
        <f>MRS!I36</f>
        <v>4.5</v>
      </c>
      <c r="J36" s="89">
        <f>MRS!J36</f>
        <v>1800</v>
      </c>
      <c r="K36" s="90"/>
      <c r="O36" s="91"/>
      <c r="P36" s="91"/>
      <c r="R36" s="91"/>
    </row>
    <row r="37" spans="1:18" ht="105" customHeight="1">
      <c r="A37" s="16">
        <v>32</v>
      </c>
      <c r="B37" s="153" t="str">
        <f>MRS!B37 &amp; MRS!D37</f>
        <v>ORANGE COATED GLOVES</v>
      </c>
      <c r="C37" s="154"/>
      <c r="D37" s="155">
        <f>MRS!D51</f>
        <v>0</v>
      </c>
      <c r="E37" s="156"/>
      <c r="F37" s="157"/>
      <c r="G37" s="88" t="str">
        <f>MRS!G37</f>
        <v>PAIR</v>
      </c>
      <c r="H37" s="88">
        <f>MRS!H37</f>
        <v>19750</v>
      </c>
      <c r="I37" s="89">
        <f>MRS!I37</f>
        <v>1.4</v>
      </c>
      <c r="J37" s="89">
        <f>MRS!J37</f>
        <v>27650</v>
      </c>
      <c r="K37" s="90"/>
      <c r="O37" s="91"/>
      <c r="P37" s="91"/>
      <c r="R37" s="91"/>
    </row>
    <row r="38" spans="1:18" ht="105" customHeight="1">
      <c r="A38" s="16">
        <v>33</v>
      </c>
      <c r="B38" s="153" t="str">
        <f>MRS!B38 &amp; MRS!D38</f>
        <v>PAINT MARKER BLACK</v>
      </c>
      <c r="C38" s="154"/>
      <c r="D38" s="155">
        <f>MRS!D52</f>
        <v>0</v>
      </c>
      <c r="E38" s="156"/>
      <c r="F38" s="157"/>
      <c r="G38" s="88" t="str">
        <f>MRS!G38</f>
        <v>PACK</v>
      </c>
      <c r="H38" s="88">
        <f>MRS!H38</f>
        <v>40</v>
      </c>
      <c r="I38" s="89">
        <f>MRS!I38</f>
        <v>38</v>
      </c>
      <c r="J38" s="89">
        <f>MRS!J38</f>
        <v>1520</v>
      </c>
      <c r="K38" s="90"/>
      <c r="O38" s="91"/>
      <c r="P38" s="91"/>
      <c r="R38" s="91"/>
    </row>
    <row r="39" spans="1:18" ht="105" customHeight="1">
      <c r="A39" s="16">
        <v>34</v>
      </c>
      <c r="B39" s="153" t="str">
        <f>MRS!B39 &amp; MRS!D39</f>
        <v>LOW CHLORIDE MARKER BLUE</v>
      </c>
      <c r="C39" s="154"/>
      <c r="D39" s="155">
        <f>MRS!D53</f>
        <v>0</v>
      </c>
      <c r="E39" s="156"/>
      <c r="F39" s="157"/>
      <c r="G39" s="88" t="str">
        <f>MRS!G39</f>
        <v>EA</v>
      </c>
      <c r="H39" s="88">
        <f>MRS!H39</f>
        <v>120</v>
      </c>
      <c r="I39" s="89">
        <f>MRS!I39</f>
        <v>18</v>
      </c>
      <c r="J39" s="89">
        <f>MRS!J39</f>
        <v>2160</v>
      </c>
      <c r="K39" s="90"/>
      <c r="O39" s="91"/>
      <c r="P39" s="91"/>
      <c r="R39" s="91"/>
    </row>
    <row r="40" spans="1:18" ht="105" customHeight="1">
      <c r="A40" s="16">
        <v>35</v>
      </c>
      <c r="B40" s="153" t="str">
        <f>MRS!B40 &amp; MRS!D40</f>
        <v>MASKING TAPE 2'' 30 YARD (24ROLL/BOX)</v>
      </c>
      <c r="C40" s="154"/>
      <c r="D40" s="155">
        <f>MRS!D54</f>
        <v>0</v>
      </c>
      <c r="E40" s="156"/>
      <c r="F40" s="157"/>
      <c r="G40" s="88" t="str">
        <f>MRS!G40</f>
        <v>BOX</v>
      </c>
      <c r="H40" s="88">
        <f>MRS!H40</f>
        <v>23</v>
      </c>
      <c r="I40" s="89">
        <f>MRS!I40</f>
        <v>75</v>
      </c>
      <c r="J40" s="89">
        <f>MRS!J40</f>
        <v>1725</v>
      </c>
      <c r="K40" s="90"/>
      <c r="O40" s="91"/>
      <c r="P40" s="91"/>
      <c r="R40" s="91"/>
    </row>
    <row r="41" spans="1:18" ht="105" customHeight="1">
      <c r="A41" s="16">
        <v>36</v>
      </c>
      <c r="B41" s="153" t="str">
        <f>MRS!B41 &amp; MRS!D41</f>
        <v>SPRAY PAINT WHITE (12PCS/BOX)</v>
      </c>
      <c r="C41" s="154"/>
      <c r="D41" s="155">
        <f>MRS!D55</f>
        <v>0</v>
      </c>
      <c r="E41" s="156"/>
      <c r="F41" s="157"/>
      <c r="G41" s="88" t="str">
        <f>MRS!G41</f>
        <v>PCS</v>
      </c>
      <c r="H41" s="88">
        <f>MRS!H41</f>
        <v>24</v>
      </c>
      <c r="I41" s="89">
        <f>MRS!I41</f>
        <v>6</v>
      </c>
      <c r="J41" s="89">
        <f>MRS!J41</f>
        <v>144</v>
      </c>
      <c r="K41" s="90"/>
      <c r="O41" s="91"/>
      <c r="P41" s="91"/>
      <c r="R41" s="91"/>
    </row>
    <row r="42" spans="1:18" ht="105" customHeight="1">
      <c r="A42" s="16">
        <v>37</v>
      </c>
      <c r="B42" s="153" t="str">
        <f>MRS!B42 &amp; MRS!D42</f>
        <v>CABLE TIE 300*4.8MM</v>
      </c>
      <c r="C42" s="154"/>
      <c r="D42" s="155">
        <f>MRS!D56</f>
        <v>0</v>
      </c>
      <c r="E42" s="156"/>
      <c r="F42" s="157"/>
      <c r="G42" s="88" t="str">
        <f>MRS!G42</f>
        <v>PACK</v>
      </c>
      <c r="H42" s="88">
        <f>MRS!H42</f>
        <v>50</v>
      </c>
      <c r="I42" s="89">
        <f>MRS!I42</f>
        <v>14</v>
      </c>
      <c r="J42" s="89">
        <f>MRS!J42</f>
        <v>700</v>
      </c>
      <c r="K42" s="90"/>
      <c r="O42" s="91"/>
      <c r="P42" s="91"/>
      <c r="R42" s="91"/>
    </row>
    <row r="43" spans="1:18" ht="105" customHeight="1">
      <c r="A43" s="16">
        <v>38</v>
      </c>
      <c r="B43" s="153" t="str">
        <f>MRS!B43 &amp; MRS!D43</f>
        <v>CD MARKER BLUE</v>
      </c>
      <c r="C43" s="154"/>
      <c r="D43" s="155">
        <f>MRS!D57</f>
        <v>0</v>
      </c>
      <c r="E43" s="156"/>
      <c r="F43" s="157"/>
      <c r="G43" s="88" t="str">
        <f>MRS!G43</f>
        <v>PACK</v>
      </c>
      <c r="H43" s="88">
        <f>MRS!H43</f>
        <v>6</v>
      </c>
      <c r="I43" s="89">
        <f>MRS!I43</f>
        <v>65</v>
      </c>
      <c r="J43" s="89">
        <f>MRS!J43</f>
        <v>390</v>
      </c>
      <c r="K43" s="90"/>
      <c r="O43" s="91"/>
      <c r="P43" s="91"/>
      <c r="R43" s="91"/>
    </row>
    <row r="44" spans="1:18" ht="105" customHeight="1">
      <c r="A44" s="16">
        <v>39</v>
      </c>
      <c r="B44" s="153" t="str">
        <f>MRS!B44 &amp; MRS!D44</f>
        <v>PAINT BRUSH 3" (12PCS/BOX)</v>
      </c>
      <c r="C44" s="154"/>
      <c r="D44" s="155">
        <f>MRS!D58</f>
        <v>0</v>
      </c>
      <c r="E44" s="156"/>
      <c r="F44" s="157"/>
      <c r="G44" s="88" t="str">
        <f>MRS!G44</f>
        <v>PCS</v>
      </c>
      <c r="H44" s="88">
        <f>MRS!H44</f>
        <v>24</v>
      </c>
      <c r="I44" s="89">
        <f>MRS!I44</f>
        <v>4</v>
      </c>
      <c r="J44" s="89">
        <f>MRS!J44</f>
        <v>96</v>
      </c>
      <c r="K44" s="90"/>
      <c r="O44" s="91"/>
      <c r="P44" s="91"/>
      <c r="R44" s="91"/>
    </row>
    <row r="45" spans="1:18" ht="21" customHeight="1">
      <c r="A45" s="16">
        <v>52</v>
      </c>
    </row>
    <row r="46" spans="1:18" ht="21" customHeight="1">
      <c r="A46" s="16">
        <v>53</v>
      </c>
    </row>
    <row r="47" spans="1:18" ht="21" customHeight="1">
      <c r="A47" s="16">
        <v>54</v>
      </c>
    </row>
    <row r="48" spans="1:18" ht="21" customHeight="1">
      <c r="A48" s="16">
        <v>55</v>
      </c>
    </row>
    <row r="49" spans="1:1" ht="21" customHeight="1">
      <c r="A49" s="16">
        <v>56</v>
      </c>
    </row>
    <row r="50" spans="1:1" ht="21" customHeight="1">
      <c r="A50" s="16">
        <v>57</v>
      </c>
    </row>
    <row r="51" spans="1:1" ht="21" customHeight="1">
      <c r="A51" s="16">
        <v>58</v>
      </c>
    </row>
    <row r="52" spans="1:1" ht="21" customHeight="1">
      <c r="A52" s="16">
        <v>59</v>
      </c>
    </row>
    <row r="53" spans="1:1" ht="21" customHeight="1">
      <c r="A53" s="16">
        <v>60</v>
      </c>
    </row>
    <row r="54" spans="1:1" ht="21" customHeight="1">
      <c r="A54" s="16">
        <v>61</v>
      </c>
    </row>
    <row r="55" spans="1:1" ht="21" customHeight="1">
      <c r="A55" s="16">
        <v>62</v>
      </c>
    </row>
    <row r="56" spans="1:1" ht="21" customHeight="1">
      <c r="A56" s="16">
        <v>63</v>
      </c>
    </row>
  </sheetData>
  <mergeCells count="88">
    <mergeCell ref="D40:F40"/>
    <mergeCell ref="D41:F41"/>
    <mergeCell ref="D42:F42"/>
    <mergeCell ref="D43:F43"/>
    <mergeCell ref="D44:F44"/>
    <mergeCell ref="D35:F35"/>
    <mergeCell ref="D36:F36"/>
    <mergeCell ref="D37:F37"/>
    <mergeCell ref="D38:F38"/>
    <mergeCell ref="D39:F39"/>
    <mergeCell ref="D30:F30"/>
    <mergeCell ref="D31:F31"/>
    <mergeCell ref="D32:F32"/>
    <mergeCell ref="D33:F33"/>
    <mergeCell ref="D34:F34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B43:C43"/>
    <mergeCell ref="B44:C44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H35" sqref="H35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6.5703125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95</v>
      </c>
    </row>
    <row r="3" spans="2:13" s="17" customFormat="1">
      <c r="M3" s="19" t="s">
        <v>16</v>
      </c>
    </row>
    <row r="4" spans="2:13" s="17" customFormat="1">
      <c r="M4" s="19" t="s">
        <v>17</v>
      </c>
    </row>
    <row r="5" spans="2:13" s="17" customFormat="1">
      <c r="B5" s="20" t="s">
        <v>18</v>
      </c>
      <c r="M5" s="19" t="s">
        <v>19</v>
      </c>
    </row>
    <row r="6" spans="2:13" s="17" customFormat="1">
      <c r="M6" s="19" t="s">
        <v>20</v>
      </c>
    </row>
    <row r="7" spans="2:13">
      <c r="M7" s="22"/>
    </row>
    <row r="8" spans="2:13">
      <c r="M8" s="22"/>
    </row>
    <row r="9" spans="2:13" s="68" customFormat="1" ht="13.5">
      <c r="B9" s="66" t="s">
        <v>21</v>
      </c>
      <c r="C9" s="67" t="s">
        <v>94</v>
      </c>
      <c r="D9" s="33"/>
      <c r="E9" s="33"/>
    </row>
    <row r="10" spans="2:13" s="33" customFormat="1">
      <c r="B10" s="66"/>
      <c r="C10" s="33" t="s">
        <v>22</v>
      </c>
      <c r="D10" s="70" t="s">
        <v>89</v>
      </c>
      <c r="J10" s="33" t="s">
        <v>23</v>
      </c>
      <c r="K10" s="161">
        <f>MRS!L3</f>
        <v>46319</v>
      </c>
      <c r="L10" s="162"/>
      <c r="M10" s="162"/>
    </row>
    <row r="11" spans="2:13" s="33" customFormat="1">
      <c r="B11" s="66"/>
      <c r="C11" s="69" t="s">
        <v>24</v>
      </c>
      <c r="D11" s="70" t="s">
        <v>88</v>
      </c>
      <c r="J11" s="33" t="s">
        <v>25</v>
      </c>
      <c r="K11" s="163" t="str">
        <f>SUBSTITUTE(SUBSTITUTE(+MRS!A3,"  MRS No : ",""),"-MRS","-PO")</f>
        <v>SAC2-DS-PO-0500</v>
      </c>
      <c r="L11" s="163"/>
      <c r="M11" s="163"/>
    </row>
    <row r="12" spans="2:13" s="33" customFormat="1">
      <c r="B12" s="66"/>
      <c r="C12" s="69" t="s">
        <v>26</v>
      </c>
      <c r="D12" s="33" t="s">
        <v>90</v>
      </c>
      <c r="J12" s="33" t="s">
        <v>27</v>
      </c>
    </row>
    <row r="13" spans="2:13" s="33" customFormat="1">
      <c r="B13" s="66"/>
      <c r="C13" s="71"/>
      <c r="D13" s="70" t="s">
        <v>91</v>
      </c>
      <c r="J13" s="33" t="s">
        <v>28</v>
      </c>
    </row>
    <row r="14" spans="2:13" s="33" customFormat="1">
      <c r="B14" s="66"/>
      <c r="C14" s="71" t="s">
        <v>92</v>
      </c>
      <c r="J14" s="33" t="s">
        <v>29</v>
      </c>
      <c r="K14" s="33" t="s">
        <v>127</v>
      </c>
    </row>
    <row r="15" spans="2:13" s="33" customFormat="1">
      <c r="B15" s="66"/>
      <c r="C15" s="71" t="s">
        <v>93</v>
      </c>
      <c r="J15" s="33" t="s">
        <v>30</v>
      </c>
      <c r="K15" s="72">
        <v>46312</v>
      </c>
    </row>
    <row r="16" spans="2:13" s="33" customFormat="1">
      <c r="C16" s="71"/>
      <c r="K16" s="72"/>
    </row>
    <row r="17" spans="2:13" ht="6" customHeight="1">
      <c r="C17" s="24"/>
      <c r="K17" s="25"/>
    </row>
    <row r="18" spans="2:13" ht="20.25">
      <c r="B18" s="164" t="s">
        <v>31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26" customFormat="1" ht="12" customHeight="1">
      <c r="B20" s="165" t="s">
        <v>32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26" customFormat="1" ht="12" customHeight="1">
      <c r="B21" s="165" t="s">
        <v>33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26" customFormat="1" ht="12" customHeight="1">
      <c r="B22" s="165" t="s">
        <v>34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6.9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27" customFormat="1" ht="10.5" customHeight="1">
      <c r="B25" s="27">
        <v>1</v>
      </c>
      <c r="C25" s="27" t="s">
        <v>35</v>
      </c>
    </row>
    <row r="26" spans="2:13" s="33" customFormat="1" ht="10.5" customHeight="1">
      <c r="B26" s="67"/>
      <c r="C26" s="70" t="str">
        <f>MRS!B6</f>
        <v>3M HALF FACE MASK - 6200</v>
      </c>
      <c r="M26" s="73" t="s">
        <v>36</v>
      </c>
    </row>
    <row r="27" spans="2:13" ht="10.5" customHeight="1">
      <c r="B27" s="27"/>
    </row>
    <row r="28" spans="2:13" ht="10.5" customHeight="1">
      <c r="B28" s="27">
        <v>2</v>
      </c>
      <c r="C28" s="27" t="s">
        <v>37</v>
      </c>
    </row>
    <row r="29" spans="2:13" ht="10.5" customHeight="1">
      <c r="B29" s="27"/>
      <c r="C29" s="21" t="s">
        <v>38</v>
      </c>
      <c r="E29" s="21" t="s">
        <v>39</v>
      </c>
      <c r="F29" s="94">
        <f>'PO 2nd page'!G45</f>
        <v>124889.5</v>
      </c>
      <c r="G29" s="94"/>
      <c r="H29" s="94"/>
      <c r="M29" s="28"/>
    </row>
    <row r="30" spans="2:13" ht="10.5" customHeight="1">
      <c r="B30" s="27"/>
      <c r="C30" s="21" t="s">
        <v>40</v>
      </c>
      <c r="E30" s="21" t="s">
        <v>39</v>
      </c>
      <c r="F30" s="94">
        <f>'PO 2nd page'!G46</f>
        <v>18733.424999999999</v>
      </c>
      <c r="G30" s="94"/>
      <c r="H30" s="94"/>
    </row>
    <row r="31" spans="2:13" ht="10.5" customHeight="1">
      <c r="B31" s="27"/>
      <c r="C31" s="21" t="s">
        <v>41</v>
      </c>
      <c r="D31" s="29"/>
      <c r="E31" s="21" t="s">
        <v>39</v>
      </c>
      <c r="F31" s="94">
        <f>'PO 2nd page'!G47</f>
        <v>143622.92499999999</v>
      </c>
      <c r="G31" s="94"/>
      <c r="H31" s="94"/>
    </row>
    <row r="32" spans="2:13" ht="10.5" customHeight="1">
      <c r="B32" s="27"/>
    </row>
    <row r="33" spans="2:13" ht="10.5" customHeight="1">
      <c r="B33" s="27">
        <v>3</v>
      </c>
      <c r="C33" s="27" t="s">
        <v>42</v>
      </c>
    </row>
    <row r="34" spans="2:13" ht="10.5" customHeight="1">
      <c r="B34" s="27"/>
      <c r="C34" s="17" t="s">
        <v>43</v>
      </c>
    </row>
    <row r="35" spans="2:13" ht="10.5" customHeight="1">
      <c r="B35" s="27"/>
      <c r="C35" s="17" t="s">
        <v>44</v>
      </c>
    </row>
    <row r="36" spans="2:13" ht="10.5" customHeight="1">
      <c r="B36" s="27"/>
      <c r="C36" s="17" t="s">
        <v>45</v>
      </c>
    </row>
    <row r="37" spans="2:13" ht="10.5" customHeight="1">
      <c r="B37" s="27"/>
    </row>
    <row r="38" spans="2:13" ht="10.5" customHeight="1">
      <c r="B38" s="27">
        <v>4</v>
      </c>
      <c r="C38" s="27" t="s">
        <v>46</v>
      </c>
    </row>
    <row r="39" spans="2:13" ht="10.5" customHeight="1">
      <c r="B39" s="27"/>
      <c r="C39" s="21" t="s">
        <v>47</v>
      </c>
    </row>
    <row r="40" spans="2:13" ht="10.5" customHeight="1">
      <c r="B40" s="27"/>
    </row>
    <row r="41" spans="2:13" ht="10.5" customHeight="1">
      <c r="B41" s="27">
        <v>5</v>
      </c>
      <c r="C41" s="27" t="s">
        <v>48</v>
      </c>
    </row>
    <row r="42" spans="2:13" ht="10.5" customHeight="1">
      <c r="B42" s="27"/>
      <c r="C42" s="30" t="s">
        <v>49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0.5" customHeight="1">
      <c r="B43" s="27"/>
      <c r="C43" s="30" t="s">
        <v>50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0.5" customHeight="1">
      <c r="B44" s="27"/>
      <c r="C44" s="30" t="s">
        <v>51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0.5" customHeight="1">
      <c r="B45" s="27"/>
      <c r="C45" s="30" t="s">
        <v>52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0.5" customHeight="1">
      <c r="B46" s="27"/>
      <c r="C46" s="33" t="s">
        <v>53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10.5" customHeight="1">
      <c r="B47" s="27"/>
    </row>
    <row r="48" spans="2:13" ht="10.5" customHeight="1">
      <c r="B48" s="27">
        <v>6</v>
      </c>
      <c r="C48" s="27" t="s">
        <v>54</v>
      </c>
    </row>
    <row r="49" spans="2:16" s="33" customFormat="1" ht="10.5" customHeight="1">
      <c r="B49" s="74" t="s">
        <v>55</v>
      </c>
      <c r="C49" s="75" t="s">
        <v>87</v>
      </c>
      <c r="P49" s="76"/>
    </row>
    <row r="50" spans="2:16" s="77" customFormat="1" ht="10.5" customHeight="1">
      <c r="B50" s="78" t="s">
        <v>55</v>
      </c>
      <c r="C50" s="75" t="s">
        <v>81</v>
      </c>
    </row>
    <row r="51" spans="2:16" s="77" customFormat="1" ht="10.5" customHeight="1">
      <c r="B51" s="78" t="s">
        <v>55</v>
      </c>
      <c r="C51" s="75" t="s">
        <v>80</v>
      </c>
    </row>
    <row r="52" spans="2:16" s="77" customFormat="1" ht="10.5" customHeight="1">
      <c r="B52" s="78"/>
      <c r="C52" s="75"/>
    </row>
    <row r="53" spans="2:16" ht="10.5" customHeight="1">
      <c r="B53" s="36">
        <v>7</v>
      </c>
      <c r="C53" s="27" t="s">
        <v>111</v>
      </c>
    </row>
    <row r="54" spans="2:16" ht="10.5" customHeight="1">
      <c r="B54" s="78" t="s">
        <v>55</v>
      </c>
      <c r="C54" s="105" t="s">
        <v>112</v>
      </c>
      <c r="F54" s="21" t="s">
        <v>125</v>
      </c>
      <c r="P54" s="21" t="str">
        <f>UPPER(F54)</f>
        <v>FORTUNE ARABIA BANK COMPANY</v>
      </c>
    </row>
    <row r="55" spans="2:16" ht="10.5" customHeight="1">
      <c r="B55" s="78" t="s">
        <v>55</v>
      </c>
      <c r="C55" s="105" t="s">
        <v>113</v>
      </c>
      <c r="F55" s="106" t="s">
        <v>124</v>
      </c>
    </row>
    <row r="56" spans="2:16" ht="10.5" customHeight="1">
      <c r="B56" s="78" t="s">
        <v>55</v>
      </c>
      <c r="C56" s="105" t="s">
        <v>114</v>
      </c>
      <c r="F56" s="106" t="s">
        <v>121</v>
      </c>
    </row>
    <row r="57" spans="2:16" ht="10.5" customHeight="1">
      <c r="B57" s="78" t="s">
        <v>55</v>
      </c>
      <c r="C57" s="105" t="s">
        <v>115</v>
      </c>
      <c r="F57" s="21" t="s">
        <v>122</v>
      </c>
    </row>
    <row r="58" spans="2:16" ht="10.5" customHeight="1">
      <c r="B58" s="78" t="s">
        <v>55</v>
      </c>
      <c r="C58" s="105" t="s">
        <v>116</v>
      </c>
      <c r="F58" s="21" t="s">
        <v>123</v>
      </c>
    </row>
    <row r="59" spans="2:16" ht="10.5" customHeight="1">
      <c r="B59" s="78" t="s">
        <v>55</v>
      </c>
      <c r="C59" s="105" t="s">
        <v>117</v>
      </c>
      <c r="F59" s="21" t="s">
        <v>118</v>
      </c>
    </row>
    <row r="60" spans="2:16" ht="10.5" customHeight="1">
      <c r="B60" s="78"/>
      <c r="C60" s="105" t="s">
        <v>119</v>
      </c>
    </row>
    <row r="61" spans="2:16" ht="11.1" hidden="1" customHeight="1">
      <c r="B61" s="36"/>
    </row>
    <row r="62" spans="2:16" ht="3" customHeight="1">
      <c r="B62" s="37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spans="2:16" ht="3" customHeight="1">
      <c r="B63" s="27"/>
    </row>
    <row r="64" spans="2:16" ht="11.1" customHeight="1">
      <c r="B64" s="36"/>
    </row>
    <row r="65" spans="1:13">
      <c r="B65" s="27" t="s">
        <v>56</v>
      </c>
      <c r="J65" s="27" t="s">
        <v>57</v>
      </c>
    </row>
    <row r="66" spans="1:13" ht="50.1" customHeight="1"/>
    <row r="67" spans="1:13" ht="18" customHeight="1">
      <c r="B67" s="21" t="s">
        <v>58</v>
      </c>
      <c r="J67" s="21" t="s">
        <v>58</v>
      </c>
    </row>
    <row r="68" spans="1:13" ht="18" customHeight="1">
      <c r="B68" s="21" t="s">
        <v>59</v>
      </c>
      <c r="J68" s="21" t="s">
        <v>60</v>
      </c>
      <c r="K68" s="17" t="str">
        <f>D12</f>
        <v>Abdul Hafeez</v>
      </c>
    </row>
    <row r="69" spans="1:13" ht="18" customHeight="1">
      <c r="B69" s="21" t="s">
        <v>61</v>
      </c>
      <c r="J69" s="21" t="s">
        <v>62</v>
      </c>
      <c r="K69" s="17" t="s">
        <v>85</v>
      </c>
    </row>
    <row r="70" spans="1:13" ht="15" customHeight="1">
      <c r="B70" s="21" t="s">
        <v>63</v>
      </c>
      <c r="J70" s="21" t="s">
        <v>64</v>
      </c>
    </row>
    <row r="71" spans="1:13" s="23" customFormat="1" ht="24.75" customHeight="1">
      <c r="B71" s="20" t="s">
        <v>96</v>
      </c>
      <c r="J71" s="168" t="str">
        <f>C9</f>
        <v>FATC(fortune Arabia Trading Company)</v>
      </c>
      <c r="K71" s="168"/>
      <c r="L71" s="168"/>
      <c r="M71" s="168"/>
    </row>
    <row r="72" spans="1:13" ht="27.95" customHeight="1">
      <c r="A72" s="160" t="s">
        <v>65</v>
      </c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  <row r="95" spans="2:2">
      <c r="B95" s="27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4" max="12" man="1"/>
  </rowBreaks>
  <colBreaks count="1" manualBreakCount="1">
    <brk id="5" max="7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5"/>
  <sheetViews>
    <sheetView showGridLines="0" view="pageBreakPreview" topLeftCell="A37" zoomScaleSheetLayoutView="100" zoomScalePageLayoutView="55" workbookViewId="0">
      <selection activeCell="N17" sqref="N17"/>
    </sheetView>
  </sheetViews>
  <sheetFormatPr defaultColWidth="9" defaultRowHeight="12.75"/>
  <cols>
    <col min="1" max="1" width="8.5703125" style="39" customWidth="1"/>
    <col min="2" max="2" width="25.5703125" style="40" customWidth="1"/>
    <col min="3" max="3" width="23.5703125" style="40" customWidth="1"/>
    <col min="4" max="4" width="8.5703125" style="39" customWidth="1"/>
    <col min="5" max="5" width="13.5703125" style="39" customWidth="1"/>
    <col min="6" max="6" width="15.5703125" style="39" customWidth="1"/>
    <col min="7" max="8" width="17.140625" style="39" customWidth="1"/>
    <col min="9" max="9" width="0.85546875" style="39" customWidth="1"/>
    <col min="10" max="251" width="9" style="39"/>
    <col min="252" max="252" width="8.7109375" style="39" customWidth="1"/>
    <col min="253" max="253" width="45.140625" style="39" customWidth="1"/>
    <col min="254" max="254" width="13.28515625" style="39" customWidth="1"/>
    <col min="255" max="255" width="9.42578125" style="39" customWidth="1"/>
    <col min="256" max="256" width="6.42578125" style="39" customWidth="1"/>
    <col min="257" max="257" width="11.5703125" style="39" customWidth="1"/>
    <col min="258" max="258" width="12.85546875" style="39" bestFit="1" customWidth="1"/>
    <col min="259" max="259" width="25.5703125" style="39" customWidth="1"/>
    <col min="260" max="507" width="9" style="39"/>
    <col min="508" max="508" width="8.7109375" style="39" customWidth="1"/>
    <col min="509" max="509" width="45.140625" style="39" customWidth="1"/>
    <col min="510" max="510" width="13.28515625" style="39" customWidth="1"/>
    <col min="511" max="511" width="9.42578125" style="39" customWidth="1"/>
    <col min="512" max="512" width="6.42578125" style="39" customWidth="1"/>
    <col min="513" max="513" width="11.5703125" style="39" customWidth="1"/>
    <col min="514" max="514" width="12.85546875" style="39" bestFit="1" customWidth="1"/>
    <col min="515" max="515" width="25.5703125" style="39" customWidth="1"/>
    <col min="516" max="763" width="9" style="39"/>
    <col min="764" max="764" width="8.7109375" style="39" customWidth="1"/>
    <col min="765" max="765" width="45.140625" style="39" customWidth="1"/>
    <col min="766" max="766" width="13.28515625" style="39" customWidth="1"/>
    <col min="767" max="767" width="9.42578125" style="39" customWidth="1"/>
    <col min="768" max="768" width="6.42578125" style="39" customWidth="1"/>
    <col min="769" max="769" width="11.5703125" style="39" customWidth="1"/>
    <col min="770" max="770" width="12.85546875" style="39" bestFit="1" customWidth="1"/>
    <col min="771" max="771" width="25.5703125" style="39" customWidth="1"/>
    <col min="772" max="1019" width="9" style="39"/>
    <col min="1020" max="1020" width="8.7109375" style="39" customWidth="1"/>
    <col min="1021" max="1021" width="45.140625" style="39" customWidth="1"/>
    <col min="1022" max="1022" width="13.28515625" style="39" customWidth="1"/>
    <col min="1023" max="1023" width="9.42578125" style="39" customWidth="1"/>
    <col min="1024" max="1024" width="6.42578125" style="39" customWidth="1"/>
    <col min="1025" max="1025" width="11.5703125" style="39" customWidth="1"/>
    <col min="1026" max="1026" width="12.85546875" style="39" bestFit="1" customWidth="1"/>
    <col min="1027" max="1027" width="25.5703125" style="39" customWidth="1"/>
    <col min="1028" max="1275" width="9" style="39"/>
    <col min="1276" max="1276" width="8.7109375" style="39" customWidth="1"/>
    <col min="1277" max="1277" width="45.140625" style="39" customWidth="1"/>
    <col min="1278" max="1278" width="13.28515625" style="39" customWidth="1"/>
    <col min="1279" max="1279" width="9.42578125" style="39" customWidth="1"/>
    <col min="1280" max="1280" width="6.42578125" style="39" customWidth="1"/>
    <col min="1281" max="1281" width="11.5703125" style="39" customWidth="1"/>
    <col min="1282" max="1282" width="12.85546875" style="39" bestFit="1" customWidth="1"/>
    <col min="1283" max="1283" width="25.5703125" style="39" customWidth="1"/>
    <col min="1284" max="1531" width="9" style="39"/>
    <col min="1532" max="1532" width="8.7109375" style="39" customWidth="1"/>
    <col min="1533" max="1533" width="45.140625" style="39" customWidth="1"/>
    <col min="1534" max="1534" width="13.28515625" style="39" customWidth="1"/>
    <col min="1535" max="1535" width="9.42578125" style="39" customWidth="1"/>
    <col min="1536" max="1536" width="6.42578125" style="39" customWidth="1"/>
    <col min="1537" max="1537" width="11.5703125" style="39" customWidth="1"/>
    <col min="1538" max="1538" width="12.85546875" style="39" bestFit="1" customWidth="1"/>
    <col min="1539" max="1539" width="25.5703125" style="39" customWidth="1"/>
    <col min="1540" max="1787" width="9" style="39"/>
    <col min="1788" max="1788" width="8.7109375" style="39" customWidth="1"/>
    <col min="1789" max="1789" width="45.140625" style="39" customWidth="1"/>
    <col min="1790" max="1790" width="13.28515625" style="39" customWidth="1"/>
    <col min="1791" max="1791" width="9.42578125" style="39" customWidth="1"/>
    <col min="1792" max="1792" width="6.42578125" style="39" customWidth="1"/>
    <col min="1793" max="1793" width="11.5703125" style="39" customWidth="1"/>
    <col min="1794" max="1794" width="12.85546875" style="39" bestFit="1" customWidth="1"/>
    <col min="1795" max="1795" width="25.5703125" style="39" customWidth="1"/>
    <col min="1796" max="2043" width="9" style="39"/>
    <col min="2044" max="2044" width="8.7109375" style="39" customWidth="1"/>
    <col min="2045" max="2045" width="45.140625" style="39" customWidth="1"/>
    <col min="2046" max="2046" width="13.28515625" style="39" customWidth="1"/>
    <col min="2047" max="2047" width="9.42578125" style="39" customWidth="1"/>
    <col min="2048" max="2048" width="6.42578125" style="39" customWidth="1"/>
    <col min="2049" max="2049" width="11.5703125" style="39" customWidth="1"/>
    <col min="2050" max="2050" width="12.85546875" style="39" bestFit="1" customWidth="1"/>
    <col min="2051" max="2051" width="25.5703125" style="39" customWidth="1"/>
    <col min="2052" max="2299" width="9" style="39"/>
    <col min="2300" max="2300" width="8.7109375" style="39" customWidth="1"/>
    <col min="2301" max="2301" width="45.140625" style="39" customWidth="1"/>
    <col min="2302" max="2302" width="13.28515625" style="39" customWidth="1"/>
    <col min="2303" max="2303" width="9.42578125" style="39" customWidth="1"/>
    <col min="2304" max="2304" width="6.42578125" style="39" customWidth="1"/>
    <col min="2305" max="2305" width="11.5703125" style="39" customWidth="1"/>
    <col min="2306" max="2306" width="12.85546875" style="39" bestFit="1" customWidth="1"/>
    <col min="2307" max="2307" width="25.5703125" style="39" customWidth="1"/>
    <col min="2308" max="2555" width="9" style="39"/>
    <col min="2556" max="2556" width="8.7109375" style="39" customWidth="1"/>
    <col min="2557" max="2557" width="45.140625" style="39" customWidth="1"/>
    <col min="2558" max="2558" width="13.28515625" style="39" customWidth="1"/>
    <col min="2559" max="2559" width="9.42578125" style="39" customWidth="1"/>
    <col min="2560" max="2560" width="6.42578125" style="39" customWidth="1"/>
    <col min="2561" max="2561" width="11.5703125" style="39" customWidth="1"/>
    <col min="2562" max="2562" width="12.85546875" style="39" bestFit="1" customWidth="1"/>
    <col min="2563" max="2563" width="25.5703125" style="39" customWidth="1"/>
    <col min="2564" max="2811" width="9" style="39"/>
    <col min="2812" max="2812" width="8.7109375" style="39" customWidth="1"/>
    <col min="2813" max="2813" width="45.140625" style="39" customWidth="1"/>
    <col min="2814" max="2814" width="13.28515625" style="39" customWidth="1"/>
    <col min="2815" max="2815" width="9.42578125" style="39" customWidth="1"/>
    <col min="2816" max="2816" width="6.42578125" style="39" customWidth="1"/>
    <col min="2817" max="2817" width="11.5703125" style="39" customWidth="1"/>
    <col min="2818" max="2818" width="12.85546875" style="39" bestFit="1" customWidth="1"/>
    <col min="2819" max="2819" width="25.5703125" style="39" customWidth="1"/>
    <col min="2820" max="3067" width="9" style="39"/>
    <col min="3068" max="3068" width="8.7109375" style="39" customWidth="1"/>
    <col min="3069" max="3069" width="45.140625" style="39" customWidth="1"/>
    <col min="3070" max="3070" width="13.28515625" style="39" customWidth="1"/>
    <col min="3071" max="3071" width="9.42578125" style="39" customWidth="1"/>
    <col min="3072" max="3072" width="6.42578125" style="39" customWidth="1"/>
    <col min="3073" max="3073" width="11.5703125" style="39" customWidth="1"/>
    <col min="3074" max="3074" width="12.85546875" style="39" bestFit="1" customWidth="1"/>
    <col min="3075" max="3075" width="25.5703125" style="39" customWidth="1"/>
    <col min="3076" max="3323" width="9" style="39"/>
    <col min="3324" max="3324" width="8.7109375" style="39" customWidth="1"/>
    <col min="3325" max="3325" width="45.140625" style="39" customWidth="1"/>
    <col min="3326" max="3326" width="13.28515625" style="39" customWidth="1"/>
    <col min="3327" max="3327" width="9.42578125" style="39" customWidth="1"/>
    <col min="3328" max="3328" width="6.42578125" style="39" customWidth="1"/>
    <col min="3329" max="3329" width="11.5703125" style="39" customWidth="1"/>
    <col min="3330" max="3330" width="12.85546875" style="39" bestFit="1" customWidth="1"/>
    <col min="3331" max="3331" width="25.5703125" style="39" customWidth="1"/>
    <col min="3332" max="3579" width="9" style="39"/>
    <col min="3580" max="3580" width="8.7109375" style="39" customWidth="1"/>
    <col min="3581" max="3581" width="45.140625" style="39" customWidth="1"/>
    <col min="3582" max="3582" width="13.28515625" style="39" customWidth="1"/>
    <col min="3583" max="3583" width="9.42578125" style="39" customWidth="1"/>
    <col min="3584" max="3584" width="6.42578125" style="39" customWidth="1"/>
    <col min="3585" max="3585" width="11.5703125" style="39" customWidth="1"/>
    <col min="3586" max="3586" width="12.85546875" style="39" bestFit="1" customWidth="1"/>
    <col min="3587" max="3587" width="25.5703125" style="39" customWidth="1"/>
    <col min="3588" max="3835" width="9" style="39"/>
    <col min="3836" max="3836" width="8.7109375" style="39" customWidth="1"/>
    <col min="3837" max="3837" width="45.140625" style="39" customWidth="1"/>
    <col min="3838" max="3838" width="13.28515625" style="39" customWidth="1"/>
    <col min="3839" max="3839" width="9.42578125" style="39" customWidth="1"/>
    <col min="3840" max="3840" width="6.42578125" style="39" customWidth="1"/>
    <col min="3841" max="3841" width="11.5703125" style="39" customWidth="1"/>
    <col min="3842" max="3842" width="12.85546875" style="39" bestFit="1" customWidth="1"/>
    <col min="3843" max="3843" width="25.5703125" style="39" customWidth="1"/>
    <col min="3844" max="4091" width="9" style="39"/>
    <col min="4092" max="4092" width="8.7109375" style="39" customWidth="1"/>
    <col min="4093" max="4093" width="45.140625" style="39" customWidth="1"/>
    <col min="4094" max="4094" width="13.28515625" style="39" customWidth="1"/>
    <col min="4095" max="4095" width="9.42578125" style="39" customWidth="1"/>
    <col min="4096" max="4096" width="6.42578125" style="39" customWidth="1"/>
    <col min="4097" max="4097" width="11.5703125" style="39" customWidth="1"/>
    <col min="4098" max="4098" width="12.85546875" style="39" bestFit="1" customWidth="1"/>
    <col min="4099" max="4099" width="25.5703125" style="39" customWidth="1"/>
    <col min="4100" max="4347" width="9" style="39"/>
    <col min="4348" max="4348" width="8.7109375" style="39" customWidth="1"/>
    <col min="4349" max="4349" width="45.140625" style="39" customWidth="1"/>
    <col min="4350" max="4350" width="13.28515625" style="39" customWidth="1"/>
    <col min="4351" max="4351" width="9.42578125" style="39" customWidth="1"/>
    <col min="4352" max="4352" width="6.42578125" style="39" customWidth="1"/>
    <col min="4353" max="4353" width="11.5703125" style="39" customWidth="1"/>
    <col min="4354" max="4354" width="12.85546875" style="39" bestFit="1" customWidth="1"/>
    <col min="4355" max="4355" width="25.5703125" style="39" customWidth="1"/>
    <col min="4356" max="4603" width="9" style="39"/>
    <col min="4604" max="4604" width="8.7109375" style="39" customWidth="1"/>
    <col min="4605" max="4605" width="45.140625" style="39" customWidth="1"/>
    <col min="4606" max="4606" width="13.28515625" style="39" customWidth="1"/>
    <col min="4607" max="4607" width="9.42578125" style="39" customWidth="1"/>
    <col min="4608" max="4608" width="6.42578125" style="39" customWidth="1"/>
    <col min="4609" max="4609" width="11.5703125" style="39" customWidth="1"/>
    <col min="4610" max="4610" width="12.85546875" style="39" bestFit="1" customWidth="1"/>
    <col min="4611" max="4611" width="25.5703125" style="39" customWidth="1"/>
    <col min="4612" max="4859" width="9" style="39"/>
    <col min="4860" max="4860" width="8.7109375" style="39" customWidth="1"/>
    <col min="4861" max="4861" width="45.140625" style="39" customWidth="1"/>
    <col min="4862" max="4862" width="13.28515625" style="39" customWidth="1"/>
    <col min="4863" max="4863" width="9.42578125" style="39" customWidth="1"/>
    <col min="4864" max="4864" width="6.42578125" style="39" customWidth="1"/>
    <col min="4865" max="4865" width="11.5703125" style="39" customWidth="1"/>
    <col min="4866" max="4866" width="12.85546875" style="39" bestFit="1" customWidth="1"/>
    <col min="4867" max="4867" width="25.5703125" style="39" customWidth="1"/>
    <col min="4868" max="5115" width="9" style="39"/>
    <col min="5116" max="5116" width="8.7109375" style="39" customWidth="1"/>
    <col min="5117" max="5117" width="45.140625" style="39" customWidth="1"/>
    <col min="5118" max="5118" width="13.28515625" style="39" customWidth="1"/>
    <col min="5119" max="5119" width="9.42578125" style="39" customWidth="1"/>
    <col min="5120" max="5120" width="6.42578125" style="39" customWidth="1"/>
    <col min="5121" max="5121" width="11.5703125" style="39" customWidth="1"/>
    <col min="5122" max="5122" width="12.85546875" style="39" bestFit="1" customWidth="1"/>
    <col min="5123" max="5123" width="25.5703125" style="39" customWidth="1"/>
    <col min="5124" max="5371" width="9" style="39"/>
    <col min="5372" max="5372" width="8.7109375" style="39" customWidth="1"/>
    <col min="5373" max="5373" width="45.140625" style="39" customWidth="1"/>
    <col min="5374" max="5374" width="13.28515625" style="39" customWidth="1"/>
    <col min="5375" max="5375" width="9.42578125" style="39" customWidth="1"/>
    <col min="5376" max="5376" width="6.42578125" style="39" customWidth="1"/>
    <col min="5377" max="5377" width="11.5703125" style="39" customWidth="1"/>
    <col min="5378" max="5378" width="12.85546875" style="39" bestFit="1" customWidth="1"/>
    <col min="5379" max="5379" width="25.5703125" style="39" customWidth="1"/>
    <col min="5380" max="5627" width="9" style="39"/>
    <col min="5628" max="5628" width="8.7109375" style="39" customWidth="1"/>
    <col min="5629" max="5629" width="45.140625" style="39" customWidth="1"/>
    <col min="5630" max="5630" width="13.28515625" style="39" customWidth="1"/>
    <col min="5631" max="5631" width="9.42578125" style="39" customWidth="1"/>
    <col min="5632" max="5632" width="6.42578125" style="39" customWidth="1"/>
    <col min="5633" max="5633" width="11.5703125" style="39" customWidth="1"/>
    <col min="5634" max="5634" width="12.85546875" style="39" bestFit="1" customWidth="1"/>
    <col min="5635" max="5635" width="25.5703125" style="39" customWidth="1"/>
    <col min="5636" max="5883" width="9" style="39"/>
    <col min="5884" max="5884" width="8.7109375" style="39" customWidth="1"/>
    <col min="5885" max="5885" width="45.140625" style="39" customWidth="1"/>
    <col min="5886" max="5886" width="13.28515625" style="39" customWidth="1"/>
    <col min="5887" max="5887" width="9.42578125" style="39" customWidth="1"/>
    <col min="5888" max="5888" width="6.42578125" style="39" customWidth="1"/>
    <col min="5889" max="5889" width="11.5703125" style="39" customWidth="1"/>
    <col min="5890" max="5890" width="12.85546875" style="39" bestFit="1" customWidth="1"/>
    <col min="5891" max="5891" width="25.5703125" style="39" customWidth="1"/>
    <col min="5892" max="6139" width="9" style="39"/>
    <col min="6140" max="6140" width="8.7109375" style="39" customWidth="1"/>
    <col min="6141" max="6141" width="45.140625" style="39" customWidth="1"/>
    <col min="6142" max="6142" width="13.28515625" style="39" customWidth="1"/>
    <col min="6143" max="6143" width="9.42578125" style="39" customWidth="1"/>
    <col min="6144" max="6144" width="6.42578125" style="39" customWidth="1"/>
    <col min="6145" max="6145" width="11.5703125" style="39" customWidth="1"/>
    <col min="6146" max="6146" width="12.85546875" style="39" bestFit="1" customWidth="1"/>
    <col min="6147" max="6147" width="25.5703125" style="39" customWidth="1"/>
    <col min="6148" max="6395" width="9" style="39"/>
    <col min="6396" max="6396" width="8.7109375" style="39" customWidth="1"/>
    <col min="6397" max="6397" width="45.140625" style="39" customWidth="1"/>
    <col min="6398" max="6398" width="13.28515625" style="39" customWidth="1"/>
    <col min="6399" max="6399" width="9.42578125" style="39" customWidth="1"/>
    <col min="6400" max="6400" width="6.42578125" style="39" customWidth="1"/>
    <col min="6401" max="6401" width="11.5703125" style="39" customWidth="1"/>
    <col min="6402" max="6402" width="12.85546875" style="39" bestFit="1" customWidth="1"/>
    <col min="6403" max="6403" width="25.5703125" style="39" customWidth="1"/>
    <col min="6404" max="6651" width="9" style="39"/>
    <col min="6652" max="6652" width="8.7109375" style="39" customWidth="1"/>
    <col min="6653" max="6653" width="45.140625" style="39" customWidth="1"/>
    <col min="6654" max="6654" width="13.28515625" style="39" customWidth="1"/>
    <col min="6655" max="6655" width="9.42578125" style="39" customWidth="1"/>
    <col min="6656" max="6656" width="6.42578125" style="39" customWidth="1"/>
    <col min="6657" max="6657" width="11.5703125" style="39" customWidth="1"/>
    <col min="6658" max="6658" width="12.85546875" style="39" bestFit="1" customWidth="1"/>
    <col min="6659" max="6659" width="25.5703125" style="39" customWidth="1"/>
    <col min="6660" max="6907" width="9" style="39"/>
    <col min="6908" max="6908" width="8.7109375" style="39" customWidth="1"/>
    <col min="6909" max="6909" width="45.140625" style="39" customWidth="1"/>
    <col min="6910" max="6910" width="13.28515625" style="39" customWidth="1"/>
    <col min="6911" max="6911" width="9.42578125" style="39" customWidth="1"/>
    <col min="6912" max="6912" width="6.42578125" style="39" customWidth="1"/>
    <col min="6913" max="6913" width="11.5703125" style="39" customWidth="1"/>
    <col min="6914" max="6914" width="12.85546875" style="39" bestFit="1" customWidth="1"/>
    <col min="6915" max="6915" width="25.5703125" style="39" customWidth="1"/>
    <col min="6916" max="7163" width="9" style="39"/>
    <col min="7164" max="7164" width="8.7109375" style="39" customWidth="1"/>
    <col min="7165" max="7165" width="45.140625" style="39" customWidth="1"/>
    <col min="7166" max="7166" width="13.28515625" style="39" customWidth="1"/>
    <col min="7167" max="7167" width="9.42578125" style="39" customWidth="1"/>
    <col min="7168" max="7168" width="6.42578125" style="39" customWidth="1"/>
    <col min="7169" max="7169" width="11.5703125" style="39" customWidth="1"/>
    <col min="7170" max="7170" width="12.85546875" style="39" bestFit="1" customWidth="1"/>
    <col min="7171" max="7171" width="25.5703125" style="39" customWidth="1"/>
    <col min="7172" max="7419" width="9" style="39"/>
    <col min="7420" max="7420" width="8.7109375" style="39" customWidth="1"/>
    <col min="7421" max="7421" width="45.140625" style="39" customWidth="1"/>
    <col min="7422" max="7422" width="13.28515625" style="39" customWidth="1"/>
    <col min="7423" max="7423" width="9.42578125" style="39" customWidth="1"/>
    <col min="7424" max="7424" width="6.42578125" style="39" customWidth="1"/>
    <col min="7425" max="7425" width="11.5703125" style="39" customWidth="1"/>
    <col min="7426" max="7426" width="12.85546875" style="39" bestFit="1" customWidth="1"/>
    <col min="7427" max="7427" width="25.5703125" style="39" customWidth="1"/>
    <col min="7428" max="7675" width="9" style="39"/>
    <col min="7676" max="7676" width="8.7109375" style="39" customWidth="1"/>
    <col min="7677" max="7677" width="45.140625" style="39" customWidth="1"/>
    <col min="7678" max="7678" width="13.28515625" style="39" customWidth="1"/>
    <col min="7679" max="7679" width="9.42578125" style="39" customWidth="1"/>
    <col min="7680" max="7680" width="6.42578125" style="39" customWidth="1"/>
    <col min="7681" max="7681" width="11.5703125" style="39" customWidth="1"/>
    <col min="7682" max="7682" width="12.85546875" style="39" bestFit="1" customWidth="1"/>
    <col min="7683" max="7683" width="25.5703125" style="39" customWidth="1"/>
    <col min="7684" max="7931" width="9" style="39"/>
    <col min="7932" max="7932" width="8.7109375" style="39" customWidth="1"/>
    <col min="7933" max="7933" width="45.140625" style="39" customWidth="1"/>
    <col min="7934" max="7934" width="13.28515625" style="39" customWidth="1"/>
    <col min="7935" max="7935" width="9.42578125" style="39" customWidth="1"/>
    <col min="7936" max="7936" width="6.42578125" style="39" customWidth="1"/>
    <col min="7937" max="7937" width="11.5703125" style="39" customWidth="1"/>
    <col min="7938" max="7938" width="12.85546875" style="39" bestFit="1" customWidth="1"/>
    <col min="7939" max="7939" width="25.5703125" style="39" customWidth="1"/>
    <col min="7940" max="8187" width="9" style="39"/>
    <col min="8188" max="8188" width="8.7109375" style="39" customWidth="1"/>
    <col min="8189" max="8189" width="45.140625" style="39" customWidth="1"/>
    <col min="8190" max="8190" width="13.28515625" style="39" customWidth="1"/>
    <col min="8191" max="8191" width="9.42578125" style="39" customWidth="1"/>
    <col min="8192" max="8192" width="6.42578125" style="39" customWidth="1"/>
    <col min="8193" max="8193" width="11.5703125" style="39" customWidth="1"/>
    <col min="8194" max="8194" width="12.85546875" style="39" bestFit="1" customWidth="1"/>
    <col min="8195" max="8195" width="25.5703125" style="39" customWidth="1"/>
    <col min="8196" max="8443" width="9" style="39"/>
    <col min="8444" max="8444" width="8.7109375" style="39" customWidth="1"/>
    <col min="8445" max="8445" width="45.140625" style="39" customWidth="1"/>
    <col min="8446" max="8446" width="13.28515625" style="39" customWidth="1"/>
    <col min="8447" max="8447" width="9.42578125" style="39" customWidth="1"/>
    <col min="8448" max="8448" width="6.42578125" style="39" customWidth="1"/>
    <col min="8449" max="8449" width="11.5703125" style="39" customWidth="1"/>
    <col min="8450" max="8450" width="12.85546875" style="39" bestFit="1" customWidth="1"/>
    <col min="8451" max="8451" width="25.5703125" style="39" customWidth="1"/>
    <col min="8452" max="8699" width="9" style="39"/>
    <col min="8700" max="8700" width="8.7109375" style="39" customWidth="1"/>
    <col min="8701" max="8701" width="45.140625" style="39" customWidth="1"/>
    <col min="8702" max="8702" width="13.28515625" style="39" customWidth="1"/>
    <col min="8703" max="8703" width="9.42578125" style="39" customWidth="1"/>
    <col min="8704" max="8704" width="6.42578125" style="39" customWidth="1"/>
    <col min="8705" max="8705" width="11.5703125" style="39" customWidth="1"/>
    <col min="8706" max="8706" width="12.85546875" style="39" bestFit="1" customWidth="1"/>
    <col min="8707" max="8707" width="25.5703125" style="39" customWidth="1"/>
    <col min="8708" max="8955" width="9" style="39"/>
    <col min="8956" max="8956" width="8.7109375" style="39" customWidth="1"/>
    <col min="8957" max="8957" width="45.140625" style="39" customWidth="1"/>
    <col min="8958" max="8958" width="13.28515625" style="39" customWidth="1"/>
    <col min="8959" max="8959" width="9.42578125" style="39" customWidth="1"/>
    <col min="8960" max="8960" width="6.42578125" style="39" customWidth="1"/>
    <col min="8961" max="8961" width="11.5703125" style="39" customWidth="1"/>
    <col min="8962" max="8962" width="12.85546875" style="39" bestFit="1" customWidth="1"/>
    <col min="8963" max="8963" width="25.5703125" style="39" customWidth="1"/>
    <col min="8964" max="9211" width="9" style="39"/>
    <col min="9212" max="9212" width="8.7109375" style="39" customWidth="1"/>
    <col min="9213" max="9213" width="45.140625" style="39" customWidth="1"/>
    <col min="9214" max="9214" width="13.28515625" style="39" customWidth="1"/>
    <col min="9215" max="9215" width="9.42578125" style="39" customWidth="1"/>
    <col min="9216" max="9216" width="6.42578125" style="39" customWidth="1"/>
    <col min="9217" max="9217" width="11.5703125" style="39" customWidth="1"/>
    <col min="9218" max="9218" width="12.85546875" style="39" bestFit="1" customWidth="1"/>
    <col min="9219" max="9219" width="25.5703125" style="39" customWidth="1"/>
    <col min="9220" max="9467" width="9" style="39"/>
    <col min="9468" max="9468" width="8.7109375" style="39" customWidth="1"/>
    <col min="9469" max="9469" width="45.140625" style="39" customWidth="1"/>
    <col min="9470" max="9470" width="13.28515625" style="39" customWidth="1"/>
    <col min="9471" max="9471" width="9.42578125" style="39" customWidth="1"/>
    <col min="9472" max="9472" width="6.42578125" style="39" customWidth="1"/>
    <col min="9473" max="9473" width="11.5703125" style="39" customWidth="1"/>
    <col min="9474" max="9474" width="12.85546875" style="39" bestFit="1" customWidth="1"/>
    <col min="9475" max="9475" width="25.5703125" style="39" customWidth="1"/>
    <col min="9476" max="9723" width="9" style="39"/>
    <col min="9724" max="9724" width="8.7109375" style="39" customWidth="1"/>
    <col min="9725" max="9725" width="45.140625" style="39" customWidth="1"/>
    <col min="9726" max="9726" width="13.28515625" style="39" customWidth="1"/>
    <col min="9727" max="9727" width="9.42578125" style="39" customWidth="1"/>
    <col min="9728" max="9728" width="6.42578125" style="39" customWidth="1"/>
    <col min="9729" max="9729" width="11.5703125" style="39" customWidth="1"/>
    <col min="9730" max="9730" width="12.85546875" style="39" bestFit="1" customWidth="1"/>
    <col min="9731" max="9731" width="25.5703125" style="39" customWidth="1"/>
    <col min="9732" max="9979" width="9" style="39"/>
    <col min="9980" max="9980" width="8.7109375" style="39" customWidth="1"/>
    <col min="9981" max="9981" width="45.140625" style="39" customWidth="1"/>
    <col min="9982" max="9982" width="13.28515625" style="39" customWidth="1"/>
    <col min="9983" max="9983" width="9.42578125" style="39" customWidth="1"/>
    <col min="9984" max="9984" width="6.42578125" style="39" customWidth="1"/>
    <col min="9985" max="9985" width="11.5703125" style="39" customWidth="1"/>
    <col min="9986" max="9986" width="12.85546875" style="39" bestFit="1" customWidth="1"/>
    <col min="9987" max="9987" width="25.5703125" style="39" customWidth="1"/>
    <col min="9988" max="10235" width="9" style="39"/>
    <col min="10236" max="10236" width="8.7109375" style="39" customWidth="1"/>
    <col min="10237" max="10237" width="45.140625" style="39" customWidth="1"/>
    <col min="10238" max="10238" width="13.28515625" style="39" customWidth="1"/>
    <col min="10239" max="10239" width="9.42578125" style="39" customWidth="1"/>
    <col min="10240" max="10240" width="6.42578125" style="39" customWidth="1"/>
    <col min="10241" max="10241" width="11.5703125" style="39" customWidth="1"/>
    <col min="10242" max="10242" width="12.85546875" style="39" bestFit="1" customWidth="1"/>
    <col min="10243" max="10243" width="25.5703125" style="39" customWidth="1"/>
    <col min="10244" max="10491" width="9" style="39"/>
    <col min="10492" max="10492" width="8.7109375" style="39" customWidth="1"/>
    <col min="10493" max="10493" width="45.140625" style="39" customWidth="1"/>
    <col min="10494" max="10494" width="13.28515625" style="39" customWidth="1"/>
    <col min="10495" max="10495" width="9.42578125" style="39" customWidth="1"/>
    <col min="10496" max="10496" width="6.42578125" style="39" customWidth="1"/>
    <col min="10497" max="10497" width="11.5703125" style="39" customWidth="1"/>
    <col min="10498" max="10498" width="12.85546875" style="39" bestFit="1" customWidth="1"/>
    <col min="10499" max="10499" width="25.5703125" style="39" customWidth="1"/>
    <col min="10500" max="10747" width="9" style="39"/>
    <col min="10748" max="10748" width="8.7109375" style="39" customWidth="1"/>
    <col min="10749" max="10749" width="45.140625" style="39" customWidth="1"/>
    <col min="10750" max="10750" width="13.28515625" style="39" customWidth="1"/>
    <col min="10751" max="10751" width="9.42578125" style="39" customWidth="1"/>
    <col min="10752" max="10752" width="6.42578125" style="39" customWidth="1"/>
    <col min="10753" max="10753" width="11.5703125" style="39" customWidth="1"/>
    <col min="10754" max="10754" width="12.85546875" style="39" bestFit="1" customWidth="1"/>
    <col min="10755" max="10755" width="25.5703125" style="39" customWidth="1"/>
    <col min="10756" max="11003" width="9" style="39"/>
    <col min="11004" max="11004" width="8.7109375" style="39" customWidth="1"/>
    <col min="11005" max="11005" width="45.140625" style="39" customWidth="1"/>
    <col min="11006" max="11006" width="13.28515625" style="39" customWidth="1"/>
    <col min="11007" max="11007" width="9.42578125" style="39" customWidth="1"/>
    <col min="11008" max="11008" width="6.42578125" style="39" customWidth="1"/>
    <col min="11009" max="11009" width="11.5703125" style="39" customWidth="1"/>
    <col min="11010" max="11010" width="12.85546875" style="39" bestFit="1" customWidth="1"/>
    <col min="11011" max="11011" width="25.5703125" style="39" customWidth="1"/>
    <col min="11012" max="11259" width="9" style="39"/>
    <col min="11260" max="11260" width="8.7109375" style="39" customWidth="1"/>
    <col min="11261" max="11261" width="45.140625" style="39" customWidth="1"/>
    <col min="11262" max="11262" width="13.28515625" style="39" customWidth="1"/>
    <col min="11263" max="11263" width="9.42578125" style="39" customWidth="1"/>
    <col min="11264" max="11264" width="6.42578125" style="39" customWidth="1"/>
    <col min="11265" max="11265" width="11.5703125" style="39" customWidth="1"/>
    <col min="11266" max="11266" width="12.85546875" style="39" bestFit="1" customWidth="1"/>
    <col min="11267" max="11267" width="25.5703125" style="39" customWidth="1"/>
    <col min="11268" max="11515" width="9" style="39"/>
    <col min="11516" max="11516" width="8.7109375" style="39" customWidth="1"/>
    <col min="11517" max="11517" width="45.140625" style="39" customWidth="1"/>
    <col min="11518" max="11518" width="13.28515625" style="39" customWidth="1"/>
    <col min="11519" max="11519" width="9.42578125" style="39" customWidth="1"/>
    <col min="11520" max="11520" width="6.42578125" style="39" customWidth="1"/>
    <col min="11521" max="11521" width="11.5703125" style="39" customWidth="1"/>
    <col min="11522" max="11522" width="12.85546875" style="39" bestFit="1" customWidth="1"/>
    <col min="11523" max="11523" width="25.5703125" style="39" customWidth="1"/>
    <col min="11524" max="11771" width="9" style="39"/>
    <col min="11772" max="11772" width="8.7109375" style="39" customWidth="1"/>
    <col min="11773" max="11773" width="45.140625" style="39" customWidth="1"/>
    <col min="11774" max="11774" width="13.28515625" style="39" customWidth="1"/>
    <col min="11775" max="11775" width="9.42578125" style="39" customWidth="1"/>
    <col min="11776" max="11776" width="6.42578125" style="39" customWidth="1"/>
    <col min="11777" max="11777" width="11.5703125" style="39" customWidth="1"/>
    <col min="11778" max="11778" width="12.85546875" style="39" bestFit="1" customWidth="1"/>
    <col min="11779" max="11779" width="25.5703125" style="39" customWidth="1"/>
    <col min="11780" max="12027" width="9" style="39"/>
    <col min="12028" max="12028" width="8.7109375" style="39" customWidth="1"/>
    <col min="12029" max="12029" width="45.140625" style="39" customWidth="1"/>
    <col min="12030" max="12030" width="13.28515625" style="39" customWidth="1"/>
    <col min="12031" max="12031" width="9.42578125" style="39" customWidth="1"/>
    <col min="12032" max="12032" width="6.42578125" style="39" customWidth="1"/>
    <col min="12033" max="12033" width="11.5703125" style="39" customWidth="1"/>
    <col min="12034" max="12034" width="12.85546875" style="39" bestFit="1" customWidth="1"/>
    <col min="12035" max="12035" width="25.5703125" style="39" customWidth="1"/>
    <col min="12036" max="12283" width="9" style="39"/>
    <col min="12284" max="12284" width="8.7109375" style="39" customWidth="1"/>
    <col min="12285" max="12285" width="45.140625" style="39" customWidth="1"/>
    <col min="12286" max="12286" width="13.28515625" style="39" customWidth="1"/>
    <col min="12287" max="12287" width="9.42578125" style="39" customWidth="1"/>
    <col min="12288" max="12288" width="6.42578125" style="39" customWidth="1"/>
    <col min="12289" max="12289" width="11.5703125" style="39" customWidth="1"/>
    <col min="12290" max="12290" width="12.85546875" style="39" bestFit="1" customWidth="1"/>
    <col min="12291" max="12291" width="25.5703125" style="39" customWidth="1"/>
    <col min="12292" max="12539" width="9" style="39"/>
    <col min="12540" max="12540" width="8.7109375" style="39" customWidth="1"/>
    <col min="12541" max="12541" width="45.140625" style="39" customWidth="1"/>
    <col min="12542" max="12542" width="13.28515625" style="39" customWidth="1"/>
    <col min="12543" max="12543" width="9.42578125" style="39" customWidth="1"/>
    <col min="12544" max="12544" width="6.42578125" style="39" customWidth="1"/>
    <col min="12545" max="12545" width="11.5703125" style="39" customWidth="1"/>
    <col min="12546" max="12546" width="12.85546875" style="39" bestFit="1" customWidth="1"/>
    <col min="12547" max="12547" width="25.5703125" style="39" customWidth="1"/>
    <col min="12548" max="12795" width="9" style="39"/>
    <col min="12796" max="12796" width="8.7109375" style="39" customWidth="1"/>
    <col min="12797" max="12797" width="45.140625" style="39" customWidth="1"/>
    <col min="12798" max="12798" width="13.28515625" style="39" customWidth="1"/>
    <col min="12799" max="12799" width="9.42578125" style="39" customWidth="1"/>
    <col min="12800" max="12800" width="6.42578125" style="39" customWidth="1"/>
    <col min="12801" max="12801" width="11.5703125" style="39" customWidth="1"/>
    <col min="12802" max="12802" width="12.85546875" style="39" bestFit="1" customWidth="1"/>
    <col min="12803" max="12803" width="25.5703125" style="39" customWidth="1"/>
    <col min="12804" max="13051" width="9" style="39"/>
    <col min="13052" max="13052" width="8.7109375" style="39" customWidth="1"/>
    <col min="13053" max="13053" width="45.140625" style="39" customWidth="1"/>
    <col min="13054" max="13054" width="13.28515625" style="39" customWidth="1"/>
    <col min="13055" max="13055" width="9.42578125" style="39" customWidth="1"/>
    <col min="13056" max="13056" width="6.42578125" style="39" customWidth="1"/>
    <col min="13057" max="13057" width="11.5703125" style="39" customWidth="1"/>
    <col min="13058" max="13058" width="12.85546875" style="39" bestFit="1" customWidth="1"/>
    <col min="13059" max="13059" width="25.5703125" style="39" customWidth="1"/>
    <col min="13060" max="13307" width="9" style="39"/>
    <col min="13308" max="13308" width="8.7109375" style="39" customWidth="1"/>
    <col min="13309" max="13309" width="45.140625" style="39" customWidth="1"/>
    <col min="13310" max="13310" width="13.28515625" style="39" customWidth="1"/>
    <col min="13311" max="13311" width="9.42578125" style="39" customWidth="1"/>
    <col min="13312" max="13312" width="6.42578125" style="39" customWidth="1"/>
    <col min="13313" max="13313" width="11.5703125" style="39" customWidth="1"/>
    <col min="13314" max="13314" width="12.85546875" style="39" bestFit="1" customWidth="1"/>
    <col min="13315" max="13315" width="25.5703125" style="39" customWidth="1"/>
    <col min="13316" max="13563" width="9" style="39"/>
    <col min="13564" max="13564" width="8.7109375" style="39" customWidth="1"/>
    <col min="13565" max="13565" width="45.140625" style="39" customWidth="1"/>
    <col min="13566" max="13566" width="13.28515625" style="39" customWidth="1"/>
    <col min="13567" max="13567" width="9.42578125" style="39" customWidth="1"/>
    <col min="13568" max="13568" width="6.42578125" style="39" customWidth="1"/>
    <col min="13569" max="13569" width="11.5703125" style="39" customWidth="1"/>
    <col min="13570" max="13570" width="12.85546875" style="39" bestFit="1" customWidth="1"/>
    <col min="13571" max="13571" width="25.5703125" style="39" customWidth="1"/>
    <col min="13572" max="13819" width="9" style="39"/>
    <col min="13820" max="13820" width="8.7109375" style="39" customWidth="1"/>
    <col min="13821" max="13821" width="45.140625" style="39" customWidth="1"/>
    <col min="13822" max="13822" width="13.28515625" style="39" customWidth="1"/>
    <col min="13823" max="13823" width="9.42578125" style="39" customWidth="1"/>
    <col min="13824" max="13824" width="6.42578125" style="39" customWidth="1"/>
    <col min="13825" max="13825" width="11.5703125" style="39" customWidth="1"/>
    <col min="13826" max="13826" width="12.85546875" style="39" bestFit="1" customWidth="1"/>
    <col min="13827" max="13827" width="25.5703125" style="39" customWidth="1"/>
    <col min="13828" max="14075" width="9" style="39"/>
    <col min="14076" max="14076" width="8.7109375" style="39" customWidth="1"/>
    <col min="14077" max="14077" width="45.140625" style="39" customWidth="1"/>
    <col min="14078" max="14078" width="13.28515625" style="39" customWidth="1"/>
    <col min="14079" max="14079" width="9.42578125" style="39" customWidth="1"/>
    <col min="14080" max="14080" width="6.42578125" style="39" customWidth="1"/>
    <col min="14081" max="14081" width="11.5703125" style="39" customWidth="1"/>
    <col min="14082" max="14082" width="12.85546875" style="39" bestFit="1" customWidth="1"/>
    <col min="14083" max="14083" width="25.5703125" style="39" customWidth="1"/>
    <col min="14084" max="14331" width="9" style="39"/>
    <col min="14332" max="14332" width="8.7109375" style="39" customWidth="1"/>
    <col min="14333" max="14333" width="45.140625" style="39" customWidth="1"/>
    <col min="14334" max="14334" width="13.28515625" style="39" customWidth="1"/>
    <col min="14335" max="14335" width="9.42578125" style="39" customWidth="1"/>
    <col min="14336" max="14336" width="6.42578125" style="39" customWidth="1"/>
    <col min="14337" max="14337" width="11.5703125" style="39" customWidth="1"/>
    <col min="14338" max="14338" width="12.85546875" style="39" bestFit="1" customWidth="1"/>
    <col min="14339" max="14339" width="25.5703125" style="39" customWidth="1"/>
    <col min="14340" max="14587" width="9" style="39"/>
    <col min="14588" max="14588" width="8.7109375" style="39" customWidth="1"/>
    <col min="14589" max="14589" width="45.140625" style="39" customWidth="1"/>
    <col min="14590" max="14590" width="13.28515625" style="39" customWidth="1"/>
    <col min="14591" max="14591" width="9.42578125" style="39" customWidth="1"/>
    <col min="14592" max="14592" width="6.42578125" style="39" customWidth="1"/>
    <col min="14593" max="14593" width="11.5703125" style="39" customWidth="1"/>
    <col min="14594" max="14594" width="12.85546875" style="39" bestFit="1" customWidth="1"/>
    <col min="14595" max="14595" width="25.5703125" style="39" customWidth="1"/>
    <col min="14596" max="14843" width="9" style="39"/>
    <col min="14844" max="14844" width="8.7109375" style="39" customWidth="1"/>
    <col min="14845" max="14845" width="45.140625" style="39" customWidth="1"/>
    <col min="14846" max="14846" width="13.28515625" style="39" customWidth="1"/>
    <col min="14847" max="14847" width="9.42578125" style="39" customWidth="1"/>
    <col min="14848" max="14848" width="6.42578125" style="39" customWidth="1"/>
    <col min="14849" max="14849" width="11.5703125" style="39" customWidth="1"/>
    <col min="14850" max="14850" width="12.85546875" style="39" bestFit="1" customWidth="1"/>
    <col min="14851" max="14851" width="25.5703125" style="39" customWidth="1"/>
    <col min="14852" max="15099" width="9" style="39"/>
    <col min="15100" max="15100" width="8.7109375" style="39" customWidth="1"/>
    <col min="15101" max="15101" width="45.140625" style="39" customWidth="1"/>
    <col min="15102" max="15102" width="13.28515625" style="39" customWidth="1"/>
    <col min="15103" max="15103" width="9.42578125" style="39" customWidth="1"/>
    <col min="15104" max="15104" width="6.42578125" style="39" customWidth="1"/>
    <col min="15105" max="15105" width="11.5703125" style="39" customWidth="1"/>
    <col min="15106" max="15106" width="12.85546875" style="39" bestFit="1" customWidth="1"/>
    <col min="15107" max="15107" width="25.5703125" style="39" customWidth="1"/>
    <col min="15108" max="15355" width="9" style="39"/>
    <col min="15356" max="15356" width="8.7109375" style="39" customWidth="1"/>
    <col min="15357" max="15357" width="45.140625" style="39" customWidth="1"/>
    <col min="15358" max="15358" width="13.28515625" style="39" customWidth="1"/>
    <col min="15359" max="15359" width="9.42578125" style="39" customWidth="1"/>
    <col min="15360" max="15360" width="6.42578125" style="39" customWidth="1"/>
    <col min="15361" max="15361" width="11.5703125" style="39" customWidth="1"/>
    <col min="15362" max="15362" width="12.85546875" style="39" bestFit="1" customWidth="1"/>
    <col min="15363" max="15363" width="25.5703125" style="39" customWidth="1"/>
    <col min="15364" max="15611" width="9" style="39"/>
    <col min="15612" max="15612" width="8.7109375" style="39" customWidth="1"/>
    <col min="15613" max="15613" width="45.140625" style="39" customWidth="1"/>
    <col min="15614" max="15614" width="13.28515625" style="39" customWidth="1"/>
    <col min="15615" max="15615" width="9.42578125" style="39" customWidth="1"/>
    <col min="15616" max="15616" width="6.42578125" style="39" customWidth="1"/>
    <col min="15617" max="15617" width="11.5703125" style="39" customWidth="1"/>
    <col min="15618" max="15618" width="12.85546875" style="39" bestFit="1" customWidth="1"/>
    <col min="15619" max="15619" width="25.5703125" style="39" customWidth="1"/>
    <col min="15620" max="15867" width="9" style="39"/>
    <col min="15868" max="15868" width="8.7109375" style="39" customWidth="1"/>
    <col min="15869" max="15869" width="45.140625" style="39" customWidth="1"/>
    <col min="15870" max="15870" width="13.28515625" style="39" customWidth="1"/>
    <col min="15871" max="15871" width="9.42578125" style="39" customWidth="1"/>
    <col min="15872" max="15872" width="6.42578125" style="39" customWidth="1"/>
    <col min="15873" max="15873" width="11.5703125" style="39" customWidth="1"/>
    <col min="15874" max="15874" width="12.85546875" style="39" bestFit="1" customWidth="1"/>
    <col min="15875" max="15875" width="25.5703125" style="39" customWidth="1"/>
    <col min="15876" max="16123" width="9" style="39"/>
    <col min="16124" max="16124" width="8.7109375" style="39" customWidth="1"/>
    <col min="16125" max="16125" width="45.140625" style="39" customWidth="1"/>
    <col min="16126" max="16126" width="13.28515625" style="39" customWidth="1"/>
    <col min="16127" max="16127" width="9.42578125" style="39" customWidth="1"/>
    <col min="16128" max="16128" width="6.42578125" style="39" customWidth="1"/>
    <col min="16129" max="16129" width="11.5703125" style="39" customWidth="1"/>
    <col min="16130" max="16130" width="12.85546875" style="39" bestFit="1" customWidth="1"/>
    <col min="16131" max="16131" width="25.5703125" style="39" customWidth="1"/>
    <col min="16132" max="16384" width="9" style="39"/>
  </cols>
  <sheetData>
    <row r="1" spans="1:13" ht="16.5" customHeight="1"/>
    <row r="2" spans="1:13" ht="27" customHeight="1">
      <c r="A2" s="41" t="s">
        <v>66</v>
      </c>
      <c r="B2" s="41" t="str">
        <f>+'PO 1st page'!K11</f>
        <v>SAC2-DS-PO-0500</v>
      </c>
      <c r="C2" s="174" t="s">
        <v>67</v>
      </c>
      <c r="D2" s="174"/>
      <c r="E2" s="174"/>
      <c r="F2" s="174"/>
      <c r="G2" s="42"/>
      <c r="H2" s="42"/>
    </row>
    <row r="3" spans="1:13" s="48" customFormat="1" ht="28.5" customHeight="1" thickBot="1">
      <c r="A3" s="43" t="s">
        <v>68</v>
      </c>
      <c r="B3" s="44">
        <f>+'PO 1st page'!K10</f>
        <v>46319</v>
      </c>
      <c r="C3" s="45"/>
      <c r="D3" s="46"/>
      <c r="E3" s="175" t="s">
        <v>69</v>
      </c>
      <c r="F3" s="175"/>
      <c r="G3" s="175"/>
      <c r="H3" s="175"/>
      <c r="I3" s="47"/>
    </row>
    <row r="4" spans="1:13" s="49" customFormat="1" ht="28.5" customHeight="1" thickTop="1">
      <c r="A4" s="176" t="s">
        <v>70</v>
      </c>
      <c r="B4" s="178" t="s">
        <v>71</v>
      </c>
      <c r="C4" s="179"/>
      <c r="D4" s="182" t="s">
        <v>175</v>
      </c>
      <c r="E4" s="182" t="s">
        <v>176</v>
      </c>
      <c r="F4" s="184" t="str">
        <f>'PO 1st page'!C9</f>
        <v>FATC(fortune Arabia Trading Company)</v>
      </c>
      <c r="G4" s="185"/>
      <c r="H4" s="186" t="s">
        <v>72</v>
      </c>
      <c r="K4" s="50"/>
      <c r="L4" s="50"/>
      <c r="M4" s="50"/>
    </row>
    <row r="5" spans="1:13" s="49" customFormat="1" ht="21.95" customHeight="1">
      <c r="A5" s="177"/>
      <c r="B5" s="180"/>
      <c r="C5" s="181"/>
      <c r="D5" s="183"/>
      <c r="E5" s="183"/>
      <c r="F5" s="51" t="s">
        <v>73</v>
      </c>
      <c r="G5" s="51" t="s">
        <v>41</v>
      </c>
      <c r="H5" s="187"/>
      <c r="K5" s="50"/>
      <c r="L5" s="50"/>
      <c r="M5" s="50"/>
    </row>
    <row r="6" spans="1:13" s="49" customFormat="1" ht="35.1" customHeight="1">
      <c r="A6" s="115">
        <f t="shared" ref="A6:A44" si="0">ROW(A1)</f>
        <v>1</v>
      </c>
      <c r="B6" s="173" t="str">
        <f>MRS!B6</f>
        <v>3M HALF FACE MASK - 6200</v>
      </c>
      <c r="C6" s="173"/>
      <c r="D6" s="81" t="str">
        <f>+'MRS LIST'!G6</f>
        <v>EA</v>
      </c>
      <c r="E6" s="82">
        <f>+'MRS LIST'!H6</f>
        <v>64</v>
      </c>
      <c r="F6" s="83">
        <f>+'MRS LIST'!I6</f>
        <v>55</v>
      </c>
      <c r="G6" s="84">
        <f>+'MRS LIST'!J6</f>
        <v>3520</v>
      </c>
      <c r="H6" s="114"/>
      <c r="K6" s="79"/>
      <c r="L6" s="80"/>
      <c r="M6" s="50"/>
    </row>
    <row r="7" spans="1:13" s="49" customFormat="1" ht="35.1" customHeight="1">
      <c r="A7" s="115">
        <f t="shared" si="0"/>
        <v>2</v>
      </c>
      <c r="B7" s="173" t="str">
        <f>MRS!B7</f>
        <v xml:space="preserve">SILICON SEALANT WHITE (24PCS/BOX)    </v>
      </c>
      <c r="C7" s="173"/>
      <c r="D7" s="81" t="str">
        <f>+'MRS LIST'!G7</f>
        <v>BOX</v>
      </c>
      <c r="E7" s="82">
        <f>+'MRS LIST'!H7</f>
        <v>18</v>
      </c>
      <c r="F7" s="83">
        <f>+'MRS LIST'!I7</f>
        <v>96</v>
      </c>
      <c r="G7" s="84">
        <f>+'MRS LIST'!J7</f>
        <v>1728</v>
      </c>
      <c r="H7" s="114"/>
      <c r="K7" s="79"/>
      <c r="L7" s="80"/>
      <c r="M7" s="50"/>
    </row>
    <row r="8" spans="1:13" s="49" customFormat="1" ht="35.1" customHeight="1">
      <c r="A8" s="115">
        <f t="shared" si="0"/>
        <v>3</v>
      </c>
      <c r="B8" s="173" t="str">
        <f>MRS!B8</f>
        <v xml:space="preserve">KNIFE BLADE SHORT (10PCS/PACK)    </v>
      </c>
      <c r="C8" s="173"/>
      <c r="D8" s="81" t="str">
        <f>+'MRS LIST'!G8</f>
        <v>PACK</v>
      </c>
      <c r="E8" s="82">
        <f>+'MRS LIST'!H8</f>
        <v>50</v>
      </c>
      <c r="F8" s="83">
        <f>+'MRS LIST'!I8</f>
        <v>8</v>
      </c>
      <c r="G8" s="84">
        <f>+'MRS LIST'!J8</f>
        <v>400</v>
      </c>
      <c r="H8" s="114"/>
      <c r="K8" s="50"/>
      <c r="L8" s="50"/>
      <c r="M8" s="50"/>
    </row>
    <row r="9" spans="1:13" s="49" customFormat="1" ht="35.1" customHeight="1">
      <c r="A9" s="115">
        <f t="shared" si="0"/>
        <v>4</v>
      </c>
      <c r="B9" s="173" t="str">
        <f>MRS!B9</f>
        <v xml:space="preserve">FILE HALF ROUND 12"   </v>
      </c>
      <c r="C9" s="173"/>
      <c r="D9" s="81" t="str">
        <f>+'MRS LIST'!G9</f>
        <v>EA</v>
      </c>
      <c r="E9" s="82">
        <f>+'MRS LIST'!H9</f>
        <v>10</v>
      </c>
      <c r="F9" s="83">
        <f>+'MRS LIST'!I9</f>
        <v>22</v>
      </c>
      <c r="G9" s="84">
        <f>+'MRS LIST'!J9</f>
        <v>220</v>
      </c>
      <c r="H9" s="114"/>
      <c r="J9" s="50"/>
    </row>
    <row r="10" spans="1:13" s="49" customFormat="1" ht="35.1" customHeight="1">
      <c r="A10" s="115">
        <f t="shared" si="0"/>
        <v>5</v>
      </c>
      <c r="B10" s="173" t="str">
        <f>MRS!B10</f>
        <v xml:space="preserve">ELECTRICAL TAPE 50FT GREEN    </v>
      </c>
      <c r="C10" s="173"/>
      <c r="D10" s="81" t="str">
        <f>+'MRS LIST'!G10</f>
        <v>ROLL</v>
      </c>
      <c r="E10" s="82">
        <f>+'MRS LIST'!H10</f>
        <v>200</v>
      </c>
      <c r="F10" s="83">
        <f>+'MRS LIST'!I10</f>
        <v>2.5</v>
      </c>
      <c r="G10" s="84">
        <f>+'MRS LIST'!J10</f>
        <v>500</v>
      </c>
      <c r="H10" s="114"/>
      <c r="J10" s="50"/>
    </row>
    <row r="11" spans="1:13" s="49" customFormat="1" ht="35.1" customHeight="1">
      <c r="A11" s="115">
        <f t="shared" si="0"/>
        <v>6</v>
      </c>
      <c r="B11" s="173" t="str">
        <f>MRS!B11</f>
        <v xml:space="preserve">CLEAR TAPE 2" 70YARD (30PCS/BOX) VESTRA   </v>
      </c>
      <c r="C11" s="173"/>
      <c r="D11" s="81" t="str">
        <f>+'MRS LIST'!G11</f>
        <v>ROLL</v>
      </c>
      <c r="E11" s="82">
        <f>+'MRS LIST'!H11</f>
        <v>30</v>
      </c>
      <c r="F11" s="83">
        <f>+'MRS LIST'!I11</f>
        <v>4</v>
      </c>
      <c r="G11" s="84">
        <f>+'MRS LIST'!J11</f>
        <v>120</v>
      </c>
      <c r="H11" s="114"/>
    </row>
    <row r="12" spans="1:13" s="49" customFormat="1" ht="35.1" customHeight="1">
      <c r="A12" s="115">
        <f t="shared" si="0"/>
        <v>7</v>
      </c>
      <c r="B12" s="173" t="str">
        <f>MRS!B12</f>
        <v>HACK SAW BLADE 24T  CS</v>
      </c>
      <c r="C12" s="173"/>
      <c r="D12" s="81" t="str">
        <f>+'MRS LIST'!G12</f>
        <v>EA</v>
      </c>
      <c r="E12" s="82">
        <f>+'MRS LIST'!H12</f>
        <v>200</v>
      </c>
      <c r="F12" s="83">
        <f>+'MRS LIST'!I12</f>
        <v>1.2</v>
      </c>
      <c r="G12" s="84">
        <f>+'MRS LIST'!J12</f>
        <v>240</v>
      </c>
      <c r="H12" s="114"/>
    </row>
    <row r="13" spans="1:13" s="49" customFormat="1" ht="35.1" customHeight="1">
      <c r="A13" s="115">
        <f t="shared" si="0"/>
        <v>8</v>
      </c>
      <c r="B13" s="173" t="str">
        <f>MRS!B13</f>
        <v xml:space="preserve">SAND PAPER ROLL 4'' 120GRIT   </v>
      </c>
      <c r="C13" s="173"/>
      <c r="D13" s="81" t="str">
        <f>+'MRS LIST'!G13</f>
        <v>ROLL</v>
      </c>
      <c r="E13" s="82">
        <f>+'MRS LIST'!H13</f>
        <v>5</v>
      </c>
      <c r="F13" s="83">
        <f>+'MRS LIST'!I13</f>
        <v>130</v>
      </c>
      <c r="G13" s="84">
        <f>+'MRS LIST'!J13</f>
        <v>650</v>
      </c>
      <c r="H13" s="114"/>
    </row>
    <row r="14" spans="1:13" s="49" customFormat="1" ht="35.1" customHeight="1">
      <c r="A14" s="115">
        <f t="shared" si="0"/>
        <v>9</v>
      </c>
      <c r="B14" s="173" t="str">
        <f>MRS!B14</f>
        <v xml:space="preserve">WRAPPING ROLL 3.5KG VESTRA </v>
      </c>
      <c r="C14" s="173"/>
      <c r="D14" s="81" t="str">
        <f>+'MRS LIST'!G14</f>
        <v>ROLL</v>
      </c>
      <c r="E14" s="82">
        <f>+'MRS LIST'!H14</f>
        <v>45</v>
      </c>
      <c r="F14" s="83">
        <f>+'MRS LIST'!I14</f>
        <v>32</v>
      </c>
      <c r="G14" s="84">
        <f>+'MRS LIST'!J14</f>
        <v>1440</v>
      </c>
      <c r="H14" s="114"/>
    </row>
    <row r="15" spans="1:13" s="49" customFormat="1" ht="35.1" customHeight="1">
      <c r="A15" s="115">
        <f t="shared" si="0"/>
        <v>10</v>
      </c>
      <c r="B15" s="173" t="str">
        <f>MRS!B15</f>
        <v>ELECTRICAL TAPE 50FT RED</v>
      </c>
      <c r="C15" s="173"/>
      <c r="D15" s="81" t="str">
        <f>+'MRS LIST'!G15</f>
        <v>ROLL</v>
      </c>
      <c r="E15" s="82">
        <f>+'MRS LIST'!H15</f>
        <v>400</v>
      </c>
      <c r="F15" s="83">
        <f>+'MRS LIST'!I15</f>
        <v>2.5</v>
      </c>
      <c r="G15" s="84">
        <f>+'MRS LIST'!J15</f>
        <v>1000</v>
      </c>
      <c r="H15" s="114"/>
    </row>
    <row r="16" spans="1:13" s="49" customFormat="1" ht="35.1" customHeight="1">
      <c r="A16" s="115">
        <f t="shared" si="0"/>
        <v>11</v>
      </c>
      <c r="B16" s="173" t="str">
        <f>MRS!B16</f>
        <v>MASKING TAPE 2'' 25 YARD (24ROLL/BOX)</v>
      </c>
      <c r="C16" s="173"/>
      <c r="D16" s="81" t="str">
        <f>+'MRS LIST'!G16</f>
        <v>BOX</v>
      </c>
      <c r="E16" s="82">
        <f>+'MRS LIST'!H16</f>
        <v>154</v>
      </c>
      <c r="F16" s="83">
        <f>+'MRS LIST'!I16</f>
        <v>75</v>
      </c>
      <c r="G16" s="84">
        <f>+'MRS LIST'!J16</f>
        <v>11550</v>
      </c>
      <c r="H16" s="114"/>
    </row>
    <row r="17" spans="1:8" s="49" customFormat="1" ht="35.1" customHeight="1">
      <c r="A17" s="115">
        <f t="shared" si="0"/>
        <v>12</v>
      </c>
      <c r="B17" s="173" t="str">
        <f>MRS!B17</f>
        <v>MASKING TAPE 1'' 18 YARD (36ROLL/BOX)</v>
      </c>
      <c r="C17" s="173"/>
      <c r="D17" s="81" t="str">
        <f>+'MRS LIST'!G17</f>
        <v>BOX</v>
      </c>
      <c r="E17" s="82">
        <f>+'MRS LIST'!H17</f>
        <v>16</v>
      </c>
      <c r="F17" s="83">
        <f>+'MRS LIST'!I17</f>
        <v>70</v>
      </c>
      <c r="G17" s="84">
        <f>+'MRS LIST'!J17</f>
        <v>1120</v>
      </c>
      <c r="H17" s="114"/>
    </row>
    <row r="18" spans="1:8" s="49" customFormat="1" ht="35.1" customHeight="1">
      <c r="A18" s="115">
        <f t="shared" si="0"/>
        <v>13</v>
      </c>
      <c r="B18" s="173" t="str">
        <f>MRS!B18</f>
        <v>WARNING TAPE 3" RED/WHITE</v>
      </c>
      <c r="C18" s="173"/>
      <c r="D18" s="81" t="str">
        <f>+'MRS LIST'!G18</f>
        <v>ROLL</v>
      </c>
      <c r="E18" s="82">
        <f>+'MRS LIST'!H18</f>
        <v>1282</v>
      </c>
      <c r="F18" s="83">
        <f>+'MRS LIST'!I18</f>
        <v>3.75</v>
      </c>
      <c r="G18" s="84">
        <f>+'MRS LIST'!J18</f>
        <v>4807.5</v>
      </c>
      <c r="H18" s="114"/>
    </row>
    <row r="19" spans="1:8" s="49" customFormat="1" ht="35.1" customHeight="1">
      <c r="A19" s="115">
        <f t="shared" si="0"/>
        <v>14</v>
      </c>
      <c r="B19" s="173" t="str">
        <f>MRS!B19</f>
        <v>DUCT TAPE 2'' 25YARD (24ROLL/BOX) VESTRA</v>
      </c>
      <c r="C19" s="173"/>
      <c r="D19" s="81" t="str">
        <f>+'MRS LIST'!G19</f>
        <v>ROLL</v>
      </c>
      <c r="E19" s="82">
        <f>+'MRS LIST'!H19</f>
        <v>80</v>
      </c>
      <c r="F19" s="83">
        <f>+'MRS LIST'!I19</f>
        <v>94</v>
      </c>
      <c r="G19" s="84">
        <f>+'MRS LIST'!J19</f>
        <v>7520</v>
      </c>
      <c r="H19" s="114"/>
    </row>
    <row r="20" spans="1:8" s="49" customFormat="1" ht="35.1" customHeight="1">
      <c r="A20" s="115">
        <f t="shared" si="0"/>
        <v>15</v>
      </c>
      <c r="B20" s="173" t="str">
        <f>MRS!B20</f>
        <v>MEASURING TAPE 5MTR</v>
      </c>
      <c r="C20" s="173"/>
      <c r="D20" s="81" t="str">
        <f>+'MRS LIST'!G20</f>
        <v>EA</v>
      </c>
      <c r="E20" s="82">
        <f>+'MRS LIST'!H20</f>
        <v>50</v>
      </c>
      <c r="F20" s="83">
        <f>+'MRS LIST'!I20</f>
        <v>12</v>
      </c>
      <c r="G20" s="84">
        <f>+'MRS LIST'!J20</f>
        <v>600</v>
      </c>
      <c r="H20" s="114"/>
    </row>
    <row r="21" spans="1:8" s="49" customFormat="1" ht="35.1" customHeight="1">
      <c r="A21" s="115">
        <f t="shared" si="0"/>
        <v>16</v>
      </c>
      <c r="B21" s="173" t="str">
        <f>MRS!B21</f>
        <v>MEASURING TAPE 7.5M</v>
      </c>
      <c r="C21" s="173"/>
      <c r="D21" s="81" t="str">
        <f>+'MRS LIST'!G21</f>
        <v>EA</v>
      </c>
      <c r="E21" s="82">
        <f>+'MRS LIST'!H21</f>
        <v>25</v>
      </c>
      <c r="F21" s="83">
        <f>+'MRS LIST'!I21</f>
        <v>16</v>
      </c>
      <c r="G21" s="84">
        <f>+'MRS LIST'!J21</f>
        <v>400</v>
      </c>
      <c r="H21" s="114"/>
    </row>
    <row r="22" spans="1:8" s="49" customFormat="1" ht="35.1" customHeight="1">
      <c r="A22" s="115">
        <f t="shared" si="0"/>
        <v>17</v>
      </c>
      <c r="B22" s="173" t="str">
        <f>MRS!B22</f>
        <v>HAND WIRE BRUSH - CS</v>
      </c>
      <c r="C22" s="173"/>
      <c r="D22" s="81" t="str">
        <f>+'MRS LIST'!G22</f>
        <v>EA</v>
      </c>
      <c r="E22" s="82">
        <f>+'MRS LIST'!H22</f>
        <v>36</v>
      </c>
      <c r="F22" s="83">
        <f>+'MRS LIST'!I22</f>
        <v>6.5</v>
      </c>
      <c r="G22" s="84">
        <f>+'MRS LIST'!J22</f>
        <v>234</v>
      </c>
      <c r="H22" s="114"/>
    </row>
    <row r="23" spans="1:8" s="49" customFormat="1" ht="35.1" customHeight="1">
      <c r="A23" s="115">
        <f t="shared" si="0"/>
        <v>18</v>
      </c>
      <c r="B23" s="173" t="str">
        <f>MRS!B23</f>
        <v>WD 40 (24PCS/BOX)</v>
      </c>
      <c r="C23" s="173"/>
      <c r="D23" s="81" t="str">
        <f>+'MRS LIST'!G23</f>
        <v>BOX</v>
      </c>
      <c r="E23" s="82">
        <f>+'MRS LIST'!H23</f>
        <v>16</v>
      </c>
      <c r="F23" s="83">
        <f>+'MRS LIST'!I23</f>
        <v>440</v>
      </c>
      <c r="G23" s="84">
        <f>+'MRS LIST'!J23</f>
        <v>7040</v>
      </c>
      <c r="H23" s="114"/>
    </row>
    <row r="24" spans="1:8" s="49" customFormat="1" ht="35.1" customHeight="1">
      <c r="A24" s="115">
        <f t="shared" si="0"/>
        <v>19</v>
      </c>
      <c r="B24" s="173" t="str">
        <f>MRS!B24</f>
        <v>COTTON RAGS - MIXED_LQ4</v>
      </c>
      <c r="C24" s="173"/>
      <c r="D24" s="81" t="str">
        <f>+'MRS LIST'!G24</f>
        <v>BNDL</v>
      </c>
      <c r="E24" s="82">
        <f>+'MRS LIST'!H24</f>
        <v>15</v>
      </c>
      <c r="F24" s="83">
        <f>+'MRS LIST'!I24</f>
        <v>29</v>
      </c>
      <c r="G24" s="84">
        <f>+'MRS LIST'!J24</f>
        <v>435</v>
      </c>
      <c r="H24" s="114"/>
    </row>
    <row r="25" spans="1:8" s="49" customFormat="1" ht="35.1" customHeight="1">
      <c r="A25" s="115">
        <f t="shared" si="0"/>
        <v>20</v>
      </c>
      <c r="B25" s="173" t="str">
        <f>MRS!B25</f>
        <v>COTTON RAGS WHITE  100% COTTON HQ1</v>
      </c>
      <c r="C25" s="173"/>
      <c r="D25" s="81" t="str">
        <f>+'MRS LIST'!G25</f>
        <v>BNDL</v>
      </c>
      <c r="E25" s="82">
        <f>+'MRS LIST'!H25</f>
        <v>21</v>
      </c>
      <c r="F25" s="83">
        <f>+'MRS LIST'!I25</f>
        <v>88</v>
      </c>
      <c r="G25" s="84">
        <f>+'MRS LIST'!J25</f>
        <v>1848</v>
      </c>
      <c r="H25" s="114"/>
    </row>
    <row r="26" spans="1:8" s="49" customFormat="1" ht="35.1" customHeight="1">
      <c r="A26" s="115">
        <f t="shared" si="0"/>
        <v>21</v>
      </c>
      <c r="B26" s="173" t="str">
        <f>MRS!B26</f>
        <v>FIRE BLANKET 1MM*50MTR ORANGE</v>
      </c>
      <c r="C26" s="173"/>
      <c r="D26" s="81" t="str">
        <f>+'MRS LIST'!G26</f>
        <v>ROLL</v>
      </c>
      <c r="E26" s="82">
        <f>+'MRS LIST'!H26</f>
        <v>50</v>
      </c>
      <c r="F26" s="83">
        <f>+'MRS LIST'!I26</f>
        <v>480</v>
      </c>
      <c r="G26" s="84">
        <f>+'MRS LIST'!J26</f>
        <v>24000</v>
      </c>
      <c r="H26" s="114"/>
    </row>
    <row r="27" spans="1:8" s="49" customFormat="1" ht="35.1" customHeight="1">
      <c r="A27" s="115">
        <f t="shared" si="0"/>
        <v>22</v>
      </c>
      <c r="B27" s="173" t="str">
        <f>MRS!B27</f>
        <v>PADLOCK 60MM</v>
      </c>
      <c r="C27" s="173"/>
      <c r="D27" s="81" t="str">
        <f>+'MRS LIST'!G27</f>
        <v>EA</v>
      </c>
      <c r="E27" s="82">
        <f>+'MRS LIST'!H27</f>
        <v>30</v>
      </c>
      <c r="F27" s="83">
        <f>+'MRS LIST'!I27</f>
        <v>14</v>
      </c>
      <c r="G27" s="84">
        <f>+'MRS LIST'!J27</f>
        <v>420</v>
      </c>
      <c r="H27" s="114"/>
    </row>
    <row r="28" spans="1:8" s="49" customFormat="1" ht="35.1" customHeight="1">
      <c r="A28" s="115">
        <f t="shared" si="0"/>
        <v>23</v>
      </c>
      <c r="B28" s="173" t="str">
        <f>MRS!B28</f>
        <v>3M PINK FILTER 2091 P100</v>
      </c>
      <c r="C28" s="173"/>
      <c r="D28" s="81" t="str">
        <f>+'MRS LIST'!G28</f>
        <v>PAIR</v>
      </c>
      <c r="E28" s="82">
        <f>+'MRS LIST'!H28</f>
        <v>70</v>
      </c>
      <c r="F28" s="83">
        <f>+'MRS LIST'!I28</f>
        <v>34</v>
      </c>
      <c r="G28" s="84">
        <f>+'MRS LIST'!J28</f>
        <v>2380</v>
      </c>
      <c r="H28" s="114"/>
    </row>
    <row r="29" spans="1:8" s="49" customFormat="1" ht="35.1" customHeight="1">
      <c r="A29" s="115">
        <f t="shared" si="0"/>
        <v>24</v>
      </c>
      <c r="B29" s="173" t="str">
        <f>MRS!B29</f>
        <v>DUST MASK N95 VENUS</v>
      </c>
      <c r="C29" s="173"/>
      <c r="D29" s="81" t="str">
        <f>+'MRS LIST'!G29</f>
        <v>PACK</v>
      </c>
      <c r="E29" s="82">
        <f>+'MRS LIST'!H29</f>
        <v>50</v>
      </c>
      <c r="F29" s="83">
        <f>+'MRS LIST'!I29</f>
        <v>38</v>
      </c>
      <c r="G29" s="84">
        <f>+'MRS LIST'!J29</f>
        <v>1900</v>
      </c>
      <c r="H29" s="114"/>
    </row>
    <row r="30" spans="1:8" s="49" customFormat="1" ht="35.1" customHeight="1">
      <c r="A30" s="115">
        <f t="shared" si="0"/>
        <v>25</v>
      </c>
      <c r="B30" s="173" t="str">
        <f>MRS!B30</f>
        <v>PAINT MARKER BLACK</v>
      </c>
      <c r="C30" s="173"/>
      <c r="D30" s="81" t="str">
        <f>+'MRS LIST'!G30</f>
        <v>PACK</v>
      </c>
      <c r="E30" s="82">
        <f>+'MRS LIST'!H30</f>
        <v>34</v>
      </c>
      <c r="F30" s="83">
        <f>+'MRS LIST'!I30</f>
        <v>38</v>
      </c>
      <c r="G30" s="84">
        <f>+'MRS LIST'!J30</f>
        <v>1292</v>
      </c>
      <c r="H30" s="114"/>
    </row>
    <row r="31" spans="1:8" s="49" customFormat="1" ht="35.1" customHeight="1">
      <c r="A31" s="115">
        <f t="shared" si="0"/>
        <v>26</v>
      </c>
      <c r="B31" s="173" t="str">
        <f>MRS!B31</f>
        <v>PAINT MARKER WHITE (12PCS/PACK)</v>
      </c>
      <c r="C31" s="173"/>
      <c r="D31" s="81" t="str">
        <f>+'MRS LIST'!G31</f>
        <v>PACK</v>
      </c>
      <c r="E31" s="82">
        <f>+'MRS LIST'!H31</f>
        <v>34</v>
      </c>
      <c r="F31" s="83">
        <f>+'MRS LIST'!I31</f>
        <v>38</v>
      </c>
      <c r="G31" s="84">
        <f>+'MRS LIST'!J31</f>
        <v>1292</v>
      </c>
      <c r="H31" s="114"/>
    </row>
    <row r="32" spans="1:8" s="49" customFormat="1" ht="35.1" customHeight="1">
      <c r="A32" s="115">
        <f t="shared" si="0"/>
        <v>27</v>
      </c>
      <c r="B32" s="173" t="str">
        <f>MRS!B32</f>
        <v>ELECTRICAL TAPE 50FT BLACK</v>
      </c>
      <c r="C32" s="173"/>
      <c r="D32" s="81" t="str">
        <f>+'MRS LIST'!G32</f>
        <v>ROLL</v>
      </c>
      <c r="E32" s="82">
        <f>+'MRS LIST'!H32</f>
        <v>420</v>
      </c>
      <c r="F32" s="83">
        <f>+'MRS LIST'!I32</f>
        <v>2.5</v>
      </c>
      <c r="G32" s="84">
        <f>+'MRS LIST'!J32</f>
        <v>1050</v>
      </c>
      <c r="H32" s="114"/>
    </row>
    <row r="33" spans="1:8" s="49" customFormat="1" ht="35.1" customHeight="1">
      <c r="A33" s="115">
        <f t="shared" si="0"/>
        <v>28</v>
      </c>
      <c r="B33" s="173" t="str">
        <f>MRS!B33</f>
        <v>CLEAR TAPE 2" 100YARD (30PCS/BOX) VESTRA</v>
      </c>
      <c r="C33" s="173"/>
      <c r="D33" s="81" t="str">
        <f>+'MRS LIST'!G33</f>
        <v>ROLL</v>
      </c>
      <c r="E33" s="82">
        <f>+'MRS LIST'!H33</f>
        <v>132</v>
      </c>
      <c r="F33" s="83">
        <f>+'MRS LIST'!I33</f>
        <v>4</v>
      </c>
      <c r="G33" s="84">
        <f>+'MRS LIST'!J33</f>
        <v>528</v>
      </c>
      <c r="H33" s="114"/>
    </row>
    <row r="34" spans="1:8" s="49" customFormat="1" ht="35.1" customHeight="1">
      <c r="A34" s="115">
        <f t="shared" si="0"/>
        <v>29</v>
      </c>
      <c r="B34" s="173" t="str">
        <f>MRS!B34</f>
        <v>HACK SAW BLADE SS</v>
      </c>
      <c r="C34" s="173"/>
      <c r="D34" s="81" t="str">
        <f>+'MRS LIST'!G34</f>
        <v>EA</v>
      </c>
      <c r="E34" s="82">
        <f>+'MRS LIST'!H34</f>
        <v>660</v>
      </c>
      <c r="F34" s="83">
        <f>+'MRS LIST'!I34</f>
        <v>4.5</v>
      </c>
      <c r="G34" s="84">
        <f>+'MRS LIST'!J34</f>
        <v>2970</v>
      </c>
      <c r="H34" s="114"/>
    </row>
    <row r="35" spans="1:8" s="49" customFormat="1" ht="35.1" customHeight="1">
      <c r="A35" s="115">
        <f t="shared" si="0"/>
        <v>30</v>
      </c>
      <c r="B35" s="173" t="str">
        <f>MRS!B35</f>
        <v>SAND BAG 100*60 BIG</v>
      </c>
      <c r="C35" s="173"/>
      <c r="D35" s="81" t="str">
        <f>+'MRS LIST'!G35</f>
        <v>PCS</v>
      </c>
      <c r="E35" s="82">
        <f>+'MRS LIST'!H35</f>
        <v>2500</v>
      </c>
      <c r="F35" s="83">
        <f>+'MRS LIST'!I35</f>
        <v>3</v>
      </c>
      <c r="G35" s="84">
        <f>+'MRS LIST'!J35</f>
        <v>7500</v>
      </c>
      <c r="H35" s="114"/>
    </row>
    <row r="36" spans="1:8" s="49" customFormat="1" ht="35.1" customHeight="1">
      <c r="A36" s="115">
        <f t="shared" si="0"/>
        <v>31</v>
      </c>
      <c r="B36" s="173" t="str">
        <f>MRS!B36</f>
        <v>DISPOSABLE COVERALL #XL</v>
      </c>
      <c r="C36" s="173"/>
      <c r="D36" s="81" t="str">
        <f>+'MRS LIST'!G36</f>
        <v>PCS</v>
      </c>
      <c r="E36" s="82">
        <f>+'MRS LIST'!H36</f>
        <v>400</v>
      </c>
      <c r="F36" s="83">
        <f>+'MRS LIST'!I36</f>
        <v>4.5</v>
      </c>
      <c r="G36" s="84">
        <f>+'MRS LIST'!J36</f>
        <v>1800</v>
      </c>
      <c r="H36" s="114"/>
    </row>
    <row r="37" spans="1:8" s="49" customFormat="1" ht="35.1" customHeight="1">
      <c r="A37" s="115">
        <f t="shared" si="0"/>
        <v>32</v>
      </c>
      <c r="B37" s="173" t="str">
        <f>MRS!B37</f>
        <v>ORANGE COATED GLOVES</v>
      </c>
      <c r="C37" s="173"/>
      <c r="D37" s="81" t="str">
        <f>+'MRS LIST'!G37</f>
        <v>PAIR</v>
      </c>
      <c r="E37" s="82">
        <f>+'MRS LIST'!H37</f>
        <v>19750</v>
      </c>
      <c r="F37" s="83">
        <f>+'MRS LIST'!I37</f>
        <v>1.4</v>
      </c>
      <c r="G37" s="84">
        <f>+'MRS LIST'!J37</f>
        <v>27650</v>
      </c>
      <c r="H37" s="114"/>
    </row>
    <row r="38" spans="1:8" s="49" customFormat="1" ht="35.1" customHeight="1">
      <c r="A38" s="115">
        <f t="shared" si="0"/>
        <v>33</v>
      </c>
      <c r="B38" s="173" t="str">
        <f>MRS!B38</f>
        <v>PAINT MARKER BLACK</v>
      </c>
      <c r="C38" s="173"/>
      <c r="D38" s="81" t="str">
        <f>+'MRS LIST'!G38</f>
        <v>PACK</v>
      </c>
      <c r="E38" s="82">
        <f>+'MRS LIST'!H38</f>
        <v>40</v>
      </c>
      <c r="F38" s="83">
        <f>+'MRS LIST'!I38</f>
        <v>38</v>
      </c>
      <c r="G38" s="84">
        <f>+'MRS LIST'!J38</f>
        <v>1520</v>
      </c>
      <c r="H38" s="114"/>
    </row>
    <row r="39" spans="1:8" s="49" customFormat="1" ht="35.1" customHeight="1">
      <c r="A39" s="115">
        <f t="shared" si="0"/>
        <v>34</v>
      </c>
      <c r="B39" s="173" t="str">
        <f>MRS!B39</f>
        <v>LOW CHLORIDE MARKER BLUE</v>
      </c>
      <c r="C39" s="173"/>
      <c r="D39" s="81" t="str">
        <f>+'MRS LIST'!G39</f>
        <v>EA</v>
      </c>
      <c r="E39" s="82">
        <f>+'MRS LIST'!H39</f>
        <v>120</v>
      </c>
      <c r="F39" s="83">
        <f>+'MRS LIST'!I39</f>
        <v>18</v>
      </c>
      <c r="G39" s="84">
        <f>+'MRS LIST'!J39</f>
        <v>2160</v>
      </c>
      <c r="H39" s="114"/>
    </row>
    <row r="40" spans="1:8" s="49" customFormat="1" ht="35.1" customHeight="1">
      <c r="A40" s="115">
        <f t="shared" si="0"/>
        <v>35</v>
      </c>
      <c r="B40" s="173" t="str">
        <f>MRS!B40</f>
        <v>MASKING TAPE 2'' 30 YARD (24ROLL/BOX)</v>
      </c>
      <c r="C40" s="173"/>
      <c r="D40" s="81" t="str">
        <f>+'MRS LIST'!G40</f>
        <v>BOX</v>
      </c>
      <c r="E40" s="82">
        <f>+'MRS LIST'!H40</f>
        <v>23</v>
      </c>
      <c r="F40" s="83">
        <f>+'MRS LIST'!I40</f>
        <v>75</v>
      </c>
      <c r="G40" s="84">
        <f>+'MRS LIST'!J40</f>
        <v>1725</v>
      </c>
      <c r="H40" s="114"/>
    </row>
    <row r="41" spans="1:8" s="49" customFormat="1" ht="35.1" customHeight="1">
      <c r="A41" s="115">
        <f t="shared" si="0"/>
        <v>36</v>
      </c>
      <c r="B41" s="173" t="str">
        <f>MRS!B41</f>
        <v>SPRAY PAINT WHITE (12PCS/BOX)</v>
      </c>
      <c r="C41" s="173"/>
      <c r="D41" s="81" t="str">
        <f>+'MRS LIST'!G41</f>
        <v>PCS</v>
      </c>
      <c r="E41" s="82">
        <f>+'MRS LIST'!H41</f>
        <v>24</v>
      </c>
      <c r="F41" s="83">
        <f>+'MRS LIST'!I41</f>
        <v>6</v>
      </c>
      <c r="G41" s="84">
        <f>+'MRS LIST'!J41</f>
        <v>144</v>
      </c>
      <c r="H41" s="114"/>
    </row>
    <row r="42" spans="1:8" s="49" customFormat="1" ht="35.1" customHeight="1">
      <c r="A42" s="115">
        <f t="shared" si="0"/>
        <v>37</v>
      </c>
      <c r="B42" s="173" t="str">
        <f>MRS!B42</f>
        <v>CABLE TIE 300*4.8MM</v>
      </c>
      <c r="C42" s="173"/>
      <c r="D42" s="81" t="str">
        <f>+'MRS LIST'!G42</f>
        <v>PACK</v>
      </c>
      <c r="E42" s="82">
        <f>+'MRS LIST'!H42</f>
        <v>50</v>
      </c>
      <c r="F42" s="83">
        <f>+'MRS LIST'!I42</f>
        <v>14</v>
      </c>
      <c r="G42" s="84">
        <f>+'MRS LIST'!J42</f>
        <v>700</v>
      </c>
      <c r="H42" s="114"/>
    </row>
    <row r="43" spans="1:8" s="49" customFormat="1" ht="35.1" customHeight="1">
      <c r="A43" s="115">
        <f t="shared" si="0"/>
        <v>38</v>
      </c>
      <c r="B43" s="173" t="str">
        <f>MRS!B43</f>
        <v>CD MARKER BLUE</v>
      </c>
      <c r="C43" s="173"/>
      <c r="D43" s="81" t="str">
        <f>+'MRS LIST'!G43</f>
        <v>PACK</v>
      </c>
      <c r="E43" s="82">
        <f>+'MRS LIST'!H43</f>
        <v>6</v>
      </c>
      <c r="F43" s="83">
        <f>+'MRS LIST'!I43</f>
        <v>65</v>
      </c>
      <c r="G43" s="84">
        <f>+'MRS LIST'!J43</f>
        <v>390</v>
      </c>
      <c r="H43" s="114"/>
    </row>
    <row r="44" spans="1:8" s="49" customFormat="1" ht="35.1" customHeight="1">
      <c r="A44" s="115">
        <f t="shared" si="0"/>
        <v>39</v>
      </c>
      <c r="B44" s="173" t="str">
        <f>MRS!B44</f>
        <v>PAINT BRUSH 3" (12PCS/BOX)</v>
      </c>
      <c r="C44" s="173"/>
      <c r="D44" s="81" t="str">
        <f>+'MRS LIST'!G44</f>
        <v>PCS</v>
      </c>
      <c r="E44" s="82">
        <f>+'MRS LIST'!H44</f>
        <v>24</v>
      </c>
      <c r="F44" s="83">
        <f>+'MRS LIST'!I44</f>
        <v>4</v>
      </c>
      <c r="G44" s="84">
        <f>+'MRS LIST'!J44</f>
        <v>96</v>
      </c>
      <c r="H44" s="114"/>
    </row>
    <row r="45" spans="1:8" s="49" customFormat="1" ht="23.1" customHeight="1">
      <c r="A45" s="169" t="s">
        <v>74</v>
      </c>
      <c r="B45" s="170"/>
      <c r="C45" s="170"/>
      <c r="D45" s="170"/>
      <c r="E45" s="170"/>
      <c r="F45" s="170"/>
      <c r="G45" s="52">
        <f>SUM(G6:G44)</f>
        <v>124889.5</v>
      </c>
      <c r="H45" s="53"/>
    </row>
    <row r="46" spans="1:8" s="49" customFormat="1" ht="23.1" customHeight="1">
      <c r="A46" s="169" t="s">
        <v>40</v>
      </c>
      <c r="B46" s="170"/>
      <c r="C46" s="170"/>
      <c r="D46" s="170"/>
      <c r="E46" s="170"/>
      <c r="F46" s="170"/>
      <c r="G46" s="52">
        <f>+G45*0.15</f>
        <v>18733.424999999999</v>
      </c>
      <c r="H46" s="53"/>
    </row>
    <row r="47" spans="1:8" s="49" customFormat="1" ht="24.95" customHeight="1" thickBot="1">
      <c r="A47" s="171" t="s">
        <v>75</v>
      </c>
      <c r="B47" s="172"/>
      <c r="C47" s="172"/>
      <c r="D47" s="172"/>
      <c r="E47" s="172"/>
      <c r="F47" s="172"/>
      <c r="G47" s="54">
        <f>G46+G45</f>
        <v>143622.92499999999</v>
      </c>
      <c r="H47" s="55"/>
    </row>
    <row r="48" spans="1:8" ht="15.75" thickTop="1">
      <c r="A48" s="56" t="str">
        <f>" 1) Above Price are as per your quotation with ref "&amp;'PO 1st page'!K14</f>
        <v xml:space="preserve"> 1) Above Price are as per your quotation with ref FACT/2026027</v>
      </c>
      <c r="B48" s="57"/>
      <c r="C48" s="57"/>
      <c r="D48" s="58"/>
      <c r="E48" s="58"/>
      <c r="F48" s="58"/>
      <c r="G48" s="58"/>
      <c r="H48" s="58"/>
    </row>
    <row r="49" spans="1:13" ht="15">
      <c r="A49" s="59" t="s">
        <v>76</v>
      </c>
      <c r="B49" s="60"/>
      <c r="C49" s="60"/>
      <c r="D49" s="61"/>
      <c r="E49" s="61"/>
      <c r="F49" s="61"/>
      <c r="G49" s="61"/>
      <c r="H49" s="61"/>
      <c r="I49" s="62"/>
    </row>
    <row r="50" spans="1:13" ht="15.75">
      <c r="A50" s="63"/>
    </row>
    <row r="51" spans="1:13">
      <c r="A51" s="160" t="s">
        <v>77</v>
      </c>
      <c r="B51" s="160"/>
      <c r="C51" s="160"/>
      <c r="D51" s="160"/>
      <c r="E51" s="160"/>
      <c r="F51" s="160"/>
      <c r="G51" s="160"/>
      <c r="H51" s="160"/>
      <c r="I51" s="64"/>
      <c r="J51" s="64"/>
      <c r="K51" s="64"/>
      <c r="L51" s="64"/>
      <c r="M51" s="64"/>
    </row>
    <row r="52" spans="1:13" ht="15.75">
      <c r="A52" s="63"/>
      <c r="C52" s="65"/>
    </row>
    <row r="53" spans="1:13" ht="15.75">
      <c r="A53" s="63"/>
      <c r="C53" s="65"/>
    </row>
    <row r="55" spans="1:13" ht="12" customHeight="1"/>
  </sheetData>
  <mergeCells count="51">
    <mergeCell ref="B44:C44"/>
    <mergeCell ref="B38:C38"/>
    <mergeCell ref="B39:C39"/>
    <mergeCell ref="B40:C40"/>
    <mergeCell ref="B41:C41"/>
    <mergeCell ref="B42:C42"/>
    <mergeCell ref="B34:C34"/>
    <mergeCell ref="B35:C35"/>
    <mergeCell ref="B36:C36"/>
    <mergeCell ref="B37:C37"/>
    <mergeCell ref="B43:C43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45:F45"/>
    <mergeCell ref="A46:F46"/>
    <mergeCell ref="A47:F47"/>
    <mergeCell ref="A51:H5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2026-10-25T13:08:57Z</cp:lastPrinted>
  <dcterms:created xsi:type="dcterms:W3CDTF">2024-10-20T11:50:19Z</dcterms:created>
  <dcterms:modified xsi:type="dcterms:W3CDTF">2026-10-25T13:09:49Z</dcterms:modified>
</cp:coreProperties>
</file>