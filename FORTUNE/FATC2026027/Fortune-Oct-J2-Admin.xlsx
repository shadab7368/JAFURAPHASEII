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Fortune-Sep-J1\J2\"/>
    </mc:Choice>
  </mc:AlternateContent>
  <xr:revisionPtr revIDLastSave="0" documentId="8_{4E7785C9-052D-4925-A688-EFD0110EF98A}" xr6:coauthVersionLast="47" xr6:coauthVersionMax="47" xr10:uidLastSave="{00000000-0000-0000-0000-000000000000}"/>
  <bookViews>
    <workbookView xWindow="-28920" yWindow="855" windowWidth="29040" windowHeight="15720" xr2:uid="{71C53970-7E36-4EEF-812E-77ADD1995220}"/>
  </bookViews>
  <sheets>
    <sheet name="combin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1" i="1" l="1"/>
  <c r="H41" i="1"/>
  <c r="F41" i="1"/>
  <c r="J40" i="1"/>
  <c r="H40" i="1"/>
  <c r="F40" i="1"/>
  <c r="J39" i="1"/>
  <c r="H39" i="1"/>
  <c r="F39" i="1"/>
  <c r="J38" i="1"/>
  <c r="H38" i="1"/>
  <c r="F38" i="1"/>
  <c r="J37" i="1"/>
  <c r="H37" i="1"/>
  <c r="F37" i="1"/>
  <c r="J36" i="1"/>
  <c r="H36" i="1"/>
  <c r="F36" i="1"/>
  <c r="J35" i="1"/>
  <c r="H35" i="1"/>
  <c r="F35" i="1"/>
  <c r="J34" i="1"/>
  <c r="H34" i="1"/>
  <c r="F34" i="1"/>
  <c r="J33" i="1"/>
  <c r="H33" i="1"/>
  <c r="F33" i="1"/>
  <c r="J32" i="1"/>
  <c r="H32" i="1"/>
  <c r="F32" i="1"/>
  <c r="J31" i="1"/>
  <c r="H31" i="1"/>
  <c r="F31" i="1"/>
  <c r="J30" i="1"/>
  <c r="H30" i="1"/>
  <c r="F30" i="1"/>
  <c r="J29" i="1"/>
  <c r="H29" i="1"/>
  <c r="F29" i="1"/>
  <c r="J28" i="1"/>
  <c r="H28" i="1"/>
  <c r="F28" i="1"/>
  <c r="J27" i="1"/>
  <c r="H27" i="1"/>
  <c r="F27" i="1"/>
  <c r="J26" i="1"/>
  <c r="H26" i="1"/>
  <c r="F26" i="1"/>
  <c r="J25" i="1"/>
  <c r="H25" i="1"/>
  <c r="F25" i="1"/>
  <c r="J24" i="1"/>
  <c r="H24" i="1"/>
  <c r="F24" i="1"/>
  <c r="J23" i="1"/>
  <c r="H23" i="1"/>
  <c r="F23" i="1"/>
  <c r="J22" i="1"/>
  <c r="H22" i="1"/>
  <c r="F22" i="1"/>
  <c r="J21" i="1"/>
  <c r="H21" i="1"/>
  <c r="F21" i="1"/>
  <c r="J20" i="1"/>
  <c r="H20" i="1"/>
  <c r="F20" i="1"/>
  <c r="J19" i="1"/>
  <c r="H19" i="1"/>
  <c r="F19" i="1"/>
  <c r="J18" i="1"/>
  <c r="H18" i="1"/>
  <c r="F18" i="1"/>
  <c r="J17" i="1"/>
  <c r="H17" i="1"/>
  <c r="F17" i="1"/>
  <c r="J16" i="1"/>
  <c r="H16" i="1"/>
  <c r="F16" i="1"/>
  <c r="J15" i="1"/>
  <c r="H15" i="1"/>
  <c r="F15" i="1"/>
  <c r="J14" i="1"/>
  <c r="H14" i="1"/>
  <c r="F14" i="1"/>
  <c r="J13" i="1"/>
  <c r="H13" i="1"/>
  <c r="F13" i="1"/>
  <c r="J12" i="1"/>
  <c r="H12" i="1"/>
  <c r="F12" i="1"/>
  <c r="J11" i="1"/>
  <c r="H11" i="1"/>
  <c r="F11" i="1"/>
  <c r="J10" i="1"/>
  <c r="H10" i="1"/>
  <c r="F10" i="1"/>
  <c r="J9" i="1"/>
  <c r="H9" i="1"/>
  <c r="F9" i="1"/>
  <c r="J8" i="1"/>
  <c r="H8" i="1"/>
  <c r="F8" i="1"/>
  <c r="J7" i="1"/>
  <c r="H7" i="1"/>
  <c r="F7" i="1"/>
  <c r="J6" i="1"/>
  <c r="H6" i="1"/>
  <c r="F6" i="1"/>
  <c r="J5" i="1"/>
  <c r="H5" i="1"/>
  <c r="F5" i="1"/>
  <c r="J4" i="1"/>
  <c r="H4" i="1"/>
  <c r="F4" i="1"/>
  <c r="J3" i="1"/>
  <c r="J42" i="1" s="1"/>
  <c r="H3" i="1"/>
  <c r="H42" i="1" s="1"/>
  <c r="F3" i="1"/>
  <c r="F42" i="1" s="1"/>
</calcChain>
</file>

<file path=xl/sharedStrings.xml><?xml version="1.0" encoding="utf-8"?>
<sst xmlns="http://schemas.openxmlformats.org/spreadsheetml/2006/main" count="91" uniqueCount="54">
  <si>
    <t>Fortune</t>
    <phoneticPr fontId="1" type="noConversion"/>
  </si>
  <si>
    <t>Excel</t>
    <phoneticPr fontId="1" type="noConversion"/>
  </si>
  <si>
    <t>Probuld</t>
    <phoneticPr fontId="1" type="noConversion"/>
  </si>
  <si>
    <t>SI NO.</t>
  </si>
  <si>
    <t>ITEM DESCRIPTION</t>
  </si>
  <si>
    <t xml:space="preserve">UNIT </t>
  </si>
  <si>
    <t xml:space="preserve">QTY </t>
  </si>
  <si>
    <t>Up</t>
    <phoneticPr fontId="1" type="noConversion"/>
  </si>
  <si>
    <t>Amount</t>
    <phoneticPr fontId="1" type="noConversion"/>
  </si>
  <si>
    <t>3M HALF FACE MASK - 6200</t>
  </si>
  <si>
    <t>EA</t>
  </si>
  <si>
    <t xml:space="preserve">SILICON SEALANT WHITE (24PCS/BOX)    </t>
  </si>
  <si>
    <t>BOX</t>
  </si>
  <si>
    <t xml:space="preserve">KNIFE BLADE SHORT (10PCS/PACK)    </t>
  </si>
  <si>
    <t>PACK</t>
  </si>
  <si>
    <t xml:space="preserve">FILE HALF ROUND 12"   </t>
  </si>
  <si>
    <t xml:space="preserve">ELECTRICAL TAPE 50FT GREEN    </t>
  </si>
  <si>
    <t>ROLL</t>
  </si>
  <si>
    <t xml:space="preserve">CLEAR TAPE 2" 70YARD (30PCS/BOX) VESTRA   </t>
  </si>
  <si>
    <t>HACK SAW BLADE 24T  CS</t>
    <phoneticPr fontId="1" type="noConversion"/>
  </si>
  <si>
    <t xml:space="preserve">SAND PAPER ROLL 4'' 120GRIT   </t>
  </si>
  <si>
    <t xml:space="preserve">WRAPPING ROLL 3.5KG VESTRA </t>
  </si>
  <si>
    <t>ELECTRICAL TAPE 50FT RED</t>
  </si>
  <si>
    <t>MASKING TAPE 2'' 25 YARD (24ROLL/BOX)</t>
    <phoneticPr fontId="1" type="noConversion"/>
  </si>
  <si>
    <t>MASKING TAPE 1'' 18 YARD (36ROLL/BOX)</t>
  </si>
  <si>
    <t>WARNING TAPE 3" RED/WHITE</t>
  </si>
  <si>
    <t>DUCT TAPE 2'' 25YARD (24ROLL/BOX) VESTRA</t>
  </si>
  <si>
    <t>MEASURING TAPE 5MTR</t>
    <phoneticPr fontId="1" type="noConversion"/>
  </si>
  <si>
    <t>MEASURING TAPE 7.5M</t>
  </si>
  <si>
    <t>HAND WIRE BRUSH - CS</t>
  </si>
  <si>
    <t>WD 40 (24PCS/BOX)</t>
  </si>
  <si>
    <t>COTTON RAGS - MIXED_LQ4</t>
  </si>
  <si>
    <t>BNDL</t>
  </si>
  <si>
    <t>COTTON RAGS WHITE  100% COTTON HQ1</t>
  </si>
  <si>
    <t>FIRE BLANKET 1MM*50MTR ORANGE</t>
  </si>
  <si>
    <t>PADLOCK 60MM</t>
  </si>
  <si>
    <t>3M PINK FILTER 2091 P100</t>
  </si>
  <si>
    <t>PAIR</t>
  </si>
  <si>
    <t>DUST MASK N95 VENUS</t>
  </si>
  <si>
    <t>PAINT MARKER BLACK</t>
  </si>
  <si>
    <t>PAINT MARKER WHITE (12PCS/PACK)</t>
  </si>
  <si>
    <t>ELECTRICAL TAPE 50FT BLACK</t>
  </si>
  <si>
    <t>CLEAR TAPE 2" 100YARD (30PCS/BOX) VESTRA</t>
  </si>
  <si>
    <t>HACK SAW BLADE SS</t>
  </si>
  <si>
    <t>SAND BAG 100*60 BIG</t>
  </si>
  <si>
    <t>PCS</t>
  </si>
  <si>
    <t>DISPOSABLE COVERALL #XL</t>
  </si>
  <si>
    <t>ORANGE COATED GLOVES</t>
  </si>
  <si>
    <t>LOW CHLORIDE MARKER BLUE</t>
  </si>
  <si>
    <t>MASKING TAPE 2'' 30 YARD (24ROLL/BOX)</t>
    <phoneticPr fontId="1" type="noConversion"/>
  </si>
  <si>
    <t>SPRAY PAINT WHITE (12PCS/BOX)</t>
  </si>
  <si>
    <t>CABLE TIE 300*4.8MM</t>
  </si>
  <si>
    <t>CD MARKER BLUE</t>
  </si>
  <si>
    <t>PAINT BRUSH 3" (12PCS/BOX)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</si>
</sst>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77" fontId="3" fillId="0" borderId="0" xfId="0" applyNumberFormat="1" applyFont="1"/>
    <xf numFmtId="176" fontId="3" fillId="0" borderId="0" xfId="0" applyNumberFormat="1" applyFont="1"/>
    <xf numFmtId="176" fontId="3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3844-8660-4AFA-8152-C9EF6F8544BB}">
  <dimension ref="A1:P43"/>
  <sheetViews>
    <sheetView tabSelected="1" topLeftCell="A7" workbookViewId="0">
      <selection activeCell="B24" sqref="B24"/>
    </sheetView>
  </sheetViews>
  <sheetFormatPr defaultRowHeight="17.399999999999999" x14ac:dyDescent="0.4"/>
  <cols>
    <col min="1" max="1" width="6.59765625" style="1" customWidth="1"/>
    <col min="2" max="2" width="40.59765625" customWidth="1"/>
    <col min="3" max="3" width="8.796875" style="1"/>
    <col min="5" max="5" width="8.8984375" bestFit="1" customWidth="1"/>
    <col min="6" max="6" width="13.59765625" style="2" customWidth="1"/>
    <col min="7" max="7" width="9.59765625" customWidth="1"/>
    <col min="8" max="8" width="9.796875" customWidth="1"/>
    <col min="10" max="10" width="10.5" customWidth="1"/>
  </cols>
  <sheetData>
    <row r="1" spans="1:16" x14ac:dyDescent="0.4">
      <c r="E1" s="1" t="s">
        <v>0</v>
      </c>
      <c r="G1" t="s">
        <v>1</v>
      </c>
      <c r="I1" t="s">
        <v>2</v>
      </c>
    </row>
    <row r="2" spans="1:16" x14ac:dyDescent="0.4">
      <c r="A2" s="3" t="s">
        <v>3</v>
      </c>
      <c r="B2" s="3" t="s">
        <v>4</v>
      </c>
      <c r="C2" s="3" t="s">
        <v>5</v>
      </c>
      <c r="D2" s="3" t="s">
        <v>6</v>
      </c>
      <c r="E2" s="4" t="s">
        <v>7</v>
      </c>
      <c r="F2" s="3" t="s">
        <v>8</v>
      </c>
      <c r="G2" s="4" t="s">
        <v>7</v>
      </c>
      <c r="H2" s="3" t="s">
        <v>8</v>
      </c>
      <c r="I2" s="4" t="s">
        <v>7</v>
      </c>
      <c r="J2" s="3" t="s">
        <v>8</v>
      </c>
      <c r="M2" s="5"/>
      <c r="N2" s="5"/>
      <c r="O2" s="5"/>
      <c r="P2" s="5"/>
    </row>
    <row r="3" spans="1:16" x14ac:dyDescent="0.4">
      <c r="A3" s="3">
        <v>1</v>
      </c>
      <c r="B3" s="5" t="s">
        <v>9</v>
      </c>
      <c r="C3" s="3" t="s">
        <v>10</v>
      </c>
      <c r="D3" s="6">
        <v>64</v>
      </c>
      <c r="E3" s="7">
        <v>55</v>
      </c>
      <c r="F3" s="7">
        <f t="shared" ref="F3:F41" si="0">D3*E3</f>
        <v>3520</v>
      </c>
      <c r="G3" s="7">
        <v>56.1</v>
      </c>
      <c r="H3" s="7">
        <f>G3*D3</f>
        <v>3590.4</v>
      </c>
      <c r="I3" s="7">
        <v>58</v>
      </c>
      <c r="J3" s="7">
        <f>I3*D3</f>
        <v>3712</v>
      </c>
      <c r="M3" s="7"/>
      <c r="N3" s="5"/>
      <c r="O3" s="5"/>
      <c r="P3" s="5"/>
    </row>
    <row r="4" spans="1:16" x14ac:dyDescent="0.4">
      <c r="A4" s="3">
        <v>2</v>
      </c>
      <c r="B4" s="5" t="s">
        <v>11</v>
      </c>
      <c r="C4" s="3" t="s">
        <v>12</v>
      </c>
      <c r="D4" s="6">
        <v>18</v>
      </c>
      <c r="E4" s="7">
        <v>96</v>
      </c>
      <c r="F4" s="7">
        <f t="shared" si="0"/>
        <v>1728</v>
      </c>
      <c r="G4" s="7">
        <v>98.02</v>
      </c>
      <c r="H4" s="7">
        <f>G4*D4</f>
        <v>1764.36</v>
      </c>
      <c r="I4" s="7">
        <v>100</v>
      </c>
      <c r="J4" s="7">
        <f t="shared" ref="J4:J41" si="1">I4*D4</f>
        <v>1800</v>
      </c>
      <c r="M4" s="7"/>
      <c r="N4" s="5"/>
      <c r="O4" s="5"/>
      <c r="P4" s="5"/>
    </row>
    <row r="5" spans="1:16" x14ac:dyDescent="0.4">
      <c r="A5" s="3">
        <v>3</v>
      </c>
      <c r="B5" s="5" t="s">
        <v>13</v>
      </c>
      <c r="C5" s="3" t="s">
        <v>14</v>
      </c>
      <c r="D5" s="6">
        <v>50</v>
      </c>
      <c r="E5" s="7">
        <v>8</v>
      </c>
      <c r="F5" s="7">
        <f t="shared" si="0"/>
        <v>400</v>
      </c>
      <c r="G5" s="7">
        <v>8.5</v>
      </c>
      <c r="H5" s="7">
        <f>G5*D5</f>
        <v>425</v>
      </c>
      <c r="I5" s="7">
        <v>10</v>
      </c>
      <c r="J5" s="7">
        <f t="shared" si="1"/>
        <v>500</v>
      </c>
      <c r="M5" s="7"/>
      <c r="N5" s="5"/>
      <c r="O5" s="5"/>
      <c r="P5" s="5"/>
    </row>
    <row r="6" spans="1:16" x14ac:dyDescent="0.4">
      <c r="A6" s="3">
        <v>4</v>
      </c>
      <c r="B6" s="5" t="s">
        <v>15</v>
      </c>
      <c r="C6" s="3" t="s">
        <v>10</v>
      </c>
      <c r="D6" s="6">
        <v>10</v>
      </c>
      <c r="E6" s="7">
        <v>22</v>
      </c>
      <c r="F6" s="7">
        <f t="shared" si="0"/>
        <v>220</v>
      </c>
      <c r="G6" s="7">
        <v>24</v>
      </c>
      <c r="H6" s="7">
        <f>G6*D6</f>
        <v>240</v>
      </c>
      <c r="I6" s="7">
        <v>25.03</v>
      </c>
      <c r="J6" s="7">
        <f t="shared" si="1"/>
        <v>250.3</v>
      </c>
      <c r="M6" s="7"/>
      <c r="N6" s="5"/>
      <c r="O6" s="5"/>
      <c r="P6" s="5"/>
    </row>
    <row r="7" spans="1:16" x14ac:dyDescent="0.4">
      <c r="A7" s="3">
        <v>5</v>
      </c>
      <c r="B7" s="5" t="s">
        <v>16</v>
      </c>
      <c r="C7" s="3" t="s">
        <v>17</v>
      </c>
      <c r="D7" s="6">
        <v>200</v>
      </c>
      <c r="E7" s="7">
        <v>2.5</v>
      </c>
      <c r="F7" s="7">
        <f t="shared" si="0"/>
        <v>500</v>
      </c>
      <c r="G7" s="7">
        <v>3.5</v>
      </c>
      <c r="H7" s="7">
        <f>G7*D7</f>
        <v>700</v>
      </c>
      <c r="I7" s="7">
        <v>4</v>
      </c>
      <c r="J7" s="7">
        <f t="shared" si="1"/>
        <v>800</v>
      </c>
      <c r="M7" s="7"/>
      <c r="N7" s="5"/>
      <c r="O7" s="5"/>
      <c r="P7" s="5"/>
    </row>
    <row r="8" spans="1:16" x14ac:dyDescent="0.4">
      <c r="A8" s="3">
        <v>6</v>
      </c>
      <c r="B8" s="5" t="s">
        <v>18</v>
      </c>
      <c r="C8" s="3" t="s">
        <v>17</v>
      </c>
      <c r="D8" s="6">
        <v>30</v>
      </c>
      <c r="E8" s="7">
        <v>4</v>
      </c>
      <c r="F8" s="7">
        <f t="shared" si="0"/>
        <v>120</v>
      </c>
      <c r="G8" s="7">
        <v>6</v>
      </c>
      <c r="H8" s="7">
        <f>G8*D8</f>
        <v>180</v>
      </c>
      <c r="I8" s="7">
        <v>7.1</v>
      </c>
      <c r="J8" s="7">
        <f t="shared" si="1"/>
        <v>213</v>
      </c>
      <c r="M8" s="7"/>
      <c r="N8" s="5"/>
      <c r="O8" s="5"/>
      <c r="P8" s="5"/>
    </row>
    <row r="9" spans="1:16" x14ac:dyDescent="0.4">
      <c r="A9" s="3">
        <v>7</v>
      </c>
      <c r="B9" s="5" t="s">
        <v>19</v>
      </c>
      <c r="C9" s="3" t="s">
        <v>10</v>
      </c>
      <c r="D9" s="6">
        <v>200</v>
      </c>
      <c r="E9" s="7">
        <v>1.2</v>
      </c>
      <c r="F9" s="7">
        <f t="shared" si="0"/>
        <v>240</v>
      </c>
      <c r="G9" s="7">
        <v>1.5</v>
      </c>
      <c r="H9" s="7">
        <f>G9*D9</f>
        <v>300</v>
      </c>
      <c r="I9" s="7">
        <v>1.75</v>
      </c>
      <c r="J9" s="7">
        <f t="shared" si="1"/>
        <v>350</v>
      </c>
      <c r="M9" s="7"/>
      <c r="N9" s="5"/>
      <c r="O9" s="5"/>
      <c r="P9" s="5"/>
    </row>
    <row r="10" spans="1:16" x14ac:dyDescent="0.4">
      <c r="A10" s="3">
        <v>8</v>
      </c>
      <c r="B10" s="5" t="s">
        <v>20</v>
      </c>
      <c r="C10" s="3" t="s">
        <v>17</v>
      </c>
      <c r="D10" s="6">
        <v>5</v>
      </c>
      <c r="E10" s="7">
        <v>130</v>
      </c>
      <c r="F10" s="7">
        <f t="shared" si="0"/>
        <v>650</v>
      </c>
      <c r="G10" s="7">
        <v>130.5</v>
      </c>
      <c r="H10" s="7">
        <f>G10*D10</f>
        <v>652.5</v>
      </c>
      <c r="I10" s="7">
        <v>132</v>
      </c>
      <c r="J10" s="7">
        <f t="shared" si="1"/>
        <v>660</v>
      </c>
      <c r="M10" s="7"/>
      <c r="N10" s="5"/>
      <c r="O10" s="5"/>
      <c r="P10" s="5"/>
    </row>
    <row r="11" spans="1:16" x14ac:dyDescent="0.4">
      <c r="A11" s="3">
        <v>9</v>
      </c>
      <c r="B11" s="5" t="s">
        <v>21</v>
      </c>
      <c r="C11" s="3" t="s">
        <v>17</v>
      </c>
      <c r="D11" s="6">
        <v>45</v>
      </c>
      <c r="E11" s="7">
        <v>32</v>
      </c>
      <c r="F11" s="7">
        <f t="shared" si="0"/>
        <v>1440</v>
      </c>
      <c r="G11" s="7">
        <v>33.799999999999997</v>
      </c>
      <c r="H11" s="7">
        <f>G11*D11</f>
        <v>1520.9999999999998</v>
      </c>
      <c r="I11" s="7">
        <v>35.1</v>
      </c>
      <c r="J11" s="7">
        <f t="shared" si="1"/>
        <v>1579.5</v>
      </c>
      <c r="M11" s="7"/>
      <c r="N11" s="5"/>
      <c r="O11" s="5"/>
      <c r="P11" s="5"/>
    </row>
    <row r="12" spans="1:16" x14ac:dyDescent="0.4">
      <c r="A12" s="3">
        <v>10</v>
      </c>
      <c r="B12" s="5" t="s">
        <v>22</v>
      </c>
      <c r="C12" s="3" t="s">
        <v>17</v>
      </c>
      <c r="D12" s="6">
        <v>400</v>
      </c>
      <c r="E12" s="7">
        <v>2.5</v>
      </c>
      <c r="F12" s="7">
        <f t="shared" si="0"/>
        <v>1000</v>
      </c>
      <c r="G12" s="7">
        <v>3.02</v>
      </c>
      <c r="H12" s="7">
        <f>G12*D12</f>
        <v>1208</v>
      </c>
      <c r="I12" s="7">
        <v>4.0999999999999996</v>
      </c>
      <c r="J12" s="7">
        <f t="shared" si="1"/>
        <v>1639.9999999999998</v>
      </c>
      <c r="M12" s="7"/>
      <c r="N12" s="5"/>
      <c r="O12" s="5"/>
      <c r="P12" s="5"/>
    </row>
    <row r="13" spans="1:16" x14ac:dyDescent="0.4">
      <c r="A13" s="3">
        <v>11</v>
      </c>
      <c r="B13" s="5" t="s">
        <v>23</v>
      </c>
      <c r="C13" s="3" t="s">
        <v>12</v>
      </c>
      <c r="D13" s="6">
        <v>154</v>
      </c>
      <c r="E13" s="7">
        <v>75</v>
      </c>
      <c r="F13" s="7">
        <f t="shared" si="0"/>
        <v>11550</v>
      </c>
      <c r="G13" s="7">
        <v>76.5</v>
      </c>
      <c r="H13" s="7">
        <f>G13*D13</f>
        <v>11781</v>
      </c>
      <c r="I13" s="7">
        <v>77</v>
      </c>
      <c r="J13" s="7">
        <f t="shared" si="1"/>
        <v>11858</v>
      </c>
      <c r="M13" s="7"/>
      <c r="N13" s="5"/>
      <c r="O13" s="5"/>
      <c r="P13" s="5"/>
    </row>
    <row r="14" spans="1:16" x14ac:dyDescent="0.4">
      <c r="A14" s="3">
        <v>12</v>
      </c>
      <c r="B14" s="5" t="s">
        <v>24</v>
      </c>
      <c r="C14" s="3" t="s">
        <v>12</v>
      </c>
      <c r="D14" s="6">
        <v>16</v>
      </c>
      <c r="E14" s="7">
        <v>70</v>
      </c>
      <c r="F14" s="7">
        <f t="shared" si="0"/>
        <v>1120</v>
      </c>
      <c r="G14" s="7">
        <v>72</v>
      </c>
      <c r="H14" s="7">
        <f>G14*D14</f>
        <v>1152</v>
      </c>
      <c r="I14" s="7">
        <v>72.5</v>
      </c>
      <c r="J14" s="7">
        <f t="shared" si="1"/>
        <v>1160</v>
      </c>
      <c r="M14" s="7"/>
      <c r="N14" s="5"/>
      <c r="O14" s="5"/>
      <c r="P14" s="5"/>
    </row>
    <row r="15" spans="1:16" x14ac:dyDescent="0.4">
      <c r="A15" s="3">
        <v>13</v>
      </c>
      <c r="B15" s="5" t="s">
        <v>25</v>
      </c>
      <c r="C15" s="3" t="s">
        <v>17</v>
      </c>
      <c r="D15" s="6">
        <v>1282</v>
      </c>
      <c r="E15" s="7">
        <v>3.75</v>
      </c>
      <c r="F15" s="7">
        <f t="shared" si="0"/>
        <v>4807.5</v>
      </c>
      <c r="G15" s="7">
        <v>4</v>
      </c>
      <c r="H15" s="7">
        <f>G15*D15</f>
        <v>5128</v>
      </c>
      <c r="I15" s="7">
        <v>4.5999999999999996</v>
      </c>
      <c r="J15" s="7">
        <f t="shared" si="1"/>
        <v>5897.2</v>
      </c>
      <c r="M15" s="7"/>
      <c r="N15" s="5"/>
      <c r="O15" s="5"/>
      <c r="P15" s="5"/>
    </row>
    <row r="16" spans="1:16" x14ac:dyDescent="0.4">
      <c r="A16" s="3">
        <v>14</v>
      </c>
      <c r="B16" s="5" t="s">
        <v>26</v>
      </c>
      <c r="C16" s="3" t="s">
        <v>17</v>
      </c>
      <c r="D16" s="6">
        <v>80</v>
      </c>
      <c r="E16" s="7">
        <v>94</v>
      </c>
      <c r="F16" s="7">
        <f t="shared" si="0"/>
        <v>7520</v>
      </c>
      <c r="G16" s="7">
        <v>96.13</v>
      </c>
      <c r="H16" s="7">
        <f>G16*D16</f>
        <v>7690.4</v>
      </c>
      <c r="I16" s="7">
        <v>97.1</v>
      </c>
      <c r="J16" s="7">
        <f t="shared" si="1"/>
        <v>7768</v>
      </c>
      <c r="M16" s="7"/>
      <c r="N16" s="5"/>
      <c r="O16" s="5"/>
      <c r="P16" s="5"/>
    </row>
    <row r="17" spans="1:16" x14ac:dyDescent="0.4">
      <c r="A17" s="3">
        <v>15</v>
      </c>
      <c r="B17" s="5" t="s">
        <v>27</v>
      </c>
      <c r="C17" s="3" t="s">
        <v>10</v>
      </c>
      <c r="D17" s="6">
        <v>50</v>
      </c>
      <c r="E17" s="7">
        <v>12</v>
      </c>
      <c r="F17" s="7">
        <f t="shared" si="0"/>
        <v>600</v>
      </c>
      <c r="G17" s="7">
        <v>12.15</v>
      </c>
      <c r="H17" s="7">
        <f>G17*D17</f>
        <v>607.5</v>
      </c>
      <c r="I17" s="7">
        <v>12.9</v>
      </c>
      <c r="J17" s="7">
        <f t="shared" si="1"/>
        <v>645</v>
      </c>
      <c r="M17" s="7"/>
      <c r="N17" s="5"/>
      <c r="O17" s="5"/>
      <c r="P17" s="5"/>
    </row>
    <row r="18" spans="1:16" x14ac:dyDescent="0.4">
      <c r="A18" s="3">
        <v>16</v>
      </c>
      <c r="B18" s="5" t="s">
        <v>28</v>
      </c>
      <c r="C18" s="3" t="s">
        <v>10</v>
      </c>
      <c r="D18" s="6">
        <v>25</v>
      </c>
      <c r="E18" s="7">
        <v>16</v>
      </c>
      <c r="F18" s="7">
        <f t="shared" si="0"/>
        <v>400</v>
      </c>
      <c r="G18" s="7">
        <v>17</v>
      </c>
      <c r="H18" s="7">
        <f>G18*D18</f>
        <v>425</v>
      </c>
      <c r="I18" s="7">
        <v>19</v>
      </c>
      <c r="J18" s="7">
        <f t="shared" si="1"/>
        <v>475</v>
      </c>
      <c r="M18" s="7"/>
      <c r="N18" s="5"/>
      <c r="O18" s="5"/>
      <c r="P18" s="5"/>
    </row>
    <row r="19" spans="1:16" x14ac:dyDescent="0.4">
      <c r="A19" s="3">
        <v>17</v>
      </c>
      <c r="B19" s="5" t="s">
        <v>29</v>
      </c>
      <c r="C19" s="3" t="s">
        <v>10</v>
      </c>
      <c r="D19" s="6">
        <v>36</v>
      </c>
      <c r="E19" s="7">
        <v>6.5</v>
      </c>
      <c r="F19" s="7">
        <f t="shared" si="0"/>
        <v>234</v>
      </c>
      <c r="G19" s="7">
        <v>7.5</v>
      </c>
      <c r="H19" s="7">
        <f>G19*D19</f>
        <v>270</v>
      </c>
      <c r="I19" s="7">
        <v>8</v>
      </c>
      <c r="J19" s="7">
        <f t="shared" si="1"/>
        <v>288</v>
      </c>
      <c r="M19" s="7"/>
      <c r="N19" s="5"/>
      <c r="O19" s="5"/>
      <c r="P19" s="5"/>
    </row>
    <row r="20" spans="1:16" x14ac:dyDescent="0.4">
      <c r="A20" s="3">
        <v>18</v>
      </c>
      <c r="B20" s="5" t="s">
        <v>30</v>
      </c>
      <c r="C20" s="3" t="s">
        <v>12</v>
      </c>
      <c r="D20" s="6">
        <v>16</v>
      </c>
      <c r="E20" s="8">
        <v>440</v>
      </c>
      <c r="F20" s="7">
        <f t="shared" si="0"/>
        <v>7040</v>
      </c>
      <c r="G20" s="7">
        <v>440.8</v>
      </c>
      <c r="H20" s="7">
        <f>G20*D20</f>
        <v>7052.8</v>
      </c>
      <c r="I20" s="7">
        <v>450</v>
      </c>
      <c r="J20" s="7">
        <f t="shared" si="1"/>
        <v>7200</v>
      </c>
      <c r="M20" s="7"/>
      <c r="N20" s="5"/>
      <c r="O20" s="5"/>
      <c r="P20" s="5"/>
    </row>
    <row r="21" spans="1:16" x14ac:dyDescent="0.4">
      <c r="A21" s="3">
        <v>19</v>
      </c>
      <c r="B21" s="5" t="s">
        <v>31</v>
      </c>
      <c r="C21" s="3" t="s">
        <v>32</v>
      </c>
      <c r="D21" s="6">
        <v>15</v>
      </c>
      <c r="E21" s="7">
        <v>29</v>
      </c>
      <c r="F21" s="7">
        <f t="shared" si="0"/>
        <v>435</v>
      </c>
      <c r="G21" s="7">
        <v>30</v>
      </c>
      <c r="H21" s="7">
        <f>G21*D21</f>
        <v>450</v>
      </c>
      <c r="I21" s="7">
        <v>33</v>
      </c>
      <c r="J21" s="7">
        <f t="shared" si="1"/>
        <v>495</v>
      </c>
      <c r="M21" s="7"/>
      <c r="N21" s="5"/>
      <c r="O21" s="5"/>
      <c r="P21" s="5"/>
    </row>
    <row r="22" spans="1:16" x14ac:dyDescent="0.4">
      <c r="A22" s="3">
        <v>20</v>
      </c>
      <c r="B22" s="5" t="s">
        <v>33</v>
      </c>
      <c r="C22" s="3" t="s">
        <v>32</v>
      </c>
      <c r="D22" s="6">
        <v>21</v>
      </c>
      <c r="E22" s="7">
        <v>88</v>
      </c>
      <c r="F22" s="7">
        <f t="shared" si="0"/>
        <v>1848</v>
      </c>
      <c r="G22" s="7">
        <v>89.1</v>
      </c>
      <c r="H22" s="7">
        <f>G22*D22</f>
        <v>1871.1</v>
      </c>
      <c r="I22" s="7">
        <v>89.9</v>
      </c>
      <c r="J22" s="7">
        <f t="shared" si="1"/>
        <v>1887.9</v>
      </c>
      <c r="M22" s="7"/>
      <c r="N22" s="5"/>
      <c r="O22" s="5"/>
      <c r="P22" s="5"/>
    </row>
    <row r="23" spans="1:16" x14ac:dyDescent="0.4">
      <c r="A23" s="3">
        <v>21</v>
      </c>
      <c r="B23" s="5" t="s">
        <v>34</v>
      </c>
      <c r="C23" s="3" t="s">
        <v>17</v>
      </c>
      <c r="D23" s="6">
        <v>50</v>
      </c>
      <c r="E23" s="7">
        <v>480</v>
      </c>
      <c r="F23" s="7">
        <f t="shared" si="0"/>
        <v>24000</v>
      </c>
      <c r="G23" s="7">
        <v>482.3</v>
      </c>
      <c r="H23" s="7">
        <f>G23*D23</f>
        <v>24115</v>
      </c>
      <c r="I23" s="7">
        <v>483.1</v>
      </c>
      <c r="J23" s="7">
        <f t="shared" si="1"/>
        <v>24155</v>
      </c>
      <c r="M23" s="7"/>
      <c r="N23" s="5"/>
      <c r="O23" s="5"/>
      <c r="P23" s="5"/>
    </row>
    <row r="24" spans="1:16" x14ac:dyDescent="0.4">
      <c r="A24" s="3">
        <v>22</v>
      </c>
      <c r="B24" s="5" t="s">
        <v>35</v>
      </c>
      <c r="C24" s="3" t="s">
        <v>10</v>
      </c>
      <c r="D24" s="6">
        <v>30</v>
      </c>
      <c r="E24" s="7">
        <v>14</v>
      </c>
      <c r="F24" s="7">
        <f t="shared" si="0"/>
        <v>420</v>
      </c>
      <c r="G24" s="7">
        <v>15.6</v>
      </c>
      <c r="H24" s="7">
        <f>G24*D24</f>
        <v>468</v>
      </c>
      <c r="I24" s="7">
        <v>17</v>
      </c>
      <c r="J24" s="7">
        <f t="shared" si="1"/>
        <v>510</v>
      </c>
      <c r="M24" s="7"/>
      <c r="N24" s="5"/>
      <c r="O24" s="5"/>
      <c r="P24" s="5"/>
    </row>
    <row r="25" spans="1:16" x14ac:dyDescent="0.4">
      <c r="A25" s="3">
        <v>23</v>
      </c>
      <c r="B25" s="5" t="s">
        <v>36</v>
      </c>
      <c r="C25" s="3" t="s">
        <v>37</v>
      </c>
      <c r="D25" s="6">
        <v>70</v>
      </c>
      <c r="E25" s="7">
        <v>34</v>
      </c>
      <c r="F25" s="7">
        <f t="shared" si="0"/>
        <v>2380</v>
      </c>
      <c r="G25" s="7">
        <v>35.799999999999997</v>
      </c>
      <c r="H25" s="7">
        <f>G25*D25</f>
        <v>2506</v>
      </c>
      <c r="I25" s="7">
        <v>36</v>
      </c>
      <c r="J25" s="7">
        <f t="shared" si="1"/>
        <v>2520</v>
      </c>
      <c r="M25" s="7"/>
      <c r="N25" s="5"/>
      <c r="O25" s="5"/>
      <c r="P25" s="5"/>
    </row>
    <row r="26" spans="1:16" x14ac:dyDescent="0.4">
      <c r="A26" s="3">
        <v>24</v>
      </c>
      <c r="B26" s="5" t="s">
        <v>38</v>
      </c>
      <c r="C26" s="3" t="s">
        <v>14</v>
      </c>
      <c r="D26" s="6">
        <v>50</v>
      </c>
      <c r="E26" s="7">
        <v>38</v>
      </c>
      <c r="F26" s="7">
        <f t="shared" si="0"/>
        <v>1900</v>
      </c>
      <c r="G26" s="7">
        <v>39</v>
      </c>
      <c r="H26" s="7">
        <f>G26*D26</f>
        <v>1950</v>
      </c>
      <c r="I26" s="7">
        <v>39.6</v>
      </c>
      <c r="J26" s="7">
        <f t="shared" si="1"/>
        <v>1980</v>
      </c>
      <c r="M26" s="7"/>
      <c r="N26" s="5"/>
      <c r="O26" s="5"/>
      <c r="P26" s="5"/>
    </row>
    <row r="27" spans="1:16" x14ac:dyDescent="0.4">
      <c r="A27" s="3">
        <v>25</v>
      </c>
      <c r="B27" s="5" t="s">
        <v>39</v>
      </c>
      <c r="C27" s="3" t="s">
        <v>14</v>
      </c>
      <c r="D27" s="6">
        <v>34</v>
      </c>
      <c r="E27" s="7">
        <v>38</v>
      </c>
      <c r="F27" s="7">
        <f t="shared" si="0"/>
        <v>1292</v>
      </c>
      <c r="G27" s="7">
        <v>39</v>
      </c>
      <c r="H27" s="7">
        <f>G27*D27</f>
        <v>1326</v>
      </c>
      <c r="I27" s="7">
        <v>39.6</v>
      </c>
      <c r="J27" s="7">
        <f t="shared" si="1"/>
        <v>1346.4</v>
      </c>
      <c r="M27" s="7"/>
      <c r="N27" s="5"/>
      <c r="O27" s="5"/>
      <c r="P27" s="5"/>
    </row>
    <row r="28" spans="1:16" x14ac:dyDescent="0.4">
      <c r="A28" s="3">
        <v>26</v>
      </c>
      <c r="B28" s="5" t="s">
        <v>40</v>
      </c>
      <c r="C28" s="3" t="s">
        <v>14</v>
      </c>
      <c r="D28" s="6">
        <v>34</v>
      </c>
      <c r="E28" s="7">
        <v>38</v>
      </c>
      <c r="F28" s="7">
        <f t="shared" si="0"/>
        <v>1292</v>
      </c>
      <c r="G28" s="7">
        <v>39</v>
      </c>
      <c r="H28" s="7">
        <f>G28*D28</f>
        <v>1326</v>
      </c>
      <c r="I28" s="7">
        <v>39.6</v>
      </c>
      <c r="J28" s="7">
        <f t="shared" si="1"/>
        <v>1346.4</v>
      </c>
      <c r="M28" s="7"/>
      <c r="N28" s="5"/>
      <c r="O28" s="5"/>
      <c r="P28" s="5"/>
    </row>
    <row r="29" spans="1:16" x14ac:dyDescent="0.4">
      <c r="A29" s="3">
        <v>27</v>
      </c>
      <c r="B29" s="5" t="s">
        <v>41</v>
      </c>
      <c r="C29" s="3" t="s">
        <v>17</v>
      </c>
      <c r="D29" s="6">
        <v>420</v>
      </c>
      <c r="E29" s="7">
        <v>2.5</v>
      </c>
      <c r="F29" s="7">
        <f t="shared" si="0"/>
        <v>1050</v>
      </c>
      <c r="G29" s="7">
        <v>3.5</v>
      </c>
      <c r="H29" s="7">
        <f>G29*D29</f>
        <v>1470</v>
      </c>
      <c r="I29" s="7">
        <v>4.5</v>
      </c>
      <c r="J29" s="7">
        <f t="shared" si="1"/>
        <v>1890</v>
      </c>
      <c r="M29" s="7"/>
      <c r="N29" s="5"/>
      <c r="O29" s="5"/>
      <c r="P29" s="5"/>
    </row>
    <row r="30" spans="1:16" x14ac:dyDescent="0.4">
      <c r="A30" s="3">
        <v>28</v>
      </c>
      <c r="B30" s="5" t="s">
        <v>42</v>
      </c>
      <c r="C30" s="3" t="s">
        <v>17</v>
      </c>
      <c r="D30" s="6">
        <v>132</v>
      </c>
      <c r="E30" s="7">
        <v>4</v>
      </c>
      <c r="F30" s="7">
        <f t="shared" si="0"/>
        <v>528</v>
      </c>
      <c r="G30" s="7">
        <v>6.1</v>
      </c>
      <c r="H30" s="7">
        <f>G30*D30</f>
        <v>805.19999999999993</v>
      </c>
      <c r="I30" s="7">
        <v>7.5</v>
      </c>
      <c r="J30" s="7">
        <f t="shared" si="1"/>
        <v>990</v>
      </c>
      <c r="M30" s="7"/>
      <c r="N30" s="5"/>
      <c r="O30" s="5"/>
      <c r="P30" s="5"/>
    </row>
    <row r="31" spans="1:16" x14ac:dyDescent="0.4">
      <c r="A31" s="3">
        <v>29</v>
      </c>
      <c r="B31" s="5" t="s">
        <v>43</v>
      </c>
      <c r="C31" s="3" t="s">
        <v>10</v>
      </c>
      <c r="D31" s="6">
        <v>660</v>
      </c>
      <c r="E31" s="7">
        <v>4.5</v>
      </c>
      <c r="F31" s="7">
        <f t="shared" si="0"/>
        <v>2970</v>
      </c>
      <c r="G31" s="7">
        <v>5.0999999999999996</v>
      </c>
      <c r="H31" s="7">
        <f>G31*D31</f>
        <v>3365.9999999999995</v>
      </c>
      <c r="I31" s="7">
        <v>5.5</v>
      </c>
      <c r="J31" s="7">
        <f t="shared" si="1"/>
        <v>3630</v>
      </c>
      <c r="M31" s="7"/>
      <c r="N31" s="5"/>
      <c r="O31" s="5"/>
      <c r="P31" s="5"/>
    </row>
    <row r="32" spans="1:16" x14ac:dyDescent="0.4">
      <c r="A32" s="3">
        <v>30</v>
      </c>
      <c r="B32" s="5" t="s">
        <v>44</v>
      </c>
      <c r="C32" s="3" t="s">
        <v>45</v>
      </c>
      <c r="D32" s="6">
        <v>2500</v>
      </c>
      <c r="E32" s="7">
        <v>3</v>
      </c>
      <c r="F32" s="7">
        <f t="shared" si="0"/>
        <v>7500</v>
      </c>
      <c r="G32" s="7">
        <v>3.2</v>
      </c>
      <c r="H32" s="7">
        <f>G32*D32</f>
        <v>8000</v>
      </c>
      <c r="I32" s="7">
        <v>3.9</v>
      </c>
      <c r="J32" s="7">
        <f t="shared" si="1"/>
        <v>9750</v>
      </c>
      <c r="M32" s="7"/>
      <c r="N32" s="5"/>
      <c r="O32" s="5"/>
      <c r="P32" s="5"/>
    </row>
    <row r="33" spans="1:16" x14ac:dyDescent="0.4">
      <c r="A33" s="3">
        <v>31</v>
      </c>
      <c r="B33" s="5" t="s">
        <v>46</v>
      </c>
      <c r="C33" s="3" t="s">
        <v>45</v>
      </c>
      <c r="D33" s="6">
        <v>400</v>
      </c>
      <c r="E33" s="7">
        <v>4.5</v>
      </c>
      <c r="F33" s="7">
        <f t="shared" si="0"/>
        <v>1800</v>
      </c>
      <c r="G33" s="7">
        <v>5</v>
      </c>
      <c r="H33" s="7">
        <f>G33*D33</f>
        <v>2000</v>
      </c>
      <c r="I33" s="7">
        <v>6.1</v>
      </c>
      <c r="J33" s="7">
        <f t="shared" si="1"/>
        <v>2440</v>
      </c>
      <c r="M33" s="7"/>
      <c r="N33" s="5"/>
      <c r="O33" s="5"/>
      <c r="P33" s="5"/>
    </row>
    <row r="34" spans="1:16" x14ac:dyDescent="0.4">
      <c r="A34" s="3">
        <v>32</v>
      </c>
      <c r="B34" s="5" t="s">
        <v>47</v>
      </c>
      <c r="C34" s="3" t="s">
        <v>37</v>
      </c>
      <c r="D34" s="6">
        <v>19750</v>
      </c>
      <c r="E34" s="7">
        <v>1.4</v>
      </c>
      <c r="F34" s="7">
        <f t="shared" si="0"/>
        <v>27650</v>
      </c>
      <c r="G34" s="7">
        <v>1.55</v>
      </c>
      <c r="H34" s="7">
        <f>G34*D34</f>
        <v>30612.5</v>
      </c>
      <c r="I34" s="7">
        <v>1.7</v>
      </c>
      <c r="J34" s="7">
        <f t="shared" si="1"/>
        <v>33575</v>
      </c>
      <c r="M34" s="7"/>
      <c r="N34" s="5"/>
      <c r="O34" s="5"/>
      <c r="P34" s="5"/>
    </row>
    <row r="35" spans="1:16" x14ac:dyDescent="0.4">
      <c r="A35" s="3">
        <v>33</v>
      </c>
      <c r="B35" s="5" t="s">
        <v>39</v>
      </c>
      <c r="C35" s="3" t="s">
        <v>14</v>
      </c>
      <c r="D35" s="6">
        <v>40</v>
      </c>
      <c r="E35" s="7">
        <v>38</v>
      </c>
      <c r="F35" s="7">
        <f t="shared" si="0"/>
        <v>1520</v>
      </c>
      <c r="G35" s="7">
        <v>40</v>
      </c>
      <c r="H35" s="7">
        <f>G35*D35</f>
        <v>1600</v>
      </c>
      <c r="I35" s="7">
        <v>41.2</v>
      </c>
      <c r="J35" s="7">
        <f t="shared" si="1"/>
        <v>1648</v>
      </c>
      <c r="M35" s="7"/>
      <c r="N35" s="5"/>
      <c r="O35" s="5"/>
      <c r="P35" s="5"/>
    </row>
    <row r="36" spans="1:16" x14ac:dyDescent="0.4">
      <c r="A36" s="3">
        <v>34</v>
      </c>
      <c r="B36" s="5" t="s">
        <v>48</v>
      </c>
      <c r="C36" s="3" t="s">
        <v>10</v>
      </c>
      <c r="D36" s="6">
        <v>120</v>
      </c>
      <c r="E36" s="7">
        <v>18</v>
      </c>
      <c r="F36" s="7">
        <f t="shared" si="0"/>
        <v>2160</v>
      </c>
      <c r="G36" s="7">
        <v>19.600000000000001</v>
      </c>
      <c r="H36" s="7">
        <f>G36*D36</f>
        <v>2352</v>
      </c>
      <c r="I36" s="7">
        <v>20.3</v>
      </c>
      <c r="J36" s="7">
        <f t="shared" si="1"/>
        <v>2436</v>
      </c>
      <c r="M36" s="7"/>
      <c r="N36" s="5"/>
      <c r="O36" s="5"/>
      <c r="P36" s="5"/>
    </row>
    <row r="37" spans="1:16" x14ac:dyDescent="0.4">
      <c r="A37" s="3">
        <v>35</v>
      </c>
      <c r="B37" s="5" t="s">
        <v>49</v>
      </c>
      <c r="C37" s="3" t="s">
        <v>12</v>
      </c>
      <c r="D37" s="6">
        <v>23</v>
      </c>
      <c r="E37" s="7">
        <v>75</v>
      </c>
      <c r="F37" s="7">
        <f t="shared" si="0"/>
        <v>1725</v>
      </c>
      <c r="G37" s="7">
        <v>78</v>
      </c>
      <c r="H37" s="7">
        <f>G37*D37</f>
        <v>1794</v>
      </c>
      <c r="I37" s="7">
        <v>79.8</v>
      </c>
      <c r="J37" s="7">
        <f t="shared" si="1"/>
        <v>1835.3999999999999</v>
      </c>
      <c r="M37" s="7"/>
      <c r="N37" s="5"/>
      <c r="O37" s="5"/>
      <c r="P37" s="5"/>
    </row>
    <row r="38" spans="1:16" x14ac:dyDescent="0.4">
      <c r="A38" s="3">
        <v>36</v>
      </c>
      <c r="B38" s="5" t="s">
        <v>50</v>
      </c>
      <c r="C38" s="3" t="s">
        <v>45</v>
      </c>
      <c r="D38" s="6">
        <v>24</v>
      </c>
      <c r="E38" s="7">
        <v>6</v>
      </c>
      <c r="F38" s="7">
        <f t="shared" si="0"/>
        <v>144</v>
      </c>
      <c r="G38" s="7">
        <v>7.6</v>
      </c>
      <c r="H38" s="7">
        <f>G38*D38</f>
        <v>182.39999999999998</v>
      </c>
      <c r="I38" s="7">
        <v>9.1</v>
      </c>
      <c r="J38" s="7">
        <f t="shared" si="1"/>
        <v>218.39999999999998</v>
      </c>
      <c r="M38" s="7"/>
      <c r="N38" s="5"/>
      <c r="O38" s="5"/>
      <c r="P38" s="5"/>
    </row>
    <row r="39" spans="1:16" x14ac:dyDescent="0.4">
      <c r="A39" s="3">
        <v>37</v>
      </c>
      <c r="B39" s="5" t="s">
        <v>51</v>
      </c>
      <c r="C39" s="3" t="s">
        <v>14</v>
      </c>
      <c r="D39" s="6">
        <v>50</v>
      </c>
      <c r="E39" s="7">
        <v>14</v>
      </c>
      <c r="F39" s="7">
        <f t="shared" si="0"/>
        <v>700</v>
      </c>
      <c r="G39" s="7">
        <v>16.100000000000001</v>
      </c>
      <c r="H39" s="7">
        <f>G39*D39</f>
        <v>805.00000000000011</v>
      </c>
      <c r="I39" s="7">
        <v>16.899999999999999</v>
      </c>
      <c r="J39" s="7">
        <f t="shared" si="1"/>
        <v>844.99999999999989</v>
      </c>
      <c r="M39" s="7"/>
      <c r="N39" s="5"/>
      <c r="O39" s="5"/>
      <c r="P39" s="5"/>
    </row>
    <row r="40" spans="1:16" x14ac:dyDescent="0.4">
      <c r="A40" s="3">
        <v>38</v>
      </c>
      <c r="B40" s="5" t="s">
        <v>52</v>
      </c>
      <c r="C40" s="3" t="s">
        <v>14</v>
      </c>
      <c r="D40" s="6">
        <v>6</v>
      </c>
      <c r="E40" s="7">
        <v>65</v>
      </c>
      <c r="F40" s="7">
        <f t="shared" si="0"/>
        <v>390</v>
      </c>
      <c r="G40" s="7">
        <v>67.2</v>
      </c>
      <c r="H40" s="7">
        <f>G40*D40</f>
        <v>403.20000000000005</v>
      </c>
      <c r="I40" s="7">
        <v>67.900000000000006</v>
      </c>
      <c r="J40" s="7">
        <f t="shared" si="1"/>
        <v>407.40000000000003</v>
      </c>
      <c r="M40" s="7"/>
      <c r="N40" s="5"/>
      <c r="O40" s="5"/>
      <c r="P40" s="5"/>
    </row>
    <row r="41" spans="1:16" x14ac:dyDescent="0.4">
      <c r="A41" s="3">
        <v>39</v>
      </c>
      <c r="B41" s="5" t="s">
        <v>53</v>
      </c>
      <c r="C41" s="3" t="s">
        <v>45</v>
      </c>
      <c r="D41" s="6">
        <v>24</v>
      </c>
      <c r="E41" s="7">
        <v>4</v>
      </c>
      <c r="F41" s="7">
        <f t="shared" si="0"/>
        <v>96</v>
      </c>
      <c r="G41" s="7">
        <v>5</v>
      </c>
      <c r="H41" s="7">
        <f>G41*D41</f>
        <v>120</v>
      </c>
      <c r="I41" s="7">
        <v>6.9</v>
      </c>
      <c r="J41" s="7">
        <f t="shared" si="1"/>
        <v>165.60000000000002</v>
      </c>
      <c r="M41" s="7"/>
      <c r="N41" s="5"/>
      <c r="O41" s="5"/>
      <c r="P41" s="5"/>
    </row>
    <row r="42" spans="1:16" x14ac:dyDescent="0.4">
      <c r="A42" s="3"/>
      <c r="B42" s="5"/>
      <c r="C42" s="3"/>
      <c r="D42" s="5"/>
      <c r="E42" s="5"/>
      <c r="F42" s="7">
        <f>SUM(F3:F41)</f>
        <v>124889.5</v>
      </c>
      <c r="G42" s="7"/>
      <c r="H42" s="7">
        <f>SUM(H3:H41)</f>
        <v>132210.36000000002</v>
      </c>
      <c r="I42" s="7"/>
      <c r="J42" s="7">
        <f>SUM(J3:J41)</f>
        <v>140867.49999999997</v>
      </c>
      <c r="M42" s="7"/>
      <c r="N42" s="5"/>
      <c r="O42" s="5"/>
      <c r="P42" s="5"/>
    </row>
    <row r="43" spans="1:16" x14ac:dyDescent="0.4">
      <c r="G43" s="2"/>
      <c r="H43" s="2"/>
      <c r="I43" s="2"/>
      <c r="J43" s="2"/>
      <c r="M4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combine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2026-10-17T12:29:41Z</dcterms:created>
  <dcterms:modified xsi:type="dcterms:W3CDTF">2026-10-17T12:31:00Z</dcterms:modified>
</cp:coreProperties>
</file>