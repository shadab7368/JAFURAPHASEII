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FORTUNE\FATC2026027\"/>
    </mc:Choice>
  </mc:AlternateContent>
  <xr:revisionPtr revIDLastSave="0" documentId="13_ncr:1_{79126F3C-1612-406E-888F-12DE26292F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소모품_1차'!$A$1:$U$61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H25" i="1" l="1"/>
  <c r="G25" i="1"/>
  <c r="H19" i="1"/>
  <c r="G19" i="1"/>
  <c r="H12" i="1"/>
  <c r="H23" i="1"/>
  <c r="H24" i="1"/>
  <c r="H26" i="1"/>
  <c r="H30" i="1"/>
  <c r="H31" i="1"/>
  <c r="H32" i="1"/>
  <c r="H35" i="1"/>
  <c r="H38" i="1"/>
  <c r="H10" i="1"/>
  <c r="H6" i="1"/>
  <c r="G10" i="1"/>
  <c r="G12" i="1"/>
  <c r="G15" i="1"/>
  <c r="H15" i="1" s="1"/>
  <c r="G16" i="1"/>
  <c r="H16" i="1" s="1"/>
  <c r="G17" i="1"/>
  <c r="H17" i="1" s="1"/>
  <c r="G18" i="1"/>
  <c r="H18" i="1" s="1"/>
  <c r="G20" i="1"/>
  <c r="H20" i="1" s="1"/>
  <c r="G21" i="1"/>
  <c r="H21" i="1" s="1"/>
  <c r="G22" i="1"/>
  <c r="H22" i="1" s="1"/>
  <c r="G23" i="1"/>
  <c r="G24" i="1"/>
  <c r="G26" i="1"/>
  <c r="G30" i="1"/>
  <c r="G31" i="1"/>
  <c r="G32" i="1"/>
  <c r="G35" i="1"/>
  <c r="G36" i="1"/>
  <c r="H36" i="1" s="1"/>
  <c r="G37" i="1"/>
  <c r="H37" i="1" s="1"/>
  <c r="G38" i="1"/>
  <c r="G39" i="1"/>
  <c r="H39" i="1" s="1"/>
  <c r="G40" i="1"/>
  <c r="G41" i="1"/>
  <c r="H41" i="1" s="1"/>
  <c r="G42" i="1"/>
  <c r="H42" i="1" s="1"/>
  <c r="G6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F46" i="1" l="1"/>
  <c r="H46" i="1" s="1"/>
  <c r="H40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B61" i="1"/>
  <c r="R7" i="1"/>
  <c r="R8" i="1"/>
  <c r="R9" i="1"/>
  <c r="R10" i="1"/>
  <c r="R11" i="1"/>
  <c r="R12" i="1"/>
  <c r="R13" i="1"/>
  <c r="R14" i="1"/>
  <c r="R15" i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J15" i="1"/>
  <c r="P15" i="1" s="1"/>
  <c r="F45" i="1"/>
  <c r="T16" i="1" l="1"/>
  <c r="P16" i="1"/>
  <c r="T17" i="1"/>
  <c r="P17" i="1"/>
  <c r="T18" i="1"/>
  <c r="P18" i="1"/>
  <c r="T19" i="1"/>
  <c r="P19" i="1"/>
  <c r="T20" i="1"/>
  <c r="P20" i="1"/>
  <c r="T21" i="1"/>
  <c r="P21" i="1"/>
  <c r="P22" i="1"/>
  <c r="T22" i="1"/>
  <c r="T23" i="1"/>
  <c r="P23" i="1"/>
  <c r="T24" i="1"/>
  <c r="P24" i="1"/>
  <c r="T25" i="1"/>
  <c r="P25" i="1"/>
  <c r="T26" i="1"/>
  <c r="P26" i="1"/>
  <c r="T27" i="1"/>
  <c r="P27" i="1"/>
  <c r="T28" i="1"/>
  <c r="P28" i="1"/>
  <c r="T29" i="1"/>
  <c r="P29" i="1"/>
  <c r="T30" i="1"/>
  <c r="P30" i="1"/>
  <c r="T31" i="1"/>
  <c r="P31" i="1"/>
  <c r="T32" i="1"/>
  <c r="P32" i="1"/>
  <c r="T33" i="1"/>
  <c r="P33" i="1"/>
  <c r="T34" i="1"/>
  <c r="P34" i="1"/>
  <c r="T35" i="1"/>
  <c r="P35" i="1"/>
  <c r="T36" i="1"/>
  <c r="P36" i="1"/>
  <c r="T37" i="1"/>
  <c r="P37" i="1"/>
  <c r="P38" i="1"/>
  <c r="T38" i="1"/>
  <c r="P39" i="1"/>
  <c r="T39" i="1"/>
  <c r="T40" i="1"/>
  <c r="P40" i="1"/>
  <c r="T41" i="1"/>
  <c r="P41" i="1"/>
  <c r="T42" i="1"/>
  <c r="P42" i="1"/>
  <c r="T43" i="1"/>
  <c r="P43" i="1"/>
  <c r="T44" i="1"/>
  <c r="P44" i="1"/>
  <c r="T15" i="1"/>
  <c r="T14" i="1"/>
  <c r="T13" i="1"/>
  <c r="T12" i="1"/>
  <c r="T11" i="1"/>
  <c r="T10" i="1"/>
  <c r="T9" i="1"/>
  <c r="T8" i="1"/>
  <c r="T7" i="1"/>
  <c r="R6" i="1"/>
  <c r="N6" i="1" l="1"/>
  <c r="F47" i="1" l="1"/>
  <c r="F48" i="1" s="1"/>
  <c r="J6" i="1"/>
  <c r="Q45" i="1" l="1"/>
  <c r="M45" i="1"/>
  <c r="I45" i="1"/>
  <c r="C52" i="1" s="1"/>
  <c r="N46" i="1" l="1"/>
  <c r="N47" i="1" s="1"/>
  <c r="C54" i="1"/>
  <c r="C53" i="1"/>
  <c r="J46" i="1" l="1"/>
  <c r="J47" i="1" s="1"/>
  <c r="P6" i="1"/>
  <c r="T6" i="1" l="1"/>
  <c r="R46" i="1"/>
  <c r="R47" i="1" s="1"/>
  <c r="N48" i="1"/>
  <c r="I53" i="1" l="1"/>
  <c r="R48" i="1"/>
  <c r="I54" i="1" l="1"/>
  <c r="M53" i="1"/>
  <c r="Q53" i="1" l="1"/>
  <c r="M54" i="1"/>
  <c r="Q54" i="1"/>
  <c r="J48" i="1" l="1"/>
  <c r="H48" i="1" s="1"/>
  <c r="P46" i="1"/>
  <c r="T46" i="1"/>
  <c r="D52" i="1" l="1"/>
  <c r="T48" i="1"/>
  <c r="P48" i="1"/>
  <c r="I52" i="1"/>
  <c r="K53" i="1" l="1"/>
  <c r="K54" i="1"/>
  <c r="Q52" i="1"/>
  <c r="M52" i="1"/>
  <c r="S53" i="1"/>
  <c r="O54" i="1"/>
  <c r="S54" i="1"/>
  <c r="O53" i="1"/>
  <c r="P52" i="1" l="1"/>
  <c r="O52" i="1"/>
  <c r="T52" i="1"/>
  <c r="S52" i="1"/>
</calcChain>
</file>

<file path=xl/sharedStrings.xml><?xml version="1.0" encoding="utf-8"?>
<sst xmlns="http://schemas.openxmlformats.org/spreadsheetml/2006/main" count="190" uniqueCount="109">
  <si>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</si>
  <si>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</si>
  <si>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</si>
  <si>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</si>
  <si>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</si>
  <si>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</si>
  <si>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</si>
  <si>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</si>
  <si>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</si>
  <si>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</si>
  <si>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</si>
  <si>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</si>
  <si>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</si>
  <si>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</si>
  <si>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</si>
  <si>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</si>
  <si>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</si>
  <si>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</si>
  <si>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</si>
  <si>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</si>
  <si>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</si>
  <si>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</si>
  <si>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</si>
  <si>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</si>
  <si>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</si>
  <si>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</si>
  <si>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</si>
  <si>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</si>
  <si>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</si>
  <si>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</si>
  <si>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</si>
  <si>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</si>
  <si>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</si>
  <si>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</si>
  <si>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</si>
  <si>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</si>
  <si>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</si>
  <si>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</si>
  <si>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</si>
  <si>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</si>
  <si>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</si>
  <si>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</si>
  <si>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</si>
  <si>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</si>
  <si>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</si>
  <si>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</si>
  <si>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</si>
  <si>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</si>
  <si>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</si>
  <si>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</si>
  <si>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</si>
  <si>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</si>
  <si>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</si>
  <si>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</si>
  <si>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</si>
  <si>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</si>
  <si>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</si>
  <si>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</si>
  <si>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3M HALF FACE MASK - 6200</t>
  </si>
  <si>
    <t xml:space="preserve">SILICON SEALANT WHITE (24PCS/BOX)    </t>
  </si>
  <si>
    <t xml:space="preserve">KNIFE BLADE SHORT (10PCS/PACK)    </t>
  </si>
  <si>
    <t xml:space="preserve">FILE HALF ROUND 12"   </t>
  </si>
  <si>
    <t xml:space="preserve">ELECTRICAL TAPE 50FT GREEN    </t>
  </si>
  <si>
    <t xml:space="preserve">CLEAR TAPE 2" 70YARD (30PCS/BOX) VESTRA   </t>
  </si>
  <si>
    <t>HACK SAW BLADE 24T  CS</t>
  </si>
  <si>
    <t xml:space="preserve">SAND PAPER ROLL 4'' 120GRIT   </t>
  </si>
  <si>
    <t xml:space="preserve">WRAPPING ROLL 3.5KG VESTRA </t>
  </si>
  <si>
    <t>ELECTRICAL TAPE 50FT RED</t>
  </si>
  <si>
    <t>MASKING TAPE 2'' 25 YARD (24ROLL/BOX)</t>
  </si>
  <si>
    <t>MASKING TAPE 1'' 18 YARD (36ROLL/BOX)</t>
  </si>
  <si>
    <t>WARNING TAPE 3" RED/WHITE</t>
  </si>
  <si>
    <t>DUCT TAPE 2'' 25YARD (24ROLL/BOX) VESTRA</t>
  </si>
  <si>
    <t>MEASURING TAPE 5MTR</t>
  </si>
  <si>
    <t>MEASURING TAPE 7.5M</t>
  </si>
  <si>
    <t>HAND WIRE BRUSH - CS</t>
  </si>
  <si>
    <t>WD 40 (24PCS/BOX)</t>
  </si>
  <si>
    <t>COTTON RAGS - MIXED_LQ4</t>
  </si>
  <si>
    <t>COTTON RAGS WHITE  100% COTTON HQ1</t>
  </si>
  <si>
    <t>FIRE BLANKET 1MM*50MTR ORANGE</t>
  </si>
  <si>
    <t>PADLOCK 60MM</t>
  </si>
  <si>
    <t>3M PINK FILTER 2091 P100</t>
  </si>
  <si>
    <t>DUST MASK N95 VENUS</t>
  </si>
  <si>
    <t>PAINT MARKER BLACK</t>
  </si>
  <si>
    <t>PAINT MARKER WHITE (12PCS/PACK)</t>
  </si>
  <si>
    <t>ELECTRICAL TAPE 50FT BLACK</t>
  </si>
  <si>
    <t>CLEAR TAPE 2" 100YARD (30PCS/BOX) VESTRA</t>
  </si>
  <si>
    <t>HACK SAW BLADE SS</t>
  </si>
  <si>
    <t>SAND BAG 100*60 BIG</t>
  </si>
  <si>
    <t>DISPOSABLE COVERALL #XL</t>
  </si>
  <si>
    <t>ORANGE COATED GLOVES</t>
  </si>
  <si>
    <t>LOW CHLORIDE MARKER BLUE</t>
  </si>
  <si>
    <t>MASKING TAPE 2'' 30 YARD (24ROLL/BOX)</t>
  </si>
  <si>
    <t>SPRAY PAINT WHITE (12PCS/BOX)</t>
  </si>
  <si>
    <t>CABLE TIE 300*4.8MM</t>
  </si>
  <si>
    <t>CD MARKER BLUE</t>
  </si>
  <si>
    <t>PAINT BRUSH 3" (12PCS/BOX)</t>
  </si>
  <si>
    <t>EA</t>
  </si>
  <si>
    <t>BOX</t>
  </si>
  <si>
    <t>PACK</t>
  </si>
  <si>
    <t>ROLL</t>
  </si>
  <si>
    <t>BNDL</t>
  </si>
  <si>
    <t>PAIR</t>
  </si>
  <si>
    <t>PCS</t>
  </si>
  <si>
    <t>FORTUNE (ALNASIB ALARABIA COMPANY COMMERCIAL)</t>
  </si>
  <si>
    <t>EXCELLENCE</t>
  </si>
  <si>
    <t>PROBUILD TRADING EST</t>
  </si>
  <si>
    <t>Item Name/Specification</t>
  </si>
  <si>
    <t>N/A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</si>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</sst>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8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0" fontId="33" fillId="0" borderId="27" xfId="0" quotePrefix="1" applyFont="1" applyBorder="1" applyAlignment="1">
      <alignment horizontal="center" vertical="center"/>
    </xf>
    <xf numFmtId="0" fontId="36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2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2" fillId="0" borderId="33" xfId="2" applyFont="1" applyFill="1" applyBorder="1" applyAlignment="1">
      <alignment horizontal="center" vertical="center"/>
    </xf>
    <xf numFmtId="9" fontId="32" fillId="0" borderId="43" xfId="2" applyFont="1" applyFill="1" applyBorder="1" applyAlignment="1">
      <alignment vertical="center"/>
    </xf>
    <xf numFmtId="3" fontId="37" fillId="0" borderId="44" xfId="0" quotePrefix="1" applyNumberFormat="1" applyFont="1" applyBorder="1" applyAlignment="1">
      <alignment vertical="center" wrapText="1"/>
    </xf>
    <xf numFmtId="0" fontId="32" fillId="0" borderId="45" xfId="0" quotePrefix="1" applyFont="1" applyBorder="1" applyAlignment="1">
      <alignment horizontal="center" vertical="center"/>
    </xf>
    <xf numFmtId="166" fontId="39" fillId="0" borderId="49" xfId="3" applyNumberFormat="1" applyFont="1" applyBorder="1">
      <alignment vertical="center"/>
    </xf>
    <xf numFmtId="167" fontId="39" fillId="0" borderId="50" xfId="3" applyNumberFormat="1" applyFont="1" applyBorder="1">
      <alignment vertical="center"/>
    </xf>
    <xf numFmtId="167" fontId="39" fillId="0" borderId="51" xfId="3" applyNumberFormat="1" applyFont="1" applyBorder="1">
      <alignment vertical="center"/>
    </xf>
    <xf numFmtId="9" fontId="39" fillId="0" borderId="52" xfId="2" applyFont="1" applyFill="1" applyBorder="1" applyAlignment="1">
      <alignment vertical="center"/>
    </xf>
    <xf numFmtId="166" fontId="39" fillId="0" borderId="53" xfId="3" applyNumberFormat="1" applyFont="1" applyBorder="1">
      <alignment vertical="center"/>
    </xf>
    <xf numFmtId="9" fontId="39" fillId="0" borderId="48" xfId="2" applyFont="1" applyFill="1" applyBorder="1" applyAlignment="1">
      <alignment vertical="center"/>
    </xf>
    <xf numFmtId="3" fontId="37" fillId="0" borderId="54" xfId="0" quotePrefix="1" applyNumberFormat="1" applyFont="1" applyBorder="1" applyAlignment="1">
      <alignment vertical="center" wrapText="1"/>
    </xf>
    <xf numFmtId="166" fontId="36" fillId="0" borderId="58" xfId="1" applyNumberFormat="1" applyFont="1" applyFill="1" applyBorder="1" applyAlignment="1">
      <alignment horizontal="right" vertical="center"/>
    </xf>
    <xf numFmtId="40" fontId="36" fillId="0" borderId="59" xfId="1" applyNumberFormat="1" applyFont="1" applyFill="1" applyBorder="1" applyAlignment="1">
      <alignment horizontal="right" vertical="center"/>
    </xf>
    <xf numFmtId="40" fontId="36" fillId="0" borderId="60" xfId="1" applyNumberFormat="1" applyFont="1" applyFill="1" applyBorder="1" applyAlignment="1">
      <alignment horizontal="right" vertical="center"/>
    </xf>
    <xf numFmtId="9" fontId="36" fillId="0" borderId="57" xfId="2" applyFont="1" applyFill="1" applyBorder="1" applyAlignment="1">
      <alignment horizontal="center" vertical="center"/>
    </xf>
    <xf numFmtId="40" fontId="36" fillId="0" borderId="58" xfId="1" applyNumberFormat="1" applyFont="1" applyFill="1" applyBorder="1" applyAlignment="1">
      <alignment horizontal="right" vertical="center"/>
    </xf>
    <xf numFmtId="9" fontId="36" fillId="0" borderId="56" xfId="2" applyFont="1" applyFill="1" applyBorder="1" applyAlignment="1">
      <alignment horizontal="center" vertical="center"/>
    </xf>
    <xf numFmtId="165" fontId="36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0" fillId="4" borderId="0" xfId="0" quotePrefix="1" applyFont="1" applyFill="1" applyAlignment="1">
      <alignment horizontal="center" vertical="center"/>
    </xf>
    <xf numFmtId="0" fontId="33" fillId="4" borderId="0" xfId="0" quotePrefix="1" applyFont="1" applyFill="1" applyAlignment="1">
      <alignment horizontal="left" vertical="center" wrapText="1"/>
    </xf>
    <xf numFmtId="40" fontId="40" fillId="0" borderId="0" xfId="1" applyNumberFormat="1" applyFont="1" applyFill="1" applyBorder="1" applyAlignment="1">
      <alignment horizontal="center" vertical="center" wrapText="1" shrinkToFit="1"/>
    </xf>
    <xf numFmtId="40" fontId="41" fillId="0" borderId="0" xfId="1" applyNumberFormat="1" applyFont="1" applyFill="1" applyBorder="1" applyAlignment="1">
      <alignment horizontal="center" vertical="center" shrinkToFit="1"/>
    </xf>
    <xf numFmtId="169" fontId="41" fillId="4" borderId="0" xfId="2" applyNumberFormat="1" applyFont="1" applyFill="1" applyBorder="1" applyAlignment="1">
      <alignment vertical="center" shrinkToFit="1"/>
    </xf>
    <xf numFmtId="164" fontId="40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2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2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2" fillId="0" borderId="91" xfId="0" applyFont="1" applyBorder="1" applyAlignment="1">
      <alignment horizontal="left" vertical="center"/>
    </xf>
    <xf numFmtId="0" fontId="43" fillId="0" borderId="92" xfId="0" applyFont="1" applyBorder="1" applyAlignment="1">
      <alignment horizontal="left" vertical="center"/>
    </xf>
    <xf numFmtId="0" fontId="43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3" fillId="0" borderId="82" xfId="3" applyNumberFormat="1" applyFont="1" applyBorder="1">
      <alignment vertical="center"/>
    </xf>
    <xf numFmtId="166" fontId="43" fillId="0" borderId="25" xfId="3" applyNumberFormat="1" applyFont="1" applyBorder="1">
      <alignment vertical="center"/>
    </xf>
    <xf numFmtId="9" fontId="43" fillId="0" borderId="22" xfId="2" applyFont="1" applyFill="1" applyBorder="1" applyAlignment="1">
      <alignment vertical="center"/>
    </xf>
    <xf numFmtId="167" fontId="43" fillId="0" borderId="25" xfId="3" applyNumberFormat="1" applyFont="1" applyBorder="1">
      <alignment vertical="center"/>
    </xf>
    <xf numFmtId="167" fontId="43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9" fontId="43" fillId="0" borderId="25" xfId="2" applyFont="1" applyFill="1" applyBorder="1" applyAlignment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39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6" fillId="0" borderId="58" xfId="2" applyFont="1" applyFill="1" applyBorder="1" applyAlignment="1">
      <alignment horizontal="right" vertical="center"/>
    </xf>
    <xf numFmtId="3" fontId="34" fillId="0" borderId="105" xfId="0" quotePrefix="1" applyNumberFormat="1" applyFont="1" applyBorder="1" applyAlignment="1">
      <alignment vertical="center" wrapText="1"/>
    </xf>
    <xf numFmtId="0" fontId="33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4" fillId="2" borderId="65" xfId="0" applyFont="1" applyFill="1" applyBorder="1" applyAlignment="1">
      <alignment horizontal="center" vertical="center"/>
    </xf>
    <xf numFmtId="9" fontId="43" fillId="0" borderId="108" xfId="2" applyFont="1" applyFill="1" applyBorder="1" applyAlignment="1">
      <alignment vertical="center"/>
    </xf>
    <xf numFmtId="9" fontId="43" fillId="0" borderId="109" xfId="2" applyFont="1" applyFill="1" applyBorder="1" applyAlignment="1">
      <alignment vertical="center"/>
    </xf>
    <xf numFmtId="166" fontId="43" fillId="0" borderId="82" xfId="3" applyNumberFormat="1" applyFont="1" applyBorder="1" applyAlignment="1">
      <alignment horizontal="center" vertical="center"/>
    </xf>
    <xf numFmtId="10" fontId="32" fillId="0" borderId="41" xfId="2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6" fillId="0" borderId="95" xfId="1" applyNumberFormat="1" applyFont="1" applyFill="1" applyBorder="1" applyAlignment="1">
      <alignment horizontal="center" vertical="center"/>
    </xf>
    <xf numFmtId="40" fontId="36" fillId="0" borderId="96" xfId="1" applyNumberFormat="1" applyFont="1" applyFill="1" applyBorder="1" applyAlignment="1">
      <alignment horizontal="center" vertical="center"/>
    </xf>
    <xf numFmtId="2" fontId="33" fillId="4" borderId="79" xfId="0" applyNumberFormat="1" applyFont="1" applyFill="1" applyBorder="1" applyAlignment="1">
      <alignment horizontal="center" vertical="center" wrapText="1"/>
    </xf>
    <xf numFmtId="2" fontId="33" fillId="4" borderId="97" xfId="0" applyNumberFormat="1" applyFont="1" applyFill="1" applyBorder="1" applyAlignment="1">
      <alignment horizontal="center" vertical="center" wrapText="1"/>
    </xf>
    <xf numFmtId="2" fontId="39" fillId="0" borderId="46" xfId="3" applyNumberFormat="1" applyFont="1" applyBorder="1" applyAlignment="1">
      <alignment horizontal="center" vertical="center"/>
    </xf>
    <xf numFmtId="2" fontId="39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6" fillId="2" borderId="55" xfId="0" applyFont="1" applyFill="1" applyBorder="1" applyAlignment="1">
      <alignment horizontal="center" vertical="center"/>
    </xf>
    <xf numFmtId="0" fontId="36" fillId="2" borderId="56" xfId="0" applyFont="1" applyFill="1" applyBorder="1" applyAlignment="1">
      <alignment horizontal="center" vertical="center"/>
    </xf>
    <xf numFmtId="0" fontId="36" fillId="2" borderId="57" xfId="0" applyFont="1" applyFill="1" applyBorder="1" applyAlignment="1">
      <alignment horizontal="center" vertical="center"/>
    </xf>
    <xf numFmtId="0" fontId="38" fillId="0" borderId="46" xfId="0" applyFont="1" applyBorder="1" applyAlignment="1">
      <alignment horizontal="right" vertical="center"/>
    </xf>
    <xf numFmtId="0" fontId="38" fillId="0" borderId="47" xfId="0" applyFont="1" applyBorder="1" applyAlignment="1">
      <alignment horizontal="right" vertical="center"/>
    </xf>
    <xf numFmtId="0" fontId="38" fillId="0" borderId="48" xfId="0" applyFont="1" applyBorder="1" applyAlignment="1">
      <alignment horizontal="right" vertical="center"/>
    </xf>
    <xf numFmtId="0" fontId="33" fillId="0" borderId="100" xfId="0" applyFont="1" applyBorder="1" applyAlignment="1">
      <alignment horizontal="center" vertical="center" wrapText="1"/>
    </xf>
    <xf numFmtId="0" fontId="33" fillId="0" borderId="101" xfId="0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169" fontId="42" fillId="0" borderId="51" xfId="1" applyNumberFormat="1" applyFont="1" applyFill="1" applyBorder="1" applyAlignment="1">
      <alignment horizontal="center" vertical="center" shrinkToFit="1"/>
    </xf>
    <xf numFmtId="169" fontId="42" fillId="0" borderId="48" xfId="1" applyNumberFormat="1" applyFont="1" applyFill="1" applyBorder="1" applyAlignment="1">
      <alignment horizontal="center" vertical="center" shrinkToFit="1"/>
    </xf>
    <xf numFmtId="40" fontId="42" fillId="0" borderId="46" xfId="1" applyNumberFormat="1" applyFont="1" applyFill="1" applyBorder="1" applyAlignment="1">
      <alignment horizontal="center" vertical="center" shrinkToFit="1"/>
    </xf>
    <xf numFmtId="40" fontId="42" fillId="0" borderId="49" xfId="1" applyNumberFormat="1" applyFont="1" applyFill="1" applyBorder="1" applyAlignment="1">
      <alignment horizontal="center" vertical="center" shrinkToFit="1"/>
    </xf>
    <xf numFmtId="40" fontId="42" fillId="0" borderId="79" xfId="1" applyNumberFormat="1" applyFont="1" applyFill="1" applyBorder="1" applyAlignment="1">
      <alignment horizontal="center" vertical="center" shrinkToFit="1"/>
    </xf>
    <xf numFmtId="40" fontId="42" fillId="0" borderId="83" xfId="1" applyNumberFormat="1" applyFont="1" applyFill="1" applyBorder="1" applyAlignment="1">
      <alignment horizontal="center" vertical="center" shrinkToFit="1"/>
    </xf>
    <xf numFmtId="169" fontId="42" fillId="4" borderId="84" xfId="2" applyNumberFormat="1" applyFont="1" applyFill="1" applyBorder="1" applyAlignment="1">
      <alignment horizontal="center" vertical="center" shrinkToFit="1"/>
    </xf>
    <xf numFmtId="169" fontId="42" fillId="4" borderId="80" xfId="2" applyNumberFormat="1" applyFont="1" applyFill="1" applyBorder="1" applyAlignment="1">
      <alignment horizontal="center" vertical="center" shrinkToFit="1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3" fillId="0" borderId="22" xfId="3" applyNumberFormat="1" applyFont="1" applyBorder="1" applyAlignment="1">
      <alignment horizontal="center" vertical="center" wrapText="1"/>
    </xf>
    <xf numFmtId="167" fontId="43" fillId="0" borderId="81" xfId="3" applyNumberFormat="1" applyFont="1" applyBorder="1" applyAlignment="1">
      <alignment horizontal="center" vertical="center" wrapText="1"/>
    </xf>
    <xf numFmtId="167" fontId="43" fillId="0" borderId="25" xfId="3" applyNumberFormat="1" applyFont="1" applyBorder="1" applyAlignment="1">
      <alignment horizontal="center" vertical="center" wrapText="1"/>
    </xf>
    <xf numFmtId="167" fontId="43" fillId="0" borderId="73" xfId="3" applyNumberFormat="1" applyFont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65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3" fillId="4" borderId="36" xfId="0" applyFont="1" applyFill="1" applyBorder="1" applyAlignment="1">
      <alignment horizontal="right" vertical="center" wrapText="1"/>
    </xf>
    <xf numFmtId="0" fontId="33" fillId="4" borderId="37" xfId="0" applyFont="1" applyFill="1" applyBorder="1" applyAlignment="1">
      <alignment horizontal="right" vertical="center" wrapTex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40" fontId="42" fillId="0" borderId="71" xfId="1" applyNumberFormat="1" applyFont="1" applyFill="1" applyBorder="1" applyAlignment="1">
      <alignment horizontal="center" vertical="center" shrinkToFit="1"/>
    </xf>
    <xf numFmtId="40" fontId="42" fillId="0" borderId="75" xfId="1" applyNumberFormat="1" applyFont="1" applyFill="1" applyBorder="1" applyAlignment="1">
      <alignment horizontal="center" vertical="center" shrinkToFit="1"/>
    </xf>
    <xf numFmtId="169" fontId="42" fillId="4" borderId="76" xfId="2" applyNumberFormat="1" applyFont="1" applyFill="1" applyBorder="1" applyAlignment="1">
      <alignment horizontal="center" vertical="center" shrinkToFit="1"/>
    </xf>
    <xf numFmtId="169" fontId="42" fillId="4" borderId="72" xfId="2" applyNumberFormat="1" applyFont="1" applyFill="1" applyBorder="1" applyAlignment="1">
      <alignment horizontal="center" vertical="center" shrinkToFi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46" t="s">
        <v>37</v>
      </c>
      <c r="R1" s="246"/>
      <c r="S1" s="246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300" t="s">
        <v>2</v>
      </c>
      <c r="C4" s="302" t="s">
        <v>3</v>
      </c>
      <c r="D4" s="304" t="s">
        <v>4</v>
      </c>
      <c r="E4" s="306" t="s">
        <v>5</v>
      </c>
      <c r="F4" s="308" t="s">
        <v>6</v>
      </c>
      <c r="G4" s="285" t="s">
        <v>7</v>
      </c>
      <c r="H4" s="286"/>
      <c r="I4" s="286"/>
      <c r="J4" s="287"/>
      <c r="K4" s="285" t="s">
        <v>8</v>
      </c>
      <c r="L4" s="286"/>
      <c r="M4" s="286"/>
      <c r="N4" s="287"/>
      <c r="O4" s="285" t="s">
        <v>9</v>
      </c>
      <c r="P4" s="286"/>
      <c r="Q4" s="286"/>
      <c r="R4" s="287"/>
      <c r="S4" s="288" t="s">
        <v>10</v>
      </c>
      <c r="T4" s="17"/>
    </row>
    <row r="5" spans="1:24" ht="33.75" customHeight="1" thickBot="1">
      <c r="B5" s="301"/>
      <c r="C5" s="303"/>
      <c r="D5" s="305"/>
      <c r="E5" s="307"/>
      <c r="F5" s="309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89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90"/>
      <c r="J6" s="29"/>
      <c r="K6" s="30"/>
      <c r="L6" s="28"/>
      <c r="M6" s="290"/>
      <c r="N6" s="29"/>
      <c r="O6" s="27"/>
      <c r="P6" s="28"/>
      <c r="Q6" s="290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91"/>
      <c r="J7" s="39"/>
      <c r="K7" s="40"/>
      <c r="L7" s="38"/>
      <c r="M7" s="291"/>
      <c r="N7" s="39"/>
      <c r="O7" s="37"/>
      <c r="P7" s="38"/>
      <c r="Q7" s="291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92"/>
      <c r="J8" s="48"/>
      <c r="K8" s="49"/>
      <c r="L8" s="47"/>
      <c r="M8" s="292"/>
      <c r="N8" s="48"/>
      <c r="O8" s="46"/>
      <c r="P8" s="47"/>
      <c r="Q8" s="292"/>
      <c r="R8" s="48"/>
      <c r="S8" s="50"/>
      <c r="T8" s="32"/>
    </row>
    <row r="9" spans="1:24" s="7" customFormat="1" ht="30" customHeight="1">
      <c r="A9" s="8"/>
      <c r="B9" s="51"/>
      <c r="C9" s="293" t="s">
        <v>21</v>
      </c>
      <c r="D9" s="294"/>
      <c r="E9" s="294"/>
      <c r="F9" s="294"/>
      <c r="G9" s="295"/>
      <c r="H9" s="296"/>
      <c r="I9" s="296"/>
      <c r="J9" s="297"/>
      <c r="K9" s="295"/>
      <c r="L9" s="296"/>
      <c r="M9" s="296"/>
      <c r="N9" s="297"/>
      <c r="O9" s="295"/>
      <c r="P9" s="296"/>
      <c r="Q9" s="296"/>
      <c r="R9" s="297"/>
      <c r="S9" s="52"/>
      <c r="T9" s="32"/>
    </row>
    <row r="10" spans="1:24" s="7" customFormat="1" ht="30" customHeight="1">
      <c r="A10" s="8"/>
      <c r="B10" s="53"/>
      <c r="C10" s="54"/>
      <c r="D10" s="298" t="s">
        <v>22</v>
      </c>
      <c r="E10" s="298"/>
      <c r="F10" s="299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82" t="s">
        <v>23</v>
      </c>
      <c r="D11" s="283"/>
      <c r="E11" s="283"/>
      <c r="F11" s="284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75" t="s">
        <v>24</v>
      </c>
      <c r="C12" s="276"/>
      <c r="D12" s="276"/>
      <c r="E12" s="276"/>
      <c r="F12" s="277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80" t="s">
        <v>27</v>
      </c>
      <c r="D15" s="281"/>
      <c r="E15" s="278" t="s">
        <v>28</v>
      </c>
      <c r="F15" s="279"/>
      <c r="G15" s="259" t="s">
        <v>29</v>
      </c>
      <c r="H15" s="260"/>
      <c r="I15" s="261" t="s">
        <v>30</v>
      </c>
      <c r="J15" s="262"/>
      <c r="K15" s="259" t="s">
        <v>31</v>
      </c>
      <c r="L15" s="260"/>
      <c r="M15" s="261" t="s">
        <v>32</v>
      </c>
      <c r="N15" s="262"/>
      <c r="O15" s="259" t="s">
        <v>31</v>
      </c>
      <c r="P15" s="260"/>
      <c r="Q15" s="261" t="s">
        <v>32</v>
      </c>
      <c r="R15" s="262"/>
      <c r="S15" s="89" t="s">
        <v>33</v>
      </c>
      <c r="T15" s="90"/>
    </row>
    <row r="16" spans="1:24" s="79" customFormat="1" ht="25.15" customHeight="1" thickTop="1">
      <c r="B16" s="91"/>
      <c r="C16" s="263"/>
      <c r="D16" s="264"/>
      <c r="E16" s="265"/>
      <c r="F16" s="266"/>
      <c r="G16" s="271"/>
      <c r="H16" s="272"/>
      <c r="I16" s="273"/>
      <c r="J16" s="274"/>
      <c r="K16" s="271"/>
      <c r="L16" s="272"/>
      <c r="M16" s="273"/>
      <c r="N16" s="274"/>
      <c r="O16" s="271"/>
      <c r="P16" s="272"/>
      <c r="Q16" s="273"/>
      <c r="R16" s="274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55"/>
      <c r="D17" s="256"/>
      <c r="E17" s="267"/>
      <c r="F17" s="268"/>
      <c r="G17" s="257"/>
      <c r="H17" s="258"/>
      <c r="I17" s="247"/>
      <c r="J17" s="248"/>
      <c r="K17" s="257"/>
      <c r="L17" s="258"/>
      <c r="M17" s="247"/>
      <c r="N17" s="248"/>
      <c r="O17" s="257"/>
      <c r="P17" s="258"/>
      <c r="Q17" s="247"/>
      <c r="R17" s="248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49"/>
      <c r="D18" s="250"/>
      <c r="E18" s="269"/>
      <c r="F18" s="270"/>
      <c r="G18" s="251"/>
      <c r="H18" s="252"/>
      <c r="I18" s="253"/>
      <c r="J18" s="254"/>
      <c r="K18" s="251"/>
      <c r="L18" s="252"/>
      <c r="M18" s="253"/>
      <c r="N18" s="254"/>
      <c r="O18" s="251"/>
      <c r="P18" s="252"/>
      <c r="Q18" s="253"/>
      <c r="R18" s="254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Z67"/>
  <sheetViews>
    <sheetView showGridLines="0" tabSelected="1" topLeftCell="A19" zoomScale="130" zoomScaleNormal="130" zoomScaleSheetLayoutView="110" workbookViewId="0">
      <selection activeCell="I40" sqref="I40"/>
    </sheetView>
  </sheetViews>
  <sheetFormatPr defaultColWidth="9" defaultRowHeight="18" customHeight="1"/>
  <cols>
    <col min="1" max="1" width="3.140625" style="133" customWidth="1"/>
    <col min="2" max="2" width="5.140625" style="133" customWidth="1"/>
    <col min="3" max="3" width="42.7109375" style="137" customWidth="1"/>
    <col min="4" max="4" width="8.7109375" style="133" customWidth="1"/>
    <col min="5" max="5" width="7.42578125" style="133" customWidth="1"/>
    <col min="6" max="6" width="9" style="133" customWidth="1"/>
    <col min="7" max="7" width="12.42578125" style="133" customWidth="1"/>
    <col min="8" max="8" width="8.140625" style="133" bestFit="1" customWidth="1"/>
    <col min="9" max="9" width="13.140625" style="133" customWidth="1"/>
    <col min="10" max="10" width="12.140625" style="133" customWidth="1"/>
    <col min="11" max="11" width="11.140625" style="133" customWidth="1"/>
    <col min="12" max="12" width="6.28515625" style="219" bestFit="1" customWidth="1"/>
    <col min="13" max="13" width="11.28515625" style="133" bestFit="1" customWidth="1"/>
    <col min="14" max="14" width="13.85546875" style="133" bestFit="1" customWidth="1"/>
    <col min="15" max="15" width="12.140625" style="133" customWidth="1"/>
    <col min="16" max="16" width="8.140625" style="219" customWidth="1"/>
    <col min="17" max="17" width="12.28515625" style="219" bestFit="1" customWidth="1"/>
    <col min="18" max="18" width="13.85546875" style="219" bestFit="1" customWidth="1"/>
    <col min="19" max="19" width="9.7109375" style="219" customWidth="1"/>
    <col min="20" max="20" width="8.85546875" style="219" bestFit="1" customWidth="1"/>
    <col min="21" max="21" width="14.28515625" style="133" customWidth="1"/>
    <col min="22" max="22" width="2" style="133" customWidth="1"/>
    <col min="23" max="26" width="9" style="132"/>
    <col min="27" max="16384" width="9" style="133"/>
  </cols>
  <sheetData>
    <row r="1" spans="1:22" ht="24.95" customHeight="1" thickBot="1">
      <c r="A1" s="127" t="s">
        <v>56</v>
      </c>
      <c r="B1" s="128"/>
      <c r="C1" s="129"/>
      <c r="D1" s="128"/>
      <c r="E1" s="128"/>
      <c r="F1" s="128"/>
      <c r="G1" s="128"/>
      <c r="H1" s="128"/>
      <c r="I1" s="128"/>
      <c r="J1" s="128"/>
      <c r="K1" s="128"/>
      <c r="L1" s="130"/>
      <c r="M1" s="128"/>
      <c r="N1" s="128"/>
      <c r="O1" s="128"/>
      <c r="P1" s="130"/>
      <c r="Q1" s="130"/>
      <c r="R1" s="130"/>
      <c r="S1" s="130"/>
      <c r="T1" s="130"/>
      <c r="U1" s="220">
        <v>46319</v>
      </c>
      <c r="V1" s="131"/>
    </row>
    <row r="2" spans="1:22" ht="15" customHeight="1" thickTop="1">
      <c r="A2" s="134"/>
      <c r="B2" s="134"/>
      <c r="C2" s="135"/>
      <c r="D2" s="134"/>
      <c r="E2" s="134"/>
      <c r="F2" s="134"/>
      <c r="G2" s="134"/>
      <c r="H2" s="134"/>
      <c r="I2" s="134"/>
      <c r="J2" s="134"/>
      <c r="K2" s="134"/>
      <c r="L2" s="136"/>
      <c r="M2" s="134"/>
      <c r="N2" s="134"/>
      <c r="O2" s="134"/>
      <c r="P2" s="136"/>
      <c r="Q2" s="136"/>
      <c r="R2" s="136"/>
      <c r="S2" s="136"/>
      <c r="T2" s="136"/>
      <c r="U2" s="134"/>
      <c r="V2" s="134"/>
    </row>
    <row r="3" spans="1:22" ht="18" customHeight="1" thickBot="1">
      <c r="A3" s="310" t="s">
        <v>43</v>
      </c>
      <c r="B3" s="310"/>
      <c r="C3" s="310"/>
      <c r="L3" s="138"/>
      <c r="P3" s="138"/>
      <c r="Q3" s="138"/>
      <c r="R3" s="138"/>
      <c r="S3" s="138"/>
      <c r="T3" s="138"/>
      <c r="U3" s="139" t="s">
        <v>1</v>
      </c>
      <c r="V3" s="139"/>
    </row>
    <row r="4" spans="1:22" ht="32.25" customHeight="1">
      <c r="B4" s="352" t="s">
        <v>2</v>
      </c>
      <c r="C4" s="354" t="s">
        <v>106</v>
      </c>
      <c r="D4" s="356" t="s">
        <v>5</v>
      </c>
      <c r="E4" s="358" t="s">
        <v>41</v>
      </c>
      <c r="F4" s="320" t="s">
        <v>57</v>
      </c>
      <c r="G4" s="321"/>
      <c r="H4" s="322"/>
      <c r="I4" s="341" t="s">
        <v>103</v>
      </c>
      <c r="J4" s="342"/>
      <c r="K4" s="342"/>
      <c r="L4" s="343"/>
      <c r="M4" s="341" t="s">
        <v>104</v>
      </c>
      <c r="N4" s="342"/>
      <c r="O4" s="342"/>
      <c r="P4" s="343"/>
      <c r="Q4" s="341" t="s">
        <v>105</v>
      </c>
      <c r="R4" s="342"/>
      <c r="S4" s="342"/>
      <c r="T4" s="343"/>
      <c r="U4" s="346" t="s">
        <v>42</v>
      </c>
      <c r="V4" s="141"/>
    </row>
    <row r="5" spans="1:22" ht="27" customHeight="1" thickBot="1">
      <c r="B5" s="353"/>
      <c r="C5" s="355"/>
      <c r="D5" s="357"/>
      <c r="E5" s="359"/>
      <c r="F5" s="142" t="s">
        <v>39</v>
      </c>
      <c r="G5" s="142" t="s">
        <v>40</v>
      </c>
      <c r="H5" s="145" t="s">
        <v>108</v>
      </c>
      <c r="I5" s="142" t="s">
        <v>39</v>
      </c>
      <c r="J5" s="143" t="s">
        <v>40</v>
      </c>
      <c r="K5" s="144" t="s">
        <v>13</v>
      </c>
      <c r="L5" s="145" t="s">
        <v>14</v>
      </c>
      <c r="M5" s="142" t="s">
        <v>39</v>
      </c>
      <c r="N5" s="143" t="s">
        <v>40</v>
      </c>
      <c r="O5" s="144" t="s">
        <v>17</v>
      </c>
      <c r="P5" s="145" t="s">
        <v>18</v>
      </c>
      <c r="Q5" s="142" t="s">
        <v>39</v>
      </c>
      <c r="R5" s="143" t="s">
        <v>40</v>
      </c>
      <c r="S5" s="144" t="s">
        <v>19</v>
      </c>
      <c r="T5" s="146" t="s">
        <v>20</v>
      </c>
      <c r="U5" s="347"/>
      <c r="V5" s="141"/>
    </row>
    <row r="6" spans="1:22" s="147" customFormat="1" ht="18.75" customHeight="1" thickTop="1">
      <c r="B6" s="148">
        <v>1</v>
      </c>
      <c r="C6" s="221" t="s">
        <v>58</v>
      </c>
      <c r="D6" s="222" t="s">
        <v>96</v>
      </c>
      <c r="E6" s="222">
        <v>64</v>
      </c>
      <c r="F6" s="224">
        <v>55</v>
      </c>
      <c r="G6" s="223">
        <f>E6*F6</f>
        <v>3520</v>
      </c>
      <c r="H6" s="226">
        <f>G6/J6</f>
        <v>1</v>
      </c>
      <c r="I6" s="224">
        <v>55</v>
      </c>
      <c r="J6" s="225">
        <f>I6*E6</f>
        <v>3520</v>
      </c>
      <c r="K6" s="348"/>
      <c r="L6" s="226">
        <v>1</v>
      </c>
      <c r="M6" s="224">
        <v>56.1</v>
      </c>
      <c r="N6" s="227">
        <f>M6*E6</f>
        <v>3590.4</v>
      </c>
      <c r="O6" s="351"/>
      <c r="P6" s="242">
        <f>N6/J6</f>
        <v>1.02</v>
      </c>
      <c r="Q6" s="224">
        <v>58</v>
      </c>
      <c r="R6" s="228">
        <f>Q6*E6</f>
        <v>3712</v>
      </c>
      <c r="S6" s="348"/>
      <c r="T6" s="226">
        <f>R6/J6</f>
        <v>1.0545454545454545</v>
      </c>
      <c r="U6" s="149"/>
      <c r="V6" s="150"/>
    </row>
    <row r="7" spans="1:22" s="147" customFormat="1" ht="12" customHeight="1">
      <c r="B7" s="148">
        <v>2</v>
      </c>
      <c r="C7" s="229" t="s">
        <v>59</v>
      </c>
      <c r="D7" s="222" t="s">
        <v>97</v>
      </c>
      <c r="E7" s="222">
        <v>18</v>
      </c>
      <c r="F7" s="244" t="s">
        <v>107</v>
      </c>
      <c r="G7" s="223" t="s">
        <v>107</v>
      </c>
      <c r="H7" s="230">
        <v>0</v>
      </c>
      <c r="I7" s="224">
        <v>96</v>
      </c>
      <c r="J7" s="225">
        <f t="shared" ref="J7:J44" si="0">I7*E7</f>
        <v>1728</v>
      </c>
      <c r="K7" s="349"/>
      <c r="L7" s="230">
        <v>1</v>
      </c>
      <c r="M7" s="224">
        <v>98.02</v>
      </c>
      <c r="N7" s="227">
        <f t="shared" ref="N7:N44" si="1">M7*E7</f>
        <v>1764.36</v>
      </c>
      <c r="O7" s="349"/>
      <c r="P7" s="230">
        <f t="shared" ref="P7:P44" si="2">N7/J7</f>
        <v>1.0210416666666666</v>
      </c>
      <c r="Q7" s="224">
        <v>100</v>
      </c>
      <c r="R7" s="227">
        <f t="shared" ref="R7:R44" si="3">Q7*E7</f>
        <v>1800</v>
      </c>
      <c r="S7" s="350"/>
      <c r="T7" s="230">
        <f t="shared" ref="T7:T44" si="4">R7/J7</f>
        <v>1.0416666666666667</v>
      </c>
      <c r="U7" s="151"/>
      <c r="V7" s="150"/>
    </row>
    <row r="8" spans="1:22" s="147" customFormat="1" ht="12" customHeight="1">
      <c r="B8" s="148">
        <v>3</v>
      </c>
      <c r="C8" s="229" t="s">
        <v>60</v>
      </c>
      <c r="D8" s="222" t="s">
        <v>98</v>
      </c>
      <c r="E8" s="222">
        <v>50</v>
      </c>
      <c r="F8" s="244" t="s">
        <v>107</v>
      </c>
      <c r="G8" s="223" t="s">
        <v>107</v>
      </c>
      <c r="H8" s="230">
        <v>0</v>
      </c>
      <c r="I8" s="224">
        <v>8</v>
      </c>
      <c r="J8" s="225">
        <f t="shared" si="0"/>
        <v>400</v>
      </c>
      <c r="K8" s="349"/>
      <c r="L8" s="230">
        <v>1</v>
      </c>
      <c r="M8" s="224">
        <v>8.5</v>
      </c>
      <c r="N8" s="227">
        <f t="shared" si="1"/>
        <v>425</v>
      </c>
      <c r="O8" s="349"/>
      <c r="P8" s="230">
        <f t="shared" si="2"/>
        <v>1.0625</v>
      </c>
      <c r="Q8" s="224">
        <v>10</v>
      </c>
      <c r="R8" s="227">
        <f t="shared" si="3"/>
        <v>500</v>
      </c>
      <c r="S8" s="349"/>
      <c r="T8" s="230">
        <f t="shared" si="4"/>
        <v>1.25</v>
      </c>
      <c r="U8" s="237"/>
      <c r="V8" s="150"/>
    </row>
    <row r="9" spans="1:22" s="147" customFormat="1" ht="12" customHeight="1">
      <c r="B9" s="148">
        <v>4</v>
      </c>
      <c r="C9" s="229" t="s">
        <v>61</v>
      </c>
      <c r="D9" s="222" t="s">
        <v>96</v>
      </c>
      <c r="E9" s="222">
        <v>10</v>
      </c>
      <c r="F9" s="244" t="s">
        <v>107</v>
      </c>
      <c r="G9" s="223" t="s">
        <v>107</v>
      </c>
      <c r="H9" s="230">
        <v>0</v>
      </c>
      <c r="I9" s="224">
        <v>22</v>
      </c>
      <c r="J9" s="225">
        <f t="shared" si="0"/>
        <v>220</v>
      </c>
      <c r="K9" s="349"/>
      <c r="L9" s="230">
        <v>1</v>
      </c>
      <c r="M9" s="224">
        <v>24</v>
      </c>
      <c r="N9" s="227">
        <f t="shared" si="1"/>
        <v>240</v>
      </c>
      <c r="O9" s="349"/>
      <c r="P9" s="230">
        <f t="shared" si="2"/>
        <v>1.0909090909090908</v>
      </c>
      <c r="Q9" s="224">
        <v>25.03</v>
      </c>
      <c r="R9" s="227">
        <f t="shared" si="3"/>
        <v>250.3</v>
      </c>
      <c r="S9" s="349"/>
      <c r="T9" s="230">
        <f t="shared" si="4"/>
        <v>1.1377272727272727</v>
      </c>
      <c r="U9" s="237"/>
      <c r="V9" s="150"/>
    </row>
    <row r="10" spans="1:22" s="147" customFormat="1" ht="12" customHeight="1">
      <c r="B10" s="148">
        <v>5</v>
      </c>
      <c r="C10" s="229" t="s">
        <v>62</v>
      </c>
      <c r="D10" s="222" t="s">
        <v>99</v>
      </c>
      <c r="E10" s="222">
        <v>200</v>
      </c>
      <c r="F10" s="224">
        <v>3.5</v>
      </c>
      <c r="G10" s="223">
        <f t="shared" ref="G10:G44" si="5">E10*F10</f>
        <v>700</v>
      </c>
      <c r="H10" s="230">
        <f>G10/J10</f>
        <v>1.4</v>
      </c>
      <c r="I10" s="224">
        <v>2.5</v>
      </c>
      <c r="J10" s="225">
        <f t="shared" si="0"/>
        <v>500</v>
      </c>
      <c r="K10" s="349"/>
      <c r="L10" s="230">
        <v>1</v>
      </c>
      <c r="M10" s="224">
        <v>3.5</v>
      </c>
      <c r="N10" s="227">
        <f t="shared" si="1"/>
        <v>700</v>
      </c>
      <c r="O10" s="349"/>
      <c r="P10" s="230">
        <f t="shared" si="2"/>
        <v>1.4</v>
      </c>
      <c r="Q10" s="224">
        <v>4</v>
      </c>
      <c r="R10" s="227">
        <f t="shared" si="3"/>
        <v>800</v>
      </c>
      <c r="S10" s="349"/>
      <c r="T10" s="230">
        <f t="shared" si="4"/>
        <v>1.6</v>
      </c>
      <c r="U10" s="237"/>
      <c r="V10" s="150"/>
    </row>
    <row r="11" spans="1:22" s="147" customFormat="1" ht="12" customHeight="1">
      <c r="B11" s="148">
        <v>6</v>
      </c>
      <c r="C11" s="229" t="s">
        <v>63</v>
      </c>
      <c r="D11" s="222" t="s">
        <v>99</v>
      </c>
      <c r="E11" s="222">
        <v>30</v>
      </c>
      <c r="F11" s="244" t="s">
        <v>107</v>
      </c>
      <c r="G11" s="223" t="s">
        <v>107</v>
      </c>
      <c r="H11" s="230">
        <v>0</v>
      </c>
      <c r="I11" s="224">
        <v>4</v>
      </c>
      <c r="J11" s="225">
        <f t="shared" si="0"/>
        <v>120</v>
      </c>
      <c r="K11" s="349"/>
      <c r="L11" s="230">
        <v>1</v>
      </c>
      <c r="M11" s="224">
        <v>6</v>
      </c>
      <c r="N11" s="227">
        <f t="shared" si="1"/>
        <v>180</v>
      </c>
      <c r="O11" s="349"/>
      <c r="P11" s="230">
        <f t="shared" si="2"/>
        <v>1.5</v>
      </c>
      <c r="Q11" s="224">
        <v>7.1</v>
      </c>
      <c r="R11" s="227">
        <f t="shared" si="3"/>
        <v>213</v>
      </c>
      <c r="S11" s="349"/>
      <c r="T11" s="230">
        <f t="shared" si="4"/>
        <v>1.7749999999999999</v>
      </c>
      <c r="U11" s="237"/>
      <c r="V11" s="150"/>
    </row>
    <row r="12" spans="1:22" s="147" customFormat="1" ht="12" customHeight="1">
      <c r="B12" s="148">
        <v>7</v>
      </c>
      <c r="C12" s="229" t="s">
        <v>64</v>
      </c>
      <c r="D12" s="222" t="s">
        <v>96</v>
      </c>
      <c r="E12" s="222">
        <v>200</v>
      </c>
      <c r="F12" s="244">
        <v>2</v>
      </c>
      <c r="G12" s="223">
        <f t="shared" si="5"/>
        <v>400</v>
      </c>
      <c r="H12" s="230">
        <f t="shared" ref="H12:H44" si="6">G12/J12</f>
        <v>1.6666666666666667</v>
      </c>
      <c r="I12" s="224">
        <v>1.2</v>
      </c>
      <c r="J12" s="225">
        <f t="shared" si="0"/>
        <v>240</v>
      </c>
      <c r="K12" s="349"/>
      <c r="L12" s="230">
        <v>1</v>
      </c>
      <c r="M12" s="224">
        <v>1.5</v>
      </c>
      <c r="N12" s="227">
        <f t="shared" si="1"/>
        <v>300</v>
      </c>
      <c r="O12" s="349"/>
      <c r="P12" s="230">
        <f t="shared" si="2"/>
        <v>1.25</v>
      </c>
      <c r="Q12" s="224">
        <v>1.75</v>
      </c>
      <c r="R12" s="227">
        <f t="shared" si="3"/>
        <v>350</v>
      </c>
      <c r="S12" s="349"/>
      <c r="T12" s="230">
        <f t="shared" si="4"/>
        <v>1.4583333333333333</v>
      </c>
      <c r="U12" s="237"/>
      <c r="V12" s="150"/>
    </row>
    <row r="13" spans="1:22" s="147" customFormat="1" ht="12" customHeight="1">
      <c r="B13" s="148">
        <v>8</v>
      </c>
      <c r="C13" s="229" t="s">
        <v>65</v>
      </c>
      <c r="D13" s="222" t="s">
        <v>99</v>
      </c>
      <c r="E13" s="222">
        <v>5</v>
      </c>
      <c r="F13" s="244" t="s">
        <v>107</v>
      </c>
      <c r="G13" s="223" t="s">
        <v>107</v>
      </c>
      <c r="H13" s="230">
        <v>0</v>
      </c>
      <c r="I13" s="224">
        <v>130</v>
      </c>
      <c r="J13" s="225">
        <f t="shared" si="0"/>
        <v>650</v>
      </c>
      <c r="K13" s="349"/>
      <c r="L13" s="230">
        <v>1</v>
      </c>
      <c r="M13" s="224">
        <v>130.5</v>
      </c>
      <c r="N13" s="227">
        <f t="shared" si="1"/>
        <v>652.5</v>
      </c>
      <c r="O13" s="349"/>
      <c r="P13" s="230">
        <f t="shared" si="2"/>
        <v>1.0038461538461538</v>
      </c>
      <c r="Q13" s="224">
        <v>132</v>
      </c>
      <c r="R13" s="227">
        <f t="shared" si="3"/>
        <v>660</v>
      </c>
      <c r="S13" s="349"/>
      <c r="T13" s="230">
        <f t="shared" si="4"/>
        <v>1.0153846153846153</v>
      </c>
      <c r="U13" s="237"/>
      <c r="V13" s="150"/>
    </row>
    <row r="14" spans="1:22" s="147" customFormat="1" ht="12" customHeight="1">
      <c r="B14" s="148">
        <v>9</v>
      </c>
      <c r="C14" s="229" t="s">
        <v>66</v>
      </c>
      <c r="D14" s="222" t="s">
        <v>99</v>
      </c>
      <c r="E14" s="222">
        <v>45</v>
      </c>
      <c r="F14" s="244" t="s">
        <v>107</v>
      </c>
      <c r="G14" s="223" t="s">
        <v>107</v>
      </c>
      <c r="H14" s="230">
        <v>0</v>
      </c>
      <c r="I14" s="224">
        <v>32</v>
      </c>
      <c r="J14" s="225">
        <f t="shared" si="0"/>
        <v>1440</v>
      </c>
      <c r="K14" s="349"/>
      <c r="L14" s="230">
        <v>1</v>
      </c>
      <c r="M14" s="224">
        <v>33.799999999999997</v>
      </c>
      <c r="N14" s="227">
        <f t="shared" si="1"/>
        <v>1520.9999999999998</v>
      </c>
      <c r="O14" s="349"/>
      <c r="P14" s="230">
        <f t="shared" si="2"/>
        <v>1.0562499999999999</v>
      </c>
      <c r="Q14" s="224">
        <v>35.1</v>
      </c>
      <c r="R14" s="227">
        <f t="shared" si="3"/>
        <v>1579.5</v>
      </c>
      <c r="S14" s="349"/>
      <c r="T14" s="230">
        <f t="shared" si="4"/>
        <v>1.096875</v>
      </c>
      <c r="U14" s="237"/>
      <c r="V14" s="150"/>
    </row>
    <row r="15" spans="1:22" s="147" customFormat="1" ht="12" customHeight="1">
      <c r="B15" s="148">
        <v>10</v>
      </c>
      <c r="C15" s="229" t="s">
        <v>67</v>
      </c>
      <c r="D15" s="222" t="s">
        <v>99</v>
      </c>
      <c r="E15" s="222">
        <v>400</v>
      </c>
      <c r="F15" s="244">
        <v>3.5</v>
      </c>
      <c r="G15" s="223">
        <f t="shared" si="5"/>
        <v>1400</v>
      </c>
      <c r="H15" s="230">
        <f t="shared" si="6"/>
        <v>1.4</v>
      </c>
      <c r="I15" s="224">
        <v>2.5</v>
      </c>
      <c r="J15" s="225">
        <f t="shared" si="0"/>
        <v>1000</v>
      </c>
      <c r="K15" s="350"/>
      <c r="L15" s="230">
        <v>1</v>
      </c>
      <c r="M15" s="224">
        <v>3.02</v>
      </c>
      <c r="N15" s="227">
        <f t="shared" si="1"/>
        <v>1208</v>
      </c>
      <c r="O15" s="349"/>
      <c r="P15" s="230">
        <f t="shared" si="2"/>
        <v>1.208</v>
      </c>
      <c r="Q15" s="224">
        <v>4.0999999999999996</v>
      </c>
      <c r="R15" s="227">
        <f t="shared" si="3"/>
        <v>1639.9999999999998</v>
      </c>
      <c r="S15" s="350"/>
      <c r="T15" s="230">
        <f t="shared" si="4"/>
        <v>1.6399999999999997</v>
      </c>
      <c r="U15" s="151"/>
      <c r="V15" s="150"/>
    </row>
    <row r="16" spans="1:22" s="147" customFormat="1" ht="12" customHeight="1">
      <c r="B16" s="148">
        <v>11</v>
      </c>
      <c r="C16" s="229" t="s">
        <v>68</v>
      </c>
      <c r="D16" s="222" t="s">
        <v>97</v>
      </c>
      <c r="E16" s="222">
        <v>154</v>
      </c>
      <c r="F16" s="244">
        <v>60</v>
      </c>
      <c r="G16" s="223">
        <f t="shared" si="5"/>
        <v>9240</v>
      </c>
      <c r="H16" s="230">
        <f t="shared" si="6"/>
        <v>0.8</v>
      </c>
      <c r="I16" s="224">
        <v>75</v>
      </c>
      <c r="J16" s="225">
        <f t="shared" si="0"/>
        <v>11550</v>
      </c>
      <c r="K16" s="350"/>
      <c r="L16" s="230">
        <v>1</v>
      </c>
      <c r="M16" s="224">
        <v>76.5</v>
      </c>
      <c r="N16" s="227">
        <f t="shared" si="1"/>
        <v>11781</v>
      </c>
      <c r="O16" s="349"/>
      <c r="P16" s="230">
        <f t="shared" si="2"/>
        <v>1.02</v>
      </c>
      <c r="Q16" s="224">
        <v>77</v>
      </c>
      <c r="R16" s="227">
        <f t="shared" si="3"/>
        <v>11858</v>
      </c>
      <c r="S16" s="350"/>
      <c r="T16" s="230">
        <f t="shared" si="4"/>
        <v>1.0266666666666666</v>
      </c>
      <c r="U16" s="151"/>
      <c r="V16" s="150"/>
    </row>
    <row r="17" spans="2:22" s="147" customFormat="1" ht="12" customHeight="1">
      <c r="B17" s="148">
        <v>12</v>
      </c>
      <c r="C17" s="229" t="s">
        <v>69</v>
      </c>
      <c r="D17" s="222" t="s">
        <v>97</v>
      </c>
      <c r="E17" s="222">
        <v>16</v>
      </c>
      <c r="F17" s="244">
        <v>72</v>
      </c>
      <c r="G17" s="223">
        <f t="shared" si="5"/>
        <v>1152</v>
      </c>
      <c r="H17" s="230">
        <f t="shared" si="6"/>
        <v>1.0285714285714285</v>
      </c>
      <c r="I17" s="224">
        <v>70</v>
      </c>
      <c r="J17" s="225">
        <f t="shared" si="0"/>
        <v>1120</v>
      </c>
      <c r="K17" s="350"/>
      <c r="L17" s="230">
        <v>1</v>
      </c>
      <c r="M17" s="224">
        <v>72</v>
      </c>
      <c r="N17" s="227">
        <f t="shared" si="1"/>
        <v>1152</v>
      </c>
      <c r="O17" s="349"/>
      <c r="P17" s="230">
        <f t="shared" si="2"/>
        <v>1.0285714285714285</v>
      </c>
      <c r="Q17" s="224">
        <v>72.5</v>
      </c>
      <c r="R17" s="227">
        <f t="shared" si="3"/>
        <v>1160</v>
      </c>
      <c r="S17" s="350"/>
      <c r="T17" s="230">
        <f t="shared" si="4"/>
        <v>1.0357142857142858</v>
      </c>
      <c r="U17" s="151"/>
      <c r="V17" s="150"/>
    </row>
    <row r="18" spans="2:22" s="147" customFormat="1" ht="12" customHeight="1">
      <c r="B18" s="148">
        <v>13</v>
      </c>
      <c r="C18" s="229" t="s">
        <v>70</v>
      </c>
      <c r="D18" s="222" t="s">
        <v>99</v>
      </c>
      <c r="E18" s="222">
        <v>1282</v>
      </c>
      <c r="F18" s="244">
        <v>4.8</v>
      </c>
      <c r="G18" s="223">
        <f t="shared" si="5"/>
        <v>6153.5999999999995</v>
      </c>
      <c r="H18" s="230">
        <f t="shared" si="6"/>
        <v>1.2799999999999998</v>
      </c>
      <c r="I18" s="224">
        <v>3.75</v>
      </c>
      <c r="J18" s="225">
        <f t="shared" si="0"/>
        <v>4807.5</v>
      </c>
      <c r="K18" s="350"/>
      <c r="L18" s="230">
        <v>1</v>
      </c>
      <c r="M18" s="224">
        <v>4</v>
      </c>
      <c r="N18" s="227">
        <f t="shared" si="1"/>
        <v>5128</v>
      </c>
      <c r="O18" s="349"/>
      <c r="P18" s="230">
        <f t="shared" si="2"/>
        <v>1.0666666666666667</v>
      </c>
      <c r="Q18" s="224">
        <v>4.5999999999999996</v>
      </c>
      <c r="R18" s="227">
        <f t="shared" si="3"/>
        <v>5897.2</v>
      </c>
      <c r="S18" s="350"/>
      <c r="T18" s="230">
        <f t="shared" si="4"/>
        <v>1.2266666666666666</v>
      </c>
      <c r="U18" s="151"/>
      <c r="V18" s="150"/>
    </row>
    <row r="19" spans="2:22" s="147" customFormat="1" ht="12" customHeight="1">
      <c r="B19" s="148">
        <v>14</v>
      </c>
      <c r="C19" s="229" t="s">
        <v>71</v>
      </c>
      <c r="D19" s="222" t="s">
        <v>99</v>
      </c>
      <c r="E19" s="222">
        <v>80</v>
      </c>
      <c r="F19" s="244">
        <v>65</v>
      </c>
      <c r="G19" s="223">
        <f t="shared" si="5"/>
        <v>5200</v>
      </c>
      <c r="H19" s="230">
        <f t="shared" si="6"/>
        <v>0.69148936170212771</v>
      </c>
      <c r="I19" s="224">
        <v>94</v>
      </c>
      <c r="J19" s="225">
        <f t="shared" si="0"/>
        <v>7520</v>
      </c>
      <c r="K19" s="350"/>
      <c r="L19" s="230">
        <v>1</v>
      </c>
      <c r="M19" s="224">
        <v>96.13</v>
      </c>
      <c r="N19" s="227">
        <f t="shared" si="1"/>
        <v>7690.4</v>
      </c>
      <c r="O19" s="349"/>
      <c r="P19" s="230">
        <f t="shared" si="2"/>
        <v>1.0226595744680851</v>
      </c>
      <c r="Q19" s="224">
        <v>97.1</v>
      </c>
      <c r="R19" s="227">
        <f t="shared" si="3"/>
        <v>7768</v>
      </c>
      <c r="S19" s="350"/>
      <c r="T19" s="230">
        <f t="shared" si="4"/>
        <v>1.0329787234042553</v>
      </c>
      <c r="U19" s="151"/>
      <c r="V19" s="150"/>
    </row>
    <row r="20" spans="2:22" s="147" customFormat="1" ht="12" customHeight="1">
      <c r="B20" s="148">
        <v>15</v>
      </c>
      <c r="C20" s="229" t="s">
        <v>72</v>
      </c>
      <c r="D20" s="222" t="s">
        <v>96</v>
      </c>
      <c r="E20" s="222">
        <v>50</v>
      </c>
      <c r="F20" s="244">
        <v>10</v>
      </c>
      <c r="G20" s="223">
        <f t="shared" si="5"/>
        <v>500</v>
      </c>
      <c r="H20" s="230">
        <f t="shared" si="6"/>
        <v>0.83333333333333337</v>
      </c>
      <c r="I20" s="224">
        <v>12</v>
      </c>
      <c r="J20" s="225">
        <f t="shared" si="0"/>
        <v>600</v>
      </c>
      <c r="K20" s="350"/>
      <c r="L20" s="230">
        <v>1</v>
      </c>
      <c r="M20" s="224">
        <v>12.15</v>
      </c>
      <c r="N20" s="227">
        <f t="shared" si="1"/>
        <v>607.5</v>
      </c>
      <c r="O20" s="349"/>
      <c r="P20" s="230">
        <f t="shared" si="2"/>
        <v>1.0125</v>
      </c>
      <c r="Q20" s="224">
        <v>12.9</v>
      </c>
      <c r="R20" s="227">
        <f t="shared" si="3"/>
        <v>645</v>
      </c>
      <c r="S20" s="350"/>
      <c r="T20" s="230">
        <f t="shared" si="4"/>
        <v>1.075</v>
      </c>
      <c r="U20" s="151"/>
      <c r="V20" s="150"/>
    </row>
    <row r="21" spans="2:22" s="147" customFormat="1" ht="12" customHeight="1">
      <c r="B21" s="148">
        <v>16</v>
      </c>
      <c r="C21" s="229" t="s">
        <v>73</v>
      </c>
      <c r="D21" s="222" t="s">
        <v>96</v>
      </c>
      <c r="E21" s="222">
        <v>25</v>
      </c>
      <c r="F21" s="244">
        <v>15</v>
      </c>
      <c r="G21" s="223">
        <f t="shared" si="5"/>
        <v>375</v>
      </c>
      <c r="H21" s="230">
        <f t="shared" si="6"/>
        <v>0.9375</v>
      </c>
      <c r="I21" s="224">
        <v>16</v>
      </c>
      <c r="J21" s="225">
        <f t="shared" si="0"/>
        <v>400</v>
      </c>
      <c r="K21" s="350"/>
      <c r="L21" s="230">
        <v>1</v>
      </c>
      <c r="M21" s="224">
        <v>17</v>
      </c>
      <c r="N21" s="227">
        <f t="shared" si="1"/>
        <v>425</v>
      </c>
      <c r="O21" s="349"/>
      <c r="P21" s="230">
        <f t="shared" si="2"/>
        <v>1.0625</v>
      </c>
      <c r="Q21" s="224">
        <v>19</v>
      </c>
      <c r="R21" s="227">
        <f t="shared" si="3"/>
        <v>475</v>
      </c>
      <c r="S21" s="350"/>
      <c r="T21" s="230">
        <f t="shared" si="4"/>
        <v>1.1875</v>
      </c>
      <c r="U21" s="151"/>
      <c r="V21" s="150"/>
    </row>
    <row r="22" spans="2:22" s="147" customFormat="1" ht="12" customHeight="1">
      <c r="B22" s="148">
        <v>17</v>
      </c>
      <c r="C22" s="229" t="s">
        <v>74</v>
      </c>
      <c r="D22" s="222" t="s">
        <v>96</v>
      </c>
      <c r="E22" s="222">
        <v>36</v>
      </c>
      <c r="F22" s="244">
        <v>13</v>
      </c>
      <c r="G22" s="223">
        <f t="shared" si="5"/>
        <v>468</v>
      </c>
      <c r="H22" s="230">
        <f t="shared" si="6"/>
        <v>2</v>
      </c>
      <c r="I22" s="224">
        <v>6.5</v>
      </c>
      <c r="J22" s="225">
        <f t="shared" si="0"/>
        <v>234</v>
      </c>
      <c r="K22" s="350"/>
      <c r="L22" s="230">
        <v>1</v>
      </c>
      <c r="M22" s="224">
        <v>7.5</v>
      </c>
      <c r="N22" s="227">
        <f t="shared" si="1"/>
        <v>270</v>
      </c>
      <c r="O22" s="349"/>
      <c r="P22" s="230">
        <f t="shared" si="2"/>
        <v>1.1538461538461537</v>
      </c>
      <c r="Q22" s="224">
        <v>8</v>
      </c>
      <c r="R22" s="227">
        <f t="shared" si="3"/>
        <v>288</v>
      </c>
      <c r="S22" s="350"/>
      <c r="T22" s="230">
        <f t="shared" si="4"/>
        <v>1.2307692307692308</v>
      </c>
      <c r="U22" s="151"/>
      <c r="V22" s="150"/>
    </row>
    <row r="23" spans="2:22" s="147" customFormat="1" ht="12" customHeight="1">
      <c r="B23" s="148">
        <v>18</v>
      </c>
      <c r="C23" s="229" t="s">
        <v>75</v>
      </c>
      <c r="D23" s="222" t="s">
        <v>97</v>
      </c>
      <c r="E23" s="222">
        <v>16</v>
      </c>
      <c r="F23" s="244">
        <v>456</v>
      </c>
      <c r="G23" s="223">
        <f t="shared" si="5"/>
        <v>7296</v>
      </c>
      <c r="H23" s="230">
        <f t="shared" si="6"/>
        <v>1.0363636363636364</v>
      </c>
      <c r="I23" s="224">
        <v>440</v>
      </c>
      <c r="J23" s="225">
        <f t="shared" si="0"/>
        <v>7040</v>
      </c>
      <c r="K23" s="350"/>
      <c r="L23" s="230">
        <v>1</v>
      </c>
      <c r="M23" s="224">
        <v>440.8</v>
      </c>
      <c r="N23" s="227">
        <f t="shared" si="1"/>
        <v>7052.8</v>
      </c>
      <c r="O23" s="349"/>
      <c r="P23" s="230">
        <f t="shared" si="2"/>
        <v>1.0018181818181819</v>
      </c>
      <c r="Q23" s="224">
        <v>450</v>
      </c>
      <c r="R23" s="227">
        <f t="shared" si="3"/>
        <v>7200</v>
      </c>
      <c r="S23" s="350"/>
      <c r="T23" s="230">
        <f t="shared" si="4"/>
        <v>1.0227272727272727</v>
      </c>
      <c r="U23" s="151"/>
      <c r="V23" s="150"/>
    </row>
    <row r="24" spans="2:22" s="147" customFormat="1" ht="12" customHeight="1">
      <c r="B24" s="148">
        <v>19</v>
      </c>
      <c r="C24" s="229" t="s">
        <v>76</v>
      </c>
      <c r="D24" s="222" t="s">
        <v>100</v>
      </c>
      <c r="E24" s="222">
        <v>15</v>
      </c>
      <c r="F24" s="244">
        <v>38</v>
      </c>
      <c r="G24" s="223">
        <f t="shared" si="5"/>
        <v>570</v>
      </c>
      <c r="H24" s="230">
        <f t="shared" si="6"/>
        <v>1.3103448275862069</v>
      </c>
      <c r="I24" s="224">
        <v>29</v>
      </c>
      <c r="J24" s="225">
        <f t="shared" si="0"/>
        <v>435</v>
      </c>
      <c r="K24" s="350"/>
      <c r="L24" s="230">
        <v>1</v>
      </c>
      <c r="M24" s="224">
        <v>30</v>
      </c>
      <c r="N24" s="227">
        <f t="shared" si="1"/>
        <v>450</v>
      </c>
      <c r="O24" s="349"/>
      <c r="P24" s="230">
        <f t="shared" si="2"/>
        <v>1.0344827586206897</v>
      </c>
      <c r="Q24" s="224">
        <v>33</v>
      </c>
      <c r="R24" s="227">
        <f t="shared" si="3"/>
        <v>495</v>
      </c>
      <c r="S24" s="350"/>
      <c r="T24" s="230">
        <f t="shared" si="4"/>
        <v>1.1379310344827587</v>
      </c>
      <c r="U24" s="151"/>
      <c r="V24" s="150"/>
    </row>
    <row r="25" spans="2:22" s="147" customFormat="1" ht="12" customHeight="1">
      <c r="B25" s="148">
        <v>20</v>
      </c>
      <c r="C25" s="229" t="s">
        <v>77</v>
      </c>
      <c r="D25" s="222" t="s">
        <v>100</v>
      </c>
      <c r="E25" s="222">
        <v>21</v>
      </c>
      <c r="F25" s="244">
        <v>80</v>
      </c>
      <c r="G25" s="223">
        <f t="shared" si="5"/>
        <v>1680</v>
      </c>
      <c r="H25" s="230">
        <f t="shared" si="6"/>
        <v>0.90909090909090906</v>
      </c>
      <c r="I25" s="224">
        <v>88</v>
      </c>
      <c r="J25" s="225">
        <f t="shared" si="0"/>
        <v>1848</v>
      </c>
      <c r="K25" s="350"/>
      <c r="L25" s="230">
        <v>1</v>
      </c>
      <c r="M25" s="224">
        <v>89.1</v>
      </c>
      <c r="N25" s="227">
        <f t="shared" si="1"/>
        <v>1871.1</v>
      </c>
      <c r="O25" s="349"/>
      <c r="P25" s="230">
        <f t="shared" si="2"/>
        <v>1.0125</v>
      </c>
      <c r="Q25" s="224">
        <v>89.9</v>
      </c>
      <c r="R25" s="227">
        <f t="shared" si="3"/>
        <v>1887.9</v>
      </c>
      <c r="S25" s="350"/>
      <c r="T25" s="230">
        <f t="shared" si="4"/>
        <v>1.0215909090909092</v>
      </c>
      <c r="U25" s="151"/>
      <c r="V25" s="150"/>
    </row>
    <row r="26" spans="2:22" s="147" customFormat="1" ht="12" customHeight="1">
      <c r="B26" s="148">
        <v>21</v>
      </c>
      <c r="C26" s="229" t="s">
        <v>78</v>
      </c>
      <c r="D26" s="222" t="s">
        <v>99</v>
      </c>
      <c r="E26" s="222">
        <v>50</v>
      </c>
      <c r="F26" s="244">
        <v>485</v>
      </c>
      <c r="G26" s="223">
        <f t="shared" si="5"/>
        <v>24250</v>
      </c>
      <c r="H26" s="230">
        <f t="shared" si="6"/>
        <v>1.0104166666666667</v>
      </c>
      <c r="I26" s="224">
        <v>480</v>
      </c>
      <c r="J26" s="225">
        <f t="shared" si="0"/>
        <v>24000</v>
      </c>
      <c r="K26" s="350"/>
      <c r="L26" s="230">
        <v>1</v>
      </c>
      <c r="M26" s="224">
        <v>482.3</v>
      </c>
      <c r="N26" s="227">
        <f t="shared" si="1"/>
        <v>24115</v>
      </c>
      <c r="O26" s="349"/>
      <c r="P26" s="230">
        <f t="shared" si="2"/>
        <v>1.0047916666666667</v>
      </c>
      <c r="Q26" s="224">
        <v>483.1</v>
      </c>
      <c r="R26" s="227">
        <f t="shared" si="3"/>
        <v>24155</v>
      </c>
      <c r="S26" s="350"/>
      <c r="T26" s="230">
        <f t="shared" si="4"/>
        <v>1.0064583333333332</v>
      </c>
      <c r="U26" s="151"/>
      <c r="V26" s="150"/>
    </row>
    <row r="27" spans="2:22" s="147" customFormat="1" ht="12" customHeight="1">
      <c r="B27" s="148">
        <v>22</v>
      </c>
      <c r="C27" s="229" t="s">
        <v>79</v>
      </c>
      <c r="D27" s="222" t="s">
        <v>96</v>
      </c>
      <c r="E27" s="222">
        <v>30</v>
      </c>
      <c r="F27" s="244">
        <v>14</v>
      </c>
      <c r="G27" s="223">
        <f t="shared" si="5"/>
        <v>420</v>
      </c>
      <c r="H27" s="230">
        <f t="shared" si="6"/>
        <v>1</v>
      </c>
      <c r="I27" s="224">
        <v>14</v>
      </c>
      <c r="J27" s="225">
        <f t="shared" si="0"/>
        <v>420</v>
      </c>
      <c r="K27" s="350"/>
      <c r="L27" s="230">
        <v>1</v>
      </c>
      <c r="M27" s="224">
        <v>15.6</v>
      </c>
      <c r="N27" s="227">
        <f t="shared" si="1"/>
        <v>468</v>
      </c>
      <c r="O27" s="349"/>
      <c r="P27" s="230">
        <f t="shared" si="2"/>
        <v>1.1142857142857143</v>
      </c>
      <c r="Q27" s="224">
        <v>17</v>
      </c>
      <c r="R27" s="227">
        <f t="shared" si="3"/>
        <v>510</v>
      </c>
      <c r="S27" s="350"/>
      <c r="T27" s="230">
        <f t="shared" si="4"/>
        <v>1.2142857142857142</v>
      </c>
      <c r="U27" s="151"/>
      <c r="V27" s="150"/>
    </row>
    <row r="28" spans="2:22" s="147" customFormat="1" ht="12" customHeight="1">
      <c r="B28" s="148">
        <v>23</v>
      </c>
      <c r="C28" s="229" t="s">
        <v>80</v>
      </c>
      <c r="D28" s="222" t="s">
        <v>101</v>
      </c>
      <c r="E28" s="222">
        <v>70</v>
      </c>
      <c r="F28" s="244" t="s">
        <v>107</v>
      </c>
      <c r="G28" s="223" t="s">
        <v>107</v>
      </c>
      <c r="H28" s="230">
        <v>0</v>
      </c>
      <c r="I28" s="224">
        <v>34</v>
      </c>
      <c r="J28" s="225">
        <f t="shared" si="0"/>
        <v>2380</v>
      </c>
      <c r="K28" s="350"/>
      <c r="L28" s="230">
        <v>1</v>
      </c>
      <c r="M28" s="224">
        <v>35.799999999999997</v>
      </c>
      <c r="N28" s="227">
        <f t="shared" si="1"/>
        <v>2506</v>
      </c>
      <c r="O28" s="349"/>
      <c r="P28" s="230">
        <f t="shared" si="2"/>
        <v>1.0529411764705883</v>
      </c>
      <c r="Q28" s="224">
        <v>36</v>
      </c>
      <c r="R28" s="227">
        <f t="shared" si="3"/>
        <v>2520</v>
      </c>
      <c r="S28" s="350"/>
      <c r="T28" s="230">
        <f t="shared" si="4"/>
        <v>1.0588235294117647</v>
      </c>
      <c r="U28" s="151"/>
      <c r="V28" s="150"/>
    </row>
    <row r="29" spans="2:22" s="147" customFormat="1" ht="12" customHeight="1">
      <c r="B29" s="148">
        <v>24</v>
      </c>
      <c r="C29" s="229" t="s">
        <v>81</v>
      </c>
      <c r="D29" s="222" t="s">
        <v>98</v>
      </c>
      <c r="E29" s="222">
        <v>50</v>
      </c>
      <c r="F29" s="244" t="s">
        <v>107</v>
      </c>
      <c r="G29" s="223" t="s">
        <v>107</v>
      </c>
      <c r="H29" s="230">
        <v>0</v>
      </c>
      <c r="I29" s="224">
        <v>38</v>
      </c>
      <c r="J29" s="225">
        <f t="shared" si="0"/>
        <v>1900</v>
      </c>
      <c r="K29" s="350"/>
      <c r="L29" s="230">
        <v>1</v>
      </c>
      <c r="M29" s="224">
        <v>39</v>
      </c>
      <c r="N29" s="227">
        <f t="shared" si="1"/>
        <v>1950</v>
      </c>
      <c r="O29" s="349"/>
      <c r="P29" s="230">
        <f t="shared" si="2"/>
        <v>1.0263157894736843</v>
      </c>
      <c r="Q29" s="224">
        <v>39.6</v>
      </c>
      <c r="R29" s="227">
        <f t="shared" si="3"/>
        <v>1980</v>
      </c>
      <c r="S29" s="350"/>
      <c r="T29" s="230">
        <f t="shared" si="4"/>
        <v>1.0421052631578946</v>
      </c>
      <c r="U29" s="151"/>
      <c r="V29" s="150"/>
    </row>
    <row r="30" spans="2:22" s="147" customFormat="1" ht="12" customHeight="1">
      <c r="B30" s="148">
        <v>25</v>
      </c>
      <c r="C30" s="229" t="s">
        <v>82</v>
      </c>
      <c r="D30" s="222" t="s">
        <v>98</v>
      </c>
      <c r="E30" s="222">
        <v>34</v>
      </c>
      <c r="F30" s="244">
        <v>25</v>
      </c>
      <c r="G30" s="223">
        <f t="shared" si="5"/>
        <v>850</v>
      </c>
      <c r="H30" s="230">
        <f t="shared" si="6"/>
        <v>0.65789473684210531</v>
      </c>
      <c r="I30" s="224">
        <v>38</v>
      </c>
      <c r="J30" s="225">
        <f t="shared" si="0"/>
        <v>1292</v>
      </c>
      <c r="K30" s="350"/>
      <c r="L30" s="230">
        <v>1</v>
      </c>
      <c r="M30" s="224">
        <v>39</v>
      </c>
      <c r="N30" s="227">
        <f t="shared" si="1"/>
        <v>1326</v>
      </c>
      <c r="O30" s="349"/>
      <c r="P30" s="230">
        <f t="shared" si="2"/>
        <v>1.0263157894736843</v>
      </c>
      <c r="Q30" s="224">
        <v>39.6</v>
      </c>
      <c r="R30" s="227">
        <f t="shared" si="3"/>
        <v>1346.4</v>
      </c>
      <c r="S30" s="350"/>
      <c r="T30" s="230">
        <f t="shared" si="4"/>
        <v>1.0421052631578949</v>
      </c>
      <c r="U30" s="151"/>
      <c r="V30" s="150"/>
    </row>
    <row r="31" spans="2:22" s="147" customFormat="1" ht="12" customHeight="1">
      <c r="B31" s="148">
        <v>26</v>
      </c>
      <c r="C31" s="229" t="s">
        <v>83</v>
      </c>
      <c r="D31" s="222" t="s">
        <v>98</v>
      </c>
      <c r="E31" s="222">
        <v>34</v>
      </c>
      <c r="F31" s="244">
        <v>60</v>
      </c>
      <c r="G31" s="223">
        <f t="shared" si="5"/>
        <v>2040</v>
      </c>
      <c r="H31" s="230">
        <f t="shared" si="6"/>
        <v>1.5789473684210527</v>
      </c>
      <c r="I31" s="224">
        <v>38</v>
      </c>
      <c r="J31" s="225">
        <f t="shared" si="0"/>
        <v>1292</v>
      </c>
      <c r="K31" s="350"/>
      <c r="L31" s="230">
        <v>1</v>
      </c>
      <c r="M31" s="224">
        <v>39</v>
      </c>
      <c r="N31" s="227">
        <f t="shared" si="1"/>
        <v>1326</v>
      </c>
      <c r="O31" s="349"/>
      <c r="P31" s="230">
        <f t="shared" si="2"/>
        <v>1.0263157894736843</v>
      </c>
      <c r="Q31" s="224">
        <v>39.6</v>
      </c>
      <c r="R31" s="227">
        <f t="shared" si="3"/>
        <v>1346.4</v>
      </c>
      <c r="S31" s="350"/>
      <c r="T31" s="230">
        <f t="shared" si="4"/>
        <v>1.0421052631578949</v>
      </c>
      <c r="U31" s="151"/>
      <c r="V31" s="150"/>
    </row>
    <row r="32" spans="2:22" s="147" customFormat="1" ht="12" customHeight="1">
      <c r="B32" s="148">
        <v>27</v>
      </c>
      <c r="C32" s="229" t="s">
        <v>84</v>
      </c>
      <c r="D32" s="222" t="s">
        <v>99</v>
      </c>
      <c r="E32" s="222">
        <v>420</v>
      </c>
      <c r="F32" s="244">
        <v>2.2799999999999998</v>
      </c>
      <c r="G32" s="223">
        <f t="shared" si="5"/>
        <v>957.59999999999991</v>
      </c>
      <c r="H32" s="230">
        <f t="shared" si="6"/>
        <v>0.91199999999999992</v>
      </c>
      <c r="I32" s="224">
        <v>2.5</v>
      </c>
      <c r="J32" s="225">
        <f t="shared" si="0"/>
        <v>1050</v>
      </c>
      <c r="K32" s="350"/>
      <c r="L32" s="230">
        <v>1</v>
      </c>
      <c r="M32" s="224">
        <v>3.5</v>
      </c>
      <c r="N32" s="227">
        <f t="shared" si="1"/>
        <v>1470</v>
      </c>
      <c r="O32" s="349"/>
      <c r="P32" s="230">
        <f t="shared" si="2"/>
        <v>1.4</v>
      </c>
      <c r="Q32" s="224">
        <v>4.5</v>
      </c>
      <c r="R32" s="227">
        <f t="shared" si="3"/>
        <v>1890</v>
      </c>
      <c r="S32" s="350"/>
      <c r="T32" s="230">
        <f t="shared" si="4"/>
        <v>1.8</v>
      </c>
      <c r="U32" s="151"/>
      <c r="V32" s="150"/>
    </row>
    <row r="33" spans="1:22" s="147" customFormat="1" ht="12" customHeight="1">
      <c r="B33" s="148">
        <v>28</v>
      </c>
      <c r="C33" s="229" t="s">
        <v>85</v>
      </c>
      <c r="D33" s="222" t="s">
        <v>99</v>
      </c>
      <c r="E33" s="222">
        <v>132</v>
      </c>
      <c r="F33" s="244" t="s">
        <v>107</v>
      </c>
      <c r="G33" s="223" t="s">
        <v>107</v>
      </c>
      <c r="H33" s="230">
        <v>0</v>
      </c>
      <c r="I33" s="224">
        <v>4</v>
      </c>
      <c r="J33" s="225">
        <f t="shared" si="0"/>
        <v>528</v>
      </c>
      <c r="K33" s="350"/>
      <c r="L33" s="230">
        <v>1</v>
      </c>
      <c r="M33" s="224">
        <v>6.1</v>
      </c>
      <c r="N33" s="227">
        <f t="shared" si="1"/>
        <v>805.19999999999993</v>
      </c>
      <c r="O33" s="349"/>
      <c r="P33" s="230">
        <f t="shared" si="2"/>
        <v>1.5249999999999999</v>
      </c>
      <c r="Q33" s="224">
        <v>7.5</v>
      </c>
      <c r="R33" s="227">
        <f t="shared" si="3"/>
        <v>990</v>
      </c>
      <c r="S33" s="350"/>
      <c r="T33" s="230">
        <f t="shared" si="4"/>
        <v>1.875</v>
      </c>
      <c r="U33" s="151"/>
      <c r="V33" s="150"/>
    </row>
    <row r="34" spans="1:22" s="147" customFormat="1" ht="12" customHeight="1">
      <c r="B34" s="148">
        <v>29</v>
      </c>
      <c r="C34" s="229" t="s">
        <v>86</v>
      </c>
      <c r="D34" s="222" t="s">
        <v>96</v>
      </c>
      <c r="E34" s="222">
        <v>660</v>
      </c>
      <c r="F34" s="244" t="s">
        <v>107</v>
      </c>
      <c r="G34" s="223" t="s">
        <v>107</v>
      </c>
      <c r="H34" s="230">
        <v>0</v>
      </c>
      <c r="I34" s="224">
        <v>4.5</v>
      </c>
      <c r="J34" s="225">
        <f t="shared" si="0"/>
        <v>2970</v>
      </c>
      <c r="K34" s="350"/>
      <c r="L34" s="230">
        <v>1</v>
      </c>
      <c r="M34" s="224">
        <v>5.0999999999999996</v>
      </c>
      <c r="N34" s="227">
        <f t="shared" si="1"/>
        <v>3365.9999999999995</v>
      </c>
      <c r="O34" s="349"/>
      <c r="P34" s="230">
        <f t="shared" si="2"/>
        <v>1.1333333333333331</v>
      </c>
      <c r="Q34" s="224">
        <v>5.5</v>
      </c>
      <c r="R34" s="227">
        <f t="shared" si="3"/>
        <v>3630</v>
      </c>
      <c r="S34" s="350"/>
      <c r="T34" s="230">
        <f t="shared" si="4"/>
        <v>1.2222222222222223</v>
      </c>
      <c r="U34" s="151"/>
      <c r="V34" s="150"/>
    </row>
    <row r="35" spans="1:22" s="147" customFormat="1" ht="12" customHeight="1">
      <c r="B35" s="148">
        <v>30</v>
      </c>
      <c r="C35" s="229" t="s">
        <v>87</v>
      </c>
      <c r="D35" s="222" t="s">
        <v>102</v>
      </c>
      <c r="E35" s="222">
        <v>2500</v>
      </c>
      <c r="F35" s="244">
        <v>3</v>
      </c>
      <c r="G35" s="223">
        <f t="shared" si="5"/>
        <v>7500</v>
      </c>
      <c r="H35" s="230">
        <f t="shared" si="6"/>
        <v>1</v>
      </c>
      <c r="I35" s="224">
        <v>3</v>
      </c>
      <c r="J35" s="225">
        <f t="shared" si="0"/>
        <v>7500</v>
      </c>
      <c r="K35" s="350"/>
      <c r="L35" s="230">
        <v>1</v>
      </c>
      <c r="M35" s="224">
        <v>3.2</v>
      </c>
      <c r="N35" s="227">
        <f t="shared" si="1"/>
        <v>8000</v>
      </c>
      <c r="O35" s="349"/>
      <c r="P35" s="230">
        <f t="shared" si="2"/>
        <v>1.0666666666666667</v>
      </c>
      <c r="Q35" s="224">
        <v>3.9</v>
      </c>
      <c r="R35" s="227">
        <f t="shared" si="3"/>
        <v>9750</v>
      </c>
      <c r="S35" s="350"/>
      <c r="T35" s="230">
        <f t="shared" si="4"/>
        <v>1.3</v>
      </c>
      <c r="U35" s="151"/>
      <c r="V35" s="150"/>
    </row>
    <row r="36" spans="1:22" s="147" customFormat="1" ht="12" customHeight="1">
      <c r="B36" s="148">
        <v>31</v>
      </c>
      <c r="C36" s="229" t="s">
        <v>88</v>
      </c>
      <c r="D36" s="222" t="s">
        <v>102</v>
      </c>
      <c r="E36" s="222">
        <v>400</v>
      </c>
      <c r="F36" s="244">
        <v>4</v>
      </c>
      <c r="G36" s="223">
        <f t="shared" si="5"/>
        <v>1600</v>
      </c>
      <c r="H36" s="230">
        <f t="shared" si="6"/>
        <v>0.88888888888888884</v>
      </c>
      <c r="I36" s="224">
        <v>4.5</v>
      </c>
      <c r="J36" s="225">
        <f t="shared" si="0"/>
        <v>1800</v>
      </c>
      <c r="K36" s="350"/>
      <c r="L36" s="230">
        <v>1</v>
      </c>
      <c r="M36" s="224">
        <v>5</v>
      </c>
      <c r="N36" s="227">
        <f t="shared" si="1"/>
        <v>2000</v>
      </c>
      <c r="O36" s="349"/>
      <c r="P36" s="230">
        <f t="shared" si="2"/>
        <v>1.1111111111111112</v>
      </c>
      <c r="Q36" s="224">
        <v>6.1</v>
      </c>
      <c r="R36" s="227">
        <f t="shared" si="3"/>
        <v>2440</v>
      </c>
      <c r="S36" s="350"/>
      <c r="T36" s="230">
        <f t="shared" si="4"/>
        <v>1.3555555555555556</v>
      </c>
      <c r="U36" s="151"/>
      <c r="V36" s="150"/>
    </row>
    <row r="37" spans="1:22" s="147" customFormat="1" ht="12" customHeight="1">
      <c r="B37" s="148">
        <v>32</v>
      </c>
      <c r="C37" s="229" t="s">
        <v>89</v>
      </c>
      <c r="D37" s="222" t="s">
        <v>101</v>
      </c>
      <c r="E37" s="222">
        <v>19750</v>
      </c>
      <c r="F37" s="244">
        <v>1.35</v>
      </c>
      <c r="G37" s="223">
        <f t="shared" si="5"/>
        <v>26662.5</v>
      </c>
      <c r="H37" s="230">
        <f t="shared" si="6"/>
        <v>0.9642857142857143</v>
      </c>
      <c r="I37" s="224">
        <v>1.4</v>
      </c>
      <c r="J37" s="225">
        <f t="shared" si="0"/>
        <v>27650</v>
      </c>
      <c r="K37" s="350"/>
      <c r="L37" s="230">
        <v>1</v>
      </c>
      <c r="M37" s="224">
        <v>1.55</v>
      </c>
      <c r="N37" s="227">
        <f t="shared" si="1"/>
        <v>30612.5</v>
      </c>
      <c r="O37" s="349"/>
      <c r="P37" s="230">
        <f t="shared" si="2"/>
        <v>1.1071428571428572</v>
      </c>
      <c r="Q37" s="224">
        <v>1.7</v>
      </c>
      <c r="R37" s="227">
        <f t="shared" si="3"/>
        <v>33575</v>
      </c>
      <c r="S37" s="350"/>
      <c r="T37" s="230">
        <f t="shared" si="4"/>
        <v>1.2142857142857142</v>
      </c>
      <c r="U37" s="151"/>
      <c r="V37" s="150"/>
    </row>
    <row r="38" spans="1:22" s="147" customFormat="1" ht="12" customHeight="1">
      <c r="B38" s="148">
        <v>33</v>
      </c>
      <c r="C38" s="229" t="s">
        <v>82</v>
      </c>
      <c r="D38" s="222" t="s">
        <v>98</v>
      </c>
      <c r="E38" s="222">
        <v>40</v>
      </c>
      <c r="F38" s="244">
        <v>50</v>
      </c>
      <c r="G38" s="223">
        <f t="shared" si="5"/>
        <v>2000</v>
      </c>
      <c r="H38" s="230">
        <f t="shared" si="6"/>
        <v>1.3157894736842106</v>
      </c>
      <c r="I38" s="224">
        <v>38</v>
      </c>
      <c r="J38" s="225">
        <f t="shared" si="0"/>
        <v>1520</v>
      </c>
      <c r="K38" s="350"/>
      <c r="L38" s="230">
        <v>1</v>
      </c>
      <c r="M38" s="224">
        <v>40</v>
      </c>
      <c r="N38" s="227">
        <f t="shared" si="1"/>
        <v>1600</v>
      </c>
      <c r="O38" s="349"/>
      <c r="P38" s="230">
        <f t="shared" si="2"/>
        <v>1.0526315789473684</v>
      </c>
      <c r="Q38" s="224">
        <v>41.2</v>
      </c>
      <c r="R38" s="227">
        <f t="shared" si="3"/>
        <v>1648</v>
      </c>
      <c r="S38" s="350"/>
      <c r="T38" s="230">
        <f t="shared" si="4"/>
        <v>1.0842105263157895</v>
      </c>
      <c r="U38" s="151"/>
      <c r="V38" s="150"/>
    </row>
    <row r="39" spans="1:22" s="147" customFormat="1" ht="12" customHeight="1">
      <c r="B39" s="148">
        <v>34</v>
      </c>
      <c r="C39" s="229" t="s">
        <v>90</v>
      </c>
      <c r="D39" s="222" t="s">
        <v>96</v>
      </c>
      <c r="E39" s="222">
        <v>120</v>
      </c>
      <c r="F39" s="244">
        <v>14.5</v>
      </c>
      <c r="G39" s="223">
        <f t="shared" si="5"/>
        <v>1740</v>
      </c>
      <c r="H39" s="230">
        <f t="shared" si="6"/>
        <v>0.80555555555555558</v>
      </c>
      <c r="I39" s="224">
        <v>18</v>
      </c>
      <c r="J39" s="225">
        <f t="shared" si="0"/>
        <v>2160</v>
      </c>
      <c r="K39" s="350"/>
      <c r="L39" s="230">
        <v>1</v>
      </c>
      <c r="M39" s="224">
        <v>19.600000000000001</v>
      </c>
      <c r="N39" s="227">
        <f t="shared" si="1"/>
        <v>2352</v>
      </c>
      <c r="O39" s="349"/>
      <c r="P39" s="230">
        <f t="shared" si="2"/>
        <v>1.0888888888888888</v>
      </c>
      <c r="Q39" s="224">
        <v>20.3</v>
      </c>
      <c r="R39" s="227">
        <f t="shared" si="3"/>
        <v>2436</v>
      </c>
      <c r="S39" s="350"/>
      <c r="T39" s="230">
        <f t="shared" si="4"/>
        <v>1.1277777777777778</v>
      </c>
      <c r="U39" s="151"/>
      <c r="V39" s="150"/>
    </row>
    <row r="40" spans="1:22" s="147" customFormat="1" ht="12" customHeight="1">
      <c r="B40" s="148">
        <v>35</v>
      </c>
      <c r="C40" s="229" t="s">
        <v>91</v>
      </c>
      <c r="D40" s="222" t="s">
        <v>97</v>
      </c>
      <c r="E40" s="222">
        <v>23</v>
      </c>
      <c r="F40" s="244">
        <v>60</v>
      </c>
      <c r="G40" s="223">
        <f t="shared" si="5"/>
        <v>1380</v>
      </c>
      <c r="H40" s="230">
        <f t="shared" si="6"/>
        <v>0.8</v>
      </c>
      <c r="I40" s="224">
        <v>75</v>
      </c>
      <c r="J40" s="225">
        <f t="shared" si="0"/>
        <v>1725</v>
      </c>
      <c r="K40" s="350"/>
      <c r="L40" s="230">
        <v>1</v>
      </c>
      <c r="M40" s="224">
        <v>78</v>
      </c>
      <c r="N40" s="227">
        <f t="shared" si="1"/>
        <v>1794</v>
      </c>
      <c r="O40" s="349"/>
      <c r="P40" s="230">
        <f t="shared" si="2"/>
        <v>1.04</v>
      </c>
      <c r="Q40" s="224">
        <v>79.8</v>
      </c>
      <c r="R40" s="227">
        <f t="shared" si="3"/>
        <v>1835.3999999999999</v>
      </c>
      <c r="S40" s="350"/>
      <c r="T40" s="230">
        <f t="shared" si="4"/>
        <v>1.0639999999999998</v>
      </c>
      <c r="U40" s="151"/>
      <c r="V40" s="150"/>
    </row>
    <row r="41" spans="1:22" s="147" customFormat="1" ht="12" customHeight="1">
      <c r="B41" s="148">
        <v>36</v>
      </c>
      <c r="C41" s="229" t="s">
        <v>92</v>
      </c>
      <c r="D41" s="222" t="s">
        <v>102</v>
      </c>
      <c r="E41" s="222">
        <v>24</v>
      </c>
      <c r="F41" s="244">
        <v>6</v>
      </c>
      <c r="G41" s="223">
        <f t="shared" si="5"/>
        <v>144</v>
      </c>
      <c r="H41" s="230">
        <f t="shared" si="6"/>
        <v>1</v>
      </c>
      <c r="I41" s="224">
        <v>6</v>
      </c>
      <c r="J41" s="225">
        <f t="shared" si="0"/>
        <v>144</v>
      </c>
      <c r="K41" s="350"/>
      <c r="L41" s="230">
        <v>1</v>
      </c>
      <c r="M41" s="224">
        <v>7.6</v>
      </c>
      <c r="N41" s="227">
        <f t="shared" si="1"/>
        <v>182.39999999999998</v>
      </c>
      <c r="O41" s="349"/>
      <c r="P41" s="230">
        <f t="shared" si="2"/>
        <v>1.2666666666666666</v>
      </c>
      <c r="Q41" s="224">
        <v>9.1</v>
      </c>
      <c r="R41" s="227">
        <f t="shared" si="3"/>
        <v>218.39999999999998</v>
      </c>
      <c r="S41" s="350"/>
      <c r="T41" s="230">
        <f t="shared" si="4"/>
        <v>1.5166666666666666</v>
      </c>
      <c r="U41" s="151"/>
      <c r="V41" s="150"/>
    </row>
    <row r="42" spans="1:22" s="147" customFormat="1" ht="12" customHeight="1">
      <c r="B42" s="148">
        <v>37</v>
      </c>
      <c r="C42" s="229" t="s">
        <v>93</v>
      </c>
      <c r="D42" s="222" t="s">
        <v>98</v>
      </c>
      <c r="E42" s="222">
        <v>50</v>
      </c>
      <c r="F42" s="244">
        <v>17</v>
      </c>
      <c r="G42" s="223">
        <f t="shared" si="5"/>
        <v>850</v>
      </c>
      <c r="H42" s="230">
        <f t="shared" si="6"/>
        <v>1.2142857142857142</v>
      </c>
      <c r="I42" s="224">
        <v>14</v>
      </c>
      <c r="J42" s="225">
        <f t="shared" si="0"/>
        <v>700</v>
      </c>
      <c r="K42" s="350"/>
      <c r="L42" s="230">
        <v>1</v>
      </c>
      <c r="M42" s="224">
        <v>16.100000000000001</v>
      </c>
      <c r="N42" s="227">
        <f t="shared" si="1"/>
        <v>805.00000000000011</v>
      </c>
      <c r="O42" s="349"/>
      <c r="P42" s="230">
        <f t="shared" si="2"/>
        <v>1.1500000000000001</v>
      </c>
      <c r="Q42" s="224">
        <v>16.899999999999999</v>
      </c>
      <c r="R42" s="227">
        <f t="shared" si="3"/>
        <v>844.99999999999989</v>
      </c>
      <c r="S42" s="350"/>
      <c r="T42" s="230">
        <f t="shared" si="4"/>
        <v>1.2071428571428571</v>
      </c>
      <c r="U42" s="151"/>
      <c r="V42" s="150"/>
    </row>
    <row r="43" spans="1:22" s="147" customFormat="1" ht="12" customHeight="1">
      <c r="B43" s="148">
        <v>38</v>
      </c>
      <c r="C43" s="229" t="s">
        <v>94</v>
      </c>
      <c r="D43" s="222" t="s">
        <v>98</v>
      </c>
      <c r="E43" s="222">
        <v>6</v>
      </c>
      <c r="F43" s="244" t="s">
        <v>107</v>
      </c>
      <c r="G43" s="223" t="s">
        <v>107</v>
      </c>
      <c r="H43" s="230">
        <v>0</v>
      </c>
      <c r="I43" s="224">
        <v>65</v>
      </c>
      <c r="J43" s="225">
        <f t="shared" si="0"/>
        <v>390</v>
      </c>
      <c r="K43" s="350"/>
      <c r="L43" s="230">
        <v>1</v>
      </c>
      <c r="M43" s="224">
        <v>67.2</v>
      </c>
      <c r="N43" s="227">
        <f t="shared" si="1"/>
        <v>403.20000000000005</v>
      </c>
      <c r="O43" s="349"/>
      <c r="P43" s="230">
        <f t="shared" si="2"/>
        <v>1.0338461538461539</v>
      </c>
      <c r="Q43" s="224">
        <v>67.900000000000006</v>
      </c>
      <c r="R43" s="227">
        <f t="shared" si="3"/>
        <v>407.40000000000003</v>
      </c>
      <c r="S43" s="350"/>
      <c r="T43" s="230">
        <f t="shared" si="4"/>
        <v>1.0446153846153847</v>
      </c>
      <c r="U43" s="151"/>
      <c r="V43" s="150"/>
    </row>
    <row r="44" spans="1:22" s="147" customFormat="1" ht="12" customHeight="1">
      <c r="B44" s="148">
        <v>39</v>
      </c>
      <c r="C44" s="229" t="s">
        <v>95</v>
      </c>
      <c r="D44" s="222" t="s">
        <v>102</v>
      </c>
      <c r="E44" s="222">
        <v>24</v>
      </c>
      <c r="F44" s="244" t="s">
        <v>107</v>
      </c>
      <c r="G44" s="223" t="s">
        <v>107</v>
      </c>
      <c r="H44" s="230">
        <v>0</v>
      </c>
      <c r="I44" s="224">
        <v>4</v>
      </c>
      <c r="J44" s="225">
        <f t="shared" si="0"/>
        <v>96</v>
      </c>
      <c r="K44" s="350"/>
      <c r="L44" s="230">
        <v>1</v>
      </c>
      <c r="M44" s="224">
        <v>5</v>
      </c>
      <c r="N44" s="227">
        <f t="shared" si="1"/>
        <v>120</v>
      </c>
      <c r="O44" s="350"/>
      <c r="P44" s="243">
        <f t="shared" si="2"/>
        <v>1.25</v>
      </c>
      <c r="Q44" s="224">
        <v>6.9</v>
      </c>
      <c r="R44" s="227">
        <f t="shared" si="3"/>
        <v>165.60000000000002</v>
      </c>
      <c r="S44" s="350"/>
      <c r="T44" s="230">
        <f t="shared" si="4"/>
        <v>1.7250000000000003</v>
      </c>
      <c r="U44" s="151"/>
      <c r="V44" s="150"/>
    </row>
    <row r="45" spans="1:22" s="132" customFormat="1" ht="33" customHeight="1">
      <c r="A45" s="133"/>
      <c r="B45" s="236"/>
      <c r="C45" s="329" t="s">
        <v>21</v>
      </c>
      <c r="D45" s="330"/>
      <c r="E45" s="330"/>
      <c r="F45" s="317" t="str">
        <f>F4</f>
        <v>Previous Price</v>
      </c>
      <c r="G45" s="318"/>
      <c r="H45" s="319"/>
      <c r="I45" s="317" t="str">
        <f>I4</f>
        <v>FORTUNE (ALNASIB ALARABIA COMPANY COMMERCIAL)</v>
      </c>
      <c r="J45" s="344"/>
      <c r="K45" s="344"/>
      <c r="L45" s="345"/>
      <c r="M45" s="317" t="str">
        <f>M4</f>
        <v>EXCELLENCE</v>
      </c>
      <c r="N45" s="344"/>
      <c r="O45" s="344"/>
      <c r="P45" s="345"/>
      <c r="Q45" s="372" t="str">
        <f>Q4</f>
        <v>PROBUILD TRADING EST</v>
      </c>
      <c r="R45" s="373"/>
      <c r="S45" s="373"/>
      <c r="T45" s="374"/>
      <c r="U45" s="235"/>
      <c r="V45" s="152"/>
    </row>
    <row r="46" spans="1:22" s="132" customFormat="1" ht="21.75" customHeight="1">
      <c r="A46" s="133"/>
      <c r="B46" s="153"/>
      <c r="C46" s="154"/>
      <c r="D46" s="375"/>
      <c r="E46" s="376"/>
      <c r="F46" s="313">
        <f>SUM(G6:G44)</f>
        <v>109048.70000000001</v>
      </c>
      <c r="G46" s="314"/>
      <c r="H46" s="245">
        <f>F46/J46</f>
        <v>0.87316147474367345</v>
      </c>
      <c r="I46" s="233"/>
      <c r="J46" s="231">
        <f>SUM(J6:J44)</f>
        <v>124889.5</v>
      </c>
      <c r="K46" s="156"/>
      <c r="L46" s="157">
        <v>1</v>
      </c>
      <c r="M46" s="158"/>
      <c r="N46" s="231">
        <f>SUM(N6:N44)</f>
        <v>132210.36000000002</v>
      </c>
      <c r="O46" s="155"/>
      <c r="P46" s="159">
        <f>N46/J46</f>
        <v>1.0586186989298541</v>
      </c>
      <c r="Q46" s="158"/>
      <c r="R46" s="231">
        <f>SUM(R6:R44)</f>
        <v>140867.49999999997</v>
      </c>
      <c r="S46" s="155"/>
      <c r="T46" s="160">
        <f>R46/J46</f>
        <v>1.1279370963932114</v>
      </c>
      <c r="U46" s="161"/>
      <c r="V46" s="152"/>
    </row>
    <row r="47" spans="1:22" ht="21.75" customHeight="1" thickBot="1">
      <c r="B47" s="162"/>
      <c r="C47" s="326" t="s">
        <v>23</v>
      </c>
      <c r="D47" s="327"/>
      <c r="E47" s="328"/>
      <c r="F47" s="315">
        <f>F46*15%</f>
        <v>16357.305</v>
      </c>
      <c r="G47" s="316"/>
      <c r="H47" s="166"/>
      <c r="I47" s="163"/>
      <c r="J47" s="232">
        <f>J46*15%</f>
        <v>18733.424999999999</v>
      </c>
      <c r="K47" s="165"/>
      <c r="L47" s="166"/>
      <c r="M47" s="167"/>
      <c r="N47" s="232">
        <f>N46*15%</f>
        <v>19831.554</v>
      </c>
      <c r="O47" s="165"/>
      <c r="P47" s="166"/>
      <c r="Q47" s="167"/>
      <c r="R47" s="232">
        <f>R46*15%</f>
        <v>21130.124999999996</v>
      </c>
      <c r="S47" s="164"/>
      <c r="T47" s="168"/>
      <c r="U47" s="169"/>
      <c r="V47" s="152"/>
    </row>
    <row r="48" spans="1:22" ht="25.15" customHeight="1" thickBot="1">
      <c r="B48" s="323" t="s">
        <v>45</v>
      </c>
      <c r="C48" s="324"/>
      <c r="D48" s="324"/>
      <c r="E48" s="325"/>
      <c r="F48" s="311">
        <f>SUM(F46:G47)</f>
        <v>125406.005</v>
      </c>
      <c r="G48" s="312"/>
      <c r="H48" s="234">
        <f>F48/J48</f>
        <v>0.87316147474367356</v>
      </c>
      <c r="I48" s="234"/>
      <c r="J48" s="171">
        <f>SUM(J46:J47)</f>
        <v>143622.92499999999</v>
      </c>
      <c r="K48" s="172"/>
      <c r="L48" s="173">
        <v>1</v>
      </c>
      <c r="M48" s="174"/>
      <c r="N48" s="171">
        <f>SUM(N46:N47)</f>
        <v>152041.91400000002</v>
      </c>
      <c r="O48" s="172"/>
      <c r="P48" s="175">
        <f>N48/J48</f>
        <v>1.0586186989298543</v>
      </c>
      <c r="Q48" s="170"/>
      <c r="R48" s="171">
        <f>SUM(R46:R47)</f>
        <v>161997.62499999997</v>
      </c>
      <c r="S48" s="172"/>
      <c r="T48" s="173">
        <f>R48/J48</f>
        <v>1.1279370963932114</v>
      </c>
      <c r="U48" s="176"/>
      <c r="V48" s="177"/>
    </row>
    <row r="49" spans="1:26" s="178" customFormat="1" ht="12" customHeight="1">
      <c r="B49" s="179"/>
      <c r="C49" s="180"/>
      <c r="D49" s="181"/>
      <c r="E49" s="181"/>
      <c r="F49" s="181"/>
      <c r="G49" s="181"/>
      <c r="H49" s="181"/>
      <c r="I49" s="182"/>
      <c r="J49" s="182"/>
      <c r="K49" s="182"/>
      <c r="L49" s="183"/>
      <c r="M49" s="182"/>
      <c r="N49" s="182"/>
      <c r="O49" s="182"/>
      <c r="P49" s="183"/>
      <c r="Q49" s="183"/>
      <c r="R49" s="183"/>
      <c r="S49" s="183"/>
      <c r="T49" s="183"/>
      <c r="U49" s="184"/>
      <c r="V49" s="185"/>
      <c r="W49" s="186"/>
      <c r="X49" s="186"/>
      <c r="Y49" s="186"/>
      <c r="Z49" s="186"/>
    </row>
    <row r="50" spans="1:26" ht="18" customHeight="1" thickBot="1">
      <c r="A50" s="134" t="s">
        <v>44</v>
      </c>
      <c r="B50" s="134"/>
      <c r="C50" s="135"/>
      <c r="D50" s="134"/>
      <c r="E50" s="134"/>
      <c r="F50" s="134"/>
      <c r="G50" s="134"/>
      <c r="H50" s="134"/>
      <c r="I50" s="134"/>
      <c r="J50" s="134"/>
      <c r="K50" s="134"/>
      <c r="L50" s="136"/>
      <c r="M50" s="134"/>
      <c r="N50" s="134"/>
      <c r="O50" s="134"/>
      <c r="P50" s="136"/>
      <c r="Q50" s="136"/>
      <c r="R50" s="136"/>
      <c r="S50" s="136"/>
      <c r="T50" s="136"/>
      <c r="U50" s="139" t="s">
        <v>25</v>
      </c>
      <c r="V50" s="139"/>
    </row>
    <row r="51" spans="1:26" ht="23.25" customHeight="1" thickBot="1">
      <c r="B51" s="140" t="s">
        <v>46</v>
      </c>
      <c r="C51" s="241" t="s">
        <v>47</v>
      </c>
      <c r="D51" s="360" t="s">
        <v>48</v>
      </c>
      <c r="E51" s="361"/>
      <c r="F51" s="361"/>
      <c r="G51" s="361"/>
      <c r="H51" s="362"/>
      <c r="I51" s="331" t="s">
        <v>49</v>
      </c>
      <c r="J51" s="332"/>
      <c r="K51" s="377" t="s">
        <v>50</v>
      </c>
      <c r="L51" s="378"/>
      <c r="M51" s="331" t="s">
        <v>51</v>
      </c>
      <c r="N51" s="332"/>
      <c r="O51" s="377" t="s">
        <v>50</v>
      </c>
      <c r="P51" s="378"/>
      <c r="Q51" s="331" t="s">
        <v>51</v>
      </c>
      <c r="R51" s="332"/>
      <c r="S51" s="377" t="s">
        <v>50</v>
      </c>
      <c r="T51" s="378"/>
      <c r="U51" s="187" t="s">
        <v>52</v>
      </c>
      <c r="V51" s="188"/>
    </row>
    <row r="52" spans="1:26" s="178" customFormat="1" ht="25.15" customHeight="1" thickTop="1">
      <c r="B52" s="189">
        <v>1</v>
      </c>
      <c r="C52" s="240" t="str">
        <f>+I45</f>
        <v>FORTUNE (ALNASIB ALARABIA COMPANY COMMERCIAL)</v>
      </c>
      <c r="D52" s="363">
        <f>J48</f>
        <v>143622.92499999999</v>
      </c>
      <c r="E52" s="364"/>
      <c r="F52" s="364"/>
      <c r="G52" s="364"/>
      <c r="H52" s="365"/>
      <c r="I52" s="379">
        <f>J48</f>
        <v>143622.92499999999</v>
      </c>
      <c r="J52" s="380"/>
      <c r="K52" s="381">
        <v>1</v>
      </c>
      <c r="L52" s="382"/>
      <c r="M52" s="379">
        <f>D52</f>
        <v>143622.92499999999</v>
      </c>
      <c r="N52" s="380"/>
      <c r="O52" s="381">
        <f>M52/D52</f>
        <v>1</v>
      </c>
      <c r="P52" s="382">
        <f>M52/D52</f>
        <v>1</v>
      </c>
      <c r="Q52" s="379">
        <f>D52</f>
        <v>143622.92499999999</v>
      </c>
      <c r="R52" s="380"/>
      <c r="S52" s="381">
        <f>Q52/D52</f>
        <v>1</v>
      </c>
      <c r="T52" s="382">
        <f>Q52/D52</f>
        <v>1</v>
      </c>
      <c r="U52" s="190"/>
      <c r="V52" s="191"/>
      <c r="W52" s="186"/>
      <c r="X52" s="186"/>
      <c r="Y52" s="186"/>
      <c r="Z52" s="186"/>
    </row>
    <row r="53" spans="1:26" s="178" customFormat="1" ht="25.15" customHeight="1">
      <c r="B53" s="192">
        <v>2</v>
      </c>
      <c r="C53" s="238" t="str">
        <f>+M45</f>
        <v>EXCELLENCE</v>
      </c>
      <c r="D53" s="366"/>
      <c r="E53" s="367"/>
      <c r="F53" s="367"/>
      <c r="G53" s="367"/>
      <c r="H53" s="368"/>
      <c r="I53" s="337">
        <f>N48</f>
        <v>152041.91400000002</v>
      </c>
      <c r="J53" s="338"/>
      <c r="K53" s="339">
        <f>I53/D52</f>
        <v>1.0586186989298543</v>
      </c>
      <c r="L53" s="340"/>
      <c r="M53" s="337">
        <f>I53</f>
        <v>152041.91400000002</v>
      </c>
      <c r="N53" s="338"/>
      <c r="O53" s="339">
        <f>M53/D52</f>
        <v>1.0586186989298543</v>
      </c>
      <c r="P53" s="340">
        <v>1</v>
      </c>
      <c r="Q53" s="337">
        <f>M53</f>
        <v>152041.91400000002</v>
      </c>
      <c r="R53" s="338"/>
      <c r="S53" s="339">
        <f>Q53/D52</f>
        <v>1.0586186989298543</v>
      </c>
      <c r="T53" s="340">
        <v>1</v>
      </c>
      <c r="U53" s="193"/>
      <c r="V53" s="191"/>
      <c r="W53" s="186"/>
      <c r="X53" s="186"/>
      <c r="Y53" s="186"/>
      <c r="Z53" s="186"/>
    </row>
    <row r="54" spans="1:26" s="178" customFormat="1" ht="25.15" customHeight="1" thickBot="1">
      <c r="B54" s="194">
        <v>3</v>
      </c>
      <c r="C54" s="239" t="str">
        <f>+Q45</f>
        <v>PROBUILD TRADING EST</v>
      </c>
      <c r="D54" s="369"/>
      <c r="E54" s="370"/>
      <c r="F54" s="370"/>
      <c r="G54" s="370"/>
      <c r="H54" s="371"/>
      <c r="I54" s="335">
        <f>R48</f>
        <v>161997.62499999997</v>
      </c>
      <c r="J54" s="336"/>
      <c r="K54" s="333">
        <f>I54/D52</f>
        <v>1.1279370963932114</v>
      </c>
      <c r="L54" s="334"/>
      <c r="M54" s="335">
        <f>I54</f>
        <v>161997.62499999997</v>
      </c>
      <c r="N54" s="336"/>
      <c r="O54" s="333">
        <f>M54/D52</f>
        <v>1.1279370963932114</v>
      </c>
      <c r="P54" s="334"/>
      <c r="Q54" s="335">
        <f>I54</f>
        <v>161997.62499999997</v>
      </c>
      <c r="R54" s="336"/>
      <c r="S54" s="333">
        <f>Q54/D52</f>
        <v>1.1279370963932114</v>
      </c>
      <c r="T54" s="334"/>
      <c r="U54" s="195"/>
      <c r="V54" s="191"/>
      <c r="W54" s="186"/>
      <c r="X54" s="186"/>
      <c r="Y54" s="186"/>
      <c r="Z54" s="186"/>
    </row>
    <row r="55" spans="1:26" s="178" customFormat="1" ht="12" customHeight="1">
      <c r="B55" s="179"/>
      <c r="C55" s="180"/>
      <c r="D55" s="181"/>
      <c r="E55" s="181"/>
      <c r="F55" s="181"/>
      <c r="G55" s="181"/>
      <c r="H55" s="181"/>
      <c r="I55" s="182"/>
      <c r="J55" s="182"/>
      <c r="K55" s="182"/>
      <c r="L55" s="183"/>
      <c r="M55" s="182"/>
      <c r="N55" s="182"/>
      <c r="O55" s="182"/>
      <c r="P55" s="183"/>
      <c r="Q55" s="183"/>
      <c r="R55" s="183"/>
      <c r="S55" s="183"/>
      <c r="T55" s="183"/>
      <c r="U55" s="184"/>
      <c r="V55" s="185"/>
      <c r="W55" s="186"/>
      <c r="X55" s="186"/>
      <c r="Y55" s="186"/>
      <c r="Z55" s="186"/>
    </row>
    <row r="56" spans="1:26" ht="18" customHeight="1" thickBot="1">
      <c r="A56" s="134" t="s">
        <v>53</v>
      </c>
      <c r="B56" s="134"/>
      <c r="C56" s="135"/>
      <c r="D56" s="134"/>
      <c r="E56" s="134"/>
      <c r="F56" s="134"/>
      <c r="G56" s="134"/>
      <c r="H56" s="134"/>
      <c r="I56" s="134"/>
      <c r="J56" s="134"/>
      <c r="K56" s="134"/>
      <c r="L56" s="136"/>
      <c r="M56" s="134"/>
      <c r="N56" s="134"/>
      <c r="O56" s="134"/>
      <c r="P56" s="136"/>
      <c r="Q56" s="136"/>
      <c r="R56" s="136"/>
      <c r="S56" s="136"/>
      <c r="T56" s="136"/>
      <c r="U56" s="134"/>
      <c r="V56" s="134"/>
    </row>
    <row r="57" spans="1:26" ht="19.899999999999999" customHeight="1">
      <c r="A57" s="134"/>
      <c r="B57" s="196" t="s">
        <v>55</v>
      </c>
      <c r="C57" s="197"/>
      <c r="D57" s="198"/>
      <c r="E57" s="199"/>
      <c r="F57" s="199"/>
      <c r="G57" s="199"/>
      <c r="H57" s="199"/>
      <c r="I57" s="199"/>
      <c r="J57" s="199"/>
      <c r="K57" s="199"/>
      <c r="L57" s="200"/>
      <c r="M57" s="199"/>
      <c r="N57" s="199"/>
      <c r="O57" s="199"/>
      <c r="P57" s="200"/>
      <c r="Q57" s="200"/>
      <c r="R57" s="200"/>
      <c r="S57" s="200"/>
      <c r="T57" s="200"/>
      <c r="U57" s="201"/>
      <c r="V57" s="134"/>
    </row>
    <row r="58" spans="1:26" ht="19.899999999999999" customHeight="1" thickBot="1">
      <c r="A58" s="134"/>
      <c r="B58" s="202"/>
      <c r="C58" s="203"/>
      <c r="D58" s="204"/>
      <c r="E58" s="205"/>
      <c r="F58" s="205"/>
      <c r="G58" s="205"/>
      <c r="H58" s="205"/>
      <c r="I58" s="205"/>
      <c r="J58" s="205"/>
      <c r="K58" s="205"/>
      <c r="L58" s="206"/>
      <c r="M58" s="205"/>
      <c r="N58" s="205"/>
      <c r="O58" s="205"/>
      <c r="P58" s="206"/>
      <c r="Q58" s="206"/>
      <c r="R58" s="206"/>
      <c r="S58" s="206"/>
      <c r="T58" s="206"/>
      <c r="U58" s="207"/>
      <c r="V58" s="134"/>
    </row>
    <row r="59" spans="1:26" s="178" customFormat="1" ht="12" customHeight="1">
      <c r="B59" s="179"/>
      <c r="C59" s="180"/>
      <c r="D59" s="181"/>
      <c r="E59" s="181"/>
      <c r="F59" s="181"/>
      <c r="G59" s="181"/>
      <c r="H59" s="181"/>
      <c r="I59" s="182"/>
      <c r="J59" s="182"/>
      <c r="K59" s="182"/>
      <c r="L59" s="183"/>
      <c r="M59" s="182"/>
      <c r="N59" s="182"/>
      <c r="O59" s="182"/>
      <c r="P59" s="183"/>
      <c r="Q59" s="183"/>
      <c r="R59" s="183"/>
      <c r="S59" s="183"/>
      <c r="T59" s="183"/>
      <c r="U59" s="184"/>
      <c r="V59" s="185"/>
      <c r="W59" s="186"/>
      <c r="X59" s="186"/>
      <c r="Y59" s="186"/>
      <c r="Z59" s="186"/>
    </row>
    <row r="60" spans="1:26" ht="18" customHeight="1" thickBot="1">
      <c r="A60" s="134" t="s">
        <v>54</v>
      </c>
      <c r="B60" s="134"/>
      <c r="C60" s="135"/>
      <c r="D60" s="134"/>
      <c r="E60" s="134"/>
      <c r="F60" s="134"/>
      <c r="G60" s="134"/>
      <c r="H60" s="134"/>
      <c r="I60" s="134"/>
      <c r="J60" s="134"/>
      <c r="K60" s="134"/>
      <c r="L60" s="136"/>
      <c r="M60" s="134"/>
      <c r="N60" s="134"/>
      <c r="O60" s="134"/>
      <c r="P60" s="136"/>
      <c r="Q60" s="136"/>
      <c r="R60" s="136"/>
      <c r="S60" s="136"/>
      <c r="T60" s="136"/>
      <c r="U60" s="134"/>
      <c r="V60" s="134"/>
    </row>
    <row r="61" spans="1:26" ht="24.95" customHeight="1" thickBot="1">
      <c r="A61" s="134"/>
      <c r="B61" s="208" t="str">
        <f>CONCATENATE("1) Selected '",I4,"' as the vendor offering the lowest price while meeting all required quality standards.")</f>
        <v>1) Selected 'FORTUNE (ALNASIB ALARABIA COMPANY COMMERCIAL)' as the vendor offering the lowest price while meeting all required quality standards.</v>
      </c>
      <c r="C61" s="209"/>
      <c r="D61" s="210"/>
      <c r="E61" s="211"/>
      <c r="F61" s="211"/>
      <c r="G61" s="211"/>
      <c r="H61" s="211"/>
      <c r="I61" s="211"/>
      <c r="J61" s="211"/>
      <c r="K61" s="211"/>
      <c r="L61" s="212"/>
      <c r="M61" s="211"/>
      <c r="N61" s="211"/>
      <c r="O61" s="211"/>
      <c r="P61" s="212"/>
      <c r="Q61" s="212"/>
      <c r="R61" s="212"/>
      <c r="S61" s="212"/>
      <c r="T61" s="212"/>
      <c r="U61" s="213"/>
      <c r="V61" s="134"/>
    </row>
    <row r="62" spans="1:26" ht="18" customHeight="1">
      <c r="A62" s="134"/>
      <c r="B62" s="214"/>
      <c r="C62" s="215"/>
      <c r="D62" s="214"/>
      <c r="E62" s="134"/>
      <c r="F62" s="134"/>
      <c r="G62" s="134"/>
      <c r="H62" s="134"/>
      <c r="I62" s="134"/>
      <c r="J62" s="134"/>
      <c r="K62" s="134"/>
      <c r="L62" s="136"/>
      <c r="M62" s="134"/>
      <c r="N62" s="134"/>
      <c r="O62" s="134"/>
      <c r="P62" s="136"/>
      <c r="Q62" s="136"/>
      <c r="R62" s="136"/>
      <c r="S62" s="136"/>
      <c r="T62" s="136"/>
      <c r="U62" s="134"/>
      <c r="V62" s="134"/>
    </row>
    <row r="63" spans="1:26" s="218" customFormat="1" ht="15" customHeight="1">
      <c r="A63" s="133"/>
      <c r="B63" s="216"/>
      <c r="C63" s="217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132"/>
      <c r="X63" s="132"/>
      <c r="Y63" s="132"/>
      <c r="Z63" s="132"/>
    </row>
    <row r="64" spans="1:26" s="218" customFormat="1" ht="18" customHeight="1">
      <c r="A64" s="133"/>
      <c r="B64" s="133"/>
      <c r="C64" s="137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133"/>
      <c r="V64" s="133"/>
      <c r="W64" s="132"/>
      <c r="X64" s="132"/>
      <c r="Y64" s="132"/>
      <c r="Z64" s="132"/>
    </row>
    <row r="65" spans="1:26" s="218" customFormat="1" ht="18" customHeight="1">
      <c r="A65" s="133"/>
      <c r="B65" s="133"/>
      <c r="C65" s="137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133"/>
      <c r="V65" s="133"/>
      <c r="W65" s="132"/>
      <c r="X65" s="132"/>
      <c r="Y65" s="132"/>
      <c r="Z65" s="132"/>
    </row>
    <row r="66" spans="1:26" s="218" customFormat="1" ht="18" customHeight="1">
      <c r="A66" s="133"/>
      <c r="B66" s="133"/>
      <c r="C66" s="137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133"/>
      <c r="V66" s="133"/>
      <c r="W66" s="132"/>
      <c r="X66" s="132"/>
      <c r="Y66" s="132"/>
      <c r="Z66" s="132"/>
    </row>
    <row r="67" spans="1:26" s="218" customFormat="1" ht="18" customHeight="1">
      <c r="A67" s="133"/>
      <c r="B67" s="133"/>
      <c r="C67" s="137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133"/>
      <c r="V67" s="133"/>
      <c r="W67" s="132"/>
      <c r="X67" s="132"/>
      <c r="Y67" s="132"/>
      <c r="Z67" s="132"/>
    </row>
  </sheetData>
  <mergeCells count="50">
    <mergeCell ref="D51:H51"/>
    <mergeCell ref="D52:H54"/>
    <mergeCell ref="M45:P45"/>
    <mergeCell ref="Q45:T45"/>
    <mergeCell ref="D46:E46"/>
    <mergeCell ref="Q51:R51"/>
    <mergeCell ref="S51:T51"/>
    <mergeCell ref="I52:J52"/>
    <mergeCell ref="K52:L52"/>
    <mergeCell ref="M52:N52"/>
    <mergeCell ref="O52:P52"/>
    <mergeCell ref="Q52:R52"/>
    <mergeCell ref="S52:T52"/>
    <mergeCell ref="O51:P51"/>
    <mergeCell ref="I51:J51"/>
    <mergeCell ref="K51:L51"/>
    <mergeCell ref="Q4:T4"/>
    <mergeCell ref="I45:L45"/>
    <mergeCell ref="U4:U5"/>
    <mergeCell ref="K6:K44"/>
    <mergeCell ref="O6:O44"/>
    <mergeCell ref="S6:S44"/>
    <mergeCell ref="I4:L4"/>
    <mergeCell ref="M4:P4"/>
    <mergeCell ref="M51:N51"/>
    <mergeCell ref="O54:P54"/>
    <mergeCell ref="Q54:R54"/>
    <mergeCell ref="S54:T54"/>
    <mergeCell ref="I53:J53"/>
    <mergeCell ref="K53:L53"/>
    <mergeCell ref="M53:N53"/>
    <mergeCell ref="O53:P53"/>
    <mergeCell ref="Q53:R53"/>
    <mergeCell ref="S53:T53"/>
    <mergeCell ref="I54:J54"/>
    <mergeCell ref="K54:L54"/>
    <mergeCell ref="M54:N54"/>
    <mergeCell ref="A3:C3"/>
    <mergeCell ref="F48:G48"/>
    <mergeCell ref="F46:G46"/>
    <mergeCell ref="F47:G47"/>
    <mergeCell ref="F45:H45"/>
    <mergeCell ref="F4:H4"/>
    <mergeCell ref="B48:E48"/>
    <mergeCell ref="C47:E47"/>
    <mergeCell ref="C45:E45"/>
    <mergeCell ref="B4:B5"/>
    <mergeCell ref="C4:C5"/>
    <mergeCell ref="D4:D5"/>
    <mergeCell ref="E4:E5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8" fitToHeight="0" orientation="landscape" r:id="rId1"/>
  <ignoredErrors>
    <ignoredError sqref="P46 T46 T6 P6" evalError="1"/>
    <ignoredError sqref="O5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2026-10-24T12:51:23Z</cp:lastPrinted>
  <dcterms:created xsi:type="dcterms:W3CDTF">2023-08-14T07:13:42Z</dcterms:created>
  <dcterms:modified xsi:type="dcterms:W3CDTF">2026-10-27T04:23:36Z</dcterms:modified>
</cp:coreProperties>
</file>