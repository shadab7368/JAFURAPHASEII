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shadab\JAFURAPHASEII\"/>
    </mc:Choice>
  </mc:AlternateContent>
  <xr:revisionPtr revIDLastSave="0" documentId="13_ncr:1_{29CC2A51-084E-44FD-9734-F6ED6B16D5C2}" xr6:coauthVersionLast="47" xr6:coauthVersionMax="47" xr10:uidLastSave="{00000000-0000-0000-0000-000000000000}"/>
  <bookViews>
    <workbookView xWindow="-110" yWindow="-110" windowWidth="19420" windowHeight="10300" xr2:uid="{E4DB8C6D-8346-4ADA-8FD3-75E344CE2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E10" i="1"/>
  <c r="D10" i="1"/>
  <c r="G2" i="1"/>
  <c r="J3" i="1"/>
  <c r="J4" i="1"/>
  <c r="J5" i="1"/>
  <c r="J6" i="1"/>
  <c r="J7" i="1"/>
  <c r="J8" i="1"/>
  <c r="J2" i="1"/>
  <c r="G5" i="1"/>
  <c r="H5" i="1" s="1"/>
  <c r="H19" i="1" s="1"/>
  <c r="F23" i="1"/>
  <c r="F22" i="1"/>
  <c r="F21" i="1"/>
  <c r="F20" i="1"/>
  <c r="F19" i="1"/>
  <c r="F18" i="1"/>
  <c r="F17" i="1"/>
  <c r="G3" i="1"/>
  <c r="H3" i="1" s="1"/>
  <c r="H17" i="1" s="1"/>
  <c r="G4" i="1"/>
  <c r="H4" i="1" s="1"/>
  <c r="H18" i="1" s="1"/>
  <c r="G6" i="1"/>
  <c r="H6" i="1" s="1"/>
  <c r="H20" i="1" s="1"/>
  <c r="G7" i="1"/>
  <c r="H7" i="1" s="1"/>
  <c r="G8" i="1"/>
  <c r="H8" i="1" s="1"/>
  <c r="H21" i="1" l="1"/>
  <c r="H22" i="1"/>
  <c r="H2" i="1"/>
  <c r="H10" i="1" l="1"/>
  <c r="E12" i="1" s="1"/>
  <c r="H23" i="1"/>
  <c r="H24" i="1" s="1"/>
  <c r="G24" i="1" s="1"/>
</calcChain>
</file>

<file path=xl/sharedStrings.xml><?xml version="1.0" encoding="utf-8"?>
<sst xmlns="http://schemas.openxmlformats.org/spreadsheetml/2006/main" count="42" uniqueCount="38">
  <si>
    <t>S.NO.</t>
  </si>
  <si>
    <t>NAME</t>
  </si>
  <si>
    <t>TOTAL AMT</t>
  </si>
  <si>
    <t>EMI</t>
  </si>
  <si>
    <t xml:space="preserve">DUE DATE </t>
  </si>
  <si>
    <t xml:space="preserve">HERO FINANCE </t>
  </si>
  <si>
    <t>CREDIT SESSION</t>
  </si>
  <si>
    <t xml:space="preserve">ADITY BIRLA </t>
  </si>
  <si>
    <t xml:space="preserve">FEDRAL BANK </t>
  </si>
  <si>
    <t>SBI LOAN</t>
  </si>
  <si>
    <t>TENURE</t>
  </si>
  <si>
    <t>TOTAL MONTH DUE</t>
  </si>
  <si>
    <t>TOTAL DUE AMT</t>
  </si>
  <si>
    <t>EXP-DATE</t>
  </si>
  <si>
    <t xml:space="preserve">Difrence </t>
  </si>
  <si>
    <t>Submitter's Name</t>
  </si>
  <si>
    <t>FEDERAL BANK LIMITED (Creditor)</t>
  </si>
  <si>
    <t>Information as on (date)</t>
  </si>
  <si>
    <t>30-11-2025</t>
  </si>
  <si>
    <t>Information submitted on (Date &amp; time)</t>
  </si>
  <si>
    <t>13-12-2025 11:52:53</t>
  </si>
  <si>
    <t>Type of Debt</t>
  </si>
  <si>
    <t>Financial</t>
  </si>
  <si>
    <t>Type of information</t>
  </si>
  <si>
    <t>Data</t>
  </si>
  <si>
    <t>Unique Debt ID</t>
  </si>
  <si>
    <t>AABCT0020H_75007600096908</t>
  </si>
  <si>
    <t>Submission ID</t>
  </si>
  <si>
    <t>Debt Status</t>
  </si>
  <si>
    <t>Active</t>
  </si>
  <si>
    <t>Greetings from National E-Governance Services Ltd (NeSL), India's first Information</t>
  </si>
  <si>
    <t>S</t>
  </si>
  <si>
    <t xml:space="preserve">DBS CARD </t>
  </si>
  <si>
    <t xml:space="preserve">credit session </t>
  </si>
  <si>
    <t xml:space="preserve">adity birla </t>
  </si>
  <si>
    <t xml:space="preserve">fedral bank </t>
  </si>
  <si>
    <t>sbi loan</t>
  </si>
  <si>
    <t>hero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</si>
</sst>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6" x14ac:knownFonts="1"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rgb="FFFFFF0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4F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/>
    <xf numFmtId="2" fontId="0" fillId="2" borderId="0" xfId="0" applyNumberFormat="1" applyFill="1"/>
    <xf numFmtId="2" fontId="1" fillId="0" borderId="0" xfId="0" applyNumberFormat="1" applyFont="1"/>
    <xf numFmtId="2" fontId="0" fillId="0" borderId="0" xfId="0" applyNumberFormat="1"/>
    <xf numFmtId="1" fontId="1" fillId="0" borderId="0" xfId="0" applyNumberFormat="1" applyFont="1"/>
    <xf numFmtId="164" fontId="0" fillId="2" borderId="0" xfId="0" applyNumberForma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0" xfId="0" applyFont="1" applyFill="1"/>
    <xf numFmtId="2" fontId="2" fillId="3" borderId="0" xfId="0" applyNumberFormat="1" applyFont="1" applyFill="1"/>
    <xf numFmtId="0" fontId="3" fillId="0" borderId="0" xfId="0" applyFont="1"/>
    <xf numFmtId="2" fontId="4" fillId="4" borderId="0" xfId="0" applyNumberFormat="1" applyFont="1" applyFill="1"/>
    <xf numFmtId="2" fontId="1" fillId="4" borderId="0" xfId="0" applyNumberFormat="1" applyFont="1" applyFill="1"/>
    <xf numFmtId="0" fontId="5" fillId="5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13653-ACAB-412C-A363-ADAD8CB3A6CC}">
  <dimension ref="A1:J25"/>
  <sheetViews>
    <sheetView tabSelected="1" topLeftCell="A13" workbookViewId="0">
      <selection activeCell="H18" sqref="H18"/>
    </sheetView>
  </sheetViews>
  <sheetFormatPr defaultRowHeight="12.5" x14ac:dyDescent="0.25"/>
  <cols>
    <col min="1" max="1" width="6.453125" style="1" customWidth="1"/>
    <col min="2" max="2" width="14.54296875" style="13" customWidth="1"/>
    <col min="3" max="3" width="25.90625" customWidth="1"/>
    <col min="4" max="4" width="17.90625" style="9" customWidth="1"/>
    <col min="5" max="6" width="17.90625" customWidth="1"/>
    <col min="7" max="7" width="19.08984375" style="9" customWidth="1"/>
    <col min="8" max="8" width="17.1796875" style="9" customWidth="1"/>
    <col min="9" max="9" width="14.26953125" customWidth="1"/>
  </cols>
  <sheetData>
    <row r="1" spans="1:10" x14ac:dyDescent="0.25">
      <c r="A1" s="2" t="s">
        <v>0</v>
      </c>
      <c r="B1" s="11" t="s">
        <v>13</v>
      </c>
      <c r="C1" s="3" t="s">
        <v>1</v>
      </c>
      <c r="D1" s="7" t="s">
        <v>2</v>
      </c>
      <c r="E1" s="3" t="s">
        <v>3</v>
      </c>
      <c r="F1" s="7" t="s">
        <v>10</v>
      </c>
      <c r="G1" s="7" t="s">
        <v>11</v>
      </c>
      <c r="H1" s="3" t="s">
        <v>12</v>
      </c>
      <c r="I1" s="3" t="s">
        <v>4</v>
      </c>
    </row>
    <row r="2" spans="1:10" s="4" customFormat="1" ht="11.5" x14ac:dyDescent="0.25">
      <c r="A2" s="5">
        <v>1</v>
      </c>
      <c r="B2" s="12">
        <v>46907</v>
      </c>
      <c r="C2" s="4" t="s">
        <v>5</v>
      </c>
      <c r="D2" s="8">
        <v>321630</v>
      </c>
      <c r="E2" s="4">
        <v>10721</v>
      </c>
      <c r="F2" s="4">
        <v>30</v>
      </c>
      <c r="G2" s="10">
        <f ca="1">DATEDIF(TODAY(), B2, "m")</f>
        <v>29</v>
      </c>
      <c r="H2" s="8">
        <f ca="1">D2- ((F2 - G2) * E2)</f>
        <v>310909</v>
      </c>
      <c r="I2" s="4">
        <v>3</v>
      </c>
      <c r="J2" s="4">
        <f>F2*E2</f>
        <v>321630</v>
      </c>
    </row>
    <row r="3" spans="1:10" s="4" customFormat="1" ht="11.5" x14ac:dyDescent="0.25">
      <c r="A3" s="5">
        <v>2</v>
      </c>
      <c r="B3" s="12">
        <v>46784</v>
      </c>
      <c r="C3" s="4" t="s">
        <v>6</v>
      </c>
      <c r="D3" s="8">
        <v>66534</v>
      </c>
      <c r="E3" s="4">
        <v>2593</v>
      </c>
      <c r="F3" s="4">
        <v>26</v>
      </c>
      <c r="G3" s="10">
        <f t="shared" ref="G3:G6" ca="1" si="0">DATEDIF(TODAY(), B3, "m")-1</f>
        <v>24</v>
      </c>
      <c r="H3" s="8">
        <f t="shared" ref="H3:H6" ca="1" si="1">D3- ((F3 - G3) * E3)</f>
        <v>61348</v>
      </c>
      <c r="I3" s="4">
        <v>1</v>
      </c>
      <c r="J3" s="4">
        <f t="shared" ref="J3:J6" si="2">F3*E3</f>
        <v>67418</v>
      </c>
    </row>
    <row r="4" spans="1:10" s="4" customFormat="1" ht="11.5" x14ac:dyDescent="0.25">
      <c r="A4" s="5">
        <v>3</v>
      </c>
      <c r="B4" s="12">
        <v>47030</v>
      </c>
      <c r="C4" s="4" t="s">
        <v>7</v>
      </c>
      <c r="D4" s="8">
        <v>138535</v>
      </c>
      <c r="E4" s="4">
        <v>3977</v>
      </c>
      <c r="F4" s="4">
        <v>34</v>
      </c>
      <c r="G4" s="10">
        <f t="shared" ca="1" si="0"/>
        <v>32</v>
      </c>
      <c r="H4" s="8">
        <f t="shared" ca="1" si="1"/>
        <v>130581</v>
      </c>
      <c r="I4" s="4">
        <v>4</v>
      </c>
      <c r="J4" s="4">
        <f t="shared" si="2"/>
        <v>135218</v>
      </c>
    </row>
    <row r="5" spans="1:10" s="4" customFormat="1" ht="11.5" x14ac:dyDescent="0.25">
      <c r="A5" s="5">
        <v>4</v>
      </c>
      <c r="B5" s="12">
        <v>46451</v>
      </c>
      <c r="C5" s="4" t="s">
        <v>8</v>
      </c>
      <c r="D5" s="8">
        <v>69434</v>
      </c>
      <c r="E5" s="4">
        <v>4784</v>
      </c>
      <c r="F5" s="4">
        <v>15</v>
      </c>
      <c r="G5" s="10">
        <f ca="1">DATEDIF(TODAY(), B5, "m")</f>
        <v>14</v>
      </c>
      <c r="H5" s="8">
        <f t="shared" ca="1" si="1"/>
        <v>64650</v>
      </c>
      <c r="I5" s="4">
        <v>5</v>
      </c>
      <c r="J5" s="4">
        <f t="shared" si="2"/>
        <v>71760</v>
      </c>
    </row>
    <row r="6" spans="1:10" s="4" customFormat="1" ht="11.5" x14ac:dyDescent="0.25">
      <c r="A6" s="5">
        <v>5</v>
      </c>
      <c r="B6" s="12">
        <v>46699</v>
      </c>
      <c r="C6" s="4" t="s">
        <v>9</v>
      </c>
      <c r="D6" s="8">
        <v>46112</v>
      </c>
      <c r="E6" s="4">
        <v>2246</v>
      </c>
      <c r="F6" s="4">
        <v>23</v>
      </c>
      <c r="G6" s="10">
        <f t="shared" ca="1" si="0"/>
        <v>21</v>
      </c>
      <c r="H6" s="8">
        <f t="shared" ca="1" si="1"/>
        <v>41620</v>
      </c>
      <c r="I6" s="4">
        <v>8</v>
      </c>
      <c r="J6" s="4">
        <f t="shared" si="2"/>
        <v>51658</v>
      </c>
    </row>
    <row r="7" spans="1:10" s="4" customFormat="1" ht="11.5" x14ac:dyDescent="0.25">
      <c r="A7" s="5">
        <v>6</v>
      </c>
      <c r="B7" s="12">
        <v>47004</v>
      </c>
      <c r="C7" s="4" t="s">
        <v>9</v>
      </c>
      <c r="D7" s="8">
        <v>65508</v>
      </c>
      <c r="E7" s="4">
        <v>2408</v>
      </c>
      <c r="F7" s="4">
        <v>33</v>
      </c>
      <c r="G7" s="10">
        <f ca="1">DATEDIF(TODAY(), B7, "m")-1</f>
        <v>31</v>
      </c>
      <c r="H7" s="8">
        <f ca="1">D7- ((F7 - G7) * E7)</f>
        <v>60692</v>
      </c>
      <c r="I7" s="4">
        <v>8</v>
      </c>
      <c r="J7" s="4">
        <f>F7*E7</f>
        <v>79464</v>
      </c>
    </row>
    <row r="8" spans="1:10" s="4" customFormat="1" ht="11.5" x14ac:dyDescent="0.25">
      <c r="A8" s="5">
        <v>7</v>
      </c>
      <c r="B8" s="12">
        <v>46485</v>
      </c>
      <c r="C8" s="4" t="s">
        <v>9</v>
      </c>
      <c r="D8" s="8">
        <v>4474</v>
      </c>
      <c r="E8" s="4">
        <v>300</v>
      </c>
      <c r="F8" s="4">
        <v>16</v>
      </c>
      <c r="G8" s="10">
        <f ca="1">DATEDIF(TODAY(), B8, "m")-1</f>
        <v>14</v>
      </c>
      <c r="H8" s="8">
        <f ca="1">D8- ((F8 - G8) * E8)</f>
        <v>3874</v>
      </c>
      <c r="I8" s="4">
        <v>8</v>
      </c>
      <c r="J8" s="4">
        <f>F8*E8</f>
        <v>4800</v>
      </c>
    </row>
    <row r="9" spans="1:10" x14ac:dyDescent="0.25">
      <c r="A9" s="1">
        <v>8</v>
      </c>
      <c r="C9" s="4" t="s">
        <v>32</v>
      </c>
      <c r="D9" s="9">
        <v>16120</v>
      </c>
      <c r="E9" s="4">
        <v>1250</v>
      </c>
      <c r="F9" s="4">
        <v>1</v>
      </c>
      <c r="G9" s="21">
        <v>1</v>
      </c>
      <c r="H9" s="9">
        <v>16120</v>
      </c>
      <c r="I9" s="4">
        <v>3</v>
      </c>
      <c r="J9" s="4">
        <f>F9*E9</f>
        <v>1250</v>
      </c>
    </row>
    <row r="10" spans="1:10" s="4" customFormat="1" ht="11.5" x14ac:dyDescent="0.25">
      <c r="A10" s="5"/>
      <c r="B10" s="12"/>
      <c r="D10" s="15">
        <f>SUM(D2:D9)</f>
        <v>728347</v>
      </c>
      <c r="E10" s="14">
        <f>SUM(E2:E9)</f>
        <v>28279</v>
      </c>
      <c r="F10" s="16"/>
      <c r="G10" s="8"/>
      <c r="H10" s="15">
        <f ca="1">SUM(H2:H8)</f>
        <v>673674</v>
      </c>
      <c r="J10" s="4">
        <f>SUM(J2:J9)</f>
        <v>733198</v>
      </c>
    </row>
    <row r="11" spans="1:10" s="4" customFormat="1" ht="11.5" x14ac:dyDescent="0.25">
      <c r="A11" s="5"/>
      <c r="B11" s="12"/>
      <c r="D11" s="8"/>
      <c r="G11" s="8"/>
      <c r="H11" s="8"/>
    </row>
    <row r="12" spans="1:10" s="4" customFormat="1" ht="11.5" x14ac:dyDescent="0.25">
      <c r="A12" s="5"/>
      <c r="B12" s="12"/>
      <c r="D12" s="17" t="s">
        <v>14</v>
      </c>
      <c r="E12" s="17">
        <f ca="1">D10-H10</f>
        <v>54673</v>
      </c>
      <c r="G12" s="8"/>
      <c r="H12" s="8"/>
    </row>
    <row r="13" spans="1:10" s="4" customFormat="1" ht="11.5" x14ac:dyDescent="0.25">
      <c r="A13" s="5"/>
      <c r="B13" s="12"/>
      <c r="D13" s="8"/>
      <c r="G13" s="8"/>
      <c r="H13" s="8"/>
    </row>
    <row r="14" spans="1:10" s="4" customFormat="1" ht="11.5" x14ac:dyDescent="0.25">
      <c r="A14" s="5"/>
      <c r="B14" s="12"/>
      <c r="D14" s="8"/>
      <c r="G14" s="8"/>
      <c r="H14" s="8"/>
    </row>
    <row r="15" spans="1:10" s="4" customFormat="1" ht="11.5" x14ac:dyDescent="0.25">
      <c r="A15" s="5"/>
      <c r="B15" s="12"/>
      <c r="D15" s="8"/>
      <c r="H15" s="8"/>
    </row>
    <row r="16" spans="1:10" s="4" customFormat="1" ht="32.5" customHeight="1" x14ac:dyDescent="0.25">
      <c r="A16" s="5"/>
      <c r="B16" s="20" t="s">
        <v>30</v>
      </c>
      <c r="C16" s="20"/>
      <c r="D16" s="8"/>
      <c r="G16" s="8"/>
      <c r="H16" s="8"/>
    </row>
    <row r="17" spans="1:9" s="4" customFormat="1" ht="11.5" x14ac:dyDescent="0.25">
      <c r="A17" s="5"/>
      <c r="B17" s="19" t="s">
        <v>15</v>
      </c>
      <c r="C17" s="19" t="s">
        <v>16</v>
      </c>
      <c r="D17" s="8"/>
      <c r="F17" s="4">
        <f>2593*12</f>
        <v>31116</v>
      </c>
      <c r="G17" s="8">
        <v>238000</v>
      </c>
      <c r="H17" s="8">
        <f ca="1">H3-F17</f>
        <v>30232</v>
      </c>
      <c r="I17" s="4" t="s">
        <v>33</v>
      </c>
    </row>
    <row r="18" spans="1:9" s="4" customFormat="1" ht="20" x14ac:dyDescent="0.25">
      <c r="A18" s="5"/>
      <c r="B18" s="19" t="s">
        <v>17</v>
      </c>
      <c r="C18" s="19" t="s">
        <v>18</v>
      </c>
      <c r="D18" s="8"/>
      <c r="F18" s="4">
        <f>E4*12</f>
        <v>47724</v>
      </c>
      <c r="G18" s="8"/>
      <c r="H18" s="8">
        <f ca="1">H4-F18</f>
        <v>82857</v>
      </c>
      <c r="I18" s="4" t="s">
        <v>34</v>
      </c>
    </row>
    <row r="19" spans="1:9" s="4" customFormat="1" ht="20" x14ac:dyDescent="0.25">
      <c r="A19" s="5"/>
      <c r="B19" s="19" t="s">
        <v>19</v>
      </c>
      <c r="C19" s="19" t="s">
        <v>20</v>
      </c>
      <c r="D19" s="8" t="s">
        <v>31</v>
      </c>
      <c r="F19" s="4">
        <f>E5*12</f>
        <v>57408</v>
      </c>
      <c r="G19" s="8"/>
      <c r="H19" s="8">
        <f ca="1">H5-F19</f>
        <v>7242</v>
      </c>
      <c r="I19" s="4" t="s">
        <v>35</v>
      </c>
    </row>
    <row r="20" spans="1:9" s="4" customFormat="1" ht="11.5" x14ac:dyDescent="0.25">
      <c r="A20" s="5"/>
      <c r="B20" s="19" t="s">
        <v>21</v>
      </c>
      <c r="C20" s="19" t="s">
        <v>22</v>
      </c>
      <c r="D20" s="8"/>
      <c r="F20" s="4">
        <f>E6*12</f>
        <v>26952</v>
      </c>
      <c r="G20" s="8"/>
      <c r="H20" s="8">
        <f ca="1">H6-F20</f>
        <v>14668</v>
      </c>
      <c r="I20" s="4" t="s">
        <v>36</v>
      </c>
    </row>
    <row r="21" spans="1:9" s="4" customFormat="1" ht="11.5" x14ac:dyDescent="0.25">
      <c r="A21" s="5"/>
      <c r="B21" s="19" t="s">
        <v>23</v>
      </c>
      <c r="C21" s="19" t="s">
        <v>24</v>
      </c>
      <c r="D21" s="8"/>
      <c r="F21" s="4">
        <f>E7*12</f>
        <v>28896</v>
      </c>
      <c r="G21" s="8"/>
      <c r="H21" s="8">
        <f ca="1">H7-F21</f>
        <v>31796</v>
      </c>
      <c r="I21" s="4" t="s">
        <v>36</v>
      </c>
    </row>
    <row r="22" spans="1:9" s="4" customFormat="1" ht="11.5" x14ac:dyDescent="0.25">
      <c r="A22" s="5"/>
      <c r="B22" s="19" t="s">
        <v>25</v>
      </c>
      <c r="C22" s="19" t="s">
        <v>26</v>
      </c>
      <c r="D22" s="8"/>
      <c r="F22" s="4">
        <f>E8*12</f>
        <v>3600</v>
      </c>
      <c r="G22" s="8"/>
      <c r="H22" s="8">
        <f ca="1">H8-F22</f>
        <v>274</v>
      </c>
      <c r="I22" s="4" t="s">
        <v>36</v>
      </c>
    </row>
    <row r="23" spans="1:9" s="4" customFormat="1" ht="11.5" x14ac:dyDescent="0.25">
      <c r="A23" s="5"/>
      <c r="B23" s="19" t="s">
        <v>27</v>
      </c>
      <c r="C23" s="19">
        <v>29</v>
      </c>
      <c r="D23" s="8"/>
      <c r="F23" s="4">
        <f>E2*12</f>
        <v>128652</v>
      </c>
      <c r="G23" s="8"/>
      <c r="H23" s="8">
        <f ca="1">H2-F23</f>
        <v>182257</v>
      </c>
      <c r="I23" s="4" t="s">
        <v>37</v>
      </c>
    </row>
    <row r="24" spans="1:9" s="4" customFormat="1" ht="11.5" x14ac:dyDescent="0.25">
      <c r="A24" s="5"/>
      <c r="B24" s="19" t="s">
        <v>28</v>
      </c>
      <c r="C24" s="19" t="s">
        <v>29</v>
      </c>
      <c r="D24" s="8"/>
      <c r="G24" s="8">
        <f ca="1">H24-G17</f>
        <v>111326</v>
      </c>
      <c r="H24" s="18">
        <f ca="1">SUM(H17:H23)</f>
        <v>349326</v>
      </c>
    </row>
    <row r="25" spans="1:9" s="4" customFormat="1" ht="11.5" x14ac:dyDescent="0.25">
      <c r="A25" s="5"/>
      <c r="B25" s="12"/>
      <c r="C25" s="6"/>
      <c r="D25" s="8"/>
      <c r="G25" s="8"/>
      <c r="H25" s="8"/>
    </row>
  </sheetData>
  <mergeCells count="1"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shadab khan</dc:creator>
  <cp:lastModifiedBy>shadab khan</cp:lastModifiedBy>
  <dcterms:created xsi:type="dcterms:W3CDTF">2025-11-22T06:39:08Z</dcterms:created>
  <dcterms:modified xsi:type="dcterms:W3CDTF">2025-12-15T08:36:29Z</dcterms:modified>
</cp:coreProperties>
</file>